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'库存（父sku）'!$A$4:$AT$246</definedName>
    <definedName name="_xlnm._FilterDatabase" localSheetId="0" hidden="1">'库存（子SKU）'!$A$6:$AV$402</definedName>
  </definedNames>
  <calcPr calcId="144525" concurrentCalc="0"/>
</workbook>
</file>

<file path=xl/sharedStrings.xml><?xml version="1.0" encoding="utf-8"?>
<sst xmlns="http://schemas.openxmlformats.org/spreadsheetml/2006/main" count="538">
  <si>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</si>
  <si>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</si>
  <si>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</si>
  <si>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</si>
  <si>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</si>
  <si>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</si>
  <si>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</si>
  <si>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</si>
  <si>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</si>
  <si>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</si>
  <si>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</si>
  <si>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</si>
  <si>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</si>
  <si>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</si>
  <si>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</si>
  <si>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</si>
  <si>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</si>
  <si>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</si>
  <si>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</si>
  <si>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</si>
  <si>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</si>
  <si>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</si>
  <si>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</si>
  <si>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</si>
  <si>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</si>
  <si>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</si>
  <si>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</si>
  <si>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</si>
  <si>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</si>
  <si>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</si>
  <si>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</si>
  <si>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</si>
  <si>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</si>
  <si>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</si>
  <si>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</si>
  <si>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</si>
  <si>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</si>
  <si>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</si>
  <si>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</si>
  <si>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</si>
  <si>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</si>
  <si>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</si>
  <si>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</si>
  <si>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</si>
  <si>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</si>
  <si>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</si>
  <si>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</si>
  <si>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</si>
  <si>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</si>
  <si>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</si>
  <si>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</si>
  <si>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</si>
  <si>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DDHNYK0</t>
  </si>
  <si>
    <t>GJHNYK0</t>
  </si>
  <si>
    <t>HLYHMYSG</t>
  </si>
  <si>
    <t>JBL-QFFMMHL</t>
  </si>
  <si>
    <t>JBL-QFFMMHM</t>
  </si>
  <si>
    <t>JBL-QFFMMHS</t>
  </si>
  <si>
    <t>JBL-QFFMMHXL</t>
  </si>
  <si>
    <t>JBL-QFFMMHXXL</t>
  </si>
  <si>
    <t>JBL-QFFMR5L</t>
  </si>
  <si>
    <t>JBL-QFFMR5M</t>
  </si>
  <si>
    <t>JBL-QFFMR5S</t>
  </si>
  <si>
    <t>JBL-QFFMR5XL</t>
  </si>
  <si>
    <t>JBL-QFFMR5XXL</t>
  </si>
  <si>
    <t>KTKJFKMZFB0M</t>
  </si>
  <si>
    <t>KTKW0TW0L</t>
  </si>
  <si>
    <t>KTKW0TW0XL</t>
  </si>
  <si>
    <t>KTKXKB0</t>
  </si>
  <si>
    <t>KTKXKB0L</t>
  </si>
  <si>
    <t>KTKXKG0</t>
  </si>
  <si>
    <t>KTKXKG0L</t>
  </si>
  <si>
    <t>KTKXKR0</t>
  </si>
  <si>
    <t>KTKXKW0</t>
  </si>
  <si>
    <t>KTKXKW0L</t>
  </si>
  <si>
    <t>KTKXKY0</t>
  </si>
  <si>
    <t>MY16055K0L</t>
  </si>
  <si>
    <t>MY16055K0M</t>
  </si>
  <si>
    <t>MY16055K0S</t>
  </si>
  <si>
    <t>MY16055K0XL</t>
  </si>
  <si>
    <t>MY16055K0XXL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</si>
  <si>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</si>
  <si>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</si>
  <si>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</si>
  <si>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</si>
  <si>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</si>
  <si>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</si>
  <si>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</si>
  <si>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MY16055ZQXL</t>
  </si>
  <si>
    <t>MY16055ZQXXL</t>
  </si>
  <si>
    <t>MY71107K0L</t>
  </si>
  <si>
    <t>MY71107K0S</t>
  </si>
  <si>
    <t>MY71107K0XL</t>
  </si>
  <si>
    <t>MY71107K0XXL</t>
  </si>
  <si>
    <t>MY71107MSL</t>
  </si>
  <si>
    <t>MY71107MSM</t>
  </si>
  <si>
    <t>MY71107MSS</t>
  </si>
  <si>
    <t>MY71107MSXL</t>
  </si>
  <si>
    <t>MY71107MSXXL</t>
  </si>
  <si>
    <t>MY71107ZQL</t>
  </si>
  <si>
    <t>MY71107ZQM</t>
  </si>
  <si>
    <t>MY71107ZQS</t>
  </si>
  <si>
    <t>MY71107ZQXL</t>
  </si>
  <si>
    <t>MY71107ZQXXL</t>
  </si>
  <si>
    <t>MY71115K0M</t>
  </si>
  <si>
    <t>MY71115K0S</t>
  </si>
  <si>
    <t>MY71115K0XL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</si>
  <si>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</si>
  <si>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</si>
  <si>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</si>
  <si>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</si>
  <si>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</si>
  <si>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</si>
  <si>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</si>
  <si>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</si>
  <si>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</si>
  <si>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</si>
  <si>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MY71115ZQXXL</t>
  </si>
  <si>
    <t>N029YE036</t>
  </si>
  <si>
    <t>N029YE038</t>
  </si>
  <si>
    <t>N029YE040</t>
  </si>
  <si>
    <t>N029YHL36</t>
  </si>
  <si>
    <t>N029YHL38</t>
  </si>
  <si>
    <t>N029YHL40</t>
  </si>
  <si>
    <t>N029YMH36</t>
  </si>
  <si>
    <t>N029YMH38</t>
  </si>
  <si>
    <t>N029YMH40</t>
  </si>
  <si>
    <t>N039YB036</t>
  </si>
  <si>
    <t>N039YB038</t>
  </si>
  <si>
    <t>N039YB040</t>
  </si>
  <si>
    <t>N039YG036</t>
  </si>
  <si>
    <t>N039YG038</t>
  </si>
  <si>
    <t>N039YG040</t>
  </si>
  <si>
    <t>N039YP036</t>
  </si>
  <si>
    <t>N039YP038</t>
  </si>
  <si>
    <t>N039YP040</t>
  </si>
  <si>
    <t>N039YR036</t>
  </si>
  <si>
    <t>N039YR038</t>
  </si>
  <si>
    <t>N039YR040</t>
  </si>
  <si>
    <t>N039YTHS36</t>
  </si>
  <si>
    <t>N039YTHS38</t>
  </si>
  <si>
    <t>N039YTHS40</t>
  </si>
  <si>
    <t>N039YXGH36</t>
  </si>
  <si>
    <t>N039YXGH38</t>
  </si>
  <si>
    <t>N039YXGH40</t>
  </si>
  <si>
    <t>N158YB038</t>
  </si>
  <si>
    <t>N158YK038</t>
  </si>
  <si>
    <t>N158YR038</t>
  </si>
  <si>
    <t>N1709YR042</t>
  </si>
  <si>
    <t>N1709YR046</t>
  </si>
  <si>
    <t>N1709YR048</t>
  </si>
  <si>
    <t>N1709YXS48</t>
  </si>
  <si>
    <t>N1709YZS44</t>
  </si>
  <si>
    <t>N1709YZS46</t>
  </si>
  <si>
    <t>N1709YZS48</t>
  </si>
  <si>
    <t>N2033YK036</t>
  </si>
  <si>
    <t>N2033YK038</t>
  </si>
  <si>
    <t>N2033YK040</t>
  </si>
  <si>
    <t>N2033YK042</t>
  </si>
  <si>
    <t>N2033YSG36</t>
  </si>
  <si>
    <t>N2033YSG40</t>
  </si>
  <si>
    <t>N2033YSG42</t>
  </si>
  <si>
    <t>N2047YK032</t>
  </si>
  <si>
    <t>N2047YK034</t>
  </si>
  <si>
    <t>N2047YXS32</t>
  </si>
  <si>
    <t>N2047YXS36</t>
  </si>
  <si>
    <t>N2082YK034</t>
  </si>
  <si>
    <t>N2082YK036</t>
  </si>
  <si>
    <t>N2082YK038</t>
  </si>
  <si>
    <t>N2082YQJ34</t>
  </si>
  <si>
    <t>N2082YQJ36</t>
  </si>
  <si>
    <t>N2082YQJ38</t>
  </si>
  <si>
    <t>N2082YQLS34</t>
  </si>
  <si>
    <t>N2082YQLS36</t>
  </si>
  <si>
    <t>N2082YQLS38</t>
  </si>
  <si>
    <t>N2257YG036</t>
  </si>
  <si>
    <t>N2257YK034</t>
  </si>
  <si>
    <t>N2257YK038</t>
  </si>
  <si>
    <t>N2257YR538</t>
  </si>
  <si>
    <t>N2257YSG36</t>
  </si>
  <si>
    <t>N2716YHL34</t>
  </si>
  <si>
    <t>N2716YHL36</t>
  </si>
  <si>
    <t>N2716YHL38</t>
  </si>
  <si>
    <t>N2716YMH34</t>
  </si>
  <si>
    <t>N2716YMH36</t>
  </si>
  <si>
    <t>N2716YMH38</t>
  </si>
  <si>
    <t>N2716YR034</t>
  </si>
  <si>
    <t>N2716YR036</t>
  </si>
  <si>
    <t>N2716YR038</t>
  </si>
  <si>
    <t>N2716YYGL34</t>
  </si>
  <si>
    <t>N2716YYGL36</t>
  </si>
  <si>
    <t>N2716YYGL38</t>
  </si>
  <si>
    <t>N31459YB040</t>
  </si>
  <si>
    <t>N31459YB042</t>
  </si>
  <si>
    <t>N31459YB044</t>
  </si>
  <si>
    <t>N31459YJS42</t>
  </si>
  <si>
    <t>N31459YJS46</t>
  </si>
  <si>
    <t>N31459YLL48</t>
  </si>
  <si>
    <t>N31459YMH38</t>
  </si>
  <si>
    <t>N31459YMH42</t>
  </si>
  <si>
    <t>N31459YMH44</t>
  </si>
  <si>
    <t>N31459YMH46</t>
  </si>
  <si>
    <t>N31459YMH48</t>
  </si>
  <si>
    <t>N31459YP038</t>
  </si>
  <si>
    <t>N31459YP044</t>
  </si>
  <si>
    <t>N31459YP046</t>
  </si>
  <si>
    <t>N31459YP048</t>
  </si>
  <si>
    <t>N31459YR038</t>
  </si>
  <si>
    <t>N31459YR044</t>
  </si>
  <si>
    <t>N3818-2YW038</t>
  </si>
  <si>
    <t>N3818-2YW040</t>
  </si>
  <si>
    <t>N3818-2YW044</t>
  </si>
  <si>
    <t>N3818-2YW046</t>
  </si>
  <si>
    <t>N3818-2YW048</t>
  </si>
  <si>
    <t>N531YB036</t>
  </si>
  <si>
    <t>N531YB038</t>
  </si>
  <si>
    <t>N531YB040</t>
  </si>
  <si>
    <t>N531YK034</t>
  </si>
  <si>
    <t>N531YK036</t>
  </si>
  <si>
    <t>N531YK038</t>
  </si>
  <si>
    <t>N531YK040</t>
  </si>
  <si>
    <t>N531YQL34</t>
  </si>
  <si>
    <t>N531YQL36</t>
  </si>
  <si>
    <t>N531YQL38</t>
  </si>
  <si>
    <t>N531YQL40</t>
  </si>
  <si>
    <t>N531YR034</t>
  </si>
  <si>
    <t>N531YR036</t>
  </si>
  <si>
    <t>N531YR038</t>
  </si>
  <si>
    <t>N531YR040</t>
  </si>
  <si>
    <t>N531YXS34</t>
  </si>
  <si>
    <t>N531YXS36</t>
  </si>
  <si>
    <t>N531YXS38</t>
  </si>
  <si>
    <t>N531YXS40</t>
  </si>
  <si>
    <t>N583YQZ36</t>
  </si>
  <si>
    <t>N583YQZ38</t>
  </si>
  <si>
    <t>N583YQZ40</t>
  </si>
  <si>
    <t>N583YQZ42</t>
  </si>
  <si>
    <t>N583YQZ44</t>
  </si>
  <si>
    <t>N86162KY0</t>
  </si>
  <si>
    <t>N87232KP0XL</t>
  </si>
  <si>
    <t>N87232KXGHM</t>
  </si>
  <si>
    <t>N87232KXSM</t>
  </si>
  <si>
    <t>N87301KK0XL</t>
  </si>
  <si>
    <t>N87301KMLSL</t>
  </si>
  <si>
    <t>N87301KMLSM</t>
  </si>
  <si>
    <t>N87301KMLSXL</t>
  </si>
  <si>
    <t>N87301KSGL</t>
  </si>
  <si>
    <t>N87301KSGXL</t>
  </si>
  <si>
    <t>N87301KW0L</t>
  </si>
  <si>
    <t>N87301KXSM</t>
  </si>
  <si>
    <t>N87301KXSXL</t>
  </si>
  <si>
    <t>N87301KZHSL</t>
  </si>
  <si>
    <t>N87301KZHSM</t>
  </si>
  <si>
    <t>N87301KZHSXL</t>
  </si>
  <si>
    <t>N87309KW0L</t>
  </si>
  <si>
    <t>N87309KW0M</t>
  </si>
  <si>
    <t>N87309KW0XL</t>
  </si>
  <si>
    <t>N87318KHLL</t>
  </si>
  <si>
    <t>N87318KR5L</t>
  </si>
  <si>
    <t>N87318KR5XL</t>
  </si>
  <si>
    <t>N87318KW0M</t>
  </si>
  <si>
    <t>N87318KXGHM</t>
  </si>
  <si>
    <t>N87318KXGHXL</t>
  </si>
  <si>
    <t>N87318KXSM</t>
  </si>
  <si>
    <t>N87318KXSXL</t>
  </si>
  <si>
    <t>N87319KR5M</t>
  </si>
  <si>
    <t>N87319KXSL</t>
  </si>
  <si>
    <t>N87319KXSM</t>
  </si>
  <si>
    <t>N888YK036</t>
  </si>
  <si>
    <t>N888YK038</t>
  </si>
  <si>
    <t>N888YK040</t>
  </si>
  <si>
    <t>N888YK042</t>
  </si>
  <si>
    <t>N888YR536</t>
  </si>
  <si>
    <t>N888YR538</t>
  </si>
  <si>
    <t>N888YR540</t>
  </si>
  <si>
    <t>N888YR542</t>
  </si>
  <si>
    <t>N888YXS36</t>
  </si>
  <si>
    <t>N888YXS38</t>
  </si>
  <si>
    <t>N888YXS40</t>
  </si>
  <si>
    <t>N888YXS42</t>
  </si>
  <si>
    <t>N89103KHLXL</t>
  </si>
  <si>
    <t>N89103KW0XL</t>
  </si>
  <si>
    <t>N89118KMLSXL</t>
  </si>
  <si>
    <t>N89118KW0XL</t>
  </si>
  <si>
    <t>N89119KBLL</t>
  </si>
  <si>
    <t>N89119KBLM</t>
  </si>
  <si>
    <t>N89119KK0L</t>
  </si>
  <si>
    <t>N89119KMHL</t>
  </si>
  <si>
    <t>N89119KMHXL</t>
  </si>
  <si>
    <t>N89119KR5L</t>
  </si>
  <si>
    <t>N89119KR5M</t>
  </si>
  <si>
    <t>N89119KXSL</t>
  </si>
  <si>
    <t>N89119KXSM</t>
  </si>
  <si>
    <t>N89122KBL3XL</t>
  </si>
  <si>
    <t>N89122KBL4XL</t>
  </si>
  <si>
    <t>N89122KHL2XL</t>
  </si>
  <si>
    <t>N89122KHL3XL</t>
  </si>
  <si>
    <t>N89122KHL4XL</t>
  </si>
  <si>
    <t>N89122KK03XL</t>
  </si>
  <si>
    <t>N89122KK04XL</t>
  </si>
  <si>
    <t>N89122KMH2XL</t>
  </si>
  <si>
    <t>N89122KMH3XL</t>
  </si>
  <si>
    <t>N89122KMH4XL</t>
  </si>
  <si>
    <t>N89122KW02XL</t>
  </si>
  <si>
    <t>N89122KW03XL</t>
  </si>
  <si>
    <t>N89122KW04XL</t>
  </si>
  <si>
    <t>N89122KXS2XL</t>
  </si>
  <si>
    <t>N89122KXS4XL</t>
  </si>
  <si>
    <t>N9383YB040</t>
  </si>
  <si>
    <t>N9383YB042</t>
  </si>
  <si>
    <t>N9383YB044</t>
  </si>
  <si>
    <t>N9383YB046</t>
  </si>
  <si>
    <t>N9383YB048</t>
  </si>
  <si>
    <t>N9383YG038</t>
  </si>
  <si>
    <t>N9383YG042</t>
  </si>
  <si>
    <t>N9383YG044</t>
  </si>
  <si>
    <t>N9383YG046</t>
  </si>
  <si>
    <t>N9383YG048</t>
  </si>
  <si>
    <t>N9383YMH38</t>
  </si>
  <si>
    <t>N9383YMH40</t>
  </si>
  <si>
    <t>N9383YMH44</t>
  </si>
  <si>
    <t>N9383YMH46</t>
  </si>
  <si>
    <t>N9383YMH48</t>
  </si>
  <si>
    <t>N9383YP038</t>
  </si>
  <si>
    <t>N9383YP040</t>
  </si>
  <si>
    <t>N9383YP042</t>
  </si>
  <si>
    <t>N9383YP044</t>
  </si>
  <si>
    <t>N9383YP048</t>
  </si>
  <si>
    <t>N9383YR038</t>
  </si>
  <si>
    <t>N9383YR040</t>
  </si>
  <si>
    <t>N9383YR042</t>
  </si>
  <si>
    <t>N9383YR046</t>
  </si>
  <si>
    <t>N9383YR048</t>
  </si>
  <si>
    <t>N9383YXGH38</t>
  </si>
  <si>
    <t>N9383YXGH40</t>
  </si>
  <si>
    <t>N9383YXGH42</t>
  </si>
  <si>
    <t>N9383YXGH44</t>
  </si>
  <si>
    <t>N9383YXGH46</t>
  </si>
  <si>
    <t>N9383YXGH48</t>
  </si>
  <si>
    <t>N9932YK034</t>
  </si>
  <si>
    <t>N9932YK036</t>
  </si>
  <si>
    <t>N9932YK038</t>
  </si>
  <si>
    <t>N9932YR034</t>
  </si>
  <si>
    <t>N9932YR036</t>
  </si>
  <si>
    <t>N9932YR534</t>
  </si>
  <si>
    <t>N9932YR536</t>
  </si>
  <si>
    <t>N9932YR538</t>
  </si>
  <si>
    <t>N9932YXS34</t>
  </si>
  <si>
    <t>N9932YXS36</t>
  </si>
  <si>
    <t>N9932YXS38</t>
  </si>
  <si>
    <t>NC11YXS42</t>
  </si>
  <si>
    <t>NK-XUHM001-K0-L</t>
  </si>
  <si>
    <t>NK-XUHM001-K0-M</t>
  </si>
  <si>
    <t>NK-XUHM001-K0-S</t>
  </si>
  <si>
    <t>NK-XUHM001-K0-XL</t>
  </si>
  <si>
    <t>NK-XUHM001-K0-XXL</t>
  </si>
  <si>
    <t>NY-B15016-K0-L</t>
  </si>
  <si>
    <t>NY-B15016-K0-M</t>
  </si>
  <si>
    <t>NY-B15016-K0-S</t>
  </si>
  <si>
    <t>NY-B15016-W0-L</t>
  </si>
  <si>
    <t>NY-B15016-W0-M</t>
  </si>
  <si>
    <t>NY-B15016-W0-S</t>
  </si>
  <si>
    <t>NY-B15016-Y0-L</t>
  </si>
  <si>
    <t>NY-B15016-Y0-M</t>
  </si>
  <si>
    <t>NY-B15016-Y0-S</t>
  </si>
  <si>
    <t>NY-B15021-B0-L</t>
  </si>
  <si>
    <t>NY-B15021-B0-M</t>
  </si>
  <si>
    <t>NY-B15021-B0-S</t>
  </si>
  <si>
    <t>NY-B15021-B0-XL</t>
  </si>
  <si>
    <t>NY-B15021-K0-L</t>
  </si>
  <si>
    <t>NY-B15021-K0-M</t>
  </si>
  <si>
    <t>NY-B15021-K0-S</t>
  </si>
  <si>
    <t>NY-B15021-K0-XL</t>
  </si>
  <si>
    <t>NY-B15021-PI-L</t>
  </si>
  <si>
    <t>NY-B15021-PI-M</t>
  </si>
  <si>
    <t>NY-B15021-PI-S</t>
  </si>
  <si>
    <t>NY-B15021-PI-XL</t>
  </si>
  <si>
    <t>NY-B15021-W0-XL</t>
  </si>
  <si>
    <t>NY-XUHM001-K0-36C</t>
  </si>
  <si>
    <t>NY-XUHM001-K0-38C</t>
  </si>
  <si>
    <t>NY-XUHM001-K0-40C</t>
  </si>
  <si>
    <t>NY-XUHM001-K0-42C</t>
  </si>
  <si>
    <t>NY-XUHM001-K0-44C</t>
  </si>
  <si>
    <t>NY-XUHM002-K0-L</t>
  </si>
  <si>
    <t>NY-XUHM002-K0-M</t>
  </si>
  <si>
    <t>NY-XUHM002-K0-S</t>
  </si>
  <si>
    <t>NY-XUHM002-PI-L</t>
  </si>
  <si>
    <t>NY-XUHM002-PI-M</t>
  </si>
  <si>
    <t>NY-XUHM002-PI-S</t>
  </si>
  <si>
    <t>NY-XUHM005-GA-L</t>
  </si>
  <si>
    <t>NY-XUHM005-GA-M</t>
  </si>
  <si>
    <t>NY-XUHM005-GA-S</t>
  </si>
  <si>
    <t>NY-XUHM005-K0-L</t>
  </si>
  <si>
    <t>NY-XUHM005-K0-M</t>
  </si>
  <si>
    <t>NY-XUHM005-K0-S</t>
  </si>
  <si>
    <t>NY-XUHM011-K0-36C</t>
  </si>
  <si>
    <t>NY-XUHM011-K0-38C</t>
  </si>
  <si>
    <t>NY-XUHM011-K0-40C</t>
  </si>
  <si>
    <t>NY-XUHM011-K0-42C</t>
  </si>
  <si>
    <t>NY-XUHM011-K0-44C</t>
  </si>
  <si>
    <t>NY-XUHM331-B0-L</t>
  </si>
  <si>
    <t>NY-XUHM332-HS-M</t>
  </si>
  <si>
    <t>NY-XUHM333-HS-L</t>
  </si>
  <si>
    <t>NY-XUHM333-HS-M</t>
  </si>
  <si>
    <t>NY-XUHM333-HS-S</t>
  </si>
  <si>
    <t>NY-XUHM463-K0-L</t>
  </si>
  <si>
    <t>NY-XUHM463-K0-M</t>
  </si>
  <si>
    <t>NY-XUHM463-K0-S</t>
  </si>
  <si>
    <t>NY-XUHM463-K0-XL</t>
  </si>
  <si>
    <t>NY-XUHM463-P0-L</t>
  </si>
  <si>
    <t>NY-XUHM463-P0-M</t>
  </si>
  <si>
    <t>NY-XUHM463-P0-S</t>
  </si>
  <si>
    <t>NY-XUHM463-P0-XL</t>
  </si>
  <si>
    <t>PYJKDKB0L</t>
  </si>
  <si>
    <t>PYJKDKK0XXXL</t>
  </si>
  <si>
    <t>PYJKDKR0L</t>
  </si>
  <si>
    <t>PYJKDKY0M</t>
  </si>
  <si>
    <t>PYJKJSB0XL</t>
  </si>
  <si>
    <t>PYJKJSK0L</t>
  </si>
  <si>
    <t>PYJKJSK0M</t>
  </si>
  <si>
    <t>PYJKJSK0XL</t>
  </si>
  <si>
    <t>PYJKJSK0XXXL</t>
  </si>
  <si>
    <t>PYJKJSR0L</t>
  </si>
  <si>
    <t>PYJKJSY0XXXL</t>
  </si>
  <si>
    <t>PYJKTSK0L</t>
  </si>
  <si>
    <t>PYJKTSKFL</t>
  </si>
  <si>
    <t>PYJKTSR0L</t>
  </si>
  <si>
    <t>PYJKTSY0L</t>
  </si>
  <si>
    <t>SPHNYK0</t>
  </si>
  <si>
    <t>TTCX36851</t>
  </si>
  <si>
    <t>TTYCMZFCX1</t>
  </si>
  <si>
    <t>TTYCMZFCX2</t>
  </si>
  <si>
    <t>TTYCMZFCX3</t>
  </si>
  <si>
    <t>TTYCYH3688BLACK</t>
  </si>
  <si>
    <t>XTHQK0A</t>
  </si>
  <si>
    <t>XTHQK0B</t>
  </si>
  <si>
    <t>XTHQK0C</t>
  </si>
  <si>
    <t>XTHQK0D</t>
  </si>
  <si>
    <t>XTHQXSA</t>
  </si>
  <si>
    <t>XTHQXSB</t>
  </si>
  <si>
    <t>XTHQXSC</t>
  </si>
  <si>
    <t>XTHQXSD</t>
  </si>
  <si>
    <t>XTLAK0A</t>
  </si>
  <si>
    <t>XTLAK0B</t>
  </si>
  <si>
    <t>XTLAXSC</t>
  </si>
  <si>
    <t>XYBXBAF008W0L</t>
  </si>
  <si>
    <t>XYBXBAF008W0XL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</si>
  <si>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</si>
  <si>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</si>
  <si>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</si>
  <si>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</si>
  <si>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</si>
  <si>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</si>
  <si>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</si>
  <si>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</si>
  <si>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DDBNY</t>
  </si>
  <si>
    <t>DDHNY</t>
  </si>
  <si>
    <t>GJHNY</t>
  </si>
  <si>
    <t>TTYCMZFCXH</t>
  </si>
  <si>
    <t>JBLKTK</t>
  </si>
  <si>
    <t>JBL-QFFM</t>
  </si>
  <si>
    <t>KTKHLZ</t>
  </si>
  <si>
    <t>KTKSTY</t>
  </si>
  <si>
    <t>KTKXJFK</t>
  </si>
  <si>
    <t>KTKXXK</t>
  </si>
  <si>
    <t>MQZHK</t>
  </si>
  <si>
    <t>MY16055</t>
  </si>
  <si>
    <t>MY71107</t>
  </si>
  <si>
    <t>MY71115</t>
  </si>
  <si>
    <t>MZCXK</t>
  </si>
  <si>
    <t>N029Y</t>
  </si>
  <si>
    <t>N039Y</t>
  </si>
  <si>
    <t>N1228Y</t>
  </si>
  <si>
    <t>N158Y</t>
  </si>
  <si>
    <t>N1709Y</t>
  </si>
  <si>
    <t>N2033Y</t>
  </si>
  <si>
    <t>N2047Y</t>
  </si>
  <si>
    <t>N2082Y</t>
  </si>
  <si>
    <t>N2257Y</t>
  </si>
  <si>
    <t>N263Y</t>
  </si>
  <si>
    <t>N2716Y</t>
  </si>
  <si>
    <t>N299Y</t>
  </si>
  <si>
    <t>N31459Y</t>
  </si>
  <si>
    <t>N3818-2Y</t>
  </si>
  <si>
    <t>N5100Y</t>
  </si>
  <si>
    <t>N531Y</t>
  </si>
  <si>
    <t>N5330Y</t>
  </si>
  <si>
    <t>N583Y</t>
  </si>
  <si>
    <t>N86162K</t>
  </si>
  <si>
    <t>N87232K</t>
  </si>
  <si>
    <t>N87301K</t>
  </si>
  <si>
    <t>N87309K</t>
  </si>
  <si>
    <t>N87318K</t>
  </si>
  <si>
    <t>N87319K</t>
  </si>
  <si>
    <t>N888Y</t>
  </si>
  <si>
    <t>N89103K</t>
  </si>
  <si>
    <t>N89118K</t>
  </si>
  <si>
    <t>N89119K</t>
  </si>
  <si>
    <t>N89122K</t>
  </si>
  <si>
    <t>N9383Y</t>
  </si>
  <si>
    <t>N9932Y</t>
  </si>
  <si>
    <t>NC11Y</t>
  </si>
  <si>
    <t>ZIMUYH</t>
  </si>
  <si>
    <t>ZSNW</t>
  </si>
  <si>
    <t>ZZTS</t>
  </si>
  <si>
    <t>NK-XUHM001</t>
  </si>
  <si>
    <t>NWZE</t>
  </si>
  <si>
    <t>NY-B15016</t>
  </si>
  <si>
    <t>NY-B15021</t>
  </si>
  <si>
    <t>NK-XUHM011</t>
  </si>
  <si>
    <t>NY-XUHM331</t>
  </si>
  <si>
    <t>NY-XUHM332</t>
  </si>
  <si>
    <t>NY-XUHM333</t>
  </si>
  <si>
    <t>NY-XUHM463</t>
  </si>
  <si>
    <t>PYJKCX</t>
  </si>
  <si>
    <t>PYJKDK</t>
  </si>
  <si>
    <t>PYJKHS</t>
  </si>
  <si>
    <t>PYJKJS</t>
  </si>
  <si>
    <t>PYJKTS</t>
  </si>
  <si>
    <t>SJKTK</t>
  </si>
  <si>
    <t>TMKTK</t>
  </si>
  <si>
    <t>TTYCMZFCS</t>
  </si>
  <si>
    <t>TTYCYCSH</t>
  </si>
  <si>
    <t>XTHQ</t>
  </si>
  <si>
    <t>XTLA</t>
  </si>
  <si>
    <t>XXBF</t>
  </si>
  <si>
    <t>XXGNW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</si>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</sst>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yyyy&quot;年&quot;m&quot;月&quot;d&quot;日&quot;;@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9" fillId="1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1" borderId="6" applyNumberFormat="0" applyFont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20" fillId="20" borderId="5" applyNumberFormat="0" applyAlignment="0" applyProtection="0">
      <alignment vertical="center"/>
    </xf>
    <xf numFmtId="0" fontId="23" fillId="31" borderId="7" applyNumberFormat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B071HHSJ1R</v>
          </cell>
          <cell r="B2">
            <v>92</v>
          </cell>
          <cell r="C2">
            <v>54</v>
          </cell>
          <cell r="D2">
            <v>15</v>
          </cell>
          <cell r="E2">
            <v>16</v>
          </cell>
        </row>
        <row r="3">
          <cell r="A3" t="str">
            <v>B071K8MVBL</v>
          </cell>
          <cell r="B3">
            <v>1</v>
          </cell>
          <cell r="C3">
            <v>1</v>
          </cell>
          <cell r="D3">
            <v>0</v>
          </cell>
          <cell r="E3">
            <v>1</v>
          </cell>
        </row>
        <row r="4">
          <cell r="A4" t="str">
            <v>B071NP2X5N</v>
          </cell>
          <cell r="B4">
            <v>133</v>
          </cell>
          <cell r="C4">
            <v>71</v>
          </cell>
          <cell r="D4">
            <v>14</v>
          </cell>
          <cell r="E4">
            <v>20</v>
          </cell>
        </row>
        <row r="5">
          <cell r="A5" t="str">
            <v>B071YQ9S6C</v>
          </cell>
          <cell r="B5">
            <v>3</v>
          </cell>
          <cell r="C5">
            <v>3</v>
          </cell>
          <cell r="D5">
            <v>0</v>
          </cell>
          <cell r="E5">
            <v>1</v>
          </cell>
        </row>
        <row r="6">
          <cell r="A6" t="str">
            <v>B0722LHQ3T</v>
          </cell>
          <cell r="B6">
            <v>3</v>
          </cell>
          <cell r="C6">
            <v>1</v>
          </cell>
          <cell r="D6">
            <v>0</v>
          </cell>
          <cell r="E6">
            <v>1</v>
          </cell>
        </row>
        <row r="7">
          <cell r="A7" t="str">
            <v>B072N2WZ5J</v>
          </cell>
          <cell r="B7">
            <v>1</v>
          </cell>
          <cell r="C7">
            <v>1</v>
          </cell>
          <cell r="D7">
            <v>2</v>
          </cell>
          <cell r="E7">
            <v>1</v>
          </cell>
        </row>
        <row r="8">
          <cell r="A8" t="str">
            <v>B072RD6VF2</v>
          </cell>
          <cell r="B8">
            <v>1</v>
          </cell>
          <cell r="C8">
            <v>1</v>
          </cell>
          <cell r="D8">
            <v>1</v>
          </cell>
          <cell r="E8">
            <v>1</v>
          </cell>
        </row>
        <row r="9">
          <cell r="A9" t="str">
            <v>B073F1L1DN</v>
          </cell>
          <cell r="B9">
            <v>1</v>
          </cell>
          <cell r="C9">
            <v>3</v>
          </cell>
          <cell r="D9">
            <v>2</v>
          </cell>
          <cell r="E9">
            <v>1</v>
          </cell>
        </row>
        <row r="10">
          <cell r="A10" t="str">
            <v>B073F2M56J</v>
          </cell>
          <cell r="B10">
            <v>2</v>
          </cell>
          <cell r="C10">
            <v>2</v>
          </cell>
          <cell r="D10">
            <v>4</v>
          </cell>
          <cell r="E10">
            <v>1</v>
          </cell>
        </row>
        <row r="11">
          <cell r="A11" t="str">
            <v>B073F2QMQK</v>
          </cell>
          <cell r="B11">
            <v>2</v>
          </cell>
          <cell r="C11">
            <v>1</v>
          </cell>
          <cell r="D11">
            <v>2</v>
          </cell>
          <cell r="E11">
            <v>1</v>
          </cell>
        </row>
        <row r="12">
          <cell r="A12" t="str">
            <v>B073F35WHV</v>
          </cell>
          <cell r="B12">
            <v>0</v>
          </cell>
          <cell r="C12">
            <v>0</v>
          </cell>
          <cell r="D12">
            <v>1</v>
          </cell>
          <cell r="E12">
            <v>3</v>
          </cell>
        </row>
        <row r="13">
          <cell r="A13" t="str">
            <v>B073F4G8B1</v>
          </cell>
          <cell r="B13">
            <v>1</v>
          </cell>
          <cell r="C13">
            <v>1</v>
          </cell>
          <cell r="D13">
            <v>3</v>
          </cell>
          <cell r="E13">
            <v>1</v>
          </cell>
        </row>
        <row r="14">
          <cell r="A14" t="str">
            <v>B073TWLDHK</v>
          </cell>
          <cell r="B14">
            <v>1</v>
          </cell>
          <cell r="C14">
            <v>1</v>
          </cell>
          <cell r="D14">
            <v>0</v>
          </cell>
          <cell r="E14">
            <v>1</v>
          </cell>
        </row>
        <row r="15">
          <cell r="A15" t="str">
            <v>B073W6VTYY</v>
          </cell>
          <cell r="B15">
            <v>3</v>
          </cell>
          <cell r="C15">
            <v>3</v>
          </cell>
          <cell r="D15">
            <v>1</v>
          </cell>
          <cell r="E15">
            <v>1</v>
          </cell>
        </row>
        <row r="16">
          <cell r="A16" t="str">
            <v>B073WB3TLC</v>
          </cell>
          <cell r="B16">
            <v>1</v>
          </cell>
          <cell r="C16">
            <v>2</v>
          </cell>
          <cell r="D16">
            <v>2</v>
          </cell>
          <cell r="E16">
            <v>1</v>
          </cell>
        </row>
        <row r="17">
          <cell r="A17" t="str">
            <v>B073WBNY9P</v>
          </cell>
          <cell r="B17">
            <v>2</v>
          </cell>
          <cell r="C17">
            <v>3</v>
          </cell>
          <cell r="D17">
            <v>0</v>
          </cell>
          <cell r="E17">
            <v>1</v>
          </cell>
        </row>
        <row r="18">
          <cell r="A18" t="str">
            <v>B073WBR2D4</v>
          </cell>
          <cell r="B18">
            <v>3</v>
          </cell>
          <cell r="C18">
            <v>4</v>
          </cell>
          <cell r="D18">
            <v>2</v>
          </cell>
          <cell r="E18">
            <v>1</v>
          </cell>
        </row>
        <row r="19">
          <cell r="A19" t="str">
            <v>B073WT7S1J</v>
          </cell>
          <cell r="B19">
            <v>4</v>
          </cell>
          <cell r="C19">
            <v>2</v>
          </cell>
          <cell r="D19">
            <v>0</v>
          </cell>
          <cell r="E19">
            <v>3</v>
          </cell>
        </row>
        <row r="20">
          <cell r="A20" t="str">
            <v>B073WTPJLR</v>
          </cell>
          <cell r="B20">
            <v>4</v>
          </cell>
          <cell r="C20">
            <v>2</v>
          </cell>
          <cell r="D20">
            <v>2</v>
          </cell>
          <cell r="E20">
            <v>2</v>
          </cell>
        </row>
        <row r="21">
          <cell r="A21" t="str">
            <v>B073WTRPXK</v>
          </cell>
          <cell r="B21">
            <v>4</v>
          </cell>
          <cell r="C21">
            <v>0</v>
          </cell>
          <cell r="D21">
            <v>1</v>
          </cell>
          <cell r="E21">
            <v>2</v>
          </cell>
        </row>
        <row r="22">
          <cell r="A22" t="str">
            <v>B073WTW1SS</v>
          </cell>
          <cell r="B22">
            <v>4</v>
          </cell>
          <cell r="C22">
            <v>1</v>
          </cell>
          <cell r="D22">
            <v>2</v>
          </cell>
          <cell r="E22">
            <v>1</v>
          </cell>
        </row>
        <row r="23">
          <cell r="A23" t="str">
            <v>B073WTZ549</v>
          </cell>
          <cell r="B23">
            <v>1</v>
          </cell>
          <cell r="C23">
            <v>1</v>
          </cell>
          <cell r="D23">
            <v>1</v>
          </cell>
          <cell r="E23">
            <v>1</v>
          </cell>
        </row>
        <row r="24">
          <cell r="A24" t="str">
            <v>B073WV1KVP</v>
          </cell>
          <cell r="B24">
            <v>2</v>
          </cell>
          <cell r="C24">
            <v>1</v>
          </cell>
          <cell r="D24">
            <v>1</v>
          </cell>
          <cell r="E24">
            <v>2</v>
          </cell>
        </row>
        <row r="25">
          <cell r="A25" t="str">
            <v>B073WV5CCK</v>
          </cell>
          <cell r="B25">
            <v>0</v>
          </cell>
          <cell r="C25">
            <v>0</v>
          </cell>
          <cell r="D25">
            <v>1</v>
          </cell>
          <cell r="E25">
            <v>1</v>
          </cell>
        </row>
        <row r="26">
          <cell r="A26" t="str">
            <v>B073XLK4G5</v>
          </cell>
          <cell r="B26">
            <v>0</v>
          </cell>
          <cell r="C26">
            <v>0</v>
          </cell>
          <cell r="D26">
            <v>1</v>
          </cell>
          <cell r="E26">
            <v>1</v>
          </cell>
        </row>
        <row r="27">
          <cell r="A27" t="str">
            <v>B073XMFYWX</v>
          </cell>
          <cell r="B27">
            <v>38</v>
          </cell>
          <cell r="C27">
            <v>33</v>
          </cell>
          <cell r="D27">
            <v>16</v>
          </cell>
          <cell r="E27">
            <v>14</v>
          </cell>
        </row>
        <row r="28">
          <cell r="A28" t="str">
            <v>B074CS5P3X</v>
          </cell>
          <cell r="B28">
            <v>2</v>
          </cell>
          <cell r="C28">
            <v>1</v>
          </cell>
          <cell r="D28">
            <v>0</v>
          </cell>
          <cell r="E28">
            <v>1</v>
          </cell>
        </row>
        <row r="29">
          <cell r="A29" t="str">
            <v>B074CSF1MY</v>
          </cell>
          <cell r="B29">
            <v>1</v>
          </cell>
          <cell r="C29">
            <v>3</v>
          </cell>
          <cell r="D29">
            <v>2</v>
          </cell>
          <cell r="E29">
            <v>2</v>
          </cell>
        </row>
        <row r="30">
          <cell r="A30" t="str">
            <v>B074CSG4ZS</v>
          </cell>
          <cell r="B30">
            <v>0</v>
          </cell>
          <cell r="C30">
            <v>2</v>
          </cell>
          <cell r="D30">
            <v>2</v>
          </cell>
          <cell r="E30">
            <v>2</v>
          </cell>
        </row>
        <row r="31">
          <cell r="A31" t="str">
            <v>B074CV3L2T</v>
          </cell>
          <cell r="B31">
            <v>0</v>
          </cell>
          <cell r="C31">
            <v>5</v>
          </cell>
          <cell r="D31">
            <v>3</v>
          </cell>
          <cell r="E31">
            <v>3</v>
          </cell>
        </row>
        <row r="32">
          <cell r="A32" t="str">
            <v>B074CW3HDD</v>
          </cell>
          <cell r="B32">
            <v>2</v>
          </cell>
          <cell r="C32">
            <v>10</v>
          </cell>
          <cell r="D32">
            <v>3</v>
          </cell>
          <cell r="E32">
            <v>2</v>
          </cell>
        </row>
        <row r="33">
          <cell r="A33" t="str">
            <v>B074CW3JWV</v>
          </cell>
          <cell r="B33">
            <v>1</v>
          </cell>
          <cell r="C33">
            <v>5</v>
          </cell>
          <cell r="D33">
            <v>3</v>
          </cell>
          <cell r="E33">
            <v>4</v>
          </cell>
        </row>
        <row r="34">
          <cell r="A34" t="str">
            <v>B074CW4J9M</v>
          </cell>
          <cell r="B34">
            <v>5</v>
          </cell>
          <cell r="C34">
            <v>5</v>
          </cell>
          <cell r="D34">
            <v>1</v>
          </cell>
          <cell r="E34">
            <v>2</v>
          </cell>
        </row>
        <row r="35">
          <cell r="A35" t="str">
            <v>B074CWBNL1</v>
          </cell>
          <cell r="B35">
            <v>1</v>
          </cell>
          <cell r="C35">
            <v>4</v>
          </cell>
          <cell r="D35">
            <v>0</v>
          </cell>
          <cell r="E35">
            <v>1</v>
          </cell>
        </row>
        <row r="36">
          <cell r="A36" t="str">
            <v>B074CWG2B2</v>
          </cell>
          <cell r="B36">
            <v>1</v>
          </cell>
          <cell r="C36">
            <v>3</v>
          </cell>
          <cell r="D36">
            <v>4</v>
          </cell>
          <cell r="E36">
            <v>1</v>
          </cell>
        </row>
        <row r="37">
          <cell r="A37" t="str">
            <v>B074CWG8L2</v>
          </cell>
          <cell r="B37">
            <v>8</v>
          </cell>
          <cell r="C37">
            <v>4</v>
          </cell>
          <cell r="D37">
            <v>3</v>
          </cell>
          <cell r="E37">
            <v>1</v>
          </cell>
        </row>
        <row r="38">
          <cell r="A38" t="str">
            <v>B074CWJNRX</v>
          </cell>
          <cell r="B38">
            <v>2</v>
          </cell>
          <cell r="C38">
            <v>4</v>
          </cell>
          <cell r="D38">
            <v>1</v>
          </cell>
          <cell r="E38">
            <v>1</v>
          </cell>
        </row>
        <row r="39">
          <cell r="A39" t="str">
            <v>B074CWLV9M</v>
          </cell>
          <cell r="B39">
            <v>2</v>
          </cell>
          <cell r="C39">
            <v>3</v>
          </cell>
          <cell r="D39">
            <v>0</v>
          </cell>
          <cell r="E39">
            <v>2</v>
          </cell>
        </row>
        <row r="40">
          <cell r="A40" t="str">
            <v>B074CWN2HB</v>
          </cell>
          <cell r="B40">
            <v>2</v>
          </cell>
          <cell r="C40">
            <v>0</v>
          </cell>
          <cell r="D40">
            <v>0</v>
          </cell>
          <cell r="E40">
            <v>3</v>
          </cell>
        </row>
        <row r="41">
          <cell r="A41" t="str">
            <v>B074CWPQFT</v>
          </cell>
          <cell r="B41">
            <v>2</v>
          </cell>
          <cell r="C41">
            <v>1</v>
          </cell>
          <cell r="D41">
            <v>0</v>
          </cell>
          <cell r="E41">
            <v>2</v>
          </cell>
        </row>
        <row r="42">
          <cell r="A42" t="str">
            <v>B074CWQJVH</v>
          </cell>
          <cell r="B42">
            <v>2</v>
          </cell>
          <cell r="C42">
            <v>3</v>
          </cell>
          <cell r="D42">
            <v>2</v>
          </cell>
          <cell r="E42">
            <v>1</v>
          </cell>
        </row>
        <row r="43">
          <cell r="A43" t="str">
            <v>B074CWQPZP</v>
          </cell>
          <cell r="B43">
            <v>3</v>
          </cell>
          <cell r="C43">
            <v>0</v>
          </cell>
          <cell r="D43">
            <v>0</v>
          </cell>
          <cell r="E43">
            <v>1</v>
          </cell>
        </row>
        <row r="44">
          <cell r="A44" t="str">
            <v>B074CWR4ZR</v>
          </cell>
          <cell r="B44">
            <v>2</v>
          </cell>
          <cell r="C44">
            <v>4</v>
          </cell>
          <cell r="D44">
            <v>0</v>
          </cell>
          <cell r="E44">
            <v>1</v>
          </cell>
        </row>
        <row r="45">
          <cell r="A45" t="str">
            <v>B074CWRDHL</v>
          </cell>
          <cell r="B45">
            <v>10</v>
          </cell>
          <cell r="C45">
            <v>11</v>
          </cell>
          <cell r="D45">
            <v>5</v>
          </cell>
          <cell r="E45">
            <v>2</v>
          </cell>
        </row>
        <row r="46">
          <cell r="A46" t="str">
            <v>B074CWSDCG</v>
          </cell>
          <cell r="B46">
            <v>1</v>
          </cell>
          <cell r="C46">
            <v>2</v>
          </cell>
          <cell r="D46">
            <v>5</v>
          </cell>
          <cell r="E46">
            <v>3</v>
          </cell>
        </row>
        <row r="47">
          <cell r="A47" t="str">
            <v>B074CWSQFG</v>
          </cell>
          <cell r="B47">
            <v>1</v>
          </cell>
          <cell r="C47">
            <v>2</v>
          </cell>
          <cell r="D47">
            <v>0</v>
          </cell>
          <cell r="E47">
            <v>2</v>
          </cell>
        </row>
        <row r="48">
          <cell r="A48" t="str">
            <v>B074CWTLXY</v>
          </cell>
          <cell r="B48">
            <v>0</v>
          </cell>
          <cell r="C48">
            <v>0</v>
          </cell>
          <cell r="D48">
            <v>0</v>
          </cell>
          <cell r="E48">
            <v>2</v>
          </cell>
        </row>
        <row r="49">
          <cell r="A49" t="str">
            <v>B074CWYHQ7</v>
          </cell>
          <cell r="B49">
            <v>0</v>
          </cell>
          <cell r="C49">
            <v>2</v>
          </cell>
          <cell r="D49">
            <v>2</v>
          </cell>
          <cell r="E49">
            <v>1</v>
          </cell>
        </row>
        <row r="50">
          <cell r="A50" t="str">
            <v>B074CWZFK3</v>
          </cell>
          <cell r="B50">
            <v>0</v>
          </cell>
          <cell r="C50">
            <v>0</v>
          </cell>
          <cell r="D50">
            <v>2</v>
          </cell>
          <cell r="E50">
            <v>4</v>
          </cell>
        </row>
        <row r="51">
          <cell r="A51" t="str">
            <v>B074CWZRZ9</v>
          </cell>
          <cell r="B51">
            <v>1</v>
          </cell>
          <cell r="C51">
            <v>0</v>
          </cell>
          <cell r="D51">
            <v>2</v>
          </cell>
          <cell r="E51">
            <v>1</v>
          </cell>
        </row>
        <row r="52">
          <cell r="A52" t="str">
            <v>B074CWZSVH</v>
          </cell>
          <cell r="B52">
            <v>2</v>
          </cell>
          <cell r="C52">
            <v>1</v>
          </cell>
          <cell r="D52">
            <v>3</v>
          </cell>
          <cell r="E52">
            <v>1</v>
          </cell>
        </row>
        <row r="53">
          <cell r="A53" t="str">
            <v>B074CX1PRD</v>
          </cell>
          <cell r="B53">
            <v>3</v>
          </cell>
          <cell r="C53">
            <v>2</v>
          </cell>
          <cell r="D53">
            <v>6</v>
          </cell>
          <cell r="E53">
            <v>1</v>
          </cell>
        </row>
        <row r="54">
          <cell r="A54" t="str">
            <v>B074CX2BPL</v>
          </cell>
          <cell r="B54">
            <v>2</v>
          </cell>
          <cell r="C54">
            <v>3</v>
          </cell>
          <cell r="D54">
            <v>2</v>
          </cell>
          <cell r="E54">
            <v>1</v>
          </cell>
        </row>
        <row r="55">
          <cell r="A55" t="str">
            <v>B074CX534Z</v>
          </cell>
          <cell r="B55">
            <v>3</v>
          </cell>
          <cell r="C55">
            <v>1</v>
          </cell>
          <cell r="D55">
            <v>7</v>
          </cell>
          <cell r="E55">
            <v>1</v>
          </cell>
        </row>
        <row r="56">
          <cell r="A56" t="str">
            <v>B074CX6ML1</v>
          </cell>
          <cell r="B56">
            <v>3</v>
          </cell>
          <cell r="C56">
            <v>2</v>
          </cell>
          <cell r="D56">
            <v>1</v>
          </cell>
          <cell r="E56">
            <v>2</v>
          </cell>
        </row>
        <row r="57">
          <cell r="A57" t="str">
            <v>B074CX7218</v>
          </cell>
          <cell r="B57">
            <v>13</v>
          </cell>
          <cell r="C57">
            <v>5</v>
          </cell>
          <cell r="D57">
            <v>5</v>
          </cell>
          <cell r="E57">
            <v>4</v>
          </cell>
        </row>
        <row r="58">
          <cell r="A58" t="str">
            <v>B074CX73CM</v>
          </cell>
          <cell r="B58">
            <v>4</v>
          </cell>
          <cell r="C58">
            <v>6</v>
          </cell>
          <cell r="D58">
            <v>4</v>
          </cell>
          <cell r="E58">
            <v>4</v>
          </cell>
        </row>
        <row r="59">
          <cell r="A59" t="str">
            <v>B074CXBB31</v>
          </cell>
          <cell r="B59">
            <v>0</v>
          </cell>
          <cell r="C59">
            <v>0</v>
          </cell>
          <cell r="D59">
            <v>4</v>
          </cell>
          <cell r="E59">
            <v>10</v>
          </cell>
        </row>
        <row r="60">
          <cell r="A60" t="str">
            <v>B074CXK6RZ</v>
          </cell>
          <cell r="B60">
            <v>1</v>
          </cell>
          <cell r="C60">
            <v>5</v>
          </cell>
          <cell r="D60">
            <v>3</v>
          </cell>
          <cell r="E60">
            <v>2</v>
          </cell>
        </row>
        <row r="61">
          <cell r="A61" t="str">
            <v>B074CXLQVY</v>
          </cell>
          <cell r="B61">
            <v>0</v>
          </cell>
          <cell r="C61">
            <v>10</v>
          </cell>
          <cell r="D61">
            <v>2</v>
          </cell>
          <cell r="E61">
            <v>1</v>
          </cell>
        </row>
        <row r="62">
          <cell r="A62" t="str">
            <v>B074CXMS2N</v>
          </cell>
          <cell r="B62">
            <v>0</v>
          </cell>
          <cell r="C62">
            <v>2</v>
          </cell>
          <cell r="D62">
            <v>3</v>
          </cell>
          <cell r="E62">
            <v>1</v>
          </cell>
        </row>
        <row r="63">
          <cell r="A63" t="str">
            <v>B074CXNBPV</v>
          </cell>
          <cell r="B63">
            <v>0</v>
          </cell>
          <cell r="C63">
            <v>0</v>
          </cell>
          <cell r="D63">
            <v>0</v>
          </cell>
          <cell r="E63">
            <v>2</v>
          </cell>
        </row>
        <row r="64">
          <cell r="A64" t="str">
            <v>B074CXNWMZ</v>
          </cell>
          <cell r="B64">
            <v>4</v>
          </cell>
          <cell r="C64">
            <v>3</v>
          </cell>
          <cell r="D64">
            <v>1</v>
          </cell>
          <cell r="E64">
            <v>6</v>
          </cell>
        </row>
        <row r="65">
          <cell r="A65" t="str">
            <v>B074CXPPQM</v>
          </cell>
          <cell r="B65">
            <v>2</v>
          </cell>
          <cell r="C65">
            <v>4</v>
          </cell>
          <cell r="D65">
            <v>1</v>
          </cell>
          <cell r="E65">
            <v>1</v>
          </cell>
        </row>
        <row r="66">
          <cell r="A66" t="str">
            <v>B074CXQ86P</v>
          </cell>
          <cell r="B66">
            <v>16</v>
          </cell>
          <cell r="C66">
            <v>21</v>
          </cell>
          <cell r="D66">
            <v>11</v>
          </cell>
          <cell r="E66">
            <v>7</v>
          </cell>
        </row>
        <row r="67">
          <cell r="A67" t="str">
            <v>B074DV7WDZ</v>
          </cell>
          <cell r="B67">
            <v>2</v>
          </cell>
          <cell r="C67">
            <v>0</v>
          </cell>
          <cell r="D67">
            <v>2</v>
          </cell>
          <cell r="E67">
            <v>1</v>
          </cell>
        </row>
        <row r="68">
          <cell r="A68" t="str">
            <v>B074DVCJDR</v>
          </cell>
          <cell r="B68">
            <v>2</v>
          </cell>
          <cell r="C68">
            <v>3</v>
          </cell>
          <cell r="D68">
            <v>1</v>
          </cell>
          <cell r="E68">
            <v>2</v>
          </cell>
        </row>
        <row r="69">
          <cell r="A69" t="str">
            <v>B074DVQP6Q</v>
          </cell>
          <cell r="B69">
            <v>1</v>
          </cell>
          <cell r="C69">
            <v>1</v>
          </cell>
          <cell r="D69">
            <v>3</v>
          </cell>
          <cell r="E69">
            <v>1</v>
          </cell>
        </row>
        <row r="70">
          <cell r="A70" t="str">
            <v>B074DVVJND</v>
          </cell>
          <cell r="B70">
            <v>1</v>
          </cell>
          <cell r="C70">
            <v>1</v>
          </cell>
          <cell r="D70">
            <v>1</v>
          </cell>
          <cell r="E70">
            <v>1</v>
          </cell>
        </row>
        <row r="71">
          <cell r="A71" t="str">
            <v>B074DVVVVP</v>
          </cell>
          <cell r="B71">
            <v>1</v>
          </cell>
          <cell r="C71">
            <v>0</v>
          </cell>
          <cell r="D71">
            <v>0</v>
          </cell>
          <cell r="E71">
            <v>2</v>
          </cell>
        </row>
        <row r="72">
          <cell r="A72" t="str">
            <v>B074DW1MXR</v>
          </cell>
          <cell r="B72">
            <v>1</v>
          </cell>
          <cell r="C72">
            <v>2</v>
          </cell>
          <cell r="D72">
            <v>0</v>
          </cell>
          <cell r="E72">
            <v>1</v>
          </cell>
        </row>
        <row r="73">
          <cell r="A73" t="str">
            <v>B074DW2H3B</v>
          </cell>
          <cell r="B73">
            <v>0</v>
          </cell>
          <cell r="C73">
            <v>1</v>
          </cell>
          <cell r="D73">
            <v>2</v>
          </cell>
          <cell r="E73">
            <v>1</v>
          </cell>
        </row>
        <row r="74">
          <cell r="A74" t="str">
            <v>B074DW5ZSD</v>
          </cell>
          <cell r="B74">
            <v>0</v>
          </cell>
          <cell r="C74">
            <v>3</v>
          </cell>
          <cell r="D74">
            <v>0</v>
          </cell>
          <cell r="E74">
            <v>1</v>
          </cell>
        </row>
        <row r="75">
          <cell r="A75" t="str">
            <v>B074DW6NQD</v>
          </cell>
          <cell r="B75">
            <v>3</v>
          </cell>
          <cell r="C75">
            <v>2</v>
          </cell>
          <cell r="D75">
            <v>1</v>
          </cell>
          <cell r="E75">
            <v>1</v>
          </cell>
        </row>
        <row r="76">
          <cell r="A76" t="str">
            <v>B074DWBXBD</v>
          </cell>
          <cell r="B76">
            <v>2</v>
          </cell>
          <cell r="C76">
            <v>2</v>
          </cell>
          <cell r="D76">
            <v>1</v>
          </cell>
          <cell r="E76">
            <v>3</v>
          </cell>
        </row>
        <row r="77">
          <cell r="A77" t="str">
            <v>B074DWFHTM</v>
          </cell>
          <cell r="B77">
            <v>0</v>
          </cell>
          <cell r="C77">
            <v>3</v>
          </cell>
          <cell r="D77">
            <v>1</v>
          </cell>
          <cell r="E77">
            <v>2</v>
          </cell>
        </row>
        <row r="78">
          <cell r="A78" t="str">
            <v>B074DWGDMH</v>
          </cell>
          <cell r="B78">
            <v>1</v>
          </cell>
          <cell r="C78">
            <v>0</v>
          </cell>
          <cell r="D78">
            <v>0</v>
          </cell>
          <cell r="E78">
            <v>1</v>
          </cell>
        </row>
        <row r="79">
          <cell r="A79" t="str">
            <v>B074FJ37K7</v>
          </cell>
          <cell r="B79">
            <v>1</v>
          </cell>
          <cell r="C79">
            <v>1</v>
          </cell>
          <cell r="D79">
            <v>1</v>
          </cell>
          <cell r="E79">
            <v>1</v>
          </cell>
        </row>
        <row r="80">
          <cell r="A80" t="str">
            <v>B074FL1674</v>
          </cell>
          <cell r="B80">
            <v>7</v>
          </cell>
          <cell r="C80">
            <v>4</v>
          </cell>
          <cell r="D80">
            <v>2</v>
          </cell>
          <cell r="E80">
            <v>1</v>
          </cell>
        </row>
        <row r="81">
          <cell r="A81" t="str">
            <v>B074FP8NZF</v>
          </cell>
          <cell r="B81">
            <v>8</v>
          </cell>
          <cell r="C81">
            <v>19</v>
          </cell>
          <cell r="D81">
            <v>9</v>
          </cell>
          <cell r="E81">
            <v>20</v>
          </cell>
        </row>
        <row r="82">
          <cell r="A82" t="str">
            <v>B074FP8V7K</v>
          </cell>
          <cell r="B82">
            <v>7</v>
          </cell>
          <cell r="C82">
            <v>4</v>
          </cell>
          <cell r="D82">
            <v>4</v>
          </cell>
          <cell r="E82">
            <v>3</v>
          </cell>
        </row>
        <row r="83">
          <cell r="A83" t="str">
            <v>B074FPYB9N</v>
          </cell>
          <cell r="B83">
            <v>11</v>
          </cell>
          <cell r="C83">
            <v>5</v>
          </cell>
          <cell r="D83">
            <v>6</v>
          </cell>
          <cell r="E83">
            <v>2</v>
          </cell>
        </row>
        <row r="84">
          <cell r="A84" t="str">
            <v>B074FQ29ZR</v>
          </cell>
          <cell r="B84">
            <v>2</v>
          </cell>
          <cell r="C84">
            <v>1</v>
          </cell>
          <cell r="D84">
            <v>2</v>
          </cell>
          <cell r="E84">
            <v>1</v>
          </cell>
        </row>
        <row r="85">
          <cell r="A85" t="str">
            <v>B074FQ84QJ</v>
          </cell>
          <cell r="B85">
            <v>1</v>
          </cell>
          <cell r="C85">
            <v>0</v>
          </cell>
          <cell r="D85">
            <v>0</v>
          </cell>
          <cell r="E85">
            <v>1</v>
          </cell>
        </row>
        <row r="86">
          <cell r="A86" t="str">
            <v>B074FQSTJL</v>
          </cell>
          <cell r="B86">
            <v>16</v>
          </cell>
          <cell r="C86">
            <v>10</v>
          </cell>
          <cell r="D86">
            <v>8</v>
          </cell>
          <cell r="E86">
            <v>5</v>
          </cell>
        </row>
        <row r="87">
          <cell r="A87" t="str">
            <v>B074FQWCTK</v>
          </cell>
          <cell r="B87">
            <v>3</v>
          </cell>
          <cell r="C87">
            <v>1</v>
          </cell>
          <cell r="D87">
            <v>2</v>
          </cell>
          <cell r="E87">
            <v>2</v>
          </cell>
        </row>
        <row r="88">
          <cell r="A88" t="str">
            <v>B074FRWKSK</v>
          </cell>
          <cell r="B88">
            <v>1</v>
          </cell>
          <cell r="C88">
            <v>2</v>
          </cell>
          <cell r="D88">
            <v>0</v>
          </cell>
          <cell r="E88">
            <v>2</v>
          </cell>
        </row>
        <row r="89">
          <cell r="A89" t="str">
            <v>B074FRX8XF</v>
          </cell>
          <cell r="B89">
            <v>1</v>
          </cell>
          <cell r="C89">
            <v>0</v>
          </cell>
          <cell r="D89">
            <v>0</v>
          </cell>
          <cell r="E89">
            <v>2</v>
          </cell>
        </row>
        <row r="90">
          <cell r="A90" t="str">
            <v>B074FS9DHG</v>
          </cell>
          <cell r="B90">
            <v>0</v>
          </cell>
          <cell r="C90">
            <v>1</v>
          </cell>
          <cell r="D90">
            <v>0</v>
          </cell>
          <cell r="E90">
            <v>1</v>
          </cell>
        </row>
        <row r="91">
          <cell r="A91" t="str">
            <v>B074FSCZT2</v>
          </cell>
          <cell r="B91">
            <v>2</v>
          </cell>
          <cell r="C91">
            <v>2</v>
          </cell>
          <cell r="D91">
            <v>4</v>
          </cell>
          <cell r="E91">
            <v>1</v>
          </cell>
        </row>
        <row r="92">
          <cell r="A92" t="str">
            <v>B074FSGM8N</v>
          </cell>
          <cell r="B92">
            <v>2</v>
          </cell>
          <cell r="C92">
            <v>2</v>
          </cell>
          <cell r="D92">
            <v>0</v>
          </cell>
          <cell r="E92">
            <v>2</v>
          </cell>
        </row>
        <row r="93">
          <cell r="A93" t="str">
            <v>B074FSW752</v>
          </cell>
          <cell r="B93">
            <v>4</v>
          </cell>
          <cell r="C93">
            <v>1</v>
          </cell>
          <cell r="D93">
            <v>1</v>
          </cell>
          <cell r="E93">
            <v>1</v>
          </cell>
        </row>
        <row r="94">
          <cell r="A94" t="str">
            <v>B074FSXB2H</v>
          </cell>
          <cell r="B94">
            <v>3</v>
          </cell>
          <cell r="C94">
            <v>1</v>
          </cell>
          <cell r="D94">
            <v>3</v>
          </cell>
          <cell r="E94">
            <v>1</v>
          </cell>
        </row>
        <row r="95">
          <cell r="A95" t="str">
            <v>B074FSXVNK</v>
          </cell>
          <cell r="B95">
            <v>0</v>
          </cell>
          <cell r="C95">
            <v>1</v>
          </cell>
          <cell r="D95">
            <v>2</v>
          </cell>
          <cell r="E95">
            <v>2</v>
          </cell>
        </row>
        <row r="96">
          <cell r="A96" t="str">
            <v>B074FT3DCL</v>
          </cell>
          <cell r="B96">
            <v>1</v>
          </cell>
          <cell r="C96">
            <v>1</v>
          </cell>
          <cell r="D96">
            <v>0</v>
          </cell>
          <cell r="E96">
            <v>2</v>
          </cell>
        </row>
        <row r="97">
          <cell r="A97" t="str">
            <v>B074FT665V</v>
          </cell>
          <cell r="B97">
            <v>1</v>
          </cell>
          <cell r="C97">
            <v>1</v>
          </cell>
          <cell r="D97">
            <v>0</v>
          </cell>
          <cell r="E97">
            <v>1</v>
          </cell>
        </row>
        <row r="98">
          <cell r="A98" t="str">
            <v>B074FTB99W</v>
          </cell>
          <cell r="B98">
            <v>1</v>
          </cell>
          <cell r="C98">
            <v>1</v>
          </cell>
          <cell r="D98">
            <v>1</v>
          </cell>
          <cell r="E98">
            <v>1</v>
          </cell>
        </row>
        <row r="99">
          <cell r="A99" t="str">
            <v>B074FTCGDW</v>
          </cell>
          <cell r="B99">
            <v>2</v>
          </cell>
          <cell r="C99">
            <v>1</v>
          </cell>
          <cell r="D99">
            <v>0</v>
          </cell>
          <cell r="E99">
            <v>2</v>
          </cell>
        </row>
        <row r="100">
          <cell r="A100" t="str">
            <v>B074FTCSNQ</v>
          </cell>
          <cell r="B100">
            <v>2</v>
          </cell>
          <cell r="C100">
            <v>0</v>
          </cell>
          <cell r="D100">
            <v>2</v>
          </cell>
          <cell r="E100">
            <v>1</v>
          </cell>
        </row>
        <row r="101">
          <cell r="A101" t="str">
            <v>B074FTCSP4</v>
          </cell>
          <cell r="B101">
            <v>2</v>
          </cell>
          <cell r="C101">
            <v>2</v>
          </cell>
          <cell r="D101">
            <v>0</v>
          </cell>
          <cell r="E101">
            <v>1</v>
          </cell>
        </row>
        <row r="102">
          <cell r="A102" t="str">
            <v>B074FTW5DS</v>
          </cell>
          <cell r="B102">
            <v>2</v>
          </cell>
          <cell r="C102">
            <v>0</v>
          </cell>
          <cell r="D102">
            <v>1</v>
          </cell>
          <cell r="E102">
            <v>2</v>
          </cell>
        </row>
        <row r="103">
          <cell r="A103" t="str">
            <v>B074FTXNPM</v>
          </cell>
          <cell r="B103">
            <v>4</v>
          </cell>
          <cell r="C103">
            <v>1</v>
          </cell>
          <cell r="D103">
            <v>4</v>
          </cell>
          <cell r="E103">
            <v>1</v>
          </cell>
        </row>
        <row r="104">
          <cell r="A104" t="str">
            <v>B074FTZ9P4</v>
          </cell>
          <cell r="B104">
            <v>3</v>
          </cell>
          <cell r="C104">
            <v>2</v>
          </cell>
          <cell r="D104">
            <v>1</v>
          </cell>
          <cell r="E104">
            <v>1</v>
          </cell>
        </row>
        <row r="105">
          <cell r="A105" t="str">
            <v>B074FV2QSZ</v>
          </cell>
          <cell r="B105">
            <v>2</v>
          </cell>
          <cell r="C105">
            <v>3</v>
          </cell>
          <cell r="D105">
            <v>2</v>
          </cell>
          <cell r="E105">
            <v>2</v>
          </cell>
        </row>
        <row r="106">
          <cell r="A106" t="str">
            <v>B074FVCMHJ</v>
          </cell>
          <cell r="B106">
            <v>2</v>
          </cell>
          <cell r="C106">
            <v>2</v>
          </cell>
          <cell r="D106">
            <v>1</v>
          </cell>
          <cell r="E106">
            <v>2</v>
          </cell>
        </row>
        <row r="107">
          <cell r="A107" t="str">
            <v>B074FVGPRW</v>
          </cell>
          <cell r="B107">
            <v>2</v>
          </cell>
          <cell r="C107">
            <v>2</v>
          </cell>
          <cell r="D107">
            <v>0</v>
          </cell>
          <cell r="E107">
            <v>2</v>
          </cell>
        </row>
        <row r="108">
          <cell r="A108" t="str">
            <v>B074FVKNXW</v>
          </cell>
          <cell r="B108">
            <v>4</v>
          </cell>
          <cell r="C108">
            <v>2</v>
          </cell>
          <cell r="D108">
            <v>0</v>
          </cell>
          <cell r="E108">
            <v>2</v>
          </cell>
        </row>
        <row r="109">
          <cell r="A109" t="str">
            <v>B074FVPGVL</v>
          </cell>
          <cell r="B109">
            <v>3</v>
          </cell>
          <cell r="C109">
            <v>1</v>
          </cell>
          <cell r="D109">
            <v>1</v>
          </cell>
          <cell r="E109">
            <v>3</v>
          </cell>
        </row>
        <row r="110">
          <cell r="A110" t="str">
            <v>B074FVRK4X</v>
          </cell>
          <cell r="B110">
            <v>2</v>
          </cell>
          <cell r="C110">
            <v>1</v>
          </cell>
          <cell r="D110">
            <v>1</v>
          </cell>
          <cell r="E110">
            <v>3</v>
          </cell>
        </row>
        <row r="111">
          <cell r="A111" t="str">
            <v>B074FVVHPR</v>
          </cell>
          <cell r="B111">
            <v>4</v>
          </cell>
          <cell r="C111">
            <v>2</v>
          </cell>
          <cell r="D111">
            <v>1</v>
          </cell>
          <cell r="E111">
            <v>1</v>
          </cell>
        </row>
        <row r="112">
          <cell r="A112" t="str">
            <v>B074FW1DYK</v>
          </cell>
          <cell r="B112">
            <v>3</v>
          </cell>
          <cell r="C112">
            <v>2</v>
          </cell>
          <cell r="D112">
            <v>1</v>
          </cell>
          <cell r="E112">
            <v>1</v>
          </cell>
        </row>
        <row r="113">
          <cell r="A113" t="str">
            <v>B074FW2887</v>
          </cell>
          <cell r="B113">
            <v>0</v>
          </cell>
          <cell r="C113">
            <v>0</v>
          </cell>
          <cell r="D113">
            <v>0</v>
          </cell>
          <cell r="E113">
            <v>2</v>
          </cell>
        </row>
        <row r="114">
          <cell r="A114" t="str">
            <v>B074FW571Z</v>
          </cell>
          <cell r="B114">
            <v>3</v>
          </cell>
          <cell r="C114">
            <v>1</v>
          </cell>
          <cell r="D114">
            <v>0</v>
          </cell>
          <cell r="E114">
            <v>2</v>
          </cell>
        </row>
        <row r="115">
          <cell r="A115" t="str">
            <v>B074FW6SKT</v>
          </cell>
          <cell r="B115">
            <v>1</v>
          </cell>
          <cell r="C115">
            <v>2</v>
          </cell>
          <cell r="D115">
            <v>1</v>
          </cell>
          <cell r="E115">
            <v>1</v>
          </cell>
        </row>
        <row r="116">
          <cell r="A116" t="str">
            <v>B074FW8FGF</v>
          </cell>
          <cell r="B116">
            <v>2</v>
          </cell>
          <cell r="C116">
            <v>2</v>
          </cell>
          <cell r="D116">
            <v>1</v>
          </cell>
          <cell r="E116">
            <v>2</v>
          </cell>
        </row>
        <row r="117">
          <cell r="A117" t="str">
            <v>B074FWRNDY</v>
          </cell>
          <cell r="B117">
            <v>2</v>
          </cell>
          <cell r="C117">
            <v>2</v>
          </cell>
          <cell r="D117">
            <v>1</v>
          </cell>
          <cell r="E117">
            <v>1</v>
          </cell>
        </row>
        <row r="118">
          <cell r="A118" t="str">
            <v>B074FWT3JN</v>
          </cell>
          <cell r="B118">
            <v>1</v>
          </cell>
          <cell r="C118">
            <v>2</v>
          </cell>
          <cell r="D118">
            <v>1</v>
          </cell>
          <cell r="E118">
            <v>1</v>
          </cell>
        </row>
        <row r="119">
          <cell r="A119" t="str">
            <v>B074FX1CXN</v>
          </cell>
          <cell r="B119">
            <v>0</v>
          </cell>
          <cell r="C119">
            <v>5</v>
          </cell>
          <cell r="D119">
            <v>0</v>
          </cell>
          <cell r="E119">
            <v>2</v>
          </cell>
        </row>
        <row r="120">
          <cell r="A120" t="str">
            <v>B074FX3ZFZ</v>
          </cell>
          <cell r="B120">
            <v>1</v>
          </cell>
          <cell r="C120">
            <v>4</v>
          </cell>
          <cell r="D120">
            <v>0</v>
          </cell>
          <cell r="E120">
            <v>1</v>
          </cell>
        </row>
        <row r="121">
          <cell r="A121" t="str">
            <v>B074FX94G1</v>
          </cell>
          <cell r="B121">
            <v>1</v>
          </cell>
          <cell r="C121">
            <v>2</v>
          </cell>
          <cell r="D121">
            <v>2</v>
          </cell>
          <cell r="E121">
            <v>1</v>
          </cell>
        </row>
        <row r="122">
          <cell r="A122" t="str">
            <v>B074FXCYQT</v>
          </cell>
          <cell r="B122">
            <v>4</v>
          </cell>
          <cell r="C122">
            <v>1</v>
          </cell>
          <cell r="D122">
            <v>1</v>
          </cell>
          <cell r="E122">
            <v>2</v>
          </cell>
        </row>
        <row r="123">
          <cell r="A123" t="str">
            <v>B074FXLL7J</v>
          </cell>
          <cell r="B123">
            <v>1</v>
          </cell>
          <cell r="C123">
            <v>2</v>
          </cell>
          <cell r="D123">
            <v>2</v>
          </cell>
          <cell r="E123">
            <v>2</v>
          </cell>
        </row>
        <row r="124">
          <cell r="A124" t="str">
            <v>B074FXLSHW</v>
          </cell>
          <cell r="B124">
            <v>0</v>
          </cell>
          <cell r="C124">
            <v>1</v>
          </cell>
          <cell r="D124">
            <v>3</v>
          </cell>
          <cell r="E124">
            <v>2</v>
          </cell>
        </row>
        <row r="125">
          <cell r="A125" t="str">
            <v>B074FXM33R</v>
          </cell>
          <cell r="B125">
            <v>1</v>
          </cell>
          <cell r="C125">
            <v>2</v>
          </cell>
          <cell r="D125">
            <v>0</v>
          </cell>
          <cell r="E125">
            <v>1</v>
          </cell>
        </row>
        <row r="126">
          <cell r="A126" t="str">
            <v>B074FXMP5R</v>
          </cell>
          <cell r="B126">
            <v>0</v>
          </cell>
          <cell r="C126">
            <v>2</v>
          </cell>
          <cell r="D126">
            <v>3</v>
          </cell>
          <cell r="E126">
            <v>2</v>
          </cell>
        </row>
        <row r="127">
          <cell r="A127" t="str">
            <v>B074FXTKQH</v>
          </cell>
          <cell r="B127">
            <v>0</v>
          </cell>
          <cell r="C127">
            <v>2</v>
          </cell>
          <cell r="D127">
            <v>1</v>
          </cell>
          <cell r="E127">
            <v>1</v>
          </cell>
        </row>
        <row r="128">
          <cell r="A128" t="str">
            <v>B074FYG9SM</v>
          </cell>
          <cell r="B128">
            <v>0</v>
          </cell>
          <cell r="C128">
            <v>0</v>
          </cell>
          <cell r="D128">
            <v>0</v>
          </cell>
          <cell r="E128">
            <v>1</v>
          </cell>
        </row>
        <row r="129">
          <cell r="A129" t="str">
            <v>B074FZKWPJ</v>
          </cell>
          <cell r="B129">
            <v>2</v>
          </cell>
          <cell r="C129">
            <v>2</v>
          </cell>
          <cell r="D129">
            <v>3</v>
          </cell>
          <cell r="E129">
            <v>1</v>
          </cell>
        </row>
        <row r="130">
          <cell r="A130" t="str">
            <v>B074JTR9T4</v>
          </cell>
          <cell r="B130">
            <v>2</v>
          </cell>
          <cell r="C130">
            <v>4</v>
          </cell>
          <cell r="D130">
            <v>1</v>
          </cell>
          <cell r="E130">
            <v>2</v>
          </cell>
        </row>
        <row r="131">
          <cell r="A131" t="str">
            <v>B074JTW9NR</v>
          </cell>
          <cell r="B131">
            <v>2</v>
          </cell>
          <cell r="C131">
            <v>2</v>
          </cell>
          <cell r="D131">
            <v>2</v>
          </cell>
          <cell r="E131">
            <v>1</v>
          </cell>
        </row>
        <row r="132">
          <cell r="A132" t="str">
            <v>B074JV1QKT</v>
          </cell>
          <cell r="B132">
            <v>5</v>
          </cell>
          <cell r="C132">
            <v>2</v>
          </cell>
          <cell r="D132">
            <v>4</v>
          </cell>
          <cell r="E132">
            <v>1</v>
          </cell>
        </row>
        <row r="133">
          <cell r="A133" t="str">
            <v>B074JV7QWX</v>
          </cell>
          <cell r="B133">
            <v>3</v>
          </cell>
          <cell r="C133">
            <v>1</v>
          </cell>
          <cell r="D133">
            <v>2</v>
          </cell>
          <cell r="E133">
            <v>6</v>
          </cell>
        </row>
        <row r="134">
          <cell r="A134" t="str">
            <v>B074JVF4LK</v>
          </cell>
          <cell r="B134">
            <v>8</v>
          </cell>
          <cell r="C134">
            <v>5</v>
          </cell>
          <cell r="D134">
            <v>6</v>
          </cell>
          <cell r="E134">
            <v>1</v>
          </cell>
        </row>
        <row r="135">
          <cell r="A135" t="str">
            <v>B074JVMQRW</v>
          </cell>
          <cell r="B135">
            <v>3</v>
          </cell>
          <cell r="C135">
            <v>7</v>
          </cell>
          <cell r="D135">
            <v>3</v>
          </cell>
          <cell r="E135">
            <v>1</v>
          </cell>
        </row>
        <row r="136">
          <cell r="A136" t="str">
            <v>B074JW46DX</v>
          </cell>
          <cell r="B136">
            <v>2</v>
          </cell>
          <cell r="C136">
            <v>3</v>
          </cell>
          <cell r="D136">
            <v>4</v>
          </cell>
          <cell r="E136">
            <v>3</v>
          </cell>
        </row>
        <row r="137">
          <cell r="A137" t="str">
            <v>B074JW5XZ4</v>
          </cell>
          <cell r="B137">
            <v>5</v>
          </cell>
          <cell r="C137">
            <v>6</v>
          </cell>
          <cell r="D137">
            <v>9</v>
          </cell>
          <cell r="E137">
            <v>3</v>
          </cell>
        </row>
        <row r="138">
          <cell r="A138" t="str">
            <v>B074JW998T</v>
          </cell>
          <cell r="B138">
            <v>4</v>
          </cell>
          <cell r="C138">
            <v>2</v>
          </cell>
          <cell r="D138">
            <v>5</v>
          </cell>
          <cell r="E138">
            <v>1</v>
          </cell>
        </row>
        <row r="139">
          <cell r="A139" t="str">
            <v>B074JW9ZRS</v>
          </cell>
          <cell r="B139">
            <v>6</v>
          </cell>
          <cell r="C139">
            <v>4</v>
          </cell>
          <cell r="D139">
            <v>4</v>
          </cell>
          <cell r="E139">
            <v>3</v>
          </cell>
        </row>
        <row r="140">
          <cell r="A140" t="str">
            <v>B074JWL4F2</v>
          </cell>
          <cell r="B140">
            <v>4</v>
          </cell>
          <cell r="C140">
            <v>4</v>
          </cell>
          <cell r="D140">
            <v>3</v>
          </cell>
          <cell r="E140">
            <v>7</v>
          </cell>
        </row>
        <row r="141">
          <cell r="A141" t="str">
            <v>B074JWL6PF</v>
          </cell>
          <cell r="B141">
            <v>3</v>
          </cell>
          <cell r="C141">
            <v>4</v>
          </cell>
          <cell r="D141">
            <v>5</v>
          </cell>
          <cell r="E141">
            <v>1</v>
          </cell>
        </row>
        <row r="142">
          <cell r="A142" t="str">
            <v>B074JWS1CB</v>
          </cell>
          <cell r="B142">
            <v>4</v>
          </cell>
          <cell r="C142">
            <v>5</v>
          </cell>
          <cell r="D142">
            <v>4</v>
          </cell>
          <cell r="E142">
            <v>2</v>
          </cell>
        </row>
        <row r="143">
          <cell r="A143" t="str">
            <v>B074JX2YCN</v>
          </cell>
          <cell r="B143">
            <v>4</v>
          </cell>
          <cell r="C143">
            <v>5</v>
          </cell>
          <cell r="D143">
            <v>3</v>
          </cell>
          <cell r="E143">
            <v>2</v>
          </cell>
        </row>
        <row r="144">
          <cell r="A144" t="str">
            <v>B074JX2YCX</v>
          </cell>
          <cell r="B144">
            <v>4</v>
          </cell>
          <cell r="C144">
            <v>4</v>
          </cell>
          <cell r="D144">
            <v>2</v>
          </cell>
          <cell r="E144">
            <v>2</v>
          </cell>
        </row>
        <row r="145">
          <cell r="A145" t="str">
            <v>B074JXGVBD</v>
          </cell>
          <cell r="B145">
            <v>5</v>
          </cell>
          <cell r="C145">
            <v>2</v>
          </cell>
          <cell r="D145">
            <v>1</v>
          </cell>
          <cell r="E145">
            <v>1</v>
          </cell>
        </row>
        <row r="146">
          <cell r="A146" t="str">
            <v>B074JYD8F3</v>
          </cell>
          <cell r="B146">
            <v>0</v>
          </cell>
          <cell r="C146">
            <v>3</v>
          </cell>
          <cell r="D146">
            <v>3</v>
          </cell>
          <cell r="E146">
            <v>2</v>
          </cell>
        </row>
        <row r="147">
          <cell r="A147" t="str">
            <v>B074JYMHZL</v>
          </cell>
          <cell r="B147">
            <v>6</v>
          </cell>
          <cell r="C147">
            <v>4</v>
          </cell>
          <cell r="D147">
            <v>3</v>
          </cell>
          <cell r="E147">
            <v>5</v>
          </cell>
        </row>
        <row r="148">
          <cell r="A148" t="str">
            <v>B074JZ1THP</v>
          </cell>
          <cell r="B148">
            <v>7</v>
          </cell>
          <cell r="C148">
            <v>13</v>
          </cell>
          <cell r="D148">
            <v>2</v>
          </cell>
          <cell r="E148">
            <v>4</v>
          </cell>
        </row>
        <row r="149">
          <cell r="A149" t="str">
            <v>B074JZ42X6</v>
          </cell>
          <cell r="B149">
            <v>5</v>
          </cell>
          <cell r="C149">
            <v>2</v>
          </cell>
          <cell r="D149">
            <v>2</v>
          </cell>
          <cell r="E149">
            <v>1</v>
          </cell>
        </row>
        <row r="150">
          <cell r="A150" t="str">
            <v>B074K1JLQ3</v>
          </cell>
          <cell r="B150">
            <v>10</v>
          </cell>
          <cell r="C150">
            <v>8</v>
          </cell>
          <cell r="D150">
            <v>9</v>
          </cell>
          <cell r="E150">
            <v>7</v>
          </cell>
        </row>
        <row r="151">
          <cell r="A151" t="str">
            <v>B074K1L386</v>
          </cell>
          <cell r="B151">
            <v>3</v>
          </cell>
          <cell r="C151">
            <v>2</v>
          </cell>
          <cell r="D151">
            <v>5</v>
          </cell>
          <cell r="E151">
            <v>2</v>
          </cell>
        </row>
        <row r="152">
          <cell r="A152" t="str">
            <v>B074K24HL3</v>
          </cell>
          <cell r="B152">
            <v>3</v>
          </cell>
          <cell r="C152">
            <v>1</v>
          </cell>
          <cell r="D152">
            <v>1</v>
          </cell>
          <cell r="E152">
            <v>2</v>
          </cell>
        </row>
        <row r="153">
          <cell r="A153" t="str">
            <v>B074K26CND</v>
          </cell>
          <cell r="B153">
            <v>1</v>
          </cell>
          <cell r="C153">
            <v>2</v>
          </cell>
          <cell r="D153">
            <v>2</v>
          </cell>
          <cell r="E153">
            <v>4</v>
          </cell>
        </row>
        <row r="154">
          <cell r="A154" t="str">
            <v>B074K2GJCF</v>
          </cell>
          <cell r="B154">
            <v>4</v>
          </cell>
          <cell r="C154">
            <v>2</v>
          </cell>
          <cell r="D154">
            <v>2</v>
          </cell>
          <cell r="E154">
            <v>3</v>
          </cell>
        </row>
        <row r="155">
          <cell r="A155" t="str">
            <v>B074K2QJ5H</v>
          </cell>
          <cell r="B155">
            <v>4</v>
          </cell>
          <cell r="C155">
            <v>2</v>
          </cell>
          <cell r="D155">
            <v>1</v>
          </cell>
          <cell r="E155">
            <v>2</v>
          </cell>
        </row>
        <row r="156">
          <cell r="A156" t="str">
            <v>B074K2VQNZ</v>
          </cell>
          <cell r="B156">
            <v>4</v>
          </cell>
          <cell r="C156">
            <v>3</v>
          </cell>
          <cell r="D156">
            <v>4</v>
          </cell>
          <cell r="E156">
            <v>3</v>
          </cell>
        </row>
        <row r="157">
          <cell r="A157" t="str">
            <v>B074K3MSFD</v>
          </cell>
          <cell r="B157">
            <v>4</v>
          </cell>
          <cell r="C157">
            <v>3</v>
          </cell>
          <cell r="D157">
            <v>1</v>
          </cell>
          <cell r="E157">
            <v>2</v>
          </cell>
        </row>
        <row r="158">
          <cell r="A158" t="str">
            <v>B074K3VJ4G</v>
          </cell>
          <cell r="B158">
            <v>3</v>
          </cell>
          <cell r="C158">
            <v>2</v>
          </cell>
          <cell r="D158">
            <v>2</v>
          </cell>
          <cell r="E158">
            <v>1</v>
          </cell>
        </row>
        <row r="159">
          <cell r="A159" t="str">
            <v>B074K3YM47</v>
          </cell>
          <cell r="B159">
            <v>5</v>
          </cell>
          <cell r="C159">
            <v>2</v>
          </cell>
          <cell r="D159">
            <v>3</v>
          </cell>
          <cell r="E159">
            <v>1</v>
          </cell>
        </row>
        <row r="160">
          <cell r="A160" t="str">
            <v>B074K4DJKF</v>
          </cell>
          <cell r="B160">
            <v>3</v>
          </cell>
          <cell r="C160">
            <v>4</v>
          </cell>
          <cell r="D160">
            <v>0</v>
          </cell>
          <cell r="E160">
            <v>1</v>
          </cell>
        </row>
        <row r="161">
          <cell r="A161" t="str">
            <v>B074K4GLGJ</v>
          </cell>
          <cell r="B161">
            <v>3</v>
          </cell>
          <cell r="C161">
            <v>3</v>
          </cell>
          <cell r="D161">
            <v>6</v>
          </cell>
          <cell r="E161">
            <v>7</v>
          </cell>
        </row>
        <row r="162">
          <cell r="A162" t="str">
            <v>B074K4K838</v>
          </cell>
          <cell r="B162">
            <v>4</v>
          </cell>
          <cell r="C162">
            <v>4</v>
          </cell>
          <cell r="D162">
            <v>4</v>
          </cell>
          <cell r="E162">
            <v>5</v>
          </cell>
        </row>
        <row r="163">
          <cell r="A163" t="str">
            <v>B074K4N247</v>
          </cell>
          <cell r="B163">
            <v>4</v>
          </cell>
          <cell r="C163">
            <v>6</v>
          </cell>
          <cell r="D163">
            <v>3</v>
          </cell>
          <cell r="E163">
            <v>1</v>
          </cell>
        </row>
        <row r="164">
          <cell r="A164" t="str">
            <v>B074K53FDK</v>
          </cell>
          <cell r="B164">
            <v>2</v>
          </cell>
          <cell r="C164">
            <v>3</v>
          </cell>
          <cell r="D164">
            <v>1</v>
          </cell>
          <cell r="E164">
            <v>1</v>
          </cell>
        </row>
        <row r="165">
          <cell r="A165" t="str">
            <v>B074K5FMRM</v>
          </cell>
          <cell r="B165">
            <v>1</v>
          </cell>
          <cell r="C165">
            <v>1</v>
          </cell>
          <cell r="D165">
            <v>5</v>
          </cell>
          <cell r="E165">
            <v>1</v>
          </cell>
        </row>
        <row r="166">
          <cell r="A166" t="str">
            <v>B074NNZXDV</v>
          </cell>
          <cell r="B166">
            <v>3</v>
          </cell>
          <cell r="C166">
            <v>1</v>
          </cell>
          <cell r="D166">
            <v>2</v>
          </cell>
          <cell r="E166">
            <v>3</v>
          </cell>
        </row>
        <row r="167">
          <cell r="A167" t="str">
            <v>B074NQW76F</v>
          </cell>
          <cell r="B167">
            <v>1</v>
          </cell>
          <cell r="C167">
            <v>1</v>
          </cell>
          <cell r="D167">
            <v>2</v>
          </cell>
          <cell r="E167">
            <v>1</v>
          </cell>
        </row>
        <row r="168">
          <cell r="A168" t="str">
            <v>B074NWMYV7</v>
          </cell>
          <cell r="B168">
            <v>0</v>
          </cell>
          <cell r="C168">
            <v>3</v>
          </cell>
          <cell r="D168">
            <v>1</v>
          </cell>
          <cell r="E168">
            <v>1</v>
          </cell>
        </row>
        <row r="169">
          <cell r="A169" t="str">
            <v>B074NXL8BJ</v>
          </cell>
          <cell r="B169">
            <v>0</v>
          </cell>
          <cell r="C169">
            <v>3</v>
          </cell>
          <cell r="D169">
            <v>3</v>
          </cell>
          <cell r="E169">
            <v>2</v>
          </cell>
        </row>
        <row r="170">
          <cell r="A170" t="str">
            <v>B074NY9YM1</v>
          </cell>
          <cell r="B170">
            <v>2</v>
          </cell>
          <cell r="C170">
            <v>1</v>
          </cell>
          <cell r="D170">
            <v>0</v>
          </cell>
          <cell r="E170">
            <v>1</v>
          </cell>
        </row>
        <row r="171">
          <cell r="A171" t="str">
            <v>B074NYX45B</v>
          </cell>
          <cell r="B171">
            <v>0</v>
          </cell>
          <cell r="C171">
            <v>1</v>
          </cell>
          <cell r="D171">
            <v>1</v>
          </cell>
          <cell r="E171">
            <v>1</v>
          </cell>
        </row>
        <row r="172">
          <cell r="A172" t="str">
            <v>B074P1BLMD</v>
          </cell>
          <cell r="B172">
            <v>0</v>
          </cell>
          <cell r="C172">
            <v>2</v>
          </cell>
          <cell r="D172">
            <v>1</v>
          </cell>
          <cell r="E172">
            <v>1</v>
          </cell>
        </row>
        <row r="173">
          <cell r="A173" t="str">
            <v>B074P1H1SL</v>
          </cell>
          <cell r="B173">
            <v>1</v>
          </cell>
          <cell r="C173">
            <v>3</v>
          </cell>
          <cell r="D173">
            <v>3</v>
          </cell>
          <cell r="E173">
            <v>1</v>
          </cell>
        </row>
        <row r="174">
          <cell r="A174" t="str">
            <v>B074P2RFBZ</v>
          </cell>
          <cell r="B174">
            <v>0</v>
          </cell>
          <cell r="C174">
            <v>1</v>
          </cell>
          <cell r="D174">
            <v>3</v>
          </cell>
          <cell r="E174">
            <v>1</v>
          </cell>
        </row>
        <row r="175">
          <cell r="A175" t="str">
            <v>B074Q9CTNJ</v>
          </cell>
          <cell r="B175">
            <v>7</v>
          </cell>
          <cell r="C175">
            <v>4</v>
          </cell>
          <cell r="D175">
            <v>4</v>
          </cell>
          <cell r="E175">
            <v>1</v>
          </cell>
        </row>
        <row r="176">
          <cell r="A176" t="str">
            <v>B074Q9RQFH</v>
          </cell>
          <cell r="B176">
            <v>2</v>
          </cell>
          <cell r="C176">
            <v>3</v>
          </cell>
          <cell r="D176">
            <v>1</v>
          </cell>
          <cell r="E176">
            <v>2</v>
          </cell>
        </row>
        <row r="177">
          <cell r="A177" t="str">
            <v>B074Q9S43R</v>
          </cell>
          <cell r="B177">
            <v>22</v>
          </cell>
          <cell r="C177">
            <v>16</v>
          </cell>
          <cell r="D177">
            <v>15</v>
          </cell>
          <cell r="E177">
            <v>10</v>
          </cell>
        </row>
        <row r="178">
          <cell r="A178" t="str">
            <v>B074QCGCJC</v>
          </cell>
          <cell r="B178">
            <v>3</v>
          </cell>
          <cell r="C178">
            <v>6</v>
          </cell>
          <cell r="D178">
            <v>1</v>
          </cell>
          <cell r="E178">
            <v>3</v>
          </cell>
        </row>
        <row r="179">
          <cell r="A179" t="str">
            <v>B074QCYQ9L</v>
          </cell>
          <cell r="B179">
            <v>2</v>
          </cell>
          <cell r="C179">
            <v>9</v>
          </cell>
          <cell r="D179">
            <v>1</v>
          </cell>
          <cell r="E179">
            <v>1</v>
          </cell>
        </row>
        <row r="180">
          <cell r="A180" t="str">
            <v>B074QDS9ZN</v>
          </cell>
          <cell r="B180">
            <v>4</v>
          </cell>
          <cell r="C180">
            <v>5</v>
          </cell>
          <cell r="D180">
            <v>3</v>
          </cell>
          <cell r="E180">
            <v>3</v>
          </cell>
        </row>
        <row r="181">
          <cell r="A181" t="str">
            <v>B074QDSYXY</v>
          </cell>
          <cell r="B181">
            <v>6</v>
          </cell>
          <cell r="C181">
            <v>3</v>
          </cell>
          <cell r="D181">
            <v>4</v>
          </cell>
          <cell r="E181">
            <v>1</v>
          </cell>
        </row>
        <row r="182">
          <cell r="A182" t="str">
            <v>B074QFDH8R</v>
          </cell>
          <cell r="B182">
            <v>9</v>
          </cell>
          <cell r="C182">
            <v>7</v>
          </cell>
          <cell r="D182">
            <v>3</v>
          </cell>
          <cell r="E182">
            <v>2</v>
          </cell>
        </row>
        <row r="183">
          <cell r="A183" t="str">
            <v>B074QG3P8G</v>
          </cell>
          <cell r="B183">
            <v>3</v>
          </cell>
          <cell r="C183">
            <v>6</v>
          </cell>
          <cell r="D183">
            <v>2</v>
          </cell>
          <cell r="E183">
            <v>3</v>
          </cell>
        </row>
        <row r="184">
          <cell r="A184" t="str">
            <v>B074QGD61W</v>
          </cell>
          <cell r="B184">
            <v>3</v>
          </cell>
          <cell r="C184">
            <v>3</v>
          </cell>
          <cell r="D184">
            <v>1</v>
          </cell>
          <cell r="E184">
            <v>4</v>
          </cell>
        </row>
        <row r="185">
          <cell r="A185" t="str">
            <v>B074QGLLQN</v>
          </cell>
          <cell r="B185">
            <v>4</v>
          </cell>
          <cell r="C185">
            <v>3</v>
          </cell>
          <cell r="D185">
            <v>5</v>
          </cell>
          <cell r="E185">
            <v>3</v>
          </cell>
        </row>
        <row r="186">
          <cell r="A186" t="str">
            <v>B074QJ923S</v>
          </cell>
          <cell r="B186">
            <v>3</v>
          </cell>
          <cell r="C186">
            <v>5</v>
          </cell>
          <cell r="D186">
            <v>1</v>
          </cell>
          <cell r="E186">
            <v>2</v>
          </cell>
        </row>
        <row r="187">
          <cell r="A187" t="str">
            <v>B074QQ5S79</v>
          </cell>
          <cell r="B187">
            <v>2</v>
          </cell>
          <cell r="C187">
            <v>4</v>
          </cell>
          <cell r="D187">
            <v>1</v>
          </cell>
          <cell r="E187">
            <v>2</v>
          </cell>
        </row>
        <row r="188">
          <cell r="A188" t="str">
            <v>B0761MLYTQ</v>
          </cell>
          <cell r="B188">
            <v>1</v>
          </cell>
          <cell r="C188">
            <v>11</v>
          </cell>
          <cell r="D188">
            <v>4</v>
          </cell>
          <cell r="E188">
            <v>3</v>
          </cell>
        </row>
        <row r="189">
          <cell r="A189" t="str">
            <v>B0761MXCJB</v>
          </cell>
          <cell r="B189">
            <v>3</v>
          </cell>
          <cell r="C189">
            <v>9</v>
          </cell>
          <cell r="D189">
            <v>4</v>
          </cell>
          <cell r="E189">
            <v>8</v>
          </cell>
        </row>
        <row r="190">
          <cell r="A190" t="str">
            <v>B0761N286T</v>
          </cell>
          <cell r="B190">
            <v>3</v>
          </cell>
          <cell r="C190">
            <v>15</v>
          </cell>
          <cell r="D190">
            <v>16</v>
          </cell>
          <cell r="E190">
            <v>8</v>
          </cell>
        </row>
        <row r="191">
          <cell r="A191" t="str">
            <v>B0761N3HJ3</v>
          </cell>
          <cell r="B191">
            <v>3</v>
          </cell>
          <cell r="C191">
            <v>6</v>
          </cell>
          <cell r="D191">
            <v>5</v>
          </cell>
          <cell r="E191">
            <v>2</v>
          </cell>
        </row>
        <row r="192">
          <cell r="A192" t="str">
            <v>B0761N46BN</v>
          </cell>
          <cell r="B192">
            <v>2</v>
          </cell>
          <cell r="C192">
            <v>14</v>
          </cell>
          <cell r="D192">
            <v>14</v>
          </cell>
          <cell r="E192">
            <v>2</v>
          </cell>
        </row>
        <row r="193">
          <cell r="A193" t="str">
            <v>B0761NFQMT</v>
          </cell>
          <cell r="B193">
            <v>3</v>
          </cell>
          <cell r="C193">
            <v>17</v>
          </cell>
          <cell r="D193">
            <v>11</v>
          </cell>
          <cell r="E193">
            <v>5</v>
          </cell>
        </row>
        <row r="194">
          <cell r="A194" t="str">
            <v>B0761NFTQC</v>
          </cell>
          <cell r="B194">
            <v>4</v>
          </cell>
          <cell r="C194">
            <v>5</v>
          </cell>
          <cell r="D194">
            <v>4</v>
          </cell>
          <cell r="E194">
            <v>3</v>
          </cell>
        </row>
        <row r="195">
          <cell r="A195" t="str">
            <v>B0761NGWJD</v>
          </cell>
          <cell r="B195">
            <v>5</v>
          </cell>
          <cell r="C195">
            <v>6</v>
          </cell>
          <cell r="D195">
            <v>6</v>
          </cell>
          <cell r="E195">
            <v>5</v>
          </cell>
        </row>
        <row r="196">
          <cell r="A196" t="str">
            <v>B0761NGYTK</v>
          </cell>
          <cell r="B196">
            <v>3</v>
          </cell>
          <cell r="C196">
            <v>27</v>
          </cell>
          <cell r="D196">
            <v>19</v>
          </cell>
          <cell r="E196">
            <v>18</v>
          </cell>
        </row>
        <row r="197">
          <cell r="A197" t="str">
            <v>B0761NHB1Y</v>
          </cell>
          <cell r="B197">
            <v>3</v>
          </cell>
          <cell r="C197">
            <v>9</v>
          </cell>
          <cell r="D197">
            <v>6</v>
          </cell>
          <cell r="E197">
            <v>5</v>
          </cell>
        </row>
        <row r="198">
          <cell r="A198" t="str">
            <v>B0761NJPNM</v>
          </cell>
          <cell r="B198">
            <v>11</v>
          </cell>
          <cell r="C198">
            <v>26</v>
          </cell>
          <cell r="D198">
            <v>17</v>
          </cell>
          <cell r="E198">
            <v>15</v>
          </cell>
        </row>
        <row r="199">
          <cell r="A199" t="str">
            <v>B0761NM1NH</v>
          </cell>
          <cell r="B199">
            <v>8</v>
          </cell>
          <cell r="C199">
            <v>9</v>
          </cell>
          <cell r="D199">
            <v>6</v>
          </cell>
          <cell r="E199">
            <v>2</v>
          </cell>
        </row>
        <row r="200">
          <cell r="A200" t="str">
            <v>B0761NM3BZ</v>
          </cell>
          <cell r="B200">
            <v>52</v>
          </cell>
          <cell r="C200">
            <v>74</v>
          </cell>
          <cell r="D200">
            <v>69</v>
          </cell>
          <cell r="E200">
            <v>43</v>
          </cell>
        </row>
        <row r="201">
          <cell r="A201" t="str">
            <v>B0761NM3SZ</v>
          </cell>
          <cell r="B201">
            <v>8</v>
          </cell>
          <cell r="C201">
            <v>41</v>
          </cell>
          <cell r="D201">
            <v>23</v>
          </cell>
          <cell r="E201">
            <v>13</v>
          </cell>
        </row>
        <row r="202">
          <cell r="A202" t="str">
            <v>B0761NNDWM</v>
          </cell>
          <cell r="B202">
            <v>6</v>
          </cell>
          <cell r="C202">
            <v>13</v>
          </cell>
          <cell r="D202">
            <v>17</v>
          </cell>
          <cell r="E202">
            <v>19</v>
          </cell>
        </row>
        <row r="203">
          <cell r="A203" t="str">
            <v>B0761NNM84</v>
          </cell>
          <cell r="B203">
            <v>3</v>
          </cell>
          <cell r="C203">
            <v>19</v>
          </cell>
          <cell r="D203">
            <v>7</v>
          </cell>
          <cell r="E203">
            <v>10</v>
          </cell>
        </row>
        <row r="204">
          <cell r="A204" t="str">
            <v>B0761P4LK2</v>
          </cell>
          <cell r="B204">
            <v>6</v>
          </cell>
          <cell r="C204">
            <v>34</v>
          </cell>
          <cell r="D204">
            <v>15</v>
          </cell>
          <cell r="E204">
            <v>20</v>
          </cell>
        </row>
        <row r="205">
          <cell r="A205" t="str">
            <v>B0761P4LKC</v>
          </cell>
          <cell r="B205">
            <v>4</v>
          </cell>
          <cell r="C205">
            <v>19</v>
          </cell>
          <cell r="D205">
            <v>30</v>
          </cell>
          <cell r="E205">
            <v>50</v>
          </cell>
        </row>
        <row r="206">
          <cell r="A206" t="str">
            <v>B0761PBXCV</v>
          </cell>
          <cell r="B206">
            <v>3</v>
          </cell>
          <cell r="C206">
            <v>12</v>
          </cell>
          <cell r="D206">
            <v>6</v>
          </cell>
          <cell r="E206">
            <v>4</v>
          </cell>
        </row>
        <row r="207">
          <cell r="A207" t="str">
            <v>B0761PDHV5</v>
          </cell>
          <cell r="B207">
            <v>4</v>
          </cell>
          <cell r="C207">
            <v>5</v>
          </cell>
          <cell r="D207">
            <v>8</v>
          </cell>
          <cell r="E207">
            <v>3</v>
          </cell>
        </row>
        <row r="208">
          <cell r="A208" t="str">
            <v>B0761PDMGN</v>
          </cell>
          <cell r="B208">
            <v>5</v>
          </cell>
          <cell r="C208">
            <v>23</v>
          </cell>
          <cell r="D208">
            <v>25</v>
          </cell>
          <cell r="E208">
            <v>5</v>
          </cell>
        </row>
        <row r="209">
          <cell r="A209" t="str">
            <v>B0761PL2N2</v>
          </cell>
          <cell r="B209">
            <v>5</v>
          </cell>
          <cell r="C209">
            <v>12</v>
          </cell>
          <cell r="D209">
            <v>5</v>
          </cell>
          <cell r="E209">
            <v>3</v>
          </cell>
        </row>
        <row r="210">
          <cell r="A210" t="str">
            <v>B0761PSPTJ</v>
          </cell>
          <cell r="B210">
            <v>12</v>
          </cell>
          <cell r="C210">
            <v>7</v>
          </cell>
          <cell r="D210">
            <v>5</v>
          </cell>
          <cell r="E210">
            <v>8</v>
          </cell>
        </row>
        <row r="211">
          <cell r="A211" t="str">
            <v>B0761PTZY2</v>
          </cell>
          <cell r="B211">
            <v>4</v>
          </cell>
          <cell r="C211">
            <v>19</v>
          </cell>
          <cell r="D211">
            <v>8</v>
          </cell>
          <cell r="E211">
            <v>17</v>
          </cell>
        </row>
        <row r="212">
          <cell r="A212" t="str">
            <v>B0761PV952</v>
          </cell>
          <cell r="B212">
            <v>6</v>
          </cell>
          <cell r="C212">
            <v>12</v>
          </cell>
          <cell r="D212">
            <v>7</v>
          </cell>
          <cell r="E212">
            <v>6</v>
          </cell>
        </row>
        <row r="213">
          <cell r="A213" t="str">
            <v>B0761PWB12</v>
          </cell>
          <cell r="B213">
            <v>2</v>
          </cell>
          <cell r="C213">
            <v>6</v>
          </cell>
          <cell r="D213">
            <v>2</v>
          </cell>
          <cell r="E213">
            <v>4</v>
          </cell>
        </row>
        <row r="214">
          <cell r="A214" t="str">
            <v>B0761PXTK8</v>
          </cell>
          <cell r="B214">
            <v>4</v>
          </cell>
          <cell r="C214">
            <v>5</v>
          </cell>
          <cell r="D214">
            <v>9</v>
          </cell>
          <cell r="E214">
            <v>4</v>
          </cell>
        </row>
        <row r="215">
          <cell r="A215" t="str">
            <v>B0761Q4YF6</v>
          </cell>
          <cell r="B215">
            <v>8</v>
          </cell>
          <cell r="C215">
            <v>11</v>
          </cell>
          <cell r="D215">
            <v>9</v>
          </cell>
          <cell r="E215">
            <v>6</v>
          </cell>
        </row>
        <row r="216">
          <cell r="A216" t="str">
            <v>B0761Q7KPX</v>
          </cell>
          <cell r="B216">
            <v>5</v>
          </cell>
          <cell r="C216">
            <v>7</v>
          </cell>
          <cell r="D216">
            <v>10</v>
          </cell>
          <cell r="E216">
            <v>5</v>
          </cell>
        </row>
        <row r="217">
          <cell r="A217" t="str">
            <v>B0761Q9VPH</v>
          </cell>
          <cell r="B217">
            <v>9</v>
          </cell>
          <cell r="C217">
            <v>15</v>
          </cell>
          <cell r="D217">
            <v>5</v>
          </cell>
          <cell r="E217">
            <v>6</v>
          </cell>
        </row>
        <row r="218">
          <cell r="A218" t="str">
            <v>B0761QBHM9</v>
          </cell>
          <cell r="B218">
            <v>3</v>
          </cell>
          <cell r="C218">
            <v>5</v>
          </cell>
          <cell r="D218">
            <v>6</v>
          </cell>
          <cell r="E218">
            <v>2</v>
          </cell>
        </row>
        <row r="219">
          <cell r="A219" t="str">
            <v>B0761QW2JK</v>
          </cell>
          <cell r="B219">
            <v>7</v>
          </cell>
          <cell r="C219">
            <v>12</v>
          </cell>
          <cell r="D219">
            <v>4</v>
          </cell>
          <cell r="E219">
            <v>2</v>
          </cell>
        </row>
        <row r="220">
          <cell r="A220" t="str">
            <v>B0761R6ZG2</v>
          </cell>
          <cell r="B220">
            <v>6</v>
          </cell>
          <cell r="C220">
            <v>11</v>
          </cell>
          <cell r="D220">
            <v>11</v>
          </cell>
          <cell r="E220">
            <v>1</v>
          </cell>
        </row>
        <row r="221">
          <cell r="A221" t="str">
            <v>B0761R93J2</v>
          </cell>
          <cell r="B221">
            <v>3</v>
          </cell>
          <cell r="C221">
            <v>13</v>
          </cell>
          <cell r="D221">
            <v>9</v>
          </cell>
          <cell r="E221">
            <v>4</v>
          </cell>
        </row>
        <row r="222">
          <cell r="A222" t="str">
            <v>B0761S2M63</v>
          </cell>
          <cell r="B222">
            <v>5</v>
          </cell>
          <cell r="C222">
            <v>7</v>
          </cell>
          <cell r="D222">
            <v>6</v>
          </cell>
          <cell r="E222">
            <v>4</v>
          </cell>
        </row>
        <row r="223">
          <cell r="A223" t="str">
            <v>B0761SKR3P</v>
          </cell>
          <cell r="B223">
            <v>2</v>
          </cell>
          <cell r="C223">
            <v>17</v>
          </cell>
          <cell r="D223">
            <v>5</v>
          </cell>
          <cell r="E223">
            <v>6</v>
          </cell>
        </row>
        <row r="224">
          <cell r="A224" t="str">
            <v>B0761V7L2R</v>
          </cell>
          <cell r="B224">
            <v>3</v>
          </cell>
          <cell r="C224">
            <v>8</v>
          </cell>
          <cell r="D224">
            <v>4</v>
          </cell>
          <cell r="E224">
            <v>6</v>
          </cell>
        </row>
        <row r="225">
          <cell r="A225" t="str">
            <v>B078NN9LW4</v>
          </cell>
          <cell r="B225">
            <v>2</v>
          </cell>
          <cell r="C225">
            <v>3</v>
          </cell>
          <cell r="D225">
            <v>2</v>
          </cell>
          <cell r="E225">
            <v>5</v>
          </cell>
        </row>
        <row r="226">
          <cell r="A226" t="str">
            <v>B078NN9RD2</v>
          </cell>
          <cell r="B226">
            <v>3</v>
          </cell>
          <cell r="C226">
            <v>3</v>
          </cell>
          <cell r="D226">
            <v>5</v>
          </cell>
          <cell r="E226">
            <v>3</v>
          </cell>
        </row>
        <row r="227">
          <cell r="A227" t="str">
            <v>B078NNB2PQ</v>
          </cell>
          <cell r="B227">
            <v>9</v>
          </cell>
          <cell r="C227">
            <v>15</v>
          </cell>
          <cell r="D227">
            <v>10</v>
          </cell>
          <cell r="E227">
            <v>8</v>
          </cell>
        </row>
        <row r="228">
          <cell r="A228" t="str">
            <v>B078NNLWT7</v>
          </cell>
          <cell r="B228">
            <v>3</v>
          </cell>
          <cell r="C228">
            <v>4</v>
          </cell>
          <cell r="D228">
            <v>7</v>
          </cell>
          <cell r="E228">
            <v>2</v>
          </cell>
        </row>
        <row r="229">
          <cell r="A229" t="str">
            <v>B078NNNW7X</v>
          </cell>
          <cell r="B229">
            <v>3</v>
          </cell>
          <cell r="C229">
            <v>5</v>
          </cell>
          <cell r="D229">
            <v>2</v>
          </cell>
          <cell r="E229">
            <v>4</v>
          </cell>
        </row>
        <row r="230">
          <cell r="A230" t="str">
            <v>B078NNWT42</v>
          </cell>
          <cell r="B230">
            <v>2</v>
          </cell>
          <cell r="C230">
            <v>6</v>
          </cell>
          <cell r="D230">
            <v>2</v>
          </cell>
          <cell r="E230">
            <v>1</v>
          </cell>
        </row>
        <row r="231">
          <cell r="A231" t="str">
            <v>B078NNYW4V</v>
          </cell>
          <cell r="B231">
            <v>7</v>
          </cell>
          <cell r="C231">
            <v>10</v>
          </cell>
          <cell r="D231">
            <v>9</v>
          </cell>
          <cell r="E231">
            <v>11</v>
          </cell>
        </row>
        <row r="232">
          <cell r="A232" t="str">
            <v>B078NNZ9M6</v>
          </cell>
          <cell r="B232">
            <v>4</v>
          </cell>
          <cell r="C232">
            <v>7</v>
          </cell>
          <cell r="D232">
            <v>1</v>
          </cell>
          <cell r="E232">
            <v>4</v>
          </cell>
        </row>
        <row r="233">
          <cell r="A233" t="str">
            <v>B078NNZQ5Y</v>
          </cell>
          <cell r="B233">
            <v>5</v>
          </cell>
          <cell r="C233">
            <v>2</v>
          </cell>
          <cell r="D233">
            <v>2</v>
          </cell>
          <cell r="E233">
            <v>1</v>
          </cell>
        </row>
        <row r="234">
          <cell r="A234" t="str">
            <v>B078NNZWD6</v>
          </cell>
          <cell r="B234">
            <v>4</v>
          </cell>
          <cell r="C234">
            <v>7</v>
          </cell>
          <cell r="D234">
            <v>4</v>
          </cell>
          <cell r="E234">
            <v>6</v>
          </cell>
        </row>
        <row r="235">
          <cell r="A235" t="str">
            <v>B078NPBXD2</v>
          </cell>
          <cell r="B235">
            <v>5</v>
          </cell>
          <cell r="C235">
            <v>4</v>
          </cell>
          <cell r="D235">
            <v>0</v>
          </cell>
          <cell r="E235">
            <v>3</v>
          </cell>
        </row>
        <row r="236">
          <cell r="A236" t="str">
            <v>B078NPV9SY</v>
          </cell>
          <cell r="B236">
            <v>6</v>
          </cell>
          <cell r="C236">
            <v>13</v>
          </cell>
          <cell r="D236">
            <v>4</v>
          </cell>
          <cell r="E236">
            <v>3</v>
          </cell>
        </row>
        <row r="237">
          <cell r="A237" t="str">
            <v>B078NPVY5T</v>
          </cell>
          <cell r="B237">
            <v>3</v>
          </cell>
          <cell r="C237">
            <v>2</v>
          </cell>
          <cell r="D237">
            <v>5</v>
          </cell>
          <cell r="E237">
            <v>1</v>
          </cell>
        </row>
        <row r="238">
          <cell r="A238" t="str">
            <v>B078NQ7BCX</v>
          </cell>
          <cell r="B238">
            <v>6</v>
          </cell>
          <cell r="C238">
            <v>6</v>
          </cell>
          <cell r="D238">
            <v>10</v>
          </cell>
          <cell r="E238">
            <v>5</v>
          </cell>
        </row>
        <row r="239">
          <cell r="A239" t="str">
            <v>B078NQ8ZF7</v>
          </cell>
          <cell r="B239">
            <v>21</v>
          </cell>
          <cell r="C239">
            <v>16</v>
          </cell>
          <cell r="D239">
            <v>22</v>
          </cell>
          <cell r="E239">
            <v>13</v>
          </cell>
        </row>
        <row r="240">
          <cell r="A240" t="str">
            <v>B078NQ98JD</v>
          </cell>
          <cell r="B240">
            <v>1</v>
          </cell>
          <cell r="C240">
            <v>4</v>
          </cell>
          <cell r="D240">
            <v>5</v>
          </cell>
          <cell r="E240">
            <v>4</v>
          </cell>
        </row>
        <row r="241">
          <cell r="A241" t="str">
            <v>B078NQ9D6V</v>
          </cell>
          <cell r="B241">
            <v>2</v>
          </cell>
          <cell r="C241">
            <v>3</v>
          </cell>
          <cell r="D241">
            <v>5</v>
          </cell>
          <cell r="E241">
            <v>1</v>
          </cell>
        </row>
        <row r="242">
          <cell r="A242" t="str">
            <v>B078NQW8Y6</v>
          </cell>
          <cell r="B242">
            <v>0</v>
          </cell>
          <cell r="C242">
            <v>3</v>
          </cell>
          <cell r="D242">
            <v>6</v>
          </cell>
          <cell r="E242">
            <v>4</v>
          </cell>
        </row>
        <row r="243">
          <cell r="A243" t="str">
            <v>B078NQWBSV</v>
          </cell>
          <cell r="B243">
            <v>9</v>
          </cell>
          <cell r="C243">
            <v>13</v>
          </cell>
          <cell r="D243">
            <v>12</v>
          </cell>
          <cell r="E243">
            <v>12</v>
          </cell>
        </row>
        <row r="244">
          <cell r="A244" t="str">
            <v>B078NQZYP7</v>
          </cell>
          <cell r="B244">
            <v>2</v>
          </cell>
          <cell r="C244">
            <v>5</v>
          </cell>
          <cell r="D244">
            <v>11</v>
          </cell>
          <cell r="E244">
            <v>1</v>
          </cell>
        </row>
        <row r="245">
          <cell r="A245" t="str">
            <v>B078WPW9YL</v>
          </cell>
          <cell r="B245">
            <v>0</v>
          </cell>
          <cell r="C245">
            <v>3</v>
          </cell>
          <cell r="D245">
            <v>3</v>
          </cell>
          <cell r="E245">
            <v>4</v>
          </cell>
        </row>
        <row r="246">
          <cell r="A246" t="str">
            <v>B078WPYL96</v>
          </cell>
          <cell r="B246">
            <v>9</v>
          </cell>
          <cell r="C246">
            <v>7</v>
          </cell>
          <cell r="D246">
            <v>4</v>
          </cell>
          <cell r="E246">
            <v>4</v>
          </cell>
        </row>
        <row r="247">
          <cell r="A247" t="str">
            <v>B078WQCTTM</v>
          </cell>
          <cell r="B247">
            <v>0</v>
          </cell>
          <cell r="C247">
            <v>2</v>
          </cell>
          <cell r="D247">
            <v>9</v>
          </cell>
          <cell r="E247">
            <v>3</v>
          </cell>
        </row>
        <row r="248">
          <cell r="A248" t="str">
            <v>B078WQN4YQ</v>
          </cell>
          <cell r="B248">
            <v>1</v>
          </cell>
          <cell r="C248">
            <v>2</v>
          </cell>
          <cell r="D248">
            <v>1</v>
          </cell>
          <cell r="E248">
            <v>1</v>
          </cell>
        </row>
        <row r="249">
          <cell r="A249" t="str">
            <v>B078WQV8SF</v>
          </cell>
          <cell r="B249">
            <v>2</v>
          </cell>
          <cell r="C249">
            <v>3</v>
          </cell>
          <cell r="D249">
            <v>0</v>
          </cell>
          <cell r="E249">
            <v>2</v>
          </cell>
        </row>
        <row r="250">
          <cell r="A250" t="str">
            <v>B078WQVSNV</v>
          </cell>
          <cell r="B250">
            <v>1</v>
          </cell>
          <cell r="C250">
            <v>3</v>
          </cell>
          <cell r="D250">
            <v>2</v>
          </cell>
          <cell r="E250">
            <v>4</v>
          </cell>
        </row>
        <row r="251">
          <cell r="A251" t="str">
            <v>B078WQY3NM</v>
          </cell>
          <cell r="B251">
            <v>2</v>
          </cell>
          <cell r="C251">
            <v>2</v>
          </cell>
          <cell r="D251">
            <v>3</v>
          </cell>
          <cell r="E251">
            <v>5</v>
          </cell>
        </row>
        <row r="252">
          <cell r="A252" t="str">
            <v>B078WR3XZL</v>
          </cell>
          <cell r="B252">
            <v>1</v>
          </cell>
          <cell r="C252">
            <v>2</v>
          </cell>
          <cell r="D252">
            <v>3</v>
          </cell>
          <cell r="E252">
            <v>1</v>
          </cell>
        </row>
        <row r="253">
          <cell r="A253" t="str">
            <v>B078WR4F43</v>
          </cell>
          <cell r="B253">
            <v>1</v>
          </cell>
          <cell r="C253">
            <v>3</v>
          </cell>
          <cell r="D253">
            <v>1</v>
          </cell>
          <cell r="E253">
            <v>1</v>
          </cell>
        </row>
        <row r="254">
          <cell r="A254" t="str">
            <v>B078WR6PY8</v>
          </cell>
          <cell r="B254">
            <v>2</v>
          </cell>
          <cell r="C254">
            <v>9</v>
          </cell>
          <cell r="D254">
            <v>2</v>
          </cell>
          <cell r="E254">
            <v>2</v>
          </cell>
        </row>
        <row r="255">
          <cell r="A255" t="str">
            <v>B078WRLGFX</v>
          </cell>
          <cell r="B255">
            <v>1</v>
          </cell>
          <cell r="C255">
            <v>2</v>
          </cell>
          <cell r="D255">
            <v>0</v>
          </cell>
          <cell r="E255">
            <v>2</v>
          </cell>
        </row>
        <row r="256">
          <cell r="A256" t="str">
            <v>B078WRMSBV</v>
          </cell>
          <cell r="B256">
            <v>1</v>
          </cell>
          <cell r="C256">
            <v>1</v>
          </cell>
          <cell r="D256">
            <v>1</v>
          </cell>
          <cell r="E256">
            <v>1</v>
          </cell>
        </row>
        <row r="257">
          <cell r="A257" t="str">
            <v>B07B3TW6D2</v>
          </cell>
          <cell r="B257">
            <v>2</v>
          </cell>
          <cell r="C257">
            <v>2</v>
          </cell>
          <cell r="D257">
            <v>2</v>
          </cell>
          <cell r="E257">
            <v>2</v>
          </cell>
        </row>
        <row r="258">
          <cell r="A258" t="str">
            <v>B07B3TXJH7</v>
          </cell>
          <cell r="B258">
            <v>20</v>
          </cell>
          <cell r="C258">
            <v>13</v>
          </cell>
          <cell r="D258">
            <v>11</v>
          </cell>
          <cell r="E258">
            <v>2</v>
          </cell>
        </row>
        <row r="259">
          <cell r="A259" t="str">
            <v>B07B3V3BV5</v>
          </cell>
          <cell r="B259">
            <v>0</v>
          </cell>
          <cell r="C259">
            <v>4</v>
          </cell>
          <cell r="D259">
            <v>2</v>
          </cell>
          <cell r="E259">
            <v>3</v>
          </cell>
        </row>
        <row r="260">
          <cell r="A260" t="str">
            <v>B07B3V3G8H</v>
          </cell>
          <cell r="B260">
            <v>1</v>
          </cell>
          <cell r="C260">
            <v>3</v>
          </cell>
          <cell r="D260">
            <v>5</v>
          </cell>
          <cell r="E260">
            <v>1</v>
          </cell>
        </row>
        <row r="261">
          <cell r="A261" t="str">
            <v>B07BKNH45J</v>
          </cell>
          <cell r="B261">
            <v>4</v>
          </cell>
          <cell r="C261">
            <v>4</v>
          </cell>
          <cell r="D261">
            <v>4</v>
          </cell>
          <cell r="E261">
            <v>3</v>
          </cell>
        </row>
        <row r="262">
          <cell r="A262" t="str">
            <v>B07BKNWPWQ</v>
          </cell>
          <cell r="B262">
            <v>6</v>
          </cell>
          <cell r="C262">
            <v>8</v>
          </cell>
          <cell r="D262">
            <v>9</v>
          </cell>
          <cell r="E262">
            <v>3</v>
          </cell>
        </row>
        <row r="263">
          <cell r="A263" t="str">
            <v>B07BKPX8X2</v>
          </cell>
          <cell r="B263">
            <v>0</v>
          </cell>
          <cell r="C263">
            <v>3</v>
          </cell>
          <cell r="D263">
            <v>2</v>
          </cell>
          <cell r="E263">
            <v>3</v>
          </cell>
        </row>
        <row r="264">
          <cell r="A264" t="str">
            <v>B07BKQDRB2</v>
          </cell>
          <cell r="B264">
            <v>0</v>
          </cell>
          <cell r="C264">
            <v>2</v>
          </cell>
          <cell r="D264">
            <v>1</v>
          </cell>
          <cell r="E264">
            <v>4</v>
          </cell>
        </row>
        <row r="265">
          <cell r="A265" t="str">
            <v>B07BKQLKBG</v>
          </cell>
          <cell r="B265">
            <v>2</v>
          </cell>
          <cell r="C265">
            <v>3</v>
          </cell>
          <cell r="D265">
            <v>2</v>
          </cell>
          <cell r="E265">
            <v>2</v>
          </cell>
        </row>
        <row r="266">
          <cell r="A266" t="str">
            <v>B07BKQTYFV</v>
          </cell>
          <cell r="B266">
            <v>0</v>
          </cell>
          <cell r="C266">
            <v>1</v>
          </cell>
          <cell r="D266">
            <v>0</v>
          </cell>
          <cell r="E266">
            <v>1</v>
          </cell>
        </row>
        <row r="267">
          <cell r="A267" t="str">
            <v>B07BKR7DCF</v>
          </cell>
          <cell r="B267">
            <v>12</v>
          </cell>
          <cell r="C267">
            <v>6</v>
          </cell>
          <cell r="D267">
            <v>7</v>
          </cell>
          <cell r="E267">
            <v>6</v>
          </cell>
        </row>
        <row r="268">
          <cell r="A268" t="str">
            <v>B07BKR7DCG</v>
          </cell>
          <cell r="B268">
            <v>25</v>
          </cell>
          <cell r="C268">
            <v>15</v>
          </cell>
          <cell r="D268">
            <v>20</v>
          </cell>
          <cell r="E268">
            <v>21</v>
          </cell>
        </row>
        <row r="269">
          <cell r="A269" t="str">
            <v>B07BKR8D8Z</v>
          </cell>
          <cell r="B269">
            <v>18</v>
          </cell>
          <cell r="C269">
            <v>20</v>
          </cell>
          <cell r="D269">
            <v>3</v>
          </cell>
          <cell r="E269">
            <v>2</v>
          </cell>
        </row>
        <row r="270">
          <cell r="A270" t="str">
            <v>B07BKR9KYR</v>
          </cell>
          <cell r="B270">
            <v>19</v>
          </cell>
          <cell r="C270">
            <v>20</v>
          </cell>
          <cell r="D270">
            <v>14</v>
          </cell>
          <cell r="E270">
            <v>17</v>
          </cell>
        </row>
        <row r="271">
          <cell r="A271" t="str">
            <v>B07BKRLXJK</v>
          </cell>
          <cell r="B271">
            <v>2</v>
          </cell>
          <cell r="C271">
            <v>3</v>
          </cell>
          <cell r="D271">
            <v>0</v>
          </cell>
          <cell r="E271">
            <v>1</v>
          </cell>
        </row>
        <row r="272">
          <cell r="A272" t="str">
            <v>B07BKSWCR3</v>
          </cell>
          <cell r="B272">
            <v>4</v>
          </cell>
          <cell r="C272">
            <v>8</v>
          </cell>
          <cell r="D272">
            <v>1</v>
          </cell>
          <cell r="E272">
            <v>2</v>
          </cell>
        </row>
        <row r="273">
          <cell r="A273" t="str">
            <v>B07BKSX1D6</v>
          </cell>
          <cell r="B273">
            <v>1</v>
          </cell>
          <cell r="C273">
            <v>3</v>
          </cell>
          <cell r="D273">
            <v>0</v>
          </cell>
          <cell r="E273">
            <v>2</v>
          </cell>
        </row>
        <row r="274">
          <cell r="A274" t="str">
            <v>B07BKT1Y4D</v>
          </cell>
          <cell r="B274">
            <v>3</v>
          </cell>
          <cell r="C274">
            <v>5</v>
          </cell>
          <cell r="D274">
            <v>1</v>
          </cell>
          <cell r="E274">
            <v>4</v>
          </cell>
        </row>
        <row r="275">
          <cell r="A275" t="str">
            <v>B07BKTCPPS</v>
          </cell>
          <cell r="B275">
            <v>1</v>
          </cell>
          <cell r="C275">
            <v>1</v>
          </cell>
          <cell r="D275">
            <v>1</v>
          </cell>
          <cell r="E275">
            <v>2</v>
          </cell>
        </row>
        <row r="276">
          <cell r="A276" t="str">
            <v>B07BKTFWMH</v>
          </cell>
          <cell r="B276">
            <v>3</v>
          </cell>
          <cell r="C276">
            <v>2</v>
          </cell>
          <cell r="D276">
            <v>1</v>
          </cell>
          <cell r="E276">
            <v>2</v>
          </cell>
        </row>
        <row r="277">
          <cell r="A277" t="str">
            <v>B07BKTKK7K</v>
          </cell>
          <cell r="B277">
            <v>1</v>
          </cell>
          <cell r="C277">
            <v>5</v>
          </cell>
          <cell r="D277">
            <v>2</v>
          </cell>
          <cell r="E277">
            <v>4</v>
          </cell>
        </row>
        <row r="278">
          <cell r="A278" t="str">
            <v>B07BKTSQ1R</v>
          </cell>
          <cell r="B278">
            <v>2</v>
          </cell>
          <cell r="C278">
            <v>5</v>
          </cell>
          <cell r="D278">
            <v>2</v>
          </cell>
          <cell r="E278">
            <v>5</v>
          </cell>
        </row>
        <row r="279">
          <cell r="A279" t="str">
            <v>B07BKWBM9B</v>
          </cell>
          <cell r="B279">
            <v>2</v>
          </cell>
          <cell r="C279">
            <v>3</v>
          </cell>
          <cell r="D279">
            <v>0</v>
          </cell>
          <cell r="E279">
            <v>2</v>
          </cell>
        </row>
        <row r="280">
          <cell r="A280" t="str">
            <v>B07BKWNVLL</v>
          </cell>
          <cell r="B280">
            <v>4</v>
          </cell>
          <cell r="C280">
            <v>3</v>
          </cell>
          <cell r="D280">
            <v>3</v>
          </cell>
          <cell r="E280">
            <v>4</v>
          </cell>
        </row>
        <row r="281">
          <cell r="A281" t="str">
            <v>B07DC3CQDX</v>
          </cell>
          <cell r="B281">
            <v>10</v>
          </cell>
          <cell r="C281">
            <v>6</v>
          </cell>
          <cell r="D281">
            <v>10</v>
          </cell>
          <cell r="E281">
            <v>20</v>
          </cell>
        </row>
        <row r="282">
          <cell r="A282" t="str">
            <v>B07DG2NGBY</v>
          </cell>
          <cell r="B282">
            <v>124</v>
          </cell>
          <cell r="C282">
            <v>258</v>
          </cell>
          <cell r="D282">
            <v>220</v>
          </cell>
          <cell r="E282">
            <v>155</v>
          </cell>
        </row>
        <row r="283">
          <cell r="A283" t="str">
            <v>B073F2HG9P</v>
          </cell>
          <cell r="B283">
            <v>0</v>
          </cell>
          <cell r="C283">
            <v>1</v>
          </cell>
          <cell r="D283">
            <v>3</v>
          </cell>
          <cell r="E283">
            <v>0</v>
          </cell>
        </row>
        <row r="284">
          <cell r="A284" t="str">
            <v>B071JYNS5V</v>
          </cell>
          <cell r="B284">
            <v>7</v>
          </cell>
          <cell r="C284">
            <v>3</v>
          </cell>
          <cell r="D284">
            <v>1</v>
          </cell>
          <cell r="E284">
            <v>0</v>
          </cell>
        </row>
        <row r="285">
          <cell r="A285" t="str">
            <v>B071RNC571</v>
          </cell>
          <cell r="B285">
            <v>1</v>
          </cell>
          <cell r="C285">
            <v>2</v>
          </cell>
          <cell r="D285">
            <v>1</v>
          </cell>
          <cell r="E285">
            <v>0</v>
          </cell>
        </row>
        <row r="286">
          <cell r="A286" t="str">
            <v>B0721PYJL2</v>
          </cell>
          <cell r="B286">
            <v>2</v>
          </cell>
          <cell r="C286">
            <v>0</v>
          </cell>
          <cell r="D286">
            <v>2</v>
          </cell>
          <cell r="E286">
            <v>0</v>
          </cell>
        </row>
        <row r="287">
          <cell r="A287" t="str">
            <v>B072KH5Y75</v>
          </cell>
          <cell r="B287">
            <v>1</v>
          </cell>
          <cell r="C287">
            <v>0</v>
          </cell>
          <cell r="D287">
            <v>2</v>
          </cell>
          <cell r="E287">
            <v>0</v>
          </cell>
        </row>
        <row r="288">
          <cell r="A288" t="str">
            <v>B073W5J3FN</v>
          </cell>
          <cell r="B288">
            <v>2</v>
          </cell>
          <cell r="C288">
            <v>1</v>
          </cell>
          <cell r="D288">
            <v>1</v>
          </cell>
          <cell r="E288">
            <v>0</v>
          </cell>
        </row>
        <row r="289">
          <cell r="A289" t="str">
            <v>B073WTTKP4</v>
          </cell>
          <cell r="B289">
            <v>5</v>
          </cell>
          <cell r="C289">
            <v>1</v>
          </cell>
          <cell r="D289">
            <v>2</v>
          </cell>
          <cell r="E289">
            <v>0</v>
          </cell>
        </row>
        <row r="290">
          <cell r="A290" t="str">
            <v>B074CS535P</v>
          </cell>
          <cell r="B290">
            <v>1</v>
          </cell>
          <cell r="C290">
            <v>1</v>
          </cell>
          <cell r="D290">
            <v>3</v>
          </cell>
          <cell r="E290">
            <v>0</v>
          </cell>
        </row>
        <row r="291">
          <cell r="A291" t="str">
            <v>B074CSPJVW</v>
          </cell>
          <cell r="B291">
            <v>1</v>
          </cell>
          <cell r="C291">
            <v>3</v>
          </cell>
          <cell r="D291">
            <v>3</v>
          </cell>
          <cell r="E291">
            <v>0</v>
          </cell>
        </row>
        <row r="292">
          <cell r="A292" t="str">
            <v>B074CWLZDG</v>
          </cell>
          <cell r="B292">
            <v>2</v>
          </cell>
          <cell r="C292">
            <v>1</v>
          </cell>
          <cell r="D292">
            <v>1</v>
          </cell>
          <cell r="E292">
            <v>0</v>
          </cell>
        </row>
        <row r="293">
          <cell r="A293" t="str">
            <v>B074CWMB62</v>
          </cell>
          <cell r="B293">
            <v>2</v>
          </cell>
          <cell r="C293">
            <v>1</v>
          </cell>
          <cell r="D293">
            <v>1</v>
          </cell>
          <cell r="E293">
            <v>0</v>
          </cell>
        </row>
        <row r="294">
          <cell r="A294" t="str">
            <v>B074CWR3FL</v>
          </cell>
          <cell r="B294">
            <v>1</v>
          </cell>
          <cell r="C294">
            <v>2</v>
          </cell>
          <cell r="D294">
            <v>3</v>
          </cell>
          <cell r="E294">
            <v>0</v>
          </cell>
        </row>
        <row r="295">
          <cell r="A295" t="str">
            <v>B074CWTQW9</v>
          </cell>
          <cell r="B295">
            <v>1</v>
          </cell>
          <cell r="C295">
            <v>2</v>
          </cell>
          <cell r="D295">
            <v>2</v>
          </cell>
          <cell r="E295">
            <v>0</v>
          </cell>
        </row>
        <row r="296">
          <cell r="A296" t="str">
            <v>B074CWWB41</v>
          </cell>
          <cell r="B296">
            <v>2</v>
          </cell>
          <cell r="C296">
            <v>5</v>
          </cell>
          <cell r="D296">
            <v>1</v>
          </cell>
          <cell r="E296">
            <v>0</v>
          </cell>
        </row>
        <row r="297">
          <cell r="A297" t="str">
            <v>B074CWZG9L</v>
          </cell>
          <cell r="B297">
            <v>1</v>
          </cell>
          <cell r="C297">
            <v>1</v>
          </cell>
          <cell r="D297">
            <v>3</v>
          </cell>
          <cell r="E297">
            <v>0</v>
          </cell>
        </row>
        <row r="298">
          <cell r="A298" t="str">
            <v>B074CX451K</v>
          </cell>
          <cell r="B298">
            <v>3</v>
          </cell>
          <cell r="C298">
            <v>1</v>
          </cell>
          <cell r="D298">
            <v>1</v>
          </cell>
          <cell r="E298">
            <v>0</v>
          </cell>
        </row>
        <row r="299">
          <cell r="A299" t="str">
            <v>B074CX7NWQ</v>
          </cell>
          <cell r="B299">
            <v>3</v>
          </cell>
          <cell r="C299">
            <v>6</v>
          </cell>
          <cell r="D299">
            <v>2</v>
          </cell>
          <cell r="E299">
            <v>0</v>
          </cell>
        </row>
        <row r="300">
          <cell r="A300" t="str">
            <v>B074CX8YMH</v>
          </cell>
          <cell r="B300">
            <v>0</v>
          </cell>
          <cell r="C300">
            <v>5</v>
          </cell>
          <cell r="D300">
            <v>1</v>
          </cell>
          <cell r="E300">
            <v>0</v>
          </cell>
        </row>
        <row r="301">
          <cell r="A301" t="str">
            <v>B074CX95R8</v>
          </cell>
          <cell r="B301">
            <v>0</v>
          </cell>
          <cell r="C301">
            <v>3</v>
          </cell>
          <cell r="D301">
            <v>1</v>
          </cell>
          <cell r="E301">
            <v>0</v>
          </cell>
        </row>
        <row r="302">
          <cell r="A302" t="str">
            <v>B074CXHT3T</v>
          </cell>
          <cell r="B302">
            <v>1</v>
          </cell>
          <cell r="C302">
            <v>4</v>
          </cell>
          <cell r="D302">
            <v>1</v>
          </cell>
          <cell r="E302">
            <v>0</v>
          </cell>
        </row>
        <row r="303">
          <cell r="A303" t="str">
            <v>B074CXK4TV</v>
          </cell>
          <cell r="B303">
            <v>1</v>
          </cell>
          <cell r="C303">
            <v>4</v>
          </cell>
          <cell r="D303">
            <v>2</v>
          </cell>
          <cell r="E303">
            <v>0</v>
          </cell>
        </row>
        <row r="304">
          <cell r="A304" t="str">
            <v>B074CXP24Y</v>
          </cell>
          <cell r="B304">
            <v>1</v>
          </cell>
          <cell r="C304">
            <v>3</v>
          </cell>
          <cell r="D304">
            <v>1</v>
          </cell>
          <cell r="E304">
            <v>0</v>
          </cell>
        </row>
        <row r="305">
          <cell r="A305" t="str">
            <v>B074CXR8YG</v>
          </cell>
          <cell r="B305">
            <v>4</v>
          </cell>
          <cell r="C305">
            <v>3</v>
          </cell>
          <cell r="D305">
            <v>2</v>
          </cell>
          <cell r="E305">
            <v>0</v>
          </cell>
        </row>
        <row r="306">
          <cell r="A306" t="str">
            <v>B074CZ4S1V</v>
          </cell>
          <cell r="B306">
            <v>1</v>
          </cell>
          <cell r="C306">
            <v>2</v>
          </cell>
          <cell r="D306">
            <v>2</v>
          </cell>
          <cell r="E306">
            <v>0</v>
          </cell>
        </row>
        <row r="307">
          <cell r="A307" t="str">
            <v>B074DVZ847</v>
          </cell>
          <cell r="B307">
            <v>4</v>
          </cell>
          <cell r="C307">
            <v>1</v>
          </cell>
          <cell r="D307">
            <v>1</v>
          </cell>
          <cell r="E307">
            <v>0</v>
          </cell>
        </row>
        <row r="308">
          <cell r="A308" t="str">
            <v>B074DVZPS8</v>
          </cell>
          <cell r="B308">
            <v>1</v>
          </cell>
          <cell r="C308">
            <v>1</v>
          </cell>
          <cell r="D308">
            <v>1</v>
          </cell>
          <cell r="E308">
            <v>0</v>
          </cell>
        </row>
        <row r="309">
          <cell r="A309" t="str">
            <v>B074DW1685</v>
          </cell>
          <cell r="B309">
            <v>0</v>
          </cell>
          <cell r="C309">
            <v>1</v>
          </cell>
          <cell r="D309">
            <v>1</v>
          </cell>
          <cell r="E309">
            <v>0</v>
          </cell>
        </row>
        <row r="310">
          <cell r="A310" t="str">
            <v>B074DW2MGG</v>
          </cell>
          <cell r="B310">
            <v>1</v>
          </cell>
          <cell r="C310">
            <v>2</v>
          </cell>
          <cell r="D310">
            <v>2</v>
          </cell>
          <cell r="E310">
            <v>0</v>
          </cell>
        </row>
        <row r="311">
          <cell r="A311" t="str">
            <v>B074DWD9YY</v>
          </cell>
          <cell r="B311">
            <v>0</v>
          </cell>
          <cell r="C311">
            <v>2</v>
          </cell>
          <cell r="D311">
            <v>2</v>
          </cell>
          <cell r="E311">
            <v>0</v>
          </cell>
        </row>
        <row r="312">
          <cell r="A312" t="str">
            <v>B074DWFV62</v>
          </cell>
          <cell r="B312">
            <v>1</v>
          </cell>
          <cell r="C312">
            <v>1</v>
          </cell>
          <cell r="D312">
            <v>2</v>
          </cell>
          <cell r="E312">
            <v>0</v>
          </cell>
        </row>
        <row r="313">
          <cell r="A313" t="str">
            <v>B074DWLT99</v>
          </cell>
          <cell r="B313">
            <v>0</v>
          </cell>
          <cell r="C313">
            <v>1</v>
          </cell>
          <cell r="D313">
            <v>2</v>
          </cell>
          <cell r="E313">
            <v>0</v>
          </cell>
        </row>
        <row r="314">
          <cell r="A314" t="str">
            <v>B074FRC3TW</v>
          </cell>
          <cell r="B314">
            <v>1</v>
          </cell>
          <cell r="C314">
            <v>2</v>
          </cell>
          <cell r="D314">
            <v>1</v>
          </cell>
          <cell r="E314">
            <v>0</v>
          </cell>
        </row>
        <row r="315">
          <cell r="A315" t="str">
            <v>B074FSTDKH</v>
          </cell>
          <cell r="B315">
            <v>2</v>
          </cell>
          <cell r="C315">
            <v>1</v>
          </cell>
          <cell r="D315">
            <v>1</v>
          </cell>
          <cell r="E315">
            <v>0</v>
          </cell>
        </row>
        <row r="316">
          <cell r="A316" t="str">
            <v>B074FT3T2H</v>
          </cell>
          <cell r="B316">
            <v>1</v>
          </cell>
          <cell r="C316">
            <v>1</v>
          </cell>
          <cell r="D316">
            <v>1</v>
          </cell>
          <cell r="E316">
            <v>0</v>
          </cell>
        </row>
        <row r="317">
          <cell r="A317" t="str">
            <v>B074FTFWR7</v>
          </cell>
          <cell r="B317">
            <v>2</v>
          </cell>
          <cell r="C317">
            <v>1</v>
          </cell>
          <cell r="D317">
            <v>1</v>
          </cell>
          <cell r="E317">
            <v>0</v>
          </cell>
        </row>
        <row r="318">
          <cell r="A318" t="str">
            <v>B074FTPHX1</v>
          </cell>
          <cell r="B318">
            <v>0</v>
          </cell>
          <cell r="C318">
            <v>3</v>
          </cell>
          <cell r="D318">
            <v>2</v>
          </cell>
          <cell r="E318">
            <v>0</v>
          </cell>
        </row>
        <row r="319">
          <cell r="A319" t="str">
            <v>B074FTV42K</v>
          </cell>
          <cell r="B319">
            <v>3</v>
          </cell>
          <cell r="C319">
            <v>2</v>
          </cell>
          <cell r="D319">
            <v>2</v>
          </cell>
          <cell r="E319">
            <v>0</v>
          </cell>
        </row>
        <row r="320">
          <cell r="A320" t="str">
            <v>B074FTYZMD</v>
          </cell>
          <cell r="B320">
            <v>3</v>
          </cell>
          <cell r="C320">
            <v>1</v>
          </cell>
          <cell r="D320">
            <v>1</v>
          </cell>
          <cell r="E320">
            <v>0</v>
          </cell>
        </row>
        <row r="321">
          <cell r="A321" t="str">
            <v>B074FVYSML</v>
          </cell>
          <cell r="B321">
            <v>3</v>
          </cell>
          <cell r="C321">
            <v>1</v>
          </cell>
          <cell r="D321">
            <v>1</v>
          </cell>
          <cell r="E321">
            <v>0</v>
          </cell>
        </row>
        <row r="322">
          <cell r="A322" t="str">
            <v>B074FVZ2LG</v>
          </cell>
          <cell r="B322">
            <v>2</v>
          </cell>
          <cell r="C322">
            <v>1</v>
          </cell>
          <cell r="D322">
            <v>1</v>
          </cell>
          <cell r="E322">
            <v>0</v>
          </cell>
        </row>
        <row r="323">
          <cell r="A323" t="str">
            <v>B074FWGTNB</v>
          </cell>
          <cell r="B323">
            <v>2</v>
          </cell>
          <cell r="C323">
            <v>1</v>
          </cell>
          <cell r="D323">
            <v>1</v>
          </cell>
          <cell r="E323">
            <v>0</v>
          </cell>
        </row>
        <row r="324">
          <cell r="A324" t="str">
            <v>B074FWRY86</v>
          </cell>
          <cell r="B324">
            <v>1</v>
          </cell>
          <cell r="C324">
            <v>1</v>
          </cell>
          <cell r="D324">
            <v>2</v>
          </cell>
          <cell r="E324">
            <v>0</v>
          </cell>
        </row>
        <row r="325">
          <cell r="A325" t="str">
            <v>B074FX3HCW</v>
          </cell>
          <cell r="B325">
            <v>1</v>
          </cell>
          <cell r="C325">
            <v>4</v>
          </cell>
          <cell r="D325">
            <v>1</v>
          </cell>
          <cell r="E325">
            <v>0</v>
          </cell>
        </row>
        <row r="326">
          <cell r="A326" t="str">
            <v>B074FXSQV1</v>
          </cell>
          <cell r="B326">
            <v>0</v>
          </cell>
          <cell r="C326">
            <v>1</v>
          </cell>
          <cell r="D326">
            <v>1</v>
          </cell>
          <cell r="E326">
            <v>0</v>
          </cell>
        </row>
        <row r="327">
          <cell r="A327" t="str">
            <v>B074FXVQD5</v>
          </cell>
          <cell r="B327">
            <v>0</v>
          </cell>
          <cell r="C327">
            <v>1</v>
          </cell>
          <cell r="D327">
            <v>1</v>
          </cell>
          <cell r="E327">
            <v>0</v>
          </cell>
        </row>
        <row r="328">
          <cell r="A328" t="str">
            <v>B074FYL2WF</v>
          </cell>
          <cell r="B328">
            <v>0</v>
          </cell>
          <cell r="C328">
            <v>3</v>
          </cell>
          <cell r="D328">
            <v>1</v>
          </cell>
          <cell r="E328">
            <v>0</v>
          </cell>
        </row>
        <row r="329">
          <cell r="A329" t="str">
            <v>B074FYMTFF</v>
          </cell>
          <cell r="B329">
            <v>0</v>
          </cell>
          <cell r="C329">
            <v>2</v>
          </cell>
          <cell r="D329">
            <v>1</v>
          </cell>
          <cell r="E329">
            <v>0</v>
          </cell>
        </row>
        <row r="330">
          <cell r="A330" t="str">
            <v>B074FZHXMJ</v>
          </cell>
          <cell r="B330">
            <v>1</v>
          </cell>
          <cell r="C330">
            <v>2</v>
          </cell>
          <cell r="D330">
            <v>1</v>
          </cell>
          <cell r="E330">
            <v>0</v>
          </cell>
        </row>
        <row r="331">
          <cell r="A331" t="str">
            <v>B074FZYNXK</v>
          </cell>
          <cell r="B331">
            <v>0</v>
          </cell>
          <cell r="C331">
            <v>0</v>
          </cell>
          <cell r="D331">
            <v>2</v>
          </cell>
          <cell r="E331">
            <v>0</v>
          </cell>
        </row>
        <row r="332">
          <cell r="A332" t="str">
            <v>B074JV1QKR</v>
          </cell>
          <cell r="B332">
            <v>8</v>
          </cell>
          <cell r="C332">
            <v>0</v>
          </cell>
          <cell r="D332">
            <v>3</v>
          </cell>
          <cell r="E332">
            <v>0</v>
          </cell>
        </row>
        <row r="333">
          <cell r="A333" t="str">
            <v>B074JWQ644</v>
          </cell>
          <cell r="B333">
            <v>3</v>
          </cell>
          <cell r="C333">
            <v>7</v>
          </cell>
          <cell r="D333">
            <v>2</v>
          </cell>
          <cell r="E333">
            <v>0</v>
          </cell>
        </row>
        <row r="334">
          <cell r="A334" t="str">
            <v>B074JXFM38</v>
          </cell>
          <cell r="B334">
            <v>4</v>
          </cell>
          <cell r="C334">
            <v>4</v>
          </cell>
          <cell r="D334">
            <v>1</v>
          </cell>
          <cell r="E334">
            <v>0</v>
          </cell>
        </row>
        <row r="335">
          <cell r="A335" t="str">
            <v>B074JXHFTJ</v>
          </cell>
          <cell r="B335">
            <v>4</v>
          </cell>
          <cell r="C335">
            <v>4</v>
          </cell>
          <cell r="D335">
            <v>3</v>
          </cell>
          <cell r="E335">
            <v>0</v>
          </cell>
        </row>
        <row r="336">
          <cell r="A336" t="str">
            <v>B074JXZSJM</v>
          </cell>
          <cell r="B336">
            <v>4</v>
          </cell>
          <cell r="C336">
            <v>3</v>
          </cell>
          <cell r="D336">
            <v>2</v>
          </cell>
          <cell r="E336">
            <v>0</v>
          </cell>
        </row>
        <row r="337">
          <cell r="A337" t="str">
            <v>B074JXZYR5</v>
          </cell>
          <cell r="B337">
            <v>4</v>
          </cell>
          <cell r="C337">
            <v>7</v>
          </cell>
          <cell r="D337">
            <v>1</v>
          </cell>
          <cell r="E337">
            <v>0</v>
          </cell>
        </row>
        <row r="338">
          <cell r="A338" t="str">
            <v>B074JY1RXB</v>
          </cell>
          <cell r="B338">
            <v>2</v>
          </cell>
          <cell r="C338">
            <v>3</v>
          </cell>
          <cell r="D338">
            <v>1</v>
          </cell>
          <cell r="E338">
            <v>0</v>
          </cell>
        </row>
        <row r="339">
          <cell r="A339" t="str">
            <v>B074JY219R</v>
          </cell>
          <cell r="B339">
            <v>3</v>
          </cell>
          <cell r="C339">
            <v>3</v>
          </cell>
          <cell r="D339">
            <v>2</v>
          </cell>
          <cell r="E339">
            <v>0</v>
          </cell>
        </row>
        <row r="340">
          <cell r="A340" t="str">
            <v>B074JYYM5F</v>
          </cell>
          <cell r="B340">
            <v>3</v>
          </cell>
          <cell r="C340">
            <v>2</v>
          </cell>
          <cell r="D340">
            <v>1</v>
          </cell>
          <cell r="E340">
            <v>0</v>
          </cell>
        </row>
        <row r="341">
          <cell r="A341" t="str">
            <v>B074JZ2HSX</v>
          </cell>
          <cell r="B341">
            <v>3</v>
          </cell>
          <cell r="C341">
            <v>2</v>
          </cell>
          <cell r="D341">
            <v>3</v>
          </cell>
          <cell r="E341">
            <v>0</v>
          </cell>
        </row>
        <row r="342">
          <cell r="A342" t="str">
            <v>B074K4DJJR</v>
          </cell>
          <cell r="B342">
            <v>3</v>
          </cell>
          <cell r="C342">
            <v>3</v>
          </cell>
          <cell r="D342">
            <v>2</v>
          </cell>
          <cell r="E342">
            <v>0</v>
          </cell>
        </row>
        <row r="343">
          <cell r="A343" t="str">
            <v>B074NQW8FF</v>
          </cell>
          <cell r="B343">
            <v>0</v>
          </cell>
          <cell r="C343">
            <v>1</v>
          </cell>
          <cell r="D343">
            <v>3</v>
          </cell>
          <cell r="E343">
            <v>0</v>
          </cell>
        </row>
        <row r="344">
          <cell r="A344" t="str">
            <v>B074NXZPYK</v>
          </cell>
          <cell r="B344">
            <v>1</v>
          </cell>
          <cell r="C344">
            <v>2</v>
          </cell>
          <cell r="D344">
            <v>2</v>
          </cell>
          <cell r="E344">
            <v>0</v>
          </cell>
        </row>
        <row r="345">
          <cell r="A345" t="str">
            <v>B074NZSTV3</v>
          </cell>
          <cell r="B345">
            <v>0</v>
          </cell>
          <cell r="C345">
            <v>1</v>
          </cell>
          <cell r="D345">
            <v>4</v>
          </cell>
          <cell r="E345">
            <v>0</v>
          </cell>
        </row>
        <row r="346">
          <cell r="A346" t="str">
            <v>B0761S8TXR</v>
          </cell>
          <cell r="B346">
            <v>3</v>
          </cell>
          <cell r="C346">
            <v>5</v>
          </cell>
          <cell r="D346">
            <v>4</v>
          </cell>
          <cell r="E346">
            <v>0</v>
          </cell>
        </row>
        <row r="347">
          <cell r="A347" t="str">
            <v>B078NGPQK3</v>
          </cell>
          <cell r="B347">
            <v>5</v>
          </cell>
          <cell r="C347">
            <v>2</v>
          </cell>
          <cell r="D347">
            <v>1</v>
          </cell>
          <cell r="E347">
            <v>0</v>
          </cell>
        </row>
        <row r="348">
          <cell r="A348" t="str">
            <v>B078NQ6C6H</v>
          </cell>
          <cell r="B348">
            <v>7</v>
          </cell>
          <cell r="C348">
            <v>3</v>
          </cell>
          <cell r="D348">
            <v>2</v>
          </cell>
          <cell r="E348">
            <v>0</v>
          </cell>
        </row>
        <row r="349">
          <cell r="A349" t="str">
            <v>B078WQ3MJ9</v>
          </cell>
          <cell r="B349">
            <v>1</v>
          </cell>
          <cell r="C349">
            <v>5</v>
          </cell>
          <cell r="D349">
            <v>2</v>
          </cell>
          <cell r="E349">
            <v>0</v>
          </cell>
        </row>
        <row r="350">
          <cell r="A350" t="str">
            <v>B078WQMW23</v>
          </cell>
          <cell r="B350">
            <v>1</v>
          </cell>
          <cell r="C350">
            <v>3</v>
          </cell>
          <cell r="D350">
            <v>1</v>
          </cell>
          <cell r="E350">
            <v>0</v>
          </cell>
        </row>
        <row r="351">
          <cell r="A351" t="str">
            <v>B07BKRPH4T</v>
          </cell>
          <cell r="B351">
            <v>1</v>
          </cell>
          <cell r="C351">
            <v>4</v>
          </cell>
          <cell r="D351">
            <v>1</v>
          </cell>
          <cell r="E351">
            <v>0</v>
          </cell>
        </row>
        <row r="352">
          <cell r="A352" t="str">
            <v>B07BKS4NK1</v>
          </cell>
          <cell r="B352">
            <v>5</v>
          </cell>
          <cell r="C352">
            <v>5</v>
          </cell>
          <cell r="D352">
            <v>1</v>
          </cell>
          <cell r="E352">
            <v>0</v>
          </cell>
        </row>
        <row r="353">
          <cell r="A353" t="str">
            <v>B07BKTLC85</v>
          </cell>
          <cell r="B353">
            <v>1</v>
          </cell>
          <cell r="C353">
            <v>6</v>
          </cell>
          <cell r="D353">
            <v>6</v>
          </cell>
          <cell r="E353">
            <v>0</v>
          </cell>
        </row>
        <row r="354">
          <cell r="A354" t="str">
            <v>B073F1HX4C</v>
          </cell>
          <cell r="B354">
            <v>2</v>
          </cell>
          <cell r="C354">
            <v>1</v>
          </cell>
          <cell r="D354">
            <v>0</v>
          </cell>
          <cell r="E354">
            <v>0</v>
          </cell>
        </row>
        <row r="355">
          <cell r="A355" t="str">
            <v>B073F2WTJX</v>
          </cell>
          <cell r="B355">
            <v>0</v>
          </cell>
          <cell r="C355">
            <v>4</v>
          </cell>
          <cell r="D355">
            <v>0</v>
          </cell>
          <cell r="E355">
            <v>0</v>
          </cell>
        </row>
        <row r="356">
          <cell r="A356" t="str">
            <v>B073W69WZK</v>
          </cell>
          <cell r="B356">
            <v>1</v>
          </cell>
          <cell r="C356">
            <v>1</v>
          </cell>
          <cell r="D356">
            <v>0</v>
          </cell>
          <cell r="E356">
            <v>0</v>
          </cell>
        </row>
        <row r="357">
          <cell r="A357" t="str">
            <v>B073WTQ7YC</v>
          </cell>
          <cell r="B357">
            <v>4</v>
          </cell>
          <cell r="C357">
            <v>1</v>
          </cell>
          <cell r="D357">
            <v>0</v>
          </cell>
          <cell r="E357">
            <v>0</v>
          </cell>
        </row>
        <row r="358">
          <cell r="A358" t="str">
            <v>B074CSCRF6</v>
          </cell>
          <cell r="B358">
            <v>1</v>
          </cell>
          <cell r="C358">
            <v>2</v>
          </cell>
          <cell r="D358">
            <v>0</v>
          </cell>
          <cell r="E358">
            <v>0</v>
          </cell>
        </row>
        <row r="359">
          <cell r="A359" t="str">
            <v>B074CWMB5Z</v>
          </cell>
          <cell r="B359">
            <v>3</v>
          </cell>
          <cell r="C359">
            <v>1</v>
          </cell>
          <cell r="D359">
            <v>0</v>
          </cell>
          <cell r="E359">
            <v>0</v>
          </cell>
        </row>
        <row r="360">
          <cell r="A360" t="str">
            <v>B074CWTBK6</v>
          </cell>
          <cell r="B360">
            <v>2</v>
          </cell>
          <cell r="C360">
            <v>2</v>
          </cell>
          <cell r="D360">
            <v>0</v>
          </cell>
          <cell r="E360">
            <v>0</v>
          </cell>
        </row>
        <row r="361">
          <cell r="A361" t="str">
            <v>B074CX22LX</v>
          </cell>
          <cell r="B361">
            <v>2</v>
          </cell>
          <cell r="C361">
            <v>1</v>
          </cell>
          <cell r="D361">
            <v>0</v>
          </cell>
          <cell r="E361">
            <v>0</v>
          </cell>
        </row>
        <row r="362">
          <cell r="A362" t="str">
            <v>B074CX4VVP</v>
          </cell>
          <cell r="B362">
            <v>2</v>
          </cell>
          <cell r="C362">
            <v>3</v>
          </cell>
          <cell r="D362">
            <v>0</v>
          </cell>
          <cell r="E362">
            <v>0</v>
          </cell>
        </row>
        <row r="363">
          <cell r="A363" t="str">
            <v>B074CX9229</v>
          </cell>
          <cell r="B363">
            <v>0</v>
          </cell>
          <cell r="C363">
            <v>3</v>
          </cell>
          <cell r="D363">
            <v>0</v>
          </cell>
          <cell r="E363">
            <v>0</v>
          </cell>
        </row>
        <row r="364">
          <cell r="A364" t="str">
            <v>B074DVW5HC</v>
          </cell>
          <cell r="B364">
            <v>1</v>
          </cell>
          <cell r="C364">
            <v>1</v>
          </cell>
          <cell r="D364">
            <v>0</v>
          </cell>
          <cell r="E364">
            <v>0</v>
          </cell>
        </row>
        <row r="365">
          <cell r="A365" t="str">
            <v>B074DVY5J8</v>
          </cell>
          <cell r="B365">
            <v>0</v>
          </cell>
          <cell r="C365">
            <v>2</v>
          </cell>
          <cell r="D365">
            <v>0</v>
          </cell>
          <cell r="E365">
            <v>0</v>
          </cell>
        </row>
        <row r="366">
          <cell r="A366" t="str">
            <v>B074DVY6FY</v>
          </cell>
          <cell r="B366">
            <v>1</v>
          </cell>
          <cell r="C366">
            <v>2</v>
          </cell>
          <cell r="D366">
            <v>0</v>
          </cell>
          <cell r="E366">
            <v>0</v>
          </cell>
        </row>
        <row r="367">
          <cell r="A367" t="str">
            <v>B074DW168F</v>
          </cell>
          <cell r="B367">
            <v>4</v>
          </cell>
          <cell r="C367">
            <v>3</v>
          </cell>
          <cell r="D367">
            <v>0</v>
          </cell>
          <cell r="E367">
            <v>0</v>
          </cell>
        </row>
        <row r="368">
          <cell r="A368" t="str">
            <v>B074DW274J</v>
          </cell>
          <cell r="B368">
            <v>1</v>
          </cell>
          <cell r="C368">
            <v>2</v>
          </cell>
          <cell r="D368">
            <v>0</v>
          </cell>
          <cell r="E368">
            <v>0</v>
          </cell>
        </row>
        <row r="369">
          <cell r="A369" t="str">
            <v>B074DW2BY6</v>
          </cell>
          <cell r="B369">
            <v>1</v>
          </cell>
          <cell r="C369">
            <v>2</v>
          </cell>
          <cell r="D369">
            <v>0</v>
          </cell>
          <cell r="E369">
            <v>0</v>
          </cell>
        </row>
        <row r="370">
          <cell r="A370" t="str">
            <v>B074DW762P</v>
          </cell>
          <cell r="B370">
            <v>0</v>
          </cell>
          <cell r="C370">
            <v>5</v>
          </cell>
          <cell r="D370">
            <v>0</v>
          </cell>
          <cell r="E370">
            <v>0</v>
          </cell>
        </row>
        <row r="371">
          <cell r="A371" t="str">
            <v>B074FPR99C</v>
          </cell>
          <cell r="B371">
            <v>1</v>
          </cell>
          <cell r="C371">
            <v>2</v>
          </cell>
          <cell r="D371">
            <v>0</v>
          </cell>
          <cell r="E371">
            <v>0</v>
          </cell>
        </row>
        <row r="372">
          <cell r="A372" t="str">
            <v>B074FR8NL9</v>
          </cell>
          <cell r="B372">
            <v>2</v>
          </cell>
          <cell r="C372">
            <v>1</v>
          </cell>
          <cell r="D372">
            <v>0</v>
          </cell>
          <cell r="E372">
            <v>0</v>
          </cell>
        </row>
        <row r="373">
          <cell r="A373" t="str">
            <v>B074FSD3R1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</row>
        <row r="374">
          <cell r="A374" t="str">
            <v>B074FV1TSD</v>
          </cell>
          <cell r="B374">
            <v>0</v>
          </cell>
          <cell r="C374">
            <v>1</v>
          </cell>
          <cell r="D374">
            <v>0</v>
          </cell>
          <cell r="E374">
            <v>0</v>
          </cell>
        </row>
        <row r="375">
          <cell r="A375" t="str">
            <v>B074FVVYW2</v>
          </cell>
          <cell r="B375">
            <v>3</v>
          </cell>
          <cell r="C375">
            <v>3</v>
          </cell>
          <cell r="D375">
            <v>0</v>
          </cell>
          <cell r="E375">
            <v>0</v>
          </cell>
        </row>
        <row r="376">
          <cell r="A376" t="str">
            <v>B074FW623M</v>
          </cell>
          <cell r="B376">
            <v>1</v>
          </cell>
          <cell r="C376">
            <v>1</v>
          </cell>
          <cell r="D376">
            <v>0</v>
          </cell>
          <cell r="E376">
            <v>0</v>
          </cell>
        </row>
        <row r="377">
          <cell r="A377" t="str">
            <v>B074FWJYDS</v>
          </cell>
          <cell r="B377">
            <v>2</v>
          </cell>
          <cell r="C377">
            <v>1</v>
          </cell>
          <cell r="D377">
            <v>0</v>
          </cell>
          <cell r="E377">
            <v>0</v>
          </cell>
        </row>
        <row r="378">
          <cell r="A378" t="str">
            <v>B074JXQX4Z</v>
          </cell>
          <cell r="B378">
            <v>4</v>
          </cell>
          <cell r="C378">
            <v>5</v>
          </cell>
          <cell r="D378">
            <v>0</v>
          </cell>
          <cell r="E378">
            <v>0</v>
          </cell>
        </row>
        <row r="379">
          <cell r="A379" t="str">
            <v>B074K1913X</v>
          </cell>
          <cell r="B379">
            <v>5</v>
          </cell>
          <cell r="C379">
            <v>1</v>
          </cell>
          <cell r="D379">
            <v>0</v>
          </cell>
          <cell r="E379">
            <v>0</v>
          </cell>
        </row>
        <row r="380">
          <cell r="A380" t="str">
            <v>B078NQ2LH1</v>
          </cell>
          <cell r="B380">
            <v>6</v>
          </cell>
          <cell r="C380">
            <v>2</v>
          </cell>
          <cell r="D380">
            <v>0</v>
          </cell>
          <cell r="E380">
            <v>0</v>
          </cell>
        </row>
        <row r="381">
          <cell r="A381" t="str">
            <v>B078WQHD98</v>
          </cell>
          <cell r="B381">
            <v>3</v>
          </cell>
          <cell r="C381">
            <v>4</v>
          </cell>
          <cell r="D381">
            <v>0</v>
          </cell>
          <cell r="E381">
            <v>0</v>
          </cell>
        </row>
        <row r="382">
          <cell r="A382" t="str">
            <v>B07BKVPJ6Q</v>
          </cell>
          <cell r="B382">
            <v>1</v>
          </cell>
          <cell r="C382">
            <v>3</v>
          </cell>
          <cell r="D382">
            <v>0</v>
          </cell>
          <cell r="E382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>
        <row r="1">
          <cell r="A1" t="str">
            <v>子SKU</v>
          </cell>
          <cell r="B1" t="str">
            <v>子ASIN</v>
          </cell>
        </row>
        <row r="2">
          <cell r="A2" t="str">
            <v>DDBNYW0</v>
          </cell>
          <cell r="B2" t="str">
            <v>B074FPYB9N</v>
          </cell>
        </row>
        <row r="3">
          <cell r="A3" t="str">
            <v>DDHNYK0</v>
          </cell>
          <cell r="B3" t="str">
            <v>B074FP8NZF</v>
          </cell>
        </row>
        <row r="4">
          <cell r="A4" t="str">
            <v>GJHNYK0</v>
          </cell>
          <cell r="B4" t="str">
            <v>B074FQSTJL</v>
          </cell>
        </row>
        <row r="5">
          <cell r="A5" t="str">
            <v>HLYHMYSG</v>
          </cell>
          <cell r="B5" t="str">
            <v>B0761NFQMT</v>
          </cell>
        </row>
        <row r="6">
          <cell r="A6" t="str">
            <v>JBL-QFFMMHL</v>
          </cell>
          <cell r="B6" t="str">
            <v>B073F2HG9P</v>
          </cell>
        </row>
        <row r="7">
          <cell r="A7" t="str">
            <v>JBL-QFFMMHM</v>
          </cell>
          <cell r="B7" t="str">
            <v>B073F2WTJX</v>
          </cell>
        </row>
        <row r="8">
          <cell r="A8" t="str">
            <v>JBL-QFFMMHS</v>
          </cell>
          <cell r="B8" t="str">
            <v>B073F35WHV</v>
          </cell>
        </row>
        <row r="9">
          <cell r="A9" t="str">
            <v>JBL-QFFMMHXL</v>
          </cell>
          <cell r="B9" t="str">
            <v>B073F2M56J</v>
          </cell>
        </row>
        <row r="10">
          <cell r="A10" t="str">
            <v>JBL-QFFMMHXXL</v>
          </cell>
          <cell r="B10" t="str">
            <v>B073F3JBY6</v>
          </cell>
        </row>
        <row r="11">
          <cell r="A11" t="str">
            <v>JBL-QFFMR5L</v>
          </cell>
          <cell r="B11" t="str">
            <v>B073F29B28</v>
          </cell>
        </row>
        <row r="12">
          <cell r="A12" t="str">
            <v>JBL-QFFMR5M</v>
          </cell>
          <cell r="B12" t="str">
            <v>B073F2QMQK</v>
          </cell>
        </row>
        <row r="13">
          <cell r="A13" t="str">
            <v>JBL-QFFMR5S</v>
          </cell>
          <cell r="B13" t="str">
            <v>B073F1L1DN</v>
          </cell>
        </row>
        <row r="14">
          <cell r="A14" t="str">
            <v>JBL-QFFMR5XL</v>
          </cell>
          <cell r="B14" t="str">
            <v>B073F1HX4C</v>
          </cell>
        </row>
        <row r="15">
          <cell r="A15" t="str">
            <v>JBL-QFFMR5XXL</v>
          </cell>
          <cell r="B15" t="str">
            <v>B073F4G8B1</v>
          </cell>
        </row>
        <row r="16">
          <cell r="A16" t="str">
            <v>KTKJFKMZFB0M</v>
          </cell>
          <cell r="B16" t="str">
            <v>B071JYNC36</v>
          </cell>
        </row>
        <row r="17">
          <cell r="A17" t="str">
            <v>KTKW0TW0L</v>
          </cell>
          <cell r="B17" t="str">
            <v>B072K4S27N</v>
          </cell>
        </row>
        <row r="18">
          <cell r="A18" t="str">
            <v>KTKW0TW0XL</v>
          </cell>
          <cell r="B18" t="str">
            <v>B071JYNS5V</v>
          </cell>
        </row>
        <row r="19">
          <cell r="A19" t="str">
            <v>KTKXKB0</v>
          </cell>
          <cell r="B19" t="str">
            <v>B0725CDCCN</v>
          </cell>
        </row>
        <row r="20">
          <cell r="A20" t="str">
            <v>KTKXKB0L</v>
          </cell>
          <cell r="B20" t="str">
            <v>B073XM44QG</v>
          </cell>
        </row>
        <row r="21">
          <cell r="A21" t="str">
            <v>KTKXKG0</v>
          </cell>
          <cell r="B21" t="str">
            <v>B071VFYY2V</v>
          </cell>
        </row>
        <row r="22">
          <cell r="A22" t="str">
            <v>KTKXKG0L</v>
          </cell>
          <cell r="B22" t="str">
            <v>B073XLK4G5</v>
          </cell>
        </row>
        <row r="23">
          <cell r="A23" t="str">
            <v>KTKXKR0</v>
          </cell>
          <cell r="B23" t="str">
            <v>B071NP2X5N</v>
          </cell>
        </row>
        <row r="24">
          <cell r="A24" t="str">
            <v>KTKXKW0</v>
          </cell>
          <cell r="B24" t="str">
            <v>B0716LH9B7</v>
          </cell>
        </row>
        <row r="25">
          <cell r="A25" t="str">
            <v>KTKXKW0L</v>
          </cell>
          <cell r="B25" t="str">
            <v>B073XMFYWX</v>
          </cell>
        </row>
        <row r="26">
          <cell r="A26" t="str">
            <v>KTKXKY0</v>
          </cell>
          <cell r="B26" t="str">
            <v>B071HHSJ1R</v>
          </cell>
        </row>
        <row r="27">
          <cell r="A27" t="str">
            <v>MY16055K0L</v>
          </cell>
          <cell r="B27" t="str">
            <v>B0761V7L2R</v>
          </cell>
        </row>
        <row r="28">
          <cell r="A28" t="str">
            <v>MY16055K0M</v>
          </cell>
          <cell r="B28" t="str">
            <v>B0761QBHM9</v>
          </cell>
        </row>
        <row r="29">
          <cell r="A29" t="str">
            <v>MY16055K0S</v>
          </cell>
          <cell r="B29" t="str">
            <v>B0761S8TXR</v>
          </cell>
        </row>
        <row r="30">
          <cell r="A30" t="str">
            <v>MY16055K0XL</v>
          </cell>
          <cell r="B30" t="str">
            <v>B0761N3HJ3</v>
          </cell>
        </row>
        <row r="31">
          <cell r="A31" t="str">
            <v>MY16055K0XXL</v>
          </cell>
          <cell r="B31" t="str">
            <v>B0761R93J2</v>
          </cell>
        </row>
        <row r="32">
          <cell r="A32" t="str">
            <v>MY16055MSM</v>
          </cell>
          <cell r="B32" t="str">
            <v>B0761NM1NH</v>
          </cell>
        </row>
        <row r="33">
          <cell r="A33" t="str">
            <v>MY16055MSS</v>
          </cell>
          <cell r="B33" t="str">
            <v>B0761Q9VPH</v>
          </cell>
        </row>
        <row r="34">
          <cell r="A34" t="str">
            <v>MY16055MSXL</v>
          </cell>
          <cell r="B34" t="str">
            <v>B0761Q7KPX</v>
          </cell>
        </row>
        <row r="35">
          <cell r="A35" t="str">
            <v>MY16055MSXXL</v>
          </cell>
          <cell r="B35" t="str">
            <v>B0761QW2JK</v>
          </cell>
        </row>
        <row r="36">
          <cell r="A36" t="str">
            <v>MY16055ZQL</v>
          </cell>
          <cell r="B36" t="str">
            <v>B0761PXTK8</v>
          </cell>
        </row>
        <row r="37">
          <cell r="A37" t="str">
            <v>MY16055ZQM</v>
          </cell>
          <cell r="B37" t="str">
            <v>B0761Q4YF6</v>
          </cell>
        </row>
        <row r="38">
          <cell r="A38" t="str">
            <v>MY16055ZQS</v>
          </cell>
          <cell r="B38" t="str">
            <v>B0761PL2N2</v>
          </cell>
        </row>
        <row r="39">
          <cell r="A39" t="str">
            <v>MY16055ZQXL</v>
          </cell>
          <cell r="B39" t="str">
            <v>B0761RRL7M</v>
          </cell>
        </row>
        <row r="40">
          <cell r="A40" t="str">
            <v>MY16055ZQXXL</v>
          </cell>
          <cell r="B40" t="str">
            <v>B0761NGYTK</v>
          </cell>
        </row>
        <row r="41">
          <cell r="A41" t="str">
            <v>MY71107K0L</v>
          </cell>
          <cell r="B41" t="str">
            <v>B0761PSPTJ</v>
          </cell>
        </row>
        <row r="42">
          <cell r="A42" t="str">
            <v>MY71107K0S</v>
          </cell>
          <cell r="B42" t="str">
            <v>B0761PDMGN</v>
          </cell>
        </row>
        <row r="43">
          <cell r="A43" t="str">
            <v>MY71107K0XL</v>
          </cell>
          <cell r="B43" t="str">
            <v>B0761PVQYZ</v>
          </cell>
        </row>
        <row r="44">
          <cell r="A44" t="str">
            <v>MY71107K0XXL</v>
          </cell>
          <cell r="B44" t="str">
            <v>B0761NLN4R</v>
          </cell>
        </row>
        <row r="45">
          <cell r="A45" t="str">
            <v>MY71107MSL</v>
          </cell>
          <cell r="B45" t="str">
            <v>B0761P4LKC</v>
          </cell>
        </row>
        <row r="46">
          <cell r="A46" t="str">
            <v>MY71107MSM</v>
          </cell>
          <cell r="B46" t="str">
            <v>B0761NJPNM</v>
          </cell>
        </row>
        <row r="47">
          <cell r="A47" t="str">
            <v>MY71107MSS</v>
          </cell>
          <cell r="B47" t="str">
            <v>B0761NM3SZ</v>
          </cell>
        </row>
        <row r="48">
          <cell r="A48" t="str">
            <v>MY71107MSXL</v>
          </cell>
          <cell r="B48" t="str">
            <v>B0761NNM84</v>
          </cell>
        </row>
        <row r="49">
          <cell r="A49" t="str">
            <v>MY71107MSXXL</v>
          </cell>
          <cell r="B49" t="str">
            <v>B0761PTZY2</v>
          </cell>
        </row>
        <row r="50">
          <cell r="A50" t="str">
            <v>MY71107ZQL</v>
          </cell>
          <cell r="B50" t="str">
            <v>B0761NJH9L</v>
          </cell>
        </row>
        <row r="51">
          <cell r="A51" t="str">
            <v>MY71107ZQM</v>
          </cell>
          <cell r="B51" t="str">
            <v>B0761P4LK2</v>
          </cell>
        </row>
        <row r="52">
          <cell r="A52" t="str">
            <v>MY71107ZQS</v>
          </cell>
          <cell r="B52" t="str">
            <v>B0761N286T</v>
          </cell>
        </row>
        <row r="53">
          <cell r="A53" t="str">
            <v>MY71107ZQXL</v>
          </cell>
          <cell r="B53" t="str">
            <v>B0761NG4W8</v>
          </cell>
        </row>
        <row r="54">
          <cell r="A54" t="str">
            <v>MY71107ZQXXL</v>
          </cell>
          <cell r="B54" t="str">
            <v>B0761PV7ZS</v>
          </cell>
        </row>
        <row r="55">
          <cell r="A55" t="str">
            <v>MY71115K0M</v>
          </cell>
          <cell r="B55" t="str">
            <v>B0761NNDWM</v>
          </cell>
        </row>
        <row r="56">
          <cell r="A56" t="str">
            <v>MY71115K0S</v>
          </cell>
          <cell r="B56" t="str">
            <v>B0761PDHV5</v>
          </cell>
        </row>
        <row r="57">
          <cell r="A57" t="str">
            <v>MY71115K0XL</v>
          </cell>
          <cell r="B57" t="str">
            <v>B0761NGWJD</v>
          </cell>
        </row>
        <row r="58">
          <cell r="A58" t="str">
            <v>MY71115K0XXL</v>
          </cell>
          <cell r="B58" t="str">
            <v>B0761SKR3P</v>
          </cell>
        </row>
        <row r="59">
          <cell r="A59" t="str">
            <v>MY71115MSL</v>
          </cell>
          <cell r="B59" t="str">
            <v>B0761NFTQC</v>
          </cell>
        </row>
        <row r="60">
          <cell r="A60" t="str">
            <v>MY71115MSM</v>
          </cell>
          <cell r="B60" t="str">
            <v>B0761PV952</v>
          </cell>
        </row>
        <row r="61">
          <cell r="A61" t="str">
            <v>MY71115MSS</v>
          </cell>
          <cell r="B61" t="str">
            <v>B0761NHB1Y</v>
          </cell>
        </row>
        <row r="62">
          <cell r="A62" t="str">
            <v>MY71115MSXL</v>
          </cell>
          <cell r="B62" t="str">
            <v>B0761PWB12</v>
          </cell>
        </row>
        <row r="63">
          <cell r="A63" t="str">
            <v>MY71115MSXXL</v>
          </cell>
          <cell r="B63" t="str">
            <v>B0761N46BN</v>
          </cell>
        </row>
        <row r="64">
          <cell r="A64" t="str">
            <v>MY71115ZQL</v>
          </cell>
          <cell r="B64" t="str">
            <v>B0761S2M63</v>
          </cell>
        </row>
        <row r="65">
          <cell r="A65" t="str">
            <v>MY71115ZQM</v>
          </cell>
          <cell r="B65" t="str">
            <v>B0761MXCJB</v>
          </cell>
        </row>
        <row r="66">
          <cell r="A66" t="str">
            <v>MY71115ZQS</v>
          </cell>
          <cell r="B66" t="str">
            <v>B0761R6ZG2</v>
          </cell>
        </row>
        <row r="67">
          <cell r="A67" t="str">
            <v>MY71115ZQXL</v>
          </cell>
          <cell r="B67" t="str">
            <v>B0761PBXCV</v>
          </cell>
        </row>
        <row r="68">
          <cell r="A68" t="str">
            <v>MY71115ZQXXL</v>
          </cell>
          <cell r="B68" t="str">
            <v>B0761MLYTQ</v>
          </cell>
        </row>
        <row r="69">
          <cell r="A69" t="str">
            <v>N029YE036</v>
          </cell>
          <cell r="B69" t="str">
            <v>B074JWL6PF</v>
          </cell>
        </row>
        <row r="70">
          <cell r="A70" t="str">
            <v>N029YE038</v>
          </cell>
          <cell r="B70" t="str">
            <v>B074JWL4F2</v>
          </cell>
        </row>
        <row r="71">
          <cell r="A71" t="str">
            <v>N029YE040</v>
          </cell>
          <cell r="B71" t="str">
            <v>B074JV7QWX</v>
          </cell>
        </row>
        <row r="72">
          <cell r="A72" t="str">
            <v>N029YHL36</v>
          </cell>
          <cell r="B72" t="str">
            <v>B074K1L386</v>
          </cell>
        </row>
        <row r="73">
          <cell r="A73" t="str">
            <v>N029YHL38</v>
          </cell>
          <cell r="B73" t="str">
            <v>B074JWS1CB</v>
          </cell>
        </row>
        <row r="74">
          <cell r="A74" t="str">
            <v>N029YHL40</v>
          </cell>
          <cell r="B74" t="str">
            <v>B074JW5XZ4</v>
          </cell>
        </row>
        <row r="75">
          <cell r="A75" t="str">
            <v>N029YMH36</v>
          </cell>
          <cell r="B75" t="str">
            <v>B074K5FMRM</v>
          </cell>
        </row>
        <row r="76">
          <cell r="A76" t="str">
            <v>N029YMH38</v>
          </cell>
          <cell r="B76" t="str">
            <v>B074K26CND</v>
          </cell>
        </row>
        <row r="77">
          <cell r="A77" t="str">
            <v>N029YMH40</v>
          </cell>
          <cell r="B77" t="str">
            <v>B074JX2YCN</v>
          </cell>
        </row>
        <row r="78">
          <cell r="A78" t="str">
            <v>N039YB036</v>
          </cell>
          <cell r="B78" t="str">
            <v>B074JWQ644</v>
          </cell>
        </row>
        <row r="79">
          <cell r="A79" t="str">
            <v>N039YB038</v>
          </cell>
          <cell r="B79" t="str">
            <v>B074JX2YCX</v>
          </cell>
        </row>
        <row r="80">
          <cell r="A80" t="str">
            <v>N039YB040</v>
          </cell>
          <cell r="B80" t="str">
            <v>B074JTW9NR</v>
          </cell>
        </row>
        <row r="81">
          <cell r="A81" t="str">
            <v>N039YG036</v>
          </cell>
          <cell r="B81" t="str">
            <v>B074JZ2HSX</v>
          </cell>
        </row>
        <row r="82">
          <cell r="A82" t="str">
            <v>N039YG038</v>
          </cell>
          <cell r="B82" t="str">
            <v>B074JW9ZRS</v>
          </cell>
        </row>
        <row r="83">
          <cell r="A83" t="str">
            <v>N039YG040</v>
          </cell>
          <cell r="B83" t="str">
            <v>B074JW46DX</v>
          </cell>
        </row>
        <row r="84">
          <cell r="A84" t="str">
            <v>N039YP036</v>
          </cell>
          <cell r="B84" t="str">
            <v>B074K1913X</v>
          </cell>
        </row>
        <row r="85">
          <cell r="A85" t="str">
            <v>N039YP038</v>
          </cell>
          <cell r="B85" t="str">
            <v>B074JXGVBD</v>
          </cell>
        </row>
        <row r="86">
          <cell r="A86" t="str">
            <v>N039YP040</v>
          </cell>
          <cell r="B86" t="str">
            <v>B074JY219R</v>
          </cell>
        </row>
        <row r="87">
          <cell r="A87" t="str">
            <v>N039YR036</v>
          </cell>
          <cell r="B87" t="str">
            <v>B074JYMHZL</v>
          </cell>
        </row>
        <row r="88">
          <cell r="A88" t="str">
            <v>N039YR038</v>
          </cell>
          <cell r="B88" t="str">
            <v>B074K3YM47</v>
          </cell>
        </row>
        <row r="89">
          <cell r="A89" t="str">
            <v>N039YR040</v>
          </cell>
          <cell r="B89" t="str">
            <v>B074K4GLGJ</v>
          </cell>
        </row>
        <row r="90">
          <cell r="A90" t="str">
            <v>N039YTHS36</v>
          </cell>
          <cell r="B90" t="str">
            <v>B074JTR9T4</v>
          </cell>
        </row>
        <row r="91">
          <cell r="A91" t="str">
            <v>N039YTHS38</v>
          </cell>
          <cell r="B91" t="str">
            <v>B074K3MSFD</v>
          </cell>
        </row>
        <row r="92">
          <cell r="A92" t="str">
            <v>N039YTHS40</v>
          </cell>
          <cell r="B92" t="str">
            <v>B074K4N247</v>
          </cell>
        </row>
        <row r="93">
          <cell r="A93" t="str">
            <v>N039YXGH36</v>
          </cell>
          <cell r="B93" t="str">
            <v>B074K2GJCF</v>
          </cell>
        </row>
        <row r="94">
          <cell r="A94" t="str">
            <v>N039YXGH38</v>
          </cell>
          <cell r="B94" t="str">
            <v>B074JZ42X6</v>
          </cell>
        </row>
        <row r="95">
          <cell r="A95" t="str">
            <v>N039YXGH40</v>
          </cell>
          <cell r="B95" t="str">
            <v>B074JXZSJM</v>
          </cell>
        </row>
        <row r="96">
          <cell r="A96" t="str">
            <v>N158YB038</v>
          </cell>
          <cell r="B96" t="str">
            <v>B074FXCYQT</v>
          </cell>
        </row>
        <row r="97">
          <cell r="A97" t="str">
            <v>N158YK038</v>
          </cell>
          <cell r="B97" t="str">
            <v>B074FVRK4X</v>
          </cell>
        </row>
        <row r="98">
          <cell r="A98" t="str">
            <v>N158YR038</v>
          </cell>
          <cell r="B98" t="str">
            <v>B074FSXVNK</v>
          </cell>
        </row>
        <row r="99">
          <cell r="A99" t="str">
            <v>N1709YR042</v>
          </cell>
          <cell r="B99" t="str">
            <v>B074CZ4S1V</v>
          </cell>
        </row>
        <row r="100">
          <cell r="A100" t="str">
            <v>N1709YR046</v>
          </cell>
          <cell r="B100" t="str">
            <v>B074CS5P3X</v>
          </cell>
        </row>
        <row r="101">
          <cell r="A101" t="str">
            <v>N1709YR048</v>
          </cell>
          <cell r="B101" t="str">
            <v>B074CSF1MY</v>
          </cell>
        </row>
        <row r="102">
          <cell r="A102" t="str">
            <v>N1709YXS48</v>
          </cell>
          <cell r="B102" t="str">
            <v>B074CSG4ZS</v>
          </cell>
        </row>
        <row r="103">
          <cell r="A103" t="str">
            <v>N1709YZS44</v>
          </cell>
          <cell r="B103" t="str">
            <v>B074CSPJVW</v>
          </cell>
        </row>
        <row r="104">
          <cell r="A104" t="str">
            <v>N1709YZS46</v>
          </cell>
          <cell r="B104" t="str">
            <v>B074CS535P</v>
          </cell>
        </row>
        <row r="105">
          <cell r="A105" t="str">
            <v>N1709YZS48</v>
          </cell>
          <cell r="B105" t="str">
            <v>B074CSCRF6</v>
          </cell>
        </row>
        <row r="106">
          <cell r="A106" t="str">
            <v>N2033YK036</v>
          </cell>
          <cell r="B106" t="str">
            <v>B074DVZPS8</v>
          </cell>
        </row>
        <row r="107">
          <cell r="A107" t="str">
            <v>N2033YK038</v>
          </cell>
          <cell r="B107" t="str">
            <v>B074DWGDMH</v>
          </cell>
        </row>
        <row r="108">
          <cell r="A108" t="str">
            <v>N2033YK040</v>
          </cell>
          <cell r="B108" t="str">
            <v>B074DWBXBD</v>
          </cell>
        </row>
        <row r="109">
          <cell r="A109" t="str">
            <v>N2033YK042</v>
          </cell>
          <cell r="B109" t="str">
            <v>B074DVVVVP</v>
          </cell>
        </row>
        <row r="110">
          <cell r="A110" t="str">
            <v>N2033YSG36</v>
          </cell>
          <cell r="B110" t="str">
            <v>B074DVCJDR</v>
          </cell>
        </row>
        <row r="111">
          <cell r="A111" t="str">
            <v>N2033YSG40</v>
          </cell>
          <cell r="B111" t="str">
            <v>B074DW762P</v>
          </cell>
        </row>
        <row r="112">
          <cell r="A112" t="str">
            <v>N2033YSG42</v>
          </cell>
          <cell r="B112" t="str">
            <v>B074DW59FV</v>
          </cell>
        </row>
        <row r="113">
          <cell r="A113" t="str">
            <v>N2047YK032</v>
          </cell>
          <cell r="B113" t="str">
            <v>B074DVVJND</v>
          </cell>
        </row>
        <row r="114">
          <cell r="A114" t="str">
            <v>N2047YK034</v>
          </cell>
          <cell r="B114" t="str">
            <v>B074DW274J</v>
          </cell>
        </row>
        <row r="115">
          <cell r="A115" t="str">
            <v>N2047YXS32</v>
          </cell>
          <cell r="B115" t="str">
            <v>B074DVQP6Q</v>
          </cell>
        </row>
        <row r="116">
          <cell r="A116" t="str">
            <v>N2047YXS36</v>
          </cell>
          <cell r="B116" t="str">
            <v>B074DW3W5X</v>
          </cell>
        </row>
        <row r="117">
          <cell r="A117" t="str">
            <v>N2082YK034</v>
          </cell>
          <cell r="B117" t="str">
            <v>B074DWLT99</v>
          </cell>
        </row>
        <row r="118">
          <cell r="A118" t="str">
            <v>N2082YK036</v>
          </cell>
          <cell r="B118" t="str">
            <v>B074DVQ243</v>
          </cell>
        </row>
        <row r="119">
          <cell r="A119" t="str">
            <v>N2082YK038</v>
          </cell>
          <cell r="B119" t="str">
            <v>B074DWFV62</v>
          </cell>
        </row>
        <row r="120">
          <cell r="A120" t="str">
            <v>N2082YQJ34</v>
          </cell>
          <cell r="B120" t="str">
            <v>B074DW5ZSD</v>
          </cell>
        </row>
        <row r="121">
          <cell r="A121" t="str">
            <v>N2082YQJ36</v>
          </cell>
          <cell r="B121" t="str">
            <v>B074DVY5J8</v>
          </cell>
        </row>
        <row r="122">
          <cell r="A122" t="str">
            <v>N2082YQJ38</v>
          </cell>
          <cell r="B122" t="str">
            <v>B074DW2MGG</v>
          </cell>
        </row>
        <row r="123">
          <cell r="A123" t="str">
            <v>N2082YQLS34</v>
          </cell>
          <cell r="B123" t="str">
            <v>B074DW1MXR</v>
          </cell>
        </row>
        <row r="124">
          <cell r="A124" t="str">
            <v>N2082YQLS36</v>
          </cell>
          <cell r="B124" t="str">
            <v>B074DW2H3B</v>
          </cell>
        </row>
        <row r="125">
          <cell r="A125" t="str">
            <v>N2082YQLS38</v>
          </cell>
          <cell r="B125" t="str">
            <v>B074DWNCM6</v>
          </cell>
        </row>
        <row r="126">
          <cell r="A126" t="str">
            <v>N2257YG036</v>
          </cell>
          <cell r="B126" t="str">
            <v>B074FL1674</v>
          </cell>
        </row>
        <row r="127">
          <cell r="A127" t="str">
            <v>N2257YK034</v>
          </cell>
          <cell r="B127" t="str">
            <v>B074DVLRRB</v>
          </cell>
        </row>
        <row r="128">
          <cell r="A128" t="str">
            <v>N2257YK038</v>
          </cell>
          <cell r="B128" t="str">
            <v>B074DW6NQD</v>
          </cell>
        </row>
        <row r="129">
          <cell r="A129" t="str">
            <v>N2257YR538</v>
          </cell>
          <cell r="B129" t="str">
            <v>B074DV7WDZ</v>
          </cell>
        </row>
        <row r="130">
          <cell r="A130" t="str">
            <v>N2257YSG36</v>
          </cell>
          <cell r="B130" t="str">
            <v>B074DVZ847</v>
          </cell>
        </row>
        <row r="131">
          <cell r="A131" t="str">
            <v>N2716YHL34</v>
          </cell>
          <cell r="B131" t="str">
            <v>B074QJ923S</v>
          </cell>
        </row>
        <row r="132">
          <cell r="A132" t="str">
            <v>N2716YHL36</v>
          </cell>
          <cell r="B132" t="str">
            <v>B074Q9CTNJ</v>
          </cell>
        </row>
        <row r="133">
          <cell r="A133" t="str">
            <v>N2716YHL38</v>
          </cell>
          <cell r="B133" t="str">
            <v>B074QQ5S79</v>
          </cell>
        </row>
        <row r="134">
          <cell r="A134" t="str">
            <v>N2716YMH34</v>
          </cell>
          <cell r="B134" t="str">
            <v>B074QGD61W</v>
          </cell>
        </row>
        <row r="135">
          <cell r="A135" t="str">
            <v>N2716YMH36</v>
          </cell>
          <cell r="B135" t="str">
            <v>B074QFDH8R</v>
          </cell>
        </row>
        <row r="136">
          <cell r="A136" t="str">
            <v>N2716YMH38</v>
          </cell>
          <cell r="B136" t="str">
            <v>B074QCYQ9L</v>
          </cell>
        </row>
        <row r="137">
          <cell r="A137" t="str">
            <v>N2716YR034</v>
          </cell>
          <cell r="B137" t="str">
            <v>B074QDS9ZN</v>
          </cell>
        </row>
        <row r="138">
          <cell r="A138" t="str">
            <v>N2716YR036</v>
          </cell>
          <cell r="B138" t="str">
            <v>B074QGLLQN</v>
          </cell>
        </row>
        <row r="139">
          <cell r="A139" t="str">
            <v>N2716YR038</v>
          </cell>
          <cell r="B139" t="str">
            <v>B074QG3P8G</v>
          </cell>
        </row>
        <row r="140">
          <cell r="A140" t="str">
            <v>N2716YYGL34</v>
          </cell>
          <cell r="B140" t="str">
            <v>B074QCGCJC</v>
          </cell>
        </row>
        <row r="141">
          <cell r="A141" t="str">
            <v>N2716YYGL36</v>
          </cell>
          <cell r="B141" t="str">
            <v>B074QDSYXY</v>
          </cell>
        </row>
        <row r="142">
          <cell r="A142" t="str">
            <v>N2716YYGL38</v>
          </cell>
          <cell r="B142" t="str">
            <v>B074Q9RQFH</v>
          </cell>
        </row>
        <row r="143">
          <cell r="A143" t="str">
            <v>N31459YB040</v>
          </cell>
          <cell r="B143" t="str">
            <v>B074CXLQVY</v>
          </cell>
        </row>
        <row r="144">
          <cell r="A144" t="str">
            <v>N31459YB042</v>
          </cell>
          <cell r="B144" t="str">
            <v>B074CX8YMH</v>
          </cell>
        </row>
        <row r="145">
          <cell r="A145" t="str">
            <v>N31459YB044</v>
          </cell>
          <cell r="B145" t="str">
            <v>B074CX9229</v>
          </cell>
        </row>
        <row r="146">
          <cell r="A146" t="str">
            <v>N31459YJS42</v>
          </cell>
          <cell r="B146" t="str">
            <v>B074CX7NWQ</v>
          </cell>
        </row>
        <row r="147">
          <cell r="A147" t="str">
            <v>N31459YJS46</v>
          </cell>
          <cell r="B147" t="str">
            <v>B074CXNWMZ</v>
          </cell>
        </row>
        <row r="148">
          <cell r="A148" t="str">
            <v>N31459YLL48</v>
          </cell>
          <cell r="B148" t="str">
            <v>B074CXBB31</v>
          </cell>
        </row>
        <row r="149">
          <cell r="A149" t="str">
            <v>N31459YMH38</v>
          </cell>
          <cell r="B149" t="str">
            <v>B074CWRDHL</v>
          </cell>
        </row>
        <row r="150">
          <cell r="A150" t="str">
            <v>N31459YMH42</v>
          </cell>
          <cell r="B150" t="str">
            <v>B074CXR8YG</v>
          </cell>
        </row>
        <row r="151">
          <cell r="A151" t="str">
            <v>N31459YMH44</v>
          </cell>
          <cell r="B151" t="str">
            <v>B074CXK4TV</v>
          </cell>
        </row>
        <row r="152">
          <cell r="A152" t="str">
            <v>N31459YMH46</v>
          </cell>
          <cell r="B152" t="str">
            <v>B074CX73CM</v>
          </cell>
        </row>
        <row r="153">
          <cell r="A153" t="str">
            <v>N31459YMH48</v>
          </cell>
          <cell r="B153" t="str">
            <v>B074CXPPQM</v>
          </cell>
        </row>
        <row r="154">
          <cell r="A154" t="str">
            <v>N31459YP038</v>
          </cell>
          <cell r="B154" t="str">
            <v>B074CXK6RZ</v>
          </cell>
        </row>
        <row r="155">
          <cell r="A155" t="str">
            <v>N31459YP044</v>
          </cell>
          <cell r="B155" t="str">
            <v>B074CXP24Y</v>
          </cell>
        </row>
        <row r="156">
          <cell r="A156" t="str">
            <v>N31459YP046</v>
          </cell>
          <cell r="B156" t="str">
            <v>B074CXNBPV</v>
          </cell>
        </row>
        <row r="157">
          <cell r="A157" t="str">
            <v>N31459YP048</v>
          </cell>
          <cell r="B157" t="str">
            <v>B074CWTLXY</v>
          </cell>
        </row>
        <row r="158">
          <cell r="A158" t="str">
            <v>N31459YR038</v>
          </cell>
          <cell r="B158" t="str">
            <v>B074CX7218</v>
          </cell>
        </row>
        <row r="159">
          <cell r="A159" t="str">
            <v>N31459YR044</v>
          </cell>
          <cell r="B159" t="str">
            <v>B074CXMS2N</v>
          </cell>
        </row>
        <row r="160">
          <cell r="A160" t="str">
            <v>N3818-2YW038</v>
          </cell>
          <cell r="B160" t="str">
            <v>B074CW3HDD</v>
          </cell>
        </row>
        <row r="161">
          <cell r="A161" t="str">
            <v>N3818-2YW040</v>
          </cell>
          <cell r="B161" t="str">
            <v>B074CW3JWV</v>
          </cell>
        </row>
        <row r="162">
          <cell r="A162" t="str">
            <v>N3818-2YW044</v>
          </cell>
          <cell r="B162" t="str">
            <v>B074CW4J9M</v>
          </cell>
        </row>
        <row r="163">
          <cell r="A163" t="str">
            <v>N3818-2YW046</v>
          </cell>
          <cell r="B163" t="str">
            <v>B074CWWB41</v>
          </cell>
        </row>
        <row r="164">
          <cell r="A164" t="str">
            <v>N3818-2YW048</v>
          </cell>
          <cell r="B164" t="str">
            <v>B074CWG2B2</v>
          </cell>
        </row>
        <row r="165">
          <cell r="A165" t="str">
            <v>N531YB036</v>
          </cell>
          <cell r="B165" t="str">
            <v>B074JVMQRW</v>
          </cell>
        </row>
        <row r="166">
          <cell r="A166" t="str">
            <v>N531YB038</v>
          </cell>
          <cell r="B166" t="str">
            <v>B074K4DJJR</v>
          </cell>
        </row>
        <row r="167">
          <cell r="A167" t="str">
            <v>N531YB040</v>
          </cell>
          <cell r="B167" t="str">
            <v>B074JW998T</v>
          </cell>
        </row>
        <row r="168">
          <cell r="A168" t="str">
            <v>N531YK034</v>
          </cell>
          <cell r="B168" t="str">
            <v>B074K2QJ5H</v>
          </cell>
        </row>
        <row r="169">
          <cell r="A169" t="str">
            <v>N531YK036</v>
          </cell>
          <cell r="B169" t="str">
            <v>B074K4DJKF</v>
          </cell>
        </row>
        <row r="170">
          <cell r="A170" t="str">
            <v>N531YK038</v>
          </cell>
          <cell r="B170" t="str">
            <v>B074JYYM5F</v>
          </cell>
        </row>
        <row r="171">
          <cell r="A171" t="str">
            <v>N531YK040</v>
          </cell>
          <cell r="B171" t="str">
            <v>B074K4K838</v>
          </cell>
        </row>
        <row r="172">
          <cell r="A172" t="str">
            <v>N531YQL34</v>
          </cell>
          <cell r="B172" t="str">
            <v>B074K24HL3</v>
          </cell>
        </row>
        <row r="173">
          <cell r="A173" t="str">
            <v>N531YQL36</v>
          </cell>
          <cell r="B173" t="str">
            <v>B074JXQX4Z</v>
          </cell>
        </row>
        <row r="174">
          <cell r="A174" t="str">
            <v>N531YQL38</v>
          </cell>
          <cell r="B174" t="str">
            <v>B074JXFM38</v>
          </cell>
        </row>
        <row r="175">
          <cell r="A175" t="str">
            <v>N531YQL40</v>
          </cell>
          <cell r="B175" t="str">
            <v>B074JZ1THP</v>
          </cell>
        </row>
        <row r="176">
          <cell r="A176" t="str">
            <v>N531YR034</v>
          </cell>
          <cell r="B176" t="str">
            <v>B074K3VJ4G</v>
          </cell>
        </row>
        <row r="177">
          <cell r="A177" t="str">
            <v>N531YR036</v>
          </cell>
          <cell r="B177" t="str">
            <v>B074K53FDK</v>
          </cell>
        </row>
        <row r="178">
          <cell r="A178" t="str">
            <v>N531YR038</v>
          </cell>
          <cell r="B178" t="str">
            <v>B074JXHFTJ</v>
          </cell>
        </row>
        <row r="179">
          <cell r="A179" t="str">
            <v>N531YR040</v>
          </cell>
          <cell r="B179" t="str">
            <v>B074JY1RXB</v>
          </cell>
        </row>
        <row r="180">
          <cell r="A180" t="str">
            <v>N531YXS34</v>
          </cell>
          <cell r="B180" t="str">
            <v>B074K2VQNZ</v>
          </cell>
        </row>
        <row r="181">
          <cell r="A181" t="str">
            <v>N531YXS36</v>
          </cell>
          <cell r="B181" t="str">
            <v>B074JXZYR5</v>
          </cell>
        </row>
        <row r="182">
          <cell r="A182" t="str">
            <v>N531YXS38</v>
          </cell>
          <cell r="B182" t="str">
            <v>B074JV1QKR</v>
          </cell>
        </row>
        <row r="183">
          <cell r="A183" t="str">
            <v>N531YXS40</v>
          </cell>
          <cell r="B183" t="str">
            <v>B074JV1QKT</v>
          </cell>
        </row>
        <row r="184">
          <cell r="A184" t="str">
            <v>N583YQZ36</v>
          </cell>
          <cell r="B184" t="str">
            <v>B074DVW5HC</v>
          </cell>
        </row>
        <row r="185">
          <cell r="A185" t="str">
            <v>N583YQZ38</v>
          </cell>
          <cell r="B185" t="str">
            <v>B074FJ37K7</v>
          </cell>
        </row>
        <row r="186">
          <cell r="A186" t="str">
            <v>N583YQZ40</v>
          </cell>
          <cell r="B186" t="str">
            <v>B074DW168F</v>
          </cell>
        </row>
        <row r="187">
          <cell r="A187" t="str">
            <v>N583YQZ42</v>
          </cell>
          <cell r="B187" t="str">
            <v>B074DW2BY6</v>
          </cell>
        </row>
        <row r="188">
          <cell r="A188" t="str">
            <v>N583YQZ44</v>
          </cell>
          <cell r="B188" t="str">
            <v>B074DVY6FY</v>
          </cell>
        </row>
        <row r="189">
          <cell r="A189" t="str">
            <v>N86162KY0</v>
          </cell>
          <cell r="B189" t="str">
            <v>B074FXCCGK</v>
          </cell>
        </row>
        <row r="190">
          <cell r="A190" t="str">
            <v>N87232KP0XL</v>
          </cell>
          <cell r="B190" t="str">
            <v>B074FS9DHG</v>
          </cell>
        </row>
        <row r="191">
          <cell r="A191" t="str">
            <v>N87232KXGHM</v>
          </cell>
          <cell r="B191" t="str">
            <v>B074FWGTNB</v>
          </cell>
        </row>
        <row r="192">
          <cell r="A192" t="str">
            <v>N87232KXSM</v>
          </cell>
          <cell r="B192" t="str">
            <v>B074FX3HCW</v>
          </cell>
        </row>
        <row r="193">
          <cell r="A193" t="str">
            <v>N87301KK0XL</v>
          </cell>
          <cell r="B193" t="str">
            <v>B074FVZ2LG</v>
          </cell>
        </row>
        <row r="194">
          <cell r="A194" t="str">
            <v>N87301KMLSL</v>
          </cell>
          <cell r="B194" t="str">
            <v>B074FSTDKH</v>
          </cell>
        </row>
        <row r="195">
          <cell r="A195" t="str">
            <v>N87301KMLSM</v>
          </cell>
          <cell r="B195" t="str">
            <v>B074FVVHPR</v>
          </cell>
        </row>
        <row r="196">
          <cell r="A196" t="str">
            <v>N87301KMLSXL</v>
          </cell>
          <cell r="B196" t="str">
            <v>B074FXMP5R</v>
          </cell>
        </row>
        <row r="197">
          <cell r="A197" t="str">
            <v>N87301KSGL</v>
          </cell>
          <cell r="B197" t="str">
            <v>B074FWZFVP</v>
          </cell>
        </row>
        <row r="198">
          <cell r="A198" t="str">
            <v>N87301KSGXL</v>
          </cell>
          <cell r="B198" t="str">
            <v>B074FWRY86</v>
          </cell>
        </row>
        <row r="199">
          <cell r="A199" t="str">
            <v>N87301KW0L</v>
          </cell>
          <cell r="B199" t="str">
            <v>B074FVYSML</v>
          </cell>
        </row>
        <row r="200">
          <cell r="A200" t="str">
            <v>N87301KXSM</v>
          </cell>
          <cell r="B200" t="str">
            <v>B074FSXB2H</v>
          </cell>
        </row>
        <row r="201">
          <cell r="A201" t="str">
            <v>N87301KXSXL</v>
          </cell>
          <cell r="B201" t="str">
            <v>B074FTCSP4</v>
          </cell>
        </row>
        <row r="202">
          <cell r="A202" t="str">
            <v>N87301KZHSL</v>
          </cell>
          <cell r="B202" t="str">
            <v>B074FXLSHW</v>
          </cell>
        </row>
        <row r="203">
          <cell r="A203" t="str">
            <v>N87301KZHSM</v>
          </cell>
          <cell r="B203" t="str">
            <v>B074FTCSNQ</v>
          </cell>
        </row>
        <row r="204">
          <cell r="A204" t="str">
            <v>N87301KZHSXL</v>
          </cell>
          <cell r="B204" t="str">
            <v>B074FZHXMJ</v>
          </cell>
        </row>
        <row r="205">
          <cell r="A205" t="str">
            <v>N87309KW0L</v>
          </cell>
          <cell r="B205" t="str">
            <v>B074FTYZMD</v>
          </cell>
        </row>
        <row r="206">
          <cell r="A206" t="str">
            <v>N87309KW0M</v>
          </cell>
          <cell r="B206" t="str">
            <v>B074FTCGDW</v>
          </cell>
        </row>
        <row r="207">
          <cell r="A207" t="str">
            <v>N87309KW0XL</v>
          </cell>
          <cell r="B207" t="str">
            <v>B074FV2QSZ</v>
          </cell>
        </row>
        <row r="208">
          <cell r="A208" t="str">
            <v>N87318KHLL</v>
          </cell>
          <cell r="B208" t="str">
            <v>B074FSYM6B</v>
          </cell>
        </row>
        <row r="209">
          <cell r="A209" t="str">
            <v>N87318KR5L</v>
          </cell>
          <cell r="B209" t="str">
            <v>B074FSVZ5H</v>
          </cell>
        </row>
        <row r="210">
          <cell r="A210" t="str">
            <v>N87318KR5XL</v>
          </cell>
          <cell r="B210" t="str">
            <v>B074FQZXDS</v>
          </cell>
        </row>
        <row r="211">
          <cell r="A211" t="str">
            <v>N87318KW0M</v>
          </cell>
          <cell r="B211" t="str">
            <v>B074FSV4LS</v>
          </cell>
        </row>
        <row r="212">
          <cell r="A212" t="str">
            <v>N87318KXGHM</v>
          </cell>
          <cell r="B212" t="str">
            <v>B074FWYPHZ</v>
          </cell>
        </row>
        <row r="213">
          <cell r="A213" t="str">
            <v>N87318KXGHXL</v>
          </cell>
          <cell r="B213" t="str">
            <v>B074FRG96Y</v>
          </cell>
        </row>
        <row r="214">
          <cell r="A214" t="str">
            <v>N87318KXSM</v>
          </cell>
          <cell r="B214" t="str">
            <v>B074FSHJB3</v>
          </cell>
        </row>
        <row r="215">
          <cell r="A215" t="str">
            <v>N87318KXSXL</v>
          </cell>
          <cell r="B215" t="str">
            <v>B074FX6ZGT</v>
          </cell>
        </row>
        <row r="216">
          <cell r="A216" t="str">
            <v>N87319KR5M</v>
          </cell>
          <cell r="B216" t="str">
            <v>B074FTBSZV</v>
          </cell>
        </row>
        <row r="217">
          <cell r="A217" t="str">
            <v>N87319KXSL</v>
          </cell>
          <cell r="B217" t="str">
            <v>B074FSD3R1</v>
          </cell>
        </row>
        <row r="218">
          <cell r="A218" t="str">
            <v>N87319KXSM</v>
          </cell>
          <cell r="B218" t="str">
            <v>B074FYGSKY</v>
          </cell>
        </row>
        <row r="219">
          <cell r="A219" t="str">
            <v>N888YK036</v>
          </cell>
          <cell r="B219" t="str">
            <v>B074FZKWPJ</v>
          </cell>
        </row>
        <row r="220">
          <cell r="A220" t="str">
            <v>N888YK038</v>
          </cell>
          <cell r="B220" t="str">
            <v>B074FRC3TW</v>
          </cell>
        </row>
        <row r="221">
          <cell r="A221" t="str">
            <v>N888YK040</v>
          </cell>
          <cell r="B221" t="str">
            <v>B074FTJ6WL</v>
          </cell>
        </row>
        <row r="222">
          <cell r="A222" t="str">
            <v>N888YK042</v>
          </cell>
          <cell r="B222" t="str">
            <v>B074FSCZT2</v>
          </cell>
        </row>
        <row r="223">
          <cell r="A223" t="str">
            <v>N888YR536</v>
          </cell>
          <cell r="B223" t="str">
            <v>B074FTW5DS</v>
          </cell>
        </row>
        <row r="224">
          <cell r="A224" t="str">
            <v>N888YR538</v>
          </cell>
          <cell r="B224" t="str">
            <v>B074FRWKSK</v>
          </cell>
        </row>
        <row r="225">
          <cell r="A225" t="str">
            <v>N888YR540</v>
          </cell>
          <cell r="B225" t="str">
            <v>B074FX3ZFZ</v>
          </cell>
        </row>
        <row r="226">
          <cell r="A226" t="str">
            <v>N888YR542</v>
          </cell>
          <cell r="B226" t="str">
            <v>B074FXLL7J</v>
          </cell>
        </row>
        <row r="227">
          <cell r="A227" t="str">
            <v>N888YXS36</v>
          </cell>
          <cell r="B227" t="str">
            <v>B074FQWCTK</v>
          </cell>
        </row>
        <row r="228">
          <cell r="A228" t="str">
            <v>N888YXS38</v>
          </cell>
          <cell r="B228" t="str">
            <v>B074FRX8XF</v>
          </cell>
        </row>
        <row r="229">
          <cell r="A229" t="str">
            <v>N888YXS40</v>
          </cell>
          <cell r="B229" t="str">
            <v>B074FT4GVL</v>
          </cell>
        </row>
        <row r="230">
          <cell r="A230" t="str">
            <v>N888YXS42</v>
          </cell>
          <cell r="B230" t="str">
            <v>B074FVKNXW</v>
          </cell>
        </row>
        <row r="231">
          <cell r="A231" t="str">
            <v>N89103KHLXL</v>
          </cell>
          <cell r="B231" t="str">
            <v>B074FNZXKK</v>
          </cell>
        </row>
        <row r="232">
          <cell r="A232" t="str">
            <v>N89103KW0XL</v>
          </cell>
          <cell r="B232" t="str">
            <v>B074FXS3XL</v>
          </cell>
        </row>
        <row r="233">
          <cell r="A233" t="str">
            <v>N89118KMLSXL</v>
          </cell>
          <cell r="B233" t="str">
            <v>B074FYXKCH</v>
          </cell>
        </row>
        <row r="234">
          <cell r="A234" t="str">
            <v>N89118KW0XL</v>
          </cell>
          <cell r="B234" t="str">
            <v>B074FR8NL9</v>
          </cell>
        </row>
        <row r="235">
          <cell r="A235" t="str">
            <v>N89119KBLL</v>
          </cell>
          <cell r="B235" t="str">
            <v>B074FT3DCL</v>
          </cell>
        </row>
        <row r="236">
          <cell r="A236" t="str">
            <v>N89119KBLM</v>
          </cell>
          <cell r="B236" t="str">
            <v>B074FQ84QJ</v>
          </cell>
        </row>
        <row r="237">
          <cell r="A237" t="str">
            <v>N89119KK0L</v>
          </cell>
          <cell r="B237" t="str">
            <v>B074FT665V</v>
          </cell>
        </row>
        <row r="238">
          <cell r="A238" t="str">
            <v>N89119KMHL</v>
          </cell>
          <cell r="B238" t="str">
            <v>B074FSW752</v>
          </cell>
        </row>
        <row r="239">
          <cell r="A239" t="str">
            <v>N89119KMHXL</v>
          </cell>
          <cell r="B239" t="str">
            <v>B074FVGPRW</v>
          </cell>
        </row>
        <row r="240">
          <cell r="A240" t="str">
            <v>N89119KR5L</v>
          </cell>
          <cell r="B240" t="str">
            <v>B074FYMTFF</v>
          </cell>
        </row>
        <row r="241">
          <cell r="A241" t="str">
            <v>N89119KR5M</v>
          </cell>
          <cell r="B241" t="str">
            <v>B074FWHSLT</v>
          </cell>
        </row>
        <row r="242">
          <cell r="A242" t="str">
            <v>N89119KXSL</v>
          </cell>
          <cell r="B242" t="str">
            <v>B074FWJYDS</v>
          </cell>
        </row>
        <row r="243">
          <cell r="A243" t="str">
            <v>N89119KXSM</v>
          </cell>
          <cell r="B243" t="str">
            <v>B074FSGM8N</v>
          </cell>
        </row>
        <row r="244">
          <cell r="A244" t="str">
            <v>N89122KBL3XL</v>
          </cell>
          <cell r="B244" t="str">
            <v>B074FW1DYK</v>
          </cell>
        </row>
        <row r="245">
          <cell r="A245" t="str">
            <v>N89122KBL4XL</v>
          </cell>
          <cell r="B245" t="str">
            <v>B074FT3T2H</v>
          </cell>
        </row>
        <row r="246">
          <cell r="A246" t="str">
            <v>N89122KHL2XL</v>
          </cell>
          <cell r="B246" t="str">
            <v>B074FWRNDY</v>
          </cell>
        </row>
        <row r="247">
          <cell r="A247" t="str">
            <v>N89122KHL3XL</v>
          </cell>
          <cell r="B247" t="str">
            <v>B074FVVYW2</v>
          </cell>
        </row>
        <row r="248">
          <cell r="A248" t="str">
            <v>N89122KHL4XL</v>
          </cell>
          <cell r="B248" t="str">
            <v>B074FW8FGF</v>
          </cell>
        </row>
        <row r="249">
          <cell r="A249" t="str">
            <v>N89122KK03XL</v>
          </cell>
          <cell r="B249" t="str">
            <v>B074FYL2WF</v>
          </cell>
        </row>
        <row r="250">
          <cell r="A250" t="str">
            <v>N89122KK04XL</v>
          </cell>
          <cell r="B250" t="str">
            <v>B074FWT3JN</v>
          </cell>
        </row>
        <row r="251">
          <cell r="A251" t="str">
            <v>N89122KMH2XL</v>
          </cell>
          <cell r="B251" t="str">
            <v>B074FXSQV1</v>
          </cell>
        </row>
        <row r="252">
          <cell r="A252" t="str">
            <v>N89122KMH3XL</v>
          </cell>
          <cell r="B252" t="str">
            <v>B074FT1X4P</v>
          </cell>
        </row>
        <row r="253">
          <cell r="A253" t="str">
            <v>N89122KMH4XL</v>
          </cell>
          <cell r="B253" t="str">
            <v>B074FVCMHJ</v>
          </cell>
        </row>
        <row r="254">
          <cell r="A254" t="str">
            <v>N89122KW02XL</v>
          </cell>
          <cell r="B254" t="str">
            <v>B074FTB99W</v>
          </cell>
        </row>
        <row r="255">
          <cell r="A255" t="str">
            <v>N89122KW03XL</v>
          </cell>
          <cell r="B255" t="str">
            <v>B074FW571Z</v>
          </cell>
        </row>
        <row r="256">
          <cell r="A256" t="str">
            <v>N89122KW04XL</v>
          </cell>
          <cell r="B256" t="str">
            <v>B074FXM33R</v>
          </cell>
        </row>
        <row r="257">
          <cell r="A257" t="str">
            <v>N89122KXS2XL</v>
          </cell>
          <cell r="B257" t="str">
            <v>B074FXTKQH</v>
          </cell>
        </row>
        <row r="258">
          <cell r="A258" t="str">
            <v>N89122KXS4XL</v>
          </cell>
          <cell r="B258" t="str">
            <v>B074FXVQD5</v>
          </cell>
        </row>
        <row r="259">
          <cell r="A259" t="str">
            <v>N9383YB040</v>
          </cell>
          <cell r="B259" t="str">
            <v>B074CWZFK3</v>
          </cell>
        </row>
        <row r="260">
          <cell r="A260" t="str">
            <v>N9383YB042</v>
          </cell>
          <cell r="B260" t="str">
            <v>B074CWTQW9</v>
          </cell>
        </row>
        <row r="261">
          <cell r="A261" t="str">
            <v>N9383YB044</v>
          </cell>
          <cell r="B261" t="str">
            <v>B074CWMB5Z</v>
          </cell>
        </row>
        <row r="262">
          <cell r="A262" t="str">
            <v>N9383YB046</v>
          </cell>
          <cell r="B262" t="str">
            <v>B074CX2BPL</v>
          </cell>
        </row>
        <row r="263">
          <cell r="A263" t="str">
            <v>N9383YB048</v>
          </cell>
          <cell r="B263" t="str">
            <v>B074CWZRZ9</v>
          </cell>
        </row>
        <row r="264">
          <cell r="A264" t="str">
            <v>N9383YG038</v>
          </cell>
          <cell r="B264" t="str">
            <v>B074CWQJVH</v>
          </cell>
        </row>
        <row r="265">
          <cell r="A265" t="str">
            <v>N9383YG042</v>
          </cell>
          <cell r="B265" t="str">
            <v>B074CWQPZP</v>
          </cell>
        </row>
        <row r="266">
          <cell r="A266" t="str">
            <v>N9383YG044</v>
          </cell>
          <cell r="B266" t="str">
            <v>B074CV3L2T</v>
          </cell>
        </row>
        <row r="267">
          <cell r="A267" t="str">
            <v>N9383YG046</v>
          </cell>
          <cell r="B267" t="str">
            <v>B074CX6ML1</v>
          </cell>
        </row>
        <row r="268">
          <cell r="A268" t="str">
            <v>N9383YG048</v>
          </cell>
          <cell r="B268" t="str">
            <v>B074CWLZDG</v>
          </cell>
        </row>
        <row r="269">
          <cell r="A269" t="str">
            <v>N9383YMH38</v>
          </cell>
          <cell r="B269" t="str">
            <v>B074CWYHQ7</v>
          </cell>
        </row>
        <row r="270">
          <cell r="A270" t="str">
            <v>N9383YMH40</v>
          </cell>
          <cell r="B270" t="str">
            <v>B074CXHT3T</v>
          </cell>
        </row>
        <row r="271">
          <cell r="A271" t="str">
            <v>N9383YMH44</v>
          </cell>
          <cell r="B271" t="str">
            <v>B074CWBNL1</v>
          </cell>
        </row>
        <row r="272">
          <cell r="A272" t="str">
            <v>N9383YMH46</v>
          </cell>
          <cell r="B272" t="str">
            <v>B074CX95R8</v>
          </cell>
        </row>
        <row r="273">
          <cell r="A273" t="str">
            <v>N9383YMH48</v>
          </cell>
          <cell r="B273" t="str">
            <v>B074CWZG9L</v>
          </cell>
        </row>
        <row r="274">
          <cell r="A274" t="str">
            <v>N9383YP038</v>
          </cell>
          <cell r="B274" t="str">
            <v>B074CXDX58</v>
          </cell>
        </row>
        <row r="275">
          <cell r="A275" t="str">
            <v>N9383YP040</v>
          </cell>
          <cell r="B275" t="str">
            <v>B074CWJNRX</v>
          </cell>
        </row>
        <row r="276">
          <cell r="A276" t="str">
            <v>N9383YP042</v>
          </cell>
          <cell r="B276" t="str">
            <v>B074CWSDCG</v>
          </cell>
        </row>
        <row r="277">
          <cell r="A277" t="str">
            <v>N9383YP044</v>
          </cell>
          <cell r="B277" t="str">
            <v>B074CWR4ZR</v>
          </cell>
        </row>
        <row r="278">
          <cell r="A278" t="str">
            <v>N9383YP048</v>
          </cell>
          <cell r="B278" t="str">
            <v>B074CWZSVH</v>
          </cell>
        </row>
        <row r="279">
          <cell r="A279" t="str">
            <v>N9383YR038</v>
          </cell>
          <cell r="B279" t="str">
            <v>B074CWSQFG</v>
          </cell>
        </row>
        <row r="280">
          <cell r="A280" t="str">
            <v>N9383YR040</v>
          </cell>
          <cell r="B280" t="str">
            <v>B074CX22LX</v>
          </cell>
        </row>
        <row r="281">
          <cell r="A281" t="str">
            <v>N9383YR042</v>
          </cell>
          <cell r="B281" t="str">
            <v>B074CWTBK6</v>
          </cell>
        </row>
        <row r="282">
          <cell r="A282" t="str">
            <v>N9383YR046</v>
          </cell>
          <cell r="B282" t="str">
            <v>B074CWMB62</v>
          </cell>
        </row>
        <row r="283">
          <cell r="A283" t="str">
            <v>N9383YR048</v>
          </cell>
          <cell r="B283" t="str">
            <v>B074CWR3FL</v>
          </cell>
        </row>
        <row r="284">
          <cell r="A284" t="str">
            <v>N9383YXGH38</v>
          </cell>
          <cell r="B284" t="str">
            <v>B074CX1PRD</v>
          </cell>
        </row>
        <row r="285">
          <cell r="A285" t="str">
            <v>N9383YXGH40</v>
          </cell>
          <cell r="B285" t="str">
            <v>B074CWN2HB</v>
          </cell>
        </row>
        <row r="286">
          <cell r="A286" t="str">
            <v>N9383YXGH42</v>
          </cell>
          <cell r="B286" t="str">
            <v>B074CX451K</v>
          </cell>
        </row>
        <row r="287">
          <cell r="A287" t="str">
            <v>N9383YXGH44</v>
          </cell>
          <cell r="B287" t="str">
            <v>B074CWPQFT</v>
          </cell>
        </row>
        <row r="288">
          <cell r="A288" t="str">
            <v>N9383YXGH46</v>
          </cell>
          <cell r="B288" t="str">
            <v>B074CWLV9M</v>
          </cell>
        </row>
        <row r="289">
          <cell r="A289" t="str">
            <v>N9383YXGH48</v>
          </cell>
          <cell r="B289" t="str">
            <v>B074CX4VVP</v>
          </cell>
        </row>
        <row r="290">
          <cell r="A290" t="str">
            <v>N9932YK034</v>
          </cell>
          <cell r="B290" t="str">
            <v>B074FW623M</v>
          </cell>
        </row>
        <row r="291">
          <cell r="A291" t="str">
            <v>N9932YK036</v>
          </cell>
          <cell r="B291" t="str">
            <v>B074FTXNPM</v>
          </cell>
        </row>
        <row r="292">
          <cell r="A292" t="str">
            <v>N9932YK038</v>
          </cell>
          <cell r="B292" t="str">
            <v>B074FTZ9P4</v>
          </cell>
        </row>
        <row r="293">
          <cell r="A293" t="str">
            <v>N9932YR034</v>
          </cell>
          <cell r="B293" t="str">
            <v>B074FX94G1</v>
          </cell>
        </row>
        <row r="294">
          <cell r="A294" t="str">
            <v>N9932YR036</v>
          </cell>
          <cell r="B294" t="str">
            <v>B074FX1CXN</v>
          </cell>
        </row>
        <row r="295">
          <cell r="A295" t="str">
            <v>N9932YR534</v>
          </cell>
          <cell r="B295" t="str">
            <v>B074FTFWR7</v>
          </cell>
        </row>
        <row r="296">
          <cell r="A296" t="str">
            <v>N9932YR536</v>
          </cell>
          <cell r="B296" t="str">
            <v>B074FTV42K</v>
          </cell>
        </row>
        <row r="297">
          <cell r="A297" t="str">
            <v>N9932YR538</v>
          </cell>
          <cell r="B297" t="str">
            <v>B074FTPHX1</v>
          </cell>
        </row>
        <row r="298">
          <cell r="A298" t="str">
            <v>N9932YXS34</v>
          </cell>
          <cell r="B298" t="str">
            <v>B074FQ29ZR</v>
          </cell>
        </row>
        <row r="299">
          <cell r="A299" t="str">
            <v>N9932YXS36</v>
          </cell>
          <cell r="B299" t="str">
            <v>B074FVPGVL</v>
          </cell>
        </row>
        <row r="300">
          <cell r="A300" t="str">
            <v>N9932YXS38</v>
          </cell>
          <cell r="B300" t="str">
            <v>B074FW6SKT</v>
          </cell>
        </row>
        <row r="301">
          <cell r="A301" t="str">
            <v>NC11YXS42</v>
          </cell>
          <cell r="B301" t="str">
            <v>B074DWCC89</v>
          </cell>
        </row>
        <row r="302">
          <cell r="A302" t="str">
            <v>NK-XUHM001-K0-L</v>
          </cell>
          <cell r="B302" t="str">
            <v>B078WQCTTM</v>
          </cell>
        </row>
        <row r="303">
          <cell r="A303" t="str">
            <v>NK-XUHM001-K0-M</v>
          </cell>
          <cell r="B303" t="str">
            <v>B078WQY3NM</v>
          </cell>
        </row>
        <row r="304">
          <cell r="A304" t="str">
            <v>NK-XUHM001-K0-S</v>
          </cell>
          <cell r="B304" t="str">
            <v>B078WR3XZL</v>
          </cell>
        </row>
        <row r="305">
          <cell r="A305" t="str">
            <v>NK-XUHM001-K0-XL</v>
          </cell>
          <cell r="B305" t="str">
            <v>B078WPYL96</v>
          </cell>
        </row>
        <row r="306">
          <cell r="A306" t="str">
            <v>NK-XUHM001-K0-XXL</v>
          </cell>
          <cell r="B306" t="str">
            <v>B078WQHD98</v>
          </cell>
        </row>
        <row r="307">
          <cell r="A307" t="str">
            <v>NY-B15016-K0-L</v>
          </cell>
          <cell r="B307" t="str">
            <v>B078NQ9D6V</v>
          </cell>
        </row>
        <row r="308">
          <cell r="A308" t="str">
            <v>NY-B15016-K0-M</v>
          </cell>
          <cell r="B308" t="str">
            <v>B078NN9LW4</v>
          </cell>
        </row>
        <row r="309">
          <cell r="A309" t="str">
            <v>NY-B15016-K0-S</v>
          </cell>
          <cell r="B309" t="str">
            <v>B078NNNW7X</v>
          </cell>
        </row>
        <row r="310">
          <cell r="A310" t="str">
            <v>NY-B15016-W0-L</v>
          </cell>
          <cell r="B310" t="str">
            <v>B078NQ7BCX</v>
          </cell>
        </row>
        <row r="311">
          <cell r="A311" t="str">
            <v>NY-B15016-W0-M</v>
          </cell>
          <cell r="B311" t="str">
            <v>B078NN9RD2</v>
          </cell>
        </row>
        <row r="312">
          <cell r="A312" t="str">
            <v>NY-B15016-W0-S</v>
          </cell>
          <cell r="B312" t="str">
            <v>B078NQ98JD</v>
          </cell>
        </row>
        <row r="313">
          <cell r="A313" t="str">
            <v>NY-B15016-Y0-L</v>
          </cell>
          <cell r="B313" t="str">
            <v>B078NN9RQR</v>
          </cell>
        </row>
        <row r="314">
          <cell r="A314" t="str">
            <v>NY-B15016-Y0-M</v>
          </cell>
          <cell r="B314" t="str">
            <v>B078NQWBSV</v>
          </cell>
        </row>
        <row r="315">
          <cell r="A315" t="str">
            <v>NY-B15016-Y0-S</v>
          </cell>
          <cell r="B315" t="str">
            <v>B078NNB2PQ</v>
          </cell>
        </row>
        <row r="316">
          <cell r="A316" t="str">
            <v>NY-B15021-B0-L</v>
          </cell>
          <cell r="B316" t="str">
            <v>B078NQZYP7</v>
          </cell>
        </row>
        <row r="317">
          <cell r="A317" t="str">
            <v>NY-B15021-B0-M</v>
          </cell>
          <cell r="B317" t="str">
            <v>B078NQ6C6H</v>
          </cell>
        </row>
        <row r="318">
          <cell r="A318" t="str">
            <v>NY-B15021-B0-S</v>
          </cell>
          <cell r="B318" t="str">
            <v>B078NQ2LH1</v>
          </cell>
        </row>
        <row r="319">
          <cell r="A319" t="str">
            <v>NY-B15021-B0-XL</v>
          </cell>
          <cell r="B319" t="str">
            <v>B078NPVY5T</v>
          </cell>
        </row>
        <row r="320">
          <cell r="A320" t="str">
            <v>NY-B15021-K0-L</v>
          </cell>
          <cell r="B320" t="str">
            <v>B078NNLWT7</v>
          </cell>
        </row>
        <row r="321">
          <cell r="A321" t="str">
            <v>NY-B15021-K0-M</v>
          </cell>
          <cell r="B321" t="str">
            <v>B078NNWT42</v>
          </cell>
        </row>
        <row r="322">
          <cell r="A322" t="str">
            <v>NY-B15021-K0-S</v>
          </cell>
          <cell r="B322" t="str">
            <v>B078NNZQ5Y</v>
          </cell>
        </row>
        <row r="323">
          <cell r="A323" t="str">
            <v>NY-B15021-K0-XL</v>
          </cell>
          <cell r="B323" t="str">
            <v>B078NPBXD2</v>
          </cell>
        </row>
        <row r="324">
          <cell r="A324" t="str">
            <v>NY-B15021-PI-L</v>
          </cell>
          <cell r="B324" t="str">
            <v>B078NNYW4V</v>
          </cell>
        </row>
        <row r="325">
          <cell r="A325" t="str">
            <v>NY-B15021-PI-M</v>
          </cell>
          <cell r="B325" t="str">
            <v>B078NQW8Y6</v>
          </cell>
        </row>
        <row r="326">
          <cell r="A326" t="str">
            <v>NY-B15021-PI-S</v>
          </cell>
          <cell r="B326" t="str">
            <v>B078NGPQK3</v>
          </cell>
        </row>
        <row r="327">
          <cell r="A327" t="str">
            <v>NY-B15021-PI-XL</v>
          </cell>
          <cell r="B327" t="str">
            <v>B078NNZWD6</v>
          </cell>
        </row>
        <row r="328">
          <cell r="A328" t="str">
            <v>NY-B15021-W0-XL</v>
          </cell>
          <cell r="B328" t="str">
            <v>B078NNZ9M6</v>
          </cell>
        </row>
        <row r="329">
          <cell r="A329" t="str">
            <v>NY-XUHM001-K0-36C</v>
          </cell>
          <cell r="B329" t="str">
            <v>B078WPW9YL</v>
          </cell>
        </row>
        <row r="330">
          <cell r="A330" t="str">
            <v>NY-XUHM001-K0-38C</v>
          </cell>
          <cell r="B330" t="str">
            <v>B078WQN4YQ</v>
          </cell>
        </row>
        <row r="331">
          <cell r="A331" t="str">
            <v>NY-XUHM001-K0-40C</v>
          </cell>
          <cell r="B331" t="str">
            <v>B078WQ3MJ9</v>
          </cell>
        </row>
        <row r="332">
          <cell r="A332" t="str">
            <v>NY-XUHM001-K0-42C</v>
          </cell>
          <cell r="B332" t="str">
            <v>B078WR4F43</v>
          </cell>
        </row>
        <row r="333">
          <cell r="A333" t="str">
            <v>NY-XUHM001-K0-44C</v>
          </cell>
          <cell r="B333" t="str">
            <v>B078WRDL9P</v>
          </cell>
        </row>
        <row r="334">
          <cell r="A334" t="str">
            <v>NY-XUHM002-K0-L</v>
          </cell>
          <cell r="B334" t="str">
            <v>B07BKR7DCF</v>
          </cell>
        </row>
        <row r="335">
          <cell r="A335" t="str">
            <v>NY-XUHM002-K0-M</v>
          </cell>
          <cell r="B335" t="str">
            <v>B07BKT1Y4D</v>
          </cell>
        </row>
        <row r="336">
          <cell r="A336" t="str">
            <v>NY-XUHM002-K0-S</v>
          </cell>
          <cell r="B336" t="str">
            <v>B07BKNH45J</v>
          </cell>
        </row>
        <row r="337">
          <cell r="A337" t="str">
            <v>NY-XUHM002-PI-L</v>
          </cell>
          <cell r="B337" t="str">
            <v>B07BKR7DCG</v>
          </cell>
        </row>
        <row r="338">
          <cell r="A338" t="str">
            <v>NY-XUHM002-PI-M</v>
          </cell>
          <cell r="B338" t="str">
            <v>B07BKSWCR3</v>
          </cell>
        </row>
        <row r="339">
          <cell r="A339" t="str">
            <v>NY-XUHM002-PI-S</v>
          </cell>
          <cell r="B339" t="str">
            <v>B07BKR8D8Z</v>
          </cell>
        </row>
        <row r="340">
          <cell r="A340" t="str">
            <v>NY-XUHM005-GA-L</v>
          </cell>
          <cell r="B340" t="str">
            <v>B07BKTKK7K</v>
          </cell>
        </row>
        <row r="341">
          <cell r="A341" t="str">
            <v>NY-XUHM005-GA-M</v>
          </cell>
          <cell r="B341" t="str">
            <v>B07BKTCPPS</v>
          </cell>
        </row>
        <row r="342">
          <cell r="A342" t="str">
            <v>NY-XUHM005-GA-S</v>
          </cell>
          <cell r="B342" t="str">
            <v>B07BKWBM9B</v>
          </cell>
        </row>
        <row r="343">
          <cell r="A343" t="str">
            <v>NY-XUHM005-K0-L</v>
          </cell>
          <cell r="B343" t="str">
            <v>B07BKTSQ1R</v>
          </cell>
        </row>
        <row r="344">
          <cell r="A344" t="str">
            <v>NY-XUHM005-K0-M</v>
          </cell>
          <cell r="B344" t="str">
            <v>B07BKTLC85</v>
          </cell>
        </row>
        <row r="345">
          <cell r="A345" t="str">
            <v>NY-XUHM005-K0-S</v>
          </cell>
          <cell r="B345" t="str">
            <v>B07BKS8YTN</v>
          </cell>
        </row>
        <row r="346">
          <cell r="A346" t="str">
            <v>NY-XUHM011-K0-36C</v>
          </cell>
          <cell r="B346" t="str">
            <v>B078WQVSNV</v>
          </cell>
        </row>
        <row r="347">
          <cell r="A347" t="str">
            <v>NY-XUHM011-K0-38C</v>
          </cell>
          <cell r="B347" t="str">
            <v>B078WRMSBV</v>
          </cell>
        </row>
        <row r="348">
          <cell r="A348" t="str">
            <v>NY-XUHM011-K0-40C</v>
          </cell>
          <cell r="B348" t="str">
            <v>B078WQMW23</v>
          </cell>
        </row>
        <row r="349">
          <cell r="A349" t="str">
            <v>NY-XUHM011-K0-42C</v>
          </cell>
          <cell r="B349" t="str">
            <v>B078WQV8SF</v>
          </cell>
        </row>
        <row r="350">
          <cell r="A350" t="str">
            <v>NY-XUHM011-K0-44C</v>
          </cell>
          <cell r="B350" t="str">
            <v>B078WRLGFX</v>
          </cell>
        </row>
        <row r="351">
          <cell r="A351" t="str">
            <v>NY-XUHM331-B0-L</v>
          </cell>
          <cell r="B351" t="str">
            <v>B07BKS4NK1</v>
          </cell>
        </row>
        <row r="352">
          <cell r="A352" t="str">
            <v>NY-XUHM332-HS-M</v>
          </cell>
          <cell r="B352" t="str">
            <v>B07BKNWPWQ</v>
          </cell>
        </row>
        <row r="353">
          <cell r="A353" t="str">
            <v>NY-XUHM333-HS-L</v>
          </cell>
          <cell r="B353" t="str">
            <v>B07B3V3G8H</v>
          </cell>
        </row>
        <row r="354">
          <cell r="A354" t="str">
            <v>NY-XUHM333-HS-M</v>
          </cell>
          <cell r="B354" t="str">
            <v>B07B3V3BV5</v>
          </cell>
        </row>
        <row r="355">
          <cell r="A355" t="str">
            <v>NY-XUHM333-HS-S</v>
          </cell>
          <cell r="B355" t="str">
            <v>B07B3TW6D2</v>
          </cell>
        </row>
        <row r="356">
          <cell r="A356" t="str">
            <v>NY-XUHM463-K0-L</v>
          </cell>
          <cell r="B356" t="str">
            <v>B07BKQTYFV</v>
          </cell>
        </row>
        <row r="357">
          <cell r="A357" t="str">
            <v>NY-XUHM463-K0-M</v>
          </cell>
          <cell r="B357" t="str">
            <v>B07BKVPJ6Q</v>
          </cell>
        </row>
        <row r="358">
          <cell r="A358" t="str">
            <v>NY-XUHM463-K0-S</v>
          </cell>
          <cell r="B358" t="str">
            <v>B07BKSX1D6</v>
          </cell>
        </row>
        <row r="359">
          <cell r="A359" t="str">
            <v>NY-XUHM463-K0-XL</v>
          </cell>
          <cell r="B359" t="str">
            <v>B07BKQLKBG</v>
          </cell>
        </row>
        <row r="360">
          <cell r="A360" t="str">
            <v>NY-XUHM463-P0-L</v>
          </cell>
          <cell r="B360" t="str">
            <v>B07BKRLXJK</v>
          </cell>
        </row>
        <row r="361">
          <cell r="A361" t="str">
            <v>NY-XUHM463-P0-M</v>
          </cell>
          <cell r="B361" t="str">
            <v>B07BKRPH4T</v>
          </cell>
        </row>
        <row r="362">
          <cell r="A362" t="str">
            <v>NY-XUHM463-P0-S</v>
          </cell>
          <cell r="B362" t="str">
            <v>B07BKPX8X2</v>
          </cell>
        </row>
        <row r="363">
          <cell r="A363" t="str">
            <v>NY-XUHM463-P0-XL</v>
          </cell>
          <cell r="B363" t="str">
            <v>B07BKQDRB2</v>
          </cell>
        </row>
        <row r="364">
          <cell r="A364" t="str">
            <v>PYJKDKB0L</v>
          </cell>
          <cell r="B364" t="str">
            <v>B073WBNY9P</v>
          </cell>
        </row>
        <row r="365">
          <cell r="A365" t="str">
            <v>PYJKDKK0XXXL</v>
          </cell>
          <cell r="B365" t="str">
            <v>B073WBR2D4</v>
          </cell>
        </row>
        <row r="366">
          <cell r="A366" t="str">
            <v>PYJKDKR0L</v>
          </cell>
          <cell r="B366" t="str">
            <v>B073WB3TLC</v>
          </cell>
        </row>
        <row r="367">
          <cell r="A367" t="str">
            <v>PYJKDKY0M</v>
          </cell>
          <cell r="B367" t="str">
            <v>B073W69WZK</v>
          </cell>
        </row>
        <row r="368">
          <cell r="A368" t="str">
            <v>PYJKJSB0XL</v>
          </cell>
          <cell r="B368" t="str">
            <v>B073WTW1SS</v>
          </cell>
        </row>
        <row r="369">
          <cell r="A369" t="str">
            <v>PYJKJSK0L</v>
          </cell>
          <cell r="B369" t="str">
            <v>B073WTPJLR</v>
          </cell>
        </row>
        <row r="370">
          <cell r="A370" t="str">
            <v>PYJKJSK0M</v>
          </cell>
          <cell r="B370" t="str">
            <v>B073WTRPXK</v>
          </cell>
        </row>
        <row r="371">
          <cell r="A371" t="str">
            <v>PYJKJSK0XL</v>
          </cell>
          <cell r="B371" t="str">
            <v>B073WV1KVP</v>
          </cell>
        </row>
        <row r="372">
          <cell r="A372" t="str">
            <v>PYJKJSK0XXXL</v>
          </cell>
          <cell r="B372" t="str">
            <v>B073WTQ7YC</v>
          </cell>
        </row>
        <row r="373">
          <cell r="A373" t="str">
            <v>PYJKJSR0L</v>
          </cell>
          <cell r="B373" t="str">
            <v>B073WTTKP4</v>
          </cell>
        </row>
        <row r="374">
          <cell r="A374" t="str">
            <v>PYJKJSY0XXXL</v>
          </cell>
          <cell r="B374" t="str">
            <v>B073TWLDHK</v>
          </cell>
        </row>
        <row r="375">
          <cell r="A375" t="str">
            <v>PYJKTSK0L</v>
          </cell>
          <cell r="B375" t="str">
            <v>B073WV5CCK</v>
          </cell>
        </row>
        <row r="376">
          <cell r="A376" t="str">
            <v>PYJKTSKFL</v>
          </cell>
          <cell r="B376" t="str">
            <v>B073WTZ549</v>
          </cell>
        </row>
        <row r="377">
          <cell r="A377" t="str">
            <v>PYJKTSR0L</v>
          </cell>
          <cell r="B377" t="str">
            <v>B073WT7S1J</v>
          </cell>
        </row>
        <row r="378">
          <cell r="A378" t="str">
            <v>PYJKTSY0L</v>
          </cell>
          <cell r="B378" t="str">
            <v>B073W6VTYY</v>
          </cell>
        </row>
        <row r="379">
          <cell r="A379" t="str">
            <v>SPHNYK0</v>
          </cell>
          <cell r="B379" t="str">
            <v>B074FP8V7K</v>
          </cell>
        </row>
        <row r="380">
          <cell r="A380" t="str">
            <v>TTCX36851</v>
          </cell>
          <cell r="B380" t="str">
            <v>B072RD6VF2</v>
          </cell>
        </row>
        <row r="381">
          <cell r="A381" t="str">
            <v>TTYCMZFCX1</v>
          </cell>
          <cell r="B381" t="str">
            <v>B072N2WZ5J</v>
          </cell>
        </row>
        <row r="382">
          <cell r="A382" t="str">
            <v>TTYCMZFCX2</v>
          </cell>
          <cell r="B382" t="str">
            <v>B072KH5Y75</v>
          </cell>
        </row>
        <row r="383">
          <cell r="A383" t="str">
            <v>TTYCMZFCX3</v>
          </cell>
          <cell r="B383" t="str">
            <v>B071K8MVBL</v>
          </cell>
        </row>
        <row r="384">
          <cell r="A384" t="str">
            <v>TTYCYH3688BLACK</v>
          </cell>
          <cell r="B384" t="str">
            <v>B0721PYJL2</v>
          </cell>
        </row>
        <row r="385">
          <cell r="A385" t="str">
            <v>XTHQK0A</v>
          </cell>
          <cell r="B385" t="str">
            <v>B074NYX45B</v>
          </cell>
        </row>
        <row r="386">
          <cell r="A386" t="str">
            <v>XTHQK0B</v>
          </cell>
          <cell r="B386" t="str">
            <v>B074NWMYV7</v>
          </cell>
        </row>
        <row r="387">
          <cell r="A387" t="str">
            <v>XTHQK0C</v>
          </cell>
          <cell r="B387" t="str">
            <v>B074NXL8BJ</v>
          </cell>
        </row>
        <row r="388">
          <cell r="A388" t="str">
            <v>XTHQK0D</v>
          </cell>
          <cell r="B388" t="str">
            <v>B074P1H1SL</v>
          </cell>
        </row>
        <row r="389">
          <cell r="A389" t="str">
            <v>XTHQXSA</v>
          </cell>
          <cell r="B389" t="str">
            <v>B074NXZPYK</v>
          </cell>
        </row>
        <row r="390">
          <cell r="A390" t="str">
            <v>XTHQXSB</v>
          </cell>
          <cell r="B390" t="str">
            <v>B074NY9YM1</v>
          </cell>
        </row>
        <row r="391">
          <cell r="A391" t="str">
            <v>XTHQXSC</v>
          </cell>
          <cell r="B391" t="str">
            <v>B074NNZXDV</v>
          </cell>
        </row>
        <row r="392">
          <cell r="A392" t="str">
            <v>XTHQXSD</v>
          </cell>
          <cell r="B392" t="str">
            <v>B074NQW8FF</v>
          </cell>
        </row>
        <row r="393">
          <cell r="A393" t="str">
            <v>XTLAK0A</v>
          </cell>
          <cell r="B393" t="str">
            <v>B074P2RFBZ</v>
          </cell>
        </row>
        <row r="394">
          <cell r="A394" t="str">
            <v>XTLAK0B</v>
          </cell>
          <cell r="B394" t="str">
            <v>B074NQW76F</v>
          </cell>
        </row>
        <row r="395">
          <cell r="A395" t="str">
            <v>XTLAXSC</v>
          </cell>
          <cell r="B395" t="str">
            <v>B074NZSTV3</v>
          </cell>
        </row>
        <row r="396">
          <cell r="A396" t="str">
            <v>XYBXBAF008W0L</v>
          </cell>
          <cell r="B396" t="str">
            <v>B071YQ9S6C</v>
          </cell>
        </row>
        <row r="397">
          <cell r="A397" t="str">
            <v>XYBXBAF008W0XL</v>
          </cell>
          <cell r="B397" t="str">
            <v>B0722LHQ3T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41</v>
          </cell>
          <cell r="D2">
            <v>64</v>
          </cell>
          <cell r="E2">
            <v>33</v>
          </cell>
          <cell r="F2">
            <v>30</v>
          </cell>
        </row>
        <row r="3">
          <cell r="A3" t="str">
            <v>N31459YR038</v>
          </cell>
          <cell r="B3" t="str">
            <v>N31459Y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e">
            <v>#DIV/0!</v>
          </cell>
        </row>
        <row r="4">
          <cell r="A4" t="str">
            <v>N2716YMH34</v>
          </cell>
          <cell r="B4" t="str">
            <v>N2716Y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  <cell r="G4">
            <v>7.99</v>
          </cell>
        </row>
        <row r="5">
          <cell r="A5" t="str">
            <v>NY-B15016-K0-M</v>
          </cell>
          <cell r="B5" t="str">
            <v>NWZE</v>
          </cell>
          <cell r="C5">
            <v>1</v>
          </cell>
          <cell r="D5">
            <v>0</v>
          </cell>
          <cell r="E5">
            <v>0</v>
          </cell>
          <cell r="F5">
            <v>1</v>
          </cell>
          <cell r="G5">
            <v>18.99</v>
          </cell>
        </row>
        <row r="6">
          <cell r="A6" t="str">
            <v>N039YR036</v>
          </cell>
          <cell r="B6" t="str">
            <v>N039Y</v>
          </cell>
          <cell r="C6">
            <v>0</v>
          </cell>
          <cell r="D6">
            <v>1</v>
          </cell>
          <cell r="E6">
            <v>1</v>
          </cell>
          <cell r="F6">
            <v>2</v>
          </cell>
          <cell r="G6">
            <v>9.99</v>
          </cell>
        </row>
        <row r="7">
          <cell r="A7" t="str">
            <v>N9383YR038</v>
          </cell>
          <cell r="B7" t="str">
            <v>N9383Y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e">
            <v>#DIV/0!</v>
          </cell>
        </row>
        <row r="8">
          <cell r="A8" t="str">
            <v>NK-XUHM001-K0-M</v>
          </cell>
          <cell r="B8" t="str">
            <v>ZSNW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4.71</v>
          </cell>
        </row>
        <row r="9">
          <cell r="A9" t="str">
            <v>N31459YP038</v>
          </cell>
          <cell r="B9" t="str">
            <v>N31459Y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13.9</v>
          </cell>
        </row>
        <row r="10">
          <cell r="A10" t="str">
            <v>N039YTHS36</v>
          </cell>
          <cell r="B10" t="str">
            <v>N039Y</v>
          </cell>
          <cell r="C10">
            <v>0</v>
          </cell>
          <cell r="D10">
            <v>1</v>
          </cell>
          <cell r="E10">
            <v>0</v>
          </cell>
          <cell r="F10">
            <v>1</v>
          </cell>
          <cell r="G10">
            <v>7.8</v>
          </cell>
        </row>
        <row r="11">
          <cell r="A11" t="str">
            <v>N2716YMH38</v>
          </cell>
          <cell r="B11" t="str">
            <v>N2716Y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9.99</v>
          </cell>
        </row>
        <row r="12">
          <cell r="A12" t="str">
            <v>MY71107MSM</v>
          </cell>
          <cell r="B12" t="str">
            <v>MY71107</v>
          </cell>
          <cell r="C12">
            <v>0</v>
          </cell>
          <cell r="D12">
            <v>0</v>
          </cell>
          <cell r="E12">
            <v>0</v>
          </cell>
          <cell r="F12">
            <v>1</v>
          </cell>
          <cell r="G12">
            <v>42.99</v>
          </cell>
        </row>
        <row r="13">
          <cell r="A13" t="str">
            <v>DDHNYK0</v>
          </cell>
          <cell r="B13" t="str">
            <v>DDHNY</v>
          </cell>
          <cell r="C13">
            <v>1</v>
          </cell>
          <cell r="D13">
            <v>0</v>
          </cell>
          <cell r="E13">
            <v>1</v>
          </cell>
          <cell r="F13">
            <v>2</v>
          </cell>
          <cell r="G13">
            <v>15.99</v>
          </cell>
        </row>
        <row r="14">
          <cell r="A14" t="str">
            <v>N039YB038</v>
          </cell>
          <cell r="B14" t="str">
            <v>N029Y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  <cell r="G14">
            <v>8.08</v>
          </cell>
        </row>
        <row r="15">
          <cell r="A15" t="str">
            <v>N2716YR036</v>
          </cell>
          <cell r="B15" t="str">
            <v>N2716Y</v>
          </cell>
          <cell r="C15">
            <v>1</v>
          </cell>
          <cell r="D15">
            <v>3</v>
          </cell>
          <cell r="E15">
            <v>0</v>
          </cell>
          <cell r="F15">
            <v>1</v>
          </cell>
          <cell r="G15">
            <v>9.99</v>
          </cell>
        </row>
        <row r="16">
          <cell r="A16" t="str">
            <v>N31459YLL48</v>
          </cell>
          <cell r="B16" t="str">
            <v>N31459Y</v>
          </cell>
          <cell r="C16">
            <v>1</v>
          </cell>
          <cell r="D16">
            <v>2</v>
          </cell>
          <cell r="E16">
            <v>0</v>
          </cell>
          <cell r="F16">
            <v>1</v>
          </cell>
          <cell r="G16">
            <v>10.425</v>
          </cell>
        </row>
        <row r="17">
          <cell r="A17" t="str">
            <v>N2716YR034</v>
          </cell>
          <cell r="B17" t="str">
            <v>N2716Y</v>
          </cell>
          <cell r="C17">
            <v>0</v>
          </cell>
          <cell r="D17">
            <v>1</v>
          </cell>
          <cell r="E17">
            <v>1</v>
          </cell>
          <cell r="F17">
            <v>1</v>
          </cell>
          <cell r="G17">
            <v>9.99</v>
          </cell>
        </row>
        <row r="18">
          <cell r="A18" t="str">
            <v>JBL-QFFMR5L</v>
          </cell>
          <cell r="B18" t="str">
            <v>JBL-QFFM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0</v>
          </cell>
        </row>
        <row r="19">
          <cell r="A19" t="str">
            <v>NY-XUHM005-GA-M</v>
          </cell>
          <cell r="B19" t="str">
            <v>NY-B15021</v>
          </cell>
          <cell r="C19">
            <v>0</v>
          </cell>
          <cell r="D19">
            <v>1</v>
          </cell>
          <cell r="E19">
            <v>0</v>
          </cell>
          <cell r="F19">
            <v>1</v>
          </cell>
          <cell r="G19">
            <v>16.99</v>
          </cell>
        </row>
        <row r="20">
          <cell r="A20" t="str">
            <v>DDBNYW0</v>
          </cell>
          <cell r="B20" t="str">
            <v>DDBNY</v>
          </cell>
          <cell r="C20">
            <v>1</v>
          </cell>
          <cell r="D20">
            <v>0</v>
          </cell>
          <cell r="E20">
            <v>0</v>
          </cell>
          <cell r="F20">
            <v>1</v>
          </cell>
          <cell r="G20">
            <v>15.99</v>
          </cell>
        </row>
        <row r="21">
          <cell r="A21" t="str">
            <v>N039YR038</v>
          </cell>
          <cell r="B21" t="str">
            <v>N039Y</v>
          </cell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9.99</v>
          </cell>
        </row>
        <row r="22">
          <cell r="A22" t="str">
            <v>JBL-QFFMR5M</v>
          </cell>
          <cell r="B22" t="str">
            <v>JBL-QFFM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20.9</v>
          </cell>
        </row>
        <row r="23">
          <cell r="A23" t="str">
            <v>NY-XUHM005-K0-L</v>
          </cell>
          <cell r="B23" t="str">
            <v>NY-B15021</v>
          </cell>
          <cell r="C23">
            <v>0</v>
          </cell>
          <cell r="D23">
            <v>0</v>
          </cell>
          <cell r="E23">
            <v>1</v>
          </cell>
          <cell r="F23">
            <v>1</v>
          </cell>
          <cell r="G23">
            <v>16.99</v>
          </cell>
        </row>
        <row r="24">
          <cell r="A24" t="str">
            <v>NY-B15016-W0-L</v>
          </cell>
          <cell r="B24" t="str">
            <v>NY-B15016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18.99</v>
          </cell>
        </row>
        <row r="25">
          <cell r="A25" t="str">
            <v>GJHNYK0</v>
          </cell>
          <cell r="B25" t="str">
            <v>GJHNY</v>
          </cell>
          <cell r="C25">
            <v>1</v>
          </cell>
          <cell r="D25">
            <v>1</v>
          </cell>
          <cell r="E25">
            <v>0</v>
          </cell>
          <cell r="F25">
            <v>1</v>
          </cell>
          <cell r="G25">
            <v>15.99</v>
          </cell>
        </row>
        <row r="26">
          <cell r="A26" t="str">
            <v>KTKXKW0L</v>
          </cell>
          <cell r="B26" t="str">
            <v>KTKXXK</v>
          </cell>
          <cell r="C26">
            <v>1</v>
          </cell>
          <cell r="D26">
            <v>3</v>
          </cell>
          <cell r="E26">
            <v>1</v>
          </cell>
          <cell r="F26">
            <v>1</v>
          </cell>
          <cell r="G26">
            <v>19.4916666666667</v>
          </cell>
        </row>
        <row r="27">
          <cell r="A27" t="str">
            <v>NY-B15021-PI-XL</v>
          </cell>
          <cell r="B27" t="str">
            <v>NY-B15021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18.99</v>
          </cell>
        </row>
        <row r="28">
          <cell r="A28" t="str">
            <v>XTLAK0B</v>
          </cell>
          <cell r="B28" t="str">
            <v>XTLA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8.79</v>
          </cell>
        </row>
        <row r="29">
          <cell r="A29" t="str">
            <v>N029YE038</v>
          </cell>
          <cell r="B29" t="str">
            <v>MZCXK</v>
          </cell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7.99</v>
          </cell>
        </row>
        <row r="30">
          <cell r="A30" t="str">
            <v>MY71115ZQXL</v>
          </cell>
          <cell r="B30" t="str">
            <v>MY71115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42.99</v>
          </cell>
        </row>
        <row r="31">
          <cell r="A31" t="str">
            <v>N039YR040</v>
          </cell>
          <cell r="B31" t="str">
            <v>N039Y</v>
          </cell>
          <cell r="C31">
            <v>0</v>
          </cell>
          <cell r="D31">
            <v>1</v>
          </cell>
          <cell r="E31">
            <v>0</v>
          </cell>
          <cell r="F31">
            <v>1</v>
          </cell>
          <cell r="G31">
            <v>9.99</v>
          </cell>
        </row>
        <row r="32">
          <cell r="A32" t="str">
            <v>N3818-2YW046</v>
          </cell>
          <cell r="B32" t="str">
            <v>N3818-2Y</v>
          </cell>
          <cell r="C32">
            <v>0</v>
          </cell>
          <cell r="D32">
            <v>1</v>
          </cell>
          <cell r="E32">
            <v>1</v>
          </cell>
          <cell r="F32">
            <v>0</v>
          </cell>
          <cell r="G32">
            <v>8.86</v>
          </cell>
        </row>
        <row r="33">
          <cell r="A33" t="str">
            <v>JBL-QFFMMHL</v>
          </cell>
          <cell r="B33" t="str">
            <v>JBLKTK</v>
          </cell>
          <cell r="C33">
            <v>1</v>
          </cell>
          <cell r="D33">
            <v>0</v>
          </cell>
          <cell r="E33">
            <v>1</v>
          </cell>
          <cell r="F33">
            <v>0</v>
          </cell>
          <cell r="G33">
            <v>20.9</v>
          </cell>
        </row>
        <row r="34">
          <cell r="A34" t="str">
            <v>NY-B15021-PI-M</v>
          </cell>
          <cell r="B34" t="str">
            <v>NY-B15021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15.19</v>
          </cell>
        </row>
        <row r="35">
          <cell r="A35" t="str">
            <v>N2716YMH36</v>
          </cell>
          <cell r="B35" t="str">
            <v>N2716Y</v>
          </cell>
          <cell r="C35">
            <v>2</v>
          </cell>
          <cell r="D35">
            <v>3</v>
          </cell>
          <cell r="E35">
            <v>1</v>
          </cell>
          <cell r="F35">
            <v>0</v>
          </cell>
          <cell r="G35">
            <v>5.41</v>
          </cell>
        </row>
        <row r="36">
          <cell r="A36" t="str">
            <v>N039YTHS38</v>
          </cell>
          <cell r="B36" t="str">
            <v>N039Y</v>
          </cell>
          <cell r="C36">
            <v>0</v>
          </cell>
          <cell r="D36">
            <v>0</v>
          </cell>
          <cell r="E36">
            <v>1</v>
          </cell>
          <cell r="F36">
            <v>0</v>
          </cell>
          <cell r="G36">
            <v>9.99</v>
          </cell>
        </row>
        <row r="37">
          <cell r="A37" t="str">
            <v>MY71115K0XXL</v>
          </cell>
          <cell r="B37" t="str">
            <v>MY71115</v>
          </cell>
          <cell r="C37">
            <v>0</v>
          </cell>
          <cell r="D37">
            <v>1</v>
          </cell>
          <cell r="E37">
            <v>1</v>
          </cell>
          <cell r="F37">
            <v>0</v>
          </cell>
          <cell r="G37">
            <v>42.99</v>
          </cell>
        </row>
        <row r="38">
          <cell r="A38" t="str">
            <v>NY-XUHM002-PI-M</v>
          </cell>
          <cell r="B38" t="str">
            <v>NY-B15021</v>
          </cell>
          <cell r="C38">
            <v>1</v>
          </cell>
          <cell r="D38">
            <v>1</v>
          </cell>
          <cell r="E38">
            <v>1</v>
          </cell>
          <cell r="F38">
            <v>0</v>
          </cell>
          <cell r="G38">
            <v>16.99</v>
          </cell>
        </row>
        <row r="39">
          <cell r="A39" t="str">
            <v>NK-XUHM001-K0-L</v>
          </cell>
          <cell r="B39" t="str">
            <v>ZIMUYH</v>
          </cell>
          <cell r="C39">
            <v>0</v>
          </cell>
          <cell r="D39">
            <v>1</v>
          </cell>
          <cell r="E39">
            <v>1</v>
          </cell>
          <cell r="F39">
            <v>0</v>
          </cell>
          <cell r="G39">
            <v>5.59</v>
          </cell>
        </row>
        <row r="40">
          <cell r="A40" t="str">
            <v>N31459YP048</v>
          </cell>
          <cell r="B40" t="str">
            <v>N31459Y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13.9</v>
          </cell>
        </row>
        <row r="41">
          <cell r="A41" t="str">
            <v>N2716YYGL38</v>
          </cell>
          <cell r="B41" t="str">
            <v>N2716Y</v>
          </cell>
          <cell r="C41">
            <v>0</v>
          </cell>
          <cell r="D41">
            <v>0</v>
          </cell>
          <cell r="E41">
            <v>1</v>
          </cell>
          <cell r="F41">
            <v>0</v>
          </cell>
          <cell r="G41">
            <v>7.46</v>
          </cell>
        </row>
        <row r="42">
          <cell r="A42" t="str">
            <v>MY71115ZQXXL</v>
          </cell>
          <cell r="B42" t="str">
            <v>MY71115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 t="e">
            <v>#DIV/0!</v>
          </cell>
        </row>
        <row r="43">
          <cell r="A43" t="str">
            <v>NY-XUHM002-PI-L</v>
          </cell>
          <cell r="B43" t="str">
            <v>NY-B15021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16.99</v>
          </cell>
        </row>
        <row r="44">
          <cell r="A44" t="str">
            <v>NY-B15016-W0-S</v>
          </cell>
          <cell r="B44" t="str">
            <v>NY-B15016</v>
          </cell>
          <cell r="C44">
            <v>0</v>
          </cell>
          <cell r="D44">
            <v>0</v>
          </cell>
          <cell r="E44">
            <v>2</v>
          </cell>
          <cell r="F44">
            <v>0</v>
          </cell>
          <cell r="G44">
            <v>18.99</v>
          </cell>
        </row>
        <row r="45">
          <cell r="A45" t="str">
            <v>N9932YK036</v>
          </cell>
          <cell r="B45" t="str">
            <v>N9383Y</v>
          </cell>
          <cell r="C45">
            <v>0</v>
          </cell>
          <cell r="D45">
            <v>0</v>
          </cell>
          <cell r="E45">
            <v>1</v>
          </cell>
          <cell r="F45">
            <v>0</v>
          </cell>
          <cell r="G45">
            <v>12.9</v>
          </cell>
        </row>
        <row r="46">
          <cell r="A46" t="str">
            <v>KTKXKG0L</v>
          </cell>
          <cell r="B46" t="str">
            <v>KTKXXK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23.9</v>
          </cell>
        </row>
        <row r="47">
          <cell r="A47" t="str">
            <v>N2716YYGL36</v>
          </cell>
          <cell r="B47" t="str">
            <v>N2716Y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8.53</v>
          </cell>
        </row>
        <row r="48">
          <cell r="A48" t="str">
            <v>N039YG038</v>
          </cell>
          <cell r="B48" t="str">
            <v>N039Y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9.99</v>
          </cell>
        </row>
        <row r="49">
          <cell r="A49" t="str">
            <v>N31459YB040</v>
          </cell>
          <cell r="B49" t="str">
            <v>N299Y</v>
          </cell>
          <cell r="C49">
            <v>0</v>
          </cell>
          <cell r="D49">
            <v>1</v>
          </cell>
          <cell r="E49">
            <v>1</v>
          </cell>
          <cell r="F49">
            <v>0</v>
          </cell>
          <cell r="G49">
            <v>13.9</v>
          </cell>
        </row>
        <row r="50">
          <cell r="A50" t="str">
            <v>NY-XUHM005-GA-L</v>
          </cell>
          <cell r="B50" t="str">
            <v>NY-B15021</v>
          </cell>
          <cell r="C50">
            <v>0</v>
          </cell>
          <cell r="D50">
            <v>0</v>
          </cell>
          <cell r="E50">
            <v>1</v>
          </cell>
          <cell r="F50">
            <v>0</v>
          </cell>
          <cell r="G50">
            <v>16.99</v>
          </cell>
        </row>
        <row r="51">
          <cell r="A51" t="str">
            <v>N31459YP046</v>
          </cell>
          <cell r="B51" t="str">
            <v>N31459Y</v>
          </cell>
          <cell r="C51">
            <v>0</v>
          </cell>
          <cell r="D51">
            <v>0</v>
          </cell>
          <cell r="E51">
            <v>1</v>
          </cell>
          <cell r="F51">
            <v>0</v>
          </cell>
          <cell r="G51">
            <v>13.9</v>
          </cell>
        </row>
        <row r="52">
          <cell r="A52" t="str">
            <v>N31459YR044</v>
          </cell>
          <cell r="B52" t="str">
            <v>N31459Y</v>
          </cell>
          <cell r="C52">
            <v>0</v>
          </cell>
          <cell r="D52">
            <v>1</v>
          </cell>
          <cell r="E52">
            <v>1</v>
          </cell>
          <cell r="F52">
            <v>0</v>
          </cell>
          <cell r="G52">
            <v>13.9</v>
          </cell>
        </row>
        <row r="53">
          <cell r="A53" t="str">
            <v>NY-B15021-B0-XL</v>
          </cell>
          <cell r="B53" t="str">
            <v>NY-B15021</v>
          </cell>
          <cell r="C53">
            <v>0</v>
          </cell>
          <cell r="D53">
            <v>0</v>
          </cell>
          <cell r="E53">
            <v>1</v>
          </cell>
          <cell r="F53">
            <v>0</v>
          </cell>
          <cell r="G53">
            <v>18.99</v>
          </cell>
        </row>
        <row r="54">
          <cell r="A54" t="str">
            <v>N029YHL36</v>
          </cell>
          <cell r="B54" t="str">
            <v>N029Y</v>
          </cell>
          <cell r="C54">
            <v>0</v>
          </cell>
          <cell r="D54">
            <v>1</v>
          </cell>
          <cell r="E54">
            <v>1</v>
          </cell>
          <cell r="F54">
            <v>0</v>
          </cell>
          <cell r="G54">
            <v>7.68</v>
          </cell>
        </row>
        <row r="55">
          <cell r="A55" t="str">
            <v>N531YK040</v>
          </cell>
          <cell r="B55" t="str">
            <v>N531Y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10.39</v>
          </cell>
        </row>
        <row r="56">
          <cell r="A56" t="str">
            <v>NY-XUHM332-HS-M</v>
          </cell>
          <cell r="B56" t="str">
            <v>NY-XUHM332</v>
          </cell>
          <cell r="C56">
            <v>2</v>
          </cell>
          <cell r="D56">
            <v>5</v>
          </cell>
          <cell r="E56">
            <v>4</v>
          </cell>
          <cell r="F56">
            <v>0</v>
          </cell>
          <cell r="G56">
            <v>12.99</v>
          </cell>
        </row>
        <row r="57">
          <cell r="A57" t="str">
            <v>N3818-2YW038</v>
          </cell>
          <cell r="B57" t="str">
            <v>N3818-2Y</v>
          </cell>
          <cell r="C57">
            <v>0</v>
          </cell>
          <cell r="D57">
            <v>1</v>
          </cell>
          <cell r="E57">
            <v>0</v>
          </cell>
          <cell r="F57">
            <v>0</v>
          </cell>
          <cell r="G57">
            <v>9.21</v>
          </cell>
        </row>
        <row r="58">
          <cell r="A58" t="str">
            <v>N87319KXSL</v>
          </cell>
          <cell r="B58" t="str">
            <v>N87319K</v>
          </cell>
          <cell r="C58">
            <v>0</v>
          </cell>
          <cell r="D58">
            <v>1</v>
          </cell>
          <cell r="E58">
            <v>0</v>
          </cell>
          <cell r="F58">
            <v>0</v>
          </cell>
          <cell r="G58">
            <v>4.45</v>
          </cell>
        </row>
        <row r="59">
          <cell r="A59" t="str">
            <v>NY-XUHM002-K0-L</v>
          </cell>
          <cell r="B59" t="str">
            <v>NY-B15021</v>
          </cell>
          <cell r="C59">
            <v>1</v>
          </cell>
          <cell r="D59">
            <v>2</v>
          </cell>
          <cell r="E59">
            <v>0</v>
          </cell>
          <cell r="F59">
            <v>0</v>
          </cell>
          <cell r="G59">
            <v>16.99</v>
          </cell>
        </row>
        <row r="60">
          <cell r="A60" t="str">
            <v>HLYHMYSG</v>
          </cell>
          <cell r="B60" t="str">
            <v>TTYCMZFCXH</v>
          </cell>
          <cell r="C60">
            <v>0</v>
          </cell>
          <cell r="D60">
            <v>4</v>
          </cell>
          <cell r="E60">
            <v>0</v>
          </cell>
          <cell r="F60">
            <v>0</v>
          </cell>
          <cell r="G60">
            <v>36.76</v>
          </cell>
        </row>
        <row r="61">
          <cell r="A61" t="str">
            <v>N2716YHL36</v>
          </cell>
          <cell r="B61" t="str">
            <v>N263Y</v>
          </cell>
          <cell r="C61">
            <v>0</v>
          </cell>
          <cell r="D61">
            <v>2</v>
          </cell>
          <cell r="E61">
            <v>0</v>
          </cell>
          <cell r="F61">
            <v>0</v>
          </cell>
          <cell r="G61">
            <v>7.89</v>
          </cell>
        </row>
        <row r="62">
          <cell r="A62" t="str">
            <v>N2716YHL38</v>
          </cell>
          <cell r="B62" t="str">
            <v>N263Y</v>
          </cell>
          <cell r="C62">
            <v>1</v>
          </cell>
          <cell r="D62">
            <v>1</v>
          </cell>
          <cell r="E62">
            <v>0</v>
          </cell>
          <cell r="F62">
            <v>0</v>
          </cell>
          <cell r="G62">
            <v>7.97</v>
          </cell>
        </row>
        <row r="63">
          <cell r="A63" t="str">
            <v>XTHQXSC</v>
          </cell>
          <cell r="B63" t="str">
            <v>XTHQ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  <cell r="G63">
            <v>8.79</v>
          </cell>
        </row>
        <row r="64">
          <cell r="A64" t="str">
            <v>N029YMH36</v>
          </cell>
          <cell r="B64" t="str">
            <v>N029Y</v>
          </cell>
          <cell r="C64">
            <v>0</v>
          </cell>
          <cell r="D64">
            <v>1</v>
          </cell>
          <cell r="E64">
            <v>0</v>
          </cell>
          <cell r="F64">
            <v>0</v>
          </cell>
          <cell r="G64">
            <v>7.99</v>
          </cell>
        </row>
        <row r="65">
          <cell r="A65" t="str">
            <v>KTKXKY0</v>
          </cell>
          <cell r="B65" t="str">
            <v>KTKXXK</v>
          </cell>
          <cell r="C65">
            <v>1</v>
          </cell>
          <cell r="D65">
            <v>2</v>
          </cell>
          <cell r="E65">
            <v>0</v>
          </cell>
          <cell r="F65">
            <v>0</v>
          </cell>
          <cell r="G65">
            <v>22.99</v>
          </cell>
        </row>
        <row r="66">
          <cell r="A66" t="str">
            <v>N31459YP044</v>
          </cell>
          <cell r="B66" t="str">
            <v>N31459Y</v>
          </cell>
          <cell r="C66">
            <v>0</v>
          </cell>
          <cell r="D66">
            <v>1</v>
          </cell>
          <cell r="E66">
            <v>0</v>
          </cell>
          <cell r="F66">
            <v>0</v>
          </cell>
          <cell r="G66">
            <v>13.9</v>
          </cell>
        </row>
        <row r="67">
          <cell r="A67" t="str">
            <v>KTKXKR0</v>
          </cell>
          <cell r="B67" t="str">
            <v>KTKXXK</v>
          </cell>
          <cell r="C67">
            <v>9</v>
          </cell>
          <cell r="D67">
            <v>4</v>
          </cell>
          <cell r="E67">
            <v>0</v>
          </cell>
          <cell r="F67">
            <v>0</v>
          </cell>
          <cell r="G67">
            <v>22.9</v>
          </cell>
        </row>
        <row r="68">
          <cell r="A68" t="str">
            <v>N531YB036</v>
          </cell>
          <cell r="B68" t="str">
            <v>N5100Y</v>
          </cell>
          <cell r="C68">
            <v>0</v>
          </cell>
          <cell r="D68">
            <v>2</v>
          </cell>
          <cell r="E68">
            <v>0</v>
          </cell>
          <cell r="F68">
            <v>0</v>
          </cell>
          <cell r="G68">
            <v>11.45</v>
          </cell>
        </row>
        <row r="69">
          <cell r="A69" t="str">
            <v>JBL-QFFMMHS</v>
          </cell>
          <cell r="B69" t="str">
            <v>JBLKTK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20.9</v>
          </cell>
        </row>
        <row r="70">
          <cell r="A70" t="str">
            <v>NK-XUHM001-K0-XXL</v>
          </cell>
          <cell r="B70" t="str">
            <v>NK-XUHM001</v>
          </cell>
          <cell r="C70">
            <v>0</v>
          </cell>
          <cell r="D70">
            <v>2</v>
          </cell>
          <cell r="E70">
            <v>0</v>
          </cell>
          <cell r="F70">
            <v>0</v>
          </cell>
          <cell r="G70">
            <v>6.99</v>
          </cell>
        </row>
        <row r="71">
          <cell r="A71" t="str">
            <v>N31459YJS46</v>
          </cell>
          <cell r="B71" t="str">
            <v>N31459Y</v>
          </cell>
          <cell r="C71">
            <v>2</v>
          </cell>
          <cell r="D71">
            <v>1</v>
          </cell>
          <cell r="E71">
            <v>0</v>
          </cell>
          <cell r="F71">
            <v>0</v>
          </cell>
          <cell r="G71">
            <v>13.9</v>
          </cell>
        </row>
        <row r="72">
          <cell r="A72" t="str">
            <v>NY-B15016-Y0-S</v>
          </cell>
          <cell r="B72" t="str">
            <v>NY-B15016</v>
          </cell>
          <cell r="C72">
            <v>0</v>
          </cell>
          <cell r="D72">
            <v>2</v>
          </cell>
          <cell r="E72">
            <v>0</v>
          </cell>
          <cell r="F72">
            <v>0</v>
          </cell>
          <cell r="G72">
            <v>18.99</v>
          </cell>
        </row>
        <row r="73">
          <cell r="A73" t="str">
            <v>N87232KP0XL</v>
          </cell>
          <cell r="B73" t="str">
            <v>N87232K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5.27</v>
          </cell>
        </row>
        <row r="74">
          <cell r="A74" t="str">
            <v>NK-XUHM001-K0-XL</v>
          </cell>
          <cell r="B74" t="str">
            <v>NK-XUHM001</v>
          </cell>
          <cell r="C74">
            <v>0</v>
          </cell>
          <cell r="D74">
            <v>1</v>
          </cell>
          <cell r="E74">
            <v>0</v>
          </cell>
          <cell r="F74">
            <v>0</v>
          </cell>
          <cell r="G74">
            <v>6.99</v>
          </cell>
        </row>
        <row r="75">
          <cell r="A75" t="str">
            <v>NY-B15016-Y0-M</v>
          </cell>
          <cell r="B75" t="str">
            <v>NY-B15016</v>
          </cell>
          <cell r="C75">
            <v>0</v>
          </cell>
          <cell r="D75">
            <v>1</v>
          </cell>
          <cell r="E75">
            <v>0</v>
          </cell>
          <cell r="F75">
            <v>0</v>
          </cell>
          <cell r="G75">
            <v>18.99</v>
          </cell>
        </row>
        <row r="76">
          <cell r="A76" t="str">
            <v>N039YXGH40</v>
          </cell>
          <cell r="B76" t="str">
            <v>N039Y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7.99</v>
          </cell>
        </row>
        <row r="77">
          <cell r="A77" t="str">
            <v>N2716YYGL34</v>
          </cell>
          <cell r="B77" t="str">
            <v>N2716Y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9.99</v>
          </cell>
        </row>
        <row r="78">
          <cell r="A78" t="str">
            <v>N531YK036</v>
          </cell>
          <cell r="B78" t="str">
            <v>N531Y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10.39</v>
          </cell>
        </row>
        <row r="79">
          <cell r="A79" t="str">
            <v>NK-XUHM001-K0-S</v>
          </cell>
          <cell r="B79" t="str">
            <v>ZZTS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5.59</v>
          </cell>
        </row>
        <row r="80">
          <cell r="A80" t="str">
            <v>NY-XUHM463-P0-XL</v>
          </cell>
          <cell r="B80" t="str">
            <v>NY-XUHM463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15.99</v>
          </cell>
        </row>
        <row r="81">
          <cell r="A81" t="str">
            <v>NY-XUHM463-K0-XL</v>
          </cell>
          <cell r="B81" t="str">
            <v>NY-XUHM463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 t="e">
            <v>#DIV/0!</v>
          </cell>
        </row>
        <row r="82">
          <cell r="A82" t="str">
            <v>NY-B15016-K0-L</v>
          </cell>
          <cell r="B82" t="str">
            <v>NWZE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18.99</v>
          </cell>
        </row>
        <row r="83">
          <cell r="A83" t="str">
            <v>JBL-QFFMR5XL</v>
          </cell>
          <cell r="B83" t="str">
            <v>JBL-QFFM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20.9</v>
          </cell>
        </row>
        <row r="84">
          <cell r="A84" t="str">
            <v>NY-XUHM002-K0-M</v>
          </cell>
          <cell r="B84" t="str">
            <v>NY-B15021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16.99</v>
          </cell>
        </row>
        <row r="85">
          <cell r="A85" t="str">
            <v>N2716YR038</v>
          </cell>
          <cell r="B85" t="str">
            <v>N2716Y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9.99</v>
          </cell>
        </row>
        <row r="86">
          <cell r="A86" t="str">
            <v>SPHNYK0</v>
          </cell>
          <cell r="B86" t="str">
            <v>SJKTK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15.99</v>
          </cell>
        </row>
        <row r="87">
          <cell r="A87" t="str">
            <v>NY-XUHM331-B0-L</v>
          </cell>
          <cell r="B87" t="str">
            <v>NY-XUHM331</v>
          </cell>
          <cell r="C87">
            <v>3</v>
          </cell>
          <cell r="D87">
            <v>0</v>
          </cell>
          <cell r="E87">
            <v>0</v>
          </cell>
          <cell r="F87">
            <v>0</v>
          </cell>
          <cell r="G87">
            <v>9.99</v>
          </cell>
        </row>
        <row r="88">
          <cell r="A88" t="str">
            <v>XTHQXSB</v>
          </cell>
          <cell r="B88" t="str">
            <v>XTHQ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8.99</v>
          </cell>
        </row>
        <row r="89">
          <cell r="A89" t="str">
            <v>NY-B15021-PI-S</v>
          </cell>
          <cell r="B89" t="str">
            <v>NY-B15021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18.99</v>
          </cell>
        </row>
        <row r="90">
          <cell r="A90" t="str">
            <v>JBL-QFFMMHXL</v>
          </cell>
          <cell r="B90" t="str">
            <v>JBL-QFFM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20.9</v>
          </cell>
        </row>
        <row r="178">
          <cell r="A178" t="str">
            <v>N2716YMH36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N31459Y</v>
          </cell>
          <cell r="B2">
            <v>12.9071428571429</v>
          </cell>
        </row>
        <row r="3">
          <cell r="A3" t="str">
            <v>N2716Y</v>
          </cell>
          <cell r="B3">
            <v>8.3165</v>
          </cell>
        </row>
        <row r="4">
          <cell r="A4" t="str">
            <v>NWZE</v>
          </cell>
          <cell r="B4">
            <v>18.99</v>
          </cell>
        </row>
        <row r="5">
          <cell r="A5" t="str">
            <v>N039Y</v>
          </cell>
          <cell r="B5">
            <v>9.49923076923077</v>
          </cell>
        </row>
        <row r="6">
          <cell r="A6" t="str">
            <v>N9383Y</v>
          </cell>
          <cell r="B6">
            <v>12.9</v>
          </cell>
        </row>
        <row r="7">
          <cell r="A7" t="str">
            <v>ZSNW</v>
          </cell>
          <cell r="B7">
            <v>4.71</v>
          </cell>
        </row>
        <row r="8">
          <cell r="A8" t="str">
            <v>MY71107</v>
          </cell>
          <cell r="B8">
            <v>42.99</v>
          </cell>
        </row>
        <row r="9">
          <cell r="A9" t="str">
            <v>DDHNY</v>
          </cell>
          <cell r="B9">
            <v>15.99</v>
          </cell>
        </row>
        <row r="10">
          <cell r="A10" t="str">
            <v>N029Y</v>
          </cell>
          <cell r="B10">
            <v>7.8575</v>
          </cell>
        </row>
        <row r="11">
          <cell r="A11" t="str">
            <v>JBL-QFFM</v>
          </cell>
          <cell r="B11">
            <v>15.675</v>
          </cell>
        </row>
        <row r="12">
          <cell r="A12" t="str">
            <v>NY-B15021</v>
          </cell>
          <cell r="B12">
            <v>17.2370588235294</v>
          </cell>
        </row>
        <row r="13">
          <cell r="A13" t="str">
            <v>DDBNY</v>
          </cell>
          <cell r="B13">
            <v>15.99</v>
          </cell>
        </row>
        <row r="14">
          <cell r="A14" t="str">
            <v>NY-B15016</v>
          </cell>
          <cell r="B14">
            <v>18.99</v>
          </cell>
        </row>
        <row r="15">
          <cell r="A15" t="str">
            <v>GJHNY</v>
          </cell>
          <cell r="B15">
            <v>15.99</v>
          </cell>
        </row>
        <row r="16">
          <cell r="A16" t="str">
            <v>KTKXXK</v>
          </cell>
          <cell r="B16">
            <v>22.0660869565217</v>
          </cell>
        </row>
        <row r="17">
          <cell r="A17" t="str">
            <v>XTLA</v>
          </cell>
          <cell r="B17">
            <v>8.79</v>
          </cell>
        </row>
        <row r="18">
          <cell r="A18" t="str">
            <v>MZCXK</v>
          </cell>
          <cell r="B18">
            <v>7.99</v>
          </cell>
        </row>
        <row r="19">
          <cell r="A19" t="str">
            <v>MY71115</v>
          </cell>
          <cell r="B19">
            <v>42.99</v>
          </cell>
        </row>
        <row r="20">
          <cell r="A20" t="str">
            <v>N3818-2Y</v>
          </cell>
          <cell r="B20">
            <v>8.97666666666667</v>
          </cell>
        </row>
        <row r="21">
          <cell r="A21" t="str">
            <v>JBLKTK</v>
          </cell>
          <cell r="B21">
            <v>20.9</v>
          </cell>
        </row>
        <row r="22">
          <cell r="A22" t="str">
            <v>ZIMUYH</v>
          </cell>
          <cell r="B22">
            <v>5.59</v>
          </cell>
        </row>
        <row r="23">
          <cell r="A23" t="str">
            <v>N299Y</v>
          </cell>
          <cell r="B23">
            <v>13.9</v>
          </cell>
        </row>
        <row r="24">
          <cell r="A24" t="str">
            <v>N531Y</v>
          </cell>
          <cell r="B24">
            <v>10.39</v>
          </cell>
        </row>
        <row r="25">
          <cell r="A25" t="str">
            <v>NY-XUHM332</v>
          </cell>
          <cell r="B25">
            <v>12.99</v>
          </cell>
        </row>
        <row r="26">
          <cell r="A26" t="str">
            <v>N87319K</v>
          </cell>
          <cell r="B26">
            <v>4.45</v>
          </cell>
        </row>
        <row r="27">
          <cell r="A27" t="str">
            <v>TTYCMZFCXH</v>
          </cell>
          <cell r="B27">
            <v>36.76</v>
          </cell>
        </row>
        <row r="28">
          <cell r="A28" t="str">
            <v>N263Y</v>
          </cell>
          <cell r="B28">
            <v>7.93</v>
          </cell>
        </row>
        <row r="29">
          <cell r="A29" t="str">
            <v>XTHQ</v>
          </cell>
          <cell r="B29">
            <v>8.89</v>
          </cell>
        </row>
        <row r="30">
          <cell r="A30" t="str">
            <v>N5100Y</v>
          </cell>
          <cell r="B30">
            <v>11.45</v>
          </cell>
        </row>
        <row r="31">
          <cell r="A31" t="str">
            <v>NK-XUHM001</v>
          </cell>
          <cell r="B31">
            <v>6.99</v>
          </cell>
        </row>
        <row r="32">
          <cell r="A32" t="str">
            <v>N87232K</v>
          </cell>
          <cell r="B32">
            <v>5.27</v>
          </cell>
        </row>
        <row r="33">
          <cell r="A33" t="str">
            <v>ZZTS</v>
          </cell>
          <cell r="B33">
            <v>5.59</v>
          </cell>
        </row>
        <row r="34">
          <cell r="A34" t="str">
            <v>NY-XUHM463</v>
          </cell>
          <cell r="B34">
            <v>15.99</v>
          </cell>
        </row>
        <row r="35">
          <cell r="A35" t="str">
            <v>SJKTK</v>
          </cell>
          <cell r="B35">
            <v>15.99</v>
          </cell>
        </row>
        <row r="36">
          <cell r="A36" t="str">
            <v>NY-XUHM331</v>
          </cell>
          <cell r="B36">
            <v>9.99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4369</v>
          </cell>
          <cell r="C2">
            <v>14</v>
          </cell>
          <cell r="D2">
            <v>0</v>
          </cell>
          <cell r="E2">
            <v>0</v>
          </cell>
          <cell r="F2">
            <v>0</v>
          </cell>
          <cell r="G2">
            <v>5</v>
          </cell>
          <cell r="H2">
            <v>5</v>
          </cell>
          <cell r="I2">
            <v>4</v>
          </cell>
          <cell r="J2">
            <v>1077</v>
          </cell>
          <cell r="K2">
            <v>438</v>
          </cell>
          <cell r="L2">
            <v>2743</v>
          </cell>
          <cell r="M2">
            <v>0</v>
          </cell>
          <cell r="N2">
            <v>4258</v>
          </cell>
        </row>
        <row r="3">
          <cell r="A3" t="str">
            <v>KTKXKW0L</v>
          </cell>
          <cell r="B3">
            <v>14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8</v>
          </cell>
          <cell r="K3">
            <v>0</v>
          </cell>
          <cell r="L3">
            <v>0</v>
          </cell>
          <cell r="M3">
            <v>0</v>
          </cell>
          <cell r="N3">
            <v>8</v>
          </cell>
        </row>
        <row r="4">
          <cell r="A4" t="str">
            <v>N039YP036</v>
          </cell>
          <cell r="B4">
            <v>27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0</v>
          </cell>
          <cell r="J4">
            <v>0</v>
          </cell>
          <cell r="K4">
            <v>0</v>
          </cell>
          <cell r="L4">
            <v>27</v>
          </cell>
          <cell r="M4">
            <v>0</v>
          </cell>
          <cell r="N4">
            <v>27</v>
          </cell>
        </row>
        <row r="5">
          <cell r="A5" t="str">
            <v>N039YR036</v>
          </cell>
          <cell r="B5">
            <v>10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0</v>
          </cell>
          <cell r="J5">
            <v>3</v>
          </cell>
          <cell r="K5">
            <v>5</v>
          </cell>
          <cell r="L5">
            <v>1</v>
          </cell>
          <cell r="M5">
            <v>0</v>
          </cell>
          <cell r="N5">
            <v>9</v>
          </cell>
        </row>
        <row r="6">
          <cell r="A6" t="str">
            <v>N2716YYGL38</v>
          </cell>
          <cell r="B6">
            <v>34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1</v>
          </cell>
          <cell r="K6">
            <v>0</v>
          </cell>
          <cell r="L6">
            <v>31</v>
          </cell>
          <cell r="M6">
            <v>0</v>
          </cell>
          <cell r="N6">
            <v>32</v>
          </cell>
        </row>
        <row r="7">
          <cell r="A7" t="str">
            <v>N2716YR036</v>
          </cell>
          <cell r="B7">
            <v>28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1</v>
          </cell>
          <cell r="I7">
            <v>0</v>
          </cell>
          <cell r="J7">
            <v>3</v>
          </cell>
          <cell r="K7">
            <v>1</v>
          </cell>
          <cell r="L7">
            <v>22</v>
          </cell>
          <cell r="M7">
            <v>0</v>
          </cell>
          <cell r="N7">
            <v>26</v>
          </cell>
        </row>
        <row r="8">
          <cell r="A8" t="str">
            <v>N2716YR034</v>
          </cell>
          <cell r="B8">
            <v>33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3</v>
          </cell>
          <cell r="K8">
            <v>0</v>
          </cell>
          <cell r="L8">
            <v>27</v>
          </cell>
          <cell r="M8">
            <v>0</v>
          </cell>
          <cell r="N8">
            <v>30</v>
          </cell>
        </row>
        <row r="9">
          <cell r="A9" t="str">
            <v>NY-XUHM002-K0-L</v>
          </cell>
          <cell r="B9">
            <v>30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0</v>
          </cell>
          <cell r="J9">
            <v>30</v>
          </cell>
          <cell r="K9">
            <v>0</v>
          </cell>
          <cell r="L9">
            <v>0</v>
          </cell>
          <cell r="M9">
            <v>0</v>
          </cell>
          <cell r="N9">
            <v>30</v>
          </cell>
        </row>
        <row r="10">
          <cell r="A10" t="str">
            <v>NY-XUHM002-PI-M</v>
          </cell>
          <cell r="B10">
            <v>4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4</v>
          </cell>
          <cell r="K10">
            <v>0</v>
          </cell>
          <cell r="L10">
            <v>0</v>
          </cell>
          <cell r="M10">
            <v>0</v>
          </cell>
          <cell r="N10">
            <v>4</v>
          </cell>
        </row>
        <row r="11">
          <cell r="A11" t="str">
            <v>NY-XUHM002-K0-M</v>
          </cell>
          <cell r="B11">
            <v>15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16</v>
          </cell>
          <cell r="K11">
            <v>0</v>
          </cell>
          <cell r="L11">
            <v>0</v>
          </cell>
          <cell r="M11">
            <v>0</v>
          </cell>
          <cell r="N11">
            <v>16</v>
          </cell>
        </row>
        <row r="12">
          <cell r="A12" t="str">
            <v>NY-XUHM331-B0-L</v>
          </cell>
          <cell r="B12">
            <v>24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>
            <v>1</v>
          </cell>
          <cell r="J12">
            <v>29</v>
          </cell>
          <cell r="K12">
            <v>0</v>
          </cell>
          <cell r="L12">
            <v>0</v>
          </cell>
          <cell r="M12">
            <v>0</v>
          </cell>
          <cell r="N12">
            <v>29</v>
          </cell>
        </row>
        <row r="13">
          <cell r="A13" t="str">
            <v>NK-XUHM001-K0-S</v>
          </cell>
          <cell r="B13">
            <v>33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33</v>
          </cell>
          <cell r="K13">
            <v>0</v>
          </cell>
          <cell r="L13">
            <v>0</v>
          </cell>
          <cell r="M13">
            <v>0</v>
          </cell>
          <cell r="N13">
            <v>33</v>
          </cell>
        </row>
        <row r="14">
          <cell r="A14" t="str">
            <v>PYJKJSK0M</v>
          </cell>
          <cell r="B14">
            <v>2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2</v>
          </cell>
          <cell r="M14">
            <v>0</v>
          </cell>
          <cell r="N14">
            <v>2</v>
          </cell>
        </row>
        <row r="15">
          <cell r="A15" t="str">
            <v>N039YP038</v>
          </cell>
          <cell r="B15">
            <v>30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1</v>
          </cell>
          <cell r="K15">
            <v>0</v>
          </cell>
          <cell r="L15">
            <v>29</v>
          </cell>
          <cell r="M15">
            <v>0</v>
          </cell>
          <cell r="N15">
            <v>30</v>
          </cell>
        </row>
        <row r="16">
          <cell r="A16" t="str">
            <v>N87232KXGHM</v>
          </cell>
          <cell r="B16">
            <v>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</v>
          </cell>
          <cell r="M16">
            <v>0</v>
          </cell>
          <cell r="N16">
            <v>1</v>
          </cell>
        </row>
        <row r="17">
          <cell r="A17" t="str">
            <v>KTKXKR0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NY-XUHM002-PI-S</v>
          </cell>
          <cell r="B18">
            <v>3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3</v>
          </cell>
          <cell r="K18">
            <v>0</v>
          </cell>
          <cell r="L18">
            <v>0</v>
          </cell>
          <cell r="M18">
            <v>0</v>
          </cell>
          <cell r="N18">
            <v>3</v>
          </cell>
        </row>
        <row r="19">
          <cell r="A19" t="str">
            <v>N2082YQJ38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</v>
          </cell>
          <cell r="M19">
            <v>0</v>
          </cell>
          <cell r="N19">
            <v>1</v>
          </cell>
        </row>
        <row r="20">
          <cell r="A20" t="str">
            <v>N888YK038</v>
          </cell>
          <cell r="B20">
            <v>3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2</v>
          </cell>
          <cell r="M20">
            <v>0</v>
          </cell>
          <cell r="N20">
            <v>2</v>
          </cell>
        </row>
        <row r="21">
          <cell r="A21" t="str">
            <v>N888YR536</v>
          </cell>
          <cell r="B21">
            <v>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2</v>
          </cell>
          <cell r="M21">
            <v>0</v>
          </cell>
          <cell r="N21">
            <v>2</v>
          </cell>
        </row>
        <row r="22">
          <cell r="A22" t="str">
            <v>MY16055MSXL</v>
          </cell>
          <cell r="B22">
            <v>4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4</v>
          </cell>
          <cell r="L22">
            <v>0</v>
          </cell>
          <cell r="M22">
            <v>0</v>
          </cell>
          <cell r="N22">
            <v>4</v>
          </cell>
        </row>
        <row r="23">
          <cell r="A23" t="str">
            <v>N31459YP038</v>
          </cell>
          <cell r="B23">
            <v>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</v>
          </cell>
          <cell r="M23">
            <v>0</v>
          </cell>
          <cell r="N23">
            <v>1</v>
          </cell>
        </row>
        <row r="24">
          <cell r="A24" t="str">
            <v>N888YR538</v>
          </cell>
          <cell r="B24">
            <v>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3</v>
          </cell>
          <cell r="M24">
            <v>0</v>
          </cell>
          <cell r="N24">
            <v>3</v>
          </cell>
        </row>
        <row r="25">
          <cell r="A25" t="str">
            <v>KTKW0TW0XL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N89122KBL4XL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2</v>
          </cell>
          <cell r="M26">
            <v>0</v>
          </cell>
          <cell r="N26">
            <v>2</v>
          </cell>
        </row>
        <row r="27">
          <cell r="A27" t="str">
            <v>PYJKDKB0L</v>
          </cell>
          <cell r="B27">
            <v>1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</v>
          </cell>
          <cell r="L27">
            <v>0</v>
          </cell>
          <cell r="M27">
            <v>0</v>
          </cell>
          <cell r="N27">
            <v>1</v>
          </cell>
        </row>
        <row r="28">
          <cell r="A28" t="str">
            <v>N531YXS34</v>
          </cell>
          <cell r="B28">
            <v>30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30</v>
          </cell>
          <cell r="M28">
            <v>0</v>
          </cell>
          <cell r="N28">
            <v>30</v>
          </cell>
        </row>
        <row r="29">
          <cell r="A29" t="str">
            <v>N888YR542</v>
          </cell>
          <cell r="B29">
            <v>3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3</v>
          </cell>
          <cell r="M29">
            <v>0</v>
          </cell>
          <cell r="N29">
            <v>3</v>
          </cell>
        </row>
        <row r="30">
          <cell r="A30" t="str">
            <v>N9383YG042</v>
          </cell>
          <cell r="B30">
            <v>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1</v>
          </cell>
          <cell r="K30">
            <v>0</v>
          </cell>
          <cell r="L30">
            <v>3</v>
          </cell>
          <cell r="M30">
            <v>0</v>
          </cell>
          <cell r="N30">
            <v>4</v>
          </cell>
        </row>
        <row r="31">
          <cell r="A31" t="str">
            <v>PYJKTSY0L</v>
          </cell>
          <cell r="B31">
            <v>2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2</v>
          </cell>
          <cell r="M31">
            <v>0</v>
          </cell>
          <cell r="N31">
            <v>2</v>
          </cell>
        </row>
        <row r="32">
          <cell r="A32" t="str">
            <v>N9383YMH38</v>
          </cell>
          <cell r="B32">
            <v>11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11</v>
          </cell>
          <cell r="M32">
            <v>0</v>
          </cell>
          <cell r="N32">
            <v>11</v>
          </cell>
        </row>
        <row r="33">
          <cell r="A33" t="str">
            <v>N87318KR5XL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1</v>
          </cell>
          <cell r="M33">
            <v>0</v>
          </cell>
          <cell r="N33">
            <v>1</v>
          </cell>
        </row>
        <row r="34">
          <cell r="A34" t="str">
            <v>N9932YR536</v>
          </cell>
          <cell r="B34">
            <v>3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3</v>
          </cell>
          <cell r="M34">
            <v>0</v>
          </cell>
          <cell r="N34">
            <v>3</v>
          </cell>
        </row>
        <row r="35">
          <cell r="A35" t="str">
            <v>N2716YMH38</v>
          </cell>
          <cell r="B35">
            <v>44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44</v>
          </cell>
          <cell r="M35">
            <v>0</v>
          </cell>
          <cell r="N35">
            <v>44</v>
          </cell>
        </row>
        <row r="36">
          <cell r="A36" t="str">
            <v>N9932YR034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3</v>
          </cell>
          <cell r="M36">
            <v>0</v>
          </cell>
          <cell r="N36">
            <v>3</v>
          </cell>
        </row>
        <row r="37">
          <cell r="A37" t="str">
            <v>N89122KMH2XL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1</v>
          </cell>
          <cell r="M37">
            <v>0</v>
          </cell>
          <cell r="N37">
            <v>1</v>
          </cell>
        </row>
        <row r="38">
          <cell r="A38" t="str">
            <v>N9383YXGH44</v>
          </cell>
          <cell r="B38">
            <v>7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7</v>
          </cell>
          <cell r="M38">
            <v>0</v>
          </cell>
          <cell r="N38">
            <v>7</v>
          </cell>
        </row>
        <row r="39">
          <cell r="A39" t="str">
            <v>NY-XUHM001-K0-36C</v>
          </cell>
          <cell r="B39">
            <v>15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15</v>
          </cell>
          <cell r="K39">
            <v>0</v>
          </cell>
          <cell r="L39">
            <v>0</v>
          </cell>
          <cell r="M39">
            <v>0</v>
          </cell>
          <cell r="N39">
            <v>15</v>
          </cell>
        </row>
        <row r="40">
          <cell r="A40" t="str">
            <v>MY71107MSM</v>
          </cell>
          <cell r="B40">
            <v>7</v>
          </cell>
          <cell r="C40">
            <v>1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6</v>
          </cell>
          <cell r="K40">
            <v>1</v>
          </cell>
          <cell r="L40">
            <v>0</v>
          </cell>
          <cell r="M40">
            <v>0</v>
          </cell>
          <cell r="N40">
            <v>7</v>
          </cell>
        </row>
        <row r="41">
          <cell r="A41" t="str">
            <v>MY16055MSM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4</v>
          </cell>
          <cell r="L41">
            <v>0</v>
          </cell>
          <cell r="M41">
            <v>0</v>
          </cell>
          <cell r="N41">
            <v>4</v>
          </cell>
        </row>
        <row r="42">
          <cell r="A42" t="str">
            <v>MY16055K0XXL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0</v>
          </cell>
          <cell r="L42">
            <v>0</v>
          </cell>
          <cell r="M42">
            <v>0</v>
          </cell>
          <cell r="N42">
            <v>1</v>
          </cell>
        </row>
        <row r="43">
          <cell r="A43" t="str">
            <v>N87318KW0M</v>
          </cell>
          <cell r="B43">
            <v>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1</v>
          </cell>
          <cell r="M43">
            <v>0</v>
          </cell>
          <cell r="N43">
            <v>1</v>
          </cell>
        </row>
        <row r="44">
          <cell r="A44" t="str">
            <v>JBL-QFFMMHM</v>
          </cell>
          <cell r="B44">
            <v>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3</v>
          </cell>
          <cell r="L44">
            <v>0</v>
          </cell>
          <cell r="M44">
            <v>0</v>
          </cell>
          <cell r="N44">
            <v>3</v>
          </cell>
        </row>
        <row r="45">
          <cell r="A45" t="str">
            <v>NY-XUHM005-K0-L</v>
          </cell>
          <cell r="B45">
            <v>23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23</v>
          </cell>
          <cell r="K45">
            <v>0</v>
          </cell>
          <cell r="L45">
            <v>0</v>
          </cell>
          <cell r="M45">
            <v>0</v>
          </cell>
          <cell r="N45">
            <v>23</v>
          </cell>
        </row>
        <row r="46">
          <cell r="A46" t="str">
            <v>N039YB036</v>
          </cell>
          <cell r="B46">
            <v>33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32</v>
          </cell>
          <cell r="M46">
            <v>0</v>
          </cell>
          <cell r="N46">
            <v>32</v>
          </cell>
        </row>
        <row r="47">
          <cell r="A47" t="str">
            <v>N531YB040</v>
          </cell>
          <cell r="B47">
            <v>28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28</v>
          </cell>
          <cell r="M47">
            <v>0</v>
          </cell>
          <cell r="N47">
            <v>28</v>
          </cell>
        </row>
        <row r="48">
          <cell r="A48" t="str">
            <v>NY-XUHM005-GA-L</v>
          </cell>
          <cell r="B48">
            <v>27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27</v>
          </cell>
          <cell r="K48">
            <v>0</v>
          </cell>
          <cell r="L48">
            <v>0</v>
          </cell>
          <cell r="M48">
            <v>0</v>
          </cell>
          <cell r="N48">
            <v>27</v>
          </cell>
        </row>
        <row r="49">
          <cell r="A49" t="str">
            <v>N531YR038</v>
          </cell>
          <cell r="B49">
            <v>27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27</v>
          </cell>
          <cell r="M49">
            <v>0</v>
          </cell>
          <cell r="N49">
            <v>27</v>
          </cell>
        </row>
        <row r="50">
          <cell r="A50" t="str">
            <v>NY-B15021-B0-XL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7</v>
          </cell>
          <cell r="K50">
            <v>0</v>
          </cell>
          <cell r="L50">
            <v>0</v>
          </cell>
          <cell r="M50">
            <v>0</v>
          </cell>
          <cell r="N50">
            <v>7</v>
          </cell>
        </row>
        <row r="51">
          <cell r="A51" t="str">
            <v>N87301KMLSXL</v>
          </cell>
          <cell r="B51">
            <v>2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  <cell r="N51">
            <v>2</v>
          </cell>
        </row>
        <row r="52">
          <cell r="A52" t="str">
            <v>XTLAXSC</v>
          </cell>
          <cell r="B52">
            <v>25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</v>
          </cell>
          <cell r="L52">
            <v>24</v>
          </cell>
          <cell r="M52">
            <v>0</v>
          </cell>
          <cell r="N52">
            <v>25</v>
          </cell>
        </row>
        <row r="53">
          <cell r="A53" t="str">
            <v>N9932YXS36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1</v>
          </cell>
          <cell r="L53">
            <v>1</v>
          </cell>
          <cell r="M53">
            <v>0</v>
          </cell>
          <cell r="N53">
            <v>2</v>
          </cell>
        </row>
        <row r="54">
          <cell r="A54" t="str">
            <v>N87301KZHSXL</v>
          </cell>
          <cell r="B54">
            <v>2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2</v>
          </cell>
          <cell r="M54">
            <v>0</v>
          </cell>
          <cell r="N54">
            <v>2</v>
          </cell>
        </row>
        <row r="55">
          <cell r="A55" t="str">
            <v>MY16055ZQM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</v>
          </cell>
          <cell r="L55">
            <v>0</v>
          </cell>
          <cell r="M55">
            <v>0</v>
          </cell>
          <cell r="N55">
            <v>1</v>
          </cell>
        </row>
        <row r="56">
          <cell r="A56" t="str">
            <v>N583YQZ42</v>
          </cell>
          <cell r="B56">
            <v>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3</v>
          </cell>
          <cell r="M56">
            <v>0</v>
          </cell>
          <cell r="N56">
            <v>3</v>
          </cell>
        </row>
        <row r="57">
          <cell r="A57" t="str">
            <v>MY71107K0S</v>
          </cell>
          <cell r="B57">
            <v>4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3</v>
          </cell>
          <cell r="L57">
            <v>0</v>
          </cell>
          <cell r="M57">
            <v>0</v>
          </cell>
          <cell r="N57">
            <v>3</v>
          </cell>
        </row>
        <row r="58">
          <cell r="A58" t="str">
            <v>NY-B15021-K0-L</v>
          </cell>
          <cell r="B58">
            <v>10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10</v>
          </cell>
          <cell r="K58">
            <v>0</v>
          </cell>
          <cell r="L58">
            <v>0</v>
          </cell>
          <cell r="M58">
            <v>0</v>
          </cell>
          <cell r="N58">
            <v>10</v>
          </cell>
        </row>
        <row r="59">
          <cell r="A59" t="str">
            <v>N87301KXSXL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1</v>
          </cell>
          <cell r="M59">
            <v>0</v>
          </cell>
          <cell r="N59">
            <v>1</v>
          </cell>
        </row>
        <row r="60">
          <cell r="A60" t="str">
            <v>MY71115K0S</v>
          </cell>
          <cell r="B60">
            <v>4</v>
          </cell>
          <cell r="C60">
            <v>1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1</v>
          </cell>
          <cell r="K60">
            <v>2</v>
          </cell>
          <cell r="L60">
            <v>0</v>
          </cell>
          <cell r="M60">
            <v>0</v>
          </cell>
          <cell r="N60">
            <v>3</v>
          </cell>
        </row>
        <row r="61">
          <cell r="A61" t="str">
            <v>KTKXKY0</v>
          </cell>
          <cell r="B61">
            <v>6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1</v>
          </cell>
          <cell r="K61">
            <v>0</v>
          </cell>
          <cell r="L61">
            <v>0</v>
          </cell>
          <cell r="M61">
            <v>0</v>
          </cell>
          <cell r="N61">
            <v>1</v>
          </cell>
        </row>
        <row r="62">
          <cell r="A62" t="str">
            <v>N039YTHS40</v>
          </cell>
          <cell r="B62">
            <v>32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</v>
          </cell>
          <cell r="K62">
            <v>0</v>
          </cell>
          <cell r="L62">
            <v>31</v>
          </cell>
          <cell r="M62">
            <v>0</v>
          </cell>
          <cell r="N62">
            <v>32</v>
          </cell>
        </row>
        <row r="63">
          <cell r="A63" t="str">
            <v>N2082YQLS36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1</v>
          </cell>
          <cell r="M63">
            <v>0</v>
          </cell>
          <cell r="N63">
            <v>1</v>
          </cell>
        </row>
        <row r="64">
          <cell r="A64" t="str">
            <v>N9932YXS34</v>
          </cell>
          <cell r="B64">
            <v>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  <cell r="L64">
            <v>1</v>
          </cell>
          <cell r="M64">
            <v>0</v>
          </cell>
          <cell r="N64">
            <v>2</v>
          </cell>
        </row>
        <row r="65">
          <cell r="A65" t="str">
            <v>N029YHL38</v>
          </cell>
          <cell r="B65">
            <v>44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43</v>
          </cell>
          <cell r="M65">
            <v>0</v>
          </cell>
          <cell r="N65">
            <v>43</v>
          </cell>
        </row>
        <row r="66">
          <cell r="A66" t="str">
            <v>N531YB038</v>
          </cell>
          <cell r="B66">
            <v>26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26</v>
          </cell>
          <cell r="M66">
            <v>0</v>
          </cell>
          <cell r="N66">
            <v>26</v>
          </cell>
        </row>
        <row r="67">
          <cell r="A67" t="str">
            <v>N531YQL34</v>
          </cell>
          <cell r="B67">
            <v>28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28</v>
          </cell>
          <cell r="M67">
            <v>0</v>
          </cell>
          <cell r="N67">
            <v>28</v>
          </cell>
        </row>
        <row r="68">
          <cell r="A68" t="str">
            <v>N87309KW0XL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1</v>
          </cell>
          <cell r="M68">
            <v>0</v>
          </cell>
          <cell r="N68">
            <v>1</v>
          </cell>
        </row>
        <row r="69">
          <cell r="A69" t="str">
            <v>MY71115K0XL</v>
          </cell>
          <cell r="B69">
            <v>6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6</v>
          </cell>
          <cell r="K69">
            <v>0</v>
          </cell>
          <cell r="L69">
            <v>0</v>
          </cell>
          <cell r="M69">
            <v>0</v>
          </cell>
          <cell r="N69">
            <v>6</v>
          </cell>
        </row>
        <row r="70">
          <cell r="A70" t="str">
            <v>JBL-QFFMMHXL</v>
          </cell>
          <cell r="B70">
            <v>1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2</v>
          </cell>
          <cell r="L70">
            <v>0</v>
          </cell>
          <cell r="M70">
            <v>0</v>
          </cell>
          <cell r="N70">
            <v>2</v>
          </cell>
        </row>
        <row r="71">
          <cell r="A71" t="str">
            <v>N029YMH38</v>
          </cell>
          <cell r="B71">
            <v>74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73</v>
          </cell>
          <cell r="M71">
            <v>0</v>
          </cell>
          <cell r="N71">
            <v>73</v>
          </cell>
        </row>
        <row r="72">
          <cell r="A72" t="str">
            <v>N531YK034</v>
          </cell>
          <cell r="B72">
            <v>27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27</v>
          </cell>
          <cell r="M72">
            <v>0</v>
          </cell>
          <cell r="N72">
            <v>27</v>
          </cell>
        </row>
        <row r="73">
          <cell r="A73" t="str">
            <v>NY-XUHM463-K0-S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5</v>
          </cell>
          <cell r="K73">
            <v>0</v>
          </cell>
          <cell r="L73">
            <v>0</v>
          </cell>
          <cell r="M73">
            <v>0</v>
          </cell>
          <cell r="N73">
            <v>5</v>
          </cell>
        </row>
        <row r="74">
          <cell r="A74" t="str">
            <v>NY-B15016-W0-L</v>
          </cell>
          <cell r="B74">
            <v>7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7</v>
          </cell>
          <cell r="K74">
            <v>0</v>
          </cell>
          <cell r="L74">
            <v>0</v>
          </cell>
          <cell r="M74">
            <v>0</v>
          </cell>
          <cell r="N74">
            <v>7</v>
          </cell>
        </row>
        <row r="75">
          <cell r="A75" t="str">
            <v>N1709YXS48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1</v>
          </cell>
          <cell r="M75">
            <v>0</v>
          </cell>
          <cell r="N75">
            <v>1</v>
          </cell>
        </row>
        <row r="76">
          <cell r="A76" t="str">
            <v>N039YG036</v>
          </cell>
          <cell r="B76">
            <v>25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25</v>
          </cell>
          <cell r="M76">
            <v>0</v>
          </cell>
          <cell r="N76">
            <v>25</v>
          </cell>
        </row>
        <row r="77">
          <cell r="A77" t="str">
            <v>N9383YR046</v>
          </cell>
          <cell r="B77">
            <v>8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8</v>
          </cell>
          <cell r="M77">
            <v>0</v>
          </cell>
          <cell r="N77">
            <v>8</v>
          </cell>
        </row>
        <row r="78">
          <cell r="A78" t="str">
            <v>MY71115K0XXL</v>
          </cell>
          <cell r="B78">
            <v>2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2</v>
          </cell>
          <cell r="K78">
            <v>0</v>
          </cell>
          <cell r="L78">
            <v>0</v>
          </cell>
          <cell r="M78">
            <v>0</v>
          </cell>
          <cell r="N78">
            <v>2</v>
          </cell>
        </row>
        <row r="79">
          <cell r="A79" t="str">
            <v>N039YXGH40</v>
          </cell>
          <cell r="B79">
            <v>29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29</v>
          </cell>
          <cell r="M79">
            <v>0</v>
          </cell>
          <cell r="N79">
            <v>29</v>
          </cell>
        </row>
        <row r="80">
          <cell r="A80" t="str">
            <v>N31459YR038</v>
          </cell>
          <cell r="B80">
            <v>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2</v>
          </cell>
          <cell r="M80">
            <v>0</v>
          </cell>
          <cell r="N80">
            <v>2</v>
          </cell>
        </row>
        <row r="81">
          <cell r="A81" t="str">
            <v>DDHNYK0</v>
          </cell>
          <cell r="B81">
            <v>6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3</v>
          </cell>
          <cell r="L81">
            <v>3</v>
          </cell>
          <cell r="M81">
            <v>0</v>
          </cell>
          <cell r="N81">
            <v>6</v>
          </cell>
        </row>
        <row r="82">
          <cell r="A82" t="str">
            <v>N89119KMHXL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  <cell r="N82">
            <v>1</v>
          </cell>
        </row>
        <row r="83">
          <cell r="A83" t="str">
            <v>N888YXS38</v>
          </cell>
          <cell r="B83">
            <v>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3</v>
          </cell>
          <cell r="M83">
            <v>0</v>
          </cell>
          <cell r="N83">
            <v>3</v>
          </cell>
        </row>
        <row r="84">
          <cell r="A84" t="str">
            <v>N87301KZHSM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1</v>
          </cell>
          <cell r="M84">
            <v>0</v>
          </cell>
          <cell r="N84">
            <v>1</v>
          </cell>
        </row>
        <row r="85">
          <cell r="A85" t="str">
            <v>N039YP040</v>
          </cell>
          <cell r="B85">
            <v>30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2</v>
          </cell>
          <cell r="K85">
            <v>0</v>
          </cell>
          <cell r="L85">
            <v>28</v>
          </cell>
          <cell r="M85">
            <v>0</v>
          </cell>
          <cell r="N85">
            <v>30</v>
          </cell>
        </row>
        <row r="86">
          <cell r="A86" t="str">
            <v>N9383YXGH42</v>
          </cell>
          <cell r="B86">
            <v>12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12</v>
          </cell>
          <cell r="M86">
            <v>0</v>
          </cell>
          <cell r="N86">
            <v>12</v>
          </cell>
        </row>
        <row r="87">
          <cell r="A87" t="str">
            <v>NY-B15016-Y0-S</v>
          </cell>
          <cell r="B87">
            <v>4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</v>
          </cell>
          <cell r="K87">
            <v>0</v>
          </cell>
          <cell r="L87">
            <v>0</v>
          </cell>
          <cell r="M87">
            <v>0</v>
          </cell>
          <cell r="N87">
            <v>4</v>
          </cell>
        </row>
        <row r="88">
          <cell r="A88" t="str">
            <v>NY-XUHM333-HS-M</v>
          </cell>
          <cell r="B88">
            <v>18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NY-XUHM333-HS-S</v>
          </cell>
          <cell r="B89">
            <v>20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N583YQZ36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3</v>
          </cell>
          <cell r="M90">
            <v>0</v>
          </cell>
          <cell r="N90">
            <v>3</v>
          </cell>
        </row>
        <row r="91">
          <cell r="A91" t="str">
            <v>N87301KMLSL</v>
          </cell>
          <cell r="B91">
            <v>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2</v>
          </cell>
          <cell r="M91">
            <v>0</v>
          </cell>
          <cell r="N91">
            <v>2</v>
          </cell>
        </row>
        <row r="92">
          <cell r="A92" t="str">
            <v>NY-XUHM332-HS-M</v>
          </cell>
          <cell r="B92">
            <v>46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46</v>
          </cell>
          <cell r="K92">
            <v>0</v>
          </cell>
          <cell r="L92">
            <v>0</v>
          </cell>
          <cell r="M92">
            <v>0</v>
          </cell>
          <cell r="N92">
            <v>46</v>
          </cell>
        </row>
        <row r="93">
          <cell r="A93" t="str">
            <v>N9932YR534</v>
          </cell>
          <cell r="B93">
            <v>3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3</v>
          </cell>
          <cell r="M93">
            <v>0</v>
          </cell>
          <cell r="N93">
            <v>3</v>
          </cell>
        </row>
        <row r="94">
          <cell r="A94" t="str">
            <v>N9383YP048</v>
          </cell>
          <cell r="B94">
            <v>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9</v>
          </cell>
          <cell r="M94">
            <v>0</v>
          </cell>
          <cell r="N94">
            <v>9</v>
          </cell>
        </row>
        <row r="95">
          <cell r="A95" t="str">
            <v>N9383YG048</v>
          </cell>
          <cell r="B95">
            <v>16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16</v>
          </cell>
          <cell r="M95">
            <v>0</v>
          </cell>
          <cell r="N95">
            <v>16</v>
          </cell>
        </row>
        <row r="96">
          <cell r="A96" t="str">
            <v>NY-XUHM463-K0-XL</v>
          </cell>
          <cell r="B96">
            <v>19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19</v>
          </cell>
          <cell r="K96">
            <v>0</v>
          </cell>
          <cell r="L96">
            <v>0</v>
          </cell>
          <cell r="M96">
            <v>0</v>
          </cell>
          <cell r="N96">
            <v>19</v>
          </cell>
        </row>
        <row r="97">
          <cell r="A97" t="str">
            <v>N87318KXSM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1</v>
          </cell>
          <cell r="M97">
            <v>0</v>
          </cell>
          <cell r="N97">
            <v>1</v>
          </cell>
        </row>
        <row r="98">
          <cell r="A98" t="str">
            <v>XTHQXSB</v>
          </cell>
          <cell r="B98">
            <v>9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1</v>
          </cell>
          <cell r="K98">
            <v>8</v>
          </cell>
          <cell r="L98">
            <v>0</v>
          </cell>
          <cell r="M98">
            <v>0</v>
          </cell>
          <cell r="N98">
            <v>9</v>
          </cell>
        </row>
        <row r="99">
          <cell r="A99" t="str">
            <v>N89119KBLM</v>
          </cell>
          <cell r="B99">
            <v>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1</v>
          </cell>
          <cell r="M99">
            <v>0</v>
          </cell>
          <cell r="N99">
            <v>1</v>
          </cell>
        </row>
        <row r="100">
          <cell r="A100" t="str">
            <v>NY-XUHM005-K0-M</v>
          </cell>
          <cell r="B100">
            <v>10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9</v>
          </cell>
          <cell r="K100">
            <v>0</v>
          </cell>
          <cell r="L100">
            <v>0</v>
          </cell>
          <cell r="M100">
            <v>0</v>
          </cell>
          <cell r="N100">
            <v>9</v>
          </cell>
        </row>
        <row r="101">
          <cell r="A101" t="str">
            <v>N1709YR046</v>
          </cell>
          <cell r="B101">
            <v>8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8</v>
          </cell>
          <cell r="M101">
            <v>0</v>
          </cell>
          <cell r="N101">
            <v>8</v>
          </cell>
        </row>
        <row r="102">
          <cell r="A102" t="str">
            <v>N2716YHL34</v>
          </cell>
          <cell r="B102">
            <v>45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45</v>
          </cell>
          <cell r="M102">
            <v>0</v>
          </cell>
          <cell r="N102">
            <v>45</v>
          </cell>
        </row>
        <row r="103">
          <cell r="A103" t="str">
            <v>XTHQXSC</v>
          </cell>
          <cell r="B103">
            <v>33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11</v>
          </cell>
          <cell r="L103">
            <v>22</v>
          </cell>
          <cell r="M103">
            <v>0</v>
          </cell>
          <cell r="N103">
            <v>33</v>
          </cell>
        </row>
        <row r="104">
          <cell r="A104" t="str">
            <v>N9932YK036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2</v>
          </cell>
          <cell r="M104">
            <v>0</v>
          </cell>
          <cell r="N104">
            <v>2</v>
          </cell>
        </row>
        <row r="105">
          <cell r="A105" t="str">
            <v>MY71107MSXXL</v>
          </cell>
          <cell r="B105">
            <v>10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10</v>
          </cell>
          <cell r="K105">
            <v>0</v>
          </cell>
          <cell r="L105">
            <v>0</v>
          </cell>
          <cell r="M105">
            <v>0</v>
          </cell>
          <cell r="N105">
            <v>10</v>
          </cell>
        </row>
        <row r="106">
          <cell r="A106" t="str">
            <v>N9383YR048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4</v>
          </cell>
          <cell r="M106">
            <v>0</v>
          </cell>
          <cell r="N106">
            <v>4</v>
          </cell>
        </row>
        <row r="107">
          <cell r="A107" t="str">
            <v>N87319KR5M</v>
          </cell>
          <cell r="B107">
            <v>2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2</v>
          </cell>
          <cell r="M107">
            <v>0</v>
          </cell>
          <cell r="N107">
            <v>2</v>
          </cell>
        </row>
        <row r="108">
          <cell r="A108" t="str">
            <v>N2033YSG36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1</v>
          </cell>
          <cell r="M108">
            <v>0</v>
          </cell>
          <cell r="N108">
            <v>1</v>
          </cell>
        </row>
        <row r="109">
          <cell r="A109" t="str">
            <v>N89122KW02XL</v>
          </cell>
          <cell r="B109">
            <v>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2</v>
          </cell>
          <cell r="M109">
            <v>0</v>
          </cell>
          <cell r="N109">
            <v>2</v>
          </cell>
        </row>
        <row r="110">
          <cell r="A110" t="str">
            <v>N888YXS36</v>
          </cell>
          <cell r="B110">
            <v>3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3</v>
          </cell>
          <cell r="M110">
            <v>0</v>
          </cell>
          <cell r="N110">
            <v>3</v>
          </cell>
        </row>
        <row r="111">
          <cell r="A111" t="str">
            <v>N87318KXGHXL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1</v>
          </cell>
          <cell r="M111">
            <v>0</v>
          </cell>
          <cell r="N111">
            <v>1</v>
          </cell>
        </row>
        <row r="112">
          <cell r="A112" t="str">
            <v>N039YTHS36</v>
          </cell>
          <cell r="B112">
            <v>25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25</v>
          </cell>
          <cell r="M112">
            <v>0</v>
          </cell>
          <cell r="N112">
            <v>25</v>
          </cell>
        </row>
        <row r="113">
          <cell r="A113" t="str">
            <v>N531YQL40</v>
          </cell>
          <cell r="B113">
            <v>27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27</v>
          </cell>
          <cell r="M113">
            <v>0</v>
          </cell>
          <cell r="N113">
            <v>27</v>
          </cell>
        </row>
        <row r="114">
          <cell r="A114" t="str">
            <v>NK-XUHM001-K0-M</v>
          </cell>
          <cell r="B114">
            <v>57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57</v>
          </cell>
          <cell r="K114">
            <v>0</v>
          </cell>
          <cell r="L114">
            <v>0</v>
          </cell>
          <cell r="M114">
            <v>0</v>
          </cell>
          <cell r="N114">
            <v>57</v>
          </cell>
        </row>
        <row r="115">
          <cell r="A115" t="str">
            <v>N2082YQJ36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1</v>
          </cell>
          <cell r="M115">
            <v>0</v>
          </cell>
          <cell r="N115">
            <v>1</v>
          </cell>
        </row>
        <row r="116">
          <cell r="A116" t="str">
            <v>NY-B15021-W0-XL</v>
          </cell>
          <cell r="B116">
            <v>19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19</v>
          </cell>
          <cell r="K116">
            <v>0</v>
          </cell>
          <cell r="L116">
            <v>0</v>
          </cell>
          <cell r="M116">
            <v>0</v>
          </cell>
          <cell r="N116">
            <v>19</v>
          </cell>
        </row>
        <row r="117">
          <cell r="A117" t="str">
            <v>NY-B15021-PI-L</v>
          </cell>
          <cell r="B117">
            <v>26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26</v>
          </cell>
          <cell r="K117">
            <v>0</v>
          </cell>
          <cell r="L117">
            <v>0</v>
          </cell>
          <cell r="M117">
            <v>0</v>
          </cell>
          <cell r="N117">
            <v>26</v>
          </cell>
        </row>
        <row r="118">
          <cell r="A118" t="str">
            <v>N531YK036</v>
          </cell>
          <cell r="B118">
            <v>27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</v>
          </cell>
          <cell r="L118">
            <v>26</v>
          </cell>
          <cell r="M118">
            <v>0</v>
          </cell>
          <cell r="N118">
            <v>27</v>
          </cell>
        </row>
        <row r="119">
          <cell r="A119" t="str">
            <v>N9932YK034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3</v>
          </cell>
          <cell r="M119">
            <v>0</v>
          </cell>
          <cell r="N119">
            <v>3</v>
          </cell>
        </row>
        <row r="120">
          <cell r="A120" t="str">
            <v>PYJKJSR0L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1</v>
          </cell>
          <cell r="K120">
            <v>0</v>
          </cell>
          <cell r="L120">
            <v>0</v>
          </cell>
          <cell r="M120">
            <v>0</v>
          </cell>
          <cell r="N120">
            <v>1</v>
          </cell>
        </row>
        <row r="121">
          <cell r="A121" t="str">
            <v>N9383YP042</v>
          </cell>
          <cell r="B121">
            <v>5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5</v>
          </cell>
          <cell r="M121">
            <v>0</v>
          </cell>
          <cell r="N121">
            <v>5</v>
          </cell>
        </row>
        <row r="122">
          <cell r="A122" t="str">
            <v>N2033YK038</v>
          </cell>
          <cell r="B122">
            <v>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1</v>
          </cell>
          <cell r="M122">
            <v>0</v>
          </cell>
          <cell r="N122">
            <v>1</v>
          </cell>
        </row>
        <row r="123">
          <cell r="A123" t="str">
            <v>N31459YJS46</v>
          </cell>
          <cell r="B123">
            <v>12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1</v>
          </cell>
          <cell r="K123">
            <v>0</v>
          </cell>
          <cell r="L123">
            <v>11</v>
          </cell>
          <cell r="M123">
            <v>0</v>
          </cell>
          <cell r="N123">
            <v>12</v>
          </cell>
        </row>
        <row r="124">
          <cell r="A124" t="str">
            <v>N87319KXSM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2</v>
          </cell>
          <cell r="M124">
            <v>0</v>
          </cell>
          <cell r="N124">
            <v>2</v>
          </cell>
        </row>
        <row r="125">
          <cell r="A125" t="str">
            <v>XYBXBAF008W0L</v>
          </cell>
          <cell r="B125">
            <v>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3</v>
          </cell>
          <cell r="M125">
            <v>0</v>
          </cell>
          <cell r="N125">
            <v>3</v>
          </cell>
        </row>
        <row r="126">
          <cell r="A126" t="str">
            <v>N531YK040</v>
          </cell>
          <cell r="B126">
            <v>28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28</v>
          </cell>
          <cell r="M126">
            <v>0</v>
          </cell>
          <cell r="N126">
            <v>28</v>
          </cell>
        </row>
        <row r="127">
          <cell r="A127" t="str">
            <v>N1709YZS46</v>
          </cell>
          <cell r="B127">
            <v>8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8</v>
          </cell>
          <cell r="M127">
            <v>0</v>
          </cell>
          <cell r="N127">
            <v>8</v>
          </cell>
        </row>
        <row r="128">
          <cell r="A128" t="str">
            <v>N039YXGH36</v>
          </cell>
          <cell r="B128">
            <v>32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32</v>
          </cell>
          <cell r="M128">
            <v>0</v>
          </cell>
          <cell r="N128">
            <v>32</v>
          </cell>
        </row>
        <row r="129">
          <cell r="A129" t="str">
            <v>N2257YG036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1</v>
          </cell>
          <cell r="M129">
            <v>0</v>
          </cell>
          <cell r="N129">
            <v>1</v>
          </cell>
        </row>
        <row r="130">
          <cell r="A130" t="str">
            <v>XTHQXSA</v>
          </cell>
          <cell r="B130">
            <v>4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4</v>
          </cell>
          <cell r="L130">
            <v>0</v>
          </cell>
          <cell r="M130">
            <v>0</v>
          </cell>
          <cell r="N130">
            <v>4</v>
          </cell>
        </row>
        <row r="131">
          <cell r="A131" t="str">
            <v>TTYCYH3688BLACK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2</v>
          </cell>
          <cell r="M131">
            <v>0</v>
          </cell>
          <cell r="N131">
            <v>2</v>
          </cell>
        </row>
        <row r="132">
          <cell r="A132" t="str">
            <v>N9383YB040</v>
          </cell>
          <cell r="B132">
            <v>13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13</v>
          </cell>
          <cell r="M132">
            <v>0</v>
          </cell>
          <cell r="N132">
            <v>13</v>
          </cell>
        </row>
        <row r="133">
          <cell r="A133" t="str">
            <v>MY16055K0XL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</v>
          </cell>
          <cell r="L133">
            <v>0</v>
          </cell>
          <cell r="M133">
            <v>0</v>
          </cell>
          <cell r="N133">
            <v>3</v>
          </cell>
        </row>
        <row r="134">
          <cell r="A134" t="str">
            <v>N888YXS42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3</v>
          </cell>
          <cell r="M134">
            <v>0</v>
          </cell>
          <cell r="N134">
            <v>3</v>
          </cell>
        </row>
        <row r="135">
          <cell r="A135" t="str">
            <v>N531YQL38</v>
          </cell>
          <cell r="B135">
            <v>30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30</v>
          </cell>
          <cell r="M135">
            <v>0</v>
          </cell>
          <cell r="N135">
            <v>30</v>
          </cell>
        </row>
        <row r="136">
          <cell r="A136" t="str">
            <v>PYJKTSR0L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1</v>
          </cell>
          <cell r="M136">
            <v>0</v>
          </cell>
          <cell r="N136">
            <v>1</v>
          </cell>
        </row>
        <row r="137">
          <cell r="A137" t="str">
            <v>N31459YMH42</v>
          </cell>
          <cell r="B137">
            <v>4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4</v>
          </cell>
          <cell r="M137">
            <v>0</v>
          </cell>
          <cell r="N137">
            <v>4</v>
          </cell>
        </row>
        <row r="138">
          <cell r="A138" t="str">
            <v>N039YG040</v>
          </cell>
          <cell r="B138">
            <v>33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33</v>
          </cell>
          <cell r="M138">
            <v>0</v>
          </cell>
          <cell r="N138">
            <v>33</v>
          </cell>
        </row>
        <row r="139">
          <cell r="A139" t="str">
            <v>N89118KW0XL</v>
          </cell>
          <cell r="B139">
            <v>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1</v>
          </cell>
          <cell r="M139">
            <v>0</v>
          </cell>
          <cell r="N139">
            <v>1</v>
          </cell>
        </row>
        <row r="140">
          <cell r="A140" t="str">
            <v>N87301KXSM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2</v>
          </cell>
          <cell r="M140">
            <v>0</v>
          </cell>
          <cell r="N140">
            <v>2</v>
          </cell>
        </row>
        <row r="141">
          <cell r="A141" t="str">
            <v>PYJKJSY0XXXL</v>
          </cell>
          <cell r="B141">
            <v>3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3</v>
          </cell>
          <cell r="M141">
            <v>0</v>
          </cell>
          <cell r="N141">
            <v>3</v>
          </cell>
        </row>
        <row r="142">
          <cell r="A142" t="str">
            <v>N89122KW04XL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2</v>
          </cell>
          <cell r="M142">
            <v>0</v>
          </cell>
          <cell r="N142">
            <v>2</v>
          </cell>
        </row>
        <row r="143">
          <cell r="A143" t="str">
            <v>N531YR036</v>
          </cell>
          <cell r="B143">
            <v>29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29</v>
          </cell>
          <cell r="M143">
            <v>0</v>
          </cell>
          <cell r="N143">
            <v>29</v>
          </cell>
        </row>
        <row r="144">
          <cell r="A144" t="str">
            <v>N039YB038</v>
          </cell>
          <cell r="B144">
            <v>29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29</v>
          </cell>
          <cell r="M144">
            <v>0</v>
          </cell>
          <cell r="N144">
            <v>29</v>
          </cell>
        </row>
        <row r="145">
          <cell r="A145" t="str">
            <v>N158YB038</v>
          </cell>
          <cell r="B145">
            <v>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2</v>
          </cell>
          <cell r="M145">
            <v>0</v>
          </cell>
          <cell r="N145">
            <v>2</v>
          </cell>
        </row>
        <row r="146">
          <cell r="A146" t="str">
            <v>N87232KXSM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1</v>
          </cell>
          <cell r="M146">
            <v>0</v>
          </cell>
          <cell r="N146">
            <v>1</v>
          </cell>
        </row>
        <row r="147">
          <cell r="A147" t="str">
            <v>N583YQZ44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2</v>
          </cell>
          <cell r="M147">
            <v>0</v>
          </cell>
          <cell r="N147">
            <v>2</v>
          </cell>
        </row>
        <row r="148">
          <cell r="A148" t="str">
            <v>N89122KBL3XL</v>
          </cell>
          <cell r="B148">
            <v>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2</v>
          </cell>
          <cell r="M148">
            <v>0</v>
          </cell>
          <cell r="N148">
            <v>2</v>
          </cell>
        </row>
        <row r="149">
          <cell r="A149" t="str">
            <v>NY-XUHM011-K0-44C</v>
          </cell>
          <cell r="B149">
            <v>10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10</v>
          </cell>
          <cell r="K149">
            <v>0</v>
          </cell>
          <cell r="L149">
            <v>0</v>
          </cell>
          <cell r="M149">
            <v>0</v>
          </cell>
          <cell r="N149">
            <v>10</v>
          </cell>
        </row>
        <row r="150">
          <cell r="A150" t="str">
            <v>N3818-2YW046</v>
          </cell>
          <cell r="B150">
            <v>41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41</v>
          </cell>
          <cell r="M150">
            <v>0</v>
          </cell>
          <cell r="N150">
            <v>41</v>
          </cell>
        </row>
        <row r="151">
          <cell r="A151" t="str">
            <v>N2033YSG40</v>
          </cell>
          <cell r="B151">
            <v>1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1</v>
          </cell>
          <cell r="M151">
            <v>0</v>
          </cell>
          <cell r="N151">
            <v>1</v>
          </cell>
        </row>
        <row r="152">
          <cell r="A152" t="str">
            <v>N531YXS38</v>
          </cell>
          <cell r="B152">
            <v>28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28</v>
          </cell>
          <cell r="M152">
            <v>0</v>
          </cell>
          <cell r="N152">
            <v>28</v>
          </cell>
        </row>
        <row r="153">
          <cell r="A153" t="str">
            <v>NY-B15016-K0-S</v>
          </cell>
          <cell r="B153">
            <v>4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3</v>
          </cell>
          <cell r="K153">
            <v>0</v>
          </cell>
          <cell r="L153">
            <v>0</v>
          </cell>
          <cell r="M153">
            <v>0</v>
          </cell>
          <cell r="N153">
            <v>3</v>
          </cell>
        </row>
        <row r="154">
          <cell r="A154" t="str">
            <v>N3818-2YW044</v>
          </cell>
          <cell r="B154">
            <v>48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1</v>
          </cell>
          <cell r="L154">
            <v>47</v>
          </cell>
          <cell r="M154">
            <v>0</v>
          </cell>
          <cell r="N154">
            <v>48</v>
          </cell>
        </row>
        <row r="155">
          <cell r="A155" t="str">
            <v>N31459YMH38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2</v>
          </cell>
          <cell r="M155">
            <v>0</v>
          </cell>
          <cell r="N155">
            <v>2</v>
          </cell>
        </row>
        <row r="156">
          <cell r="A156" t="str">
            <v>N029YHL36</v>
          </cell>
          <cell r="B156">
            <v>41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</v>
          </cell>
          <cell r="K156">
            <v>0</v>
          </cell>
          <cell r="L156">
            <v>40</v>
          </cell>
          <cell r="M156">
            <v>0</v>
          </cell>
          <cell r="N156">
            <v>41</v>
          </cell>
        </row>
        <row r="157">
          <cell r="A157" t="str">
            <v>N89122KXS2XL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2</v>
          </cell>
          <cell r="M157">
            <v>0</v>
          </cell>
          <cell r="N157">
            <v>2</v>
          </cell>
        </row>
        <row r="158">
          <cell r="A158" t="str">
            <v>N89122KW03XL</v>
          </cell>
          <cell r="B158">
            <v>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2</v>
          </cell>
          <cell r="M158">
            <v>0</v>
          </cell>
          <cell r="N158">
            <v>2</v>
          </cell>
        </row>
        <row r="159">
          <cell r="A159" t="str">
            <v>GJHNYK0</v>
          </cell>
          <cell r="B159">
            <v>40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1</v>
          </cell>
          <cell r="K159">
            <v>0</v>
          </cell>
          <cell r="L159">
            <v>39</v>
          </cell>
          <cell r="M159">
            <v>0</v>
          </cell>
          <cell r="N159">
            <v>40</v>
          </cell>
        </row>
        <row r="160">
          <cell r="A160" t="str">
            <v>N583YQZ38</v>
          </cell>
          <cell r="B160">
            <v>3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3</v>
          </cell>
          <cell r="M160">
            <v>0</v>
          </cell>
          <cell r="N160">
            <v>3</v>
          </cell>
        </row>
        <row r="161">
          <cell r="A161" t="str">
            <v>N2047YK034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1</v>
          </cell>
          <cell r="M161">
            <v>0</v>
          </cell>
          <cell r="N161">
            <v>1</v>
          </cell>
        </row>
        <row r="162">
          <cell r="A162" t="str">
            <v>NY-XUHM011-K0-42C</v>
          </cell>
          <cell r="B162">
            <v>14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14</v>
          </cell>
          <cell r="K162">
            <v>0</v>
          </cell>
          <cell r="L162">
            <v>0</v>
          </cell>
          <cell r="M162">
            <v>0</v>
          </cell>
          <cell r="N162">
            <v>14</v>
          </cell>
        </row>
        <row r="163">
          <cell r="A163" t="str">
            <v>N2082YQLS34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1</v>
          </cell>
          <cell r="M163">
            <v>0</v>
          </cell>
          <cell r="N163">
            <v>1</v>
          </cell>
        </row>
        <row r="164">
          <cell r="A164" t="str">
            <v>N531YR034</v>
          </cell>
          <cell r="B164">
            <v>28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27</v>
          </cell>
          <cell r="M164">
            <v>0</v>
          </cell>
          <cell r="N164">
            <v>27</v>
          </cell>
        </row>
        <row r="165">
          <cell r="A165" t="str">
            <v>N9383YG044</v>
          </cell>
          <cell r="B165">
            <v>10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1</v>
          </cell>
          <cell r="L165">
            <v>9</v>
          </cell>
          <cell r="M165">
            <v>0</v>
          </cell>
          <cell r="N165">
            <v>10</v>
          </cell>
        </row>
        <row r="166">
          <cell r="A166" t="str">
            <v>N31459YP044</v>
          </cell>
          <cell r="B166">
            <v>8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8</v>
          </cell>
          <cell r="M166">
            <v>0</v>
          </cell>
          <cell r="N166">
            <v>8</v>
          </cell>
        </row>
        <row r="167">
          <cell r="A167" t="str">
            <v>N89122KMH3XL</v>
          </cell>
          <cell r="B167">
            <v>2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2</v>
          </cell>
          <cell r="M167">
            <v>0</v>
          </cell>
          <cell r="N167">
            <v>2</v>
          </cell>
        </row>
        <row r="168">
          <cell r="A168" t="str">
            <v>N531YR040</v>
          </cell>
          <cell r="B168">
            <v>28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28</v>
          </cell>
          <cell r="M168">
            <v>0</v>
          </cell>
          <cell r="N168">
            <v>28</v>
          </cell>
        </row>
        <row r="169">
          <cell r="A169" t="str">
            <v>XTLAK0B</v>
          </cell>
          <cell r="B169">
            <v>40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</v>
          </cell>
          <cell r="L169">
            <v>0</v>
          </cell>
          <cell r="M169">
            <v>0</v>
          </cell>
          <cell r="N169">
            <v>40</v>
          </cell>
        </row>
        <row r="170">
          <cell r="A170" t="str">
            <v>N31459YB044</v>
          </cell>
          <cell r="B170">
            <v>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1</v>
          </cell>
          <cell r="M170">
            <v>0</v>
          </cell>
          <cell r="N170">
            <v>1</v>
          </cell>
        </row>
        <row r="171">
          <cell r="A171" t="str">
            <v>N2716YHL38</v>
          </cell>
          <cell r="B171">
            <v>46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46</v>
          </cell>
          <cell r="M171">
            <v>0</v>
          </cell>
          <cell r="N171">
            <v>46</v>
          </cell>
        </row>
        <row r="172">
          <cell r="A172" t="str">
            <v>N89122KMH4XL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2</v>
          </cell>
          <cell r="M172">
            <v>0</v>
          </cell>
          <cell r="N172">
            <v>2</v>
          </cell>
        </row>
        <row r="173">
          <cell r="A173" t="str">
            <v>NY-XUHM463-P0-M</v>
          </cell>
          <cell r="B173">
            <v>9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9</v>
          </cell>
          <cell r="K173">
            <v>0</v>
          </cell>
          <cell r="L173">
            <v>0</v>
          </cell>
          <cell r="M173">
            <v>0</v>
          </cell>
          <cell r="N173">
            <v>9</v>
          </cell>
        </row>
        <row r="174">
          <cell r="A174" t="str">
            <v>NY-B15021-B0-S</v>
          </cell>
          <cell r="B174">
            <v>10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10</v>
          </cell>
          <cell r="K174">
            <v>0</v>
          </cell>
          <cell r="L174">
            <v>0</v>
          </cell>
          <cell r="M174">
            <v>0</v>
          </cell>
          <cell r="N174">
            <v>10</v>
          </cell>
        </row>
        <row r="175">
          <cell r="A175" t="str">
            <v>MY71115ZQXXL</v>
          </cell>
          <cell r="B175">
            <v>8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8</v>
          </cell>
          <cell r="K175">
            <v>0</v>
          </cell>
          <cell r="L175">
            <v>0</v>
          </cell>
          <cell r="M175">
            <v>0</v>
          </cell>
          <cell r="N175">
            <v>8</v>
          </cell>
        </row>
        <row r="176">
          <cell r="A176" t="str">
            <v>NY-XUHM011-K0-36C</v>
          </cell>
          <cell r="B176">
            <v>14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14</v>
          </cell>
          <cell r="K176">
            <v>0</v>
          </cell>
          <cell r="L176">
            <v>0</v>
          </cell>
          <cell r="M176">
            <v>0</v>
          </cell>
          <cell r="N176">
            <v>14</v>
          </cell>
        </row>
        <row r="177">
          <cell r="A177" t="str">
            <v>N87318KXGHM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1</v>
          </cell>
          <cell r="M177">
            <v>0</v>
          </cell>
          <cell r="N177">
            <v>1</v>
          </cell>
        </row>
        <row r="178">
          <cell r="A178" t="str">
            <v>NY-XUHM463-K0-L</v>
          </cell>
          <cell r="B178">
            <v>15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15</v>
          </cell>
          <cell r="K178">
            <v>0</v>
          </cell>
          <cell r="L178">
            <v>0</v>
          </cell>
          <cell r="M178">
            <v>0</v>
          </cell>
          <cell r="N178">
            <v>15</v>
          </cell>
        </row>
        <row r="179">
          <cell r="A179" t="str">
            <v>N531YXS36</v>
          </cell>
          <cell r="B179">
            <v>28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28</v>
          </cell>
          <cell r="M179">
            <v>0</v>
          </cell>
          <cell r="N179">
            <v>28</v>
          </cell>
        </row>
        <row r="180">
          <cell r="A180" t="str">
            <v>N2716YR038</v>
          </cell>
          <cell r="B180">
            <v>35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5</v>
          </cell>
          <cell r="K180">
            <v>1</v>
          </cell>
          <cell r="L180">
            <v>28</v>
          </cell>
          <cell r="M180">
            <v>0</v>
          </cell>
          <cell r="N180">
            <v>34</v>
          </cell>
        </row>
        <row r="181">
          <cell r="A181" t="str">
            <v>N3818-2YW040</v>
          </cell>
          <cell r="B181">
            <v>22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1</v>
          </cell>
          <cell r="L181">
            <v>21</v>
          </cell>
          <cell r="M181">
            <v>0</v>
          </cell>
          <cell r="N181">
            <v>22</v>
          </cell>
        </row>
        <row r="182">
          <cell r="A182" t="str">
            <v>NY-XUHM463-P0-XL</v>
          </cell>
          <cell r="B182">
            <v>17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17</v>
          </cell>
          <cell r="K182">
            <v>0</v>
          </cell>
          <cell r="L182">
            <v>0</v>
          </cell>
          <cell r="M182">
            <v>0</v>
          </cell>
          <cell r="N182">
            <v>17</v>
          </cell>
        </row>
        <row r="183">
          <cell r="A183" t="str">
            <v>MY16055ZQXXL</v>
          </cell>
          <cell r="B183">
            <v>4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2</v>
          </cell>
          <cell r="K183">
            <v>0</v>
          </cell>
          <cell r="L183">
            <v>0</v>
          </cell>
          <cell r="M183">
            <v>0</v>
          </cell>
          <cell r="N183">
            <v>2</v>
          </cell>
        </row>
        <row r="184">
          <cell r="A184" t="str">
            <v>MY71115ZQS</v>
          </cell>
          <cell r="B184">
            <v>6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6</v>
          </cell>
          <cell r="L184">
            <v>0</v>
          </cell>
          <cell r="M184">
            <v>0</v>
          </cell>
          <cell r="N184">
            <v>6</v>
          </cell>
        </row>
        <row r="185">
          <cell r="A185" t="str">
            <v>N039YXGH38</v>
          </cell>
          <cell r="B185">
            <v>33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33</v>
          </cell>
          <cell r="M185">
            <v>0</v>
          </cell>
          <cell r="N185">
            <v>33</v>
          </cell>
        </row>
        <row r="186">
          <cell r="A186" t="str">
            <v>NK-XUHM001-K0-L</v>
          </cell>
          <cell r="B186">
            <v>71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71</v>
          </cell>
          <cell r="K186">
            <v>0</v>
          </cell>
          <cell r="L186">
            <v>0</v>
          </cell>
          <cell r="M186">
            <v>0</v>
          </cell>
          <cell r="N186">
            <v>71</v>
          </cell>
        </row>
        <row r="187">
          <cell r="A187" t="str">
            <v>NY-B15021-PI-M</v>
          </cell>
          <cell r="B187">
            <v>28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28</v>
          </cell>
          <cell r="K187">
            <v>0</v>
          </cell>
          <cell r="L187">
            <v>0</v>
          </cell>
          <cell r="M187">
            <v>0</v>
          </cell>
          <cell r="N187">
            <v>28</v>
          </cell>
        </row>
        <row r="188">
          <cell r="A188" t="str">
            <v>MY71115ZQM</v>
          </cell>
          <cell r="B188">
            <v>7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7</v>
          </cell>
          <cell r="K188">
            <v>0</v>
          </cell>
          <cell r="L188">
            <v>0</v>
          </cell>
          <cell r="M188">
            <v>0</v>
          </cell>
          <cell r="N188">
            <v>7</v>
          </cell>
        </row>
        <row r="189">
          <cell r="A189" t="str">
            <v>N9383YP040</v>
          </cell>
          <cell r="B189">
            <v>18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18</v>
          </cell>
          <cell r="M189">
            <v>0</v>
          </cell>
          <cell r="N189">
            <v>18</v>
          </cell>
        </row>
        <row r="190">
          <cell r="A190" t="str">
            <v>NY-B15021-K0-M</v>
          </cell>
          <cell r="B190">
            <v>10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9</v>
          </cell>
          <cell r="K190">
            <v>0</v>
          </cell>
          <cell r="L190">
            <v>0</v>
          </cell>
          <cell r="M190">
            <v>0</v>
          </cell>
          <cell r="N190">
            <v>9</v>
          </cell>
        </row>
        <row r="191">
          <cell r="A191" t="str">
            <v>N2033YK036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2</v>
          </cell>
          <cell r="M191">
            <v>0</v>
          </cell>
          <cell r="N191">
            <v>2</v>
          </cell>
        </row>
        <row r="192">
          <cell r="A192" t="str">
            <v>MY71115MSM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3</v>
          </cell>
          <cell r="L192">
            <v>0</v>
          </cell>
          <cell r="M192">
            <v>0</v>
          </cell>
          <cell r="N192">
            <v>3</v>
          </cell>
        </row>
        <row r="193">
          <cell r="A193" t="str">
            <v>MY71115K0M</v>
          </cell>
          <cell r="B193">
            <v>1</v>
          </cell>
          <cell r="C193">
            <v>1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1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</row>
        <row r="194">
          <cell r="A194" t="str">
            <v>MY71107MSXL</v>
          </cell>
          <cell r="B194">
            <v>8</v>
          </cell>
          <cell r="C194">
            <v>1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8</v>
          </cell>
          <cell r="K194">
            <v>0</v>
          </cell>
          <cell r="L194">
            <v>0</v>
          </cell>
          <cell r="M194">
            <v>0</v>
          </cell>
          <cell r="N194">
            <v>8</v>
          </cell>
        </row>
        <row r="195">
          <cell r="A195" t="str">
            <v>MY71115MSXXL</v>
          </cell>
          <cell r="B195">
            <v>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4</v>
          </cell>
          <cell r="L195">
            <v>0</v>
          </cell>
          <cell r="M195">
            <v>0</v>
          </cell>
          <cell r="N195">
            <v>4</v>
          </cell>
        </row>
        <row r="196">
          <cell r="A196" t="str">
            <v>XTHQK0C</v>
          </cell>
          <cell r="B196">
            <v>116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116</v>
          </cell>
          <cell r="L196">
            <v>0</v>
          </cell>
          <cell r="M196">
            <v>0</v>
          </cell>
          <cell r="N196">
            <v>116</v>
          </cell>
        </row>
        <row r="197">
          <cell r="A197" t="str">
            <v>N9383YXGH48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2</v>
          </cell>
          <cell r="M197">
            <v>0</v>
          </cell>
          <cell r="N197">
            <v>2</v>
          </cell>
        </row>
        <row r="198">
          <cell r="A198" t="str">
            <v>NY-XUHM001-K0-44C</v>
          </cell>
          <cell r="B198">
            <v>9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9</v>
          </cell>
          <cell r="K198">
            <v>0</v>
          </cell>
          <cell r="L198">
            <v>0</v>
          </cell>
          <cell r="M198">
            <v>0</v>
          </cell>
          <cell r="N198">
            <v>9</v>
          </cell>
        </row>
        <row r="199">
          <cell r="A199" t="str">
            <v>NK-XUHM001-K0-XL</v>
          </cell>
          <cell r="B199">
            <v>9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9</v>
          </cell>
          <cell r="K199">
            <v>0</v>
          </cell>
          <cell r="L199">
            <v>0</v>
          </cell>
          <cell r="M199">
            <v>0</v>
          </cell>
          <cell r="N199">
            <v>9</v>
          </cell>
        </row>
        <row r="200">
          <cell r="A200" t="str">
            <v>N9383YMH40</v>
          </cell>
          <cell r="B200">
            <v>6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6</v>
          </cell>
          <cell r="M200">
            <v>0</v>
          </cell>
          <cell r="N200">
            <v>6</v>
          </cell>
        </row>
        <row r="201">
          <cell r="A201" t="str">
            <v>N2047YK032</v>
          </cell>
          <cell r="B201">
            <v>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1</v>
          </cell>
          <cell r="M201">
            <v>0</v>
          </cell>
          <cell r="N201">
            <v>1</v>
          </cell>
        </row>
        <row r="202">
          <cell r="A202" t="str">
            <v>NY-XUHM011-K0-40C</v>
          </cell>
          <cell r="B202">
            <v>27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27</v>
          </cell>
          <cell r="K202">
            <v>0</v>
          </cell>
          <cell r="L202">
            <v>0</v>
          </cell>
          <cell r="M202">
            <v>0</v>
          </cell>
          <cell r="N202">
            <v>27</v>
          </cell>
        </row>
        <row r="203">
          <cell r="A203" t="str">
            <v>N583YQZ40</v>
          </cell>
          <cell r="B203">
            <v>3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3</v>
          </cell>
          <cell r="M203">
            <v>0</v>
          </cell>
          <cell r="N203">
            <v>3</v>
          </cell>
        </row>
        <row r="204">
          <cell r="A204" t="str">
            <v>NY-XUHM001-K0-38C</v>
          </cell>
          <cell r="B204">
            <v>28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28</v>
          </cell>
          <cell r="K204">
            <v>0</v>
          </cell>
          <cell r="L204">
            <v>0</v>
          </cell>
          <cell r="M204">
            <v>0</v>
          </cell>
          <cell r="N204">
            <v>28</v>
          </cell>
        </row>
        <row r="205">
          <cell r="A205" t="str">
            <v>N2082YQJ34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1</v>
          </cell>
          <cell r="M205">
            <v>0</v>
          </cell>
          <cell r="N205">
            <v>1</v>
          </cell>
        </row>
        <row r="206">
          <cell r="A206" t="str">
            <v>N89122KK03XL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2</v>
          </cell>
          <cell r="M206">
            <v>0</v>
          </cell>
          <cell r="N206">
            <v>2</v>
          </cell>
        </row>
        <row r="207">
          <cell r="A207" t="str">
            <v>PYJKDKK0XXXL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XTHQK0D</v>
          </cell>
          <cell r="B208">
            <v>10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10</v>
          </cell>
          <cell r="L208">
            <v>0</v>
          </cell>
          <cell r="M208">
            <v>0</v>
          </cell>
          <cell r="N208">
            <v>10</v>
          </cell>
        </row>
        <row r="209">
          <cell r="A209" t="str">
            <v>MY16055MSS</v>
          </cell>
          <cell r="B209">
            <v>5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5</v>
          </cell>
          <cell r="L209">
            <v>0</v>
          </cell>
          <cell r="M209">
            <v>0</v>
          </cell>
          <cell r="N209">
            <v>5</v>
          </cell>
        </row>
        <row r="210">
          <cell r="A210" t="str">
            <v>N9383YXGH46</v>
          </cell>
          <cell r="B210">
            <v>9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9</v>
          </cell>
          <cell r="M210">
            <v>0</v>
          </cell>
          <cell r="N210">
            <v>9</v>
          </cell>
        </row>
        <row r="211">
          <cell r="A211" t="str">
            <v>NY-B15016-W0-S</v>
          </cell>
          <cell r="B211">
            <v>7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7</v>
          </cell>
          <cell r="K211">
            <v>0</v>
          </cell>
          <cell r="L211">
            <v>0</v>
          </cell>
          <cell r="M211">
            <v>0</v>
          </cell>
          <cell r="N211">
            <v>7</v>
          </cell>
        </row>
        <row r="212">
          <cell r="A212" t="str">
            <v>XTHQK0A</v>
          </cell>
          <cell r="B212">
            <v>38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38</v>
          </cell>
          <cell r="L212">
            <v>0</v>
          </cell>
          <cell r="M212">
            <v>0</v>
          </cell>
          <cell r="N212">
            <v>38</v>
          </cell>
        </row>
        <row r="213">
          <cell r="A213" t="str">
            <v>PYJKJSK0XXXL</v>
          </cell>
          <cell r="B213">
            <v>5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5</v>
          </cell>
          <cell r="M213">
            <v>0</v>
          </cell>
          <cell r="N213">
            <v>5</v>
          </cell>
        </row>
        <row r="214">
          <cell r="A214" t="str">
            <v>N1709YZS44</v>
          </cell>
          <cell r="B214">
            <v>4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4</v>
          </cell>
          <cell r="M214">
            <v>0</v>
          </cell>
          <cell r="N214">
            <v>4</v>
          </cell>
        </row>
        <row r="215">
          <cell r="A215" t="str">
            <v>N89119KK0L</v>
          </cell>
          <cell r="B215">
            <v>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1</v>
          </cell>
          <cell r="M215">
            <v>0</v>
          </cell>
          <cell r="N215">
            <v>1</v>
          </cell>
        </row>
        <row r="216">
          <cell r="A216" t="str">
            <v>NY-XUHM001-K0-40C</v>
          </cell>
          <cell r="B216">
            <v>30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30</v>
          </cell>
          <cell r="K216">
            <v>0</v>
          </cell>
          <cell r="L216">
            <v>0</v>
          </cell>
          <cell r="M216">
            <v>0</v>
          </cell>
          <cell r="N216">
            <v>30</v>
          </cell>
        </row>
        <row r="217">
          <cell r="A217" t="str">
            <v>JBL-QFFMMHL</v>
          </cell>
          <cell r="B217">
            <v>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2</v>
          </cell>
          <cell r="L217">
            <v>0</v>
          </cell>
          <cell r="M217">
            <v>0</v>
          </cell>
          <cell r="N217">
            <v>2</v>
          </cell>
        </row>
        <row r="218">
          <cell r="A218" t="str">
            <v>NY-B15021-K0-S</v>
          </cell>
          <cell r="B218">
            <v>4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4</v>
          </cell>
          <cell r="K218">
            <v>0</v>
          </cell>
          <cell r="L218">
            <v>0</v>
          </cell>
          <cell r="M218">
            <v>0</v>
          </cell>
          <cell r="N218">
            <v>4</v>
          </cell>
        </row>
        <row r="219">
          <cell r="A219" t="str">
            <v>NY-B15021-K0-XL</v>
          </cell>
          <cell r="B219">
            <v>5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5</v>
          </cell>
          <cell r="K219">
            <v>0</v>
          </cell>
          <cell r="L219">
            <v>0</v>
          </cell>
          <cell r="M219">
            <v>0</v>
          </cell>
          <cell r="N219">
            <v>5</v>
          </cell>
        </row>
        <row r="220">
          <cell r="A220" t="str">
            <v>XTHQK0B</v>
          </cell>
          <cell r="B220">
            <v>44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44</v>
          </cell>
          <cell r="L220">
            <v>0</v>
          </cell>
          <cell r="M220">
            <v>0</v>
          </cell>
          <cell r="N220">
            <v>44</v>
          </cell>
        </row>
        <row r="221">
          <cell r="A221" t="str">
            <v>TTYCMZFCX1</v>
          </cell>
          <cell r="B221">
            <v>5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5</v>
          </cell>
          <cell r="M221">
            <v>0</v>
          </cell>
          <cell r="N221">
            <v>5</v>
          </cell>
        </row>
        <row r="222">
          <cell r="A222" t="str">
            <v>NY-XUHM011-K0-38C</v>
          </cell>
          <cell r="B222">
            <v>29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29</v>
          </cell>
          <cell r="K222">
            <v>0</v>
          </cell>
          <cell r="L222">
            <v>0</v>
          </cell>
          <cell r="M222">
            <v>0</v>
          </cell>
          <cell r="N222">
            <v>29</v>
          </cell>
        </row>
        <row r="223">
          <cell r="A223" t="str">
            <v>N2716YMH36</v>
          </cell>
          <cell r="B223">
            <v>37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36</v>
          </cell>
          <cell r="M223">
            <v>0</v>
          </cell>
          <cell r="N223">
            <v>36</v>
          </cell>
        </row>
        <row r="224">
          <cell r="A224" t="str">
            <v>N9383YR040</v>
          </cell>
          <cell r="B224">
            <v>9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1</v>
          </cell>
          <cell r="K224">
            <v>0</v>
          </cell>
          <cell r="L224">
            <v>8</v>
          </cell>
          <cell r="M224">
            <v>0</v>
          </cell>
          <cell r="N224">
            <v>9</v>
          </cell>
        </row>
        <row r="225">
          <cell r="A225" t="str">
            <v>N2033YK040</v>
          </cell>
          <cell r="B225">
            <v>2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2</v>
          </cell>
          <cell r="M225">
            <v>0</v>
          </cell>
          <cell r="N225">
            <v>2</v>
          </cell>
        </row>
        <row r="226">
          <cell r="A226" t="str">
            <v>PYJKDKR0L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1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</row>
        <row r="227">
          <cell r="A227" t="str">
            <v>N9932YXS38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3</v>
          </cell>
          <cell r="M227">
            <v>0</v>
          </cell>
          <cell r="N227">
            <v>3</v>
          </cell>
        </row>
        <row r="228">
          <cell r="A228" t="str">
            <v>N1709YZS48</v>
          </cell>
          <cell r="B228">
            <v>3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3</v>
          </cell>
          <cell r="M228">
            <v>0</v>
          </cell>
          <cell r="N228">
            <v>3</v>
          </cell>
        </row>
        <row r="229">
          <cell r="A229" t="str">
            <v>N89119KBLL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1</v>
          </cell>
          <cell r="M229">
            <v>0</v>
          </cell>
          <cell r="N229">
            <v>1</v>
          </cell>
        </row>
        <row r="230">
          <cell r="A230" t="str">
            <v>SPHNYK0</v>
          </cell>
          <cell r="B230">
            <v>8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8</v>
          </cell>
          <cell r="M230">
            <v>0</v>
          </cell>
          <cell r="N230">
            <v>8</v>
          </cell>
        </row>
        <row r="231">
          <cell r="A231" t="str">
            <v>NY-XUHM005-GA-S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  <cell r="N231">
            <v>2</v>
          </cell>
        </row>
        <row r="232">
          <cell r="A232" t="str">
            <v>NY-XUHM463-K0-M</v>
          </cell>
          <cell r="B232">
            <v>9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9</v>
          </cell>
          <cell r="K232">
            <v>0</v>
          </cell>
          <cell r="L232">
            <v>0</v>
          </cell>
          <cell r="M232">
            <v>0</v>
          </cell>
          <cell r="N232">
            <v>9</v>
          </cell>
        </row>
        <row r="233">
          <cell r="A233" t="str">
            <v>N2716YMH34</v>
          </cell>
          <cell r="B233">
            <v>47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46</v>
          </cell>
          <cell r="M233">
            <v>0</v>
          </cell>
          <cell r="N233">
            <v>46</v>
          </cell>
        </row>
        <row r="234">
          <cell r="A234" t="str">
            <v>N9383YB042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4</v>
          </cell>
          <cell r="M234">
            <v>0</v>
          </cell>
          <cell r="N234">
            <v>4</v>
          </cell>
        </row>
        <row r="235">
          <cell r="A235" t="str">
            <v>N3818-2YW048</v>
          </cell>
          <cell r="B235">
            <v>45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1</v>
          </cell>
          <cell r="L235">
            <v>44</v>
          </cell>
          <cell r="M235">
            <v>0</v>
          </cell>
          <cell r="N235">
            <v>45</v>
          </cell>
        </row>
        <row r="236">
          <cell r="A236" t="str">
            <v>N888YK036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3</v>
          </cell>
          <cell r="M236">
            <v>0</v>
          </cell>
          <cell r="N236">
            <v>3</v>
          </cell>
        </row>
        <row r="237">
          <cell r="A237" t="str">
            <v>N87318KR5L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1</v>
          </cell>
          <cell r="M237">
            <v>0</v>
          </cell>
          <cell r="N237">
            <v>1</v>
          </cell>
        </row>
        <row r="238">
          <cell r="A238" t="str">
            <v>MY71107MSS</v>
          </cell>
          <cell r="B238">
            <v>5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5</v>
          </cell>
          <cell r="L238">
            <v>0</v>
          </cell>
          <cell r="M238">
            <v>0</v>
          </cell>
          <cell r="N238">
            <v>5</v>
          </cell>
        </row>
        <row r="239">
          <cell r="A239" t="str">
            <v>TTYCMZFCX2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5</v>
          </cell>
          <cell r="M239">
            <v>0</v>
          </cell>
          <cell r="N239">
            <v>5</v>
          </cell>
        </row>
        <row r="240">
          <cell r="A240" t="str">
            <v>N9383YXGH40</v>
          </cell>
          <cell r="B240">
            <v>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4</v>
          </cell>
          <cell r="M240">
            <v>0</v>
          </cell>
          <cell r="N240">
            <v>4</v>
          </cell>
        </row>
        <row r="241">
          <cell r="A241" t="str">
            <v>N89119KR5L</v>
          </cell>
          <cell r="B241">
            <v>1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1</v>
          </cell>
          <cell r="M241">
            <v>0</v>
          </cell>
          <cell r="N241">
            <v>1</v>
          </cell>
        </row>
        <row r="242">
          <cell r="A242" t="str">
            <v>N87301KMLSM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1</v>
          </cell>
          <cell r="M242">
            <v>0</v>
          </cell>
          <cell r="N242">
            <v>1</v>
          </cell>
        </row>
        <row r="243">
          <cell r="A243" t="str">
            <v>N029YMH40</v>
          </cell>
          <cell r="B243">
            <v>35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1</v>
          </cell>
          <cell r="L243">
            <v>33</v>
          </cell>
          <cell r="M243">
            <v>0</v>
          </cell>
          <cell r="N243">
            <v>34</v>
          </cell>
        </row>
        <row r="244">
          <cell r="A244" t="str">
            <v>N9932YR538</v>
          </cell>
          <cell r="B244">
            <v>3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3</v>
          </cell>
          <cell r="M244">
            <v>0</v>
          </cell>
          <cell r="N244">
            <v>3</v>
          </cell>
        </row>
        <row r="245">
          <cell r="A245" t="str">
            <v>PYJKJSB0XL</v>
          </cell>
          <cell r="B245">
            <v>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</row>
        <row r="246">
          <cell r="A246" t="str">
            <v>N87309KW0L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1</v>
          </cell>
          <cell r="M246">
            <v>0</v>
          </cell>
          <cell r="N246">
            <v>1</v>
          </cell>
        </row>
        <row r="247">
          <cell r="A247" t="str">
            <v>N039YG038</v>
          </cell>
          <cell r="B247">
            <v>26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26</v>
          </cell>
          <cell r="M247">
            <v>0</v>
          </cell>
          <cell r="N247">
            <v>26</v>
          </cell>
        </row>
        <row r="248">
          <cell r="A248" t="str">
            <v>N87301KZHSL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1</v>
          </cell>
          <cell r="M248">
            <v>0</v>
          </cell>
          <cell r="N248">
            <v>1</v>
          </cell>
        </row>
        <row r="249">
          <cell r="A249" t="str">
            <v>N029YHL40</v>
          </cell>
          <cell r="B249">
            <v>46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1</v>
          </cell>
          <cell r="K249">
            <v>1</v>
          </cell>
          <cell r="L249">
            <v>43</v>
          </cell>
          <cell r="M249">
            <v>0</v>
          </cell>
          <cell r="N249">
            <v>45</v>
          </cell>
        </row>
        <row r="250">
          <cell r="A250" t="str">
            <v>NY-B15021-B0-L</v>
          </cell>
          <cell r="B250">
            <v>12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12</v>
          </cell>
          <cell r="K250">
            <v>0</v>
          </cell>
          <cell r="L250">
            <v>0</v>
          </cell>
          <cell r="M250">
            <v>0</v>
          </cell>
          <cell r="N250">
            <v>12</v>
          </cell>
        </row>
        <row r="251">
          <cell r="A251" t="str">
            <v>NY-B15016-K0-M</v>
          </cell>
          <cell r="B251">
            <v>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6</v>
          </cell>
          <cell r="K251">
            <v>0</v>
          </cell>
          <cell r="L251">
            <v>0</v>
          </cell>
          <cell r="M251">
            <v>0</v>
          </cell>
          <cell r="N251">
            <v>6</v>
          </cell>
        </row>
        <row r="252">
          <cell r="A252" t="str">
            <v>N87318KXSXL</v>
          </cell>
          <cell r="B252">
            <v>1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1</v>
          </cell>
          <cell r="M252">
            <v>0</v>
          </cell>
          <cell r="N252">
            <v>1</v>
          </cell>
        </row>
        <row r="253">
          <cell r="A253" t="str">
            <v>MY16055MSXXL</v>
          </cell>
          <cell r="B253">
            <v>4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4</v>
          </cell>
          <cell r="L253">
            <v>0</v>
          </cell>
          <cell r="M253">
            <v>0</v>
          </cell>
          <cell r="N253">
            <v>4</v>
          </cell>
        </row>
        <row r="254">
          <cell r="A254" t="str">
            <v>N029YMH36</v>
          </cell>
          <cell r="B254">
            <v>32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32</v>
          </cell>
          <cell r="M254">
            <v>0</v>
          </cell>
          <cell r="N254">
            <v>32</v>
          </cell>
        </row>
        <row r="255">
          <cell r="A255" t="str">
            <v>N87301KSGXL</v>
          </cell>
          <cell r="B255">
            <v>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1</v>
          </cell>
          <cell r="M255">
            <v>0</v>
          </cell>
          <cell r="N255">
            <v>1</v>
          </cell>
        </row>
        <row r="256">
          <cell r="A256" t="str">
            <v>DDBNYW0</v>
          </cell>
          <cell r="B256">
            <v>24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1</v>
          </cell>
          <cell r="K256">
            <v>0</v>
          </cell>
          <cell r="L256">
            <v>23</v>
          </cell>
          <cell r="M256">
            <v>0</v>
          </cell>
          <cell r="N256">
            <v>24</v>
          </cell>
        </row>
        <row r="257">
          <cell r="A257" t="str">
            <v>MY16055ZQL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2</v>
          </cell>
          <cell r="L257">
            <v>0</v>
          </cell>
          <cell r="M257">
            <v>0</v>
          </cell>
          <cell r="N257">
            <v>2</v>
          </cell>
        </row>
        <row r="258">
          <cell r="A258" t="str">
            <v>MY71115ZQL</v>
          </cell>
          <cell r="B258">
            <v>5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4</v>
          </cell>
          <cell r="K258">
            <v>0</v>
          </cell>
          <cell r="L258">
            <v>0</v>
          </cell>
          <cell r="M258">
            <v>0</v>
          </cell>
          <cell r="N258">
            <v>4</v>
          </cell>
        </row>
        <row r="259">
          <cell r="A259" t="str">
            <v>PYJKTSKFL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2</v>
          </cell>
          <cell r="M259">
            <v>0</v>
          </cell>
          <cell r="N259">
            <v>2</v>
          </cell>
        </row>
        <row r="260">
          <cell r="A260" t="str">
            <v>N888YK042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3</v>
          </cell>
          <cell r="M260">
            <v>0</v>
          </cell>
          <cell r="N260">
            <v>3</v>
          </cell>
        </row>
        <row r="261">
          <cell r="A261" t="str">
            <v>N2033YK042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1</v>
          </cell>
          <cell r="M261">
            <v>0</v>
          </cell>
          <cell r="N261">
            <v>1</v>
          </cell>
        </row>
        <row r="262">
          <cell r="A262" t="str">
            <v>NY-XUHM005-GA-M</v>
          </cell>
          <cell r="B262">
            <v>11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11</v>
          </cell>
          <cell r="K262">
            <v>0</v>
          </cell>
          <cell r="L262">
            <v>0</v>
          </cell>
          <cell r="M262">
            <v>0</v>
          </cell>
          <cell r="N262">
            <v>11</v>
          </cell>
        </row>
        <row r="263">
          <cell r="A263" t="str">
            <v>NY-B15021-PI-XL</v>
          </cell>
          <cell r="B263">
            <v>15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14</v>
          </cell>
          <cell r="K263">
            <v>0</v>
          </cell>
          <cell r="L263">
            <v>0</v>
          </cell>
          <cell r="M263">
            <v>0</v>
          </cell>
          <cell r="N263">
            <v>14</v>
          </cell>
        </row>
        <row r="264">
          <cell r="A264" t="str">
            <v>N2257YK038</v>
          </cell>
          <cell r="B264">
            <v>1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1</v>
          </cell>
          <cell r="M264">
            <v>0</v>
          </cell>
          <cell r="N264">
            <v>1</v>
          </cell>
        </row>
        <row r="265">
          <cell r="A265" t="str">
            <v>MY71107ZQS</v>
          </cell>
          <cell r="B265">
            <v>2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1</v>
          </cell>
          <cell r="K265">
            <v>1</v>
          </cell>
          <cell r="L265">
            <v>0</v>
          </cell>
          <cell r="M265">
            <v>0</v>
          </cell>
          <cell r="N265">
            <v>2</v>
          </cell>
        </row>
        <row r="266">
          <cell r="A266" t="str">
            <v>JBL-QFFMR5XXL</v>
          </cell>
          <cell r="B266">
            <v>5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5</v>
          </cell>
          <cell r="L266">
            <v>0</v>
          </cell>
          <cell r="M266">
            <v>0</v>
          </cell>
          <cell r="N266">
            <v>5</v>
          </cell>
        </row>
        <row r="267">
          <cell r="A267" t="str">
            <v>N89122KHL4XL</v>
          </cell>
          <cell r="B267">
            <v>2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2</v>
          </cell>
          <cell r="M267">
            <v>0</v>
          </cell>
          <cell r="N267">
            <v>2</v>
          </cell>
        </row>
        <row r="268">
          <cell r="A268" t="str">
            <v>N31459YB042</v>
          </cell>
          <cell r="B268">
            <v>3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3</v>
          </cell>
          <cell r="M268">
            <v>0</v>
          </cell>
          <cell r="N268">
            <v>3</v>
          </cell>
        </row>
        <row r="269">
          <cell r="A269" t="str">
            <v>N039YR038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  <cell r="N269">
            <v>1</v>
          </cell>
        </row>
        <row r="270">
          <cell r="A270" t="str">
            <v>N029YE040</v>
          </cell>
          <cell r="B270">
            <v>46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</v>
          </cell>
          <cell r="K270">
            <v>1</v>
          </cell>
          <cell r="L270">
            <v>44</v>
          </cell>
          <cell r="M270">
            <v>0</v>
          </cell>
          <cell r="N270">
            <v>46</v>
          </cell>
        </row>
        <row r="271">
          <cell r="A271" t="str">
            <v>N9383YB044</v>
          </cell>
          <cell r="B271">
            <v>21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21</v>
          </cell>
          <cell r="M271">
            <v>0</v>
          </cell>
          <cell r="N271">
            <v>21</v>
          </cell>
        </row>
        <row r="272">
          <cell r="A272" t="str">
            <v>N9383YG038</v>
          </cell>
          <cell r="B272">
            <v>3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3</v>
          </cell>
          <cell r="M272">
            <v>0</v>
          </cell>
          <cell r="N272">
            <v>3</v>
          </cell>
        </row>
        <row r="273">
          <cell r="A273" t="str">
            <v>N89119KXSL</v>
          </cell>
          <cell r="B273">
            <v>1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1</v>
          </cell>
          <cell r="M273">
            <v>0</v>
          </cell>
          <cell r="N273">
            <v>1</v>
          </cell>
        </row>
        <row r="274">
          <cell r="A274" t="str">
            <v>MY71107MSL</v>
          </cell>
          <cell r="B274">
            <v>3</v>
          </cell>
          <cell r="C274">
            <v>2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3</v>
          </cell>
          <cell r="K274">
            <v>0</v>
          </cell>
          <cell r="L274">
            <v>0</v>
          </cell>
          <cell r="M274">
            <v>0</v>
          </cell>
          <cell r="N274">
            <v>3</v>
          </cell>
        </row>
        <row r="275">
          <cell r="A275" t="str">
            <v>MY16055ZQS</v>
          </cell>
          <cell r="B275">
            <v>3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3</v>
          </cell>
          <cell r="L275">
            <v>0</v>
          </cell>
          <cell r="M275">
            <v>0</v>
          </cell>
          <cell r="N275">
            <v>3</v>
          </cell>
        </row>
        <row r="276">
          <cell r="A276" t="str">
            <v>MY71115MSL</v>
          </cell>
          <cell r="B276">
            <v>5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5</v>
          </cell>
          <cell r="L276">
            <v>0</v>
          </cell>
          <cell r="M276">
            <v>0</v>
          </cell>
          <cell r="N276">
            <v>5</v>
          </cell>
        </row>
        <row r="277">
          <cell r="A277" t="str">
            <v>N9383YB046</v>
          </cell>
          <cell r="B277">
            <v>10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10</v>
          </cell>
          <cell r="M277">
            <v>0</v>
          </cell>
          <cell r="N277">
            <v>10</v>
          </cell>
        </row>
        <row r="278">
          <cell r="A278" t="str">
            <v>N9383YMH48</v>
          </cell>
          <cell r="B278">
            <v>12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12</v>
          </cell>
          <cell r="M278">
            <v>0</v>
          </cell>
          <cell r="N278">
            <v>12</v>
          </cell>
        </row>
        <row r="279">
          <cell r="A279" t="str">
            <v>N158YR038</v>
          </cell>
          <cell r="B279">
            <v>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2</v>
          </cell>
          <cell r="M279">
            <v>0</v>
          </cell>
          <cell r="N279">
            <v>2</v>
          </cell>
        </row>
        <row r="280">
          <cell r="A280" t="str">
            <v>NY-XUHM463-P0-L</v>
          </cell>
          <cell r="B280">
            <v>14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14</v>
          </cell>
          <cell r="K280">
            <v>0</v>
          </cell>
          <cell r="L280">
            <v>0</v>
          </cell>
          <cell r="M280">
            <v>0</v>
          </cell>
          <cell r="N280">
            <v>14</v>
          </cell>
        </row>
        <row r="281">
          <cell r="A281" t="str">
            <v>N531YB036</v>
          </cell>
          <cell r="B281">
            <v>54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54</v>
          </cell>
          <cell r="M281">
            <v>0</v>
          </cell>
          <cell r="N281">
            <v>54</v>
          </cell>
        </row>
        <row r="282">
          <cell r="A282" t="str">
            <v>N1709YR048</v>
          </cell>
          <cell r="B282">
            <v>16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16</v>
          </cell>
          <cell r="M282">
            <v>0</v>
          </cell>
          <cell r="N282">
            <v>16</v>
          </cell>
        </row>
        <row r="283">
          <cell r="A283" t="str">
            <v>N2257YR538</v>
          </cell>
          <cell r="B283">
            <v>1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1</v>
          </cell>
          <cell r="M283">
            <v>0</v>
          </cell>
          <cell r="N283">
            <v>1</v>
          </cell>
        </row>
        <row r="284">
          <cell r="A284" t="str">
            <v>N87309KW0M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1</v>
          </cell>
          <cell r="M284">
            <v>0</v>
          </cell>
          <cell r="N284">
            <v>1</v>
          </cell>
        </row>
        <row r="285">
          <cell r="A285" t="str">
            <v>NY-XUHM333-HS-L</v>
          </cell>
          <cell r="B285">
            <v>18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N2082YK034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2</v>
          </cell>
          <cell r="M286">
            <v>0</v>
          </cell>
          <cell r="N286">
            <v>2</v>
          </cell>
        </row>
        <row r="287">
          <cell r="A287" t="str">
            <v>N87301KK0XL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1</v>
          </cell>
          <cell r="M287">
            <v>0</v>
          </cell>
          <cell r="N287">
            <v>1</v>
          </cell>
        </row>
        <row r="288">
          <cell r="A288" t="str">
            <v>N87301KW0L</v>
          </cell>
          <cell r="B288">
            <v>1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1</v>
          </cell>
          <cell r="M288">
            <v>0</v>
          </cell>
          <cell r="N288">
            <v>1</v>
          </cell>
        </row>
        <row r="289">
          <cell r="A289" t="str">
            <v>N2716YYGL36</v>
          </cell>
          <cell r="B289">
            <v>34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10</v>
          </cell>
          <cell r="K289">
            <v>0</v>
          </cell>
          <cell r="L289">
            <v>22</v>
          </cell>
          <cell r="M289">
            <v>0</v>
          </cell>
          <cell r="N289">
            <v>32</v>
          </cell>
        </row>
        <row r="290">
          <cell r="A290" t="str">
            <v>N2257YSG36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2</v>
          </cell>
          <cell r="M290">
            <v>0</v>
          </cell>
          <cell r="N290">
            <v>2</v>
          </cell>
        </row>
        <row r="291">
          <cell r="A291" t="str">
            <v>N9383YB048</v>
          </cell>
          <cell r="B291">
            <v>7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7</v>
          </cell>
          <cell r="M291">
            <v>0</v>
          </cell>
          <cell r="N291">
            <v>7</v>
          </cell>
        </row>
        <row r="292">
          <cell r="A292" t="str">
            <v>N31459YB040</v>
          </cell>
          <cell r="B292">
            <v>6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6</v>
          </cell>
          <cell r="M292">
            <v>0</v>
          </cell>
          <cell r="N292">
            <v>6</v>
          </cell>
        </row>
        <row r="293">
          <cell r="A293" t="str">
            <v>MY71107ZQM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MY71115MSXL</v>
          </cell>
          <cell r="B294">
            <v>5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2</v>
          </cell>
          <cell r="K294">
            <v>3</v>
          </cell>
          <cell r="L294">
            <v>0</v>
          </cell>
          <cell r="M294">
            <v>0</v>
          </cell>
          <cell r="N294">
            <v>5</v>
          </cell>
        </row>
        <row r="295">
          <cell r="A295" t="str">
            <v>N531YXS40</v>
          </cell>
          <cell r="B295">
            <v>27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27</v>
          </cell>
          <cell r="M295">
            <v>0</v>
          </cell>
          <cell r="N295">
            <v>27</v>
          </cell>
        </row>
        <row r="296">
          <cell r="A296" t="str">
            <v>N31459YMH46</v>
          </cell>
          <cell r="B296">
            <v>5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1</v>
          </cell>
          <cell r="L296">
            <v>4</v>
          </cell>
          <cell r="M296">
            <v>0</v>
          </cell>
          <cell r="N296">
            <v>5</v>
          </cell>
        </row>
        <row r="297">
          <cell r="A297" t="str">
            <v>N89119KMHL</v>
          </cell>
          <cell r="B297">
            <v>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  <cell r="N297">
            <v>1</v>
          </cell>
        </row>
        <row r="298">
          <cell r="A298" t="str">
            <v>NY-B15016-W0-M</v>
          </cell>
          <cell r="B298">
            <v>11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11</v>
          </cell>
          <cell r="K298">
            <v>0</v>
          </cell>
          <cell r="L298">
            <v>0</v>
          </cell>
          <cell r="M298">
            <v>0</v>
          </cell>
          <cell r="N298">
            <v>11</v>
          </cell>
        </row>
        <row r="299">
          <cell r="A299" t="str">
            <v>NY-XUHM001-K0-42C</v>
          </cell>
          <cell r="B299">
            <v>13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13</v>
          </cell>
          <cell r="K299">
            <v>0</v>
          </cell>
          <cell r="L299">
            <v>0</v>
          </cell>
          <cell r="M299">
            <v>0</v>
          </cell>
          <cell r="N299">
            <v>13</v>
          </cell>
        </row>
        <row r="300">
          <cell r="A300" t="str">
            <v>MY71115ZQXL</v>
          </cell>
          <cell r="B300">
            <v>5</v>
          </cell>
          <cell r="C300">
            <v>2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4</v>
          </cell>
          <cell r="K300">
            <v>0</v>
          </cell>
          <cell r="L300">
            <v>0</v>
          </cell>
          <cell r="M300">
            <v>0</v>
          </cell>
          <cell r="N300">
            <v>4</v>
          </cell>
        </row>
        <row r="301">
          <cell r="A301" t="str">
            <v>PYJKJSK0XL</v>
          </cell>
          <cell r="B301">
            <v>4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4</v>
          </cell>
          <cell r="M301">
            <v>0</v>
          </cell>
          <cell r="N301">
            <v>4</v>
          </cell>
        </row>
        <row r="302">
          <cell r="A302" t="str">
            <v>MY16055K0S</v>
          </cell>
          <cell r="B302">
            <v>2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2</v>
          </cell>
          <cell r="L302">
            <v>0</v>
          </cell>
          <cell r="M302">
            <v>0</v>
          </cell>
          <cell r="N302">
            <v>2</v>
          </cell>
        </row>
        <row r="303">
          <cell r="A303" t="str">
            <v>N9383YMH44</v>
          </cell>
          <cell r="B303">
            <v>4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4</v>
          </cell>
          <cell r="M303">
            <v>0</v>
          </cell>
          <cell r="N303">
            <v>4</v>
          </cell>
        </row>
        <row r="304">
          <cell r="A304" t="str">
            <v>N029YE038</v>
          </cell>
          <cell r="B304">
            <v>41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1</v>
          </cell>
          <cell r="K304">
            <v>1</v>
          </cell>
          <cell r="L304">
            <v>38</v>
          </cell>
          <cell r="M304">
            <v>0</v>
          </cell>
          <cell r="N304">
            <v>40</v>
          </cell>
        </row>
        <row r="305">
          <cell r="A305" t="str">
            <v>N1709YR042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2</v>
          </cell>
          <cell r="M305">
            <v>0</v>
          </cell>
          <cell r="N305">
            <v>2</v>
          </cell>
        </row>
        <row r="306">
          <cell r="A306" t="str">
            <v>N31459YJS42</v>
          </cell>
          <cell r="B306">
            <v>10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1</v>
          </cell>
          <cell r="L306">
            <v>8</v>
          </cell>
          <cell r="M306">
            <v>0</v>
          </cell>
          <cell r="N306">
            <v>10</v>
          </cell>
        </row>
        <row r="307">
          <cell r="A307" t="str">
            <v>N9932YK038</v>
          </cell>
          <cell r="B307">
            <v>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3</v>
          </cell>
          <cell r="M307">
            <v>0</v>
          </cell>
          <cell r="N307">
            <v>3</v>
          </cell>
        </row>
        <row r="308">
          <cell r="A308" t="str">
            <v>JBL-QFFMR5XL</v>
          </cell>
          <cell r="B308">
            <v>3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3</v>
          </cell>
          <cell r="L308">
            <v>0</v>
          </cell>
          <cell r="M308">
            <v>0</v>
          </cell>
          <cell r="N308">
            <v>3</v>
          </cell>
        </row>
        <row r="309">
          <cell r="A309" t="str">
            <v>TTCX36851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1</v>
          </cell>
          <cell r="L309">
            <v>0</v>
          </cell>
          <cell r="M309">
            <v>0</v>
          </cell>
          <cell r="N309">
            <v>1</v>
          </cell>
        </row>
        <row r="310">
          <cell r="A310" t="str">
            <v>JBL-QFFMR5S</v>
          </cell>
          <cell r="B310">
            <v>5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5</v>
          </cell>
          <cell r="L310">
            <v>0</v>
          </cell>
          <cell r="M310">
            <v>0</v>
          </cell>
          <cell r="N310">
            <v>5</v>
          </cell>
        </row>
        <row r="311">
          <cell r="A311" t="str">
            <v>N89122KHL2XL</v>
          </cell>
          <cell r="B311">
            <v>2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2</v>
          </cell>
          <cell r="M311">
            <v>0</v>
          </cell>
          <cell r="N311">
            <v>2</v>
          </cell>
        </row>
        <row r="312">
          <cell r="A312" t="str">
            <v>N89122KHL3XL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2</v>
          </cell>
          <cell r="M312">
            <v>0</v>
          </cell>
          <cell r="N312">
            <v>2</v>
          </cell>
        </row>
        <row r="313">
          <cell r="A313" t="str">
            <v>N029YE036</v>
          </cell>
          <cell r="B313">
            <v>43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1</v>
          </cell>
          <cell r="K313">
            <v>0</v>
          </cell>
          <cell r="L313">
            <v>42</v>
          </cell>
          <cell r="M313">
            <v>0</v>
          </cell>
          <cell r="N313">
            <v>43</v>
          </cell>
        </row>
        <row r="314">
          <cell r="A314" t="str">
            <v>N039YR040</v>
          </cell>
          <cell r="B314">
            <v>22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4</v>
          </cell>
          <cell r="K314">
            <v>3</v>
          </cell>
          <cell r="L314">
            <v>14</v>
          </cell>
          <cell r="M314">
            <v>0</v>
          </cell>
          <cell r="N314">
            <v>21</v>
          </cell>
        </row>
        <row r="315">
          <cell r="A315" t="str">
            <v>N9383YR038</v>
          </cell>
          <cell r="B315">
            <v>11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11</v>
          </cell>
          <cell r="M315">
            <v>0</v>
          </cell>
          <cell r="N315">
            <v>11</v>
          </cell>
        </row>
        <row r="316">
          <cell r="A316" t="str">
            <v>NY-B15016-Y0-M</v>
          </cell>
          <cell r="B316">
            <v>7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6</v>
          </cell>
          <cell r="K316">
            <v>0</v>
          </cell>
          <cell r="L316">
            <v>0</v>
          </cell>
          <cell r="M316">
            <v>0</v>
          </cell>
          <cell r="N316">
            <v>6</v>
          </cell>
        </row>
        <row r="317">
          <cell r="A317" t="str">
            <v>N158YK038</v>
          </cell>
          <cell r="B317">
            <v>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2</v>
          </cell>
          <cell r="M317">
            <v>0</v>
          </cell>
          <cell r="N317">
            <v>2</v>
          </cell>
        </row>
        <row r="318">
          <cell r="A318" t="str">
            <v>N87318KHLL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1</v>
          </cell>
          <cell r="M318">
            <v>0</v>
          </cell>
          <cell r="N318">
            <v>1</v>
          </cell>
        </row>
        <row r="319">
          <cell r="A319" t="str">
            <v>N31459YMH44</v>
          </cell>
          <cell r="B319">
            <v>4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3</v>
          </cell>
          <cell r="L319">
            <v>1</v>
          </cell>
          <cell r="M319">
            <v>0</v>
          </cell>
          <cell r="N319">
            <v>4</v>
          </cell>
        </row>
        <row r="320">
          <cell r="A320" t="str">
            <v>N89122KK04XL</v>
          </cell>
          <cell r="B320">
            <v>1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1</v>
          </cell>
          <cell r="M320">
            <v>0</v>
          </cell>
          <cell r="N320">
            <v>1</v>
          </cell>
        </row>
        <row r="321">
          <cell r="A321" t="str">
            <v>MY16055K0M</v>
          </cell>
          <cell r="B321">
            <v>5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5</v>
          </cell>
          <cell r="L321">
            <v>0</v>
          </cell>
          <cell r="M321">
            <v>0</v>
          </cell>
          <cell r="N321">
            <v>5</v>
          </cell>
        </row>
        <row r="322">
          <cell r="A322" t="str">
            <v>N888YR540</v>
          </cell>
          <cell r="B322">
            <v>3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3</v>
          </cell>
          <cell r="M322">
            <v>0</v>
          </cell>
          <cell r="N322">
            <v>3</v>
          </cell>
        </row>
        <row r="323">
          <cell r="A323" t="str">
            <v>N9383YG046</v>
          </cell>
          <cell r="B323">
            <v>3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1</v>
          </cell>
          <cell r="K323">
            <v>0</v>
          </cell>
          <cell r="L323">
            <v>2</v>
          </cell>
          <cell r="M323">
            <v>0</v>
          </cell>
          <cell r="N323">
            <v>3</v>
          </cell>
        </row>
        <row r="324">
          <cell r="A324" t="str">
            <v>N9383YP044</v>
          </cell>
          <cell r="B324">
            <v>9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9</v>
          </cell>
          <cell r="M324">
            <v>0</v>
          </cell>
          <cell r="N324">
            <v>9</v>
          </cell>
        </row>
        <row r="325">
          <cell r="A325" t="str">
            <v>NY-XUHM002-K0-S</v>
          </cell>
          <cell r="B325">
            <v>3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3</v>
          </cell>
          <cell r="K325">
            <v>0</v>
          </cell>
          <cell r="L325">
            <v>0</v>
          </cell>
          <cell r="M325">
            <v>0</v>
          </cell>
          <cell r="N325">
            <v>3</v>
          </cell>
        </row>
        <row r="326">
          <cell r="A326" t="str">
            <v>NY-XUHM463-P0-S</v>
          </cell>
          <cell r="B326">
            <v>4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4</v>
          </cell>
          <cell r="K326">
            <v>0</v>
          </cell>
          <cell r="L326">
            <v>0</v>
          </cell>
          <cell r="M326">
            <v>0</v>
          </cell>
          <cell r="N326">
            <v>4</v>
          </cell>
        </row>
        <row r="327">
          <cell r="A327" t="str">
            <v>N2716YYGL34</v>
          </cell>
          <cell r="B327">
            <v>36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11</v>
          </cell>
          <cell r="K327">
            <v>0</v>
          </cell>
          <cell r="L327">
            <v>23</v>
          </cell>
          <cell r="M327">
            <v>0</v>
          </cell>
          <cell r="N327">
            <v>34</v>
          </cell>
        </row>
        <row r="328">
          <cell r="A328" t="str">
            <v>PYJKTSK0L</v>
          </cell>
          <cell r="B328">
            <v>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1</v>
          </cell>
          <cell r="K328">
            <v>0</v>
          </cell>
          <cell r="L328">
            <v>3</v>
          </cell>
          <cell r="M328">
            <v>0</v>
          </cell>
          <cell r="N328">
            <v>4</v>
          </cell>
        </row>
        <row r="329">
          <cell r="A329" t="str">
            <v>N531YQL36</v>
          </cell>
          <cell r="B329">
            <v>26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1</v>
          </cell>
          <cell r="K329">
            <v>0</v>
          </cell>
          <cell r="L329">
            <v>25</v>
          </cell>
          <cell r="M329">
            <v>0</v>
          </cell>
          <cell r="N329">
            <v>26</v>
          </cell>
        </row>
        <row r="330">
          <cell r="A330" t="str">
            <v>XTLAK0A</v>
          </cell>
          <cell r="B330">
            <v>37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12</v>
          </cell>
          <cell r="L330">
            <v>24</v>
          </cell>
          <cell r="M330">
            <v>0</v>
          </cell>
          <cell r="N330">
            <v>36</v>
          </cell>
        </row>
        <row r="331">
          <cell r="A331" t="str">
            <v>NY-B15021-PI-S</v>
          </cell>
          <cell r="B331">
            <v>18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18</v>
          </cell>
          <cell r="K331">
            <v>0</v>
          </cell>
          <cell r="L331">
            <v>0</v>
          </cell>
          <cell r="M331">
            <v>0</v>
          </cell>
          <cell r="N331">
            <v>18</v>
          </cell>
        </row>
        <row r="332">
          <cell r="A332" t="str">
            <v>TTYCMZFCX3</v>
          </cell>
          <cell r="B332">
            <v>10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1</v>
          </cell>
          <cell r="K332">
            <v>0</v>
          </cell>
          <cell r="L332">
            <v>9</v>
          </cell>
          <cell r="M332">
            <v>0</v>
          </cell>
          <cell r="N332">
            <v>10</v>
          </cell>
        </row>
        <row r="333">
          <cell r="A333" t="str">
            <v>MY71115MSS</v>
          </cell>
          <cell r="B333">
            <v>5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5</v>
          </cell>
          <cell r="L333">
            <v>0</v>
          </cell>
          <cell r="M333">
            <v>0</v>
          </cell>
          <cell r="N333">
            <v>5</v>
          </cell>
        </row>
        <row r="334">
          <cell r="A334" t="str">
            <v>N2047YXS32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1</v>
          </cell>
          <cell r="M334">
            <v>0</v>
          </cell>
          <cell r="N334">
            <v>1</v>
          </cell>
        </row>
        <row r="335">
          <cell r="A335" t="str">
            <v>N2716YHL36</v>
          </cell>
          <cell r="B335">
            <v>41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41</v>
          </cell>
          <cell r="M335">
            <v>0</v>
          </cell>
          <cell r="N335">
            <v>41</v>
          </cell>
        </row>
        <row r="336">
          <cell r="A336" t="str">
            <v>NY-B15021-B0-M</v>
          </cell>
          <cell r="B336">
            <v>13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13</v>
          </cell>
          <cell r="K336">
            <v>0</v>
          </cell>
          <cell r="L336">
            <v>0</v>
          </cell>
          <cell r="M336">
            <v>0</v>
          </cell>
          <cell r="N336">
            <v>13</v>
          </cell>
        </row>
        <row r="337">
          <cell r="A337" t="str">
            <v>PYJKDKY0M</v>
          </cell>
          <cell r="B337">
            <v>1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1</v>
          </cell>
          <cell r="K337">
            <v>0</v>
          </cell>
          <cell r="L337">
            <v>0</v>
          </cell>
          <cell r="M337">
            <v>0</v>
          </cell>
          <cell r="N337">
            <v>1</v>
          </cell>
        </row>
        <row r="338">
          <cell r="A338" t="str">
            <v>N9383YMH46</v>
          </cell>
          <cell r="B338">
            <v>22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22</v>
          </cell>
          <cell r="M338">
            <v>0</v>
          </cell>
          <cell r="N338">
            <v>22</v>
          </cell>
        </row>
        <row r="339">
          <cell r="A339" t="str">
            <v>N89122KXS4XL</v>
          </cell>
          <cell r="B339">
            <v>2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2</v>
          </cell>
          <cell r="M339">
            <v>0</v>
          </cell>
          <cell r="N339">
            <v>2</v>
          </cell>
        </row>
        <row r="340">
          <cell r="A340" t="str">
            <v>N31459YMH48</v>
          </cell>
          <cell r="B340">
            <v>12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11</v>
          </cell>
          <cell r="M340">
            <v>0</v>
          </cell>
          <cell r="N340">
            <v>11</v>
          </cell>
        </row>
        <row r="341">
          <cell r="A341" t="str">
            <v>N2082YK038</v>
          </cell>
          <cell r="B341">
            <v>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2</v>
          </cell>
          <cell r="M341">
            <v>0</v>
          </cell>
          <cell r="N341">
            <v>2</v>
          </cell>
        </row>
        <row r="342">
          <cell r="A342" t="str">
            <v>N9383YR042</v>
          </cell>
          <cell r="B342">
            <v>22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22</v>
          </cell>
          <cell r="M342">
            <v>0</v>
          </cell>
          <cell r="N342">
            <v>22</v>
          </cell>
        </row>
        <row r="343">
          <cell r="A343" t="str">
            <v>XYBXBAF008W0XL</v>
          </cell>
          <cell r="B343">
            <v>3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1</v>
          </cell>
          <cell r="K343">
            <v>0</v>
          </cell>
          <cell r="L343">
            <v>2</v>
          </cell>
          <cell r="M343">
            <v>0</v>
          </cell>
          <cell r="N343">
            <v>3</v>
          </cell>
        </row>
        <row r="344">
          <cell r="A344" t="str">
            <v>HLYHMYSG</v>
          </cell>
          <cell r="B344">
            <v>45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25</v>
          </cell>
          <cell r="K344">
            <v>20</v>
          </cell>
          <cell r="L344">
            <v>0</v>
          </cell>
          <cell r="M344">
            <v>0</v>
          </cell>
          <cell r="N344">
            <v>45</v>
          </cell>
        </row>
        <row r="345">
          <cell r="A345" t="str">
            <v>NY-XUHM002-PI-L</v>
          </cell>
          <cell r="B345">
            <v>16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13</v>
          </cell>
          <cell r="K345">
            <v>0</v>
          </cell>
          <cell r="L345">
            <v>0</v>
          </cell>
          <cell r="M345">
            <v>0</v>
          </cell>
          <cell r="N345">
            <v>13</v>
          </cell>
        </row>
        <row r="346">
          <cell r="A346" t="str">
            <v>N531YK038</v>
          </cell>
          <cell r="B346">
            <v>26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26</v>
          </cell>
          <cell r="M346">
            <v>0</v>
          </cell>
          <cell r="N346">
            <v>26</v>
          </cell>
        </row>
        <row r="347">
          <cell r="A347" t="str">
            <v>N039YTHS38</v>
          </cell>
          <cell r="B347">
            <v>29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0</v>
          </cell>
          <cell r="L347">
            <v>28</v>
          </cell>
          <cell r="M347">
            <v>0</v>
          </cell>
          <cell r="N347">
            <v>29</v>
          </cell>
        </row>
        <row r="348">
          <cell r="A348" t="str">
            <v>N9383YXGH38</v>
          </cell>
          <cell r="B348">
            <v>21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21</v>
          </cell>
          <cell r="M348">
            <v>0</v>
          </cell>
          <cell r="N348">
            <v>21</v>
          </cell>
        </row>
        <row r="349">
          <cell r="A349" t="str">
            <v>N9932YR036</v>
          </cell>
          <cell r="B349">
            <v>3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3</v>
          </cell>
          <cell r="M349">
            <v>0</v>
          </cell>
          <cell r="N349">
            <v>3</v>
          </cell>
        </row>
        <row r="350">
          <cell r="A350" t="str">
            <v>XTHQXSD</v>
          </cell>
          <cell r="B350">
            <v>9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1</v>
          </cell>
          <cell r="K350">
            <v>8</v>
          </cell>
          <cell r="L350">
            <v>0</v>
          </cell>
          <cell r="M350">
            <v>0</v>
          </cell>
          <cell r="N350">
            <v>9</v>
          </cell>
        </row>
        <row r="351">
          <cell r="A351" t="str">
            <v>PYJKJSK0L</v>
          </cell>
          <cell r="B351">
            <v>4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4</v>
          </cell>
          <cell r="M351">
            <v>0</v>
          </cell>
          <cell r="N351">
            <v>4</v>
          </cell>
        </row>
        <row r="352">
          <cell r="A352" t="str">
            <v>NK-XUHM001-K0-XXL</v>
          </cell>
          <cell r="B352">
            <v>12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12</v>
          </cell>
          <cell r="K352">
            <v>0</v>
          </cell>
          <cell r="L352">
            <v>0</v>
          </cell>
          <cell r="M352">
            <v>0</v>
          </cell>
          <cell r="N352">
            <v>12</v>
          </cell>
        </row>
        <row r="353">
          <cell r="A353" t="str">
            <v>N3818-2YW038</v>
          </cell>
          <cell r="B353">
            <v>34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1</v>
          </cell>
          <cell r="L353">
            <v>33</v>
          </cell>
          <cell r="M353">
            <v>0</v>
          </cell>
          <cell r="N353">
            <v>34</v>
          </cell>
        </row>
        <row r="354">
          <cell r="A354" t="str">
            <v>JBL-QFFMR5M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2</v>
          </cell>
          <cell r="L354">
            <v>0</v>
          </cell>
          <cell r="M354">
            <v>0</v>
          </cell>
          <cell r="N354">
            <v>2</v>
          </cell>
        </row>
        <row r="355">
          <cell r="A355" t="str">
            <v>N89119KXSM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1</v>
          </cell>
          <cell r="M355">
            <v>0</v>
          </cell>
          <cell r="N355">
            <v>1</v>
          </cell>
        </row>
        <row r="356">
          <cell r="A356" t="str">
            <v>NY-B15016-K0-L</v>
          </cell>
          <cell r="B356">
            <v>11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9</v>
          </cell>
          <cell r="K356">
            <v>0</v>
          </cell>
          <cell r="L356">
            <v>0</v>
          </cell>
          <cell r="M356">
            <v>0</v>
          </cell>
          <cell r="N356">
            <v>9</v>
          </cell>
        </row>
        <row r="357">
          <cell r="A357" t="str">
            <v>N039YB040</v>
          </cell>
          <cell r="B357">
            <v>27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27</v>
          </cell>
          <cell r="M357">
            <v>0</v>
          </cell>
          <cell r="N357">
            <v>27</v>
          </cell>
        </row>
        <row r="358">
          <cell r="A358" t="str">
            <v>MY16055K0L</v>
          </cell>
          <cell r="B358">
            <v>2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1</v>
          </cell>
          <cell r="L358">
            <v>0</v>
          </cell>
          <cell r="M358">
            <v>0</v>
          </cell>
          <cell r="N358">
            <v>1</v>
          </cell>
        </row>
        <row r="359">
          <cell r="A359" t="str">
            <v>MY71107K0L</v>
          </cell>
          <cell r="B359">
            <v>1</v>
          </cell>
          <cell r="C359">
            <v>1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1</v>
          </cell>
          <cell r="K359">
            <v>0</v>
          </cell>
          <cell r="L359">
            <v>0</v>
          </cell>
          <cell r="M359">
            <v>0</v>
          </cell>
          <cell r="N359">
            <v>1</v>
          </cell>
        </row>
        <row r="360">
          <cell r="A360" t="str">
            <v>JBL-QFFMMHS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JBL-QFFMMHXXL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JBL-QFFMR5L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KTKJFKMZFB0M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KTKW0TW0L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KTKXKB0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KTKXKB0L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KTKXKG0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KTKXKG0L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KTKXKW0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MY16055ZQXL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MY71107K0XL</v>
          </cell>
          <cell r="B371">
            <v>0</v>
          </cell>
          <cell r="C371">
            <v>3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MY71107K0XXL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MY71107ZQL</v>
          </cell>
          <cell r="B373">
            <v>0</v>
          </cell>
          <cell r="C373">
            <v>1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MY71107ZQXL</v>
          </cell>
          <cell r="B374">
            <v>0</v>
          </cell>
          <cell r="C374">
            <v>1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MY71107ZQXXL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N2033YSG42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N2047YXS36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N2082YK036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N2082YQLS38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N2257YK034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N31459YLL48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N31459YP046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N31459YP048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N31459YR044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N86162KY0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N87232KP0XL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N87301KSGL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N87319KXSL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N888YK040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N888YXS40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N89103KHLXL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N89103KW0XL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N89118KMLSXL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N89119KR5M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N9383YP038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NC11YXS42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NY-B15016-Y0-L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NY-XUHM005-K0-S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167.95</v>
          </cell>
        </row>
        <row r="3">
          <cell r="G3">
            <v>162.94</v>
          </cell>
        </row>
        <row r="3">
          <cell r="J3">
            <v>168.45</v>
          </cell>
        </row>
        <row r="3">
          <cell r="M3">
            <v>173.67</v>
          </cell>
        </row>
        <row r="4">
          <cell r="A4" t="str">
            <v>MY71115K0XL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149</v>
          </cell>
          <cell r="L4">
            <v>0</v>
          </cell>
          <cell r="M4">
            <v>0</v>
          </cell>
        </row>
        <row r="5">
          <cell r="A5" t="str">
            <v>MY71115K0XXL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358</v>
          </cell>
          <cell r="L5">
            <v>0</v>
          </cell>
          <cell r="M5">
            <v>0</v>
          </cell>
        </row>
        <row r="6">
          <cell r="A6" t="str">
            <v>MY71115MSS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22</v>
          </cell>
          <cell r="L6">
            <v>0</v>
          </cell>
          <cell r="M6">
            <v>0</v>
          </cell>
        </row>
        <row r="7">
          <cell r="A7" t="str">
            <v>MY71115ZQM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54</v>
          </cell>
          <cell r="L7">
            <v>1</v>
          </cell>
          <cell r="M7">
            <v>0.59</v>
          </cell>
        </row>
        <row r="8">
          <cell r="A8" t="str">
            <v>MY71115ZQXL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134</v>
          </cell>
          <cell r="L8">
            <v>0</v>
          </cell>
          <cell r="M8">
            <v>0</v>
          </cell>
        </row>
        <row r="9">
          <cell r="A9" t="str">
            <v>MY71115ZQXXL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52</v>
          </cell>
          <cell r="L9">
            <v>0</v>
          </cell>
          <cell r="M9">
            <v>0</v>
          </cell>
        </row>
        <row r="10">
          <cell r="A10" t="str">
            <v>HLYHMYSG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6</v>
          </cell>
          <cell r="L10">
            <v>0</v>
          </cell>
          <cell r="M10">
            <v>0</v>
          </cell>
        </row>
        <row r="11">
          <cell r="A11" t="str">
            <v>N029YE036</v>
          </cell>
          <cell r="B11">
            <v>89</v>
          </cell>
          <cell r="C11">
            <v>0</v>
          </cell>
          <cell r="D11">
            <v>0</v>
          </cell>
          <cell r="E11">
            <v>63</v>
          </cell>
          <cell r="F11">
            <v>0</v>
          </cell>
          <cell r="G11">
            <v>0</v>
          </cell>
          <cell r="H11">
            <v>214</v>
          </cell>
          <cell r="I11">
            <v>0</v>
          </cell>
          <cell r="J11">
            <v>0</v>
          </cell>
          <cell r="K11">
            <v>602</v>
          </cell>
          <cell r="L11">
            <v>1</v>
          </cell>
          <cell r="M11">
            <v>0.7</v>
          </cell>
        </row>
        <row r="12">
          <cell r="A12" t="str">
            <v>N029YE038</v>
          </cell>
          <cell r="B12">
            <v>713</v>
          </cell>
          <cell r="C12">
            <v>3</v>
          </cell>
          <cell r="D12">
            <v>1.32</v>
          </cell>
          <cell r="E12">
            <v>528</v>
          </cell>
          <cell r="F12">
            <v>1</v>
          </cell>
          <cell r="G12">
            <v>0.4</v>
          </cell>
          <cell r="H12">
            <v>685</v>
          </cell>
          <cell r="I12">
            <v>1</v>
          </cell>
          <cell r="J12">
            <v>0.15</v>
          </cell>
          <cell r="K12">
            <v>1736</v>
          </cell>
          <cell r="L12">
            <v>0</v>
          </cell>
          <cell r="M12">
            <v>0</v>
          </cell>
        </row>
        <row r="13">
          <cell r="A13" t="str">
            <v>N029YE040</v>
          </cell>
          <cell r="B13">
            <v>178</v>
          </cell>
          <cell r="C13">
            <v>4</v>
          </cell>
          <cell r="D13">
            <v>1.33</v>
          </cell>
          <cell r="E13">
            <v>128</v>
          </cell>
          <cell r="F13">
            <v>0</v>
          </cell>
          <cell r="G13">
            <v>0</v>
          </cell>
          <cell r="H13">
            <v>466</v>
          </cell>
          <cell r="I13">
            <v>1</v>
          </cell>
          <cell r="J13">
            <v>0.39</v>
          </cell>
          <cell r="K13">
            <v>4966</v>
          </cell>
          <cell r="L13">
            <v>14</v>
          </cell>
          <cell r="M13">
            <v>5.16</v>
          </cell>
        </row>
        <row r="14">
          <cell r="A14" t="str">
            <v>N029YHL36</v>
          </cell>
          <cell r="B14">
            <v>264</v>
          </cell>
          <cell r="C14">
            <v>1</v>
          </cell>
          <cell r="D14">
            <v>0.67</v>
          </cell>
          <cell r="E14">
            <v>260</v>
          </cell>
          <cell r="F14">
            <v>0</v>
          </cell>
          <cell r="G14">
            <v>0</v>
          </cell>
          <cell r="H14">
            <v>232</v>
          </cell>
          <cell r="I14">
            <v>0</v>
          </cell>
          <cell r="J14">
            <v>0</v>
          </cell>
          <cell r="K14">
            <v>383</v>
          </cell>
          <cell r="L14">
            <v>1</v>
          </cell>
          <cell r="M14">
            <v>0.3</v>
          </cell>
        </row>
        <row r="15">
          <cell r="A15" t="str">
            <v>N029YHL38</v>
          </cell>
          <cell r="B15">
            <v>418</v>
          </cell>
          <cell r="C15">
            <v>0</v>
          </cell>
          <cell r="D15">
            <v>0</v>
          </cell>
          <cell r="E15">
            <v>480</v>
          </cell>
          <cell r="F15">
            <v>0</v>
          </cell>
          <cell r="G15">
            <v>0</v>
          </cell>
          <cell r="H15">
            <v>443</v>
          </cell>
          <cell r="I15">
            <v>0</v>
          </cell>
          <cell r="J15">
            <v>0</v>
          </cell>
          <cell r="K15">
            <v>472</v>
          </cell>
          <cell r="L15">
            <v>4</v>
          </cell>
          <cell r="M15">
            <v>1.1</v>
          </cell>
        </row>
        <row r="16">
          <cell r="A16" t="str">
            <v>N029YHL40</v>
          </cell>
          <cell r="B16">
            <v>3102</v>
          </cell>
          <cell r="C16">
            <v>15</v>
          </cell>
          <cell r="D16">
            <v>5.46</v>
          </cell>
          <cell r="E16">
            <v>3834</v>
          </cell>
          <cell r="F16">
            <v>19</v>
          </cell>
          <cell r="G16">
            <v>7.42</v>
          </cell>
          <cell r="H16">
            <v>2874</v>
          </cell>
          <cell r="I16">
            <v>16</v>
          </cell>
          <cell r="J16">
            <v>5.48</v>
          </cell>
          <cell r="K16">
            <v>1051</v>
          </cell>
          <cell r="L16">
            <v>5</v>
          </cell>
          <cell r="M16">
            <v>1.44</v>
          </cell>
        </row>
        <row r="17">
          <cell r="A17" t="str">
            <v>N029YMH36</v>
          </cell>
          <cell r="B17">
            <v>108</v>
          </cell>
          <cell r="C17">
            <v>0</v>
          </cell>
          <cell r="D17">
            <v>0</v>
          </cell>
          <cell r="E17">
            <v>140</v>
          </cell>
          <cell r="F17">
            <v>0</v>
          </cell>
          <cell r="G17">
            <v>0</v>
          </cell>
          <cell r="H17">
            <v>270</v>
          </cell>
          <cell r="I17">
            <v>2</v>
          </cell>
          <cell r="J17">
            <v>0.78</v>
          </cell>
          <cell r="K17">
            <v>484</v>
          </cell>
          <cell r="L17">
            <v>0</v>
          </cell>
          <cell r="M17">
            <v>0</v>
          </cell>
        </row>
        <row r="18">
          <cell r="A18" t="str">
            <v>N029YMH38</v>
          </cell>
          <cell r="B18">
            <v>431</v>
          </cell>
          <cell r="C18">
            <v>1</v>
          </cell>
          <cell r="D18">
            <v>0.42</v>
          </cell>
          <cell r="E18">
            <v>521</v>
          </cell>
          <cell r="F18">
            <v>1</v>
          </cell>
          <cell r="G18">
            <v>0.43</v>
          </cell>
          <cell r="H18">
            <v>975</v>
          </cell>
          <cell r="I18">
            <v>1</v>
          </cell>
          <cell r="J18">
            <v>0.47</v>
          </cell>
          <cell r="K18">
            <v>2050</v>
          </cell>
          <cell r="L18">
            <v>0</v>
          </cell>
          <cell r="M18">
            <v>0</v>
          </cell>
        </row>
        <row r="19">
          <cell r="A19" t="str">
            <v>N029YMH40</v>
          </cell>
          <cell r="B19">
            <v>2226</v>
          </cell>
          <cell r="C19">
            <v>1</v>
          </cell>
          <cell r="D19">
            <v>0.16</v>
          </cell>
          <cell r="E19">
            <v>2263</v>
          </cell>
          <cell r="F19">
            <v>2</v>
          </cell>
          <cell r="G19">
            <v>0.68</v>
          </cell>
          <cell r="H19">
            <v>1700</v>
          </cell>
          <cell r="I19">
            <v>3</v>
          </cell>
          <cell r="J19">
            <v>0.57</v>
          </cell>
          <cell r="K19">
            <v>1274</v>
          </cell>
          <cell r="L19">
            <v>2</v>
          </cell>
          <cell r="M19">
            <v>0.51</v>
          </cell>
        </row>
        <row r="20">
          <cell r="A20" t="str">
            <v>N039YB036</v>
          </cell>
          <cell r="B20">
            <v>897</v>
          </cell>
          <cell r="C20">
            <v>1</v>
          </cell>
          <cell r="D20">
            <v>0.45</v>
          </cell>
          <cell r="E20">
            <v>949</v>
          </cell>
          <cell r="F20">
            <v>2</v>
          </cell>
          <cell r="G20">
            <v>0.95</v>
          </cell>
          <cell r="H20">
            <v>712</v>
          </cell>
          <cell r="I20">
            <v>2</v>
          </cell>
          <cell r="J20">
            <v>0.99</v>
          </cell>
          <cell r="K20">
            <v>740</v>
          </cell>
          <cell r="L20">
            <v>0</v>
          </cell>
          <cell r="M20">
            <v>0</v>
          </cell>
        </row>
        <row r="21">
          <cell r="A21" t="str">
            <v>N039YB038</v>
          </cell>
          <cell r="B21">
            <v>31</v>
          </cell>
          <cell r="C21">
            <v>0</v>
          </cell>
          <cell r="D21">
            <v>0</v>
          </cell>
          <cell r="E21">
            <v>72</v>
          </cell>
          <cell r="F21">
            <v>0</v>
          </cell>
          <cell r="G21">
            <v>0</v>
          </cell>
          <cell r="H21">
            <v>66</v>
          </cell>
          <cell r="I21">
            <v>1</v>
          </cell>
          <cell r="J21">
            <v>0.17</v>
          </cell>
          <cell r="K21">
            <v>46</v>
          </cell>
          <cell r="L21">
            <v>0</v>
          </cell>
          <cell r="M21">
            <v>0</v>
          </cell>
        </row>
        <row r="22">
          <cell r="A22" t="str">
            <v>N039YB040</v>
          </cell>
          <cell r="B22">
            <v>129</v>
          </cell>
          <cell r="C22">
            <v>2</v>
          </cell>
          <cell r="D22">
            <v>0.53</v>
          </cell>
          <cell r="E22">
            <v>113</v>
          </cell>
          <cell r="F22">
            <v>0</v>
          </cell>
          <cell r="G22">
            <v>0</v>
          </cell>
          <cell r="H22">
            <v>145</v>
          </cell>
          <cell r="I22">
            <v>1</v>
          </cell>
          <cell r="J22">
            <v>0.38</v>
          </cell>
          <cell r="K22">
            <v>188</v>
          </cell>
          <cell r="L22">
            <v>0</v>
          </cell>
          <cell r="M22">
            <v>0</v>
          </cell>
        </row>
        <row r="23">
          <cell r="A23" t="str">
            <v>N039YG036</v>
          </cell>
          <cell r="B23">
            <v>155</v>
          </cell>
          <cell r="C23">
            <v>0</v>
          </cell>
          <cell r="D23">
            <v>0</v>
          </cell>
          <cell r="E23">
            <v>227</v>
          </cell>
          <cell r="F23">
            <v>2</v>
          </cell>
          <cell r="G23">
            <v>1.28</v>
          </cell>
          <cell r="H23">
            <v>335</v>
          </cell>
          <cell r="I23">
            <v>2</v>
          </cell>
          <cell r="J23">
            <v>0.29</v>
          </cell>
          <cell r="K23">
            <v>2474</v>
          </cell>
          <cell r="L23">
            <v>0</v>
          </cell>
          <cell r="M23">
            <v>0</v>
          </cell>
        </row>
        <row r="24">
          <cell r="A24" t="str">
            <v>MY16055K0M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13</v>
          </cell>
          <cell r="L24">
            <v>0</v>
          </cell>
          <cell r="M24">
            <v>0</v>
          </cell>
        </row>
        <row r="25">
          <cell r="A25" t="str">
            <v>MY16055MSXL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8</v>
          </cell>
          <cell r="L25">
            <v>0</v>
          </cell>
          <cell r="M25">
            <v>0</v>
          </cell>
        </row>
        <row r="26">
          <cell r="A26" t="str">
            <v>MY71107MSM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6</v>
          </cell>
          <cell r="L26">
            <v>0</v>
          </cell>
          <cell r="M26">
            <v>0</v>
          </cell>
        </row>
        <row r="27">
          <cell r="A27" t="str">
            <v>MY71107MSXL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45</v>
          </cell>
          <cell r="L27">
            <v>0</v>
          </cell>
          <cell r="M27">
            <v>0</v>
          </cell>
        </row>
        <row r="28">
          <cell r="A28" t="str">
            <v>MY71107MSXXL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6</v>
          </cell>
          <cell r="L28">
            <v>0</v>
          </cell>
          <cell r="M28">
            <v>0</v>
          </cell>
        </row>
        <row r="29">
          <cell r="A29" t="str">
            <v>MY71107ZQM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253</v>
          </cell>
          <cell r="L29">
            <v>1</v>
          </cell>
          <cell r="M29">
            <v>0.33</v>
          </cell>
        </row>
        <row r="30">
          <cell r="A30" t="str">
            <v>MY71107ZQS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10</v>
          </cell>
          <cell r="L30">
            <v>0</v>
          </cell>
          <cell r="M30">
            <v>0</v>
          </cell>
        </row>
        <row r="31">
          <cell r="A31" t="str">
            <v>N039YG038</v>
          </cell>
          <cell r="B31">
            <v>1644</v>
          </cell>
          <cell r="C31">
            <v>6</v>
          </cell>
          <cell r="D31">
            <v>2.24</v>
          </cell>
          <cell r="E31">
            <v>469</v>
          </cell>
          <cell r="F31">
            <v>1</v>
          </cell>
          <cell r="G31">
            <v>0.13</v>
          </cell>
          <cell r="H31">
            <v>1800</v>
          </cell>
          <cell r="I31">
            <v>4</v>
          </cell>
          <cell r="J31">
            <v>0.81</v>
          </cell>
          <cell r="K31">
            <v>10476</v>
          </cell>
          <cell r="L31">
            <v>20</v>
          </cell>
          <cell r="M31">
            <v>3.92</v>
          </cell>
        </row>
        <row r="32">
          <cell r="A32" t="str">
            <v>N039YG040</v>
          </cell>
          <cell r="B32">
            <v>132</v>
          </cell>
          <cell r="C32">
            <v>0</v>
          </cell>
          <cell r="D32">
            <v>0</v>
          </cell>
          <cell r="E32">
            <v>132</v>
          </cell>
          <cell r="F32">
            <v>1</v>
          </cell>
          <cell r="G32">
            <v>0.47</v>
          </cell>
          <cell r="H32">
            <v>101</v>
          </cell>
          <cell r="I32">
            <v>2</v>
          </cell>
          <cell r="J32">
            <v>0.7</v>
          </cell>
          <cell r="K32">
            <v>127</v>
          </cell>
          <cell r="L32">
            <v>0</v>
          </cell>
          <cell r="M32">
            <v>0</v>
          </cell>
        </row>
        <row r="33">
          <cell r="A33" t="str">
            <v>N039YP036</v>
          </cell>
          <cell r="B33">
            <v>267</v>
          </cell>
          <cell r="C33">
            <v>0</v>
          </cell>
          <cell r="D33">
            <v>0</v>
          </cell>
          <cell r="E33">
            <v>193</v>
          </cell>
          <cell r="F33">
            <v>0</v>
          </cell>
          <cell r="G33">
            <v>0</v>
          </cell>
          <cell r="H33">
            <v>142</v>
          </cell>
          <cell r="I33">
            <v>0</v>
          </cell>
          <cell r="J33">
            <v>0</v>
          </cell>
          <cell r="K33">
            <v>99</v>
          </cell>
          <cell r="L33">
            <v>0</v>
          </cell>
          <cell r="M33">
            <v>0</v>
          </cell>
        </row>
        <row r="34">
          <cell r="A34" t="str">
            <v>N039YP038</v>
          </cell>
          <cell r="B34">
            <v>1718</v>
          </cell>
          <cell r="C34">
            <v>3</v>
          </cell>
          <cell r="D34">
            <v>0.96</v>
          </cell>
          <cell r="E34">
            <v>2962</v>
          </cell>
          <cell r="F34">
            <v>4</v>
          </cell>
          <cell r="G34">
            <v>1.92</v>
          </cell>
          <cell r="H34">
            <v>2838</v>
          </cell>
          <cell r="I34">
            <v>6</v>
          </cell>
          <cell r="J34">
            <v>2.63</v>
          </cell>
          <cell r="K34">
            <v>3896</v>
          </cell>
          <cell r="L34">
            <v>4</v>
          </cell>
          <cell r="M34">
            <v>1.53</v>
          </cell>
        </row>
        <row r="35">
          <cell r="A35" t="str">
            <v>N039YR036</v>
          </cell>
          <cell r="B35">
            <v>309</v>
          </cell>
          <cell r="C35">
            <v>2</v>
          </cell>
          <cell r="D35">
            <v>0.79</v>
          </cell>
          <cell r="E35">
            <v>272</v>
          </cell>
          <cell r="F35">
            <v>0</v>
          </cell>
          <cell r="G35">
            <v>0</v>
          </cell>
          <cell r="H35">
            <v>151</v>
          </cell>
          <cell r="I35">
            <v>0</v>
          </cell>
          <cell r="J35">
            <v>0</v>
          </cell>
          <cell r="K35">
            <v>223</v>
          </cell>
          <cell r="L35">
            <v>1</v>
          </cell>
          <cell r="M35">
            <v>0.46</v>
          </cell>
        </row>
        <row r="36">
          <cell r="A36" t="str">
            <v>N039YR038</v>
          </cell>
          <cell r="B36">
            <v>2895</v>
          </cell>
          <cell r="C36">
            <v>1</v>
          </cell>
          <cell r="D36">
            <v>0.26</v>
          </cell>
          <cell r="E36">
            <v>1730</v>
          </cell>
          <cell r="F36">
            <v>0</v>
          </cell>
          <cell r="G36">
            <v>0</v>
          </cell>
          <cell r="H36">
            <v>1098</v>
          </cell>
          <cell r="I36">
            <v>2</v>
          </cell>
          <cell r="J36">
            <v>0.77</v>
          </cell>
          <cell r="K36">
            <v>3835</v>
          </cell>
          <cell r="L36">
            <v>7</v>
          </cell>
          <cell r="M36">
            <v>3.02</v>
          </cell>
        </row>
        <row r="37">
          <cell r="A37" t="str">
            <v>N039YR040</v>
          </cell>
          <cell r="B37">
            <v>179</v>
          </cell>
          <cell r="C37">
            <v>0</v>
          </cell>
          <cell r="D37">
            <v>0</v>
          </cell>
          <cell r="E37">
            <v>1112</v>
          </cell>
          <cell r="F37">
            <v>2</v>
          </cell>
          <cell r="G37">
            <v>0.78</v>
          </cell>
          <cell r="H37">
            <v>1159</v>
          </cell>
          <cell r="I37">
            <v>2</v>
          </cell>
          <cell r="J37">
            <v>0.77</v>
          </cell>
          <cell r="K37">
            <v>378</v>
          </cell>
          <cell r="L37">
            <v>2</v>
          </cell>
          <cell r="M37">
            <v>0.79</v>
          </cell>
        </row>
        <row r="38">
          <cell r="A38" t="str">
            <v>N039YTHS36</v>
          </cell>
          <cell r="B38">
            <v>117</v>
          </cell>
          <cell r="C38">
            <v>1</v>
          </cell>
          <cell r="D38">
            <v>0.34</v>
          </cell>
          <cell r="E38">
            <v>130</v>
          </cell>
          <cell r="F38">
            <v>1</v>
          </cell>
          <cell r="G38">
            <v>0.29</v>
          </cell>
          <cell r="H38">
            <v>33</v>
          </cell>
          <cell r="I38">
            <v>0</v>
          </cell>
          <cell r="J38">
            <v>0</v>
          </cell>
          <cell r="K38">
            <v>37</v>
          </cell>
          <cell r="L38">
            <v>0</v>
          </cell>
          <cell r="M38">
            <v>0</v>
          </cell>
        </row>
        <row r="39">
          <cell r="A39" t="str">
            <v>N039YTHS38</v>
          </cell>
          <cell r="B39">
            <v>295</v>
          </cell>
          <cell r="C39">
            <v>0</v>
          </cell>
          <cell r="D39">
            <v>0</v>
          </cell>
          <cell r="E39">
            <v>85</v>
          </cell>
          <cell r="F39">
            <v>0</v>
          </cell>
          <cell r="G39">
            <v>0</v>
          </cell>
          <cell r="H39">
            <v>52</v>
          </cell>
          <cell r="I39">
            <v>0</v>
          </cell>
          <cell r="J39">
            <v>0</v>
          </cell>
          <cell r="K39">
            <v>92</v>
          </cell>
          <cell r="L39">
            <v>0</v>
          </cell>
          <cell r="M39">
            <v>0</v>
          </cell>
        </row>
        <row r="40">
          <cell r="A40" t="str">
            <v>N039YTHS40</v>
          </cell>
          <cell r="B40">
            <v>251</v>
          </cell>
          <cell r="C40">
            <v>1</v>
          </cell>
          <cell r="D40">
            <v>0.34</v>
          </cell>
          <cell r="E40">
            <v>429</v>
          </cell>
          <cell r="F40">
            <v>2</v>
          </cell>
          <cell r="G40">
            <v>0.93</v>
          </cell>
          <cell r="H40">
            <v>361</v>
          </cell>
          <cell r="I40">
            <v>0</v>
          </cell>
          <cell r="J40">
            <v>0</v>
          </cell>
          <cell r="K40">
            <v>245</v>
          </cell>
          <cell r="L40">
            <v>2</v>
          </cell>
          <cell r="M40">
            <v>0.74</v>
          </cell>
        </row>
        <row r="41">
          <cell r="A41" t="str">
            <v>N039YXGH36</v>
          </cell>
          <cell r="B41">
            <v>262</v>
          </cell>
          <cell r="C41">
            <v>0</v>
          </cell>
          <cell r="D41">
            <v>0</v>
          </cell>
          <cell r="E41">
            <v>330</v>
          </cell>
          <cell r="F41">
            <v>0</v>
          </cell>
          <cell r="G41">
            <v>0</v>
          </cell>
          <cell r="H41">
            <v>1601</v>
          </cell>
          <cell r="I41">
            <v>1</v>
          </cell>
          <cell r="J41">
            <v>0.63</v>
          </cell>
          <cell r="K41">
            <v>4485</v>
          </cell>
          <cell r="L41">
            <v>2</v>
          </cell>
          <cell r="M41">
            <v>0.4</v>
          </cell>
        </row>
        <row r="42">
          <cell r="A42" t="str">
            <v>N039YXGH38</v>
          </cell>
          <cell r="B42">
            <v>1383</v>
          </cell>
          <cell r="C42">
            <v>1</v>
          </cell>
          <cell r="D42">
            <v>0.39</v>
          </cell>
          <cell r="E42">
            <v>2521</v>
          </cell>
          <cell r="F42">
            <v>1</v>
          </cell>
          <cell r="G42">
            <v>0.2</v>
          </cell>
          <cell r="H42">
            <v>1739</v>
          </cell>
          <cell r="I42">
            <v>0</v>
          </cell>
          <cell r="J42">
            <v>0</v>
          </cell>
          <cell r="K42">
            <v>2442</v>
          </cell>
          <cell r="L42">
            <v>1</v>
          </cell>
          <cell r="M42">
            <v>0.3</v>
          </cell>
        </row>
        <row r="43">
          <cell r="A43" t="str">
            <v>N039YXGH40</v>
          </cell>
          <cell r="B43">
            <v>35</v>
          </cell>
          <cell r="C43">
            <v>0</v>
          </cell>
          <cell r="D43">
            <v>0</v>
          </cell>
          <cell r="E43">
            <v>64</v>
          </cell>
          <cell r="F43">
            <v>0</v>
          </cell>
          <cell r="G43">
            <v>0</v>
          </cell>
          <cell r="H43">
            <v>316</v>
          </cell>
          <cell r="I43">
            <v>1</v>
          </cell>
          <cell r="J43">
            <v>0.68</v>
          </cell>
          <cell r="K43">
            <v>358</v>
          </cell>
          <cell r="L43">
            <v>0</v>
          </cell>
          <cell r="M43">
            <v>0</v>
          </cell>
        </row>
        <row r="44">
          <cell r="A44" t="str">
            <v>N2716YHL34</v>
          </cell>
          <cell r="B44">
            <v>157</v>
          </cell>
          <cell r="C44">
            <v>0</v>
          </cell>
          <cell r="D44">
            <v>0</v>
          </cell>
          <cell r="E44">
            <v>160</v>
          </cell>
          <cell r="F44">
            <v>3</v>
          </cell>
          <cell r="G44">
            <v>1.37</v>
          </cell>
          <cell r="H44">
            <v>83</v>
          </cell>
          <cell r="I44">
            <v>0</v>
          </cell>
          <cell r="J44">
            <v>0</v>
          </cell>
          <cell r="K44">
            <v>320</v>
          </cell>
          <cell r="L44">
            <v>2</v>
          </cell>
          <cell r="M44">
            <v>0.46</v>
          </cell>
        </row>
        <row r="45">
          <cell r="A45" t="str">
            <v>N2716YHL36</v>
          </cell>
          <cell r="B45">
            <v>230</v>
          </cell>
          <cell r="C45">
            <v>1</v>
          </cell>
          <cell r="D45">
            <v>0.23</v>
          </cell>
          <cell r="E45">
            <v>829</v>
          </cell>
          <cell r="F45">
            <v>1</v>
          </cell>
          <cell r="G45">
            <v>0.29</v>
          </cell>
          <cell r="H45">
            <v>845</v>
          </cell>
          <cell r="I45">
            <v>4</v>
          </cell>
          <cell r="J45">
            <v>1.08</v>
          </cell>
          <cell r="K45">
            <v>245</v>
          </cell>
          <cell r="L45">
            <v>2</v>
          </cell>
          <cell r="M45">
            <v>0.75</v>
          </cell>
        </row>
        <row r="46">
          <cell r="A46" t="str">
            <v>N2716YHL38</v>
          </cell>
          <cell r="B46">
            <v>528</v>
          </cell>
          <cell r="C46">
            <v>1</v>
          </cell>
          <cell r="D46">
            <v>0.27</v>
          </cell>
          <cell r="E46">
            <v>406</v>
          </cell>
          <cell r="F46">
            <v>1</v>
          </cell>
          <cell r="G46">
            <v>0.3</v>
          </cell>
          <cell r="H46">
            <v>181</v>
          </cell>
          <cell r="I46">
            <v>0</v>
          </cell>
          <cell r="J46">
            <v>0</v>
          </cell>
          <cell r="K46">
            <v>149</v>
          </cell>
          <cell r="L46">
            <v>1</v>
          </cell>
          <cell r="M46">
            <v>0.44</v>
          </cell>
        </row>
        <row r="47">
          <cell r="A47" t="str">
            <v>N2716YMH34</v>
          </cell>
          <cell r="B47">
            <v>126</v>
          </cell>
          <cell r="C47">
            <v>1</v>
          </cell>
          <cell r="D47">
            <v>0.26</v>
          </cell>
          <cell r="E47">
            <v>116</v>
          </cell>
          <cell r="F47">
            <v>1</v>
          </cell>
          <cell r="G47">
            <v>0.13</v>
          </cell>
          <cell r="H47">
            <v>123</v>
          </cell>
          <cell r="I47">
            <v>1</v>
          </cell>
          <cell r="J47">
            <v>0.29</v>
          </cell>
          <cell r="K47">
            <v>1001</v>
          </cell>
          <cell r="L47">
            <v>3</v>
          </cell>
          <cell r="M47">
            <v>0.47</v>
          </cell>
        </row>
        <row r="48">
          <cell r="A48" t="str">
            <v>N2716YMH36</v>
          </cell>
          <cell r="B48">
            <v>1733</v>
          </cell>
          <cell r="C48">
            <v>5</v>
          </cell>
          <cell r="D48">
            <v>1.31</v>
          </cell>
          <cell r="E48">
            <v>2240</v>
          </cell>
          <cell r="F48">
            <v>4</v>
          </cell>
          <cell r="G48">
            <v>1.63</v>
          </cell>
          <cell r="H48">
            <v>1185</v>
          </cell>
          <cell r="I48">
            <v>4</v>
          </cell>
          <cell r="J48">
            <v>1.81</v>
          </cell>
          <cell r="K48">
            <v>685</v>
          </cell>
          <cell r="L48">
            <v>0</v>
          </cell>
          <cell r="M48">
            <v>0</v>
          </cell>
        </row>
        <row r="49">
          <cell r="A49" t="str">
            <v>N2716YMH38</v>
          </cell>
          <cell r="B49">
            <v>173</v>
          </cell>
          <cell r="C49">
            <v>0</v>
          </cell>
          <cell r="D49">
            <v>0</v>
          </cell>
          <cell r="E49">
            <v>136</v>
          </cell>
          <cell r="F49">
            <v>1</v>
          </cell>
          <cell r="G49">
            <v>0.7</v>
          </cell>
          <cell r="H49">
            <v>189</v>
          </cell>
          <cell r="I49">
            <v>1</v>
          </cell>
          <cell r="J49">
            <v>0.31</v>
          </cell>
          <cell r="K49">
            <v>144</v>
          </cell>
          <cell r="L49">
            <v>1</v>
          </cell>
          <cell r="M49">
            <v>0.45</v>
          </cell>
        </row>
        <row r="50">
          <cell r="A50" t="str">
            <v>N2716YR034</v>
          </cell>
          <cell r="B50">
            <v>1116</v>
          </cell>
          <cell r="C50">
            <v>5</v>
          </cell>
          <cell r="D50">
            <v>2.31</v>
          </cell>
          <cell r="E50">
            <v>1190</v>
          </cell>
          <cell r="F50">
            <v>2</v>
          </cell>
          <cell r="G50">
            <v>0.85</v>
          </cell>
          <cell r="H50">
            <v>172</v>
          </cell>
          <cell r="I50">
            <v>0</v>
          </cell>
          <cell r="J50">
            <v>0</v>
          </cell>
          <cell r="K50">
            <v>814</v>
          </cell>
          <cell r="L50">
            <v>4</v>
          </cell>
          <cell r="M50">
            <v>1.19</v>
          </cell>
        </row>
        <row r="51">
          <cell r="A51" t="str">
            <v>N2716YR036</v>
          </cell>
          <cell r="B51">
            <v>122</v>
          </cell>
          <cell r="C51">
            <v>0</v>
          </cell>
          <cell r="D51">
            <v>0</v>
          </cell>
          <cell r="E51">
            <v>107</v>
          </cell>
          <cell r="F51">
            <v>0</v>
          </cell>
          <cell r="G51">
            <v>0</v>
          </cell>
          <cell r="H51">
            <v>200</v>
          </cell>
          <cell r="I51">
            <v>0</v>
          </cell>
          <cell r="J51">
            <v>0</v>
          </cell>
          <cell r="K51">
            <v>493</v>
          </cell>
          <cell r="L51">
            <v>0</v>
          </cell>
          <cell r="M51">
            <v>0</v>
          </cell>
        </row>
        <row r="52">
          <cell r="A52" t="str">
            <v>N2716YR038</v>
          </cell>
          <cell r="B52">
            <v>234</v>
          </cell>
          <cell r="C52">
            <v>3</v>
          </cell>
          <cell r="D52">
            <v>1.24</v>
          </cell>
          <cell r="E52">
            <v>221</v>
          </cell>
          <cell r="F52">
            <v>1</v>
          </cell>
          <cell r="G52">
            <v>0.29</v>
          </cell>
          <cell r="H52">
            <v>274</v>
          </cell>
          <cell r="I52">
            <v>2</v>
          </cell>
          <cell r="J52">
            <v>0.56</v>
          </cell>
          <cell r="K52">
            <v>85</v>
          </cell>
          <cell r="L52">
            <v>0</v>
          </cell>
          <cell r="M52">
            <v>0</v>
          </cell>
        </row>
        <row r="53">
          <cell r="A53" t="str">
            <v>N2716YYGL34</v>
          </cell>
          <cell r="B53">
            <v>169</v>
          </cell>
          <cell r="C53">
            <v>1</v>
          </cell>
          <cell r="D53">
            <v>0.27</v>
          </cell>
          <cell r="E53">
            <v>125</v>
          </cell>
          <cell r="F53">
            <v>1</v>
          </cell>
          <cell r="G53">
            <v>0.18</v>
          </cell>
          <cell r="H53">
            <v>56</v>
          </cell>
          <cell r="I53">
            <v>1</v>
          </cell>
          <cell r="J53">
            <v>0.13</v>
          </cell>
          <cell r="K53">
            <v>16</v>
          </cell>
          <cell r="L53">
            <v>0</v>
          </cell>
          <cell r="M53">
            <v>0</v>
          </cell>
        </row>
        <row r="54">
          <cell r="A54" t="str">
            <v>N2716YYGL36</v>
          </cell>
          <cell r="B54">
            <v>130</v>
          </cell>
          <cell r="C54">
            <v>1</v>
          </cell>
          <cell r="D54">
            <v>0.41</v>
          </cell>
          <cell r="E54">
            <v>73</v>
          </cell>
          <cell r="F54">
            <v>0</v>
          </cell>
          <cell r="G54">
            <v>0</v>
          </cell>
          <cell r="H54">
            <v>93</v>
          </cell>
          <cell r="I54">
            <v>2</v>
          </cell>
          <cell r="J54">
            <v>0.79</v>
          </cell>
          <cell r="K54">
            <v>42</v>
          </cell>
          <cell r="L54">
            <v>0</v>
          </cell>
          <cell r="M54">
            <v>0</v>
          </cell>
        </row>
        <row r="55">
          <cell r="A55" t="str">
            <v>N2716YYGL38</v>
          </cell>
          <cell r="B55">
            <v>26</v>
          </cell>
          <cell r="C55">
            <v>0</v>
          </cell>
          <cell r="D55">
            <v>0</v>
          </cell>
          <cell r="E55">
            <v>32</v>
          </cell>
          <cell r="F55">
            <v>0</v>
          </cell>
          <cell r="G55">
            <v>0</v>
          </cell>
          <cell r="H55">
            <v>102</v>
          </cell>
          <cell r="I55">
            <v>0</v>
          </cell>
          <cell r="J55">
            <v>0</v>
          </cell>
          <cell r="K55">
            <v>4728</v>
          </cell>
          <cell r="L55">
            <v>3</v>
          </cell>
          <cell r="M55">
            <v>1.31</v>
          </cell>
        </row>
        <row r="56">
          <cell r="A56" t="str">
            <v>N531YB036</v>
          </cell>
          <cell r="B56">
            <v>563</v>
          </cell>
          <cell r="C56">
            <v>0</v>
          </cell>
          <cell r="D56">
            <v>0</v>
          </cell>
          <cell r="E56">
            <v>669</v>
          </cell>
          <cell r="F56">
            <v>4</v>
          </cell>
          <cell r="G56">
            <v>1.78</v>
          </cell>
          <cell r="H56">
            <v>550</v>
          </cell>
          <cell r="I56">
            <v>3</v>
          </cell>
          <cell r="J56">
            <v>1.09</v>
          </cell>
          <cell r="K56">
            <v>391</v>
          </cell>
          <cell r="L56">
            <v>0</v>
          </cell>
          <cell r="M56">
            <v>0</v>
          </cell>
        </row>
        <row r="57">
          <cell r="A57" t="str">
            <v>N531YB038</v>
          </cell>
          <cell r="B57">
            <v>41</v>
          </cell>
          <cell r="C57">
            <v>0</v>
          </cell>
          <cell r="D57">
            <v>0</v>
          </cell>
          <cell r="E57">
            <v>18</v>
          </cell>
          <cell r="F57">
            <v>0</v>
          </cell>
          <cell r="G57">
            <v>0</v>
          </cell>
          <cell r="H57">
            <v>25</v>
          </cell>
          <cell r="I57">
            <v>0</v>
          </cell>
          <cell r="J57">
            <v>0</v>
          </cell>
          <cell r="K57">
            <v>16</v>
          </cell>
          <cell r="L57">
            <v>0</v>
          </cell>
          <cell r="M57">
            <v>0</v>
          </cell>
        </row>
        <row r="58">
          <cell r="A58" t="str">
            <v>N531YB040</v>
          </cell>
          <cell r="B58">
            <v>209</v>
          </cell>
          <cell r="C58">
            <v>0</v>
          </cell>
          <cell r="D58">
            <v>0</v>
          </cell>
          <cell r="E58">
            <v>331</v>
          </cell>
          <cell r="F58">
            <v>1</v>
          </cell>
          <cell r="G58">
            <v>0.31</v>
          </cell>
          <cell r="H58">
            <v>389</v>
          </cell>
          <cell r="I58">
            <v>1</v>
          </cell>
          <cell r="J58">
            <v>0.21</v>
          </cell>
          <cell r="K58">
            <v>222</v>
          </cell>
          <cell r="L58">
            <v>1</v>
          </cell>
          <cell r="M58">
            <v>0.26</v>
          </cell>
        </row>
        <row r="59">
          <cell r="A59" t="str">
            <v>N531YK034</v>
          </cell>
          <cell r="B59">
            <v>208</v>
          </cell>
          <cell r="C59">
            <v>0</v>
          </cell>
          <cell r="D59">
            <v>0</v>
          </cell>
          <cell r="E59">
            <v>95</v>
          </cell>
          <cell r="F59">
            <v>1</v>
          </cell>
          <cell r="G59">
            <v>0.29</v>
          </cell>
          <cell r="H59">
            <v>39</v>
          </cell>
          <cell r="I59">
            <v>1</v>
          </cell>
          <cell r="J59">
            <v>0.4</v>
          </cell>
          <cell r="K59">
            <v>36</v>
          </cell>
          <cell r="L59">
            <v>1</v>
          </cell>
          <cell r="M59">
            <v>0.37</v>
          </cell>
        </row>
        <row r="60">
          <cell r="A60" t="str">
            <v>N531YK038</v>
          </cell>
          <cell r="B60">
            <v>5</v>
          </cell>
          <cell r="C60">
            <v>0</v>
          </cell>
          <cell r="D60">
            <v>0</v>
          </cell>
          <cell r="E60">
            <v>6</v>
          </cell>
          <cell r="F60">
            <v>0</v>
          </cell>
          <cell r="G60">
            <v>0</v>
          </cell>
          <cell r="H60">
            <v>9</v>
          </cell>
          <cell r="I60">
            <v>0</v>
          </cell>
          <cell r="J60">
            <v>0</v>
          </cell>
          <cell r="K60">
            <v>14</v>
          </cell>
          <cell r="L60">
            <v>0</v>
          </cell>
          <cell r="M60">
            <v>0</v>
          </cell>
        </row>
        <row r="61">
          <cell r="A61" t="str">
            <v>N531YK040</v>
          </cell>
          <cell r="B61">
            <v>1765</v>
          </cell>
          <cell r="C61">
            <v>3</v>
          </cell>
          <cell r="D61">
            <v>0.75</v>
          </cell>
          <cell r="E61">
            <v>1406</v>
          </cell>
          <cell r="F61">
            <v>3</v>
          </cell>
          <cell r="G61">
            <v>0.92</v>
          </cell>
          <cell r="H61">
            <v>973</v>
          </cell>
          <cell r="I61">
            <v>4</v>
          </cell>
          <cell r="J61">
            <v>1.1</v>
          </cell>
          <cell r="K61">
            <v>713</v>
          </cell>
          <cell r="L61">
            <v>3</v>
          </cell>
          <cell r="M61">
            <v>0.85</v>
          </cell>
        </row>
        <row r="62">
          <cell r="A62" t="str">
            <v>N531YQL34</v>
          </cell>
          <cell r="B62">
            <v>10</v>
          </cell>
          <cell r="C62">
            <v>0</v>
          </cell>
          <cell r="D62">
            <v>0</v>
          </cell>
          <cell r="E62">
            <v>9</v>
          </cell>
          <cell r="F62">
            <v>0</v>
          </cell>
          <cell r="G62">
            <v>0</v>
          </cell>
          <cell r="H62">
            <v>28</v>
          </cell>
          <cell r="I62">
            <v>1</v>
          </cell>
          <cell r="J62">
            <v>0.14</v>
          </cell>
          <cell r="K62">
            <v>28</v>
          </cell>
          <cell r="L62">
            <v>0</v>
          </cell>
          <cell r="M62">
            <v>0</v>
          </cell>
        </row>
        <row r="63">
          <cell r="A63" t="str">
            <v>N531YQL36</v>
          </cell>
          <cell r="B63">
            <v>9</v>
          </cell>
          <cell r="C63">
            <v>0</v>
          </cell>
          <cell r="D63">
            <v>0</v>
          </cell>
          <cell r="E63">
            <v>5</v>
          </cell>
          <cell r="F63">
            <v>0</v>
          </cell>
          <cell r="G63">
            <v>0</v>
          </cell>
          <cell r="H63">
            <v>10</v>
          </cell>
          <cell r="I63">
            <v>0</v>
          </cell>
          <cell r="J63">
            <v>0</v>
          </cell>
          <cell r="K63">
            <v>10</v>
          </cell>
          <cell r="L63">
            <v>0</v>
          </cell>
          <cell r="M63">
            <v>0</v>
          </cell>
        </row>
        <row r="64">
          <cell r="A64" t="str">
            <v>N531YQL38</v>
          </cell>
          <cell r="B64">
            <v>91</v>
          </cell>
          <cell r="C64">
            <v>0</v>
          </cell>
          <cell r="D64">
            <v>0</v>
          </cell>
          <cell r="E64">
            <v>84</v>
          </cell>
          <cell r="F64">
            <v>1</v>
          </cell>
          <cell r="G64">
            <v>0.31</v>
          </cell>
          <cell r="H64">
            <v>122</v>
          </cell>
          <cell r="I64">
            <v>1</v>
          </cell>
          <cell r="J64">
            <v>0.41</v>
          </cell>
          <cell r="K64">
            <v>199</v>
          </cell>
          <cell r="L64">
            <v>0</v>
          </cell>
          <cell r="M64">
            <v>0</v>
          </cell>
        </row>
        <row r="65">
          <cell r="A65" t="str">
            <v>N531YQL40</v>
          </cell>
          <cell r="B65">
            <v>2577</v>
          </cell>
          <cell r="C65">
            <v>21</v>
          </cell>
          <cell r="D65">
            <v>3.65</v>
          </cell>
          <cell r="E65">
            <v>2024</v>
          </cell>
          <cell r="F65">
            <v>20</v>
          </cell>
          <cell r="G65">
            <v>4.21</v>
          </cell>
          <cell r="H65">
            <v>831</v>
          </cell>
          <cell r="I65">
            <v>2</v>
          </cell>
          <cell r="J65">
            <v>0.8</v>
          </cell>
          <cell r="K65">
            <v>772</v>
          </cell>
          <cell r="L65">
            <v>7</v>
          </cell>
          <cell r="M65">
            <v>2.34</v>
          </cell>
        </row>
        <row r="66">
          <cell r="A66" t="str">
            <v>N531YR034</v>
          </cell>
          <cell r="B66">
            <v>28</v>
          </cell>
          <cell r="C66">
            <v>1</v>
          </cell>
          <cell r="D66">
            <v>0.19</v>
          </cell>
          <cell r="E66">
            <v>38</v>
          </cell>
          <cell r="F66">
            <v>3</v>
          </cell>
          <cell r="G66">
            <v>0.93</v>
          </cell>
          <cell r="H66">
            <v>29</v>
          </cell>
          <cell r="I66">
            <v>0</v>
          </cell>
          <cell r="J66">
            <v>0</v>
          </cell>
          <cell r="K66">
            <v>19</v>
          </cell>
          <cell r="L66">
            <v>1</v>
          </cell>
          <cell r="M66">
            <v>0.6</v>
          </cell>
        </row>
        <row r="67">
          <cell r="A67" t="str">
            <v>N531YR036</v>
          </cell>
          <cell r="B67">
            <v>6</v>
          </cell>
          <cell r="C67">
            <v>0</v>
          </cell>
          <cell r="D67">
            <v>0</v>
          </cell>
          <cell r="E67">
            <v>11</v>
          </cell>
          <cell r="F67">
            <v>0</v>
          </cell>
          <cell r="G67">
            <v>0</v>
          </cell>
          <cell r="H67">
            <v>16</v>
          </cell>
          <cell r="I67">
            <v>1</v>
          </cell>
          <cell r="J67">
            <v>0.39</v>
          </cell>
          <cell r="K67">
            <v>19</v>
          </cell>
          <cell r="L67">
            <v>0</v>
          </cell>
          <cell r="M67">
            <v>0</v>
          </cell>
        </row>
        <row r="68">
          <cell r="A68" t="str">
            <v>N531YR040</v>
          </cell>
          <cell r="B68">
            <v>1</v>
          </cell>
          <cell r="C68">
            <v>0</v>
          </cell>
          <cell r="D68">
            <v>0</v>
          </cell>
          <cell r="E68">
            <v>2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2</v>
          </cell>
          <cell r="L68">
            <v>0</v>
          </cell>
          <cell r="M68">
            <v>0</v>
          </cell>
        </row>
        <row r="69">
          <cell r="A69" t="str">
            <v>N531YXS34</v>
          </cell>
          <cell r="B69">
            <v>271</v>
          </cell>
          <cell r="C69">
            <v>0</v>
          </cell>
          <cell r="D69">
            <v>0</v>
          </cell>
          <cell r="E69">
            <v>365</v>
          </cell>
          <cell r="F69">
            <v>1</v>
          </cell>
          <cell r="G69">
            <v>0.6</v>
          </cell>
          <cell r="H69">
            <v>270</v>
          </cell>
          <cell r="I69">
            <v>2</v>
          </cell>
          <cell r="J69">
            <v>1</v>
          </cell>
          <cell r="K69">
            <v>150</v>
          </cell>
          <cell r="L69">
            <v>4</v>
          </cell>
          <cell r="M69">
            <v>0.79</v>
          </cell>
        </row>
        <row r="70">
          <cell r="A70" t="str">
            <v>N531YXS36</v>
          </cell>
          <cell r="B70">
            <v>30</v>
          </cell>
          <cell r="C70">
            <v>0</v>
          </cell>
          <cell r="D70">
            <v>0</v>
          </cell>
          <cell r="E70">
            <v>16</v>
          </cell>
          <cell r="F70">
            <v>0</v>
          </cell>
          <cell r="G70">
            <v>0</v>
          </cell>
          <cell r="H70">
            <v>22</v>
          </cell>
          <cell r="I70">
            <v>0</v>
          </cell>
          <cell r="J70">
            <v>0</v>
          </cell>
          <cell r="K70">
            <v>26</v>
          </cell>
          <cell r="L70">
            <v>0</v>
          </cell>
          <cell r="M70">
            <v>0</v>
          </cell>
        </row>
        <row r="71">
          <cell r="A71" t="str">
            <v>N531YXS38</v>
          </cell>
          <cell r="B71">
            <v>905</v>
          </cell>
          <cell r="C71">
            <v>12</v>
          </cell>
          <cell r="D71">
            <v>3.29</v>
          </cell>
          <cell r="E71">
            <v>778</v>
          </cell>
          <cell r="F71">
            <v>2</v>
          </cell>
          <cell r="G71">
            <v>0.41</v>
          </cell>
          <cell r="H71">
            <v>486</v>
          </cell>
          <cell r="I71">
            <v>5</v>
          </cell>
          <cell r="J71">
            <v>1.27</v>
          </cell>
          <cell r="K71">
            <v>320</v>
          </cell>
          <cell r="L71">
            <v>3</v>
          </cell>
          <cell r="M71">
            <v>1.08</v>
          </cell>
        </row>
        <row r="72">
          <cell r="A72" t="str">
            <v>N531YXS40</v>
          </cell>
          <cell r="B72">
            <v>15</v>
          </cell>
          <cell r="C72">
            <v>0</v>
          </cell>
          <cell r="D72">
            <v>0</v>
          </cell>
          <cell r="E72">
            <v>5</v>
          </cell>
          <cell r="F72">
            <v>0</v>
          </cell>
          <cell r="G72">
            <v>0</v>
          </cell>
          <cell r="H72">
            <v>4</v>
          </cell>
          <cell r="I72">
            <v>0</v>
          </cell>
          <cell r="J72">
            <v>0</v>
          </cell>
          <cell r="K72">
            <v>4</v>
          </cell>
          <cell r="L72">
            <v>0</v>
          </cell>
          <cell r="M72">
            <v>0</v>
          </cell>
        </row>
        <row r="73">
          <cell r="A73" t="str">
            <v>N158YB038</v>
          </cell>
          <cell r="B73">
            <v>1331</v>
          </cell>
          <cell r="C73">
            <v>10</v>
          </cell>
          <cell r="D73">
            <v>2.59</v>
          </cell>
          <cell r="E73">
            <v>1404</v>
          </cell>
          <cell r="F73">
            <v>2</v>
          </cell>
          <cell r="G73">
            <v>0.44</v>
          </cell>
          <cell r="H73">
            <v>1334</v>
          </cell>
          <cell r="I73">
            <v>9</v>
          </cell>
          <cell r="J73">
            <v>2.22</v>
          </cell>
          <cell r="K73">
            <v>951</v>
          </cell>
          <cell r="L73">
            <v>9</v>
          </cell>
          <cell r="M73">
            <v>2.68</v>
          </cell>
        </row>
        <row r="74">
          <cell r="A74" t="str">
            <v>N158YK038</v>
          </cell>
          <cell r="B74">
            <v>19</v>
          </cell>
          <cell r="C74">
            <v>0</v>
          </cell>
          <cell r="D74">
            <v>0</v>
          </cell>
          <cell r="E74">
            <v>19</v>
          </cell>
          <cell r="F74">
            <v>0</v>
          </cell>
          <cell r="G74">
            <v>0</v>
          </cell>
          <cell r="H74">
            <v>140</v>
          </cell>
          <cell r="I74">
            <v>0</v>
          </cell>
          <cell r="J74">
            <v>0</v>
          </cell>
          <cell r="K74">
            <v>60</v>
          </cell>
          <cell r="L74">
            <v>2</v>
          </cell>
          <cell r="M74">
            <v>0.44</v>
          </cell>
        </row>
        <row r="75">
          <cell r="A75" t="str">
            <v>N158YR038</v>
          </cell>
          <cell r="B75">
            <v>43</v>
          </cell>
          <cell r="C75">
            <v>0</v>
          </cell>
          <cell r="D75">
            <v>0</v>
          </cell>
          <cell r="E75">
            <v>37</v>
          </cell>
          <cell r="F75">
            <v>0</v>
          </cell>
          <cell r="G75">
            <v>0</v>
          </cell>
          <cell r="H75">
            <v>99</v>
          </cell>
          <cell r="I75">
            <v>1</v>
          </cell>
          <cell r="J75">
            <v>0.06</v>
          </cell>
          <cell r="K75">
            <v>282</v>
          </cell>
          <cell r="L75">
            <v>2</v>
          </cell>
          <cell r="M75">
            <v>0.71</v>
          </cell>
        </row>
        <row r="76">
          <cell r="A76" t="str">
            <v>N1709YR042</v>
          </cell>
          <cell r="B76">
            <v>295</v>
          </cell>
          <cell r="C76">
            <v>2</v>
          </cell>
          <cell r="D76">
            <v>0.85</v>
          </cell>
          <cell r="E76">
            <v>252</v>
          </cell>
          <cell r="F76">
            <v>1</v>
          </cell>
          <cell r="G76">
            <v>0.26</v>
          </cell>
          <cell r="H76">
            <v>385</v>
          </cell>
          <cell r="I76">
            <v>0</v>
          </cell>
          <cell r="J76">
            <v>0</v>
          </cell>
          <cell r="K76">
            <v>244</v>
          </cell>
          <cell r="L76">
            <v>0</v>
          </cell>
          <cell r="M76">
            <v>0</v>
          </cell>
        </row>
        <row r="77">
          <cell r="A77" t="str">
            <v>N1709YR048</v>
          </cell>
          <cell r="B77">
            <v>276</v>
          </cell>
          <cell r="C77">
            <v>2</v>
          </cell>
          <cell r="D77">
            <v>0.31</v>
          </cell>
          <cell r="E77">
            <v>227</v>
          </cell>
          <cell r="F77">
            <v>3</v>
          </cell>
          <cell r="G77">
            <v>0.85</v>
          </cell>
          <cell r="H77">
            <v>276</v>
          </cell>
          <cell r="I77">
            <v>1</v>
          </cell>
          <cell r="J77">
            <v>0.37</v>
          </cell>
          <cell r="K77">
            <v>170</v>
          </cell>
          <cell r="L77">
            <v>3</v>
          </cell>
          <cell r="M77">
            <v>0.73</v>
          </cell>
        </row>
        <row r="78">
          <cell r="A78" t="str">
            <v>N1709YXS48</v>
          </cell>
          <cell r="B78">
            <v>16</v>
          </cell>
          <cell r="C78">
            <v>0</v>
          </cell>
          <cell r="D78">
            <v>0</v>
          </cell>
          <cell r="E78">
            <v>13</v>
          </cell>
          <cell r="F78">
            <v>0</v>
          </cell>
          <cell r="G78">
            <v>0</v>
          </cell>
          <cell r="H78">
            <v>40</v>
          </cell>
          <cell r="I78">
            <v>0</v>
          </cell>
          <cell r="J78">
            <v>0</v>
          </cell>
          <cell r="K78">
            <v>47</v>
          </cell>
          <cell r="L78">
            <v>0</v>
          </cell>
          <cell r="M78">
            <v>0</v>
          </cell>
        </row>
        <row r="79">
          <cell r="A79" t="str">
            <v>N1709YZS46</v>
          </cell>
          <cell r="B79">
            <v>261</v>
          </cell>
          <cell r="C79">
            <v>5</v>
          </cell>
          <cell r="D79">
            <v>1.67</v>
          </cell>
          <cell r="E79">
            <v>170</v>
          </cell>
          <cell r="F79">
            <v>0</v>
          </cell>
          <cell r="G79">
            <v>0</v>
          </cell>
          <cell r="H79">
            <v>86</v>
          </cell>
          <cell r="I79">
            <v>1</v>
          </cell>
          <cell r="J79">
            <v>0.27</v>
          </cell>
          <cell r="K79">
            <v>77</v>
          </cell>
          <cell r="L79">
            <v>0</v>
          </cell>
          <cell r="M79">
            <v>0</v>
          </cell>
        </row>
        <row r="80">
          <cell r="A80" t="str">
            <v>N1709YZS48</v>
          </cell>
          <cell r="B80">
            <v>0</v>
          </cell>
          <cell r="C80">
            <v>0</v>
          </cell>
          <cell r="D80">
            <v>0</v>
          </cell>
          <cell r="E80">
            <v>1</v>
          </cell>
          <cell r="F80">
            <v>0</v>
          </cell>
          <cell r="G80">
            <v>0</v>
          </cell>
          <cell r="H80">
            <v>4</v>
          </cell>
          <cell r="I80">
            <v>0</v>
          </cell>
          <cell r="J80">
            <v>0</v>
          </cell>
          <cell r="K80">
            <v>6</v>
          </cell>
          <cell r="L80">
            <v>0</v>
          </cell>
          <cell r="M80">
            <v>0</v>
          </cell>
        </row>
        <row r="81">
          <cell r="A81" t="str">
            <v>N2033YK036</v>
          </cell>
          <cell r="B81">
            <v>454</v>
          </cell>
          <cell r="C81">
            <v>0</v>
          </cell>
          <cell r="D81">
            <v>0</v>
          </cell>
          <cell r="E81">
            <v>208</v>
          </cell>
          <cell r="F81">
            <v>1</v>
          </cell>
          <cell r="G81">
            <v>0.04</v>
          </cell>
          <cell r="H81">
            <v>141</v>
          </cell>
          <cell r="I81">
            <v>0</v>
          </cell>
          <cell r="J81">
            <v>0</v>
          </cell>
          <cell r="K81">
            <v>96</v>
          </cell>
          <cell r="L81">
            <v>0</v>
          </cell>
          <cell r="M81">
            <v>0</v>
          </cell>
        </row>
        <row r="82">
          <cell r="A82" t="str">
            <v>N2033YK038</v>
          </cell>
          <cell r="B82">
            <v>84</v>
          </cell>
          <cell r="C82">
            <v>1</v>
          </cell>
          <cell r="D82">
            <v>0.02</v>
          </cell>
          <cell r="E82">
            <v>86</v>
          </cell>
          <cell r="F82">
            <v>0</v>
          </cell>
          <cell r="G82">
            <v>0</v>
          </cell>
          <cell r="H82">
            <v>105</v>
          </cell>
          <cell r="I82">
            <v>0</v>
          </cell>
          <cell r="J82">
            <v>0</v>
          </cell>
          <cell r="K82">
            <v>145</v>
          </cell>
          <cell r="L82">
            <v>0</v>
          </cell>
          <cell r="M82">
            <v>0</v>
          </cell>
        </row>
        <row r="83">
          <cell r="A83" t="str">
            <v>N2033YK040</v>
          </cell>
          <cell r="B83">
            <v>863</v>
          </cell>
          <cell r="C83">
            <v>2</v>
          </cell>
          <cell r="D83">
            <v>0.46</v>
          </cell>
          <cell r="E83">
            <v>1288</v>
          </cell>
          <cell r="F83">
            <v>3</v>
          </cell>
          <cell r="G83">
            <v>0.85</v>
          </cell>
          <cell r="H83">
            <v>1184</v>
          </cell>
          <cell r="I83">
            <v>3</v>
          </cell>
          <cell r="J83">
            <v>0.24</v>
          </cell>
          <cell r="K83">
            <v>812</v>
          </cell>
          <cell r="L83">
            <v>2</v>
          </cell>
          <cell r="M83">
            <v>0.41</v>
          </cell>
        </row>
        <row r="84">
          <cell r="A84" t="str">
            <v>N2033YK042</v>
          </cell>
          <cell r="B84">
            <v>20</v>
          </cell>
          <cell r="C84">
            <v>0</v>
          </cell>
          <cell r="D84">
            <v>0</v>
          </cell>
          <cell r="E84">
            <v>126</v>
          </cell>
          <cell r="F84">
            <v>0</v>
          </cell>
          <cell r="G84">
            <v>0</v>
          </cell>
          <cell r="H84">
            <v>7</v>
          </cell>
          <cell r="I84">
            <v>0</v>
          </cell>
          <cell r="J84">
            <v>0</v>
          </cell>
          <cell r="K84">
            <v>7</v>
          </cell>
          <cell r="L84">
            <v>0</v>
          </cell>
          <cell r="M84">
            <v>0</v>
          </cell>
        </row>
        <row r="85">
          <cell r="A85" t="str">
            <v>N2033YSG36</v>
          </cell>
          <cell r="B85">
            <v>17</v>
          </cell>
          <cell r="C85">
            <v>0</v>
          </cell>
          <cell r="D85">
            <v>0</v>
          </cell>
          <cell r="E85">
            <v>78</v>
          </cell>
          <cell r="F85">
            <v>0</v>
          </cell>
          <cell r="G85">
            <v>0</v>
          </cell>
          <cell r="H85">
            <v>23</v>
          </cell>
          <cell r="I85">
            <v>0</v>
          </cell>
          <cell r="J85">
            <v>0</v>
          </cell>
          <cell r="K85">
            <v>100</v>
          </cell>
          <cell r="L85">
            <v>0</v>
          </cell>
          <cell r="M85">
            <v>0</v>
          </cell>
        </row>
        <row r="86">
          <cell r="A86" t="str">
            <v>N2033YSG40</v>
          </cell>
          <cell r="B86">
            <v>582</v>
          </cell>
          <cell r="C86">
            <v>0</v>
          </cell>
          <cell r="D86">
            <v>0</v>
          </cell>
          <cell r="E86">
            <v>270</v>
          </cell>
          <cell r="F86">
            <v>0</v>
          </cell>
          <cell r="G86">
            <v>0</v>
          </cell>
          <cell r="H86">
            <v>282</v>
          </cell>
          <cell r="I86">
            <v>0</v>
          </cell>
          <cell r="J86">
            <v>0</v>
          </cell>
          <cell r="K86">
            <v>105</v>
          </cell>
          <cell r="L86">
            <v>0</v>
          </cell>
          <cell r="M86">
            <v>0</v>
          </cell>
        </row>
        <row r="87">
          <cell r="A87" t="str">
            <v>N2047YK032</v>
          </cell>
          <cell r="B87">
            <v>4</v>
          </cell>
          <cell r="C87">
            <v>0</v>
          </cell>
          <cell r="D87">
            <v>0</v>
          </cell>
          <cell r="E87">
            <v>1</v>
          </cell>
          <cell r="F87">
            <v>0</v>
          </cell>
          <cell r="G87">
            <v>0</v>
          </cell>
          <cell r="H87">
            <v>17</v>
          </cell>
          <cell r="I87">
            <v>0</v>
          </cell>
          <cell r="J87">
            <v>0</v>
          </cell>
          <cell r="K87">
            <v>7</v>
          </cell>
          <cell r="L87">
            <v>1</v>
          </cell>
          <cell r="M87">
            <v>0.07</v>
          </cell>
        </row>
        <row r="88">
          <cell r="A88" t="str">
            <v>N2047YK034</v>
          </cell>
          <cell r="B88">
            <v>78</v>
          </cell>
          <cell r="C88">
            <v>0</v>
          </cell>
          <cell r="D88">
            <v>0</v>
          </cell>
          <cell r="E88">
            <v>62</v>
          </cell>
          <cell r="F88">
            <v>1</v>
          </cell>
          <cell r="G88">
            <v>0.19</v>
          </cell>
          <cell r="H88">
            <v>41</v>
          </cell>
          <cell r="I88">
            <v>0</v>
          </cell>
          <cell r="J88">
            <v>0</v>
          </cell>
          <cell r="K88">
            <v>12</v>
          </cell>
          <cell r="L88">
            <v>0</v>
          </cell>
          <cell r="M88">
            <v>0</v>
          </cell>
        </row>
        <row r="89">
          <cell r="A89" t="str">
            <v>N2047YXS32</v>
          </cell>
          <cell r="B89">
            <v>145</v>
          </cell>
          <cell r="C89">
            <v>0</v>
          </cell>
          <cell r="D89">
            <v>0</v>
          </cell>
          <cell r="E89">
            <v>180</v>
          </cell>
          <cell r="F89">
            <v>0</v>
          </cell>
          <cell r="G89">
            <v>0</v>
          </cell>
          <cell r="H89">
            <v>309</v>
          </cell>
          <cell r="I89">
            <v>0</v>
          </cell>
          <cell r="J89">
            <v>0</v>
          </cell>
          <cell r="K89">
            <v>122</v>
          </cell>
          <cell r="L89">
            <v>1</v>
          </cell>
          <cell r="M89">
            <v>0.41</v>
          </cell>
        </row>
        <row r="90">
          <cell r="A90" t="str">
            <v>N2082YK034</v>
          </cell>
          <cell r="B90">
            <v>33</v>
          </cell>
          <cell r="C90">
            <v>0</v>
          </cell>
          <cell r="D90">
            <v>0</v>
          </cell>
          <cell r="E90">
            <v>100</v>
          </cell>
          <cell r="F90">
            <v>0</v>
          </cell>
          <cell r="G90">
            <v>0</v>
          </cell>
          <cell r="H90">
            <v>24</v>
          </cell>
          <cell r="I90">
            <v>1</v>
          </cell>
          <cell r="J90">
            <v>0.04</v>
          </cell>
          <cell r="K90">
            <v>24</v>
          </cell>
          <cell r="L90">
            <v>0</v>
          </cell>
          <cell r="M90">
            <v>0</v>
          </cell>
        </row>
        <row r="91">
          <cell r="A91" t="str">
            <v>N2082YK038</v>
          </cell>
          <cell r="B91">
            <v>537</v>
          </cell>
          <cell r="C91">
            <v>0</v>
          </cell>
          <cell r="D91">
            <v>0</v>
          </cell>
          <cell r="E91">
            <v>604</v>
          </cell>
          <cell r="F91">
            <v>1</v>
          </cell>
          <cell r="G91">
            <v>0.31</v>
          </cell>
          <cell r="H91">
            <v>710</v>
          </cell>
          <cell r="I91">
            <v>1</v>
          </cell>
          <cell r="J91">
            <v>0.19</v>
          </cell>
          <cell r="K91">
            <v>630</v>
          </cell>
          <cell r="L91">
            <v>0</v>
          </cell>
          <cell r="M91">
            <v>0</v>
          </cell>
        </row>
        <row r="92">
          <cell r="A92" t="str">
            <v>N2082YQJ34</v>
          </cell>
          <cell r="B92">
            <v>10</v>
          </cell>
          <cell r="C92">
            <v>0</v>
          </cell>
          <cell r="D92">
            <v>0</v>
          </cell>
          <cell r="E92">
            <v>35</v>
          </cell>
          <cell r="F92">
            <v>0</v>
          </cell>
          <cell r="G92">
            <v>0</v>
          </cell>
          <cell r="H92">
            <v>24</v>
          </cell>
          <cell r="I92">
            <v>0</v>
          </cell>
          <cell r="J92">
            <v>0</v>
          </cell>
          <cell r="K92">
            <v>4</v>
          </cell>
          <cell r="L92">
            <v>1</v>
          </cell>
          <cell r="M92">
            <v>0.39</v>
          </cell>
        </row>
        <row r="93">
          <cell r="A93" t="str">
            <v>N2082YQJ36</v>
          </cell>
          <cell r="B93">
            <v>171</v>
          </cell>
          <cell r="C93">
            <v>1</v>
          </cell>
          <cell r="D93">
            <v>0.04</v>
          </cell>
          <cell r="E93">
            <v>125</v>
          </cell>
          <cell r="F93">
            <v>0</v>
          </cell>
          <cell r="G93">
            <v>0</v>
          </cell>
          <cell r="H93">
            <v>77</v>
          </cell>
          <cell r="I93">
            <v>0</v>
          </cell>
          <cell r="J93">
            <v>0</v>
          </cell>
          <cell r="K93">
            <v>49</v>
          </cell>
          <cell r="L93">
            <v>0</v>
          </cell>
          <cell r="M93">
            <v>0</v>
          </cell>
        </row>
        <row r="94">
          <cell r="A94" t="str">
            <v>N2082YQLS34</v>
          </cell>
          <cell r="B94">
            <v>14</v>
          </cell>
          <cell r="C94">
            <v>0</v>
          </cell>
          <cell r="D94">
            <v>0</v>
          </cell>
          <cell r="E94">
            <v>7</v>
          </cell>
          <cell r="F94">
            <v>0</v>
          </cell>
          <cell r="G94">
            <v>0</v>
          </cell>
          <cell r="H94">
            <v>42</v>
          </cell>
          <cell r="I94">
            <v>0</v>
          </cell>
          <cell r="J94">
            <v>0</v>
          </cell>
          <cell r="K94">
            <v>21</v>
          </cell>
          <cell r="L94">
            <v>0</v>
          </cell>
          <cell r="M94">
            <v>0</v>
          </cell>
        </row>
        <row r="95">
          <cell r="A95" t="str">
            <v>N2082YQLS36</v>
          </cell>
          <cell r="B95">
            <v>15</v>
          </cell>
          <cell r="C95">
            <v>0</v>
          </cell>
          <cell r="D95">
            <v>0</v>
          </cell>
          <cell r="E95">
            <v>70</v>
          </cell>
          <cell r="F95">
            <v>0</v>
          </cell>
          <cell r="G95">
            <v>0</v>
          </cell>
          <cell r="H95">
            <v>28</v>
          </cell>
          <cell r="I95">
            <v>0</v>
          </cell>
          <cell r="J95">
            <v>0</v>
          </cell>
          <cell r="K95">
            <v>27</v>
          </cell>
          <cell r="L95">
            <v>0</v>
          </cell>
          <cell r="M95">
            <v>0</v>
          </cell>
        </row>
        <row r="96">
          <cell r="A96" t="str">
            <v>N2257YG036</v>
          </cell>
          <cell r="B96">
            <v>1628</v>
          </cell>
          <cell r="C96">
            <v>20</v>
          </cell>
          <cell r="D96">
            <v>5.72</v>
          </cell>
          <cell r="E96">
            <v>1007</v>
          </cell>
          <cell r="F96">
            <v>14</v>
          </cell>
          <cell r="G96">
            <v>3.67</v>
          </cell>
          <cell r="H96">
            <v>820</v>
          </cell>
          <cell r="I96">
            <v>7</v>
          </cell>
          <cell r="J96">
            <v>2.29</v>
          </cell>
          <cell r="K96">
            <v>609</v>
          </cell>
          <cell r="L96">
            <v>4</v>
          </cell>
          <cell r="M96">
            <v>1.28</v>
          </cell>
        </row>
        <row r="97">
          <cell r="A97" t="str">
            <v>N2257YR538</v>
          </cell>
          <cell r="B97">
            <v>187</v>
          </cell>
          <cell r="C97">
            <v>0</v>
          </cell>
          <cell r="D97">
            <v>0</v>
          </cell>
          <cell r="E97">
            <v>304</v>
          </cell>
          <cell r="F97">
            <v>1</v>
          </cell>
          <cell r="G97">
            <v>0.24</v>
          </cell>
          <cell r="H97">
            <v>243</v>
          </cell>
          <cell r="I97">
            <v>0</v>
          </cell>
          <cell r="J97">
            <v>0</v>
          </cell>
          <cell r="K97">
            <v>136</v>
          </cell>
          <cell r="L97">
            <v>1</v>
          </cell>
          <cell r="M97">
            <v>0.1</v>
          </cell>
        </row>
        <row r="98">
          <cell r="A98" t="str">
            <v>N2257YSG36</v>
          </cell>
          <cell r="B98">
            <v>67</v>
          </cell>
          <cell r="C98">
            <v>0</v>
          </cell>
          <cell r="D98">
            <v>0</v>
          </cell>
          <cell r="E98">
            <v>185</v>
          </cell>
          <cell r="F98">
            <v>3</v>
          </cell>
          <cell r="G98">
            <v>0.93</v>
          </cell>
          <cell r="H98">
            <v>116</v>
          </cell>
          <cell r="I98">
            <v>0</v>
          </cell>
          <cell r="J98">
            <v>0</v>
          </cell>
          <cell r="K98">
            <v>37</v>
          </cell>
          <cell r="L98">
            <v>0</v>
          </cell>
          <cell r="M98">
            <v>0</v>
          </cell>
        </row>
        <row r="99">
          <cell r="A99" t="str">
            <v>N31459YJS42</v>
          </cell>
          <cell r="B99">
            <v>210</v>
          </cell>
          <cell r="C99">
            <v>2</v>
          </cell>
          <cell r="D99">
            <v>0.92</v>
          </cell>
          <cell r="E99">
            <v>156</v>
          </cell>
          <cell r="F99">
            <v>2</v>
          </cell>
          <cell r="G99">
            <v>0.12</v>
          </cell>
          <cell r="H99">
            <v>154</v>
          </cell>
          <cell r="I99">
            <v>0</v>
          </cell>
          <cell r="J99">
            <v>0</v>
          </cell>
          <cell r="K99">
            <v>74</v>
          </cell>
          <cell r="L99">
            <v>0</v>
          </cell>
          <cell r="M99">
            <v>0</v>
          </cell>
        </row>
        <row r="100">
          <cell r="A100" t="str">
            <v>N31459YJS46</v>
          </cell>
          <cell r="B100">
            <v>1145</v>
          </cell>
          <cell r="C100">
            <v>5</v>
          </cell>
          <cell r="D100">
            <v>1.96</v>
          </cell>
          <cell r="E100">
            <v>1229</v>
          </cell>
          <cell r="F100">
            <v>7</v>
          </cell>
          <cell r="G100">
            <v>3.42</v>
          </cell>
          <cell r="H100">
            <v>744</v>
          </cell>
          <cell r="I100">
            <v>3</v>
          </cell>
          <cell r="J100">
            <v>1.16</v>
          </cell>
          <cell r="K100">
            <v>761</v>
          </cell>
          <cell r="L100">
            <v>2</v>
          </cell>
          <cell r="M100">
            <v>0.84</v>
          </cell>
        </row>
        <row r="101">
          <cell r="A101" t="str">
            <v>N31459YLL48</v>
          </cell>
          <cell r="B101">
            <v>0</v>
          </cell>
          <cell r="C101">
            <v>0</v>
          </cell>
          <cell r="D101">
            <v>0</v>
          </cell>
          <cell r="E101">
            <v>19</v>
          </cell>
          <cell r="F101">
            <v>0</v>
          </cell>
          <cell r="G101">
            <v>0</v>
          </cell>
          <cell r="H101">
            <v>106</v>
          </cell>
          <cell r="I101">
            <v>0</v>
          </cell>
          <cell r="J101">
            <v>0</v>
          </cell>
          <cell r="K101">
            <v>33</v>
          </cell>
          <cell r="L101">
            <v>2</v>
          </cell>
          <cell r="M101">
            <v>1.1</v>
          </cell>
        </row>
        <row r="102">
          <cell r="A102" t="str">
            <v>N31459YMH42</v>
          </cell>
          <cell r="B102">
            <v>132</v>
          </cell>
          <cell r="C102">
            <v>3</v>
          </cell>
          <cell r="D102">
            <v>1.54</v>
          </cell>
          <cell r="E102">
            <v>83</v>
          </cell>
          <cell r="F102">
            <v>3</v>
          </cell>
          <cell r="G102">
            <v>1.6</v>
          </cell>
          <cell r="H102">
            <v>19</v>
          </cell>
          <cell r="I102">
            <v>0</v>
          </cell>
          <cell r="J102">
            <v>0</v>
          </cell>
          <cell r="K102">
            <v>22</v>
          </cell>
          <cell r="L102">
            <v>0</v>
          </cell>
          <cell r="M102">
            <v>0</v>
          </cell>
        </row>
        <row r="103">
          <cell r="A103" t="str">
            <v>N31459YMH46</v>
          </cell>
          <cell r="B103">
            <v>2636</v>
          </cell>
          <cell r="C103">
            <v>15</v>
          </cell>
          <cell r="D103">
            <v>4.95</v>
          </cell>
          <cell r="E103">
            <v>1932</v>
          </cell>
          <cell r="F103">
            <v>12</v>
          </cell>
          <cell r="G103">
            <v>2.73</v>
          </cell>
          <cell r="H103">
            <v>1213</v>
          </cell>
          <cell r="I103">
            <v>7</v>
          </cell>
          <cell r="J103">
            <v>2.11</v>
          </cell>
          <cell r="K103">
            <v>1383</v>
          </cell>
          <cell r="L103">
            <v>6</v>
          </cell>
          <cell r="M103">
            <v>1.55</v>
          </cell>
        </row>
        <row r="104">
          <cell r="A104" t="str">
            <v>N31459YP038</v>
          </cell>
          <cell r="B104">
            <v>46</v>
          </cell>
          <cell r="C104">
            <v>0</v>
          </cell>
          <cell r="D104">
            <v>0</v>
          </cell>
          <cell r="E104">
            <v>55</v>
          </cell>
          <cell r="F104">
            <v>2</v>
          </cell>
          <cell r="G104">
            <v>1.06</v>
          </cell>
          <cell r="H104">
            <v>52</v>
          </cell>
          <cell r="I104">
            <v>1</v>
          </cell>
          <cell r="J104">
            <v>0.69</v>
          </cell>
          <cell r="K104">
            <v>25</v>
          </cell>
          <cell r="L104">
            <v>0</v>
          </cell>
          <cell r="M104">
            <v>0</v>
          </cell>
        </row>
        <row r="105">
          <cell r="A105" t="str">
            <v>N31459YP044</v>
          </cell>
          <cell r="B105">
            <v>16</v>
          </cell>
          <cell r="C105">
            <v>0</v>
          </cell>
          <cell r="D105">
            <v>0</v>
          </cell>
          <cell r="E105">
            <v>18</v>
          </cell>
          <cell r="F105">
            <v>1</v>
          </cell>
          <cell r="G105">
            <v>0.02</v>
          </cell>
          <cell r="H105">
            <v>38</v>
          </cell>
          <cell r="I105">
            <v>2</v>
          </cell>
          <cell r="J105">
            <v>0.3</v>
          </cell>
          <cell r="K105">
            <v>27</v>
          </cell>
          <cell r="L105">
            <v>2</v>
          </cell>
          <cell r="M105">
            <v>0.04</v>
          </cell>
        </row>
        <row r="106">
          <cell r="A106" t="str">
            <v>N31459YP046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50</v>
          </cell>
          <cell r="I106">
            <v>0</v>
          </cell>
          <cell r="J106">
            <v>0</v>
          </cell>
          <cell r="K106">
            <v>51</v>
          </cell>
          <cell r="L106">
            <v>4</v>
          </cell>
          <cell r="M106">
            <v>2.07</v>
          </cell>
        </row>
        <row r="107">
          <cell r="A107" t="str">
            <v>N31459YP048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9</v>
          </cell>
          <cell r="I107">
            <v>0</v>
          </cell>
          <cell r="J107">
            <v>0</v>
          </cell>
          <cell r="K107">
            <v>75</v>
          </cell>
          <cell r="L107">
            <v>1</v>
          </cell>
          <cell r="M107">
            <v>0.52</v>
          </cell>
        </row>
        <row r="108">
          <cell r="A108" t="str">
            <v>N31459YR038</v>
          </cell>
          <cell r="B108">
            <v>3594</v>
          </cell>
          <cell r="C108">
            <v>17</v>
          </cell>
          <cell r="D108">
            <v>6.08</v>
          </cell>
          <cell r="E108">
            <v>3207</v>
          </cell>
          <cell r="F108">
            <v>12</v>
          </cell>
          <cell r="G108">
            <v>4.53</v>
          </cell>
          <cell r="H108">
            <v>3112</v>
          </cell>
          <cell r="I108">
            <v>14</v>
          </cell>
          <cell r="J108">
            <v>4.15</v>
          </cell>
          <cell r="K108">
            <v>2221</v>
          </cell>
          <cell r="L108">
            <v>6</v>
          </cell>
          <cell r="M108">
            <v>2.58</v>
          </cell>
        </row>
        <row r="109">
          <cell r="A109" t="str">
            <v>N31459YR044</v>
          </cell>
          <cell r="B109">
            <v>0</v>
          </cell>
          <cell r="C109">
            <v>0</v>
          </cell>
          <cell r="D109">
            <v>0</v>
          </cell>
          <cell r="E109">
            <v>38</v>
          </cell>
          <cell r="F109">
            <v>1</v>
          </cell>
          <cell r="G109">
            <v>0.51</v>
          </cell>
          <cell r="H109">
            <v>107</v>
          </cell>
          <cell r="I109">
            <v>1</v>
          </cell>
          <cell r="J109">
            <v>0.69</v>
          </cell>
          <cell r="K109">
            <v>72</v>
          </cell>
          <cell r="L109">
            <v>0</v>
          </cell>
          <cell r="M109">
            <v>0</v>
          </cell>
        </row>
        <row r="110">
          <cell r="A110" t="str">
            <v>N583YQZ38</v>
          </cell>
          <cell r="B110">
            <v>548</v>
          </cell>
          <cell r="C110">
            <v>4</v>
          </cell>
          <cell r="D110">
            <v>1.33</v>
          </cell>
          <cell r="E110">
            <v>578</v>
          </cell>
          <cell r="F110">
            <v>0</v>
          </cell>
          <cell r="G110">
            <v>0</v>
          </cell>
          <cell r="H110">
            <v>629</v>
          </cell>
          <cell r="I110">
            <v>5</v>
          </cell>
          <cell r="J110">
            <v>1.26</v>
          </cell>
          <cell r="K110">
            <v>550</v>
          </cell>
          <cell r="L110">
            <v>5</v>
          </cell>
          <cell r="M110">
            <v>1.81</v>
          </cell>
        </row>
        <row r="111">
          <cell r="A111" t="str">
            <v>N583YQZ42</v>
          </cell>
          <cell r="B111">
            <v>4</v>
          </cell>
          <cell r="C111">
            <v>0</v>
          </cell>
          <cell r="D111">
            <v>0</v>
          </cell>
          <cell r="E111">
            <v>25</v>
          </cell>
          <cell r="F111">
            <v>0</v>
          </cell>
          <cell r="G111">
            <v>0</v>
          </cell>
          <cell r="H111">
            <v>112</v>
          </cell>
          <cell r="I111">
            <v>0</v>
          </cell>
          <cell r="J111">
            <v>0</v>
          </cell>
          <cell r="K111">
            <v>355</v>
          </cell>
          <cell r="L111">
            <v>2</v>
          </cell>
          <cell r="M111">
            <v>0.8</v>
          </cell>
        </row>
        <row r="112">
          <cell r="A112" t="str">
            <v>N583YQZ44</v>
          </cell>
          <cell r="B112">
            <v>47</v>
          </cell>
          <cell r="C112">
            <v>0</v>
          </cell>
          <cell r="D112">
            <v>0</v>
          </cell>
          <cell r="E112">
            <v>101</v>
          </cell>
          <cell r="F112">
            <v>0</v>
          </cell>
          <cell r="G112">
            <v>0</v>
          </cell>
          <cell r="H112">
            <v>298</v>
          </cell>
          <cell r="I112">
            <v>1</v>
          </cell>
          <cell r="J112">
            <v>0.13</v>
          </cell>
          <cell r="K112">
            <v>421</v>
          </cell>
          <cell r="L112">
            <v>1</v>
          </cell>
          <cell r="M112">
            <v>0.26</v>
          </cell>
        </row>
        <row r="113">
          <cell r="A113" t="str">
            <v>N888YK038</v>
          </cell>
          <cell r="B113">
            <v>360</v>
          </cell>
          <cell r="C113">
            <v>1</v>
          </cell>
          <cell r="D113">
            <v>0.23</v>
          </cell>
          <cell r="E113">
            <v>461</v>
          </cell>
          <cell r="F113">
            <v>1</v>
          </cell>
          <cell r="G113">
            <v>0.39</v>
          </cell>
          <cell r="H113">
            <v>488</v>
          </cell>
          <cell r="I113">
            <v>1</v>
          </cell>
          <cell r="J113">
            <v>0.27</v>
          </cell>
          <cell r="K113">
            <v>177</v>
          </cell>
          <cell r="L113">
            <v>0</v>
          </cell>
          <cell r="M113">
            <v>0</v>
          </cell>
        </row>
        <row r="114">
          <cell r="A114" t="str">
            <v>N888YR536</v>
          </cell>
          <cell r="B114">
            <v>80</v>
          </cell>
          <cell r="C114">
            <v>1</v>
          </cell>
          <cell r="D114">
            <v>0.34</v>
          </cell>
          <cell r="E114">
            <v>126</v>
          </cell>
          <cell r="F114">
            <v>0</v>
          </cell>
          <cell r="G114">
            <v>0</v>
          </cell>
          <cell r="H114">
            <v>48</v>
          </cell>
          <cell r="I114">
            <v>0</v>
          </cell>
          <cell r="J114">
            <v>0</v>
          </cell>
          <cell r="K114">
            <v>44</v>
          </cell>
          <cell r="L114">
            <v>0</v>
          </cell>
          <cell r="M114">
            <v>0</v>
          </cell>
        </row>
        <row r="115">
          <cell r="A115" t="str">
            <v>N888YR538</v>
          </cell>
          <cell r="B115">
            <v>403</v>
          </cell>
          <cell r="C115">
            <v>0</v>
          </cell>
          <cell r="D115">
            <v>0</v>
          </cell>
          <cell r="E115">
            <v>515</v>
          </cell>
          <cell r="F115">
            <v>2</v>
          </cell>
          <cell r="G115">
            <v>0.34</v>
          </cell>
          <cell r="H115">
            <v>625</v>
          </cell>
          <cell r="I115">
            <v>4</v>
          </cell>
          <cell r="J115">
            <v>0.88</v>
          </cell>
          <cell r="K115">
            <v>295</v>
          </cell>
          <cell r="L115">
            <v>2</v>
          </cell>
          <cell r="M115">
            <v>0.47</v>
          </cell>
        </row>
        <row r="116">
          <cell r="A116" t="str">
            <v>N888YXS36</v>
          </cell>
          <cell r="B116">
            <v>612</v>
          </cell>
          <cell r="C116">
            <v>1</v>
          </cell>
          <cell r="D116">
            <v>0.34</v>
          </cell>
          <cell r="E116">
            <v>534</v>
          </cell>
          <cell r="F116">
            <v>2</v>
          </cell>
          <cell r="G116">
            <v>0.71</v>
          </cell>
          <cell r="H116">
            <v>574</v>
          </cell>
          <cell r="I116">
            <v>3</v>
          </cell>
          <cell r="J116">
            <v>1.11</v>
          </cell>
          <cell r="K116">
            <v>832</v>
          </cell>
          <cell r="L116">
            <v>1</v>
          </cell>
          <cell r="M116">
            <v>0.39</v>
          </cell>
        </row>
        <row r="117">
          <cell r="A117" t="str">
            <v>N888YXS38</v>
          </cell>
          <cell r="B117">
            <v>51</v>
          </cell>
          <cell r="C117">
            <v>0</v>
          </cell>
          <cell r="D117">
            <v>0</v>
          </cell>
          <cell r="E117">
            <v>80</v>
          </cell>
          <cell r="F117">
            <v>0</v>
          </cell>
          <cell r="G117">
            <v>0</v>
          </cell>
          <cell r="H117">
            <v>33</v>
          </cell>
          <cell r="I117">
            <v>0</v>
          </cell>
          <cell r="J117">
            <v>0</v>
          </cell>
          <cell r="K117">
            <v>30</v>
          </cell>
          <cell r="L117">
            <v>0</v>
          </cell>
          <cell r="M117">
            <v>0</v>
          </cell>
        </row>
        <row r="118">
          <cell r="A118" t="str">
            <v>N888YXS42</v>
          </cell>
          <cell r="B118">
            <v>250</v>
          </cell>
          <cell r="C118">
            <v>1</v>
          </cell>
          <cell r="D118">
            <v>0.08</v>
          </cell>
          <cell r="E118">
            <v>210</v>
          </cell>
          <cell r="F118">
            <v>0</v>
          </cell>
          <cell r="G118">
            <v>0</v>
          </cell>
          <cell r="H118">
            <v>291</v>
          </cell>
          <cell r="I118">
            <v>1</v>
          </cell>
          <cell r="J118">
            <v>0.21</v>
          </cell>
          <cell r="K118">
            <v>264</v>
          </cell>
          <cell r="L118">
            <v>2</v>
          </cell>
          <cell r="M118">
            <v>0.75</v>
          </cell>
        </row>
        <row r="119">
          <cell r="A119" t="str">
            <v>N9383YB040</v>
          </cell>
          <cell r="B119">
            <v>164</v>
          </cell>
          <cell r="C119">
            <v>0</v>
          </cell>
          <cell r="D119">
            <v>0</v>
          </cell>
          <cell r="E119">
            <v>311</v>
          </cell>
          <cell r="F119">
            <v>1</v>
          </cell>
          <cell r="G119">
            <v>0.04</v>
          </cell>
          <cell r="H119">
            <v>931</v>
          </cell>
          <cell r="I119">
            <v>3</v>
          </cell>
          <cell r="J119">
            <v>1.22</v>
          </cell>
          <cell r="K119">
            <v>1163</v>
          </cell>
          <cell r="L119">
            <v>5</v>
          </cell>
          <cell r="M119">
            <v>1.15</v>
          </cell>
        </row>
        <row r="120">
          <cell r="A120" t="str">
            <v>N9383YB042</v>
          </cell>
          <cell r="B120">
            <v>2</v>
          </cell>
          <cell r="C120">
            <v>0</v>
          </cell>
          <cell r="D120">
            <v>0</v>
          </cell>
          <cell r="E120">
            <v>5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N9383YB046</v>
          </cell>
          <cell r="B121">
            <v>255</v>
          </cell>
          <cell r="C121">
            <v>2</v>
          </cell>
          <cell r="D121">
            <v>0.55</v>
          </cell>
          <cell r="E121">
            <v>324</v>
          </cell>
          <cell r="F121">
            <v>2</v>
          </cell>
          <cell r="G121">
            <v>0.27</v>
          </cell>
          <cell r="H121">
            <v>395</v>
          </cell>
          <cell r="I121">
            <v>3</v>
          </cell>
          <cell r="J121">
            <v>1.43</v>
          </cell>
          <cell r="K121">
            <v>555</v>
          </cell>
          <cell r="L121">
            <v>3</v>
          </cell>
          <cell r="M121">
            <v>0.41</v>
          </cell>
        </row>
        <row r="122">
          <cell r="A122" t="str">
            <v>N9383YB048</v>
          </cell>
          <cell r="B122">
            <v>3</v>
          </cell>
          <cell r="C122">
            <v>0</v>
          </cell>
          <cell r="D122">
            <v>0</v>
          </cell>
          <cell r="E122">
            <v>22</v>
          </cell>
          <cell r="F122">
            <v>0</v>
          </cell>
          <cell r="G122">
            <v>0</v>
          </cell>
          <cell r="H122">
            <v>50</v>
          </cell>
          <cell r="I122">
            <v>0</v>
          </cell>
          <cell r="J122">
            <v>0</v>
          </cell>
          <cell r="K122">
            <v>35</v>
          </cell>
          <cell r="L122">
            <v>1</v>
          </cell>
          <cell r="M122">
            <v>0.47</v>
          </cell>
        </row>
        <row r="123">
          <cell r="A123" t="str">
            <v>N9383YG038</v>
          </cell>
          <cell r="B123">
            <v>4</v>
          </cell>
          <cell r="C123">
            <v>0</v>
          </cell>
          <cell r="D123">
            <v>0</v>
          </cell>
          <cell r="E123">
            <v>10</v>
          </cell>
          <cell r="F123">
            <v>0</v>
          </cell>
          <cell r="G123">
            <v>0</v>
          </cell>
          <cell r="H123">
            <v>4</v>
          </cell>
          <cell r="I123">
            <v>0</v>
          </cell>
          <cell r="J123">
            <v>0</v>
          </cell>
          <cell r="K123">
            <v>2</v>
          </cell>
          <cell r="L123">
            <v>0</v>
          </cell>
          <cell r="M123">
            <v>0</v>
          </cell>
        </row>
        <row r="124">
          <cell r="A124" t="str">
            <v>N9383YG042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2</v>
          </cell>
          <cell r="I124">
            <v>0</v>
          </cell>
          <cell r="J124">
            <v>0</v>
          </cell>
          <cell r="K124">
            <v>1</v>
          </cell>
          <cell r="L124">
            <v>0</v>
          </cell>
          <cell r="M124">
            <v>0</v>
          </cell>
        </row>
        <row r="125">
          <cell r="A125" t="str">
            <v>N9383YG044</v>
          </cell>
          <cell r="B125">
            <v>982</v>
          </cell>
          <cell r="C125">
            <v>9</v>
          </cell>
          <cell r="D125">
            <v>1.59</v>
          </cell>
          <cell r="E125">
            <v>794</v>
          </cell>
          <cell r="F125">
            <v>4</v>
          </cell>
          <cell r="G125">
            <v>1.01</v>
          </cell>
          <cell r="H125">
            <v>338</v>
          </cell>
          <cell r="I125">
            <v>3</v>
          </cell>
          <cell r="J125">
            <v>0.63</v>
          </cell>
          <cell r="K125">
            <v>223</v>
          </cell>
          <cell r="L125">
            <v>5</v>
          </cell>
          <cell r="M125">
            <v>1.97</v>
          </cell>
        </row>
        <row r="126">
          <cell r="A126" t="str">
            <v>N9383YMH40</v>
          </cell>
          <cell r="B126">
            <v>9</v>
          </cell>
          <cell r="C126">
            <v>0</v>
          </cell>
          <cell r="D126">
            <v>0</v>
          </cell>
          <cell r="E126">
            <v>11</v>
          </cell>
          <cell r="F126">
            <v>0</v>
          </cell>
          <cell r="G126">
            <v>0</v>
          </cell>
          <cell r="H126">
            <v>9</v>
          </cell>
          <cell r="I126">
            <v>0</v>
          </cell>
          <cell r="J126">
            <v>0</v>
          </cell>
          <cell r="K126">
            <v>8</v>
          </cell>
          <cell r="L126">
            <v>0</v>
          </cell>
          <cell r="M126">
            <v>0</v>
          </cell>
        </row>
        <row r="127">
          <cell r="A127" t="str">
            <v>N9383YMH44</v>
          </cell>
          <cell r="B127">
            <v>7</v>
          </cell>
          <cell r="C127">
            <v>0</v>
          </cell>
          <cell r="D127">
            <v>0</v>
          </cell>
          <cell r="E127">
            <v>2</v>
          </cell>
          <cell r="F127">
            <v>0</v>
          </cell>
          <cell r="G127">
            <v>0</v>
          </cell>
          <cell r="H127">
            <v>1</v>
          </cell>
          <cell r="I127">
            <v>0</v>
          </cell>
          <cell r="J127">
            <v>0</v>
          </cell>
          <cell r="K127">
            <v>1</v>
          </cell>
          <cell r="L127">
            <v>0</v>
          </cell>
          <cell r="M127">
            <v>0</v>
          </cell>
        </row>
        <row r="128">
          <cell r="A128" t="str">
            <v>N9383YP040</v>
          </cell>
          <cell r="B128">
            <v>53</v>
          </cell>
          <cell r="C128">
            <v>0</v>
          </cell>
          <cell r="D128">
            <v>0</v>
          </cell>
          <cell r="E128">
            <v>76</v>
          </cell>
          <cell r="F128">
            <v>1</v>
          </cell>
          <cell r="G128">
            <v>0.51</v>
          </cell>
          <cell r="H128">
            <v>107</v>
          </cell>
          <cell r="I128">
            <v>0</v>
          </cell>
          <cell r="J128">
            <v>0</v>
          </cell>
          <cell r="K128">
            <v>110</v>
          </cell>
          <cell r="L128">
            <v>0</v>
          </cell>
          <cell r="M128">
            <v>0</v>
          </cell>
        </row>
        <row r="129">
          <cell r="A129" t="str">
            <v>N9383YP044</v>
          </cell>
          <cell r="B129">
            <v>37</v>
          </cell>
          <cell r="C129">
            <v>1</v>
          </cell>
          <cell r="D129">
            <v>0.51</v>
          </cell>
          <cell r="E129">
            <v>127</v>
          </cell>
          <cell r="F129">
            <v>1</v>
          </cell>
          <cell r="G129">
            <v>0.41</v>
          </cell>
          <cell r="H129">
            <v>156</v>
          </cell>
          <cell r="I129">
            <v>0</v>
          </cell>
          <cell r="J129">
            <v>0</v>
          </cell>
          <cell r="K129">
            <v>251</v>
          </cell>
          <cell r="L129">
            <v>1</v>
          </cell>
          <cell r="M129">
            <v>0.43</v>
          </cell>
        </row>
        <row r="130">
          <cell r="A130" t="str">
            <v>N9383YP048</v>
          </cell>
          <cell r="B130">
            <v>44</v>
          </cell>
          <cell r="C130">
            <v>0</v>
          </cell>
          <cell r="D130">
            <v>0</v>
          </cell>
          <cell r="E130">
            <v>114</v>
          </cell>
          <cell r="F130">
            <v>1</v>
          </cell>
          <cell r="G130">
            <v>0.29</v>
          </cell>
          <cell r="H130">
            <v>202</v>
          </cell>
          <cell r="I130">
            <v>1</v>
          </cell>
          <cell r="J130">
            <v>0.69</v>
          </cell>
          <cell r="K130">
            <v>104</v>
          </cell>
          <cell r="L130">
            <v>1</v>
          </cell>
          <cell r="M130">
            <v>0.55</v>
          </cell>
        </row>
        <row r="131">
          <cell r="A131" t="str">
            <v>N9383YR038</v>
          </cell>
          <cell r="B131">
            <v>2</v>
          </cell>
          <cell r="C131">
            <v>0</v>
          </cell>
          <cell r="D131">
            <v>0</v>
          </cell>
          <cell r="E131">
            <v>2</v>
          </cell>
          <cell r="F131">
            <v>0</v>
          </cell>
          <cell r="G131">
            <v>0</v>
          </cell>
          <cell r="H131">
            <v>2</v>
          </cell>
          <cell r="I131">
            <v>0</v>
          </cell>
          <cell r="J131">
            <v>0</v>
          </cell>
          <cell r="K131">
            <v>2</v>
          </cell>
          <cell r="L131">
            <v>0</v>
          </cell>
          <cell r="M131">
            <v>0</v>
          </cell>
        </row>
        <row r="132">
          <cell r="A132" t="str">
            <v>N9383YR040</v>
          </cell>
          <cell r="B132">
            <v>12</v>
          </cell>
          <cell r="C132">
            <v>0</v>
          </cell>
          <cell r="D132">
            <v>0</v>
          </cell>
          <cell r="E132">
            <v>22</v>
          </cell>
          <cell r="F132">
            <v>0</v>
          </cell>
          <cell r="G132">
            <v>0</v>
          </cell>
          <cell r="H132">
            <v>28</v>
          </cell>
          <cell r="I132">
            <v>0</v>
          </cell>
          <cell r="J132">
            <v>0</v>
          </cell>
          <cell r="K132">
            <v>8</v>
          </cell>
          <cell r="L132">
            <v>0</v>
          </cell>
          <cell r="M132">
            <v>0</v>
          </cell>
        </row>
        <row r="133">
          <cell r="A133" t="str">
            <v>N9383YR046</v>
          </cell>
          <cell r="B133">
            <v>3</v>
          </cell>
          <cell r="C133">
            <v>0</v>
          </cell>
          <cell r="D133">
            <v>0</v>
          </cell>
          <cell r="E133">
            <v>14</v>
          </cell>
          <cell r="F133">
            <v>0</v>
          </cell>
          <cell r="G133">
            <v>0</v>
          </cell>
          <cell r="H133">
            <v>1</v>
          </cell>
          <cell r="I133">
            <v>0</v>
          </cell>
          <cell r="J133">
            <v>0</v>
          </cell>
          <cell r="K133">
            <v>8</v>
          </cell>
          <cell r="L133">
            <v>0</v>
          </cell>
          <cell r="M133">
            <v>0</v>
          </cell>
        </row>
        <row r="134">
          <cell r="A134" t="str">
            <v>N9383YXGH40</v>
          </cell>
          <cell r="B134">
            <v>9</v>
          </cell>
          <cell r="C134">
            <v>0</v>
          </cell>
          <cell r="D134">
            <v>0</v>
          </cell>
          <cell r="E134">
            <v>15</v>
          </cell>
          <cell r="F134">
            <v>0</v>
          </cell>
          <cell r="G134">
            <v>0</v>
          </cell>
          <cell r="H134">
            <v>44</v>
          </cell>
          <cell r="I134">
            <v>1</v>
          </cell>
          <cell r="J134">
            <v>0.52</v>
          </cell>
          <cell r="K134">
            <v>40</v>
          </cell>
          <cell r="L134">
            <v>1</v>
          </cell>
          <cell r="M134">
            <v>0.55</v>
          </cell>
        </row>
        <row r="135">
          <cell r="A135" t="str">
            <v>N9383YXGH42</v>
          </cell>
          <cell r="B135">
            <v>307</v>
          </cell>
          <cell r="C135">
            <v>0</v>
          </cell>
          <cell r="D135">
            <v>0</v>
          </cell>
          <cell r="E135">
            <v>612</v>
          </cell>
          <cell r="F135">
            <v>2</v>
          </cell>
          <cell r="G135">
            <v>0.68</v>
          </cell>
          <cell r="H135">
            <v>451</v>
          </cell>
          <cell r="I135">
            <v>1</v>
          </cell>
          <cell r="J135">
            <v>0.57</v>
          </cell>
          <cell r="K135">
            <v>248</v>
          </cell>
          <cell r="L135">
            <v>2</v>
          </cell>
          <cell r="M135">
            <v>0.78</v>
          </cell>
        </row>
        <row r="136">
          <cell r="A136" t="str">
            <v>N9383YXGH44</v>
          </cell>
          <cell r="B136">
            <v>373</v>
          </cell>
          <cell r="C136">
            <v>0</v>
          </cell>
          <cell r="D136">
            <v>0</v>
          </cell>
          <cell r="E136">
            <v>224</v>
          </cell>
          <cell r="F136">
            <v>0</v>
          </cell>
          <cell r="G136">
            <v>0</v>
          </cell>
          <cell r="H136">
            <v>60</v>
          </cell>
          <cell r="I136">
            <v>0</v>
          </cell>
          <cell r="J136">
            <v>0</v>
          </cell>
          <cell r="K136">
            <v>38</v>
          </cell>
          <cell r="L136">
            <v>0</v>
          </cell>
          <cell r="M136">
            <v>0</v>
          </cell>
        </row>
        <row r="137">
          <cell r="A137" t="str">
            <v>N9383YXGH46</v>
          </cell>
          <cell r="B137">
            <v>1</v>
          </cell>
          <cell r="C137">
            <v>0</v>
          </cell>
          <cell r="D137">
            <v>0</v>
          </cell>
          <cell r="E137">
            <v>3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1</v>
          </cell>
          <cell r="L137">
            <v>0</v>
          </cell>
          <cell r="M137">
            <v>0</v>
          </cell>
        </row>
        <row r="138">
          <cell r="A138" t="str">
            <v>N9932YK034</v>
          </cell>
          <cell r="B138">
            <v>31</v>
          </cell>
          <cell r="C138">
            <v>0</v>
          </cell>
          <cell r="D138">
            <v>0</v>
          </cell>
          <cell r="E138">
            <v>103</v>
          </cell>
          <cell r="F138">
            <v>0</v>
          </cell>
          <cell r="G138">
            <v>0</v>
          </cell>
          <cell r="H138">
            <v>129</v>
          </cell>
          <cell r="I138">
            <v>1</v>
          </cell>
          <cell r="J138">
            <v>0.04</v>
          </cell>
          <cell r="K138">
            <v>61</v>
          </cell>
          <cell r="L138">
            <v>0</v>
          </cell>
          <cell r="M138">
            <v>0</v>
          </cell>
        </row>
        <row r="139">
          <cell r="A139" t="str">
            <v>N9932YK036</v>
          </cell>
          <cell r="B139">
            <v>1050</v>
          </cell>
          <cell r="C139">
            <v>9</v>
          </cell>
          <cell r="D139">
            <v>2.19</v>
          </cell>
          <cell r="E139">
            <v>938</v>
          </cell>
          <cell r="F139">
            <v>6</v>
          </cell>
          <cell r="G139">
            <v>1.06</v>
          </cell>
          <cell r="H139">
            <v>1039</v>
          </cell>
          <cell r="I139">
            <v>7</v>
          </cell>
          <cell r="J139">
            <v>0.83</v>
          </cell>
          <cell r="K139">
            <v>852</v>
          </cell>
          <cell r="L139">
            <v>6</v>
          </cell>
          <cell r="M139">
            <v>1.24</v>
          </cell>
        </row>
        <row r="140">
          <cell r="A140" t="str">
            <v>N9932YK038</v>
          </cell>
          <cell r="B140">
            <v>82</v>
          </cell>
          <cell r="C140">
            <v>0</v>
          </cell>
          <cell r="D140">
            <v>0</v>
          </cell>
          <cell r="E140">
            <v>27</v>
          </cell>
          <cell r="F140">
            <v>0</v>
          </cell>
          <cell r="G140">
            <v>0</v>
          </cell>
          <cell r="H140">
            <v>70</v>
          </cell>
          <cell r="I140">
            <v>1</v>
          </cell>
          <cell r="J140">
            <v>0.05</v>
          </cell>
          <cell r="K140">
            <v>4</v>
          </cell>
          <cell r="L140">
            <v>0</v>
          </cell>
          <cell r="M140">
            <v>0</v>
          </cell>
        </row>
        <row r="141">
          <cell r="A141" t="str">
            <v>N9932YR036</v>
          </cell>
          <cell r="B141">
            <v>22</v>
          </cell>
          <cell r="C141">
            <v>0</v>
          </cell>
          <cell r="D141">
            <v>0</v>
          </cell>
          <cell r="E141">
            <v>93</v>
          </cell>
          <cell r="F141">
            <v>1</v>
          </cell>
          <cell r="G141">
            <v>0.32</v>
          </cell>
          <cell r="H141">
            <v>123</v>
          </cell>
          <cell r="I141">
            <v>0</v>
          </cell>
          <cell r="J141">
            <v>0</v>
          </cell>
          <cell r="K141">
            <v>74</v>
          </cell>
          <cell r="L141">
            <v>1</v>
          </cell>
          <cell r="M141">
            <v>0.31</v>
          </cell>
        </row>
        <row r="142">
          <cell r="A142" t="str">
            <v>N9932YR534</v>
          </cell>
          <cell r="B142">
            <v>182</v>
          </cell>
          <cell r="C142">
            <v>0</v>
          </cell>
          <cell r="D142">
            <v>0</v>
          </cell>
          <cell r="E142">
            <v>311</v>
          </cell>
          <cell r="F142">
            <v>0</v>
          </cell>
          <cell r="G142">
            <v>0</v>
          </cell>
          <cell r="H142">
            <v>383</v>
          </cell>
          <cell r="I142">
            <v>0</v>
          </cell>
          <cell r="J142">
            <v>0</v>
          </cell>
          <cell r="K142">
            <v>233</v>
          </cell>
          <cell r="L142">
            <v>0</v>
          </cell>
          <cell r="M142">
            <v>0</v>
          </cell>
        </row>
        <row r="143">
          <cell r="A143" t="str">
            <v>N9932YR536</v>
          </cell>
          <cell r="B143">
            <v>495</v>
          </cell>
          <cell r="C143">
            <v>0</v>
          </cell>
          <cell r="D143">
            <v>0</v>
          </cell>
          <cell r="E143">
            <v>518</v>
          </cell>
          <cell r="F143">
            <v>2</v>
          </cell>
          <cell r="G143">
            <v>0.69</v>
          </cell>
          <cell r="H143">
            <v>492</v>
          </cell>
          <cell r="I143">
            <v>0</v>
          </cell>
          <cell r="J143">
            <v>0</v>
          </cell>
          <cell r="K143">
            <v>434</v>
          </cell>
          <cell r="L143">
            <v>0</v>
          </cell>
          <cell r="M143">
            <v>0</v>
          </cell>
        </row>
        <row r="144">
          <cell r="A144" t="str">
            <v>N9932YR538</v>
          </cell>
          <cell r="B144">
            <v>138</v>
          </cell>
          <cell r="C144">
            <v>1</v>
          </cell>
          <cell r="D144">
            <v>0.04</v>
          </cell>
          <cell r="E144">
            <v>227</v>
          </cell>
          <cell r="F144">
            <v>2</v>
          </cell>
          <cell r="G144">
            <v>0.18</v>
          </cell>
          <cell r="H144">
            <v>133</v>
          </cell>
          <cell r="I144">
            <v>0</v>
          </cell>
          <cell r="J144">
            <v>0</v>
          </cell>
          <cell r="K144">
            <v>158</v>
          </cell>
          <cell r="L144">
            <v>0</v>
          </cell>
          <cell r="M144">
            <v>0</v>
          </cell>
        </row>
        <row r="145">
          <cell r="A145" t="str">
            <v>N9932YXS36</v>
          </cell>
          <cell r="B145">
            <v>873</v>
          </cell>
          <cell r="C145">
            <v>4</v>
          </cell>
          <cell r="D145">
            <v>0.91</v>
          </cell>
          <cell r="E145">
            <v>566</v>
          </cell>
          <cell r="F145">
            <v>2</v>
          </cell>
          <cell r="G145">
            <v>0.71</v>
          </cell>
          <cell r="H145">
            <v>418</v>
          </cell>
          <cell r="I145">
            <v>7</v>
          </cell>
          <cell r="J145">
            <v>1.58</v>
          </cell>
          <cell r="K145">
            <v>254</v>
          </cell>
          <cell r="L145">
            <v>4</v>
          </cell>
          <cell r="M145">
            <v>1.19</v>
          </cell>
        </row>
        <row r="146">
          <cell r="A146" t="str">
            <v>NY-B15016-K0-L</v>
          </cell>
          <cell r="B146">
            <v>190</v>
          </cell>
          <cell r="C146">
            <v>0</v>
          </cell>
          <cell r="D146">
            <v>0</v>
          </cell>
          <cell r="E146">
            <v>272</v>
          </cell>
          <cell r="F146">
            <v>0</v>
          </cell>
          <cell r="G146">
            <v>0</v>
          </cell>
          <cell r="H146">
            <v>860</v>
          </cell>
          <cell r="I146">
            <v>3</v>
          </cell>
          <cell r="J146">
            <v>1.71</v>
          </cell>
          <cell r="K146">
            <v>2116</v>
          </cell>
          <cell r="L146">
            <v>6</v>
          </cell>
          <cell r="M146">
            <v>2.83</v>
          </cell>
        </row>
        <row r="147">
          <cell r="A147" t="str">
            <v>NY-B15016-K0-M</v>
          </cell>
          <cell r="B147">
            <v>238</v>
          </cell>
          <cell r="C147">
            <v>1</v>
          </cell>
          <cell r="D147">
            <v>0.54</v>
          </cell>
          <cell r="E147">
            <v>687</v>
          </cell>
          <cell r="F147">
            <v>2</v>
          </cell>
          <cell r="G147">
            <v>0.64</v>
          </cell>
          <cell r="H147">
            <v>433</v>
          </cell>
          <cell r="I147">
            <v>0</v>
          </cell>
          <cell r="J147">
            <v>0</v>
          </cell>
          <cell r="K147">
            <v>743</v>
          </cell>
          <cell r="L147">
            <v>5</v>
          </cell>
          <cell r="M147">
            <v>1.27</v>
          </cell>
        </row>
        <row r="148">
          <cell r="A148" t="str">
            <v>NY-B15016-K0-S</v>
          </cell>
          <cell r="B148">
            <v>870</v>
          </cell>
          <cell r="C148">
            <v>2</v>
          </cell>
          <cell r="D148">
            <v>0.71</v>
          </cell>
          <cell r="E148">
            <v>1687</v>
          </cell>
          <cell r="F148">
            <v>3</v>
          </cell>
          <cell r="G148">
            <v>1.32</v>
          </cell>
          <cell r="H148">
            <v>157</v>
          </cell>
          <cell r="I148">
            <v>0</v>
          </cell>
          <cell r="J148">
            <v>0</v>
          </cell>
          <cell r="K148">
            <v>436</v>
          </cell>
          <cell r="L148">
            <v>1</v>
          </cell>
          <cell r="M148">
            <v>0.32</v>
          </cell>
        </row>
        <row r="149">
          <cell r="A149" t="str">
            <v>NY-B15016-W0-L</v>
          </cell>
          <cell r="B149">
            <v>391</v>
          </cell>
          <cell r="C149">
            <v>3</v>
          </cell>
          <cell r="D149">
            <v>1.09</v>
          </cell>
          <cell r="E149">
            <v>730</v>
          </cell>
          <cell r="F149">
            <v>4</v>
          </cell>
          <cell r="G149">
            <v>1.5</v>
          </cell>
          <cell r="H149">
            <v>405</v>
          </cell>
          <cell r="I149">
            <v>0</v>
          </cell>
          <cell r="J149">
            <v>0</v>
          </cell>
          <cell r="K149">
            <v>486</v>
          </cell>
          <cell r="L149">
            <v>0</v>
          </cell>
          <cell r="M149">
            <v>0</v>
          </cell>
        </row>
        <row r="150">
          <cell r="A150" t="str">
            <v>NY-B15016-W0-M</v>
          </cell>
          <cell r="B150">
            <v>232</v>
          </cell>
          <cell r="C150">
            <v>0</v>
          </cell>
          <cell r="D150">
            <v>0</v>
          </cell>
          <cell r="E150">
            <v>530</v>
          </cell>
          <cell r="F150">
            <v>2</v>
          </cell>
          <cell r="G150">
            <v>0.72</v>
          </cell>
          <cell r="H150">
            <v>1016</v>
          </cell>
          <cell r="I150">
            <v>3</v>
          </cell>
          <cell r="J150">
            <v>1.16</v>
          </cell>
          <cell r="K150">
            <v>976</v>
          </cell>
          <cell r="L150">
            <v>3</v>
          </cell>
          <cell r="M150">
            <v>1.04</v>
          </cell>
        </row>
        <row r="151">
          <cell r="A151" t="str">
            <v>NY-B15016-W0-S</v>
          </cell>
          <cell r="B151">
            <v>126</v>
          </cell>
          <cell r="C151">
            <v>0</v>
          </cell>
          <cell r="D151">
            <v>0</v>
          </cell>
          <cell r="E151">
            <v>250</v>
          </cell>
          <cell r="F151">
            <v>1</v>
          </cell>
          <cell r="G151">
            <v>0.42</v>
          </cell>
          <cell r="H151">
            <v>337</v>
          </cell>
          <cell r="I151">
            <v>0</v>
          </cell>
          <cell r="J151">
            <v>0</v>
          </cell>
          <cell r="K151">
            <v>736</v>
          </cell>
          <cell r="L151">
            <v>1</v>
          </cell>
          <cell r="M151">
            <v>0.34</v>
          </cell>
        </row>
        <row r="152">
          <cell r="A152" t="str">
            <v>NY-B15016-Y0-M</v>
          </cell>
          <cell r="B152">
            <v>4446</v>
          </cell>
          <cell r="C152">
            <v>16</v>
          </cell>
          <cell r="D152">
            <v>5.82</v>
          </cell>
          <cell r="E152">
            <v>5534</v>
          </cell>
          <cell r="F152">
            <v>29</v>
          </cell>
          <cell r="G152">
            <v>8.99</v>
          </cell>
          <cell r="H152">
            <v>3795</v>
          </cell>
          <cell r="I152">
            <v>11</v>
          </cell>
          <cell r="J152">
            <v>4.6</v>
          </cell>
          <cell r="K152">
            <v>3031</v>
          </cell>
          <cell r="L152">
            <v>12</v>
          </cell>
          <cell r="M152">
            <v>4.68</v>
          </cell>
        </row>
        <row r="153">
          <cell r="A153" t="str">
            <v>NY-B15016-Y0-S</v>
          </cell>
          <cell r="B153">
            <v>1599</v>
          </cell>
          <cell r="C153">
            <v>7</v>
          </cell>
          <cell r="D153">
            <v>3.02</v>
          </cell>
          <cell r="E153">
            <v>6206</v>
          </cell>
          <cell r="F153">
            <v>17</v>
          </cell>
          <cell r="G153">
            <v>6.63</v>
          </cell>
          <cell r="H153">
            <v>7522</v>
          </cell>
          <cell r="I153">
            <v>23</v>
          </cell>
          <cell r="J153">
            <v>10.02</v>
          </cell>
          <cell r="K153">
            <v>7121</v>
          </cell>
          <cell r="L153">
            <v>12</v>
          </cell>
          <cell r="M153">
            <v>4.81</v>
          </cell>
        </row>
        <row r="154">
          <cell r="A154" t="str">
            <v>NY-B15021-B0-L</v>
          </cell>
          <cell r="B154">
            <v>874</v>
          </cell>
          <cell r="C154">
            <v>3</v>
          </cell>
          <cell r="D154">
            <v>0.99</v>
          </cell>
          <cell r="E154">
            <v>911</v>
          </cell>
          <cell r="F154">
            <v>3</v>
          </cell>
          <cell r="G154">
            <v>0.36</v>
          </cell>
          <cell r="H154">
            <v>213</v>
          </cell>
          <cell r="I154">
            <v>1</v>
          </cell>
          <cell r="J154">
            <v>0.32</v>
          </cell>
          <cell r="K154">
            <v>160</v>
          </cell>
          <cell r="L154">
            <v>0</v>
          </cell>
          <cell r="M154">
            <v>0</v>
          </cell>
        </row>
        <row r="155">
          <cell r="A155" t="str">
            <v>NY-B15021-B0-M</v>
          </cell>
          <cell r="B155">
            <v>1116</v>
          </cell>
          <cell r="C155">
            <v>8</v>
          </cell>
          <cell r="D155">
            <v>2.63</v>
          </cell>
          <cell r="E155">
            <v>941</v>
          </cell>
          <cell r="F155">
            <v>1</v>
          </cell>
          <cell r="G155">
            <v>0.39</v>
          </cell>
          <cell r="H155">
            <v>387</v>
          </cell>
          <cell r="I155">
            <v>3</v>
          </cell>
          <cell r="J155">
            <v>0.9</v>
          </cell>
          <cell r="K155">
            <v>300</v>
          </cell>
          <cell r="L155">
            <v>0</v>
          </cell>
          <cell r="M155">
            <v>0</v>
          </cell>
        </row>
        <row r="156">
          <cell r="A156" t="str">
            <v>NY-B15021-B0-S</v>
          </cell>
          <cell r="B156">
            <v>187</v>
          </cell>
          <cell r="C156">
            <v>0</v>
          </cell>
          <cell r="D156">
            <v>0</v>
          </cell>
          <cell r="E156">
            <v>290</v>
          </cell>
          <cell r="F156">
            <v>2</v>
          </cell>
          <cell r="G156">
            <v>0.36</v>
          </cell>
          <cell r="H156">
            <v>410</v>
          </cell>
          <cell r="I156">
            <v>0</v>
          </cell>
          <cell r="J156">
            <v>0</v>
          </cell>
          <cell r="K156">
            <v>267</v>
          </cell>
          <cell r="L156">
            <v>0</v>
          </cell>
          <cell r="M156">
            <v>0</v>
          </cell>
        </row>
        <row r="157">
          <cell r="A157" t="str">
            <v>NY-B15021-B0-XL</v>
          </cell>
          <cell r="B157">
            <v>350</v>
          </cell>
          <cell r="C157">
            <v>0</v>
          </cell>
          <cell r="D157">
            <v>0</v>
          </cell>
          <cell r="E157">
            <v>583</v>
          </cell>
          <cell r="F157">
            <v>1</v>
          </cell>
          <cell r="G157">
            <v>0.43</v>
          </cell>
          <cell r="H157">
            <v>444</v>
          </cell>
          <cell r="I157">
            <v>2</v>
          </cell>
          <cell r="J157">
            <v>0.77</v>
          </cell>
          <cell r="K157">
            <v>330</v>
          </cell>
          <cell r="L157">
            <v>0</v>
          </cell>
          <cell r="M157">
            <v>0</v>
          </cell>
        </row>
        <row r="158">
          <cell r="A158" t="str">
            <v>NY-B15021-K0-L</v>
          </cell>
          <cell r="B158">
            <v>582</v>
          </cell>
          <cell r="C158">
            <v>0</v>
          </cell>
          <cell r="D158">
            <v>0</v>
          </cell>
          <cell r="E158">
            <v>1049</v>
          </cell>
          <cell r="F158">
            <v>3</v>
          </cell>
          <cell r="G158">
            <v>1.17</v>
          </cell>
          <cell r="H158">
            <v>876</v>
          </cell>
          <cell r="I158">
            <v>3</v>
          </cell>
          <cell r="J158">
            <v>0.86</v>
          </cell>
          <cell r="K158">
            <v>560</v>
          </cell>
          <cell r="L158">
            <v>3</v>
          </cell>
          <cell r="M158">
            <v>1.1</v>
          </cell>
        </row>
        <row r="159">
          <cell r="A159" t="str">
            <v>NY-B15021-K0-M</v>
          </cell>
          <cell r="B159">
            <v>940</v>
          </cell>
          <cell r="C159">
            <v>1</v>
          </cell>
          <cell r="D159">
            <v>0.38</v>
          </cell>
          <cell r="E159">
            <v>469</v>
          </cell>
          <cell r="F159">
            <v>1</v>
          </cell>
          <cell r="G159">
            <v>0.29</v>
          </cell>
          <cell r="H159">
            <v>452</v>
          </cell>
          <cell r="I159">
            <v>1</v>
          </cell>
          <cell r="J159">
            <v>0.34</v>
          </cell>
          <cell r="K159">
            <v>361</v>
          </cell>
          <cell r="L159">
            <v>0</v>
          </cell>
          <cell r="M159">
            <v>0</v>
          </cell>
        </row>
        <row r="160">
          <cell r="A160" t="str">
            <v>NY-B15021-K0-S</v>
          </cell>
          <cell r="B160">
            <v>374</v>
          </cell>
          <cell r="C160">
            <v>1</v>
          </cell>
          <cell r="D160">
            <v>0.38</v>
          </cell>
          <cell r="E160">
            <v>678</v>
          </cell>
          <cell r="F160">
            <v>0</v>
          </cell>
          <cell r="G160">
            <v>0</v>
          </cell>
          <cell r="H160">
            <v>163</v>
          </cell>
          <cell r="I160">
            <v>2</v>
          </cell>
          <cell r="J160">
            <v>0.81</v>
          </cell>
          <cell r="K160">
            <v>170</v>
          </cell>
          <cell r="L160">
            <v>0</v>
          </cell>
          <cell r="M160">
            <v>0</v>
          </cell>
        </row>
        <row r="161">
          <cell r="A161" t="str">
            <v>NY-B15021-K0-XL</v>
          </cell>
          <cell r="B161">
            <v>90</v>
          </cell>
          <cell r="C161">
            <v>0</v>
          </cell>
          <cell r="D161">
            <v>0</v>
          </cell>
          <cell r="E161">
            <v>152</v>
          </cell>
          <cell r="F161">
            <v>0</v>
          </cell>
          <cell r="G161">
            <v>0</v>
          </cell>
          <cell r="H161">
            <v>243</v>
          </cell>
          <cell r="I161">
            <v>0</v>
          </cell>
          <cell r="J161">
            <v>0</v>
          </cell>
          <cell r="K161">
            <v>756</v>
          </cell>
          <cell r="L161">
            <v>2</v>
          </cell>
          <cell r="M161">
            <v>0.65</v>
          </cell>
        </row>
        <row r="162">
          <cell r="A162" t="str">
            <v>NY-B15021-PI-L</v>
          </cell>
          <cell r="B162">
            <v>5011</v>
          </cell>
          <cell r="C162">
            <v>16</v>
          </cell>
          <cell r="D162">
            <v>5.53</v>
          </cell>
          <cell r="E162">
            <v>8327</v>
          </cell>
          <cell r="F162">
            <v>17</v>
          </cell>
          <cell r="G162">
            <v>5.17</v>
          </cell>
          <cell r="H162">
            <v>11447</v>
          </cell>
          <cell r="I162">
            <v>20</v>
          </cell>
          <cell r="J162">
            <v>7.93</v>
          </cell>
          <cell r="K162">
            <v>11118</v>
          </cell>
          <cell r="L162">
            <v>26</v>
          </cell>
          <cell r="M162">
            <v>8.84</v>
          </cell>
        </row>
        <row r="163">
          <cell r="A163" t="str">
            <v>NY-B15021-PI-M</v>
          </cell>
          <cell r="B163">
            <v>309</v>
          </cell>
          <cell r="C163">
            <v>1</v>
          </cell>
          <cell r="D163">
            <v>0.29</v>
          </cell>
          <cell r="E163">
            <v>567</v>
          </cell>
          <cell r="F163">
            <v>3</v>
          </cell>
          <cell r="G163">
            <v>0.83</v>
          </cell>
          <cell r="H163">
            <v>893</v>
          </cell>
          <cell r="I163">
            <v>3</v>
          </cell>
          <cell r="J163">
            <v>1.13</v>
          </cell>
          <cell r="K163">
            <v>746</v>
          </cell>
          <cell r="L163">
            <v>4</v>
          </cell>
          <cell r="M163">
            <v>1.07</v>
          </cell>
        </row>
        <row r="164">
          <cell r="A164" t="str">
            <v>NY-B15021-PI-S</v>
          </cell>
          <cell r="B164">
            <v>894</v>
          </cell>
          <cell r="C164">
            <v>4</v>
          </cell>
          <cell r="D164">
            <v>1.7</v>
          </cell>
          <cell r="E164">
            <v>382</v>
          </cell>
          <cell r="F164">
            <v>0</v>
          </cell>
          <cell r="G164">
            <v>0</v>
          </cell>
          <cell r="H164">
            <v>763</v>
          </cell>
          <cell r="I164">
            <v>1</v>
          </cell>
          <cell r="J164">
            <v>0.34</v>
          </cell>
          <cell r="K164">
            <v>807</v>
          </cell>
          <cell r="L164">
            <v>0</v>
          </cell>
          <cell r="M164">
            <v>0</v>
          </cell>
        </row>
        <row r="165">
          <cell r="A165" t="str">
            <v>NY-B15021-PI-XL</v>
          </cell>
          <cell r="B165">
            <v>809</v>
          </cell>
          <cell r="C165">
            <v>4</v>
          </cell>
          <cell r="D165">
            <v>1.29</v>
          </cell>
          <cell r="E165">
            <v>2185</v>
          </cell>
          <cell r="F165">
            <v>7</v>
          </cell>
          <cell r="G165">
            <v>2.91</v>
          </cell>
          <cell r="H165">
            <v>3240</v>
          </cell>
          <cell r="I165">
            <v>10</v>
          </cell>
          <cell r="J165">
            <v>4.11</v>
          </cell>
          <cell r="K165">
            <v>1764</v>
          </cell>
          <cell r="L165">
            <v>7</v>
          </cell>
          <cell r="M165">
            <v>2.77</v>
          </cell>
        </row>
        <row r="166">
          <cell r="A166" t="str">
            <v>NY-B15021-W0-XL</v>
          </cell>
          <cell r="B166">
            <v>1734</v>
          </cell>
          <cell r="C166">
            <v>9</v>
          </cell>
          <cell r="D166">
            <v>2.12</v>
          </cell>
          <cell r="E166">
            <v>939</v>
          </cell>
          <cell r="F166">
            <v>5</v>
          </cell>
          <cell r="G166">
            <v>2.67</v>
          </cell>
          <cell r="H166">
            <v>993</v>
          </cell>
          <cell r="I166">
            <v>3</v>
          </cell>
          <cell r="J166">
            <v>1.02</v>
          </cell>
          <cell r="K166">
            <v>934</v>
          </cell>
          <cell r="L166">
            <v>1</v>
          </cell>
          <cell r="M166">
            <v>0.46</v>
          </cell>
        </row>
        <row r="167">
          <cell r="A167" t="str">
            <v>NK-XUHM001-K0-L</v>
          </cell>
          <cell r="B167">
            <v>447</v>
          </cell>
          <cell r="C167">
            <v>0</v>
          </cell>
          <cell r="D167">
            <v>0</v>
          </cell>
          <cell r="E167">
            <v>571</v>
          </cell>
          <cell r="F167">
            <v>0</v>
          </cell>
          <cell r="G167">
            <v>0</v>
          </cell>
          <cell r="H167">
            <v>408</v>
          </cell>
          <cell r="I167">
            <v>0</v>
          </cell>
          <cell r="J167">
            <v>0</v>
          </cell>
          <cell r="K167">
            <v>912</v>
          </cell>
          <cell r="L167">
            <v>6</v>
          </cell>
          <cell r="M167">
            <v>2.41</v>
          </cell>
        </row>
        <row r="168">
          <cell r="A168" t="str">
            <v>NK-XUHM001-K0-M</v>
          </cell>
          <cell r="B168">
            <v>224</v>
          </cell>
          <cell r="C168">
            <v>1</v>
          </cell>
          <cell r="D168">
            <v>0.5</v>
          </cell>
          <cell r="E168">
            <v>550</v>
          </cell>
          <cell r="F168">
            <v>0</v>
          </cell>
          <cell r="G168">
            <v>0</v>
          </cell>
          <cell r="H168">
            <v>1232</v>
          </cell>
          <cell r="I168">
            <v>3</v>
          </cell>
          <cell r="J168">
            <v>0.89</v>
          </cell>
          <cell r="K168">
            <v>5273</v>
          </cell>
          <cell r="L168">
            <v>7</v>
          </cell>
          <cell r="M168">
            <v>2.58</v>
          </cell>
        </row>
        <row r="169">
          <cell r="A169" t="str">
            <v>NK-XUHM001-K0-S</v>
          </cell>
          <cell r="B169">
            <v>384</v>
          </cell>
          <cell r="C169">
            <v>1</v>
          </cell>
          <cell r="D169">
            <v>0.8</v>
          </cell>
          <cell r="E169">
            <v>1182</v>
          </cell>
          <cell r="F169">
            <v>0</v>
          </cell>
          <cell r="G169">
            <v>0</v>
          </cell>
          <cell r="H169">
            <v>1710</v>
          </cell>
          <cell r="I169">
            <v>3</v>
          </cell>
          <cell r="J169">
            <v>1.17</v>
          </cell>
          <cell r="K169">
            <v>753</v>
          </cell>
          <cell r="L169">
            <v>1</v>
          </cell>
          <cell r="M169">
            <v>0.52</v>
          </cell>
        </row>
        <row r="170">
          <cell r="A170" t="str">
            <v>NK-XUHM001-K0-XL</v>
          </cell>
          <cell r="B170">
            <v>8144</v>
          </cell>
          <cell r="C170">
            <v>24</v>
          </cell>
          <cell r="D170">
            <v>9.77</v>
          </cell>
          <cell r="E170">
            <v>8292</v>
          </cell>
          <cell r="F170">
            <v>26</v>
          </cell>
          <cell r="G170">
            <v>10.06</v>
          </cell>
          <cell r="H170">
            <v>4074</v>
          </cell>
          <cell r="I170">
            <v>23</v>
          </cell>
          <cell r="J170">
            <v>10.55</v>
          </cell>
          <cell r="K170">
            <v>6040</v>
          </cell>
          <cell r="L170">
            <v>18</v>
          </cell>
          <cell r="M170">
            <v>8.11</v>
          </cell>
        </row>
        <row r="171">
          <cell r="A171" t="str">
            <v>NK-XUHM001-K0-XXL</v>
          </cell>
          <cell r="B171">
            <v>1141</v>
          </cell>
          <cell r="C171">
            <v>7</v>
          </cell>
          <cell r="D171">
            <v>2.33</v>
          </cell>
          <cell r="E171">
            <v>2193</v>
          </cell>
          <cell r="F171">
            <v>4</v>
          </cell>
          <cell r="G171">
            <v>1.4</v>
          </cell>
          <cell r="H171">
            <v>2495</v>
          </cell>
          <cell r="I171">
            <v>5</v>
          </cell>
          <cell r="J171">
            <v>1.83</v>
          </cell>
          <cell r="K171">
            <v>1446</v>
          </cell>
          <cell r="L171">
            <v>3</v>
          </cell>
          <cell r="M171">
            <v>1.67</v>
          </cell>
        </row>
        <row r="172">
          <cell r="A172" t="str">
            <v>NY-XUHM001-K0-38C</v>
          </cell>
          <cell r="B172">
            <v>588</v>
          </cell>
          <cell r="C172">
            <v>0</v>
          </cell>
          <cell r="D172">
            <v>0</v>
          </cell>
          <cell r="E172">
            <v>1026</v>
          </cell>
          <cell r="F172">
            <v>0</v>
          </cell>
          <cell r="G172">
            <v>0</v>
          </cell>
          <cell r="H172">
            <v>732</v>
          </cell>
          <cell r="I172">
            <v>0</v>
          </cell>
          <cell r="J172">
            <v>0</v>
          </cell>
          <cell r="K172">
            <v>705</v>
          </cell>
          <cell r="L172">
            <v>1</v>
          </cell>
          <cell r="M172">
            <v>0.52</v>
          </cell>
        </row>
        <row r="173">
          <cell r="A173" t="str">
            <v>NY-XUHM001-K0-40C</v>
          </cell>
          <cell r="B173">
            <v>874</v>
          </cell>
          <cell r="C173">
            <v>2</v>
          </cell>
          <cell r="D173">
            <v>0.93</v>
          </cell>
          <cell r="E173">
            <v>3187</v>
          </cell>
          <cell r="F173">
            <v>3</v>
          </cell>
          <cell r="G173">
            <v>1.05</v>
          </cell>
          <cell r="H173">
            <v>4585</v>
          </cell>
          <cell r="I173">
            <v>7</v>
          </cell>
          <cell r="J173">
            <v>2.47</v>
          </cell>
          <cell r="K173">
            <v>2394</v>
          </cell>
          <cell r="L173">
            <v>0</v>
          </cell>
          <cell r="M173">
            <v>0</v>
          </cell>
        </row>
        <row r="174">
          <cell r="A174" t="str">
            <v>NY-XUHM001-K0-42C</v>
          </cell>
          <cell r="B174">
            <v>815</v>
          </cell>
          <cell r="C174">
            <v>3</v>
          </cell>
          <cell r="D174">
            <v>1.32</v>
          </cell>
          <cell r="E174">
            <v>2416</v>
          </cell>
          <cell r="F174">
            <v>6</v>
          </cell>
          <cell r="G174">
            <v>2.31</v>
          </cell>
          <cell r="H174">
            <v>1953</v>
          </cell>
          <cell r="I174">
            <v>3</v>
          </cell>
          <cell r="J174">
            <v>1.69</v>
          </cell>
          <cell r="K174">
            <v>772</v>
          </cell>
          <cell r="L174">
            <v>1</v>
          </cell>
          <cell r="M174">
            <v>0.26</v>
          </cell>
        </row>
        <row r="175">
          <cell r="A175" t="str">
            <v>NY-XUHM011-K0-36C</v>
          </cell>
          <cell r="B175">
            <v>329</v>
          </cell>
          <cell r="C175">
            <v>0</v>
          </cell>
          <cell r="D175">
            <v>0</v>
          </cell>
          <cell r="E175">
            <v>316</v>
          </cell>
          <cell r="F175">
            <v>0</v>
          </cell>
          <cell r="G175">
            <v>0</v>
          </cell>
          <cell r="H175">
            <v>775</v>
          </cell>
          <cell r="I175">
            <v>1</v>
          </cell>
          <cell r="J175">
            <v>0.33</v>
          </cell>
          <cell r="K175">
            <v>4933</v>
          </cell>
          <cell r="L175">
            <v>6</v>
          </cell>
          <cell r="M175">
            <v>2.81</v>
          </cell>
        </row>
        <row r="176">
          <cell r="A176" t="str">
            <v>NY-XUHM011-K0-38C</v>
          </cell>
          <cell r="B176">
            <v>727</v>
          </cell>
          <cell r="C176">
            <v>2</v>
          </cell>
          <cell r="D176">
            <v>1.12</v>
          </cell>
          <cell r="E176">
            <v>932</v>
          </cell>
          <cell r="F176">
            <v>1</v>
          </cell>
          <cell r="G176">
            <v>0.53</v>
          </cell>
          <cell r="H176">
            <v>720</v>
          </cell>
          <cell r="I176">
            <v>1</v>
          </cell>
          <cell r="J176">
            <v>0.55</v>
          </cell>
          <cell r="K176">
            <v>1005</v>
          </cell>
          <cell r="L176">
            <v>0</v>
          </cell>
          <cell r="M176">
            <v>0</v>
          </cell>
        </row>
        <row r="177">
          <cell r="A177" t="str">
            <v>NY-XUHM011-K0-40C</v>
          </cell>
          <cell r="B177">
            <v>372</v>
          </cell>
          <cell r="C177">
            <v>0</v>
          </cell>
          <cell r="D177">
            <v>0</v>
          </cell>
          <cell r="E177">
            <v>757</v>
          </cell>
          <cell r="F177">
            <v>1</v>
          </cell>
          <cell r="G177">
            <v>0.17</v>
          </cell>
          <cell r="H177">
            <v>363</v>
          </cell>
          <cell r="I177">
            <v>0</v>
          </cell>
          <cell r="J177">
            <v>0</v>
          </cell>
          <cell r="K177">
            <v>426</v>
          </cell>
          <cell r="L177">
            <v>1</v>
          </cell>
          <cell r="M177">
            <v>0.27</v>
          </cell>
        </row>
        <row r="178">
          <cell r="A178" t="str">
            <v>NY-XUHM011-K0-42C</v>
          </cell>
          <cell r="B178">
            <v>657</v>
          </cell>
          <cell r="C178">
            <v>0</v>
          </cell>
          <cell r="D178">
            <v>0</v>
          </cell>
          <cell r="E178">
            <v>880</v>
          </cell>
          <cell r="F178">
            <v>1</v>
          </cell>
          <cell r="G178">
            <v>0.49</v>
          </cell>
          <cell r="H178">
            <v>1342</v>
          </cell>
          <cell r="I178">
            <v>4</v>
          </cell>
          <cell r="J178">
            <v>1.67</v>
          </cell>
          <cell r="K178">
            <v>560</v>
          </cell>
          <cell r="L178">
            <v>0</v>
          </cell>
          <cell r="M178">
            <v>0</v>
          </cell>
        </row>
        <row r="179">
          <cell r="A179" t="str">
            <v>NY-XUHM011-K0-44C</v>
          </cell>
          <cell r="B179">
            <v>685</v>
          </cell>
          <cell r="C179">
            <v>0</v>
          </cell>
          <cell r="D179">
            <v>0</v>
          </cell>
          <cell r="E179">
            <v>2699</v>
          </cell>
          <cell r="F179">
            <v>4</v>
          </cell>
          <cell r="G179">
            <v>1.47</v>
          </cell>
          <cell r="H179">
            <v>1730</v>
          </cell>
          <cell r="I179">
            <v>3</v>
          </cell>
          <cell r="J179">
            <v>1.3</v>
          </cell>
          <cell r="K179">
            <v>1458</v>
          </cell>
          <cell r="L179">
            <v>0</v>
          </cell>
          <cell r="M179">
            <v>0</v>
          </cell>
        </row>
        <row r="180">
          <cell r="A180" t="str">
            <v>DDBNYW0</v>
          </cell>
          <cell r="B180">
            <v>855</v>
          </cell>
          <cell r="C180">
            <v>3</v>
          </cell>
          <cell r="D180">
            <v>2.79</v>
          </cell>
          <cell r="E180">
            <v>467</v>
          </cell>
          <cell r="F180">
            <v>1</v>
          </cell>
          <cell r="G180">
            <v>0.82</v>
          </cell>
          <cell r="H180">
            <v>258</v>
          </cell>
          <cell r="I180">
            <v>0</v>
          </cell>
          <cell r="J180">
            <v>0</v>
          </cell>
          <cell r="K180">
            <v>389</v>
          </cell>
          <cell r="L180">
            <v>1</v>
          </cell>
          <cell r="M180">
            <v>1</v>
          </cell>
        </row>
        <row r="181">
          <cell r="A181" t="str">
            <v>DDHNYK0</v>
          </cell>
          <cell r="B181">
            <v>7648</v>
          </cell>
          <cell r="C181">
            <v>19</v>
          </cell>
          <cell r="D181">
            <v>12.76</v>
          </cell>
          <cell r="E181">
            <v>5406</v>
          </cell>
          <cell r="F181">
            <v>16</v>
          </cell>
          <cell r="G181">
            <v>14.03</v>
          </cell>
          <cell r="H181">
            <v>3636</v>
          </cell>
          <cell r="I181">
            <v>24</v>
          </cell>
          <cell r="J181">
            <v>18.3</v>
          </cell>
          <cell r="K181">
            <v>5303</v>
          </cell>
          <cell r="L181">
            <v>29</v>
          </cell>
          <cell r="M181">
            <v>20.41</v>
          </cell>
        </row>
        <row r="182">
          <cell r="A182" t="str">
            <v>GJHNYK0</v>
          </cell>
          <cell r="B182">
            <v>1991</v>
          </cell>
          <cell r="C182">
            <v>10</v>
          </cell>
          <cell r="D182">
            <v>8.64</v>
          </cell>
          <cell r="E182">
            <v>963</v>
          </cell>
          <cell r="F182">
            <v>10</v>
          </cell>
          <cell r="G182">
            <v>8.45</v>
          </cell>
          <cell r="H182">
            <v>663</v>
          </cell>
          <cell r="I182">
            <v>4</v>
          </cell>
          <cell r="J182">
            <v>3.26</v>
          </cell>
          <cell r="K182">
            <v>1088</v>
          </cell>
          <cell r="L182">
            <v>2</v>
          </cell>
          <cell r="M182">
            <v>1.52</v>
          </cell>
        </row>
        <row r="183">
          <cell r="A183" t="str">
            <v>SPHNYK0</v>
          </cell>
          <cell r="B183">
            <v>436</v>
          </cell>
          <cell r="C183">
            <v>2</v>
          </cell>
          <cell r="D183">
            <v>1.33</v>
          </cell>
          <cell r="E183">
            <v>257</v>
          </cell>
          <cell r="F183">
            <v>0</v>
          </cell>
          <cell r="G183">
            <v>0</v>
          </cell>
          <cell r="H183">
            <v>260</v>
          </cell>
          <cell r="I183">
            <v>2</v>
          </cell>
          <cell r="J183">
            <v>1.89</v>
          </cell>
          <cell r="K183">
            <v>350</v>
          </cell>
          <cell r="L183">
            <v>1</v>
          </cell>
          <cell r="M183">
            <v>0.77</v>
          </cell>
        </row>
        <row r="184">
          <cell r="A184" t="str">
            <v>N039YP040</v>
          </cell>
          <cell r="B184">
            <v>184</v>
          </cell>
          <cell r="C184">
            <v>0</v>
          </cell>
          <cell r="D184">
            <v>0</v>
          </cell>
          <cell r="E184">
            <v>516</v>
          </cell>
          <cell r="F184">
            <v>1</v>
          </cell>
          <cell r="G184">
            <v>0.29</v>
          </cell>
          <cell r="H184">
            <v>543</v>
          </cell>
          <cell r="I184">
            <v>0</v>
          </cell>
          <cell r="J184">
            <v>0</v>
          </cell>
          <cell r="K184">
            <v>166</v>
          </cell>
          <cell r="L184">
            <v>0</v>
          </cell>
          <cell r="M184">
            <v>0</v>
          </cell>
        </row>
        <row r="185">
          <cell r="A185" t="str">
            <v>NY-XUHM001-K0-36C</v>
          </cell>
          <cell r="B185">
            <v>164</v>
          </cell>
          <cell r="C185">
            <v>0</v>
          </cell>
          <cell r="D185">
            <v>0</v>
          </cell>
          <cell r="E185">
            <v>207</v>
          </cell>
          <cell r="F185">
            <v>0</v>
          </cell>
          <cell r="G185">
            <v>0</v>
          </cell>
          <cell r="H185">
            <v>620</v>
          </cell>
          <cell r="I185">
            <v>1</v>
          </cell>
          <cell r="J185">
            <v>0.43</v>
          </cell>
          <cell r="K185">
            <v>4731</v>
          </cell>
          <cell r="L185">
            <v>3</v>
          </cell>
          <cell r="M185">
            <v>1.42</v>
          </cell>
        </row>
        <row r="186">
          <cell r="A186" t="str">
            <v>NY-XUHM001-K0-44C</v>
          </cell>
          <cell r="B186">
            <v>842</v>
          </cell>
          <cell r="C186">
            <v>1</v>
          </cell>
          <cell r="D186">
            <v>0.71</v>
          </cell>
          <cell r="E186">
            <v>829</v>
          </cell>
          <cell r="F186">
            <v>1</v>
          </cell>
          <cell r="G186">
            <v>0.23</v>
          </cell>
          <cell r="H186">
            <v>363</v>
          </cell>
          <cell r="I186">
            <v>0</v>
          </cell>
          <cell r="J186">
            <v>0</v>
          </cell>
          <cell r="K186">
            <v>564</v>
          </cell>
          <cell r="L186">
            <v>1</v>
          </cell>
          <cell r="M186">
            <v>0.55</v>
          </cell>
        </row>
        <row r="187">
          <cell r="A187" t="str">
            <v>N31459YB040</v>
          </cell>
          <cell r="B187">
            <v>91</v>
          </cell>
          <cell r="C187">
            <v>0</v>
          </cell>
          <cell r="D187">
            <v>0</v>
          </cell>
          <cell r="E187">
            <v>80</v>
          </cell>
          <cell r="F187">
            <v>1</v>
          </cell>
          <cell r="G187">
            <v>0.17</v>
          </cell>
          <cell r="H187">
            <v>87</v>
          </cell>
          <cell r="I187">
            <v>0</v>
          </cell>
          <cell r="J187">
            <v>0</v>
          </cell>
          <cell r="K187">
            <v>73</v>
          </cell>
          <cell r="L187">
            <v>1</v>
          </cell>
          <cell r="M187">
            <v>0.51</v>
          </cell>
        </row>
        <row r="188">
          <cell r="A188" t="str">
            <v>N31459YB042</v>
          </cell>
          <cell r="B188">
            <v>54</v>
          </cell>
          <cell r="C188">
            <v>0</v>
          </cell>
          <cell r="D188">
            <v>0</v>
          </cell>
          <cell r="E188">
            <v>49</v>
          </cell>
          <cell r="F188">
            <v>0</v>
          </cell>
          <cell r="G188">
            <v>0</v>
          </cell>
          <cell r="H188">
            <v>20</v>
          </cell>
          <cell r="I188">
            <v>0</v>
          </cell>
          <cell r="J188">
            <v>0</v>
          </cell>
          <cell r="K188">
            <v>22</v>
          </cell>
          <cell r="L188">
            <v>0</v>
          </cell>
          <cell r="M188">
            <v>0</v>
          </cell>
        </row>
        <row r="189">
          <cell r="A189" t="str">
            <v>N31459YMH38</v>
          </cell>
          <cell r="B189">
            <v>82</v>
          </cell>
          <cell r="C189">
            <v>0</v>
          </cell>
          <cell r="D189">
            <v>0</v>
          </cell>
          <cell r="E189">
            <v>720</v>
          </cell>
          <cell r="F189">
            <v>0</v>
          </cell>
          <cell r="G189">
            <v>0</v>
          </cell>
          <cell r="H189">
            <v>1676</v>
          </cell>
          <cell r="I189">
            <v>2</v>
          </cell>
          <cell r="J189">
            <v>0.94</v>
          </cell>
          <cell r="K189">
            <v>52</v>
          </cell>
          <cell r="L189">
            <v>0</v>
          </cell>
          <cell r="M189">
            <v>0</v>
          </cell>
        </row>
        <row r="190">
          <cell r="A190" t="str">
            <v>N31459YMH44</v>
          </cell>
          <cell r="B190">
            <v>33</v>
          </cell>
          <cell r="C190">
            <v>0</v>
          </cell>
          <cell r="D190">
            <v>0</v>
          </cell>
          <cell r="E190">
            <v>27</v>
          </cell>
          <cell r="F190">
            <v>0</v>
          </cell>
          <cell r="G190">
            <v>0</v>
          </cell>
          <cell r="H190">
            <v>9</v>
          </cell>
          <cell r="I190">
            <v>0</v>
          </cell>
          <cell r="J190">
            <v>0</v>
          </cell>
          <cell r="K190">
            <v>9</v>
          </cell>
          <cell r="L190">
            <v>0</v>
          </cell>
          <cell r="M190">
            <v>0</v>
          </cell>
        </row>
        <row r="191">
          <cell r="A191" t="str">
            <v>N31459YMH48</v>
          </cell>
          <cell r="B191">
            <v>37</v>
          </cell>
          <cell r="C191">
            <v>0</v>
          </cell>
          <cell r="D191">
            <v>0</v>
          </cell>
          <cell r="E191">
            <v>34</v>
          </cell>
          <cell r="F191">
            <v>0</v>
          </cell>
          <cell r="G191">
            <v>0</v>
          </cell>
          <cell r="H191">
            <v>18</v>
          </cell>
          <cell r="I191">
            <v>0</v>
          </cell>
          <cell r="J191">
            <v>0</v>
          </cell>
          <cell r="K191">
            <v>23</v>
          </cell>
          <cell r="L191">
            <v>0</v>
          </cell>
          <cell r="M191">
            <v>0</v>
          </cell>
        </row>
        <row r="192">
          <cell r="A192" t="str">
            <v>N3818-2YW038</v>
          </cell>
          <cell r="B192">
            <v>535</v>
          </cell>
          <cell r="C192">
            <v>6</v>
          </cell>
          <cell r="D192">
            <v>2.54</v>
          </cell>
          <cell r="E192">
            <v>556</v>
          </cell>
          <cell r="F192">
            <v>1</v>
          </cell>
          <cell r="G192">
            <v>0.41</v>
          </cell>
          <cell r="H192">
            <v>516</v>
          </cell>
          <cell r="I192">
            <v>5</v>
          </cell>
          <cell r="J192">
            <v>2.17</v>
          </cell>
          <cell r="K192">
            <v>861</v>
          </cell>
          <cell r="L192">
            <v>5</v>
          </cell>
          <cell r="M192">
            <v>1.96</v>
          </cell>
        </row>
        <row r="193">
          <cell r="A193" t="str">
            <v>N3818-2YW040</v>
          </cell>
          <cell r="B193">
            <v>91</v>
          </cell>
          <cell r="C193">
            <v>0</v>
          </cell>
          <cell r="D193">
            <v>0</v>
          </cell>
          <cell r="E193">
            <v>170</v>
          </cell>
          <cell r="F193">
            <v>2</v>
          </cell>
          <cell r="G193">
            <v>0.54</v>
          </cell>
          <cell r="H193">
            <v>113</v>
          </cell>
          <cell r="I193">
            <v>0</v>
          </cell>
          <cell r="J193">
            <v>0</v>
          </cell>
          <cell r="K193">
            <v>71</v>
          </cell>
          <cell r="L193">
            <v>0</v>
          </cell>
          <cell r="M193">
            <v>0</v>
          </cell>
        </row>
        <row r="194">
          <cell r="A194" t="str">
            <v>N3818-2YW044</v>
          </cell>
          <cell r="B194">
            <v>200</v>
          </cell>
          <cell r="C194">
            <v>0</v>
          </cell>
          <cell r="D194">
            <v>0</v>
          </cell>
          <cell r="E194">
            <v>214</v>
          </cell>
          <cell r="F194">
            <v>0</v>
          </cell>
          <cell r="G194">
            <v>0</v>
          </cell>
          <cell r="H194">
            <v>109</v>
          </cell>
          <cell r="I194">
            <v>1</v>
          </cell>
          <cell r="J194">
            <v>0.69</v>
          </cell>
          <cell r="K194">
            <v>113</v>
          </cell>
          <cell r="L194">
            <v>1</v>
          </cell>
          <cell r="M194">
            <v>0.74</v>
          </cell>
        </row>
        <row r="195">
          <cell r="A195" t="str">
            <v>N3818-2YW046</v>
          </cell>
          <cell r="B195">
            <v>275</v>
          </cell>
          <cell r="C195">
            <v>2</v>
          </cell>
          <cell r="D195">
            <v>0.54</v>
          </cell>
          <cell r="E195">
            <v>348</v>
          </cell>
          <cell r="F195">
            <v>1</v>
          </cell>
          <cell r="G195">
            <v>0.7</v>
          </cell>
          <cell r="H195">
            <v>395</v>
          </cell>
          <cell r="I195">
            <v>3</v>
          </cell>
          <cell r="J195">
            <v>1.57</v>
          </cell>
          <cell r="K195">
            <v>660</v>
          </cell>
          <cell r="L195">
            <v>2</v>
          </cell>
          <cell r="M195">
            <v>0.9</v>
          </cell>
        </row>
        <row r="196">
          <cell r="A196" t="str">
            <v>N3818-2YW048</v>
          </cell>
          <cell r="B196">
            <v>134</v>
          </cell>
          <cell r="C196">
            <v>0</v>
          </cell>
          <cell r="D196">
            <v>0</v>
          </cell>
          <cell r="E196">
            <v>252</v>
          </cell>
          <cell r="F196">
            <v>1</v>
          </cell>
          <cell r="G196">
            <v>0.52</v>
          </cell>
          <cell r="H196">
            <v>1363</v>
          </cell>
          <cell r="I196">
            <v>2</v>
          </cell>
          <cell r="J196">
            <v>1.14</v>
          </cell>
          <cell r="K196">
            <v>364</v>
          </cell>
          <cell r="L196">
            <v>2</v>
          </cell>
          <cell r="M196">
            <v>0.93</v>
          </cell>
        </row>
        <row r="197">
          <cell r="A197" t="str">
            <v>N9383YB044</v>
          </cell>
          <cell r="B197">
            <v>1</v>
          </cell>
          <cell r="C197">
            <v>0</v>
          </cell>
          <cell r="D197">
            <v>0</v>
          </cell>
          <cell r="E197">
            <v>2</v>
          </cell>
          <cell r="F197">
            <v>0</v>
          </cell>
          <cell r="G197">
            <v>0</v>
          </cell>
          <cell r="H197">
            <v>21</v>
          </cell>
          <cell r="I197">
            <v>0</v>
          </cell>
          <cell r="J197">
            <v>0</v>
          </cell>
          <cell r="K197">
            <v>4</v>
          </cell>
          <cell r="L197">
            <v>0</v>
          </cell>
          <cell r="M197">
            <v>0</v>
          </cell>
        </row>
        <row r="198">
          <cell r="A198" t="str">
            <v>N9383YG046</v>
          </cell>
          <cell r="B198">
            <v>3</v>
          </cell>
          <cell r="C198">
            <v>0</v>
          </cell>
          <cell r="D198">
            <v>0</v>
          </cell>
          <cell r="E198">
            <v>18</v>
          </cell>
          <cell r="F198">
            <v>0</v>
          </cell>
          <cell r="G198">
            <v>0</v>
          </cell>
          <cell r="H198">
            <v>28</v>
          </cell>
          <cell r="I198">
            <v>1</v>
          </cell>
          <cell r="J198">
            <v>0.51</v>
          </cell>
          <cell r="K198">
            <v>20</v>
          </cell>
          <cell r="L198">
            <v>0</v>
          </cell>
          <cell r="M198">
            <v>0</v>
          </cell>
        </row>
        <row r="199">
          <cell r="A199" t="str">
            <v>N9383YG048</v>
          </cell>
          <cell r="B199">
            <v>3</v>
          </cell>
          <cell r="C199">
            <v>0</v>
          </cell>
          <cell r="D199">
            <v>0</v>
          </cell>
          <cell r="E199">
            <v>3</v>
          </cell>
          <cell r="F199">
            <v>0</v>
          </cell>
          <cell r="G199">
            <v>0</v>
          </cell>
          <cell r="H199">
            <v>3</v>
          </cell>
          <cell r="I199">
            <v>1</v>
          </cell>
          <cell r="J199">
            <v>0.21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N9383YMH38</v>
          </cell>
          <cell r="B200">
            <v>250</v>
          </cell>
          <cell r="C200">
            <v>2</v>
          </cell>
          <cell r="D200">
            <v>0.75</v>
          </cell>
          <cell r="E200">
            <v>284</v>
          </cell>
          <cell r="F200">
            <v>1</v>
          </cell>
          <cell r="G200">
            <v>0.67</v>
          </cell>
          <cell r="H200">
            <v>262</v>
          </cell>
          <cell r="I200">
            <v>1</v>
          </cell>
          <cell r="J200">
            <v>0.35</v>
          </cell>
          <cell r="K200">
            <v>342</v>
          </cell>
          <cell r="L200">
            <v>3</v>
          </cell>
          <cell r="M200">
            <v>0.93</v>
          </cell>
        </row>
        <row r="201">
          <cell r="A201" t="str">
            <v>N9383YMH46</v>
          </cell>
          <cell r="B201">
            <v>41</v>
          </cell>
          <cell r="C201">
            <v>1</v>
          </cell>
          <cell r="D201">
            <v>0.42</v>
          </cell>
          <cell r="E201">
            <v>43</v>
          </cell>
          <cell r="F201">
            <v>1</v>
          </cell>
          <cell r="G201">
            <v>0.8</v>
          </cell>
          <cell r="H201">
            <v>11</v>
          </cell>
          <cell r="I201">
            <v>0</v>
          </cell>
          <cell r="J201">
            <v>0</v>
          </cell>
          <cell r="K201">
            <v>13</v>
          </cell>
          <cell r="L201">
            <v>1</v>
          </cell>
          <cell r="M201">
            <v>0.68</v>
          </cell>
        </row>
        <row r="202">
          <cell r="A202" t="str">
            <v>N9383YMH48</v>
          </cell>
          <cell r="B202">
            <v>9</v>
          </cell>
          <cell r="C202">
            <v>0</v>
          </cell>
          <cell r="D202">
            <v>0</v>
          </cell>
          <cell r="E202">
            <v>10</v>
          </cell>
          <cell r="F202">
            <v>0</v>
          </cell>
          <cell r="G202">
            <v>0</v>
          </cell>
          <cell r="H202">
            <v>13</v>
          </cell>
          <cell r="I202">
            <v>0</v>
          </cell>
          <cell r="J202">
            <v>0</v>
          </cell>
          <cell r="K202">
            <v>22</v>
          </cell>
          <cell r="L202">
            <v>0</v>
          </cell>
          <cell r="M202">
            <v>0</v>
          </cell>
        </row>
        <row r="203">
          <cell r="A203" t="str">
            <v>N9383YP042</v>
          </cell>
          <cell r="B203">
            <v>23</v>
          </cell>
          <cell r="C203">
            <v>0</v>
          </cell>
          <cell r="D203">
            <v>0</v>
          </cell>
          <cell r="E203">
            <v>51</v>
          </cell>
          <cell r="F203">
            <v>0</v>
          </cell>
          <cell r="G203">
            <v>0</v>
          </cell>
          <cell r="H203">
            <v>80</v>
          </cell>
          <cell r="I203">
            <v>2</v>
          </cell>
          <cell r="J203">
            <v>1.19</v>
          </cell>
          <cell r="K203">
            <v>81</v>
          </cell>
          <cell r="L203">
            <v>0</v>
          </cell>
          <cell r="M203">
            <v>0</v>
          </cell>
        </row>
        <row r="204">
          <cell r="A204" t="str">
            <v>N9383YR042</v>
          </cell>
          <cell r="B204">
            <v>223</v>
          </cell>
          <cell r="C204">
            <v>2</v>
          </cell>
          <cell r="D204">
            <v>0.72</v>
          </cell>
          <cell r="E204">
            <v>203</v>
          </cell>
          <cell r="F204">
            <v>3</v>
          </cell>
          <cell r="G204">
            <v>0.95</v>
          </cell>
          <cell r="H204">
            <v>121</v>
          </cell>
          <cell r="I204">
            <v>1</v>
          </cell>
          <cell r="J204">
            <v>0.12</v>
          </cell>
          <cell r="K204">
            <v>154</v>
          </cell>
          <cell r="L204">
            <v>2</v>
          </cell>
          <cell r="M204">
            <v>0.58</v>
          </cell>
        </row>
        <row r="205">
          <cell r="A205" t="str">
            <v>N9383YR048</v>
          </cell>
          <cell r="B205">
            <v>6</v>
          </cell>
          <cell r="C205">
            <v>0</v>
          </cell>
          <cell r="D205">
            <v>0</v>
          </cell>
          <cell r="E205">
            <v>3</v>
          </cell>
          <cell r="F205">
            <v>0</v>
          </cell>
          <cell r="G205">
            <v>0</v>
          </cell>
          <cell r="H205">
            <v>2</v>
          </cell>
          <cell r="I205">
            <v>0</v>
          </cell>
          <cell r="J205">
            <v>0</v>
          </cell>
          <cell r="K205">
            <v>1</v>
          </cell>
          <cell r="L205">
            <v>0</v>
          </cell>
          <cell r="M205">
            <v>0</v>
          </cell>
        </row>
        <row r="206">
          <cell r="A206" t="str">
            <v>N9383YXGH38</v>
          </cell>
          <cell r="B206">
            <v>20</v>
          </cell>
          <cell r="C206">
            <v>0</v>
          </cell>
          <cell r="D206">
            <v>0</v>
          </cell>
          <cell r="E206">
            <v>22</v>
          </cell>
          <cell r="F206">
            <v>0</v>
          </cell>
          <cell r="G206">
            <v>0</v>
          </cell>
          <cell r="H206">
            <v>6</v>
          </cell>
          <cell r="I206">
            <v>0</v>
          </cell>
          <cell r="J206">
            <v>0</v>
          </cell>
          <cell r="K206">
            <v>7</v>
          </cell>
          <cell r="L206">
            <v>0</v>
          </cell>
          <cell r="M206">
            <v>0</v>
          </cell>
        </row>
        <row r="207">
          <cell r="A207" t="str">
            <v>N9383YXGH48</v>
          </cell>
          <cell r="B207">
            <v>1</v>
          </cell>
          <cell r="C207">
            <v>0</v>
          </cell>
          <cell r="D207">
            <v>0</v>
          </cell>
          <cell r="E207">
            <v>1</v>
          </cell>
          <cell r="F207">
            <v>0</v>
          </cell>
          <cell r="G207">
            <v>0</v>
          </cell>
          <cell r="H207">
            <v>4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N1709YR046</v>
          </cell>
          <cell r="B208">
            <v>15</v>
          </cell>
          <cell r="C208">
            <v>0</v>
          </cell>
          <cell r="D208">
            <v>0</v>
          </cell>
          <cell r="E208">
            <v>4</v>
          </cell>
          <cell r="F208">
            <v>0</v>
          </cell>
          <cell r="G208">
            <v>0</v>
          </cell>
          <cell r="H208">
            <v>8</v>
          </cell>
          <cell r="I208">
            <v>0</v>
          </cell>
          <cell r="J208">
            <v>0</v>
          </cell>
          <cell r="K208">
            <v>4</v>
          </cell>
          <cell r="L208">
            <v>1</v>
          </cell>
          <cell r="M208">
            <v>0.09</v>
          </cell>
        </row>
        <row r="209">
          <cell r="A209" t="str">
            <v>N1709YZS44</v>
          </cell>
          <cell r="B209">
            <v>10</v>
          </cell>
          <cell r="C209">
            <v>0</v>
          </cell>
          <cell r="D209">
            <v>0</v>
          </cell>
          <cell r="E209">
            <v>2</v>
          </cell>
          <cell r="F209">
            <v>0</v>
          </cell>
          <cell r="G209">
            <v>0</v>
          </cell>
          <cell r="H209">
            <v>3</v>
          </cell>
          <cell r="I209">
            <v>0</v>
          </cell>
          <cell r="J209">
            <v>0</v>
          </cell>
          <cell r="K209">
            <v>5</v>
          </cell>
          <cell r="L209">
            <v>0</v>
          </cell>
          <cell r="M209">
            <v>0</v>
          </cell>
        </row>
        <row r="210">
          <cell r="A210" t="str">
            <v>N2082YQJ38</v>
          </cell>
          <cell r="B210">
            <v>21</v>
          </cell>
          <cell r="C210">
            <v>0</v>
          </cell>
          <cell r="D210">
            <v>0</v>
          </cell>
          <cell r="E210">
            <v>32</v>
          </cell>
          <cell r="F210">
            <v>0</v>
          </cell>
          <cell r="G210">
            <v>0</v>
          </cell>
          <cell r="H210">
            <v>34</v>
          </cell>
          <cell r="I210">
            <v>1</v>
          </cell>
          <cell r="J210">
            <v>0.26</v>
          </cell>
          <cell r="K210">
            <v>22</v>
          </cell>
          <cell r="L210">
            <v>1</v>
          </cell>
          <cell r="M210">
            <v>0.41</v>
          </cell>
        </row>
        <row r="211">
          <cell r="A211" t="str">
            <v>N2257YK038</v>
          </cell>
          <cell r="B211">
            <v>38</v>
          </cell>
          <cell r="C211">
            <v>0</v>
          </cell>
          <cell r="D211">
            <v>0</v>
          </cell>
          <cell r="E211">
            <v>7</v>
          </cell>
          <cell r="F211">
            <v>0</v>
          </cell>
          <cell r="G211">
            <v>0</v>
          </cell>
          <cell r="H211">
            <v>11</v>
          </cell>
          <cell r="I211">
            <v>1</v>
          </cell>
          <cell r="J211">
            <v>0.56</v>
          </cell>
          <cell r="K211">
            <v>13</v>
          </cell>
          <cell r="L211">
            <v>0</v>
          </cell>
          <cell r="M211">
            <v>0</v>
          </cell>
        </row>
        <row r="212">
          <cell r="A212" t="str">
            <v>N531YK036</v>
          </cell>
          <cell r="B212">
            <v>2</v>
          </cell>
          <cell r="C212">
            <v>0</v>
          </cell>
          <cell r="D212">
            <v>0</v>
          </cell>
          <cell r="E212">
            <v>6</v>
          </cell>
          <cell r="F212">
            <v>0</v>
          </cell>
          <cell r="G212">
            <v>0</v>
          </cell>
          <cell r="H212">
            <v>10</v>
          </cell>
          <cell r="I212">
            <v>0</v>
          </cell>
          <cell r="J212">
            <v>0</v>
          </cell>
          <cell r="K212">
            <v>3</v>
          </cell>
          <cell r="L212">
            <v>0</v>
          </cell>
          <cell r="M212">
            <v>0</v>
          </cell>
        </row>
        <row r="213">
          <cell r="A213" t="str">
            <v>N531YR038</v>
          </cell>
          <cell r="B213">
            <v>0</v>
          </cell>
          <cell r="C213">
            <v>0</v>
          </cell>
          <cell r="D213">
            <v>0</v>
          </cell>
          <cell r="E213">
            <v>1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1</v>
          </cell>
          <cell r="L213">
            <v>0</v>
          </cell>
          <cell r="M213">
            <v>0</v>
          </cell>
        </row>
        <row r="214">
          <cell r="A214" t="str">
            <v>N583YQZ36</v>
          </cell>
          <cell r="B214">
            <v>23</v>
          </cell>
          <cell r="C214">
            <v>0</v>
          </cell>
          <cell r="D214">
            <v>0</v>
          </cell>
          <cell r="E214">
            <v>43</v>
          </cell>
          <cell r="F214">
            <v>0</v>
          </cell>
          <cell r="G214">
            <v>0</v>
          </cell>
          <cell r="H214">
            <v>104</v>
          </cell>
          <cell r="I214">
            <v>0</v>
          </cell>
          <cell r="J214">
            <v>0</v>
          </cell>
          <cell r="K214">
            <v>239</v>
          </cell>
          <cell r="L214">
            <v>2</v>
          </cell>
          <cell r="M214">
            <v>0.49</v>
          </cell>
        </row>
        <row r="215">
          <cell r="A215" t="str">
            <v>N583YQZ40</v>
          </cell>
          <cell r="B215">
            <v>12</v>
          </cell>
          <cell r="C215">
            <v>0</v>
          </cell>
          <cell r="D215">
            <v>0</v>
          </cell>
          <cell r="E215">
            <v>27</v>
          </cell>
          <cell r="F215">
            <v>0</v>
          </cell>
          <cell r="G215">
            <v>0</v>
          </cell>
          <cell r="H215">
            <v>65</v>
          </cell>
          <cell r="I215">
            <v>0</v>
          </cell>
          <cell r="J215">
            <v>0</v>
          </cell>
          <cell r="K215">
            <v>49</v>
          </cell>
          <cell r="L215">
            <v>0</v>
          </cell>
          <cell r="M215">
            <v>0</v>
          </cell>
        </row>
        <row r="216">
          <cell r="A216" t="str">
            <v>N888YK036</v>
          </cell>
          <cell r="B216">
            <v>53</v>
          </cell>
          <cell r="C216">
            <v>0</v>
          </cell>
          <cell r="D216">
            <v>0</v>
          </cell>
          <cell r="E216">
            <v>51</v>
          </cell>
          <cell r="F216">
            <v>1</v>
          </cell>
          <cell r="G216">
            <v>0.41</v>
          </cell>
          <cell r="H216">
            <v>49</v>
          </cell>
          <cell r="I216">
            <v>0</v>
          </cell>
          <cell r="J216">
            <v>0</v>
          </cell>
          <cell r="K216">
            <v>28</v>
          </cell>
          <cell r="L216">
            <v>0</v>
          </cell>
          <cell r="M216">
            <v>0</v>
          </cell>
        </row>
        <row r="217">
          <cell r="A217" t="str">
            <v>N888YK042</v>
          </cell>
          <cell r="B217">
            <v>57</v>
          </cell>
          <cell r="C217">
            <v>1</v>
          </cell>
          <cell r="D217">
            <v>0.54</v>
          </cell>
          <cell r="E217">
            <v>124</v>
          </cell>
          <cell r="F217">
            <v>0</v>
          </cell>
          <cell r="G217">
            <v>0</v>
          </cell>
          <cell r="H217">
            <v>761</v>
          </cell>
          <cell r="I217">
            <v>3</v>
          </cell>
          <cell r="J217">
            <v>0.59</v>
          </cell>
          <cell r="K217">
            <v>766</v>
          </cell>
          <cell r="L217">
            <v>2</v>
          </cell>
          <cell r="M217">
            <v>0.96</v>
          </cell>
        </row>
        <row r="218">
          <cell r="A218" t="str">
            <v>N888YR540</v>
          </cell>
          <cell r="B218">
            <v>1078</v>
          </cell>
          <cell r="C218">
            <v>1</v>
          </cell>
          <cell r="D218">
            <v>0.34</v>
          </cell>
          <cell r="E218">
            <v>779</v>
          </cell>
          <cell r="F218">
            <v>3</v>
          </cell>
          <cell r="G218">
            <v>1.05</v>
          </cell>
          <cell r="H218">
            <v>52</v>
          </cell>
          <cell r="I218">
            <v>1</v>
          </cell>
          <cell r="J218">
            <v>0.35</v>
          </cell>
          <cell r="K218">
            <v>32</v>
          </cell>
          <cell r="L218">
            <v>0</v>
          </cell>
          <cell r="M218">
            <v>0</v>
          </cell>
        </row>
        <row r="219">
          <cell r="A219" t="str">
            <v>N888YR542</v>
          </cell>
          <cell r="B219">
            <v>14</v>
          </cell>
          <cell r="C219">
            <v>0</v>
          </cell>
          <cell r="D219">
            <v>0</v>
          </cell>
          <cell r="E219">
            <v>14</v>
          </cell>
          <cell r="F219">
            <v>0</v>
          </cell>
          <cell r="G219">
            <v>0</v>
          </cell>
          <cell r="H219">
            <v>12</v>
          </cell>
          <cell r="I219">
            <v>0</v>
          </cell>
          <cell r="J219">
            <v>0</v>
          </cell>
          <cell r="K219">
            <v>7</v>
          </cell>
          <cell r="L219">
            <v>0</v>
          </cell>
          <cell r="M219">
            <v>0</v>
          </cell>
        </row>
        <row r="220">
          <cell r="A220" t="str">
            <v>N9932YR034</v>
          </cell>
          <cell r="B220">
            <v>3</v>
          </cell>
          <cell r="C220">
            <v>0</v>
          </cell>
          <cell r="D220">
            <v>0</v>
          </cell>
          <cell r="E220">
            <v>1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0</v>
          </cell>
          <cell r="K220">
            <v>1</v>
          </cell>
          <cell r="L220">
            <v>0</v>
          </cell>
          <cell r="M220">
            <v>0</v>
          </cell>
        </row>
        <row r="221">
          <cell r="A221" t="str">
            <v>N9932YXS34</v>
          </cell>
          <cell r="B221">
            <v>7</v>
          </cell>
          <cell r="C221">
            <v>0</v>
          </cell>
          <cell r="D221">
            <v>0</v>
          </cell>
          <cell r="E221">
            <v>3</v>
          </cell>
          <cell r="F221">
            <v>0</v>
          </cell>
          <cell r="G221">
            <v>0</v>
          </cell>
          <cell r="H221">
            <v>5</v>
          </cell>
          <cell r="I221">
            <v>0</v>
          </cell>
          <cell r="J221">
            <v>0</v>
          </cell>
          <cell r="K221">
            <v>2</v>
          </cell>
          <cell r="L221">
            <v>0</v>
          </cell>
          <cell r="M221">
            <v>0</v>
          </cell>
        </row>
        <row r="222">
          <cell r="A222" t="str">
            <v>N9932YXS38</v>
          </cell>
          <cell r="B222">
            <v>0</v>
          </cell>
          <cell r="C222">
            <v>0</v>
          </cell>
          <cell r="D222">
            <v>0</v>
          </cell>
          <cell r="E222">
            <v>2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1</v>
          </cell>
          <cell r="L222">
            <v>0</v>
          </cell>
          <cell r="M222">
            <v>0</v>
          </cell>
        </row>
        <row r="223">
          <cell r="A223" t="str">
            <v>NY-XUHM463-P0-S</v>
          </cell>
          <cell r="B223">
            <v>55</v>
          </cell>
          <cell r="C223">
            <v>0</v>
          </cell>
          <cell r="D223">
            <v>0</v>
          </cell>
          <cell r="E223">
            <v>404</v>
          </cell>
          <cell r="F223">
            <v>0</v>
          </cell>
          <cell r="G223">
            <v>0</v>
          </cell>
          <cell r="H223">
            <v>473</v>
          </cell>
          <cell r="I223">
            <v>1</v>
          </cell>
          <cell r="J223">
            <v>0.41</v>
          </cell>
          <cell r="K223">
            <v>668</v>
          </cell>
          <cell r="L223">
            <v>3</v>
          </cell>
          <cell r="M223">
            <v>1.26</v>
          </cell>
        </row>
        <row r="224">
          <cell r="A224" t="str">
            <v>NY-XUHM002-PI-S</v>
          </cell>
          <cell r="B224">
            <v>4176</v>
          </cell>
          <cell r="C224">
            <v>19</v>
          </cell>
          <cell r="D224">
            <v>6.57</v>
          </cell>
          <cell r="E224">
            <v>3731</v>
          </cell>
          <cell r="F224">
            <v>17</v>
          </cell>
          <cell r="G224">
            <v>6.55</v>
          </cell>
          <cell r="H224">
            <v>2091</v>
          </cell>
          <cell r="I224">
            <v>5</v>
          </cell>
          <cell r="J224">
            <v>1.49</v>
          </cell>
          <cell r="K224">
            <v>740</v>
          </cell>
          <cell r="L224">
            <v>3</v>
          </cell>
          <cell r="M224">
            <v>1.27</v>
          </cell>
        </row>
        <row r="225">
          <cell r="A225" t="str">
            <v>NY-XUHM005-K0-L</v>
          </cell>
          <cell r="B225">
            <v>298</v>
          </cell>
          <cell r="C225">
            <v>1</v>
          </cell>
          <cell r="D225">
            <v>0.31</v>
          </cell>
          <cell r="E225">
            <v>603</v>
          </cell>
          <cell r="F225">
            <v>1</v>
          </cell>
          <cell r="G225">
            <v>0.33</v>
          </cell>
          <cell r="H225">
            <v>1045</v>
          </cell>
          <cell r="I225">
            <v>2</v>
          </cell>
          <cell r="J225">
            <v>0.62</v>
          </cell>
          <cell r="K225">
            <v>2792</v>
          </cell>
          <cell r="L225">
            <v>6</v>
          </cell>
          <cell r="M225">
            <v>2.15</v>
          </cell>
        </row>
        <row r="226">
          <cell r="A226" t="str">
            <v>NY-XUHM005-GA-L</v>
          </cell>
          <cell r="B226">
            <v>211</v>
          </cell>
          <cell r="C226">
            <v>2</v>
          </cell>
          <cell r="D226">
            <v>0.89</v>
          </cell>
          <cell r="E226">
            <v>192</v>
          </cell>
          <cell r="F226">
            <v>0</v>
          </cell>
          <cell r="G226">
            <v>0</v>
          </cell>
          <cell r="H226">
            <v>184</v>
          </cell>
          <cell r="I226">
            <v>0</v>
          </cell>
          <cell r="J226">
            <v>0</v>
          </cell>
          <cell r="K226">
            <v>247</v>
          </cell>
          <cell r="L226">
            <v>1</v>
          </cell>
          <cell r="M226">
            <v>0.43</v>
          </cell>
        </row>
        <row r="227">
          <cell r="A227" t="str">
            <v>NY-XUHM463-P0-XL</v>
          </cell>
          <cell r="B227">
            <v>542</v>
          </cell>
          <cell r="C227">
            <v>1</v>
          </cell>
          <cell r="D227">
            <v>0.19</v>
          </cell>
          <cell r="E227">
            <v>704</v>
          </cell>
          <cell r="F227">
            <v>1</v>
          </cell>
          <cell r="G227">
            <v>0.48</v>
          </cell>
          <cell r="H227">
            <v>881</v>
          </cell>
          <cell r="I227">
            <v>0</v>
          </cell>
          <cell r="J227">
            <v>0</v>
          </cell>
          <cell r="K227">
            <v>1264</v>
          </cell>
          <cell r="L227">
            <v>3</v>
          </cell>
          <cell r="M227">
            <v>1.18</v>
          </cell>
        </row>
        <row r="228">
          <cell r="A228" t="str">
            <v>NY-XUHM463-K0-M</v>
          </cell>
          <cell r="B228">
            <v>63</v>
          </cell>
          <cell r="C228">
            <v>0</v>
          </cell>
          <cell r="D228">
            <v>0</v>
          </cell>
          <cell r="E228">
            <v>97</v>
          </cell>
          <cell r="F228">
            <v>0</v>
          </cell>
          <cell r="G228">
            <v>0</v>
          </cell>
          <cell r="H228">
            <v>329</v>
          </cell>
          <cell r="I228">
            <v>1</v>
          </cell>
          <cell r="J228">
            <v>0.41</v>
          </cell>
          <cell r="K228">
            <v>399</v>
          </cell>
          <cell r="L228">
            <v>1</v>
          </cell>
          <cell r="M228">
            <v>0.33</v>
          </cell>
        </row>
        <row r="229">
          <cell r="A229" t="str">
            <v>NY-XUHM463-K0-S</v>
          </cell>
          <cell r="B229">
            <v>279</v>
          </cell>
          <cell r="C229">
            <v>0</v>
          </cell>
          <cell r="D229">
            <v>0</v>
          </cell>
          <cell r="E229">
            <v>444</v>
          </cell>
          <cell r="F229">
            <v>0</v>
          </cell>
          <cell r="G229">
            <v>0</v>
          </cell>
          <cell r="H229">
            <v>398</v>
          </cell>
          <cell r="I229">
            <v>1</v>
          </cell>
          <cell r="J229">
            <v>0.65</v>
          </cell>
          <cell r="K229">
            <v>330</v>
          </cell>
          <cell r="L229">
            <v>0</v>
          </cell>
          <cell r="M229">
            <v>0</v>
          </cell>
        </row>
        <row r="230">
          <cell r="A230" t="str">
            <v>NY-XUHM002-K0-L</v>
          </cell>
          <cell r="B230">
            <v>892</v>
          </cell>
          <cell r="C230">
            <v>2</v>
          </cell>
          <cell r="D230">
            <v>0.82</v>
          </cell>
          <cell r="E230">
            <v>2657</v>
          </cell>
          <cell r="F230">
            <v>5</v>
          </cell>
          <cell r="G230">
            <v>1.35</v>
          </cell>
          <cell r="H230">
            <v>2505</v>
          </cell>
          <cell r="I230">
            <v>5</v>
          </cell>
          <cell r="J230">
            <v>1.96</v>
          </cell>
          <cell r="K230">
            <v>1092</v>
          </cell>
          <cell r="L230">
            <v>3</v>
          </cell>
          <cell r="M230">
            <v>1.04</v>
          </cell>
        </row>
        <row r="231">
          <cell r="A231" t="str">
            <v>NY-XUHM005-GA-S</v>
          </cell>
          <cell r="B231">
            <v>316</v>
          </cell>
          <cell r="C231">
            <v>2</v>
          </cell>
          <cell r="D231">
            <v>0.62</v>
          </cell>
          <cell r="E231">
            <v>596</v>
          </cell>
          <cell r="F231">
            <v>2</v>
          </cell>
          <cell r="G231">
            <v>0.62</v>
          </cell>
          <cell r="H231">
            <v>648</v>
          </cell>
          <cell r="I231">
            <v>0</v>
          </cell>
          <cell r="J231">
            <v>0</v>
          </cell>
          <cell r="K231">
            <v>1562</v>
          </cell>
          <cell r="L231">
            <v>3</v>
          </cell>
          <cell r="M231">
            <v>1.23</v>
          </cell>
        </row>
        <row r="232">
          <cell r="A232" t="str">
            <v>NY-XUHM463-P0-M</v>
          </cell>
          <cell r="B232">
            <v>167</v>
          </cell>
          <cell r="C232">
            <v>1</v>
          </cell>
          <cell r="D232">
            <v>0.28</v>
          </cell>
          <cell r="E232">
            <v>387</v>
          </cell>
          <cell r="F232">
            <v>0</v>
          </cell>
          <cell r="G232">
            <v>0</v>
          </cell>
          <cell r="H232">
            <v>93</v>
          </cell>
          <cell r="I232">
            <v>0</v>
          </cell>
          <cell r="J232">
            <v>0</v>
          </cell>
          <cell r="K232">
            <v>209</v>
          </cell>
          <cell r="L232">
            <v>0</v>
          </cell>
          <cell r="M232">
            <v>0</v>
          </cell>
        </row>
        <row r="233">
          <cell r="A233" t="str">
            <v>NY-XUHM002-PI-M</v>
          </cell>
          <cell r="B233">
            <v>802</v>
          </cell>
          <cell r="C233">
            <v>2</v>
          </cell>
          <cell r="D233">
            <v>0.86</v>
          </cell>
          <cell r="E233">
            <v>937</v>
          </cell>
          <cell r="F233">
            <v>1</v>
          </cell>
          <cell r="G233">
            <v>0.54</v>
          </cell>
          <cell r="H233">
            <v>741</v>
          </cell>
          <cell r="I233">
            <v>1</v>
          </cell>
          <cell r="J233">
            <v>0.41</v>
          </cell>
          <cell r="K233">
            <v>1106</v>
          </cell>
          <cell r="L233">
            <v>2</v>
          </cell>
          <cell r="M233">
            <v>0.88</v>
          </cell>
        </row>
        <row r="234">
          <cell r="A234" t="str">
            <v>NY-XUHM002-K0-S</v>
          </cell>
          <cell r="B234">
            <v>889</v>
          </cell>
          <cell r="C234">
            <v>1</v>
          </cell>
          <cell r="D234">
            <v>0.23</v>
          </cell>
          <cell r="E234">
            <v>2827</v>
          </cell>
          <cell r="F234">
            <v>2</v>
          </cell>
          <cell r="G234">
            <v>0.79</v>
          </cell>
          <cell r="H234">
            <v>1772</v>
          </cell>
          <cell r="I234">
            <v>7</v>
          </cell>
          <cell r="J234">
            <v>2.56</v>
          </cell>
          <cell r="K234">
            <v>839</v>
          </cell>
          <cell r="L234">
            <v>4</v>
          </cell>
          <cell r="M234">
            <v>1.47</v>
          </cell>
        </row>
        <row r="235">
          <cell r="A235" t="str">
            <v>NY-XUHM002-K0-M</v>
          </cell>
          <cell r="B235">
            <v>214</v>
          </cell>
          <cell r="C235">
            <v>2</v>
          </cell>
          <cell r="D235">
            <v>0.47</v>
          </cell>
          <cell r="E235">
            <v>381</v>
          </cell>
          <cell r="F235">
            <v>1</v>
          </cell>
          <cell r="G235">
            <v>0.6</v>
          </cell>
          <cell r="H235">
            <v>482</v>
          </cell>
          <cell r="I235">
            <v>0</v>
          </cell>
          <cell r="J235">
            <v>0</v>
          </cell>
          <cell r="K235">
            <v>501</v>
          </cell>
          <cell r="L235">
            <v>1</v>
          </cell>
          <cell r="M235">
            <v>0.41</v>
          </cell>
        </row>
        <row r="236">
          <cell r="A236" t="str">
            <v>NY-XUHM463-K0-XL</v>
          </cell>
          <cell r="B236">
            <v>578</v>
          </cell>
          <cell r="C236">
            <v>0</v>
          </cell>
          <cell r="D236">
            <v>0</v>
          </cell>
          <cell r="E236">
            <v>885</v>
          </cell>
          <cell r="F236">
            <v>0</v>
          </cell>
          <cell r="G236">
            <v>0</v>
          </cell>
          <cell r="H236">
            <v>608</v>
          </cell>
          <cell r="I236">
            <v>0</v>
          </cell>
          <cell r="J236">
            <v>0</v>
          </cell>
          <cell r="K236">
            <v>812</v>
          </cell>
          <cell r="L236">
            <v>1</v>
          </cell>
          <cell r="M236">
            <v>0.4</v>
          </cell>
        </row>
        <row r="237">
          <cell r="A237" t="str">
            <v>NY-XUHM005-GA-M</v>
          </cell>
          <cell r="B237">
            <v>797</v>
          </cell>
          <cell r="C237">
            <v>0</v>
          </cell>
          <cell r="D237">
            <v>0</v>
          </cell>
          <cell r="E237">
            <v>1601</v>
          </cell>
          <cell r="F237">
            <v>1</v>
          </cell>
          <cell r="G237">
            <v>0.23</v>
          </cell>
          <cell r="H237">
            <v>833</v>
          </cell>
          <cell r="I237">
            <v>2</v>
          </cell>
          <cell r="J237">
            <v>0.87</v>
          </cell>
          <cell r="K237">
            <v>238</v>
          </cell>
          <cell r="L237">
            <v>1</v>
          </cell>
          <cell r="M237">
            <v>0.31</v>
          </cell>
        </row>
        <row r="238">
          <cell r="A238" t="str">
            <v>NY-XUHM005-K0-M</v>
          </cell>
          <cell r="B238">
            <v>369</v>
          </cell>
          <cell r="C238">
            <v>1</v>
          </cell>
          <cell r="D238">
            <v>0.39</v>
          </cell>
          <cell r="E238">
            <v>2129</v>
          </cell>
          <cell r="F238">
            <v>0</v>
          </cell>
          <cell r="G238">
            <v>0</v>
          </cell>
          <cell r="H238">
            <v>2996</v>
          </cell>
          <cell r="I238">
            <v>5</v>
          </cell>
          <cell r="J238">
            <v>2.06</v>
          </cell>
          <cell r="K238">
            <v>578</v>
          </cell>
          <cell r="L238">
            <v>1</v>
          </cell>
          <cell r="M238">
            <v>0.28</v>
          </cell>
        </row>
        <row r="239">
          <cell r="A239" t="str">
            <v>NY-XUHM463-P0-L</v>
          </cell>
          <cell r="B239">
            <v>211</v>
          </cell>
          <cell r="C239">
            <v>0</v>
          </cell>
          <cell r="D239">
            <v>0</v>
          </cell>
          <cell r="E239">
            <v>262</v>
          </cell>
          <cell r="F239">
            <v>0</v>
          </cell>
          <cell r="G239">
            <v>0</v>
          </cell>
          <cell r="H239">
            <v>222</v>
          </cell>
          <cell r="I239">
            <v>1</v>
          </cell>
          <cell r="J239">
            <v>0.24</v>
          </cell>
          <cell r="K239">
            <v>71</v>
          </cell>
          <cell r="L239">
            <v>0</v>
          </cell>
          <cell r="M239">
            <v>0</v>
          </cell>
        </row>
        <row r="240">
          <cell r="A240" t="str">
            <v>NY-XUHM002-PI-L</v>
          </cell>
          <cell r="B240">
            <v>8880</v>
          </cell>
          <cell r="C240">
            <v>42</v>
          </cell>
          <cell r="D240">
            <v>15.39</v>
          </cell>
          <cell r="E240">
            <v>9739</v>
          </cell>
          <cell r="F240">
            <v>23</v>
          </cell>
          <cell r="G240">
            <v>8.37</v>
          </cell>
          <cell r="H240">
            <v>5134</v>
          </cell>
          <cell r="I240">
            <v>25</v>
          </cell>
          <cell r="J240">
            <v>8.75</v>
          </cell>
          <cell r="K240">
            <v>8258</v>
          </cell>
          <cell r="L240">
            <v>42</v>
          </cell>
          <cell r="M240">
            <v>14.5</v>
          </cell>
        </row>
        <row r="241">
          <cell r="A241" t="str">
            <v>XTHQK0A</v>
          </cell>
          <cell r="B241">
            <v>10</v>
          </cell>
          <cell r="C241">
            <v>0</v>
          </cell>
          <cell r="D241">
            <v>0</v>
          </cell>
          <cell r="E241">
            <v>12</v>
          </cell>
          <cell r="F241">
            <v>0</v>
          </cell>
          <cell r="G241">
            <v>0</v>
          </cell>
          <cell r="H241">
            <v>19</v>
          </cell>
          <cell r="I241">
            <v>0</v>
          </cell>
          <cell r="J241">
            <v>0</v>
          </cell>
          <cell r="K241">
            <v>9</v>
          </cell>
          <cell r="L241">
            <v>0</v>
          </cell>
          <cell r="M241">
            <v>0</v>
          </cell>
        </row>
        <row r="242">
          <cell r="A242" t="str">
            <v>XTHQK0B</v>
          </cell>
          <cell r="B242">
            <v>13</v>
          </cell>
          <cell r="C242">
            <v>0</v>
          </cell>
          <cell r="D242">
            <v>0</v>
          </cell>
          <cell r="E242">
            <v>29</v>
          </cell>
          <cell r="F242">
            <v>0</v>
          </cell>
          <cell r="G242">
            <v>0</v>
          </cell>
          <cell r="H242">
            <v>57</v>
          </cell>
          <cell r="I242">
            <v>0</v>
          </cell>
          <cell r="J242">
            <v>0</v>
          </cell>
          <cell r="K242">
            <v>48</v>
          </cell>
          <cell r="L242">
            <v>0</v>
          </cell>
          <cell r="M242">
            <v>0</v>
          </cell>
        </row>
        <row r="243">
          <cell r="A243" t="str">
            <v>XTHQK0C</v>
          </cell>
          <cell r="B243">
            <v>25</v>
          </cell>
          <cell r="C243">
            <v>0</v>
          </cell>
          <cell r="D243">
            <v>0</v>
          </cell>
          <cell r="E243">
            <v>14</v>
          </cell>
          <cell r="F243">
            <v>0</v>
          </cell>
          <cell r="G243">
            <v>0</v>
          </cell>
          <cell r="H243">
            <v>3</v>
          </cell>
          <cell r="I243">
            <v>0</v>
          </cell>
          <cell r="J243">
            <v>0</v>
          </cell>
          <cell r="K243">
            <v>5</v>
          </cell>
          <cell r="L243">
            <v>0</v>
          </cell>
          <cell r="M243">
            <v>0</v>
          </cell>
        </row>
        <row r="244">
          <cell r="A244" t="str">
            <v>XTHQK0D</v>
          </cell>
          <cell r="B244">
            <v>29</v>
          </cell>
          <cell r="C244">
            <v>0</v>
          </cell>
          <cell r="D244">
            <v>0</v>
          </cell>
          <cell r="E244">
            <v>37</v>
          </cell>
          <cell r="F244">
            <v>0</v>
          </cell>
          <cell r="G244">
            <v>0</v>
          </cell>
          <cell r="H244">
            <v>13</v>
          </cell>
          <cell r="I244">
            <v>0</v>
          </cell>
          <cell r="J244">
            <v>0</v>
          </cell>
          <cell r="K244">
            <v>9</v>
          </cell>
          <cell r="L244">
            <v>0</v>
          </cell>
          <cell r="M244">
            <v>0</v>
          </cell>
        </row>
        <row r="245">
          <cell r="A245" t="str">
            <v>XTHQXSA</v>
          </cell>
          <cell r="B245">
            <v>5</v>
          </cell>
          <cell r="C245">
            <v>1</v>
          </cell>
          <cell r="D245">
            <v>0.21</v>
          </cell>
          <cell r="E245">
            <v>7</v>
          </cell>
          <cell r="F245">
            <v>0</v>
          </cell>
          <cell r="G245">
            <v>0</v>
          </cell>
          <cell r="H245">
            <v>20</v>
          </cell>
          <cell r="I245">
            <v>1</v>
          </cell>
          <cell r="J245">
            <v>0.16</v>
          </cell>
          <cell r="K245">
            <v>9</v>
          </cell>
          <cell r="L245">
            <v>0</v>
          </cell>
          <cell r="M245">
            <v>0</v>
          </cell>
        </row>
        <row r="246">
          <cell r="A246" t="str">
            <v>XTHQXSB</v>
          </cell>
          <cell r="B246">
            <v>13</v>
          </cell>
          <cell r="C246">
            <v>0</v>
          </cell>
          <cell r="D246">
            <v>0</v>
          </cell>
          <cell r="E246">
            <v>10</v>
          </cell>
          <cell r="F246">
            <v>0</v>
          </cell>
          <cell r="G246">
            <v>0</v>
          </cell>
          <cell r="H246">
            <v>15</v>
          </cell>
          <cell r="I246">
            <v>0</v>
          </cell>
          <cell r="J246">
            <v>0</v>
          </cell>
          <cell r="K246">
            <v>13</v>
          </cell>
          <cell r="L246">
            <v>0</v>
          </cell>
          <cell r="M246">
            <v>0</v>
          </cell>
        </row>
        <row r="247">
          <cell r="A247" t="str">
            <v>XTHQXSC</v>
          </cell>
          <cell r="B247">
            <v>3</v>
          </cell>
          <cell r="C247">
            <v>0</v>
          </cell>
          <cell r="D247">
            <v>0</v>
          </cell>
          <cell r="E247">
            <v>1</v>
          </cell>
          <cell r="F247">
            <v>0</v>
          </cell>
          <cell r="G247">
            <v>0</v>
          </cell>
          <cell r="H247">
            <v>5</v>
          </cell>
          <cell r="I247">
            <v>0</v>
          </cell>
          <cell r="J247">
            <v>0</v>
          </cell>
          <cell r="K247">
            <v>6</v>
          </cell>
          <cell r="L247">
            <v>0</v>
          </cell>
          <cell r="M247">
            <v>0</v>
          </cell>
        </row>
        <row r="248">
          <cell r="A248" t="str">
            <v>XTHQXSD</v>
          </cell>
          <cell r="B248">
            <v>9</v>
          </cell>
          <cell r="C248">
            <v>0</v>
          </cell>
          <cell r="D248">
            <v>0</v>
          </cell>
          <cell r="E248">
            <v>8</v>
          </cell>
          <cell r="F248">
            <v>0</v>
          </cell>
          <cell r="G248">
            <v>0</v>
          </cell>
          <cell r="H248">
            <v>4</v>
          </cell>
          <cell r="I248">
            <v>0</v>
          </cell>
          <cell r="J248">
            <v>0</v>
          </cell>
          <cell r="K248">
            <v>4</v>
          </cell>
          <cell r="L248">
            <v>0</v>
          </cell>
          <cell r="M248">
            <v>0</v>
          </cell>
        </row>
        <row r="249">
          <cell r="A249" t="str">
            <v>NY-XUHM331-B0-L</v>
          </cell>
          <cell r="B249">
            <v>24</v>
          </cell>
          <cell r="C249">
            <v>0</v>
          </cell>
          <cell r="D249">
            <v>0</v>
          </cell>
          <cell r="E249">
            <v>11</v>
          </cell>
          <cell r="F249">
            <v>0</v>
          </cell>
          <cell r="G249">
            <v>0</v>
          </cell>
          <cell r="H249">
            <v>14</v>
          </cell>
          <cell r="I249">
            <v>0</v>
          </cell>
          <cell r="J249">
            <v>0</v>
          </cell>
          <cell r="K249">
            <v>13</v>
          </cell>
          <cell r="L249">
            <v>0</v>
          </cell>
          <cell r="M249">
            <v>0</v>
          </cell>
        </row>
        <row r="250">
          <cell r="A250" t="str">
            <v>NY-XUHM332-HS-M</v>
          </cell>
          <cell r="B250">
            <v>30</v>
          </cell>
          <cell r="C250">
            <v>1</v>
          </cell>
          <cell r="D250">
            <v>0.32</v>
          </cell>
          <cell r="E250">
            <v>25</v>
          </cell>
          <cell r="F250">
            <v>0</v>
          </cell>
          <cell r="G250">
            <v>0</v>
          </cell>
          <cell r="H250">
            <v>45</v>
          </cell>
          <cell r="I250">
            <v>2</v>
          </cell>
          <cell r="J250">
            <v>0.22</v>
          </cell>
          <cell r="K250">
            <v>46</v>
          </cell>
          <cell r="L250">
            <v>1</v>
          </cell>
          <cell r="M250">
            <v>0.25</v>
          </cell>
        </row>
        <row r="251">
          <cell r="A251" t="str">
            <v>NY-XUHM333-HS-L</v>
          </cell>
          <cell r="B251">
            <v>26</v>
          </cell>
          <cell r="C251">
            <v>0</v>
          </cell>
          <cell r="D251">
            <v>0</v>
          </cell>
          <cell r="E251">
            <v>30</v>
          </cell>
          <cell r="F251">
            <v>0</v>
          </cell>
          <cell r="G251">
            <v>0</v>
          </cell>
          <cell r="H251">
            <v>79</v>
          </cell>
          <cell r="I251">
            <v>0</v>
          </cell>
          <cell r="J251">
            <v>0</v>
          </cell>
          <cell r="K251">
            <v>16</v>
          </cell>
          <cell r="L251">
            <v>0</v>
          </cell>
          <cell r="M251">
            <v>0</v>
          </cell>
        </row>
        <row r="252">
          <cell r="A252" t="str">
            <v>NY-XUHM333-HS-M</v>
          </cell>
          <cell r="B252">
            <v>9</v>
          </cell>
          <cell r="C252">
            <v>0</v>
          </cell>
          <cell r="D252">
            <v>0</v>
          </cell>
          <cell r="E252">
            <v>6</v>
          </cell>
          <cell r="F252">
            <v>0</v>
          </cell>
          <cell r="G252">
            <v>0</v>
          </cell>
          <cell r="H252">
            <v>4</v>
          </cell>
          <cell r="I252">
            <v>0</v>
          </cell>
          <cell r="J252">
            <v>0</v>
          </cell>
          <cell r="K252">
            <v>2</v>
          </cell>
          <cell r="L252">
            <v>0</v>
          </cell>
          <cell r="M252">
            <v>0</v>
          </cell>
        </row>
        <row r="253">
          <cell r="A253" t="str">
            <v>NY-XUHM333-HS-S</v>
          </cell>
          <cell r="B253">
            <v>17</v>
          </cell>
          <cell r="C253">
            <v>0</v>
          </cell>
          <cell r="D253">
            <v>0</v>
          </cell>
          <cell r="E253">
            <v>6</v>
          </cell>
          <cell r="F253">
            <v>0</v>
          </cell>
          <cell r="G253">
            <v>0</v>
          </cell>
          <cell r="H253">
            <v>1</v>
          </cell>
          <cell r="I253">
            <v>0</v>
          </cell>
          <cell r="J253">
            <v>0</v>
          </cell>
          <cell r="K253">
            <v>3</v>
          </cell>
          <cell r="L253">
            <v>0</v>
          </cell>
          <cell r="M253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B6" sqref="B6:AV401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43262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6">
        <f>IFERROR(VLOOKUP(A2,[1]库存报告使用数据!$A$1:$D$65536,4,0),0)</f>
        <v>0</v>
      </c>
      <c r="K2" s="36">
        <f>IFERROR(VLOOKUP(A2,[1]库存报告使用数据!$A$1:$E$65536,5,0),0)</f>
        <v>0</v>
      </c>
      <c r="L2" s="36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2">IF(OR(AB2="",AB2=0),"",IF(AND(D2*$H2=0,AB2&gt;0),"无销量广告费为"&amp;AB2,AB2/(D2*$H2)))</f>
        <v/>
      </c>
      <c r="AG2" s="23" t="str">
        <f t="shared" si="2"/>
        <v/>
      </c>
      <c r="AH2" s="23" t="str">
        <f t="shared" si="2"/>
        <v/>
      </c>
      <c r="AI2" s="23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3">IFERROR(D2/AJ2,"")</f>
        <v/>
      </c>
      <c r="AO2" s="23" t="str">
        <f t="shared" si="3"/>
        <v/>
      </c>
      <c r="AP2" s="23" t="str">
        <f t="shared" si="3"/>
        <v/>
      </c>
      <c r="AQ2" s="23" t="str">
        <f t="shared" si="3"/>
        <v/>
      </c>
      <c r="AR2" s="38">
        <f t="shared" ref="AR2:AR68" si="4">IFERROR(D2/7,"")</f>
        <v>0</v>
      </c>
      <c r="AS2" s="38">
        <f t="shared" ref="AS2:AS68" si="5">IF(AR2="","上周无销量",60*AR2)</f>
        <v>0</v>
      </c>
      <c r="AT2" s="38">
        <f t="shared" ref="AT2:AT68" si="6">IF(AS2="上周无销量","上周无销量/总库存"&amp;M2,M2-AS2)</f>
        <v>0</v>
      </c>
      <c r="AU2" s="33" t="str">
        <f t="shared" ref="AU2:AU68" si="7">IF(AR2="","库存为"&amp;M2,IF(AS2=0,"库存为"&amp;M2,INT(M2/AR2)))</f>
        <v>库存为0</v>
      </c>
      <c r="AV2" s="39" t="str">
        <f>IFERROR($A$2+AU2,"上周无销量")</f>
        <v>上周无销量</v>
      </c>
      <c r="AW2" s="39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2018/7/2-2018/7/8</v>
      </c>
      <c r="E3" s="14" t="str">
        <f>TEXT(时间!$B$8,"yyyy/M/d")&amp;"-"&amp;TEXT(时间!$B$7,"yyyy/M/d")</f>
        <v>2018/6/25-2018/7/1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4"/>
      <c r="J3" s="14"/>
      <c r="K3" s="14"/>
      <c r="L3" s="14"/>
      <c r="M3" s="14"/>
      <c r="N3" s="14"/>
      <c r="O3" s="19" t="s">
        <v>12</v>
      </c>
      <c r="P3" s="14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41</v>
      </c>
      <c r="E5" s="5">
        <f>SUM(E6:E19972)</f>
        <v>64</v>
      </c>
      <c r="F5" s="5">
        <f>SUM(F6:F19972)</f>
        <v>33</v>
      </c>
      <c r="G5" s="5">
        <f>SUM(G6:G19972)</f>
        <v>30</v>
      </c>
      <c r="I5" s="5">
        <f t="shared" ref="I5:O5" si="8">SUM(I6:I2972)</f>
        <v>4369</v>
      </c>
      <c r="J5" s="5">
        <f t="shared" si="8"/>
        <v>0</v>
      </c>
      <c r="K5" s="5">
        <f t="shared" si="8"/>
        <v>0</v>
      </c>
      <c r="L5" s="5">
        <f t="shared" si="8"/>
        <v>5</v>
      </c>
      <c r="M5" s="5">
        <f t="shared" si="8"/>
        <v>4374</v>
      </c>
      <c r="N5" s="5">
        <f t="shared" si="8"/>
        <v>14</v>
      </c>
      <c r="O5" s="5">
        <f t="shared" si="8"/>
        <v>4258</v>
      </c>
      <c r="AB5" s="5">
        <f>SUM(AB6:AB2072)</f>
        <v>167.95</v>
      </c>
      <c r="AC5" s="5">
        <f>SUM(AC6:AC2072)</f>
        <v>162.94</v>
      </c>
      <c r="AD5" s="5">
        <f>SUM(AD6:AD2072)</f>
        <v>168.45</v>
      </c>
      <c r="AE5" s="5">
        <f>SUM(AE6:AE2072)</f>
        <v>173.67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40"/>
      <c r="AV5" s="40"/>
    </row>
    <row r="6" spans="1:48">
      <c r="A6" s="35" t="s">
        <v>51</v>
      </c>
      <c r="B6" t="str">
        <f>VLOOKUP(A6,'[2]sku-asin（子）'!$A:$B,2,0)</f>
        <v>B074FPYB9N</v>
      </c>
      <c r="C6" t="str">
        <f>VLOOKUP(A6,'[2]子sku-父sku'!$A:$B,2,0)</f>
        <v>DDBNY</v>
      </c>
      <c r="D6" s="33">
        <f>IFERROR(VLOOKUP(A6,[3]库存报告使用数据处理!$A:$C,3,0),0)</f>
        <v>1</v>
      </c>
      <c r="E6" s="33">
        <f>IFERROR(VLOOKUP(A6,[3]库存报告使用数据处理!$A:$D,4,0),0)</f>
        <v>0</v>
      </c>
      <c r="F6" s="33">
        <f>IFERROR(VLOOKUP(A6,[3]库存报告使用数据处理!$A:$E,5,0),0)</f>
        <v>0</v>
      </c>
      <c r="G6" s="33">
        <f>IFERROR(VLOOKUP(A6,[3]库存报告使用数据处理!$A:$F,6,0),0)</f>
        <v>1</v>
      </c>
      <c r="H6" s="34">
        <f>IFERROR(VLOOKUP(A6,[3]库存报告使用数据处理!$A:$G,7,0),0)</f>
        <v>15.99</v>
      </c>
      <c r="I6">
        <f>IFERROR(VLOOKUP(A6,[4]数据处理!$A:$B,2,0),0)</f>
        <v>24</v>
      </c>
      <c r="J6" s="36">
        <f>IFERROR(VLOOKUP(A6,[4]数据处理!$A:$D,4,0),0)</f>
        <v>0</v>
      </c>
      <c r="K6" s="36">
        <f>IFERROR(VLOOKUP(A6,[4]数据处理!$A:$E,5,0),0)</f>
        <v>0</v>
      </c>
      <c r="L6" s="36">
        <f>IFERROR(VLOOKUP(A6,[4]数据处理!$A:$G,7,0),0)</f>
        <v>0</v>
      </c>
      <c r="M6">
        <f t="shared" si="0"/>
        <v>24</v>
      </c>
      <c r="N6">
        <f>IFERROR(VLOOKUP(A6,[4]数据处理!$A:$C,3,0),0)</f>
        <v>0</v>
      </c>
      <c r="O6">
        <f>IFERROR(VLOOKUP($A6,[4]数据处理!$A:$N,14,0),0)</f>
        <v>24</v>
      </c>
      <c r="P6">
        <f>IFERROR(VLOOKUP($A6,[5]库存使用数据!$A:$B,2,0),"")</f>
        <v>855</v>
      </c>
      <c r="Q6">
        <f>IFERROR(VLOOKUP($A6,[5]库存使用数据!$A:$E,5,0),"")</f>
        <v>467</v>
      </c>
      <c r="R6">
        <f>IFERROR(VLOOKUP($A6,[5]库存使用数据!$A:$H,8,0),"")</f>
        <v>258</v>
      </c>
      <c r="S6">
        <f>IFERROR(VLOOKUP($A6,[5]库存使用数据!$A:$K,11,0),"")</f>
        <v>389</v>
      </c>
      <c r="T6">
        <f>IFERROR(VLOOKUP($A6,[5]库存使用数据!$A:$C,3,0),"")</f>
        <v>3</v>
      </c>
      <c r="U6">
        <f>IFERROR(VLOOKUP($A6,[5]库存使用数据!$A:$F,6,0),"")</f>
        <v>1</v>
      </c>
      <c r="V6">
        <f>IFERROR(VLOOKUP($A6,[5]库存使用数据!$A:$I,9,0),"")</f>
        <v>0</v>
      </c>
      <c r="W6">
        <f>IFERROR(VLOOKUP($A6,[5]库存使用数据!$A:$L,12,0),"")</f>
        <v>1</v>
      </c>
      <c r="X6" s="23">
        <f t="shared" ref="X6:X69" si="9">IFERROR(T6/P6,"")</f>
        <v>0.00350877192982456</v>
      </c>
      <c r="Y6" s="23">
        <f t="shared" ref="Y6:Y69" si="10">IFERROR(U6/Q6,"")</f>
        <v>0.00214132762312634</v>
      </c>
      <c r="Z6" s="23">
        <f t="shared" ref="Z6:Z69" si="11">IFERROR(V6/R6,"")</f>
        <v>0</v>
      </c>
      <c r="AA6" s="23">
        <f t="shared" ref="AA6:AA69" si="12">IFERROR(W6/S6,"")</f>
        <v>0.0025706940874036</v>
      </c>
      <c r="AB6">
        <f>IFERROR(VLOOKUP($A6,[5]库存使用数据!$A:$D,4,0),"")</f>
        <v>2.79</v>
      </c>
      <c r="AC6">
        <f>IFERROR(VLOOKUP($A6,[5]库存使用数据!$A:$G,7,0),"")</f>
        <v>0.82</v>
      </c>
      <c r="AD6">
        <f>IFERROR(VLOOKUP($A6,[5]库存使用数据!$A:$J,10,0),"")</f>
        <v>0</v>
      </c>
      <c r="AE6">
        <f>IFERROR(VLOOKUP($A6,[5]库存使用数据!$A:$M,13,0),"")</f>
        <v>1</v>
      </c>
      <c r="AF6" s="23">
        <f t="shared" ref="AF6:AF69" si="13">IF(OR(AB6="",AB6=0),"",IF(AND(D6*$H6=0,AB6&gt;0),"无销量广告费为"&amp;AB6,AB6/(D6*$H6)))</f>
        <v>0.174484052532833</v>
      </c>
      <c r="AG6" s="23" t="str">
        <f t="shared" ref="AG6:AG69" si="14">IF(OR(AC6="",AC6=0),"",IF(AND(E6*$H6=0,AC6&gt;0),"无销量广告费为"&amp;AC6,AC6/(E6*$H6)))</f>
        <v>无销量广告费为0.82</v>
      </c>
      <c r="AH6" s="23" t="str">
        <f t="shared" ref="AH6:AH69" si="15">IF(OR(AD6="",AD6=0),"",IF(AND(F6*$H6=0,AD6&gt;0),"无销量广告费为"&amp;AD6,AD6/(F6*$H6)))</f>
        <v/>
      </c>
      <c r="AI6" s="23">
        <f t="shared" ref="AI6:AI69" si="16">IF(OR(AE6="",AE6=0),"",IF(AND(G6*$H6=0,AE6&gt;0),"无销量广告费为"&amp;AE6,AE6/(G6*$H6)))</f>
        <v>0.0625390869293308</v>
      </c>
      <c r="AJ6">
        <f>IFERROR(VLOOKUP($B6,[1]库存报告使用数据!$A$1:$B$65536,2,0),0)</f>
        <v>11</v>
      </c>
      <c r="AK6">
        <f>IFERROR(VLOOKUP($B6,[1]库存报告使用数据!$A$1:$C$65536,3,0),0)</f>
        <v>5</v>
      </c>
      <c r="AL6">
        <f>IFERROR(VLOOKUP($B6,[1]库存报告使用数据!$A$1:$D$65536,4,0),0)</f>
        <v>6</v>
      </c>
      <c r="AM6">
        <f>IFERROR(VLOOKUP($B6,[1]库存报告使用数据!$A$1:$E$65536,5,0),0)</f>
        <v>2</v>
      </c>
      <c r="AN6" s="23">
        <f t="shared" ref="AN6:AN69" si="17">IFERROR(D6/AJ6,"")</f>
        <v>0.0909090909090909</v>
      </c>
      <c r="AO6" s="23">
        <f t="shared" ref="AO6:AO69" si="18">IFERROR(E6/AK6,"")</f>
        <v>0</v>
      </c>
      <c r="AP6" s="23">
        <f t="shared" ref="AP6:AP69" si="19">IFERROR(F6/AL6,"")</f>
        <v>0</v>
      </c>
      <c r="AQ6" s="23">
        <f t="shared" ref="AQ6:AQ69" si="20">IFERROR(G6/AM6,"")</f>
        <v>0.5</v>
      </c>
      <c r="AR6" s="38">
        <f t="shared" si="4"/>
        <v>0.142857142857143</v>
      </c>
      <c r="AS6" s="38">
        <f t="shared" si="5"/>
        <v>8.57142857142857</v>
      </c>
      <c r="AT6" s="38">
        <f t="shared" si="6"/>
        <v>15.4285714285714</v>
      </c>
      <c r="AU6" s="33">
        <f t="shared" si="7"/>
        <v>168</v>
      </c>
      <c r="AV6" s="39">
        <f>IFERROR(时间!$B$4+AU6,"上周无销量")</f>
        <v>43458</v>
      </c>
    </row>
    <row r="7" spans="1:48">
      <c r="A7" s="35" t="s">
        <v>52</v>
      </c>
      <c r="B7" t="str">
        <f>VLOOKUP(A7,'[2]sku-asin（子）'!$A:$B,2,0)</f>
        <v>B074FP8NZF</v>
      </c>
      <c r="C7" t="str">
        <f>VLOOKUP(A7,'[2]子sku-父sku'!$A:$B,2,0)</f>
        <v>DDHNY</v>
      </c>
      <c r="D7" s="33">
        <f>IFERROR(VLOOKUP(A7,[3]库存报告使用数据处理!$A:$C,3,0),0)</f>
        <v>1</v>
      </c>
      <c r="E7" s="33">
        <f>IFERROR(VLOOKUP(A7,[3]库存报告使用数据处理!$A:$D,4,0),0)</f>
        <v>0</v>
      </c>
      <c r="F7" s="33">
        <f>IFERROR(VLOOKUP(A7,[3]库存报告使用数据处理!$A:$E,5,0),0)</f>
        <v>1</v>
      </c>
      <c r="G7" s="33">
        <f>IFERROR(VLOOKUP(A7,[3]库存报告使用数据处理!$A:$F,6,0),0)</f>
        <v>2</v>
      </c>
      <c r="H7" s="34">
        <f>IFERROR(VLOOKUP(A7,[3]库存报告使用数据处理!$A:$G,7,0),0)</f>
        <v>15.99</v>
      </c>
      <c r="I7">
        <f>IFERROR(VLOOKUP(A7,[4]数据处理!$A:$B,2,0),0)</f>
        <v>6</v>
      </c>
      <c r="J7" s="36">
        <f>IFERROR(VLOOKUP(A7,[4]数据处理!$A:$D,4,0),0)</f>
        <v>0</v>
      </c>
      <c r="K7" s="36">
        <f>IFERROR(VLOOKUP(A7,[4]数据处理!$A:$E,5,0),0)</f>
        <v>0</v>
      </c>
      <c r="L7" s="36">
        <f>IFERROR(VLOOKUP(A7,[4]数据处理!$A:$G,7,0),0)</f>
        <v>0</v>
      </c>
      <c r="M7">
        <f t="shared" si="0"/>
        <v>6</v>
      </c>
      <c r="N7">
        <f>IFERROR(VLOOKUP(A7,[4]数据处理!$A:$C,3,0),0)</f>
        <v>0</v>
      </c>
      <c r="O7">
        <f>IFERROR(VLOOKUP($A7,[4]数据处理!$A:$N,14,0),0)</f>
        <v>6</v>
      </c>
      <c r="P7">
        <f>IFERROR(VLOOKUP($A7,[5]库存使用数据!$A:$B,2,0),"")</f>
        <v>7648</v>
      </c>
      <c r="Q7">
        <f>IFERROR(VLOOKUP($A7,[5]库存使用数据!$A:$E,5,0),"")</f>
        <v>5406</v>
      </c>
      <c r="R7">
        <f>IFERROR(VLOOKUP($A7,[5]库存使用数据!$A:$H,8,0),"")</f>
        <v>3636</v>
      </c>
      <c r="S7">
        <f>IFERROR(VLOOKUP($A7,[5]库存使用数据!$A:$K,11,0),"")</f>
        <v>5303</v>
      </c>
      <c r="T7">
        <f>IFERROR(VLOOKUP($A7,[5]库存使用数据!$A:$C,3,0),"")</f>
        <v>19</v>
      </c>
      <c r="U7">
        <f>IFERROR(VLOOKUP($A7,[5]库存使用数据!$A:$F,6,0),"")</f>
        <v>16</v>
      </c>
      <c r="V7">
        <f>IFERROR(VLOOKUP($A7,[5]库存使用数据!$A:$I,9,0),"")</f>
        <v>24</v>
      </c>
      <c r="W7">
        <f>IFERROR(VLOOKUP($A7,[5]库存使用数据!$A:$L,12,0),"")</f>
        <v>29</v>
      </c>
      <c r="X7" s="23">
        <f t="shared" si="9"/>
        <v>0.00248430962343096</v>
      </c>
      <c r="Y7" s="23">
        <f t="shared" si="10"/>
        <v>0.00295967443581206</v>
      </c>
      <c r="Z7" s="23">
        <f t="shared" si="11"/>
        <v>0.0066006600660066</v>
      </c>
      <c r="AA7" s="23">
        <f t="shared" si="12"/>
        <v>0.00546860267772959</v>
      </c>
      <c r="AB7">
        <f>IFERROR(VLOOKUP($A7,[5]库存使用数据!$A:$D,4,0),"")</f>
        <v>12.76</v>
      </c>
      <c r="AC7">
        <f>IFERROR(VLOOKUP($A7,[5]库存使用数据!$A:$G,7,0),"")</f>
        <v>14.03</v>
      </c>
      <c r="AD7">
        <f>IFERROR(VLOOKUP($A7,[5]库存使用数据!$A:$J,10,0),"")</f>
        <v>18.3</v>
      </c>
      <c r="AE7">
        <f>IFERROR(VLOOKUP($A7,[5]库存使用数据!$A:$M,13,0),"")</f>
        <v>20.41</v>
      </c>
      <c r="AF7" s="23">
        <f t="shared" si="13"/>
        <v>0.797998749218261</v>
      </c>
      <c r="AG7" s="23" t="str">
        <f t="shared" si="14"/>
        <v>无销量广告费为14.03</v>
      </c>
      <c r="AH7" s="23">
        <f t="shared" si="15"/>
        <v>1.14446529080675</v>
      </c>
      <c r="AI7" s="23">
        <f t="shared" si="16"/>
        <v>0.638211382113821</v>
      </c>
      <c r="AJ7">
        <f>IFERROR(VLOOKUP($B7,[1]库存报告使用数据!$A$1:$B$65536,2,0),0)</f>
        <v>8</v>
      </c>
      <c r="AK7">
        <f>IFERROR(VLOOKUP($B7,[1]库存报告使用数据!$A$1:$C$65536,3,0),0)</f>
        <v>19</v>
      </c>
      <c r="AL7">
        <f>IFERROR(VLOOKUP($B7,[1]库存报告使用数据!$A$1:$D$65536,4,0),0)</f>
        <v>9</v>
      </c>
      <c r="AM7">
        <f>IFERROR(VLOOKUP($B7,[1]库存报告使用数据!$A$1:$E$65536,5,0),0)</f>
        <v>20</v>
      </c>
      <c r="AN7" s="23">
        <f t="shared" si="17"/>
        <v>0.125</v>
      </c>
      <c r="AO7" s="23">
        <f t="shared" si="18"/>
        <v>0</v>
      </c>
      <c r="AP7" s="23">
        <f t="shared" si="19"/>
        <v>0.111111111111111</v>
      </c>
      <c r="AQ7" s="23">
        <f t="shared" si="20"/>
        <v>0.1</v>
      </c>
      <c r="AR7" s="38">
        <f t="shared" si="4"/>
        <v>0.142857142857143</v>
      </c>
      <c r="AS7" s="38">
        <f t="shared" si="5"/>
        <v>8.57142857142857</v>
      </c>
      <c r="AT7" s="38">
        <f t="shared" si="6"/>
        <v>-2.57142857142857</v>
      </c>
      <c r="AU7" s="33">
        <f t="shared" si="7"/>
        <v>42</v>
      </c>
      <c r="AV7" s="39">
        <f>IFERROR(时间!$B$4+AU7,"上周无销量")</f>
        <v>43332</v>
      </c>
    </row>
    <row r="8" spans="1:48">
      <c r="A8" s="35" t="s">
        <v>53</v>
      </c>
      <c r="B8" t="str">
        <f>VLOOKUP(A8,'[2]sku-asin（子）'!$A:$B,2,0)</f>
        <v>B074FQSTJL</v>
      </c>
      <c r="C8" t="str">
        <f>VLOOKUP(A8,'[2]子sku-父sku'!$A:$B,2,0)</f>
        <v>GJHNY</v>
      </c>
      <c r="D8" s="33">
        <f>IFERROR(VLOOKUP(A8,[3]库存报告使用数据处理!$A:$C,3,0),0)</f>
        <v>1</v>
      </c>
      <c r="E8" s="33">
        <f>IFERROR(VLOOKUP(A8,[3]库存报告使用数据处理!$A:$D,4,0),0)</f>
        <v>1</v>
      </c>
      <c r="F8" s="33">
        <f>IFERROR(VLOOKUP(A8,[3]库存报告使用数据处理!$A:$E,5,0),0)</f>
        <v>0</v>
      </c>
      <c r="G8" s="33">
        <f>IFERROR(VLOOKUP(A8,[3]库存报告使用数据处理!$A:$F,6,0),0)</f>
        <v>1</v>
      </c>
      <c r="H8" s="34">
        <f>IFERROR(VLOOKUP(A8,[3]库存报告使用数据处理!$A:$G,7,0),0)</f>
        <v>15.99</v>
      </c>
      <c r="I8">
        <f>IFERROR(VLOOKUP(A8,[4]数据处理!$A:$B,2,0),0)</f>
        <v>40</v>
      </c>
      <c r="J8" s="36">
        <f>IFERROR(VLOOKUP(A8,[4]数据处理!$A:$D,4,0),0)</f>
        <v>0</v>
      </c>
      <c r="K8" s="36">
        <f>IFERROR(VLOOKUP(A8,[4]数据处理!$A:$E,5,0),0)</f>
        <v>0</v>
      </c>
      <c r="L8" s="36">
        <f>IFERROR(VLOOKUP(A8,[4]数据处理!$A:$G,7,0),0)</f>
        <v>0</v>
      </c>
      <c r="M8">
        <f t="shared" si="0"/>
        <v>40</v>
      </c>
      <c r="N8">
        <f>IFERROR(VLOOKUP(A8,[4]数据处理!$A:$C,3,0),0)</f>
        <v>0</v>
      </c>
      <c r="O8">
        <f>IFERROR(VLOOKUP($A8,[4]数据处理!$A:$N,14,0),0)</f>
        <v>40</v>
      </c>
      <c r="P8">
        <f>IFERROR(VLOOKUP($A8,[5]库存使用数据!$A:$B,2,0),"")</f>
        <v>1991</v>
      </c>
      <c r="Q8">
        <f>IFERROR(VLOOKUP($A8,[5]库存使用数据!$A:$E,5,0),"")</f>
        <v>963</v>
      </c>
      <c r="R8">
        <f>IFERROR(VLOOKUP($A8,[5]库存使用数据!$A:$H,8,0),"")</f>
        <v>663</v>
      </c>
      <c r="S8">
        <f>IFERROR(VLOOKUP($A8,[5]库存使用数据!$A:$K,11,0),"")</f>
        <v>1088</v>
      </c>
      <c r="T8">
        <f>IFERROR(VLOOKUP($A8,[5]库存使用数据!$A:$C,3,0),"")</f>
        <v>10</v>
      </c>
      <c r="U8">
        <f>IFERROR(VLOOKUP($A8,[5]库存使用数据!$A:$F,6,0),"")</f>
        <v>10</v>
      </c>
      <c r="V8">
        <f>IFERROR(VLOOKUP($A8,[5]库存使用数据!$A:$I,9,0),"")</f>
        <v>4</v>
      </c>
      <c r="W8">
        <f>IFERROR(VLOOKUP($A8,[5]库存使用数据!$A:$L,12,0),"")</f>
        <v>2</v>
      </c>
      <c r="X8" s="23">
        <f t="shared" si="9"/>
        <v>0.00502260170768458</v>
      </c>
      <c r="Y8" s="23">
        <f t="shared" si="10"/>
        <v>0.0103842159916926</v>
      </c>
      <c r="Z8" s="23">
        <f t="shared" si="11"/>
        <v>0.00603318250377074</v>
      </c>
      <c r="AA8" s="23">
        <f t="shared" si="12"/>
        <v>0.00183823529411765</v>
      </c>
      <c r="AB8">
        <f>IFERROR(VLOOKUP($A8,[5]库存使用数据!$A:$D,4,0),"")</f>
        <v>8.64</v>
      </c>
      <c r="AC8">
        <f>IFERROR(VLOOKUP($A8,[5]库存使用数据!$A:$G,7,0),"")</f>
        <v>8.45</v>
      </c>
      <c r="AD8">
        <f>IFERROR(VLOOKUP($A8,[5]库存使用数据!$A:$J,10,0),"")</f>
        <v>3.26</v>
      </c>
      <c r="AE8">
        <f>IFERROR(VLOOKUP($A8,[5]库存使用数据!$A:$M,13,0),"")</f>
        <v>1.52</v>
      </c>
      <c r="AF8" s="23">
        <f t="shared" si="13"/>
        <v>0.540337711069418</v>
      </c>
      <c r="AG8" s="23">
        <f t="shared" si="14"/>
        <v>0.528455284552846</v>
      </c>
      <c r="AH8" s="23" t="str">
        <f t="shared" si="15"/>
        <v>无销量广告费为3.26</v>
      </c>
      <c r="AI8" s="23">
        <f t="shared" si="16"/>
        <v>0.0950594121325829</v>
      </c>
      <c r="AJ8">
        <f>IFERROR(VLOOKUP($B8,[1]库存报告使用数据!$A$1:$B$65536,2,0),0)</f>
        <v>16</v>
      </c>
      <c r="AK8">
        <f>IFERROR(VLOOKUP($B8,[1]库存报告使用数据!$A$1:$C$65536,3,0),0)</f>
        <v>10</v>
      </c>
      <c r="AL8">
        <f>IFERROR(VLOOKUP($B8,[1]库存报告使用数据!$A$1:$D$65536,4,0),0)</f>
        <v>8</v>
      </c>
      <c r="AM8">
        <f>IFERROR(VLOOKUP($B8,[1]库存报告使用数据!$A$1:$E$65536,5,0),0)</f>
        <v>5</v>
      </c>
      <c r="AN8" s="23">
        <f t="shared" si="17"/>
        <v>0.0625</v>
      </c>
      <c r="AO8" s="23">
        <f t="shared" si="18"/>
        <v>0.1</v>
      </c>
      <c r="AP8" s="23">
        <f t="shared" si="19"/>
        <v>0</v>
      </c>
      <c r="AQ8" s="23">
        <f t="shared" si="20"/>
        <v>0.2</v>
      </c>
      <c r="AR8" s="38">
        <f t="shared" si="4"/>
        <v>0.142857142857143</v>
      </c>
      <c r="AS8" s="38">
        <f t="shared" si="5"/>
        <v>8.57142857142857</v>
      </c>
      <c r="AT8" s="38">
        <f t="shared" si="6"/>
        <v>31.4285714285714</v>
      </c>
      <c r="AU8" s="33">
        <f t="shared" si="7"/>
        <v>280</v>
      </c>
      <c r="AV8" s="39">
        <f>IFERROR(时间!$B$4+AU8,"上周无销量")</f>
        <v>43570</v>
      </c>
    </row>
    <row r="9" spans="1:48">
      <c r="A9" s="35" t="s">
        <v>54</v>
      </c>
      <c r="B9" t="str">
        <f>VLOOKUP(A9,'[2]sku-asin（子）'!$A:$B,2,0)</f>
        <v>B0761NFQMT</v>
      </c>
      <c r="C9" t="str">
        <f>VLOOKUP(A9,'[2]子sku-父sku'!$A:$B,2,0)</f>
        <v>TTYCMZFCXH</v>
      </c>
      <c r="D9" s="33">
        <f>IFERROR(VLOOKUP(A9,[3]库存报告使用数据处理!$A:$C,3,0),0)</f>
        <v>0</v>
      </c>
      <c r="E9" s="33">
        <f>IFERROR(VLOOKUP(A9,[3]库存报告使用数据处理!$A:$D,4,0),0)</f>
        <v>4</v>
      </c>
      <c r="F9" s="33">
        <f>IFERROR(VLOOKUP(A9,[3]库存报告使用数据处理!$A:$E,5,0),0)</f>
        <v>0</v>
      </c>
      <c r="G9" s="33">
        <f>IFERROR(VLOOKUP(A9,[3]库存报告使用数据处理!$A:$F,6,0),0)</f>
        <v>0</v>
      </c>
      <c r="H9" s="34">
        <f>IFERROR(VLOOKUP(A9,[3]库存报告使用数据处理!$A:$G,7,0),0)</f>
        <v>36.76</v>
      </c>
      <c r="I9">
        <f>IFERROR(VLOOKUP(A9,[4]数据处理!$A:$B,2,0),0)</f>
        <v>45</v>
      </c>
      <c r="J9" s="36">
        <f>IFERROR(VLOOKUP(A9,[4]数据处理!$A:$D,4,0),0)</f>
        <v>0</v>
      </c>
      <c r="K9" s="36">
        <f>IFERROR(VLOOKUP(A9,[4]数据处理!$A:$E,5,0),0)</f>
        <v>0</v>
      </c>
      <c r="L9" s="36">
        <f>IFERROR(VLOOKUP(A9,[4]数据处理!$A:$G,7,0),0)</f>
        <v>0</v>
      </c>
      <c r="M9">
        <f t="shared" si="0"/>
        <v>45</v>
      </c>
      <c r="N9">
        <f>IFERROR(VLOOKUP(A9,[4]数据处理!$A:$C,3,0),0)</f>
        <v>0</v>
      </c>
      <c r="O9">
        <f>IFERROR(VLOOKUP($A9,[4]数据处理!$A:$N,14,0),0)</f>
        <v>45</v>
      </c>
      <c r="P9">
        <f>IFERROR(VLOOKUP($A9,[5]库存使用数据!$A:$B,2,0),"")</f>
        <v>0</v>
      </c>
      <c r="Q9">
        <f>IFERROR(VLOOKUP($A9,[5]库存使用数据!$A:$E,5,0),"")</f>
        <v>0</v>
      </c>
      <c r="R9">
        <f>IFERROR(VLOOKUP($A9,[5]库存使用数据!$A:$H,8,0),"")</f>
        <v>0</v>
      </c>
      <c r="S9">
        <f>IFERROR(VLOOKUP($A9,[5]库存使用数据!$A:$K,11,0),"")</f>
        <v>6</v>
      </c>
      <c r="T9">
        <f>IFERROR(VLOOKUP($A9,[5]库存使用数据!$A:$C,3,0),"")</f>
        <v>0</v>
      </c>
      <c r="U9">
        <f>IFERROR(VLOOKUP($A9,[5]库存使用数据!$A:$F,6,0),"")</f>
        <v>0</v>
      </c>
      <c r="V9">
        <f>IFERROR(VLOOKUP($A9,[5]库存使用数据!$A:$I,9,0),"")</f>
        <v>0</v>
      </c>
      <c r="W9">
        <f>IFERROR(VLOOKUP($A9,[5]库存使用数据!$A:$L,12,0),"")</f>
        <v>0</v>
      </c>
      <c r="X9" s="23" t="str">
        <f t="shared" si="9"/>
        <v/>
      </c>
      <c r="Y9" s="23" t="str">
        <f t="shared" si="10"/>
        <v/>
      </c>
      <c r="Z9" s="23" t="str">
        <f t="shared" si="11"/>
        <v/>
      </c>
      <c r="AA9" s="23">
        <f t="shared" si="12"/>
        <v>0</v>
      </c>
      <c r="AB9">
        <f>IFERROR(VLOOKUP($A9,[5]库存使用数据!$A:$D,4,0),"")</f>
        <v>0</v>
      </c>
      <c r="AC9">
        <f>IFERROR(VLOOKUP($A9,[5]库存使用数据!$A:$G,7,0),"")</f>
        <v>0</v>
      </c>
      <c r="AD9">
        <f>IFERROR(VLOOKUP($A9,[5]库存使用数据!$A:$J,10,0),"")</f>
        <v>0</v>
      </c>
      <c r="AE9">
        <f>IFERROR(VLOOKUP($A9,[5]库存使用数据!$A:$M,13,0),"")</f>
        <v>0</v>
      </c>
      <c r="AF9" s="23" t="str">
        <f t="shared" si="13"/>
        <v/>
      </c>
      <c r="AG9" s="23" t="str">
        <f t="shared" si="14"/>
        <v/>
      </c>
      <c r="AH9" s="23" t="str">
        <f t="shared" si="15"/>
        <v/>
      </c>
      <c r="AI9" s="23" t="str">
        <f t="shared" si="16"/>
        <v/>
      </c>
      <c r="AJ9">
        <f>IFERROR(VLOOKUP($B9,[1]库存报告使用数据!$A$1:$B$65536,2,0),0)</f>
        <v>3</v>
      </c>
      <c r="AK9">
        <f>IFERROR(VLOOKUP($B9,[1]库存报告使用数据!$A$1:$C$65536,3,0),0)</f>
        <v>17</v>
      </c>
      <c r="AL9">
        <f>IFERROR(VLOOKUP($B9,[1]库存报告使用数据!$A$1:$D$65536,4,0),0)</f>
        <v>11</v>
      </c>
      <c r="AM9">
        <f>IFERROR(VLOOKUP($B9,[1]库存报告使用数据!$A$1:$E$65536,5,0),0)</f>
        <v>5</v>
      </c>
      <c r="AN9" s="23">
        <f t="shared" si="17"/>
        <v>0</v>
      </c>
      <c r="AO9" s="23">
        <f t="shared" si="18"/>
        <v>0.235294117647059</v>
      </c>
      <c r="AP9" s="23">
        <f t="shared" si="19"/>
        <v>0</v>
      </c>
      <c r="AQ9" s="23">
        <f t="shared" si="20"/>
        <v>0</v>
      </c>
      <c r="AR9" s="38">
        <f t="shared" si="4"/>
        <v>0</v>
      </c>
      <c r="AS9" s="38">
        <f t="shared" si="5"/>
        <v>0</v>
      </c>
      <c r="AT9" s="38">
        <f t="shared" si="6"/>
        <v>45</v>
      </c>
      <c r="AU9" s="33" t="str">
        <f t="shared" si="7"/>
        <v>库存为45</v>
      </c>
      <c r="AV9" s="39" t="str">
        <f>IFERROR(时间!$B$4+AU9,"上周无销量")</f>
        <v>上周无销量</v>
      </c>
    </row>
    <row r="10" spans="1:48">
      <c r="A10" s="35" t="s">
        <v>55</v>
      </c>
      <c r="B10" t="str">
        <f>VLOOKUP(A10,'[2]sku-asin（子）'!$A:$B,2,0)</f>
        <v>B073F2HG9P</v>
      </c>
      <c r="C10" t="str">
        <f>VLOOKUP(A10,'[2]子sku-父sku'!$A:$B,2,0)</f>
        <v>JBLKTK</v>
      </c>
      <c r="D10" s="33">
        <f>IFERROR(VLOOKUP(A10,[3]库存报告使用数据处理!$A:$C,3,0),0)</f>
        <v>1</v>
      </c>
      <c r="E10" s="33">
        <f>IFERROR(VLOOKUP(A10,[3]库存报告使用数据处理!$A:$D,4,0),0)</f>
        <v>0</v>
      </c>
      <c r="F10" s="33">
        <f>IFERROR(VLOOKUP(A10,[3]库存报告使用数据处理!$A:$E,5,0),0)</f>
        <v>1</v>
      </c>
      <c r="G10" s="33">
        <f>IFERROR(VLOOKUP(A10,[3]库存报告使用数据处理!$A:$F,6,0),0)</f>
        <v>0</v>
      </c>
      <c r="H10" s="34">
        <f>IFERROR(VLOOKUP(A10,[3]库存报告使用数据处理!$A:$G,7,0),0)</f>
        <v>20.9</v>
      </c>
      <c r="I10">
        <f>IFERROR(VLOOKUP(A10,[4]数据处理!$A:$B,2,0),0)</f>
        <v>2</v>
      </c>
      <c r="J10" s="36">
        <f>IFERROR(VLOOKUP(A10,[4]数据处理!$A:$D,4,0),0)</f>
        <v>0</v>
      </c>
      <c r="K10" s="36">
        <f>IFERROR(VLOOKUP(A10,[4]数据处理!$A:$E,5,0),0)</f>
        <v>0</v>
      </c>
      <c r="L10" s="36">
        <f>IFERROR(VLOOKUP(A10,[4]数据处理!$A:$G,7,0),0)</f>
        <v>0</v>
      </c>
      <c r="M10">
        <f t="shared" si="0"/>
        <v>2</v>
      </c>
      <c r="N10">
        <f>IFERROR(VLOOKUP(A10,[4]数据处理!$A:$C,3,0),0)</f>
        <v>0</v>
      </c>
      <c r="O10">
        <f>IFERROR(VLOOKUP($A10,[4]数据处理!$A:$N,14,0),0)</f>
        <v>2</v>
      </c>
      <c r="P10" t="str">
        <f>IFERROR(VLOOKUP($A10,[5]库存使用数据!$A:$B,2,0),"")</f>
        <v/>
      </c>
      <c r="Q10" t="str">
        <f>IFERROR(VLOOKUP($A10,[5]库存使用数据!$A:$E,5,0),"")</f>
        <v/>
      </c>
      <c r="R10" t="str">
        <f>IFERROR(VLOOKUP($A10,[5]库存使用数据!$A:$H,8,0),"")</f>
        <v/>
      </c>
      <c r="S10" t="str">
        <f>IFERROR(VLOOKUP($A10,[5]库存使用数据!$A:$K,11,0),"")</f>
        <v/>
      </c>
      <c r="T10" t="str">
        <f>IFERROR(VLOOKUP($A10,[5]库存使用数据!$A:$C,3,0),"")</f>
        <v/>
      </c>
      <c r="U10" t="str">
        <f>IFERROR(VLOOKUP($A10,[5]库存使用数据!$A:$F,6,0),"")</f>
        <v/>
      </c>
      <c r="V10" t="str">
        <f>IFERROR(VLOOKUP($A10,[5]库存使用数据!$A:$I,9,0),"")</f>
        <v/>
      </c>
      <c r="W10" t="str">
        <f>IFERROR(VLOOKUP($A10,[5]库存使用数据!$A:$L,12,0),"")</f>
        <v/>
      </c>
      <c r="X10" s="23" t="str">
        <f t="shared" si="9"/>
        <v/>
      </c>
      <c r="Y10" s="23" t="str">
        <f t="shared" si="10"/>
        <v/>
      </c>
      <c r="Z10" s="23" t="str">
        <f t="shared" si="11"/>
        <v/>
      </c>
      <c r="AA10" s="23" t="str">
        <f t="shared" si="12"/>
        <v/>
      </c>
      <c r="AB10" t="str">
        <f>IFERROR(VLOOKUP($A10,[5]库存使用数据!$A:$D,4,0),"")</f>
        <v/>
      </c>
      <c r="AC10" t="str">
        <f>IFERROR(VLOOKUP($A10,[5]库存使用数据!$A:$G,7,0),"")</f>
        <v/>
      </c>
      <c r="AD10" t="str">
        <f>IFERROR(VLOOKUP($A10,[5]库存使用数据!$A:$J,10,0),"")</f>
        <v/>
      </c>
      <c r="AE10" t="str">
        <f>IFERROR(VLOOKUP($A10,[5]库存使用数据!$A:$M,13,0),"")</f>
        <v/>
      </c>
      <c r="AF10" s="23" t="str">
        <f t="shared" si="13"/>
        <v/>
      </c>
      <c r="AG10" s="23" t="str">
        <f t="shared" si="14"/>
        <v/>
      </c>
      <c r="AH10" s="23" t="str">
        <f t="shared" si="15"/>
        <v/>
      </c>
      <c r="AI10" s="23" t="str">
        <f t="shared" si="16"/>
        <v/>
      </c>
      <c r="AJ10">
        <f>IFERROR(VLOOKUP($B10,[1]库存报告使用数据!$A$1:$B$65536,2,0),0)</f>
        <v>0</v>
      </c>
      <c r="AK10">
        <f>IFERROR(VLOOKUP($B10,[1]库存报告使用数据!$A$1:$C$65536,3,0),0)</f>
        <v>1</v>
      </c>
      <c r="AL10">
        <f>IFERROR(VLOOKUP($B10,[1]库存报告使用数据!$A$1:$D$65536,4,0),0)</f>
        <v>3</v>
      </c>
      <c r="AM10">
        <f>IFERROR(VLOOKUP($B10,[1]库存报告使用数据!$A$1:$E$65536,5,0),0)</f>
        <v>0</v>
      </c>
      <c r="AN10" s="23" t="str">
        <f t="shared" si="17"/>
        <v/>
      </c>
      <c r="AO10" s="23">
        <f t="shared" si="18"/>
        <v>0</v>
      </c>
      <c r="AP10" s="23">
        <f t="shared" si="19"/>
        <v>0.333333333333333</v>
      </c>
      <c r="AQ10" s="23" t="str">
        <f t="shared" si="20"/>
        <v/>
      </c>
      <c r="AR10" s="38">
        <f t="shared" si="4"/>
        <v>0.142857142857143</v>
      </c>
      <c r="AS10" s="38">
        <f t="shared" si="5"/>
        <v>8.57142857142857</v>
      </c>
      <c r="AT10" s="38">
        <f t="shared" si="6"/>
        <v>-6.57142857142857</v>
      </c>
      <c r="AU10" s="33">
        <f t="shared" si="7"/>
        <v>14</v>
      </c>
      <c r="AV10" s="39">
        <f>IFERROR(时间!$B$4+AU10,"上周无销量")</f>
        <v>43304</v>
      </c>
    </row>
    <row r="11" spans="1:48">
      <c r="A11" s="35" t="s">
        <v>56</v>
      </c>
      <c r="B11" t="str">
        <f>VLOOKUP(A11,'[2]sku-asin（子）'!$A:$B,2,0)</f>
        <v>B073F2WTJX</v>
      </c>
      <c r="C11" t="str">
        <f>VLOOKUP(A11,'[2]子sku-父sku'!$A:$B,2,0)</f>
        <v>JBLKTK</v>
      </c>
      <c r="D11" s="33">
        <f>IFERROR(VLOOKUP(A11,[3]库存报告使用数据处理!$A:$C,3,0),0)</f>
        <v>0</v>
      </c>
      <c r="E11" s="33">
        <f>IFERROR(VLOOKUP(A11,[3]库存报告使用数据处理!$A:$D,4,0),0)</f>
        <v>0</v>
      </c>
      <c r="F11" s="33">
        <f>IFERROR(VLOOKUP(A11,[3]库存报告使用数据处理!$A:$E,5,0),0)</f>
        <v>0</v>
      </c>
      <c r="G11" s="33">
        <f>IFERROR(VLOOKUP(A11,[3]库存报告使用数据处理!$A:$F,6,0),0)</f>
        <v>0</v>
      </c>
      <c r="H11" s="34">
        <f>IFERROR(VLOOKUP(A11,[3]库存报告使用数据处理!$A:$G,7,0),0)</f>
        <v>0</v>
      </c>
      <c r="I11">
        <f>IFERROR(VLOOKUP(A11,[4]数据处理!$A:$B,2,0),0)</f>
        <v>3</v>
      </c>
      <c r="J11" s="36">
        <f>IFERROR(VLOOKUP(A11,[4]数据处理!$A:$D,4,0),0)</f>
        <v>0</v>
      </c>
      <c r="K11" s="36">
        <f>IFERROR(VLOOKUP(A11,[4]数据处理!$A:$E,5,0),0)</f>
        <v>0</v>
      </c>
      <c r="L11" s="36">
        <f>IFERROR(VLOOKUP(A11,[4]数据处理!$A:$G,7,0),0)</f>
        <v>0</v>
      </c>
      <c r="M11">
        <f t="shared" si="0"/>
        <v>3</v>
      </c>
      <c r="N11">
        <f>IFERROR(VLOOKUP(A11,[4]数据处理!$A:$C,3,0),0)</f>
        <v>0</v>
      </c>
      <c r="O11">
        <f>IFERROR(VLOOKUP($A11,[4]数据处理!$A:$N,14,0),0)</f>
        <v>3</v>
      </c>
      <c r="P11" t="str">
        <f>IFERROR(VLOOKUP($A11,[5]库存使用数据!$A:$B,2,0),"")</f>
        <v/>
      </c>
      <c r="Q11" t="str">
        <f>IFERROR(VLOOKUP($A11,[5]库存使用数据!$A:$E,5,0),"")</f>
        <v/>
      </c>
      <c r="R11" t="str">
        <f>IFERROR(VLOOKUP($A11,[5]库存使用数据!$A:$H,8,0),"")</f>
        <v/>
      </c>
      <c r="S11" t="str">
        <f>IFERROR(VLOOKUP($A11,[5]库存使用数据!$A:$K,11,0),"")</f>
        <v/>
      </c>
      <c r="T11" t="str">
        <f>IFERROR(VLOOKUP($A11,[5]库存使用数据!$A:$C,3,0),"")</f>
        <v/>
      </c>
      <c r="U11" t="str">
        <f>IFERROR(VLOOKUP($A11,[5]库存使用数据!$A:$F,6,0),"")</f>
        <v/>
      </c>
      <c r="V11" t="str">
        <f>IFERROR(VLOOKUP($A11,[5]库存使用数据!$A:$I,9,0),"")</f>
        <v/>
      </c>
      <c r="W11" t="str">
        <f>IFERROR(VLOOKUP($A11,[5]库存使用数据!$A:$L,12,0),"")</f>
        <v/>
      </c>
      <c r="X11" s="23" t="str">
        <f t="shared" si="9"/>
        <v/>
      </c>
      <c r="Y11" s="23" t="str">
        <f t="shared" si="10"/>
        <v/>
      </c>
      <c r="Z11" s="23" t="str">
        <f t="shared" si="11"/>
        <v/>
      </c>
      <c r="AA11" s="23" t="str">
        <f t="shared" si="12"/>
        <v/>
      </c>
      <c r="AB11" t="str">
        <f>IFERROR(VLOOKUP($A11,[5]库存使用数据!$A:$D,4,0),"")</f>
        <v/>
      </c>
      <c r="AC11" t="str">
        <f>IFERROR(VLOOKUP($A11,[5]库存使用数据!$A:$G,7,0),"")</f>
        <v/>
      </c>
      <c r="AD11" t="str">
        <f>IFERROR(VLOOKUP($A11,[5]库存使用数据!$A:$J,10,0),"")</f>
        <v/>
      </c>
      <c r="AE11" t="str">
        <f>IFERROR(VLOOKUP($A11,[5]库存使用数据!$A:$M,13,0),"")</f>
        <v/>
      </c>
      <c r="AF11" s="23" t="str">
        <f t="shared" si="13"/>
        <v/>
      </c>
      <c r="AG11" s="23" t="str">
        <f t="shared" si="14"/>
        <v/>
      </c>
      <c r="AH11" s="23" t="str">
        <f t="shared" si="15"/>
        <v/>
      </c>
      <c r="AI11" s="23" t="str">
        <f t="shared" si="16"/>
        <v/>
      </c>
      <c r="AJ11">
        <f>IFERROR(VLOOKUP($B11,[1]库存报告使用数据!$A$1:$B$65536,2,0),0)</f>
        <v>0</v>
      </c>
      <c r="AK11">
        <f>IFERROR(VLOOKUP($B11,[1]库存报告使用数据!$A$1:$C$65536,3,0),0)</f>
        <v>4</v>
      </c>
      <c r="AL11">
        <f>IFERROR(VLOOKUP($B11,[1]库存报告使用数据!$A$1:$D$65536,4,0),0)</f>
        <v>0</v>
      </c>
      <c r="AM11">
        <f>IFERROR(VLOOKUP($B11,[1]库存报告使用数据!$A$1:$E$65536,5,0),0)</f>
        <v>0</v>
      </c>
      <c r="AN11" s="23" t="str">
        <f t="shared" si="17"/>
        <v/>
      </c>
      <c r="AO11" s="23">
        <f t="shared" si="18"/>
        <v>0</v>
      </c>
      <c r="AP11" s="23" t="str">
        <f t="shared" si="19"/>
        <v/>
      </c>
      <c r="AQ11" s="23" t="str">
        <f t="shared" si="20"/>
        <v/>
      </c>
      <c r="AR11" s="38">
        <f t="shared" si="4"/>
        <v>0</v>
      </c>
      <c r="AS11" s="38">
        <f t="shared" si="5"/>
        <v>0</v>
      </c>
      <c r="AT11" s="38">
        <f t="shared" si="6"/>
        <v>3</v>
      </c>
      <c r="AU11" s="33" t="str">
        <f t="shared" si="7"/>
        <v>库存为3</v>
      </c>
      <c r="AV11" s="39" t="str">
        <f>IFERROR(时间!$B$4+AU11,"上周无销量")</f>
        <v>上周无销量</v>
      </c>
    </row>
    <row r="12" spans="1:48">
      <c r="A12" s="35" t="s">
        <v>57</v>
      </c>
      <c r="B12" t="str">
        <f>VLOOKUP(A12,'[2]sku-asin（子）'!$A:$B,2,0)</f>
        <v>B073F35WHV</v>
      </c>
      <c r="C12" t="str">
        <f>VLOOKUP(A12,'[2]子sku-父sku'!$A:$B,2,0)</f>
        <v>JBLKTK</v>
      </c>
      <c r="D12" s="33">
        <f>IFERROR(VLOOKUP(A12,[3]库存报告使用数据处理!$A:$C,3,0),0)</f>
        <v>0</v>
      </c>
      <c r="E12" s="33">
        <f>IFERROR(VLOOKUP(A12,[3]库存报告使用数据处理!$A:$D,4,0),0)</f>
        <v>1</v>
      </c>
      <c r="F12" s="33">
        <f>IFERROR(VLOOKUP(A12,[3]库存报告使用数据处理!$A:$E,5,0),0)</f>
        <v>0</v>
      </c>
      <c r="G12" s="33">
        <f>IFERROR(VLOOKUP(A12,[3]库存报告使用数据处理!$A:$F,6,0),0)</f>
        <v>0</v>
      </c>
      <c r="H12" s="34">
        <f>IFERROR(VLOOKUP(A12,[3]库存报告使用数据处理!$A:$G,7,0),0)</f>
        <v>20.9</v>
      </c>
      <c r="I12">
        <f>IFERROR(VLOOKUP(A12,[4]数据处理!$A:$B,2,0),0)</f>
        <v>0</v>
      </c>
      <c r="J12" s="36">
        <f>IFERROR(VLOOKUP(A12,[4]数据处理!$A:$D,4,0),0)</f>
        <v>0</v>
      </c>
      <c r="K12" s="36">
        <f>IFERROR(VLOOKUP(A12,[4]数据处理!$A:$E,5,0),0)</f>
        <v>0</v>
      </c>
      <c r="L12" s="36">
        <f>IFERROR(VLOOKUP(A12,[4]数据处理!$A:$G,7,0),0)</f>
        <v>0</v>
      </c>
      <c r="M12">
        <f t="shared" si="0"/>
        <v>0</v>
      </c>
      <c r="N12">
        <f>IFERROR(VLOOKUP(A12,[4]数据处理!$A:$C,3,0),0)</f>
        <v>0</v>
      </c>
      <c r="O12">
        <f>IFERROR(VLOOKUP($A12,[4]数据处理!$A:$N,14,0),0)</f>
        <v>0</v>
      </c>
      <c r="P12" t="str">
        <f>IFERROR(VLOOKUP($A12,[5]库存使用数据!$A:$B,2,0),"")</f>
        <v/>
      </c>
      <c r="Q12" t="str">
        <f>IFERROR(VLOOKUP($A12,[5]库存使用数据!$A:$E,5,0),"")</f>
        <v/>
      </c>
      <c r="R12" t="str">
        <f>IFERROR(VLOOKUP($A12,[5]库存使用数据!$A:$H,8,0),"")</f>
        <v/>
      </c>
      <c r="S12" t="str">
        <f>IFERROR(VLOOKUP($A12,[5]库存使用数据!$A:$K,11,0),"")</f>
        <v/>
      </c>
      <c r="T12" t="str">
        <f>IFERROR(VLOOKUP($A12,[5]库存使用数据!$A:$C,3,0),"")</f>
        <v/>
      </c>
      <c r="U12" t="str">
        <f>IFERROR(VLOOKUP($A12,[5]库存使用数据!$A:$F,6,0),"")</f>
        <v/>
      </c>
      <c r="V12" t="str">
        <f>IFERROR(VLOOKUP($A12,[5]库存使用数据!$A:$I,9,0),"")</f>
        <v/>
      </c>
      <c r="W12" t="str">
        <f>IFERROR(VLOOKUP($A12,[5]库存使用数据!$A:$L,12,0),"")</f>
        <v/>
      </c>
      <c r="X12" s="23" t="str">
        <f t="shared" si="9"/>
        <v/>
      </c>
      <c r="Y12" s="23" t="str">
        <f t="shared" si="10"/>
        <v/>
      </c>
      <c r="Z12" s="23" t="str">
        <f t="shared" si="11"/>
        <v/>
      </c>
      <c r="AA12" s="23" t="str">
        <f t="shared" si="12"/>
        <v/>
      </c>
      <c r="AB12" t="str">
        <f>IFERROR(VLOOKUP($A12,[5]库存使用数据!$A:$D,4,0),"")</f>
        <v/>
      </c>
      <c r="AC12" t="str">
        <f>IFERROR(VLOOKUP($A12,[5]库存使用数据!$A:$G,7,0),"")</f>
        <v/>
      </c>
      <c r="AD12" t="str">
        <f>IFERROR(VLOOKUP($A12,[5]库存使用数据!$A:$J,10,0),"")</f>
        <v/>
      </c>
      <c r="AE12" t="str">
        <f>IFERROR(VLOOKUP($A12,[5]库存使用数据!$A:$M,13,0),"")</f>
        <v/>
      </c>
      <c r="AF12" s="23" t="str">
        <f t="shared" si="13"/>
        <v/>
      </c>
      <c r="AG12" s="23" t="str">
        <f t="shared" si="14"/>
        <v/>
      </c>
      <c r="AH12" s="23" t="str">
        <f t="shared" si="15"/>
        <v/>
      </c>
      <c r="AI12" s="23" t="str">
        <f t="shared" si="16"/>
        <v/>
      </c>
      <c r="AJ12">
        <f>IFERROR(VLOOKUP($B12,[1]库存报告使用数据!$A$1:$B$65536,2,0),0)</f>
        <v>0</v>
      </c>
      <c r="AK12">
        <f>IFERROR(VLOOKUP($B12,[1]库存报告使用数据!$A$1:$C$65536,3,0),0)</f>
        <v>0</v>
      </c>
      <c r="AL12">
        <f>IFERROR(VLOOKUP($B12,[1]库存报告使用数据!$A$1:$D$65536,4,0),0)</f>
        <v>1</v>
      </c>
      <c r="AM12">
        <f>IFERROR(VLOOKUP($B12,[1]库存报告使用数据!$A$1:$E$65536,5,0),0)</f>
        <v>3</v>
      </c>
      <c r="AN12" s="23" t="str">
        <f t="shared" si="17"/>
        <v/>
      </c>
      <c r="AO12" s="23" t="str">
        <f t="shared" si="18"/>
        <v/>
      </c>
      <c r="AP12" s="23">
        <f t="shared" si="19"/>
        <v>0</v>
      </c>
      <c r="AQ12" s="23">
        <f t="shared" si="20"/>
        <v>0</v>
      </c>
      <c r="AR12" s="38">
        <f t="shared" si="4"/>
        <v>0</v>
      </c>
      <c r="AS12" s="38">
        <f t="shared" si="5"/>
        <v>0</v>
      </c>
      <c r="AT12" s="38">
        <f t="shared" si="6"/>
        <v>0</v>
      </c>
      <c r="AU12" s="33" t="str">
        <f t="shared" si="7"/>
        <v>库存为0</v>
      </c>
      <c r="AV12" s="39" t="str">
        <f>IFERROR(时间!$B$4+AU12,"上周无销量")</f>
        <v>上周无销量</v>
      </c>
    </row>
    <row r="13" spans="1:48">
      <c r="A13" s="35" t="s">
        <v>58</v>
      </c>
      <c r="B13" t="str">
        <f>VLOOKUP(A13,'[2]sku-asin（子）'!$A:$B,2,0)</f>
        <v>B073F2M56J</v>
      </c>
      <c r="C13" t="str">
        <f>VLOOKUP(A13,'[2]子sku-父sku'!$A:$B,2,0)</f>
        <v>JBL-QFFM</v>
      </c>
      <c r="D13" s="33">
        <f>IFERROR(VLOOKUP(A13,[3]库存报告使用数据处理!$A:$C,3,0),0)</f>
        <v>1</v>
      </c>
      <c r="E13" s="33">
        <f>IFERROR(VLOOKUP(A13,[3]库存报告使用数据处理!$A:$D,4,0),0)</f>
        <v>0</v>
      </c>
      <c r="F13" s="33">
        <f>IFERROR(VLOOKUP(A13,[3]库存报告使用数据处理!$A:$E,5,0),0)</f>
        <v>0</v>
      </c>
      <c r="G13" s="33">
        <f>IFERROR(VLOOKUP(A13,[3]库存报告使用数据处理!$A:$F,6,0),0)</f>
        <v>0</v>
      </c>
      <c r="H13" s="34">
        <f>IFERROR(VLOOKUP(A13,[3]库存报告使用数据处理!$A:$G,7,0),0)</f>
        <v>20.9</v>
      </c>
      <c r="I13">
        <f>IFERROR(VLOOKUP(A13,[4]数据处理!$A:$B,2,0),0)</f>
        <v>1</v>
      </c>
      <c r="J13" s="36">
        <f>IFERROR(VLOOKUP(A13,[4]数据处理!$A:$D,4,0),0)</f>
        <v>0</v>
      </c>
      <c r="K13" s="36">
        <f>IFERROR(VLOOKUP(A13,[4]数据处理!$A:$E,5,0),0)</f>
        <v>0</v>
      </c>
      <c r="L13" s="36">
        <f>IFERROR(VLOOKUP(A13,[4]数据处理!$A:$G,7,0),0)</f>
        <v>0</v>
      </c>
      <c r="M13">
        <f t="shared" si="0"/>
        <v>1</v>
      </c>
      <c r="N13">
        <f>IFERROR(VLOOKUP(A13,[4]数据处理!$A:$C,3,0),0)</f>
        <v>0</v>
      </c>
      <c r="O13">
        <f>IFERROR(VLOOKUP($A13,[4]数据处理!$A:$N,14,0),0)</f>
        <v>2</v>
      </c>
      <c r="P13" t="str">
        <f>IFERROR(VLOOKUP($A13,[5]库存使用数据!$A:$B,2,0),"")</f>
        <v/>
      </c>
      <c r="Q13" t="str">
        <f>IFERROR(VLOOKUP($A13,[5]库存使用数据!$A:$E,5,0),"")</f>
        <v/>
      </c>
      <c r="R13" t="str">
        <f>IFERROR(VLOOKUP($A13,[5]库存使用数据!$A:$H,8,0),"")</f>
        <v/>
      </c>
      <c r="S13" t="str">
        <f>IFERROR(VLOOKUP($A13,[5]库存使用数据!$A:$K,11,0),"")</f>
        <v/>
      </c>
      <c r="T13" t="str">
        <f>IFERROR(VLOOKUP($A13,[5]库存使用数据!$A:$C,3,0),"")</f>
        <v/>
      </c>
      <c r="U13" t="str">
        <f>IFERROR(VLOOKUP($A13,[5]库存使用数据!$A:$F,6,0),"")</f>
        <v/>
      </c>
      <c r="V13" t="str">
        <f>IFERROR(VLOOKUP($A13,[5]库存使用数据!$A:$I,9,0),"")</f>
        <v/>
      </c>
      <c r="W13" t="str">
        <f>IFERROR(VLOOKUP($A13,[5]库存使用数据!$A:$L,12,0),"")</f>
        <v/>
      </c>
      <c r="X13" s="23" t="str">
        <f t="shared" si="9"/>
        <v/>
      </c>
      <c r="Y13" s="23" t="str">
        <f t="shared" si="10"/>
        <v/>
      </c>
      <c r="Z13" s="23" t="str">
        <f t="shared" si="11"/>
        <v/>
      </c>
      <c r="AA13" s="23" t="str">
        <f t="shared" si="12"/>
        <v/>
      </c>
      <c r="AB13" t="str">
        <f>IFERROR(VLOOKUP($A13,[5]库存使用数据!$A:$D,4,0),"")</f>
        <v/>
      </c>
      <c r="AC13" t="str">
        <f>IFERROR(VLOOKUP($A13,[5]库存使用数据!$A:$G,7,0),"")</f>
        <v/>
      </c>
      <c r="AD13" t="str">
        <f>IFERROR(VLOOKUP($A13,[5]库存使用数据!$A:$J,10,0),"")</f>
        <v/>
      </c>
      <c r="AE13" t="str">
        <f>IFERROR(VLOOKUP($A13,[5]库存使用数据!$A:$M,13,0),"")</f>
        <v/>
      </c>
      <c r="AF13" s="23" t="str">
        <f t="shared" si="13"/>
        <v/>
      </c>
      <c r="AG13" s="23" t="str">
        <f t="shared" si="14"/>
        <v/>
      </c>
      <c r="AH13" s="23" t="str">
        <f t="shared" si="15"/>
        <v/>
      </c>
      <c r="AI13" s="23" t="str">
        <f t="shared" si="16"/>
        <v/>
      </c>
      <c r="AJ13">
        <f>IFERROR(VLOOKUP($B13,[1]库存报告使用数据!$A$1:$B$65536,2,0),0)</f>
        <v>2</v>
      </c>
      <c r="AK13">
        <f>IFERROR(VLOOKUP($B13,[1]库存报告使用数据!$A$1:$C$65536,3,0),0)</f>
        <v>2</v>
      </c>
      <c r="AL13">
        <f>IFERROR(VLOOKUP($B13,[1]库存报告使用数据!$A$1:$D$65536,4,0),0)</f>
        <v>4</v>
      </c>
      <c r="AM13">
        <f>IFERROR(VLOOKUP($B13,[1]库存报告使用数据!$A$1:$E$65536,5,0),0)</f>
        <v>1</v>
      </c>
      <c r="AN13" s="23">
        <f t="shared" si="17"/>
        <v>0.5</v>
      </c>
      <c r="AO13" s="23">
        <f t="shared" si="18"/>
        <v>0</v>
      </c>
      <c r="AP13" s="23">
        <f t="shared" si="19"/>
        <v>0</v>
      </c>
      <c r="AQ13" s="23">
        <f t="shared" si="20"/>
        <v>0</v>
      </c>
      <c r="AR13" s="38">
        <f t="shared" si="4"/>
        <v>0.142857142857143</v>
      </c>
      <c r="AS13" s="38">
        <f t="shared" si="5"/>
        <v>8.57142857142857</v>
      </c>
      <c r="AT13" s="38">
        <f t="shared" si="6"/>
        <v>-7.57142857142857</v>
      </c>
      <c r="AU13" s="33">
        <f t="shared" si="7"/>
        <v>7</v>
      </c>
      <c r="AV13" s="39">
        <f>IFERROR(时间!$B$4+AU13,"上周无销量")</f>
        <v>43297</v>
      </c>
    </row>
    <row r="14" spans="1:48">
      <c r="A14" s="35" t="s">
        <v>59</v>
      </c>
      <c r="B14" t="str">
        <f>VLOOKUP(A14,'[2]sku-asin（子）'!$A:$B,2,0)</f>
        <v>B073F3JBY6</v>
      </c>
      <c r="C14" t="str">
        <f>VLOOKUP(A14,'[2]子sku-父sku'!$A:$B,2,0)</f>
        <v>JBL-QFFM</v>
      </c>
      <c r="D14" s="33">
        <f>IFERROR(VLOOKUP(A14,[3]库存报告使用数据处理!$A:$C,3,0),0)</f>
        <v>0</v>
      </c>
      <c r="E14" s="33">
        <f>IFERROR(VLOOKUP(A14,[3]库存报告使用数据处理!$A:$D,4,0),0)</f>
        <v>0</v>
      </c>
      <c r="F14" s="33">
        <f>IFERROR(VLOOKUP(A14,[3]库存报告使用数据处理!$A:$E,5,0),0)</f>
        <v>0</v>
      </c>
      <c r="G14" s="33">
        <f>IFERROR(VLOOKUP(A14,[3]库存报告使用数据处理!$A:$F,6,0),0)</f>
        <v>0</v>
      </c>
      <c r="H14" s="34">
        <f>IFERROR(VLOOKUP(A14,[3]库存报告使用数据处理!$A:$G,7,0),0)</f>
        <v>0</v>
      </c>
      <c r="I14">
        <f>IFERROR(VLOOKUP(A14,[4]数据处理!$A:$B,2,0),0)</f>
        <v>0</v>
      </c>
      <c r="J14" s="36">
        <f>IFERROR(VLOOKUP(A14,[4]数据处理!$A:$D,4,0),0)</f>
        <v>0</v>
      </c>
      <c r="K14" s="36">
        <f>IFERROR(VLOOKUP(A14,[4]数据处理!$A:$E,5,0),0)</f>
        <v>0</v>
      </c>
      <c r="L14" s="36">
        <f>IFERROR(VLOOKUP(A14,[4]数据处理!$A:$G,7,0),0)</f>
        <v>0</v>
      </c>
      <c r="M14">
        <f t="shared" si="0"/>
        <v>0</v>
      </c>
      <c r="N14">
        <f>IFERROR(VLOOKUP(A14,[4]数据处理!$A:$C,3,0),0)</f>
        <v>0</v>
      </c>
      <c r="O14">
        <f>IFERROR(VLOOKUP($A14,[4]数据处理!$A:$N,14,0),0)</f>
        <v>0</v>
      </c>
      <c r="P14" t="str">
        <f>IFERROR(VLOOKUP($A14,[5]库存使用数据!$A:$B,2,0),"")</f>
        <v/>
      </c>
      <c r="Q14" t="str">
        <f>IFERROR(VLOOKUP($A14,[5]库存使用数据!$A:$E,5,0),"")</f>
        <v/>
      </c>
      <c r="R14" t="str">
        <f>IFERROR(VLOOKUP($A14,[5]库存使用数据!$A:$H,8,0),"")</f>
        <v/>
      </c>
      <c r="S14" t="str">
        <f>IFERROR(VLOOKUP($A14,[5]库存使用数据!$A:$K,11,0),"")</f>
        <v/>
      </c>
      <c r="T14" t="str">
        <f>IFERROR(VLOOKUP($A14,[5]库存使用数据!$A:$C,3,0),"")</f>
        <v/>
      </c>
      <c r="U14" t="str">
        <f>IFERROR(VLOOKUP($A14,[5]库存使用数据!$A:$F,6,0),"")</f>
        <v/>
      </c>
      <c r="V14" t="str">
        <f>IFERROR(VLOOKUP($A14,[5]库存使用数据!$A:$I,9,0),"")</f>
        <v/>
      </c>
      <c r="W14" t="str">
        <f>IFERROR(VLOOKUP($A14,[5]库存使用数据!$A:$L,12,0),"")</f>
        <v/>
      </c>
      <c r="X14" s="23" t="str">
        <f t="shared" si="9"/>
        <v/>
      </c>
      <c r="Y14" s="23" t="str">
        <f t="shared" si="10"/>
        <v/>
      </c>
      <c r="Z14" s="23" t="str">
        <f t="shared" si="11"/>
        <v/>
      </c>
      <c r="AA14" s="23" t="str">
        <f t="shared" si="12"/>
        <v/>
      </c>
      <c r="AB14" t="str">
        <f>IFERROR(VLOOKUP($A14,[5]库存使用数据!$A:$D,4,0),"")</f>
        <v/>
      </c>
      <c r="AC14" t="str">
        <f>IFERROR(VLOOKUP($A14,[5]库存使用数据!$A:$G,7,0),"")</f>
        <v/>
      </c>
      <c r="AD14" t="str">
        <f>IFERROR(VLOOKUP($A14,[5]库存使用数据!$A:$J,10,0),"")</f>
        <v/>
      </c>
      <c r="AE14" t="str">
        <f>IFERROR(VLOOKUP($A14,[5]库存使用数据!$A:$M,13,0),"")</f>
        <v/>
      </c>
      <c r="AF14" s="23" t="str">
        <f t="shared" si="13"/>
        <v/>
      </c>
      <c r="AG14" s="23" t="str">
        <f t="shared" si="14"/>
        <v/>
      </c>
      <c r="AH14" s="23" t="str">
        <f t="shared" si="15"/>
        <v/>
      </c>
      <c r="AI14" s="23" t="str">
        <f t="shared" si="16"/>
        <v/>
      </c>
      <c r="AJ14">
        <f>IFERROR(VLOOKUP($B14,[1]库存报告使用数据!$A$1:$B$65536,2,0),0)</f>
        <v>0</v>
      </c>
      <c r="AK14">
        <f>IFERROR(VLOOKUP($B14,[1]库存报告使用数据!$A$1:$C$65536,3,0),0)</f>
        <v>0</v>
      </c>
      <c r="AL14">
        <f>IFERROR(VLOOKUP($B14,[1]库存报告使用数据!$A$1:$D$65536,4,0),0)</f>
        <v>0</v>
      </c>
      <c r="AM14">
        <f>IFERROR(VLOOKUP($B14,[1]库存报告使用数据!$A$1:$E$65536,5,0),0)</f>
        <v>0</v>
      </c>
      <c r="AN14" s="23" t="str">
        <f t="shared" si="17"/>
        <v/>
      </c>
      <c r="AO14" s="23" t="str">
        <f t="shared" si="18"/>
        <v/>
      </c>
      <c r="AP14" s="23" t="str">
        <f t="shared" si="19"/>
        <v/>
      </c>
      <c r="AQ14" s="23" t="str">
        <f t="shared" si="20"/>
        <v/>
      </c>
      <c r="AR14" s="38">
        <f t="shared" si="4"/>
        <v>0</v>
      </c>
      <c r="AS14" s="38">
        <f t="shared" si="5"/>
        <v>0</v>
      </c>
      <c r="AT14" s="38">
        <f t="shared" si="6"/>
        <v>0</v>
      </c>
      <c r="AU14" s="33" t="str">
        <f t="shared" si="7"/>
        <v>库存为0</v>
      </c>
      <c r="AV14" s="39" t="str">
        <f>IFERROR(时间!$B$4+AU14,"上周无销量")</f>
        <v>上周无销量</v>
      </c>
    </row>
    <row r="15" spans="1:48">
      <c r="A15" s="35" t="s">
        <v>60</v>
      </c>
      <c r="B15" t="str">
        <f>VLOOKUP(A15,'[2]sku-asin（子）'!$A:$B,2,0)</f>
        <v>B073F29B28</v>
      </c>
      <c r="C15" t="str">
        <f>VLOOKUP(A15,'[2]子sku-父sku'!$A:$B,2,0)</f>
        <v>JBL-QFFM</v>
      </c>
      <c r="D15" s="33">
        <f>IFERROR(VLOOKUP(A15,[3]库存报告使用数据处理!$A:$C,3,0),0)</f>
        <v>0</v>
      </c>
      <c r="E15" s="33">
        <f>IFERROR(VLOOKUP(A15,[3]库存报告使用数据处理!$A:$D,4,0),0)</f>
        <v>0</v>
      </c>
      <c r="F15" s="33">
        <f>IFERROR(VLOOKUP(A15,[3]库存报告使用数据处理!$A:$E,5,0),0)</f>
        <v>0</v>
      </c>
      <c r="G15" s="33">
        <f>IFERROR(VLOOKUP(A15,[3]库存报告使用数据处理!$A:$F,6,0),0)</f>
        <v>1</v>
      </c>
      <c r="H15" s="34">
        <f>IFERROR(VLOOKUP(A15,[3]库存报告使用数据处理!$A:$G,7,0),0)</f>
        <v>0</v>
      </c>
      <c r="I15">
        <f>IFERROR(VLOOKUP(A15,[4]数据处理!$A:$B,2,0),0)</f>
        <v>0</v>
      </c>
      <c r="J15" s="36">
        <f>IFERROR(VLOOKUP(A15,[4]数据处理!$A:$D,4,0),0)</f>
        <v>0</v>
      </c>
      <c r="K15" s="36">
        <f>IFERROR(VLOOKUP(A15,[4]数据处理!$A:$E,5,0),0)</f>
        <v>0</v>
      </c>
      <c r="L15" s="36">
        <f>IFERROR(VLOOKUP(A15,[4]数据处理!$A:$G,7,0),0)</f>
        <v>0</v>
      </c>
      <c r="M15">
        <f t="shared" si="0"/>
        <v>0</v>
      </c>
      <c r="N15">
        <f>IFERROR(VLOOKUP(A15,[4]数据处理!$A:$C,3,0),0)</f>
        <v>0</v>
      </c>
      <c r="O15">
        <f>IFERROR(VLOOKUP($A15,[4]数据处理!$A:$N,14,0),0)</f>
        <v>0</v>
      </c>
      <c r="P15" t="str">
        <f>IFERROR(VLOOKUP($A15,[5]库存使用数据!$A:$B,2,0),"")</f>
        <v/>
      </c>
      <c r="Q15" t="str">
        <f>IFERROR(VLOOKUP($A15,[5]库存使用数据!$A:$E,5,0),"")</f>
        <v/>
      </c>
      <c r="R15" t="str">
        <f>IFERROR(VLOOKUP($A15,[5]库存使用数据!$A:$H,8,0),"")</f>
        <v/>
      </c>
      <c r="S15" t="str">
        <f>IFERROR(VLOOKUP($A15,[5]库存使用数据!$A:$K,11,0),"")</f>
        <v/>
      </c>
      <c r="T15" t="str">
        <f>IFERROR(VLOOKUP($A15,[5]库存使用数据!$A:$C,3,0),"")</f>
        <v/>
      </c>
      <c r="U15" t="str">
        <f>IFERROR(VLOOKUP($A15,[5]库存使用数据!$A:$F,6,0),"")</f>
        <v/>
      </c>
      <c r="V15" t="str">
        <f>IFERROR(VLOOKUP($A15,[5]库存使用数据!$A:$I,9,0),"")</f>
        <v/>
      </c>
      <c r="W15" t="str">
        <f>IFERROR(VLOOKUP($A15,[5]库存使用数据!$A:$L,12,0),"")</f>
        <v/>
      </c>
      <c r="X15" s="23" t="str">
        <f t="shared" si="9"/>
        <v/>
      </c>
      <c r="Y15" s="23" t="str">
        <f t="shared" si="10"/>
        <v/>
      </c>
      <c r="Z15" s="23" t="str">
        <f t="shared" si="11"/>
        <v/>
      </c>
      <c r="AA15" s="23" t="str">
        <f t="shared" si="12"/>
        <v/>
      </c>
      <c r="AB15" t="str">
        <f>IFERROR(VLOOKUP($A15,[5]库存使用数据!$A:$D,4,0),"")</f>
        <v/>
      </c>
      <c r="AC15" t="str">
        <f>IFERROR(VLOOKUP($A15,[5]库存使用数据!$A:$G,7,0),"")</f>
        <v/>
      </c>
      <c r="AD15" t="str">
        <f>IFERROR(VLOOKUP($A15,[5]库存使用数据!$A:$J,10,0),"")</f>
        <v/>
      </c>
      <c r="AE15" t="str">
        <f>IFERROR(VLOOKUP($A15,[5]库存使用数据!$A:$M,13,0),"")</f>
        <v/>
      </c>
      <c r="AF15" s="23" t="str">
        <f t="shared" si="13"/>
        <v/>
      </c>
      <c r="AG15" s="23" t="str">
        <f t="shared" si="14"/>
        <v/>
      </c>
      <c r="AH15" s="23" t="str">
        <f t="shared" si="15"/>
        <v/>
      </c>
      <c r="AI15" s="23" t="str">
        <f t="shared" si="16"/>
        <v/>
      </c>
      <c r="AJ15">
        <f>IFERROR(VLOOKUP($B15,[1]库存报告使用数据!$A$1:$B$65536,2,0),0)</f>
        <v>0</v>
      </c>
      <c r="AK15">
        <f>IFERROR(VLOOKUP($B15,[1]库存报告使用数据!$A$1:$C$65536,3,0),0)</f>
        <v>0</v>
      </c>
      <c r="AL15">
        <f>IFERROR(VLOOKUP($B15,[1]库存报告使用数据!$A$1:$D$65536,4,0),0)</f>
        <v>0</v>
      </c>
      <c r="AM15">
        <f>IFERROR(VLOOKUP($B15,[1]库存报告使用数据!$A$1:$E$65536,5,0),0)</f>
        <v>0</v>
      </c>
      <c r="AN15" s="23" t="str">
        <f t="shared" si="17"/>
        <v/>
      </c>
      <c r="AO15" s="23" t="str">
        <f t="shared" si="18"/>
        <v/>
      </c>
      <c r="AP15" s="23" t="str">
        <f t="shared" si="19"/>
        <v/>
      </c>
      <c r="AQ15" s="23" t="str">
        <f t="shared" si="20"/>
        <v/>
      </c>
      <c r="AR15" s="38">
        <f t="shared" si="4"/>
        <v>0</v>
      </c>
      <c r="AS15" s="38">
        <f t="shared" si="5"/>
        <v>0</v>
      </c>
      <c r="AT15" s="38">
        <f t="shared" si="6"/>
        <v>0</v>
      </c>
      <c r="AU15" s="33" t="str">
        <f t="shared" si="7"/>
        <v>库存为0</v>
      </c>
      <c r="AV15" s="39" t="str">
        <f>IFERROR(时间!$B$4+AU15,"上周无销量")</f>
        <v>上周无销量</v>
      </c>
    </row>
    <row r="16" spans="1:48">
      <c r="A16" s="35" t="s">
        <v>61</v>
      </c>
      <c r="B16" t="str">
        <f>VLOOKUP(A16,'[2]sku-asin（子）'!$A:$B,2,0)</f>
        <v>B073F2QMQK</v>
      </c>
      <c r="C16" t="str">
        <f>VLOOKUP(A16,'[2]子sku-父sku'!$A:$B,2,0)</f>
        <v>JBL-QFFM</v>
      </c>
      <c r="D16" s="33">
        <f>IFERROR(VLOOKUP(A16,[3]库存报告使用数据处理!$A:$C,3,0),0)</f>
        <v>0</v>
      </c>
      <c r="E16" s="33">
        <f>IFERROR(VLOOKUP(A16,[3]库存报告使用数据处理!$A:$D,4,0),0)</f>
        <v>0</v>
      </c>
      <c r="F16" s="33">
        <f>IFERROR(VLOOKUP(A16,[3]库存报告使用数据处理!$A:$E,5,0),0)</f>
        <v>0</v>
      </c>
      <c r="G16" s="33">
        <f>IFERROR(VLOOKUP(A16,[3]库存报告使用数据处理!$A:$F,6,0),0)</f>
        <v>1</v>
      </c>
      <c r="H16" s="34">
        <f>IFERROR(VLOOKUP(A16,[3]库存报告使用数据处理!$A:$G,7,0),0)</f>
        <v>20.9</v>
      </c>
      <c r="I16">
        <f>IFERROR(VLOOKUP(A16,[4]数据处理!$A:$B,2,0),0)</f>
        <v>2</v>
      </c>
      <c r="J16" s="36">
        <f>IFERROR(VLOOKUP(A16,[4]数据处理!$A:$D,4,0),0)</f>
        <v>0</v>
      </c>
      <c r="K16" s="36">
        <f>IFERROR(VLOOKUP(A16,[4]数据处理!$A:$E,5,0),0)</f>
        <v>0</v>
      </c>
      <c r="L16" s="36">
        <f>IFERROR(VLOOKUP(A16,[4]数据处理!$A:$G,7,0),0)</f>
        <v>0</v>
      </c>
      <c r="M16">
        <f t="shared" si="0"/>
        <v>2</v>
      </c>
      <c r="N16">
        <f>IFERROR(VLOOKUP(A16,[4]数据处理!$A:$C,3,0),0)</f>
        <v>0</v>
      </c>
      <c r="O16">
        <f>IFERROR(VLOOKUP($A16,[4]数据处理!$A:$N,14,0),0)</f>
        <v>2</v>
      </c>
      <c r="P16" t="str">
        <f>IFERROR(VLOOKUP($A16,[5]库存使用数据!$A:$B,2,0),"")</f>
        <v/>
      </c>
      <c r="Q16" t="str">
        <f>IFERROR(VLOOKUP($A16,[5]库存使用数据!$A:$E,5,0),"")</f>
        <v/>
      </c>
      <c r="R16" t="str">
        <f>IFERROR(VLOOKUP($A16,[5]库存使用数据!$A:$H,8,0),"")</f>
        <v/>
      </c>
      <c r="S16" t="str">
        <f>IFERROR(VLOOKUP($A16,[5]库存使用数据!$A:$K,11,0),"")</f>
        <v/>
      </c>
      <c r="T16" t="str">
        <f>IFERROR(VLOOKUP($A16,[5]库存使用数据!$A:$C,3,0),"")</f>
        <v/>
      </c>
      <c r="U16" t="str">
        <f>IFERROR(VLOOKUP($A16,[5]库存使用数据!$A:$F,6,0),"")</f>
        <v/>
      </c>
      <c r="V16" t="str">
        <f>IFERROR(VLOOKUP($A16,[5]库存使用数据!$A:$I,9,0),"")</f>
        <v/>
      </c>
      <c r="W16" t="str">
        <f>IFERROR(VLOOKUP($A16,[5]库存使用数据!$A:$L,12,0),"")</f>
        <v/>
      </c>
      <c r="X16" s="23" t="str">
        <f t="shared" si="9"/>
        <v/>
      </c>
      <c r="Y16" s="23" t="str">
        <f t="shared" si="10"/>
        <v/>
      </c>
      <c r="Z16" s="23" t="str">
        <f t="shared" si="11"/>
        <v/>
      </c>
      <c r="AA16" s="23" t="str">
        <f t="shared" si="12"/>
        <v/>
      </c>
      <c r="AB16" t="str">
        <f>IFERROR(VLOOKUP($A16,[5]库存使用数据!$A:$D,4,0),"")</f>
        <v/>
      </c>
      <c r="AC16" t="str">
        <f>IFERROR(VLOOKUP($A16,[5]库存使用数据!$A:$G,7,0),"")</f>
        <v/>
      </c>
      <c r="AD16" t="str">
        <f>IFERROR(VLOOKUP($A16,[5]库存使用数据!$A:$J,10,0),"")</f>
        <v/>
      </c>
      <c r="AE16" t="str">
        <f>IFERROR(VLOOKUP($A16,[5]库存使用数据!$A:$M,13,0),"")</f>
        <v/>
      </c>
      <c r="AF16" s="23" t="str">
        <f t="shared" si="13"/>
        <v/>
      </c>
      <c r="AG16" s="23" t="str">
        <f t="shared" si="14"/>
        <v/>
      </c>
      <c r="AH16" s="23" t="str">
        <f t="shared" si="15"/>
        <v/>
      </c>
      <c r="AI16" s="23" t="str">
        <f t="shared" si="16"/>
        <v/>
      </c>
      <c r="AJ16">
        <f>IFERROR(VLOOKUP($B16,[1]库存报告使用数据!$A$1:$B$65536,2,0),0)</f>
        <v>2</v>
      </c>
      <c r="AK16">
        <f>IFERROR(VLOOKUP($B16,[1]库存报告使用数据!$A$1:$C$65536,3,0),0)</f>
        <v>1</v>
      </c>
      <c r="AL16">
        <f>IFERROR(VLOOKUP($B16,[1]库存报告使用数据!$A$1:$D$65536,4,0),0)</f>
        <v>2</v>
      </c>
      <c r="AM16">
        <f>IFERROR(VLOOKUP($B16,[1]库存报告使用数据!$A$1:$E$65536,5,0),0)</f>
        <v>1</v>
      </c>
      <c r="AN16" s="23">
        <f t="shared" si="17"/>
        <v>0</v>
      </c>
      <c r="AO16" s="23">
        <f t="shared" si="18"/>
        <v>0</v>
      </c>
      <c r="AP16" s="23">
        <f t="shared" si="19"/>
        <v>0</v>
      </c>
      <c r="AQ16" s="23">
        <f t="shared" si="20"/>
        <v>1</v>
      </c>
      <c r="AR16" s="38">
        <f t="shared" si="4"/>
        <v>0</v>
      </c>
      <c r="AS16" s="38">
        <f t="shared" si="5"/>
        <v>0</v>
      </c>
      <c r="AT16" s="38">
        <f t="shared" si="6"/>
        <v>2</v>
      </c>
      <c r="AU16" s="33" t="str">
        <f t="shared" si="7"/>
        <v>库存为2</v>
      </c>
      <c r="AV16" s="39" t="str">
        <f>IFERROR(时间!$B$4+AU16,"上周无销量")</f>
        <v>上周无销量</v>
      </c>
    </row>
    <row r="17" spans="1:48">
      <c r="A17" s="35" t="s">
        <v>62</v>
      </c>
      <c r="B17" t="str">
        <f>VLOOKUP(A17,'[2]sku-asin（子）'!$A:$B,2,0)</f>
        <v>B073F1L1DN</v>
      </c>
      <c r="C17" t="str">
        <f>VLOOKUP(A17,'[2]子sku-父sku'!$A:$B,2,0)</f>
        <v>JBL-QFFM</v>
      </c>
      <c r="D17" s="33">
        <f>IFERROR(VLOOKUP(A17,[3]库存报告使用数据处理!$A:$C,3,0),0)</f>
        <v>0</v>
      </c>
      <c r="E17" s="33">
        <f>IFERROR(VLOOKUP(A17,[3]库存报告使用数据处理!$A:$D,4,0),0)</f>
        <v>0</v>
      </c>
      <c r="F17" s="33">
        <f>IFERROR(VLOOKUP(A17,[3]库存报告使用数据处理!$A:$E,5,0),0)</f>
        <v>0</v>
      </c>
      <c r="G17" s="33">
        <f>IFERROR(VLOOKUP(A17,[3]库存报告使用数据处理!$A:$F,6,0),0)</f>
        <v>0</v>
      </c>
      <c r="H17" s="34">
        <f>IFERROR(VLOOKUP(A17,[3]库存报告使用数据处理!$A:$G,7,0),0)</f>
        <v>0</v>
      </c>
      <c r="I17">
        <f>IFERROR(VLOOKUP(A17,[4]数据处理!$A:$B,2,0),0)</f>
        <v>5</v>
      </c>
      <c r="J17" s="36">
        <f>IFERROR(VLOOKUP(A17,[4]数据处理!$A:$D,4,0),0)</f>
        <v>0</v>
      </c>
      <c r="K17" s="36">
        <f>IFERROR(VLOOKUP(A17,[4]数据处理!$A:$E,5,0),0)</f>
        <v>0</v>
      </c>
      <c r="L17" s="36">
        <f>IFERROR(VLOOKUP(A17,[4]数据处理!$A:$G,7,0),0)</f>
        <v>0</v>
      </c>
      <c r="M17">
        <f t="shared" si="0"/>
        <v>5</v>
      </c>
      <c r="N17">
        <f>IFERROR(VLOOKUP(A17,[4]数据处理!$A:$C,3,0),0)</f>
        <v>0</v>
      </c>
      <c r="O17">
        <f>IFERROR(VLOOKUP($A17,[4]数据处理!$A:$N,14,0),0)</f>
        <v>5</v>
      </c>
      <c r="P17" t="str">
        <f>IFERROR(VLOOKUP($A17,[5]库存使用数据!$A:$B,2,0),"")</f>
        <v/>
      </c>
      <c r="Q17" t="str">
        <f>IFERROR(VLOOKUP($A17,[5]库存使用数据!$A:$E,5,0),"")</f>
        <v/>
      </c>
      <c r="R17" t="str">
        <f>IFERROR(VLOOKUP($A17,[5]库存使用数据!$A:$H,8,0),"")</f>
        <v/>
      </c>
      <c r="S17" t="str">
        <f>IFERROR(VLOOKUP($A17,[5]库存使用数据!$A:$K,11,0),"")</f>
        <v/>
      </c>
      <c r="T17" t="str">
        <f>IFERROR(VLOOKUP($A17,[5]库存使用数据!$A:$C,3,0),"")</f>
        <v/>
      </c>
      <c r="U17" t="str">
        <f>IFERROR(VLOOKUP($A17,[5]库存使用数据!$A:$F,6,0),"")</f>
        <v/>
      </c>
      <c r="V17" t="str">
        <f>IFERROR(VLOOKUP($A17,[5]库存使用数据!$A:$I,9,0),"")</f>
        <v/>
      </c>
      <c r="W17" t="str">
        <f>IFERROR(VLOOKUP($A17,[5]库存使用数据!$A:$L,12,0),"")</f>
        <v/>
      </c>
      <c r="X17" s="23" t="str">
        <f t="shared" si="9"/>
        <v/>
      </c>
      <c r="Y17" s="23" t="str">
        <f t="shared" si="10"/>
        <v/>
      </c>
      <c r="Z17" s="23" t="str">
        <f t="shared" si="11"/>
        <v/>
      </c>
      <c r="AA17" s="23" t="str">
        <f t="shared" si="12"/>
        <v/>
      </c>
      <c r="AB17" t="str">
        <f>IFERROR(VLOOKUP($A17,[5]库存使用数据!$A:$D,4,0),"")</f>
        <v/>
      </c>
      <c r="AC17" t="str">
        <f>IFERROR(VLOOKUP($A17,[5]库存使用数据!$A:$G,7,0),"")</f>
        <v/>
      </c>
      <c r="AD17" t="str">
        <f>IFERROR(VLOOKUP($A17,[5]库存使用数据!$A:$J,10,0),"")</f>
        <v/>
      </c>
      <c r="AE17" t="str">
        <f>IFERROR(VLOOKUP($A17,[5]库存使用数据!$A:$M,13,0),"")</f>
        <v/>
      </c>
      <c r="AF17" s="23" t="str">
        <f t="shared" si="13"/>
        <v/>
      </c>
      <c r="AG17" s="23" t="str">
        <f t="shared" si="14"/>
        <v/>
      </c>
      <c r="AH17" s="23" t="str">
        <f t="shared" si="15"/>
        <v/>
      </c>
      <c r="AI17" s="23" t="str">
        <f t="shared" si="16"/>
        <v/>
      </c>
      <c r="AJ17">
        <f>IFERROR(VLOOKUP($B17,[1]库存报告使用数据!$A$1:$B$65536,2,0),0)</f>
        <v>1</v>
      </c>
      <c r="AK17">
        <f>IFERROR(VLOOKUP($B17,[1]库存报告使用数据!$A$1:$C$65536,3,0),0)</f>
        <v>3</v>
      </c>
      <c r="AL17">
        <f>IFERROR(VLOOKUP($B17,[1]库存报告使用数据!$A$1:$D$65536,4,0),0)</f>
        <v>2</v>
      </c>
      <c r="AM17">
        <f>IFERROR(VLOOKUP($B17,[1]库存报告使用数据!$A$1:$E$65536,5,0),0)</f>
        <v>1</v>
      </c>
      <c r="AN17" s="23">
        <f t="shared" si="17"/>
        <v>0</v>
      </c>
      <c r="AO17" s="23">
        <f t="shared" si="18"/>
        <v>0</v>
      </c>
      <c r="AP17" s="23">
        <f t="shared" si="19"/>
        <v>0</v>
      </c>
      <c r="AQ17" s="23">
        <f t="shared" si="20"/>
        <v>0</v>
      </c>
      <c r="AR17" s="38">
        <f t="shared" si="4"/>
        <v>0</v>
      </c>
      <c r="AS17" s="38">
        <f t="shared" si="5"/>
        <v>0</v>
      </c>
      <c r="AT17" s="38">
        <f t="shared" si="6"/>
        <v>5</v>
      </c>
      <c r="AU17" s="33" t="str">
        <f t="shared" si="7"/>
        <v>库存为5</v>
      </c>
      <c r="AV17" s="39" t="str">
        <f>IFERROR(时间!$B$4+AU17,"上周无销量")</f>
        <v>上周无销量</v>
      </c>
    </row>
    <row r="18" spans="1:48">
      <c r="A18" s="35" t="s">
        <v>63</v>
      </c>
      <c r="B18" t="str">
        <f>VLOOKUP(A18,'[2]sku-asin（子）'!$A:$B,2,0)</f>
        <v>B073F1HX4C</v>
      </c>
      <c r="C18" t="str">
        <f>VLOOKUP(A18,'[2]子sku-父sku'!$A:$B,2,0)</f>
        <v>JBL-QFFM</v>
      </c>
      <c r="D18" s="33">
        <f>IFERROR(VLOOKUP(A18,[3]库存报告使用数据处理!$A:$C,3,0),0)</f>
        <v>1</v>
      </c>
      <c r="E18" s="33">
        <f>IFERROR(VLOOKUP(A18,[3]库存报告使用数据处理!$A:$D,4,0),0)</f>
        <v>0</v>
      </c>
      <c r="F18" s="33">
        <f>IFERROR(VLOOKUP(A18,[3]库存报告使用数据处理!$A:$E,5,0),0)</f>
        <v>0</v>
      </c>
      <c r="G18" s="33">
        <f>IFERROR(VLOOKUP(A18,[3]库存报告使用数据处理!$A:$F,6,0),0)</f>
        <v>0</v>
      </c>
      <c r="H18" s="34">
        <f>IFERROR(VLOOKUP(A18,[3]库存报告使用数据处理!$A:$G,7,0),0)</f>
        <v>20.9</v>
      </c>
      <c r="I18">
        <f>IFERROR(VLOOKUP(A18,[4]数据处理!$A:$B,2,0),0)</f>
        <v>3</v>
      </c>
      <c r="J18" s="36">
        <f>IFERROR(VLOOKUP(A18,[4]数据处理!$A:$D,4,0),0)</f>
        <v>0</v>
      </c>
      <c r="K18" s="36">
        <f>IFERROR(VLOOKUP(A18,[4]数据处理!$A:$E,5,0),0)</f>
        <v>0</v>
      </c>
      <c r="L18" s="36">
        <f>IFERROR(VLOOKUP(A18,[4]数据处理!$A:$G,7,0),0)</f>
        <v>0</v>
      </c>
      <c r="M18">
        <f t="shared" si="0"/>
        <v>3</v>
      </c>
      <c r="N18">
        <f>IFERROR(VLOOKUP(A18,[4]数据处理!$A:$C,3,0),0)</f>
        <v>0</v>
      </c>
      <c r="O18">
        <f>IFERROR(VLOOKUP($A18,[4]数据处理!$A:$N,14,0),0)</f>
        <v>3</v>
      </c>
      <c r="P18" t="str">
        <f>IFERROR(VLOOKUP($A18,[5]库存使用数据!$A:$B,2,0),"")</f>
        <v/>
      </c>
      <c r="Q18" t="str">
        <f>IFERROR(VLOOKUP($A18,[5]库存使用数据!$A:$E,5,0),"")</f>
        <v/>
      </c>
      <c r="R18" t="str">
        <f>IFERROR(VLOOKUP($A18,[5]库存使用数据!$A:$H,8,0),"")</f>
        <v/>
      </c>
      <c r="S18" t="str">
        <f>IFERROR(VLOOKUP($A18,[5]库存使用数据!$A:$K,11,0),"")</f>
        <v/>
      </c>
      <c r="T18" t="str">
        <f>IFERROR(VLOOKUP($A18,[5]库存使用数据!$A:$C,3,0),"")</f>
        <v/>
      </c>
      <c r="U18" t="str">
        <f>IFERROR(VLOOKUP($A18,[5]库存使用数据!$A:$F,6,0),"")</f>
        <v/>
      </c>
      <c r="V18" t="str">
        <f>IFERROR(VLOOKUP($A18,[5]库存使用数据!$A:$I,9,0),"")</f>
        <v/>
      </c>
      <c r="W18" t="str">
        <f>IFERROR(VLOOKUP($A18,[5]库存使用数据!$A:$L,12,0),"")</f>
        <v/>
      </c>
      <c r="X18" s="23" t="str">
        <f t="shared" si="9"/>
        <v/>
      </c>
      <c r="Y18" s="23" t="str">
        <f t="shared" si="10"/>
        <v/>
      </c>
      <c r="Z18" s="23" t="str">
        <f t="shared" si="11"/>
        <v/>
      </c>
      <c r="AA18" s="23" t="str">
        <f t="shared" si="12"/>
        <v/>
      </c>
      <c r="AB18" t="str">
        <f>IFERROR(VLOOKUP($A18,[5]库存使用数据!$A:$D,4,0),"")</f>
        <v/>
      </c>
      <c r="AC18" t="str">
        <f>IFERROR(VLOOKUP($A18,[5]库存使用数据!$A:$G,7,0),"")</f>
        <v/>
      </c>
      <c r="AD18" t="str">
        <f>IFERROR(VLOOKUP($A18,[5]库存使用数据!$A:$J,10,0),"")</f>
        <v/>
      </c>
      <c r="AE18" t="str">
        <f>IFERROR(VLOOKUP($A18,[5]库存使用数据!$A:$M,13,0),"")</f>
        <v/>
      </c>
      <c r="AF18" s="23" t="str">
        <f t="shared" si="13"/>
        <v/>
      </c>
      <c r="AG18" s="23" t="str">
        <f t="shared" si="14"/>
        <v/>
      </c>
      <c r="AH18" s="23" t="str">
        <f t="shared" si="15"/>
        <v/>
      </c>
      <c r="AI18" s="23" t="str">
        <f t="shared" si="16"/>
        <v/>
      </c>
      <c r="AJ18">
        <f>IFERROR(VLOOKUP($B18,[1]库存报告使用数据!$A$1:$B$65536,2,0),0)</f>
        <v>2</v>
      </c>
      <c r="AK18">
        <f>IFERROR(VLOOKUP($B18,[1]库存报告使用数据!$A$1:$C$65536,3,0),0)</f>
        <v>1</v>
      </c>
      <c r="AL18">
        <f>IFERROR(VLOOKUP($B18,[1]库存报告使用数据!$A$1:$D$65536,4,0),0)</f>
        <v>0</v>
      </c>
      <c r="AM18">
        <f>IFERROR(VLOOKUP($B18,[1]库存报告使用数据!$A$1:$E$65536,5,0),0)</f>
        <v>0</v>
      </c>
      <c r="AN18" s="23">
        <f t="shared" si="17"/>
        <v>0.5</v>
      </c>
      <c r="AO18" s="23">
        <f t="shared" si="18"/>
        <v>0</v>
      </c>
      <c r="AP18" s="23" t="str">
        <f t="shared" si="19"/>
        <v/>
      </c>
      <c r="AQ18" s="23" t="str">
        <f t="shared" si="20"/>
        <v/>
      </c>
      <c r="AR18" s="38">
        <f t="shared" si="4"/>
        <v>0.142857142857143</v>
      </c>
      <c r="AS18" s="38">
        <f t="shared" si="5"/>
        <v>8.57142857142857</v>
      </c>
      <c r="AT18" s="38">
        <f t="shared" si="6"/>
        <v>-5.57142857142857</v>
      </c>
      <c r="AU18" s="33">
        <f t="shared" si="7"/>
        <v>21</v>
      </c>
      <c r="AV18" s="39">
        <f>IFERROR(时间!$B$4+AU18,"上周无销量")</f>
        <v>43311</v>
      </c>
    </row>
    <row r="19" spans="1:48">
      <c r="A19" s="35" t="s">
        <v>64</v>
      </c>
      <c r="B19" t="str">
        <f>VLOOKUP(A19,'[2]sku-asin（子）'!$A:$B,2,0)</f>
        <v>B073F4G8B1</v>
      </c>
      <c r="C19" t="str">
        <f>VLOOKUP(A19,'[2]子sku-父sku'!$A:$B,2,0)</f>
        <v>JBL-QFFM</v>
      </c>
      <c r="D19" s="33">
        <f>IFERROR(VLOOKUP(A19,[3]库存报告使用数据处理!$A:$C,3,0),0)</f>
        <v>0</v>
      </c>
      <c r="E19" s="33">
        <f>IFERROR(VLOOKUP(A19,[3]库存报告使用数据处理!$A:$D,4,0),0)</f>
        <v>0</v>
      </c>
      <c r="F19" s="33">
        <f>IFERROR(VLOOKUP(A19,[3]库存报告使用数据处理!$A:$E,5,0),0)</f>
        <v>0</v>
      </c>
      <c r="G19" s="33">
        <f>IFERROR(VLOOKUP(A19,[3]库存报告使用数据处理!$A:$F,6,0),0)</f>
        <v>0</v>
      </c>
      <c r="H19" s="34">
        <f>IFERROR(VLOOKUP(A19,[3]库存报告使用数据处理!$A:$G,7,0),0)</f>
        <v>0</v>
      </c>
      <c r="I19">
        <f>IFERROR(VLOOKUP(A19,[4]数据处理!$A:$B,2,0),0)</f>
        <v>5</v>
      </c>
      <c r="J19" s="36">
        <f>IFERROR(VLOOKUP(A19,[4]数据处理!$A:$D,4,0),0)</f>
        <v>0</v>
      </c>
      <c r="K19" s="36">
        <f>IFERROR(VLOOKUP(A19,[4]数据处理!$A:$E,5,0),0)</f>
        <v>0</v>
      </c>
      <c r="L19" s="36">
        <f>IFERROR(VLOOKUP(A19,[4]数据处理!$A:$G,7,0),0)</f>
        <v>0</v>
      </c>
      <c r="M19">
        <f t="shared" si="0"/>
        <v>5</v>
      </c>
      <c r="N19">
        <f>IFERROR(VLOOKUP(A19,[4]数据处理!$A:$C,3,0),0)</f>
        <v>0</v>
      </c>
      <c r="O19">
        <f>IFERROR(VLOOKUP($A19,[4]数据处理!$A:$N,14,0),0)</f>
        <v>5</v>
      </c>
      <c r="P19" t="str">
        <f>IFERROR(VLOOKUP($A19,[5]库存使用数据!$A:$B,2,0),"")</f>
        <v/>
      </c>
      <c r="Q19" t="str">
        <f>IFERROR(VLOOKUP($A19,[5]库存使用数据!$A:$E,5,0),"")</f>
        <v/>
      </c>
      <c r="R19" t="str">
        <f>IFERROR(VLOOKUP($A19,[5]库存使用数据!$A:$H,8,0),"")</f>
        <v/>
      </c>
      <c r="S19" t="str">
        <f>IFERROR(VLOOKUP($A19,[5]库存使用数据!$A:$K,11,0),"")</f>
        <v/>
      </c>
      <c r="T19" t="str">
        <f>IFERROR(VLOOKUP($A19,[5]库存使用数据!$A:$C,3,0),"")</f>
        <v/>
      </c>
      <c r="U19" t="str">
        <f>IFERROR(VLOOKUP($A19,[5]库存使用数据!$A:$F,6,0),"")</f>
        <v/>
      </c>
      <c r="V19" t="str">
        <f>IFERROR(VLOOKUP($A19,[5]库存使用数据!$A:$I,9,0),"")</f>
        <v/>
      </c>
      <c r="W19" t="str">
        <f>IFERROR(VLOOKUP($A19,[5]库存使用数据!$A:$L,12,0),"")</f>
        <v/>
      </c>
      <c r="X19" s="23" t="str">
        <f t="shared" si="9"/>
        <v/>
      </c>
      <c r="Y19" s="23" t="str">
        <f t="shared" si="10"/>
        <v/>
      </c>
      <c r="Z19" s="23" t="str">
        <f t="shared" si="11"/>
        <v/>
      </c>
      <c r="AA19" s="23" t="str">
        <f t="shared" si="12"/>
        <v/>
      </c>
      <c r="AB19" t="str">
        <f>IFERROR(VLOOKUP($A19,[5]库存使用数据!$A:$D,4,0),"")</f>
        <v/>
      </c>
      <c r="AC19" t="str">
        <f>IFERROR(VLOOKUP($A19,[5]库存使用数据!$A:$G,7,0),"")</f>
        <v/>
      </c>
      <c r="AD19" t="str">
        <f>IFERROR(VLOOKUP($A19,[5]库存使用数据!$A:$J,10,0),"")</f>
        <v/>
      </c>
      <c r="AE19" t="str">
        <f>IFERROR(VLOOKUP($A19,[5]库存使用数据!$A:$M,13,0),"")</f>
        <v/>
      </c>
      <c r="AF19" s="23" t="str">
        <f t="shared" si="13"/>
        <v/>
      </c>
      <c r="AG19" s="23" t="str">
        <f t="shared" si="14"/>
        <v/>
      </c>
      <c r="AH19" s="23" t="str">
        <f t="shared" si="15"/>
        <v/>
      </c>
      <c r="AI19" s="23" t="str">
        <f t="shared" si="16"/>
        <v/>
      </c>
      <c r="AJ19">
        <f>IFERROR(VLOOKUP($B19,[1]库存报告使用数据!$A$1:$B$65536,2,0),0)</f>
        <v>1</v>
      </c>
      <c r="AK19">
        <f>IFERROR(VLOOKUP($B19,[1]库存报告使用数据!$A$1:$C$65536,3,0),0)</f>
        <v>1</v>
      </c>
      <c r="AL19">
        <f>IFERROR(VLOOKUP($B19,[1]库存报告使用数据!$A$1:$D$65536,4,0),0)</f>
        <v>3</v>
      </c>
      <c r="AM19">
        <f>IFERROR(VLOOKUP($B19,[1]库存报告使用数据!$A$1:$E$65536,5,0),0)</f>
        <v>1</v>
      </c>
      <c r="AN19" s="23">
        <f t="shared" si="17"/>
        <v>0</v>
      </c>
      <c r="AO19" s="23">
        <f t="shared" si="18"/>
        <v>0</v>
      </c>
      <c r="AP19" s="23">
        <f t="shared" si="19"/>
        <v>0</v>
      </c>
      <c r="AQ19" s="23">
        <f t="shared" si="20"/>
        <v>0</v>
      </c>
      <c r="AR19" s="38">
        <f t="shared" si="4"/>
        <v>0</v>
      </c>
      <c r="AS19" s="38">
        <f t="shared" si="5"/>
        <v>0</v>
      </c>
      <c r="AT19" s="38">
        <f t="shared" si="6"/>
        <v>5</v>
      </c>
      <c r="AU19" s="33" t="str">
        <f t="shared" si="7"/>
        <v>库存为5</v>
      </c>
      <c r="AV19" s="39" t="str">
        <f>IFERROR(时间!$B$4+AU19,"上周无销量")</f>
        <v>上周无销量</v>
      </c>
    </row>
    <row r="20" spans="1:48">
      <c r="A20" s="35" t="s">
        <v>65</v>
      </c>
      <c r="B20" t="str">
        <f>VLOOKUP(A20,'[2]sku-asin（子）'!$A:$B,2,0)</f>
        <v>B071JYNC36</v>
      </c>
      <c r="C20" t="str">
        <f>VLOOKUP(A20,'[2]子sku-父sku'!$A:$B,2,0)</f>
        <v>KTKHLZ</v>
      </c>
      <c r="D20" s="33">
        <f>IFERROR(VLOOKUP(A20,[3]库存报告使用数据处理!$A:$C,3,0),0)</f>
        <v>0</v>
      </c>
      <c r="E20" s="33">
        <f>IFERROR(VLOOKUP(A20,[3]库存报告使用数据处理!$A:$D,4,0),0)</f>
        <v>0</v>
      </c>
      <c r="F20" s="33">
        <f>IFERROR(VLOOKUP(A20,[3]库存报告使用数据处理!$A:$E,5,0),0)</f>
        <v>0</v>
      </c>
      <c r="G20" s="33">
        <f>IFERROR(VLOOKUP(A20,[3]库存报告使用数据处理!$A:$F,6,0),0)</f>
        <v>0</v>
      </c>
      <c r="H20" s="34">
        <f>IFERROR(VLOOKUP(A20,[3]库存报告使用数据处理!$A:$G,7,0),0)</f>
        <v>0</v>
      </c>
      <c r="I20">
        <f>IFERROR(VLOOKUP(A20,[4]数据处理!$A:$B,2,0),0)</f>
        <v>0</v>
      </c>
      <c r="J20" s="36">
        <f>IFERROR(VLOOKUP(A20,[4]数据处理!$A:$D,4,0),0)</f>
        <v>0</v>
      </c>
      <c r="K20" s="36">
        <f>IFERROR(VLOOKUP(A20,[4]数据处理!$A:$E,5,0),0)</f>
        <v>0</v>
      </c>
      <c r="L20" s="36">
        <f>IFERROR(VLOOKUP(A20,[4]数据处理!$A:$G,7,0),0)</f>
        <v>0</v>
      </c>
      <c r="M20">
        <f t="shared" si="0"/>
        <v>0</v>
      </c>
      <c r="N20">
        <f>IFERROR(VLOOKUP(A20,[4]数据处理!$A:$C,3,0),0)</f>
        <v>0</v>
      </c>
      <c r="O20">
        <f>IFERROR(VLOOKUP($A20,[4]数据处理!$A:$N,14,0),0)</f>
        <v>0</v>
      </c>
      <c r="P20" t="str">
        <f>IFERROR(VLOOKUP($A20,[5]库存使用数据!$A:$B,2,0),"")</f>
        <v/>
      </c>
      <c r="Q20" t="str">
        <f>IFERROR(VLOOKUP($A20,[5]库存使用数据!$A:$E,5,0),"")</f>
        <v/>
      </c>
      <c r="R20" t="str">
        <f>IFERROR(VLOOKUP($A20,[5]库存使用数据!$A:$H,8,0),"")</f>
        <v/>
      </c>
      <c r="S20" t="str">
        <f>IFERROR(VLOOKUP($A20,[5]库存使用数据!$A:$K,11,0),"")</f>
        <v/>
      </c>
      <c r="T20" t="str">
        <f>IFERROR(VLOOKUP($A20,[5]库存使用数据!$A:$C,3,0),"")</f>
        <v/>
      </c>
      <c r="U20" t="str">
        <f>IFERROR(VLOOKUP($A20,[5]库存使用数据!$A:$F,6,0),"")</f>
        <v/>
      </c>
      <c r="V20" t="str">
        <f>IFERROR(VLOOKUP($A20,[5]库存使用数据!$A:$I,9,0),"")</f>
        <v/>
      </c>
      <c r="W20" t="str">
        <f>IFERROR(VLOOKUP($A20,[5]库存使用数据!$A:$L,12,0),"")</f>
        <v/>
      </c>
      <c r="X20" s="23" t="str">
        <f t="shared" si="9"/>
        <v/>
      </c>
      <c r="Y20" s="23" t="str">
        <f t="shared" si="10"/>
        <v/>
      </c>
      <c r="Z20" s="23" t="str">
        <f t="shared" si="11"/>
        <v/>
      </c>
      <c r="AA20" s="23" t="str">
        <f t="shared" si="12"/>
        <v/>
      </c>
      <c r="AB20" t="str">
        <f>IFERROR(VLOOKUP($A20,[5]库存使用数据!$A:$D,4,0),"")</f>
        <v/>
      </c>
      <c r="AC20" t="str">
        <f>IFERROR(VLOOKUP($A20,[5]库存使用数据!$A:$G,7,0),"")</f>
        <v/>
      </c>
      <c r="AD20" t="str">
        <f>IFERROR(VLOOKUP($A20,[5]库存使用数据!$A:$J,10,0),"")</f>
        <v/>
      </c>
      <c r="AE20" t="str">
        <f>IFERROR(VLOOKUP($A20,[5]库存使用数据!$A:$M,13,0),"")</f>
        <v/>
      </c>
      <c r="AF20" s="23" t="str">
        <f t="shared" si="13"/>
        <v/>
      </c>
      <c r="AG20" s="23" t="str">
        <f t="shared" si="14"/>
        <v/>
      </c>
      <c r="AH20" s="23" t="str">
        <f t="shared" si="15"/>
        <v/>
      </c>
      <c r="AI20" s="23" t="str">
        <f t="shared" si="16"/>
        <v/>
      </c>
      <c r="AJ20">
        <f>IFERROR(VLOOKUP($B20,[1]库存报告使用数据!$A$1:$B$65536,2,0),0)</f>
        <v>0</v>
      </c>
      <c r="AK20">
        <f>IFERROR(VLOOKUP($B20,[1]库存报告使用数据!$A$1:$C$65536,3,0),0)</f>
        <v>0</v>
      </c>
      <c r="AL20">
        <f>IFERROR(VLOOKUP($B20,[1]库存报告使用数据!$A$1:$D$65536,4,0),0)</f>
        <v>0</v>
      </c>
      <c r="AM20">
        <f>IFERROR(VLOOKUP($B20,[1]库存报告使用数据!$A$1:$E$65536,5,0),0)</f>
        <v>0</v>
      </c>
      <c r="AN20" s="23" t="str">
        <f t="shared" si="17"/>
        <v/>
      </c>
      <c r="AO20" s="23" t="str">
        <f t="shared" si="18"/>
        <v/>
      </c>
      <c r="AP20" s="23" t="str">
        <f t="shared" si="19"/>
        <v/>
      </c>
      <c r="AQ20" s="23" t="str">
        <f t="shared" si="20"/>
        <v/>
      </c>
      <c r="AR20" s="38">
        <f t="shared" si="4"/>
        <v>0</v>
      </c>
      <c r="AS20" s="38">
        <f t="shared" si="5"/>
        <v>0</v>
      </c>
      <c r="AT20" s="38">
        <f t="shared" si="6"/>
        <v>0</v>
      </c>
      <c r="AU20" s="33" t="str">
        <f t="shared" si="7"/>
        <v>库存为0</v>
      </c>
      <c r="AV20" s="39" t="str">
        <f>IFERROR(时间!$B$4+AU20,"上周无销量")</f>
        <v>上周无销量</v>
      </c>
    </row>
    <row r="21" spans="1:48">
      <c r="A21" s="35" t="s">
        <v>66</v>
      </c>
      <c r="B21" t="str">
        <f>VLOOKUP(A21,'[2]sku-asin（子）'!$A:$B,2,0)</f>
        <v>B072K4S27N</v>
      </c>
      <c r="C21" t="str">
        <f>VLOOKUP(A21,'[2]子sku-父sku'!$A:$B,2,0)</f>
        <v>KTKSTY</v>
      </c>
      <c r="D21" s="33">
        <f>IFERROR(VLOOKUP(A21,[3]库存报告使用数据处理!$A:$C,3,0),0)</f>
        <v>0</v>
      </c>
      <c r="E21" s="33">
        <f>IFERROR(VLOOKUP(A21,[3]库存报告使用数据处理!$A:$D,4,0),0)</f>
        <v>0</v>
      </c>
      <c r="F21" s="33">
        <f>IFERROR(VLOOKUP(A21,[3]库存报告使用数据处理!$A:$E,5,0),0)</f>
        <v>0</v>
      </c>
      <c r="G21" s="33">
        <f>IFERROR(VLOOKUP(A21,[3]库存报告使用数据处理!$A:$F,6,0),0)</f>
        <v>0</v>
      </c>
      <c r="H21" s="34">
        <f>IFERROR(VLOOKUP(A21,[3]库存报告使用数据处理!$A:$G,7,0),0)</f>
        <v>0</v>
      </c>
      <c r="I21">
        <f>IFERROR(VLOOKUP(A21,[4]数据处理!$A:$B,2,0),0)</f>
        <v>0</v>
      </c>
      <c r="J21" s="36">
        <f>IFERROR(VLOOKUP(A21,[4]数据处理!$A:$D,4,0),0)</f>
        <v>0</v>
      </c>
      <c r="K21" s="36">
        <f>IFERROR(VLOOKUP(A21,[4]数据处理!$A:$E,5,0),0)</f>
        <v>0</v>
      </c>
      <c r="L21" s="36">
        <f>IFERROR(VLOOKUP(A21,[4]数据处理!$A:$G,7,0),0)</f>
        <v>0</v>
      </c>
      <c r="M21">
        <f t="shared" si="0"/>
        <v>0</v>
      </c>
      <c r="N21">
        <f>IFERROR(VLOOKUP(A21,[4]数据处理!$A:$C,3,0),0)</f>
        <v>0</v>
      </c>
      <c r="O21">
        <f>IFERROR(VLOOKUP($A21,[4]数据处理!$A:$N,14,0),0)</f>
        <v>0</v>
      </c>
      <c r="P21" t="str">
        <f>IFERROR(VLOOKUP($A21,[5]库存使用数据!$A:$B,2,0),"")</f>
        <v/>
      </c>
      <c r="Q21" t="str">
        <f>IFERROR(VLOOKUP($A21,[5]库存使用数据!$A:$E,5,0),"")</f>
        <v/>
      </c>
      <c r="R21" t="str">
        <f>IFERROR(VLOOKUP($A21,[5]库存使用数据!$A:$H,8,0),"")</f>
        <v/>
      </c>
      <c r="S21" t="str">
        <f>IFERROR(VLOOKUP($A21,[5]库存使用数据!$A:$K,11,0),"")</f>
        <v/>
      </c>
      <c r="T21" t="str">
        <f>IFERROR(VLOOKUP($A21,[5]库存使用数据!$A:$C,3,0),"")</f>
        <v/>
      </c>
      <c r="U21" t="str">
        <f>IFERROR(VLOOKUP($A21,[5]库存使用数据!$A:$F,6,0),"")</f>
        <v/>
      </c>
      <c r="V21" t="str">
        <f>IFERROR(VLOOKUP($A21,[5]库存使用数据!$A:$I,9,0),"")</f>
        <v/>
      </c>
      <c r="W21" t="str">
        <f>IFERROR(VLOOKUP($A21,[5]库存使用数据!$A:$L,12,0),"")</f>
        <v/>
      </c>
      <c r="X21" s="23" t="str">
        <f t="shared" si="9"/>
        <v/>
      </c>
      <c r="Y21" s="23" t="str">
        <f t="shared" si="10"/>
        <v/>
      </c>
      <c r="Z21" s="23" t="str">
        <f t="shared" si="11"/>
        <v/>
      </c>
      <c r="AA21" s="23" t="str">
        <f t="shared" si="12"/>
        <v/>
      </c>
      <c r="AB21" t="str">
        <f>IFERROR(VLOOKUP($A21,[5]库存使用数据!$A:$D,4,0),"")</f>
        <v/>
      </c>
      <c r="AC21" t="str">
        <f>IFERROR(VLOOKUP($A21,[5]库存使用数据!$A:$G,7,0),"")</f>
        <v/>
      </c>
      <c r="AD21" t="str">
        <f>IFERROR(VLOOKUP($A21,[5]库存使用数据!$A:$J,10,0),"")</f>
        <v/>
      </c>
      <c r="AE21" t="str">
        <f>IFERROR(VLOOKUP($A21,[5]库存使用数据!$A:$M,13,0),"")</f>
        <v/>
      </c>
      <c r="AF21" s="23" t="str">
        <f t="shared" si="13"/>
        <v/>
      </c>
      <c r="AG21" s="23" t="str">
        <f t="shared" si="14"/>
        <v/>
      </c>
      <c r="AH21" s="23" t="str">
        <f t="shared" si="15"/>
        <v/>
      </c>
      <c r="AI21" s="23" t="str">
        <f t="shared" si="16"/>
        <v/>
      </c>
      <c r="AJ21">
        <f>IFERROR(VLOOKUP($B21,[1]库存报告使用数据!$A$1:$B$65536,2,0),0)</f>
        <v>0</v>
      </c>
      <c r="AK21">
        <f>IFERROR(VLOOKUP($B21,[1]库存报告使用数据!$A$1:$C$65536,3,0),0)</f>
        <v>0</v>
      </c>
      <c r="AL21">
        <f>IFERROR(VLOOKUP($B21,[1]库存报告使用数据!$A$1:$D$65536,4,0),0)</f>
        <v>0</v>
      </c>
      <c r="AM21">
        <f>IFERROR(VLOOKUP($B21,[1]库存报告使用数据!$A$1:$E$65536,5,0),0)</f>
        <v>0</v>
      </c>
      <c r="AN21" s="23" t="str">
        <f t="shared" si="17"/>
        <v/>
      </c>
      <c r="AO21" s="23" t="str">
        <f t="shared" si="18"/>
        <v/>
      </c>
      <c r="AP21" s="23" t="str">
        <f t="shared" si="19"/>
        <v/>
      </c>
      <c r="AQ21" s="23" t="str">
        <f t="shared" si="20"/>
        <v/>
      </c>
      <c r="AR21" s="38">
        <f t="shared" si="4"/>
        <v>0</v>
      </c>
      <c r="AS21" s="38">
        <f t="shared" si="5"/>
        <v>0</v>
      </c>
      <c r="AT21" s="38">
        <f t="shared" si="6"/>
        <v>0</v>
      </c>
      <c r="AU21" s="33" t="str">
        <f t="shared" si="7"/>
        <v>库存为0</v>
      </c>
      <c r="AV21" s="39" t="str">
        <f>IFERROR(时间!$B$4+AU21,"上周无销量")</f>
        <v>上周无销量</v>
      </c>
    </row>
    <row r="22" spans="1:48">
      <c r="A22" s="35" t="s">
        <v>67</v>
      </c>
      <c r="B22" t="str">
        <f>VLOOKUP(A22,'[2]sku-asin（子）'!$A:$B,2,0)</f>
        <v>B071JYNS5V</v>
      </c>
      <c r="C22" t="str">
        <f>VLOOKUP(A22,'[2]子sku-父sku'!$A:$B,2,0)</f>
        <v>KTKSTY</v>
      </c>
      <c r="D22" s="33">
        <f>IFERROR(VLOOKUP(A22,[3]库存报告使用数据处理!$A:$C,3,0),0)</f>
        <v>0</v>
      </c>
      <c r="E22" s="33">
        <f>IFERROR(VLOOKUP(A22,[3]库存报告使用数据处理!$A:$D,4,0),0)</f>
        <v>0</v>
      </c>
      <c r="F22" s="33">
        <f>IFERROR(VLOOKUP(A22,[3]库存报告使用数据处理!$A:$E,5,0),0)</f>
        <v>0</v>
      </c>
      <c r="G22" s="33">
        <f>IFERROR(VLOOKUP(A22,[3]库存报告使用数据处理!$A:$F,6,0),0)</f>
        <v>0</v>
      </c>
      <c r="H22" s="34">
        <f>IFERROR(VLOOKUP(A22,[3]库存报告使用数据处理!$A:$G,7,0),0)</f>
        <v>0</v>
      </c>
      <c r="I22">
        <f>IFERROR(VLOOKUP(A22,[4]数据处理!$A:$B,2,0),0)</f>
        <v>1</v>
      </c>
      <c r="J22" s="36">
        <f>IFERROR(VLOOKUP(A22,[4]数据处理!$A:$D,4,0),0)</f>
        <v>0</v>
      </c>
      <c r="K22" s="36">
        <f>IFERROR(VLOOKUP(A22,[4]数据处理!$A:$E,5,0),0)</f>
        <v>0</v>
      </c>
      <c r="L22" s="36">
        <f>IFERROR(VLOOKUP(A22,[4]数据处理!$A:$G,7,0),0)</f>
        <v>0</v>
      </c>
      <c r="M22">
        <f t="shared" si="0"/>
        <v>1</v>
      </c>
      <c r="N22">
        <f>IFERROR(VLOOKUP(A22,[4]数据处理!$A:$C,3,0),0)</f>
        <v>0</v>
      </c>
      <c r="O22">
        <f>IFERROR(VLOOKUP($A22,[4]数据处理!$A:$N,14,0),0)</f>
        <v>0</v>
      </c>
      <c r="P22" t="str">
        <f>IFERROR(VLOOKUP($A22,[5]库存使用数据!$A:$B,2,0),"")</f>
        <v/>
      </c>
      <c r="Q22" t="str">
        <f>IFERROR(VLOOKUP($A22,[5]库存使用数据!$A:$E,5,0),"")</f>
        <v/>
      </c>
      <c r="R22" t="str">
        <f>IFERROR(VLOOKUP($A22,[5]库存使用数据!$A:$H,8,0),"")</f>
        <v/>
      </c>
      <c r="S22" t="str">
        <f>IFERROR(VLOOKUP($A22,[5]库存使用数据!$A:$K,11,0),"")</f>
        <v/>
      </c>
      <c r="T22" t="str">
        <f>IFERROR(VLOOKUP($A22,[5]库存使用数据!$A:$C,3,0),"")</f>
        <v/>
      </c>
      <c r="U22" t="str">
        <f>IFERROR(VLOOKUP($A22,[5]库存使用数据!$A:$F,6,0),"")</f>
        <v/>
      </c>
      <c r="V22" t="str">
        <f>IFERROR(VLOOKUP($A22,[5]库存使用数据!$A:$I,9,0),"")</f>
        <v/>
      </c>
      <c r="W22" t="str">
        <f>IFERROR(VLOOKUP($A22,[5]库存使用数据!$A:$L,12,0),"")</f>
        <v/>
      </c>
      <c r="X22" s="23" t="str">
        <f t="shared" si="9"/>
        <v/>
      </c>
      <c r="Y22" s="23" t="str">
        <f t="shared" si="10"/>
        <v/>
      </c>
      <c r="Z22" s="23" t="str">
        <f t="shared" si="11"/>
        <v/>
      </c>
      <c r="AA22" s="23" t="str">
        <f t="shared" si="12"/>
        <v/>
      </c>
      <c r="AB22" t="str">
        <f>IFERROR(VLOOKUP($A22,[5]库存使用数据!$A:$D,4,0),"")</f>
        <v/>
      </c>
      <c r="AC22" t="str">
        <f>IFERROR(VLOOKUP($A22,[5]库存使用数据!$A:$G,7,0),"")</f>
        <v/>
      </c>
      <c r="AD22" t="str">
        <f>IFERROR(VLOOKUP($A22,[5]库存使用数据!$A:$J,10,0),"")</f>
        <v/>
      </c>
      <c r="AE22" t="str">
        <f>IFERROR(VLOOKUP($A22,[5]库存使用数据!$A:$M,13,0),"")</f>
        <v/>
      </c>
      <c r="AF22" s="23" t="str">
        <f t="shared" si="13"/>
        <v/>
      </c>
      <c r="AG22" s="23" t="str">
        <f t="shared" si="14"/>
        <v/>
      </c>
      <c r="AH22" s="23" t="str">
        <f t="shared" si="15"/>
        <v/>
      </c>
      <c r="AI22" s="23" t="str">
        <f t="shared" si="16"/>
        <v/>
      </c>
      <c r="AJ22">
        <f>IFERROR(VLOOKUP($B22,[1]库存报告使用数据!$A$1:$B$65536,2,0),0)</f>
        <v>7</v>
      </c>
      <c r="AK22">
        <f>IFERROR(VLOOKUP($B22,[1]库存报告使用数据!$A$1:$C$65536,3,0),0)</f>
        <v>3</v>
      </c>
      <c r="AL22">
        <f>IFERROR(VLOOKUP($B22,[1]库存报告使用数据!$A$1:$D$65536,4,0),0)</f>
        <v>1</v>
      </c>
      <c r="AM22">
        <f>IFERROR(VLOOKUP($B22,[1]库存报告使用数据!$A$1:$E$65536,5,0),0)</f>
        <v>0</v>
      </c>
      <c r="AN22" s="23">
        <f t="shared" si="17"/>
        <v>0</v>
      </c>
      <c r="AO22" s="23">
        <f t="shared" si="18"/>
        <v>0</v>
      </c>
      <c r="AP22" s="23">
        <f t="shared" si="19"/>
        <v>0</v>
      </c>
      <c r="AQ22" s="23" t="str">
        <f t="shared" si="20"/>
        <v/>
      </c>
      <c r="AR22" s="38">
        <f t="shared" si="4"/>
        <v>0</v>
      </c>
      <c r="AS22" s="38">
        <f t="shared" si="5"/>
        <v>0</v>
      </c>
      <c r="AT22" s="38">
        <f t="shared" si="6"/>
        <v>1</v>
      </c>
      <c r="AU22" s="33" t="str">
        <f t="shared" si="7"/>
        <v>库存为1</v>
      </c>
      <c r="AV22" s="39" t="str">
        <f>IFERROR(时间!$B$4+AU22,"上周无销量")</f>
        <v>上周无销量</v>
      </c>
    </row>
    <row r="23" spans="1:48">
      <c r="A23" s="35" t="s">
        <v>68</v>
      </c>
      <c r="B23" t="str">
        <f>VLOOKUP(A23,'[2]sku-asin（子）'!$A:$B,2,0)</f>
        <v>B0725CDCCN</v>
      </c>
      <c r="C23" t="str">
        <f>VLOOKUP(A23,'[2]子sku-父sku'!$A:$B,2,0)</f>
        <v>KTKXJFK</v>
      </c>
      <c r="D23" s="33">
        <f>IFERROR(VLOOKUP(A23,[3]库存报告使用数据处理!$A:$C,3,0),0)</f>
        <v>0</v>
      </c>
      <c r="E23" s="33">
        <f>IFERROR(VLOOKUP(A23,[3]库存报告使用数据处理!$A:$D,4,0),0)</f>
        <v>0</v>
      </c>
      <c r="F23" s="33">
        <f>IFERROR(VLOOKUP(A23,[3]库存报告使用数据处理!$A:$E,5,0),0)</f>
        <v>0</v>
      </c>
      <c r="G23" s="33">
        <f>IFERROR(VLOOKUP(A23,[3]库存报告使用数据处理!$A:$F,6,0),0)</f>
        <v>0</v>
      </c>
      <c r="H23" s="34">
        <f>IFERROR(VLOOKUP(A23,[3]库存报告使用数据处理!$A:$G,7,0),0)</f>
        <v>0</v>
      </c>
      <c r="I23">
        <f>IFERROR(VLOOKUP(A23,[4]数据处理!$A:$B,2,0),0)</f>
        <v>0</v>
      </c>
      <c r="J23" s="36">
        <f>IFERROR(VLOOKUP(A23,[4]数据处理!$A:$D,4,0),0)</f>
        <v>0</v>
      </c>
      <c r="K23" s="36">
        <f>IFERROR(VLOOKUP(A23,[4]数据处理!$A:$E,5,0),0)</f>
        <v>0</v>
      </c>
      <c r="L23" s="36">
        <f>IFERROR(VLOOKUP(A23,[4]数据处理!$A:$G,7,0),0)</f>
        <v>0</v>
      </c>
      <c r="M23">
        <f t="shared" si="0"/>
        <v>0</v>
      </c>
      <c r="N23">
        <f>IFERROR(VLOOKUP(A23,[4]数据处理!$A:$C,3,0),0)</f>
        <v>0</v>
      </c>
      <c r="O23">
        <f>IFERROR(VLOOKUP($A23,[4]数据处理!$A:$N,14,0),0)</f>
        <v>0</v>
      </c>
      <c r="P23" t="str">
        <f>IFERROR(VLOOKUP($A23,[5]库存使用数据!$A:$B,2,0),"")</f>
        <v/>
      </c>
      <c r="Q23" t="str">
        <f>IFERROR(VLOOKUP($A23,[5]库存使用数据!$A:$E,5,0),"")</f>
        <v/>
      </c>
      <c r="R23" t="str">
        <f>IFERROR(VLOOKUP($A23,[5]库存使用数据!$A:$H,8,0),"")</f>
        <v/>
      </c>
      <c r="S23" t="str">
        <f>IFERROR(VLOOKUP($A23,[5]库存使用数据!$A:$K,11,0),"")</f>
        <v/>
      </c>
      <c r="T23" t="str">
        <f>IFERROR(VLOOKUP($A23,[5]库存使用数据!$A:$C,3,0),"")</f>
        <v/>
      </c>
      <c r="U23" t="str">
        <f>IFERROR(VLOOKUP($A23,[5]库存使用数据!$A:$F,6,0),"")</f>
        <v/>
      </c>
      <c r="V23" t="str">
        <f>IFERROR(VLOOKUP($A23,[5]库存使用数据!$A:$I,9,0),"")</f>
        <v/>
      </c>
      <c r="W23" t="str">
        <f>IFERROR(VLOOKUP($A23,[5]库存使用数据!$A:$L,12,0),"")</f>
        <v/>
      </c>
      <c r="X23" s="23" t="str">
        <f t="shared" si="9"/>
        <v/>
      </c>
      <c r="Y23" s="23" t="str">
        <f t="shared" si="10"/>
        <v/>
      </c>
      <c r="Z23" s="23" t="str">
        <f t="shared" si="11"/>
        <v/>
      </c>
      <c r="AA23" s="23" t="str">
        <f t="shared" si="12"/>
        <v/>
      </c>
      <c r="AB23" t="str">
        <f>IFERROR(VLOOKUP($A23,[5]库存使用数据!$A:$D,4,0),"")</f>
        <v/>
      </c>
      <c r="AC23" t="str">
        <f>IFERROR(VLOOKUP($A23,[5]库存使用数据!$A:$G,7,0),"")</f>
        <v/>
      </c>
      <c r="AD23" t="str">
        <f>IFERROR(VLOOKUP($A23,[5]库存使用数据!$A:$J,10,0),"")</f>
        <v/>
      </c>
      <c r="AE23" t="str">
        <f>IFERROR(VLOOKUP($A23,[5]库存使用数据!$A:$M,13,0),"")</f>
        <v/>
      </c>
      <c r="AF23" s="23" t="str">
        <f t="shared" si="13"/>
        <v/>
      </c>
      <c r="AG23" s="23" t="str">
        <f t="shared" si="14"/>
        <v/>
      </c>
      <c r="AH23" s="23" t="str">
        <f t="shared" si="15"/>
        <v/>
      </c>
      <c r="AI23" s="23" t="str">
        <f t="shared" si="16"/>
        <v/>
      </c>
      <c r="AJ23">
        <f>IFERROR(VLOOKUP($B23,[1]库存报告使用数据!$A$1:$B$65536,2,0),0)</f>
        <v>0</v>
      </c>
      <c r="AK23">
        <f>IFERROR(VLOOKUP($B23,[1]库存报告使用数据!$A$1:$C$65536,3,0),0)</f>
        <v>0</v>
      </c>
      <c r="AL23">
        <f>IFERROR(VLOOKUP($B23,[1]库存报告使用数据!$A$1:$D$65536,4,0),0)</f>
        <v>0</v>
      </c>
      <c r="AM23">
        <f>IFERROR(VLOOKUP($B23,[1]库存报告使用数据!$A$1:$E$65536,5,0),0)</f>
        <v>0</v>
      </c>
      <c r="AN23" s="23" t="str">
        <f t="shared" si="17"/>
        <v/>
      </c>
      <c r="AO23" s="23" t="str">
        <f t="shared" si="18"/>
        <v/>
      </c>
      <c r="AP23" s="23" t="str">
        <f t="shared" si="19"/>
        <v/>
      </c>
      <c r="AQ23" s="23" t="str">
        <f t="shared" si="20"/>
        <v/>
      </c>
      <c r="AR23" s="38">
        <f t="shared" si="4"/>
        <v>0</v>
      </c>
      <c r="AS23" s="38">
        <f t="shared" si="5"/>
        <v>0</v>
      </c>
      <c r="AT23" s="38">
        <f t="shared" si="6"/>
        <v>0</v>
      </c>
      <c r="AU23" s="33" t="str">
        <f t="shared" si="7"/>
        <v>库存为0</v>
      </c>
      <c r="AV23" s="39" t="str">
        <f>IFERROR(时间!$B$4+AU23,"上周无销量")</f>
        <v>上周无销量</v>
      </c>
    </row>
    <row r="24" spans="1:48">
      <c r="A24" s="35" t="s">
        <v>69</v>
      </c>
      <c r="B24" t="str">
        <f>VLOOKUP(A24,'[2]sku-asin（子）'!$A:$B,2,0)</f>
        <v>B073XM44QG</v>
      </c>
      <c r="C24" t="str">
        <f>VLOOKUP(A24,'[2]子sku-父sku'!$A:$B,2,0)</f>
        <v>KTKXJFK</v>
      </c>
      <c r="D24" s="33">
        <f>IFERROR(VLOOKUP(A24,[3]库存报告使用数据处理!$A:$C,3,0),0)</f>
        <v>0</v>
      </c>
      <c r="E24" s="33">
        <f>IFERROR(VLOOKUP(A24,[3]库存报告使用数据处理!$A:$D,4,0),0)</f>
        <v>0</v>
      </c>
      <c r="F24" s="33">
        <f>IFERROR(VLOOKUP(A24,[3]库存报告使用数据处理!$A:$E,5,0),0)</f>
        <v>0</v>
      </c>
      <c r="G24" s="33">
        <f>IFERROR(VLOOKUP(A24,[3]库存报告使用数据处理!$A:$F,6,0),0)</f>
        <v>0</v>
      </c>
      <c r="H24" s="34">
        <f>IFERROR(VLOOKUP(A24,[3]库存报告使用数据处理!$A:$G,7,0),0)</f>
        <v>0</v>
      </c>
      <c r="I24">
        <f>IFERROR(VLOOKUP(A24,[4]数据处理!$A:$B,2,0),0)</f>
        <v>0</v>
      </c>
      <c r="J24" s="36">
        <f>IFERROR(VLOOKUP(A24,[4]数据处理!$A:$D,4,0),0)</f>
        <v>0</v>
      </c>
      <c r="K24" s="36">
        <f>IFERROR(VLOOKUP(A24,[4]数据处理!$A:$E,5,0),0)</f>
        <v>0</v>
      </c>
      <c r="L24" s="36">
        <f>IFERROR(VLOOKUP(A24,[4]数据处理!$A:$G,7,0),0)</f>
        <v>0</v>
      </c>
      <c r="M24">
        <f t="shared" si="0"/>
        <v>0</v>
      </c>
      <c r="N24">
        <f>IFERROR(VLOOKUP(A24,[4]数据处理!$A:$C,3,0),0)</f>
        <v>0</v>
      </c>
      <c r="O24">
        <f>IFERROR(VLOOKUP($A24,[4]数据处理!$A:$N,14,0),0)</f>
        <v>0</v>
      </c>
      <c r="P24" t="str">
        <f>IFERROR(VLOOKUP($A24,[5]库存使用数据!$A:$B,2,0),"")</f>
        <v/>
      </c>
      <c r="Q24" t="str">
        <f>IFERROR(VLOOKUP($A24,[5]库存使用数据!$A:$E,5,0),"")</f>
        <v/>
      </c>
      <c r="R24" t="str">
        <f>IFERROR(VLOOKUP($A24,[5]库存使用数据!$A:$H,8,0),"")</f>
        <v/>
      </c>
      <c r="S24" t="str">
        <f>IFERROR(VLOOKUP($A24,[5]库存使用数据!$A:$K,11,0),"")</f>
        <v/>
      </c>
      <c r="T24" t="str">
        <f>IFERROR(VLOOKUP($A24,[5]库存使用数据!$A:$C,3,0),"")</f>
        <v/>
      </c>
      <c r="U24" t="str">
        <f>IFERROR(VLOOKUP($A24,[5]库存使用数据!$A:$F,6,0),"")</f>
        <v/>
      </c>
      <c r="V24" t="str">
        <f>IFERROR(VLOOKUP($A24,[5]库存使用数据!$A:$I,9,0),"")</f>
        <v/>
      </c>
      <c r="W24" t="str">
        <f>IFERROR(VLOOKUP($A24,[5]库存使用数据!$A:$L,12,0),"")</f>
        <v/>
      </c>
      <c r="X24" s="23" t="str">
        <f t="shared" si="9"/>
        <v/>
      </c>
      <c r="Y24" s="23" t="str">
        <f t="shared" si="10"/>
        <v/>
      </c>
      <c r="Z24" s="23" t="str">
        <f t="shared" si="11"/>
        <v/>
      </c>
      <c r="AA24" s="23" t="str">
        <f t="shared" si="12"/>
        <v/>
      </c>
      <c r="AB24" t="str">
        <f>IFERROR(VLOOKUP($A24,[5]库存使用数据!$A:$D,4,0),"")</f>
        <v/>
      </c>
      <c r="AC24" t="str">
        <f>IFERROR(VLOOKUP($A24,[5]库存使用数据!$A:$G,7,0),"")</f>
        <v/>
      </c>
      <c r="AD24" t="str">
        <f>IFERROR(VLOOKUP($A24,[5]库存使用数据!$A:$J,10,0),"")</f>
        <v/>
      </c>
      <c r="AE24" t="str">
        <f>IFERROR(VLOOKUP($A24,[5]库存使用数据!$A:$M,13,0),"")</f>
        <v/>
      </c>
      <c r="AF24" s="23" t="str">
        <f t="shared" si="13"/>
        <v/>
      </c>
      <c r="AG24" s="23" t="str">
        <f t="shared" si="14"/>
        <v/>
      </c>
      <c r="AH24" s="23" t="str">
        <f t="shared" si="15"/>
        <v/>
      </c>
      <c r="AI24" s="23" t="str">
        <f t="shared" si="16"/>
        <v/>
      </c>
      <c r="AJ24">
        <f>IFERROR(VLOOKUP($B24,[1]库存报告使用数据!$A$1:$B$65536,2,0),0)</f>
        <v>0</v>
      </c>
      <c r="AK24">
        <f>IFERROR(VLOOKUP($B24,[1]库存报告使用数据!$A$1:$C$65536,3,0),0)</f>
        <v>0</v>
      </c>
      <c r="AL24">
        <f>IFERROR(VLOOKUP($B24,[1]库存报告使用数据!$A$1:$D$65536,4,0),0)</f>
        <v>0</v>
      </c>
      <c r="AM24">
        <f>IFERROR(VLOOKUP($B24,[1]库存报告使用数据!$A$1:$E$65536,5,0),0)</f>
        <v>0</v>
      </c>
      <c r="AN24" s="23" t="str">
        <f t="shared" si="17"/>
        <v/>
      </c>
      <c r="AO24" s="23" t="str">
        <f t="shared" si="18"/>
        <v/>
      </c>
      <c r="AP24" s="23" t="str">
        <f t="shared" si="19"/>
        <v/>
      </c>
      <c r="AQ24" s="23" t="str">
        <f t="shared" si="20"/>
        <v/>
      </c>
      <c r="AR24" s="38">
        <f t="shared" si="4"/>
        <v>0</v>
      </c>
      <c r="AS24" s="38">
        <f t="shared" si="5"/>
        <v>0</v>
      </c>
      <c r="AT24" s="38">
        <f t="shared" si="6"/>
        <v>0</v>
      </c>
      <c r="AU24" s="33" t="str">
        <f t="shared" si="7"/>
        <v>库存为0</v>
      </c>
      <c r="AV24" s="39" t="str">
        <f>IFERROR(时间!$B$4+AU24,"上周无销量")</f>
        <v>上周无销量</v>
      </c>
    </row>
    <row r="25" spans="1:48">
      <c r="A25" s="35" t="s">
        <v>70</v>
      </c>
      <c r="B25" t="str">
        <f>VLOOKUP(A25,'[2]sku-asin（子）'!$A:$B,2,0)</f>
        <v>B071VFYY2V</v>
      </c>
      <c r="C25" t="str">
        <f>VLOOKUP(A25,'[2]子sku-父sku'!$A:$B,2,0)</f>
        <v>KTKXJFK</v>
      </c>
      <c r="D25" s="33">
        <f>IFERROR(VLOOKUP(A25,[3]库存报告使用数据处理!$A:$C,3,0),0)</f>
        <v>0</v>
      </c>
      <c r="E25" s="33">
        <f>IFERROR(VLOOKUP(A25,[3]库存报告使用数据处理!$A:$D,4,0),0)</f>
        <v>0</v>
      </c>
      <c r="F25" s="33">
        <f>IFERROR(VLOOKUP(A25,[3]库存报告使用数据处理!$A:$E,5,0),0)</f>
        <v>0</v>
      </c>
      <c r="G25" s="33">
        <f>IFERROR(VLOOKUP(A25,[3]库存报告使用数据处理!$A:$F,6,0),0)</f>
        <v>0</v>
      </c>
      <c r="H25" s="34">
        <f>IFERROR(VLOOKUP(A25,[3]库存报告使用数据处理!$A:$G,7,0),0)</f>
        <v>0</v>
      </c>
      <c r="I25">
        <f>IFERROR(VLOOKUP(A25,[4]数据处理!$A:$B,2,0),0)</f>
        <v>0</v>
      </c>
      <c r="J25" s="36">
        <f>IFERROR(VLOOKUP(A25,[4]数据处理!$A:$D,4,0),0)</f>
        <v>0</v>
      </c>
      <c r="K25" s="36">
        <f>IFERROR(VLOOKUP(A25,[4]数据处理!$A:$E,5,0),0)</f>
        <v>0</v>
      </c>
      <c r="L25" s="36">
        <f>IFERROR(VLOOKUP(A25,[4]数据处理!$A:$G,7,0),0)</f>
        <v>0</v>
      </c>
      <c r="M25">
        <f t="shared" si="0"/>
        <v>0</v>
      </c>
      <c r="N25">
        <f>IFERROR(VLOOKUP(A25,[4]数据处理!$A:$C,3,0),0)</f>
        <v>0</v>
      </c>
      <c r="O25">
        <f>IFERROR(VLOOKUP($A25,[4]数据处理!$A:$N,14,0),0)</f>
        <v>0</v>
      </c>
      <c r="P25" t="str">
        <f>IFERROR(VLOOKUP($A25,[5]库存使用数据!$A:$B,2,0),"")</f>
        <v/>
      </c>
      <c r="Q25" t="str">
        <f>IFERROR(VLOOKUP($A25,[5]库存使用数据!$A:$E,5,0),"")</f>
        <v/>
      </c>
      <c r="R25" t="str">
        <f>IFERROR(VLOOKUP($A25,[5]库存使用数据!$A:$H,8,0),"")</f>
        <v/>
      </c>
      <c r="S25" t="str">
        <f>IFERROR(VLOOKUP($A25,[5]库存使用数据!$A:$K,11,0),"")</f>
        <v/>
      </c>
      <c r="T25" t="str">
        <f>IFERROR(VLOOKUP($A25,[5]库存使用数据!$A:$C,3,0),"")</f>
        <v/>
      </c>
      <c r="U25" t="str">
        <f>IFERROR(VLOOKUP($A25,[5]库存使用数据!$A:$F,6,0),"")</f>
        <v/>
      </c>
      <c r="V25" t="str">
        <f>IFERROR(VLOOKUP($A25,[5]库存使用数据!$A:$I,9,0),"")</f>
        <v/>
      </c>
      <c r="W25" t="str">
        <f>IFERROR(VLOOKUP($A25,[5]库存使用数据!$A:$L,12,0),"")</f>
        <v/>
      </c>
      <c r="X25" s="23" t="str">
        <f t="shared" si="9"/>
        <v/>
      </c>
      <c r="Y25" s="23" t="str">
        <f t="shared" si="10"/>
        <v/>
      </c>
      <c r="Z25" s="23" t="str">
        <f t="shared" si="11"/>
        <v/>
      </c>
      <c r="AA25" s="23" t="str">
        <f t="shared" si="12"/>
        <v/>
      </c>
      <c r="AB25" t="str">
        <f>IFERROR(VLOOKUP($A25,[5]库存使用数据!$A:$D,4,0),"")</f>
        <v/>
      </c>
      <c r="AC25" t="str">
        <f>IFERROR(VLOOKUP($A25,[5]库存使用数据!$A:$G,7,0),"")</f>
        <v/>
      </c>
      <c r="AD25" t="str">
        <f>IFERROR(VLOOKUP($A25,[5]库存使用数据!$A:$J,10,0),"")</f>
        <v/>
      </c>
      <c r="AE25" t="str">
        <f>IFERROR(VLOOKUP($A25,[5]库存使用数据!$A:$M,13,0),"")</f>
        <v/>
      </c>
      <c r="AF25" s="23" t="str">
        <f t="shared" si="13"/>
        <v/>
      </c>
      <c r="AG25" s="23" t="str">
        <f t="shared" si="14"/>
        <v/>
      </c>
      <c r="AH25" s="23" t="str">
        <f t="shared" si="15"/>
        <v/>
      </c>
      <c r="AI25" s="23" t="str">
        <f t="shared" si="16"/>
        <v/>
      </c>
      <c r="AJ25">
        <f>IFERROR(VLOOKUP($B25,[1]库存报告使用数据!$A$1:$B$65536,2,0),0)</f>
        <v>0</v>
      </c>
      <c r="AK25">
        <f>IFERROR(VLOOKUP($B25,[1]库存报告使用数据!$A$1:$C$65536,3,0),0)</f>
        <v>0</v>
      </c>
      <c r="AL25">
        <f>IFERROR(VLOOKUP($B25,[1]库存报告使用数据!$A$1:$D$65536,4,0),0)</f>
        <v>0</v>
      </c>
      <c r="AM25">
        <f>IFERROR(VLOOKUP($B25,[1]库存报告使用数据!$A$1:$E$65536,5,0),0)</f>
        <v>0</v>
      </c>
      <c r="AN25" s="23" t="str">
        <f t="shared" si="17"/>
        <v/>
      </c>
      <c r="AO25" s="23" t="str">
        <f t="shared" si="18"/>
        <v/>
      </c>
      <c r="AP25" s="23" t="str">
        <f t="shared" si="19"/>
        <v/>
      </c>
      <c r="AQ25" s="23" t="str">
        <f t="shared" si="20"/>
        <v/>
      </c>
      <c r="AR25" s="38">
        <f t="shared" si="4"/>
        <v>0</v>
      </c>
      <c r="AS25" s="38">
        <f t="shared" si="5"/>
        <v>0</v>
      </c>
      <c r="AT25" s="38">
        <f t="shared" si="6"/>
        <v>0</v>
      </c>
      <c r="AU25" s="33" t="str">
        <f t="shared" si="7"/>
        <v>库存为0</v>
      </c>
      <c r="AV25" s="39" t="str">
        <f>IFERROR(时间!$B$4+AU25,"上周无销量")</f>
        <v>上周无销量</v>
      </c>
    </row>
    <row r="26" spans="1:48">
      <c r="A26" s="35" t="s">
        <v>71</v>
      </c>
      <c r="B26" t="str">
        <f>VLOOKUP(A26,'[2]sku-asin（子）'!$A:$B,2,0)</f>
        <v>B073XLK4G5</v>
      </c>
      <c r="C26" t="str">
        <f>VLOOKUP(A26,'[2]子sku-父sku'!$A:$B,2,0)</f>
        <v>KTKXXK</v>
      </c>
      <c r="D26" s="33">
        <f>IFERROR(VLOOKUP(A26,[3]库存报告使用数据处理!$A:$C,3,0),0)</f>
        <v>0</v>
      </c>
      <c r="E26" s="33">
        <f>IFERROR(VLOOKUP(A26,[3]库存报告使用数据处理!$A:$D,4,0),0)</f>
        <v>0</v>
      </c>
      <c r="F26" s="33">
        <f>IFERROR(VLOOKUP(A26,[3]库存报告使用数据处理!$A:$E,5,0),0)</f>
        <v>1</v>
      </c>
      <c r="G26" s="33">
        <f>IFERROR(VLOOKUP(A26,[3]库存报告使用数据处理!$A:$F,6,0),0)</f>
        <v>0</v>
      </c>
      <c r="H26" s="34">
        <f>IFERROR(VLOOKUP(A26,[3]库存报告使用数据处理!$A:$G,7,0),0)</f>
        <v>23.9</v>
      </c>
      <c r="I26">
        <f>IFERROR(VLOOKUP(A26,[4]数据处理!$A:$B,2,0),0)</f>
        <v>0</v>
      </c>
      <c r="J26" s="36">
        <f>IFERROR(VLOOKUP(A26,[4]数据处理!$A:$D,4,0),0)</f>
        <v>0</v>
      </c>
      <c r="K26" s="36">
        <f>IFERROR(VLOOKUP(A26,[4]数据处理!$A:$E,5,0),0)</f>
        <v>0</v>
      </c>
      <c r="L26" s="36">
        <f>IFERROR(VLOOKUP(A26,[4]数据处理!$A:$G,7,0),0)</f>
        <v>0</v>
      </c>
      <c r="M26">
        <f t="shared" si="0"/>
        <v>0</v>
      </c>
      <c r="N26">
        <f>IFERROR(VLOOKUP(A26,[4]数据处理!$A:$C,3,0),0)</f>
        <v>0</v>
      </c>
      <c r="O26">
        <f>IFERROR(VLOOKUP($A26,[4]数据处理!$A:$N,14,0),0)</f>
        <v>0</v>
      </c>
      <c r="P26" t="str">
        <f>IFERROR(VLOOKUP($A26,[5]库存使用数据!$A:$B,2,0),"")</f>
        <v/>
      </c>
      <c r="Q26" t="str">
        <f>IFERROR(VLOOKUP($A26,[5]库存使用数据!$A:$E,5,0),"")</f>
        <v/>
      </c>
      <c r="R26" t="str">
        <f>IFERROR(VLOOKUP($A26,[5]库存使用数据!$A:$H,8,0),"")</f>
        <v/>
      </c>
      <c r="S26" t="str">
        <f>IFERROR(VLOOKUP($A26,[5]库存使用数据!$A:$K,11,0),"")</f>
        <v/>
      </c>
      <c r="T26" t="str">
        <f>IFERROR(VLOOKUP($A26,[5]库存使用数据!$A:$C,3,0),"")</f>
        <v/>
      </c>
      <c r="U26" t="str">
        <f>IFERROR(VLOOKUP($A26,[5]库存使用数据!$A:$F,6,0),"")</f>
        <v/>
      </c>
      <c r="V26" t="str">
        <f>IFERROR(VLOOKUP($A26,[5]库存使用数据!$A:$I,9,0),"")</f>
        <v/>
      </c>
      <c r="W26" t="str">
        <f>IFERROR(VLOOKUP($A26,[5]库存使用数据!$A:$L,12,0),"")</f>
        <v/>
      </c>
      <c r="X26" s="23" t="str">
        <f t="shared" si="9"/>
        <v/>
      </c>
      <c r="Y26" s="23" t="str">
        <f t="shared" si="10"/>
        <v/>
      </c>
      <c r="Z26" s="23" t="str">
        <f t="shared" si="11"/>
        <v/>
      </c>
      <c r="AA26" s="23" t="str">
        <f t="shared" si="12"/>
        <v/>
      </c>
      <c r="AB26" t="str">
        <f>IFERROR(VLOOKUP($A26,[5]库存使用数据!$A:$D,4,0),"")</f>
        <v/>
      </c>
      <c r="AC26" t="str">
        <f>IFERROR(VLOOKUP($A26,[5]库存使用数据!$A:$G,7,0),"")</f>
        <v/>
      </c>
      <c r="AD26" t="str">
        <f>IFERROR(VLOOKUP($A26,[5]库存使用数据!$A:$J,10,0),"")</f>
        <v/>
      </c>
      <c r="AE26" t="str">
        <f>IFERROR(VLOOKUP($A26,[5]库存使用数据!$A:$M,13,0),"")</f>
        <v/>
      </c>
      <c r="AF26" s="23" t="str">
        <f t="shared" si="13"/>
        <v/>
      </c>
      <c r="AG26" s="23" t="str">
        <f t="shared" si="14"/>
        <v/>
      </c>
      <c r="AH26" s="23" t="str">
        <f t="shared" si="15"/>
        <v/>
      </c>
      <c r="AI26" s="23" t="str">
        <f t="shared" si="16"/>
        <v/>
      </c>
      <c r="AJ26">
        <f>IFERROR(VLOOKUP($B26,[1]库存报告使用数据!$A$1:$B$65536,2,0),0)</f>
        <v>0</v>
      </c>
      <c r="AK26">
        <f>IFERROR(VLOOKUP($B26,[1]库存报告使用数据!$A$1:$C$65536,3,0),0)</f>
        <v>0</v>
      </c>
      <c r="AL26">
        <f>IFERROR(VLOOKUP($B26,[1]库存报告使用数据!$A$1:$D$65536,4,0),0)</f>
        <v>1</v>
      </c>
      <c r="AM26">
        <f>IFERROR(VLOOKUP($B26,[1]库存报告使用数据!$A$1:$E$65536,5,0),0)</f>
        <v>1</v>
      </c>
      <c r="AN26" s="23" t="str">
        <f t="shared" si="17"/>
        <v/>
      </c>
      <c r="AO26" s="23" t="str">
        <f t="shared" si="18"/>
        <v/>
      </c>
      <c r="AP26" s="23">
        <f t="shared" si="19"/>
        <v>1</v>
      </c>
      <c r="AQ26" s="23">
        <f t="shared" si="20"/>
        <v>0</v>
      </c>
      <c r="AR26" s="38">
        <f t="shared" si="4"/>
        <v>0</v>
      </c>
      <c r="AS26" s="38">
        <f t="shared" si="5"/>
        <v>0</v>
      </c>
      <c r="AT26" s="38">
        <f t="shared" si="6"/>
        <v>0</v>
      </c>
      <c r="AU26" s="33" t="str">
        <f t="shared" si="7"/>
        <v>库存为0</v>
      </c>
      <c r="AV26" s="39" t="str">
        <f>IFERROR(时间!$B$4+AU26,"上周无销量")</f>
        <v>上周无销量</v>
      </c>
    </row>
    <row r="27" spans="1:48">
      <c r="A27" s="35" t="s">
        <v>72</v>
      </c>
      <c r="B27" t="str">
        <f>VLOOKUP(A27,'[2]sku-asin（子）'!$A:$B,2,0)</f>
        <v>B071NP2X5N</v>
      </c>
      <c r="C27" t="str">
        <f>VLOOKUP(A27,'[2]子sku-父sku'!$A:$B,2,0)</f>
        <v>KTKXXK</v>
      </c>
      <c r="D27" s="33">
        <f>IFERROR(VLOOKUP(A27,[3]库存报告使用数据处理!$A:$C,3,0),0)</f>
        <v>9</v>
      </c>
      <c r="E27" s="33">
        <f>IFERROR(VLOOKUP(A27,[3]库存报告使用数据处理!$A:$D,4,0),0)</f>
        <v>4</v>
      </c>
      <c r="F27" s="33">
        <f>IFERROR(VLOOKUP(A27,[3]库存报告使用数据处理!$A:$E,5,0),0)</f>
        <v>0</v>
      </c>
      <c r="G27" s="33">
        <f>IFERROR(VLOOKUP(A27,[3]库存报告使用数据处理!$A:$F,6,0),0)</f>
        <v>0</v>
      </c>
      <c r="H27" s="34">
        <f>IFERROR(VLOOKUP(A27,[3]库存报告使用数据处理!$A:$G,7,0),0)</f>
        <v>22.9</v>
      </c>
      <c r="I27">
        <f>IFERROR(VLOOKUP(A27,[4]数据处理!$A:$B,2,0),0)</f>
        <v>1</v>
      </c>
      <c r="J27" s="36">
        <f>IFERROR(VLOOKUP(A27,[4]数据处理!$A:$D,4,0),0)</f>
        <v>0</v>
      </c>
      <c r="K27" s="36">
        <f>IFERROR(VLOOKUP(A27,[4]数据处理!$A:$E,5,0),0)</f>
        <v>0</v>
      </c>
      <c r="L27" s="36">
        <f>IFERROR(VLOOKUP(A27,[4]数据处理!$A:$G,7,0),0)</f>
        <v>0</v>
      </c>
      <c r="M27">
        <f t="shared" si="0"/>
        <v>1</v>
      </c>
      <c r="N27">
        <f>IFERROR(VLOOKUP(A27,[4]数据处理!$A:$C,3,0),0)</f>
        <v>0</v>
      </c>
      <c r="O27">
        <f>IFERROR(VLOOKUP($A27,[4]数据处理!$A:$N,14,0),0)</f>
        <v>0</v>
      </c>
      <c r="P27" t="str">
        <f>IFERROR(VLOOKUP($A27,[5]库存使用数据!$A:$B,2,0),"")</f>
        <v/>
      </c>
      <c r="Q27" t="str">
        <f>IFERROR(VLOOKUP($A27,[5]库存使用数据!$A:$E,5,0),"")</f>
        <v/>
      </c>
      <c r="R27" t="str">
        <f>IFERROR(VLOOKUP($A27,[5]库存使用数据!$A:$H,8,0),"")</f>
        <v/>
      </c>
      <c r="S27" t="str">
        <f>IFERROR(VLOOKUP($A27,[5]库存使用数据!$A:$K,11,0),"")</f>
        <v/>
      </c>
      <c r="T27" t="str">
        <f>IFERROR(VLOOKUP($A27,[5]库存使用数据!$A:$C,3,0),"")</f>
        <v/>
      </c>
      <c r="U27" t="str">
        <f>IFERROR(VLOOKUP($A27,[5]库存使用数据!$A:$F,6,0),"")</f>
        <v/>
      </c>
      <c r="V27" t="str">
        <f>IFERROR(VLOOKUP($A27,[5]库存使用数据!$A:$I,9,0),"")</f>
        <v/>
      </c>
      <c r="W27" t="str">
        <f>IFERROR(VLOOKUP($A27,[5]库存使用数据!$A:$L,12,0),"")</f>
        <v/>
      </c>
      <c r="X27" s="23" t="str">
        <f t="shared" si="9"/>
        <v/>
      </c>
      <c r="Y27" s="23" t="str">
        <f t="shared" si="10"/>
        <v/>
      </c>
      <c r="Z27" s="23" t="str">
        <f t="shared" si="11"/>
        <v/>
      </c>
      <c r="AA27" s="23" t="str">
        <f t="shared" si="12"/>
        <v/>
      </c>
      <c r="AB27" t="str">
        <f>IFERROR(VLOOKUP($A27,[5]库存使用数据!$A:$D,4,0),"")</f>
        <v/>
      </c>
      <c r="AC27" t="str">
        <f>IFERROR(VLOOKUP($A27,[5]库存使用数据!$A:$G,7,0),"")</f>
        <v/>
      </c>
      <c r="AD27" t="str">
        <f>IFERROR(VLOOKUP($A27,[5]库存使用数据!$A:$J,10,0),"")</f>
        <v/>
      </c>
      <c r="AE27" t="str">
        <f>IFERROR(VLOOKUP($A27,[5]库存使用数据!$A:$M,13,0),"")</f>
        <v/>
      </c>
      <c r="AF27" s="23" t="str">
        <f t="shared" si="13"/>
        <v/>
      </c>
      <c r="AG27" s="23" t="str">
        <f t="shared" si="14"/>
        <v/>
      </c>
      <c r="AH27" s="23" t="str">
        <f t="shared" si="15"/>
        <v/>
      </c>
      <c r="AI27" s="23" t="str">
        <f t="shared" si="16"/>
        <v/>
      </c>
      <c r="AJ27">
        <f>IFERROR(VLOOKUP($B27,[1]库存报告使用数据!$A$1:$B$65536,2,0),0)</f>
        <v>133</v>
      </c>
      <c r="AK27">
        <f>IFERROR(VLOOKUP($B27,[1]库存报告使用数据!$A$1:$C$65536,3,0),0)</f>
        <v>71</v>
      </c>
      <c r="AL27">
        <f>IFERROR(VLOOKUP($B27,[1]库存报告使用数据!$A$1:$D$65536,4,0),0)</f>
        <v>14</v>
      </c>
      <c r="AM27">
        <f>IFERROR(VLOOKUP($B27,[1]库存报告使用数据!$A$1:$E$65536,5,0),0)</f>
        <v>20</v>
      </c>
      <c r="AN27" s="23">
        <f t="shared" si="17"/>
        <v>0.0676691729323308</v>
      </c>
      <c r="AO27" s="23">
        <f t="shared" si="18"/>
        <v>0.0563380281690141</v>
      </c>
      <c r="AP27" s="23">
        <f t="shared" si="19"/>
        <v>0</v>
      </c>
      <c r="AQ27" s="23">
        <f t="shared" si="20"/>
        <v>0</v>
      </c>
      <c r="AR27" s="38">
        <f t="shared" si="4"/>
        <v>1.28571428571429</v>
      </c>
      <c r="AS27" s="38">
        <f t="shared" si="5"/>
        <v>77.1428571428572</v>
      </c>
      <c r="AT27" s="38">
        <f t="shared" si="6"/>
        <v>-76.1428571428572</v>
      </c>
      <c r="AU27" s="33">
        <f t="shared" si="7"/>
        <v>0</v>
      </c>
      <c r="AV27" s="39">
        <f>IFERROR(时间!$B$4+AU27,"上周无销量")</f>
        <v>43290</v>
      </c>
    </row>
    <row r="28" spans="1:48">
      <c r="A28" s="35" t="s">
        <v>73</v>
      </c>
      <c r="B28" t="str">
        <f>VLOOKUP(A28,'[2]sku-asin（子）'!$A:$B,2,0)</f>
        <v>B0716LH9B7</v>
      </c>
      <c r="C28" t="str">
        <f>VLOOKUP(A28,'[2]子sku-父sku'!$A:$B,2,0)</f>
        <v>KTKXXK</v>
      </c>
      <c r="D28" s="33">
        <f>IFERROR(VLOOKUP(A28,[3]库存报告使用数据处理!$A:$C,3,0),0)</f>
        <v>0</v>
      </c>
      <c r="E28" s="33">
        <f>IFERROR(VLOOKUP(A28,[3]库存报告使用数据处理!$A:$D,4,0),0)</f>
        <v>0</v>
      </c>
      <c r="F28" s="33">
        <f>IFERROR(VLOOKUP(A28,[3]库存报告使用数据处理!$A:$E,5,0),0)</f>
        <v>0</v>
      </c>
      <c r="G28" s="33">
        <f>IFERROR(VLOOKUP(A28,[3]库存报告使用数据处理!$A:$F,6,0),0)</f>
        <v>0</v>
      </c>
      <c r="H28" s="34">
        <f>IFERROR(VLOOKUP(A28,[3]库存报告使用数据处理!$A:$G,7,0),0)</f>
        <v>0</v>
      </c>
      <c r="I28">
        <f>IFERROR(VLOOKUP(A28,[4]数据处理!$A:$B,2,0),0)</f>
        <v>0</v>
      </c>
      <c r="J28" s="36">
        <f>IFERROR(VLOOKUP(A28,[4]数据处理!$A:$D,4,0),0)</f>
        <v>0</v>
      </c>
      <c r="K28" s="36">
        <f>IFERROR(VLOOKUP(A28,[4]数据处理!$A:$E,5,0),0)</f>
        <v>0</v>
      </c>
      <c r="L28" s="36">
        <f>IFERROR(VLOOKUP(A28,[4]数据处理!$A:$G,7,0),0)</f>
        <v>0</v>
      </c>
      <c r="M28">
        <f t="shared" si="0"/>
        <v>0</v>
      </c>
      <c r="N28">
        <f>IFERROR(VLOOKUP(A28,[4]数据处理!$A:$C,3,0),0)</f>
        <v>0</v>
      </c>
      <c r="O28">
        <f>IFERROR(VLOOKUP($A28,[4]数据处理!$A:$N,14,0),0)</f>
        <v>0</v>
      </c>
      <c r="P28" t="str">
        <f>IFERROR(VLOOKUP($A28,[5]库存使用数据!$A:$B,2,0),"")</f>
        <v/>
      </c>
      <c r="Q28" t="str">
        <f>IFERROR(VLOOKUP($A28,[5]库存使用数据!$A:$E,5,0),"")</f>
        <v/>
      </c>
      <c r="R28" t="str">
        <f>IFERROR(VLOOKUP($A28,[5]库存使用数据!$A:$H,8,0),"")</f>
        <v/>
      </c>
      <c r="S28" t="str">
        <f>IFERROR(VLOOKUP($A28,[5]库存使用数据!$A:$K,11,0),"")</f>
        <v/>
      </c>
      <c r="T28" t="str">
        <f>IFERROR(VLOOKUP($A28,[5]库存使用数据!$A:$C,3,0),"")</f>
        <v/>
      </c>
      <c r="U28" t="str">
        <f>IFERROR(VLOOKUP($A28,[5]库存使用数据!$A:$F,6,0),"")</f>
        <v/>
      </c>
      <c r="V28" t="str">
        <f>IFERROR(VLOOKUP($A28,[5]库存使用数据!$A:$I,9,0),"")</f>
        <v/>
      </c>
      <c r="W28" t="str">
        <f>IFERROR(VLOOKUP($A28,[5]库存使用数据!$A:$L,12,0),"")</f>
        <v/>
      </c>
      <c r="X28" s="23" t="str">
        <f t="shared" si="9"/>
        <v/>
      </c>
      <c r="Y28" s="23" t="str">
        <f t="shared" si="10"/>
        <v/>
      </c>
      <c r="Z28" s="23" t="str">
        <f t="shared" si="11"/>
        <v/>
      </c>
      <c r="AA28" s="23" t="str">
        <f t="shared" si="12"/>
        <v/>
      </c>
      <c r="AB28" t="str">
        <f>IFERROR(VLOOKUP($A28,[5]库存使用数据!$A:$D,4,0),"")</f>
        <v/>
      </c>
      <c r="AC28" t="str">
        <f>IFERROR(VLOOKUP($A28,[5]库存使用数据!$A:$G,7,0),"")</f>
        <v/>
      </c>
      <c r="AD28" t="str">
        <f>IFERROR(VLOOKUP($A28,[5]库存使用数据!$A:$J,10,0),"")</f>
        <v/>
      </c>
      <c r="AE28" t="str">
        <f>IFERROR(VLOOKUP($A28,[5]库存使用数据!$A:$M,13,0),"")</f>
        <v/>
      </c>
      <c r="AF28" s="23" t="str">
        <f t="shared" si="13"/>
        <v/>
      </c>
      <c r="AG28" s="23" t="str">
        <f t="shared" si="14"/>
        <v/>
      </c>
      <c r="AH28" s="23" t="str">
        <f t="shared" si="15"/>
        <v/>
      </c>
      <c r="AI28" s="23" t="str">
        <f t="shared" si="16"/>
        <v/>
      </c>
      <c r="AJ28">
        <f>IFERROR(VLOOKUP($B28,[1]库存报告使用数据!$A$1:$B$65536,2,0),0)</f>
        <v>0</v>
      </c>
      <c r="AK28">
        <f>IFERROR(VLOOKUP($B28,[1]库存报告使用数据!$A$1:$C$65536,3,0),0)</f>
        <v>0</v>
      </c>
      <c r="AL28">
        <f>IFERROR(VLOOKUP($B28,[1]库存报告使用数据!$A$1:$D$65536,4,0),0)</f>
        <v>0</v>
      </c>
      <c r="AM28">
        <f>IFERROR(VLOOKUP($B28,[1]库存报告使用数据!$A$1:$E$65536,5,0),0)</f>
        <v>0</v>
      </c>
      <c r="AN28" s="23" t="str">
        <f t="shared" si="17"/>
        <v/>
      </c>
      <c r="AO28" s="23" t="str">
        <f t="shared" si="18"/>
        <v/>
      </c>
      <c r="AP28" s="23" t="str">
        <f t="shared" si="19"/>
        <v/>
      </c>
      <c r="AQ28" s="23" t="str">
        <f t="shared" si="20"/>
        <v/>
      </c>
      <c r="AR28" s="38">
        <f t="shared" si="4"/>
        <v>0</v>
      </c>
      <c r="AS28" s="38">
        <f t="shared" si="5"/>
        <v>0</v>
      </c>
      <c r="AT28" s="38">
        <f t="shared" si="6"/>
        <v>0</v>
      </c>
      <c r="AU28" s="33" t="str">
        <f t="shared" si="7"/>
        <v>库存为0</v>
      </c>
      <c r="AV28" s="39" t="str">
        <f>IFERROR(时间!$B$4+AU28,"上周无销量")</f>
        <v>上周无销量</v>
      </c>
    </row>
    <row r="29" spans="1:48">
      <c r="A29" s="35" t="s">
        <v>74</v>
      </c>
      <c r="B29" t="str">
        <f>VLOOKUP(A29,'[2]sku-asin（子）'!$A:$B,2,0)</f>
        <v>B073XMFYWX</v>
      </c>
      <c r="C29" t="str">
        <f>VLOOKUP(A29,'[2]子sku-父sku'!$A:$B,2,0)</f>
        <v>KTKXXK</v>
      </c>
      <c r="D29" s="33">
        <f>IFERROR(VLOOKUP(A29,[3]库存报告使用数据处理!$A:$C,3,0),0)</f>
        <v>1</v>
      </c>
      <c r="E29" s="33">
        <f>IFERROR(VLOOKUP(A29,[3]库存报告使用数据处理!$A:$D,4,0),0)</f>
        <v>3</v>
      </c>
      <c r="F29" s="33">
        <f>IFERROR(VLOOKUP(A29,[3]库存报告使用数据处理!$A:$E,5,0),0)</f>
        <v>1</v>
      </c>
      <c r="G29" s="33">
        <f>IFERROR(VLOOKUP(A29,[3]库存报告使用数据处理!$A:$F,6,0),0)</f>
        <v>1</v>
      </c>
      <c r="H29" s="34">
        <f>IFERROR(VLOOKUP(A29,[3]库存报告使用数据处理!$A:$G,7,0),0)</f>
        <v>19.4916666666667</v>
      </c>
      <c r="I29">
        <f>IFERROR(VLOOKUP(A29,[4]数据处理!$A:$B,2,0),0)</f>
        <v>14</v>
      </c>
      <c r="J29" s="36">
        <f>IFERROR(VLOOKUP(A29,[4]数据处理!$A:$D,4,0),0)</f>
        <v>0</v>
      </c>
      <c r="K29" s="36">
        <f>IFERROR(VLOOKUP(A29,[4]数据处理!$A:$E,5,0),0)</f>
        <v>0</v>
      </c>
      <c r="L29" s="36">
        <f>IFERROR(VLOOKUP(A29,[4]数据处理!$A:$G,7,0),0)</f>
        <v>1</v>
      </c>
      <c r="M29">
        <f t="shared" si="0"/>
        <v>15</v>
      </c>
      <c r="N29">
        <f>IFERROR(VLOOKUP(A29,[4]数据处理!$A:$C,3,0),0)</f>
        <v>0</v>
      </c>
      <c r="O29">
        <f>IFERROR(VLOOKUP($A29,[4]数据处理!$A:$N,14,0),0)</f>
        <v>8</v>
      </c>
      <c r="P29" t="str">
        <f>IFERROR(VLOOKUP($A29,[5]库存使用数据!$A:$B,2,0),"")</f>
        <v/>
      </c>
      <c r="Q29" t="str">
        <f>IFERROR(VLOOKUP($A29,[5]库存使用数据!$A:$E,5,0),"")</f>
        <v/>
      </c>
      <c r="R29" t="str">
        <f>IFERROR(VLOOKUP($A29,[5]库存使用数据!$A:$H,8,0),"")</f>
        <v/>
      </c>
      <c r="S29" t="str">
        <f>IFERROR(VLOOKUP($A29,[5]库存使用数据!$A:$K,11,0),"")</f>
        <v/>
      </c>
      <c r="T29" t="str">
        <f>IFERROR(VLOOKUP($A29,[5]库存使用数据!$A:$C,3,0),"")</f>
        <v/>
      </c>
      <c r="U29" t="str">
        <f>IFERROR(VLOOKUP($A29,[5]库存使用数据!$A:$F,6,0),"")</f>
        <v/>
      </c>
      <c r="V29" t="str">
        <f>IFERROR(VLOOKUP($A29,[5]库存使用数据!$A:$I,9,0),"")</f>
        <v/>
      </c>
      <c r="W29" t="str">
        <f>IFERROR(VLOOKUP($A29,[5]库存使用数据!$A:$L,12,0),"")</f>
        <v/>
      </c>
      <c r="X29" s="23" t="str">
        <f t="shared" si="9"/>
        <v/>
      </c>
      <c r="Y29" s="23" t="str">
        <f t="shared" si="10"/>
        <v/>
      </c>
      <c r="Z29" s="23" t="str">
        <f t="shared" si="11"/>
        <v/>
      </c>
      <c r="AA29" s="23" t="str">
        <f t="shared" si="12"/>
        <v/>
      </c>
      <c r="AB29" t="str">
        <f>IFERROR(VLOOKUP($A29,[5]库存使用数据!$A:$D,4,0),"")</f>
        <v/>
      </c>
      <c r="AC29" t="str">
        <f>IFERROR(VLOOKUP($A29,[5]库存使用数据!$A:$G,7,0),"")</f>
        <v/>
      </c>
      <c r="AD29" t="str">
        <f>IFERROR(VLOOKUP($A29,[5]库存使用数据!$A:$J,10,0),"")</f>
        <v/>
      </c>
      <c r="AE29" t="str">
        <f>IFERROR(VLOOKUP($A29,[5]库存使用数据!$A:$M,13,0),"")</f>
        <v/>
      </c>
      <c r="AF29" s="23" t="str">
        <f t="shared" si="13"/>
        <v/>
      </c>
      <c r="AG29" s="23" t="str">
        <f t="shared" si="14"/>
        <v/>
      </c>
      <c r="AH29" s="23" t="str">
        <f t="shared" si="15"/>
        <v/>
      </c>
      <c r="AI29" s="23" t="str">
        <f t="shared" si="16"/>
        <v/>
      </c>
      <c r="AJ29">
        <f>IFERROR(VLOOKUP($B29,[1]库存报告使用数据!$A$1:$B$65536,2,0),0)</f>
        <v>38</v>
      </c>
      <c r="AK29">
        <f>IFERROR(VLOOKUP($B29,[1]库存报告使用数据!$A$1:$C$65536,3,0),0)</f>
        <v>33</v>
      </c>
      <c r="AL29">
        <f>IFERROR(VLOOKUP($B29,[1]库存报告使用数据!$A$1:$D$65536,4,0),0)</f>
        <v>16</v>
      </c>
      <c r="AM29">
        <f>IFERROR(VLOOKUP($B29,[1]库存报告使用数据!$A$1:$E$65536,5,0),0)</f>
        <v>14</v>
      </c>
      <c r="AN29" s="23">
        <f t="shared" si="17"/>
        <v>0.0263157894736842</v>
      </c>
      <c r="AO29" s="23">
        <f t="shared" si="18"/>
        <v>0.0909090909090909</v>
      </c>
      <c r="AP29" s="23">
        <f t="shared" si="19"/>
        <v>0.0625</v>
      </c>
      <c r="AQ29" s="23">
        <f t="shared" si="20"/>
        <v>0.0714285714285714</v>
      </c>
      <c r="AR29" s="38">
        <f t="shared" si="4"/>
        <v>0.142857142857143</v>
      </c>
      <c r="AS29" s="38">
        <f t="shared" si="5"/>
        <v>8.57142857142857</v>
      </c>
      <c r="AT29" s="38">
        <f t="shared" si="6"/>
        <v>6.42857142857143</v>
      </c>
      <c r="AU29" s="33">
        <f t="shared" si="7"/>
        <v>105</v>
      </c>
      <c r="AV29" s="39">
        <f>IFERROR(时间!$B$4+AU29,"上周无销量")</f>
        <v>43395</v>
      </c>
    </row>
    <row r="30" spans="1:48">
      <c r="A30" s="35" t="s">
        <v>75</v>
      </c>
      <c r="B30" t="str">
        <f>VLOOKUP(A30,'[2]sku-asin（子）'!$A:$B,2,0)</f>
        <v>B071HHSJ1R</v>
      </c>
      <c r="C30" t="str">
        <f>VLOOKUP(A30,'[2]子sku-父sku'!$A:$B,2,0)</f>
        <v>KTKXXK</v>
      </c>
      <c r="D30" s="33">
        <f>IFERROR(VLOOKUP(A30,[3]库存报告使用数据处理!$A:$C,3,0),0)</f>
        <v>1</v>
      </c>
      <c r="E30" s="33">
        <f>IFERROR(VLOOKUP(A30,[3]库存报告使用数据处理!$A:$D,4,0),0)</f>
        <v>2</v>
      </c>
      <c r="F30" s="33">
        <f>IFERROR(VLOOKUP(A30,[3]库存报告使用数据处理!$A:$E,5,0),0)</f>
        <v>0</v>
      </c>
      <c r="G30" s="33">
        <f>IFERROR(VLOOKUP(A30,[3]库存报告使用数据处理!$A:$F,6,0),0)</f>
        <v>0</v>
      </c>
      <c r="H30" s="34">
        <f>IFERROR(VLOOKUP(A30,[3]库存报告使用数据处理!$A:$G,7,0),0)</f>
        <v>22.99</v>
      </c>
      <c r="I30">
        <f>IFERROR(VLOOKUP(A30,[4]数据处理!$A:$B,2,0),0)</f>
        <v>6</v>
      </c>
      <c r="J30" s="36">
        <f>IFERROR(VLOOKUP(A30,[4]数据处理!$A:$D,4,0),0)</f>
        <v>0</v>
      </c>
      <c r="K30" s="36">
        <f>IFERROR(VLOOKUP(A30,[4]数据处理!$A:$E,5,0),0)</f>
        <v>0</v>
      </c>
      <c r="L30" s="36">
        <f>IFERROR(VLOOKUP(A30,[4]数据处理!$A:$G,7,0),0)</f>
        <v>0</v>
      </c>
      <c r="M30">
        <f t="shared" si="0"/>
        <v>6</v>
      </c>
      <c r="N30">
        <f>IFERROR(VLOOKUP(A30,[4]数据处理!$A:$C,3,0),0)</f>
        <v>0</v>
      </c>
      <c r="O30">
        <f>IFERROR(VLOOKUP($A30,[4]数据处理!$A:$N,14,0),0)</f>
        <v>1</v>
      </c>
      <c r="P30" t="str">
        <f>IFERROR(VLOOKUP($A30,[5]库存使用数据!$A:$B,2,0),"")</f>
        <v/>
      </c>
      <c r="Q30" t="str">
        <f>IFERROR(VLOOKUP($A30,[5]库存使用数据!$A:$E,5,0),"")</f>
        <v/>
      </c>
      <c r="R30" t="str">
        <f>IFERROR(VLOOKUP($A30,[5]库存使用数据!$A:$H,8,0),"")</f>
        <v/>
      </c>
      <c r="S30" t="str">
        <f>IFERROR(VLOOKUP($A30,[5]库存使用数据!$A:$K,11,0),"")</f>
        <v/>
      </c>
      <c r="T30" t="str">
        <f>IFERROR(VLOOKUP($A30,[5]库存使用数据!$A:$C,3,0),"")</f>
        <v/>
      </c>
      <c r="U30" t="str">
        <f>IFERROR(VLOOKUP($A30,[5]库存使用数据!$A:$F,6,0),"")</f>
        <v/>
      </c>
      <c r="V30" t="str">
        <f>IFERROR(VLOOKUP($A30,[5]库存使用数据!$A:$I,9,0),"")</f>
        <v/>
      </c>
      <c r="W30" t="str">
        <f>IFERROR(VLOOKUP($A30,[5]库存使用数据!$A:$L,12,0),"")</f>
        <v/>
      </c>
      <c r="X30" s="23" t="str">
        <f t="shared" si="9"/>
        <v/>
      </c>
      <c r="Y30" s="23" t="str">
        <f t="shared" si="10"/>
        <v/>
      </c>
      <c r="Z30" s="23" t="str">
        <f t="shared" si="11"/>
        <v/>
      </c>
      <c r="AA30" s="23" t="str">
        <f t="shared" si="12"/>
        <v/>
      </c>
      <c r="AB30" t="str">
        <f>IFERROR(VLOOKUP($A30,[5]库存使用数据!$A:$D,4,0),"")</f>
        <v/>
      </c>
      <c r="AC30" t="str">
        <f>IFERROR(VLOOKUP($A30,[5]库存使用数据!$A:$G,7,0),"")</f>
        <v/>
      </c>
      <c r="AD30" t="str">
        <f>IFERROR(VLOOKUP($A30,[5]库存使用数据!$A:$J,10,0),"")</f>
        <v/>
      </c>
      <c r="AE30" t="str">
        <f>IFERROR(VLOOKUP($A30,[5]库存使用数据!$A:$M,13,0),"")</f>
        <v/>
      </c>
      <c r="AF30" s="23" t="str">
        <f t="shared" si="13"/>
        <v/>
      </c>
      <c r="AG30" s="23" t="str">
        <f t="shared" si="14"/>
        <v/>
      </c>
      <c r="AH30" s="23" t="str">
        <f t="shared" si="15"/>
        <v/>
      </c>
      <c r="AI30" s="23" t="str">
        <f t="shared" si="16"/>
        <v/>
      </c>
      <c r="AJ30">
        <f>IFERROR(VLOOKUP($B30,[1]库存报告使用数据!$A$1:$B$65536,2,0),0)</f>
        <v>92</v>
      </c>
      <c r="AK30">
        <f>IFERROR(VLOOKUP($B30,[1]库存报告使用数据!$A$1:$C$65536,3,0),0)</f>
        <v>54</v>
      </c>
      <c r="AL30">
        <f>IFERROR(VLOOKUP($B30,[1]库存报告使用数据!$A$1:$D$65536,4,0),0)</f>
        <v>15</v>
      </c>
      <c r="AM30">
        <f>IFERROR(VLOOKUP($B30,[1]库存报告使用数据!$A$1:$E$65536,5,0),0)</f>
        <v>16</v>
      </c>
      <c r="AN30" s="23">
        <f t="shared" si="17"/>
        <v>0.0108695652173913</v>
      </c>
      <c r="AO30" s="23">
        <f t="shared" si="18"/>
        <v>0.037037037037037</v>
      </c>
      <c r="AP30" s="23">
        <f t="shared" si="19"/>
        <v>0</v>
      </c>
      <c r="AQ30" s="23">
        <f t="shared" si="20"/>
        <v>0</v>
      </c>
      <c r="AR30" s="38">
        <f t="shared" si="4"/>
        <v>0.142857142857143</v>
      </c>
      <c r="AS30" s="38">
        <f t="shared" si="5"/>
        <v>8.57142857142857</v>
      </c>
      <c r="AT30" s="38">
        <f t="shared" si="6"/>
        <v>-2.57142857142857</v>
      </c>
      <c r="AU30" s="33">
        <f t="shared" si="7"/>
        <v>42</v>
      </c>
      <c r="AV30" s="39">
        <f>IFERROR(时间!$B$4+AU30,"上周无销量")</f>
        <v>43332</v>
      </c>
    </row>
    <row r="31" spans="1:48">
      <c r="A31" s="35" t="s">
        <v>76</v>
      </c>
      <c r="B31" t="str">
        <f>VLOOKUP(A31,'[2]sku-asin（子）'!$A:$B,2,0)</f>
        <v>B0761V7L2R</v>
      </c>
      <c r="C31" t="str">
        <f>VLOOKUP(A31,'[2]子sku-父sku'!$A:$B,2,0)</f>
        <v>MQZHK</v>
      </c>
      <c r="D31" s="33">
        <f>IFERROR(VLOOKUP(A31,[3]库存报告使用数据处理!$A:$C,3,0),0)</f>
        <v>0</v>
      </c>
      <c r="E31" s="33">
        <f>IFERROR(VLOOKUP(A31,[3]库存报告使用数据处理!$A:$D,4,0),0)</f>
        <v>0</v>
      </c>
      <c r="F31" s="33">
        <f>IFERROR(VLOOKUP(A31,[3]库存报告使用数据处理!$A:$E,5,0),0)</f>
        <v>0</v>
      </c>
      <c r="G31" s="33">
        <f>IFERROR(VLOOKUP(A31,[3]库存报告使用数据处理!$A:$F,6,0),0)</f>
        <v>0</v>
      </c>
      <c r="H31" s="34">
        <f>IFERROR(VLOOKUP(A31,[3]库存报告使用数据处理!$A:$G,7,0),0)</f>
        <v>0</v>
      </c>
      <c r="I31">
        <f>IFERROR(VLOOKUP(A31,[4]数据处理!$A:$B,2,0),0)</f>
        <v>2</v>
      </c>
      <c r="J31" s="36">
        <f>IFERROR(VLOOKUP(A31,[4]数据处理!$A:$D,4,0),0)</f>
        <v>0</v>
      </c>
      <c r="K31" s="36">
        <f>IFERROR(VLOOKUP(A31,[4]数据处理!$A:$E,5,0),0)</f>
        <v>0</v>
      </c>
      <c r="L31" s="36">
        <f>IFERROR(VLOOKUP(A31,[4]数据处理!$A:$G,7,0),0)</f>
        <v>0</v>
      </c>
      <c r="M31">
        <f t="shared" si="0"/>
        <v>2</v>
      </c>
      <c r="N31">
        <f>IFERROR(VLOOKUP(A31,[4]数据处理!$A:$C,3,0),0)</f>
        <v>0</v>
      </c>
      <c r="O31">
        <f>IFERROR(VLOOKUP($A31,[4]数据处理!$A:$N,14,0),0)</f>
        <v>1</v>
      </c>
      <c r="P31" t="str">
        <f>IFERROR(VLOOKUP($A31,[5]库存使用数据!$A:$B,2,0),"")</f>
        <v/>
      </c>
      <c r="Q31" t="str">
        <f>IFERROR(VLOOKUP($A31,[5]库存使用数据!$A:$E,5,0),"")</f>
        <v/>
      </c>
      <c r="R31" t="str">
        <f>IFERROR(VLOOKUP($A31,[5]库存使用数据!$A:$H,8,0),"")</f>
        <v/>
      </c>
      <c r="S31" t="str">
        <f>IFERROR(VLOOKUP($A31,[5]库存使用数据!$A:$K,11,0),"")</f>
        <v/>
      </c>
      <c r="T31" t="str">
        <f>IFERROR(VLOOKUP($A31,[5]库存使用数据!$A:$C,3,0),"")</f>
        <v/>
      </c>
      <c r="U31" t="str">
        <f>IFERROR(VLOOKUP($A31,[5]库存使用数据!$A:$F,6,0),"")</f>
        <v/>
      </c>
      <c r="V31" t="str">
        <f>IFERROR(VLOOKUP($A31,[5]库存使用数据!$A:$I,9,0),"")</f>
        <v/>
      </c>
      <c r="W31" t="str">
        <f>IFERROR(VLOOKUP($A31,[5]库存使用数据!$A:$L,12,0),"")</f>
        <v/>
      </c>
      <c r="X31" s="23" t="str">
        <f t="shared" si="9"/>
        <v/>
      </c>
      <c r="Y31" s="23" t="str">
        <f t="shared" si="10"/>
        <v/>
      </c>
      <c r="Z31" s="23" t="str">
        <f t="shared" si="11"/>
        <v/>
      </c>
      <c r="AA31" s="23" t="str">
        <f t="shared" si="12"/>
        <v/>
      </c>
      <c r="AB31" t="str">
        <f>IFERROR(VLOOKUP($A31,[5]库存使用数据!$A:$D,4,0),"")</f>
        <v/>
      </c>
      <c r="AC31" t="str">
        <f>IFERROR(VLOOKUP($A31,[5]库存使用数据!$A:$G,7,0),"")</f>
        <v/>
      </c>
      <c r="AD31" t="str">
        <f>IFERROR(VLOOKUP($A31,[5]库存使用数据!$A:$J,10,0),"")</f>
        <v/>
      </c>
      <c r="AE31" t="str">
        <f>IFERROR(VLOOKUP($A31,[5]库存使用数据!$A:$M,13,0),"")</f>
        <v/>
      </c>
      <c r="AF31" s="23" t="str">
        <f t="shared" si="13"/>
        <v/>
      </c>
      <c r="AG31" s="23" t="str">
        <f t="shared" si="14"/>
        <v/>
      </c>
      <c r="AH31" s="23" t="str">
        <f t="shared" si="15"/>
        <v/>
      </c>
      <c r="AI31" s="23" t="str">
        <f t="shared" si="16"/>
        <v/>
      </c>
      <c r="AJ31">
        <f>IFERROR(VLOOKUP($B31,[1]库存报告使用数据!$A$1:$B$65536,2,0),0)</f>
        <v>3</v>
      </c>
      <c r="AK31">
        <f>IFERROR(VLOOKUP($B31,[1]库存报告使用数据!$A$1:$C$65536,3,0),0)</f>
        <v>8</v>
      </c>
      <c r="AL31">
        <f>IFERROR(VLOOKUP($B31,[1]库存报告使用数据!$A$1:$D$65536,4,0),0)</f>
        <v>4</v>
      </c>
      <c r="AM31">
        <f>IFERROR(VLOOKUP($B31,[1]库存报告使用数据!$A$1:$E$65536,5,0),0)</f>
        <v>6</v>
      </c>
      <c r="AN31" s="23">
        <f t="shared" si="17"/>
        <v>0</v>
      </c>
      <c r="AO31" s="23">
        <f t="shared" si="18"/>
        <v>0</v>
      </c>
      <c r="AP31" s="23">
        <f t="shared" si="19"/>
        <v>0</v>
      </c>
      <c r="AQ31" s="23">
        <f t="shared" si="20"/>
        <v>0</v>
      </c>
      <c r="AR31" s="38">
        <f t="shared" si="4"/>
        <v>0</v>
      </c>
      <c r="AS31" s="38">
        <f t="shared" si="5"/>
        <v>0</v>
      </c>
      <c r="AT31" s="38">
        <f t="shared" si="6"/>
        <v>2</v>
      </c>
      <c r="AU31" s="33" t="str">
        <f t="shared" si="7"/>
        <v>库存为2</v>
      </c>
      <c r="AV31" s="39" t="str">
        <f>IFERROR(时间!$B$4+AU31,"上周无销量")</f>
        <v>上周无销量</v>
      </c>
    </row>
    <row r="32" spans="1:48">
      <c r="A32" s="35" t="s">
        <v>77</v>
      </c>
      <c r="B32" t="str">
        <f>VLOOKUP(A32,'[2]sku-asin（子）'!$A:$B,2,0)</f>
        <v>B0761QBHM9</v>
      </c>
      <c r="C32" t="str">
        <f>VLOOKUP(A32,'[2]子sku-父sku'!$A:$B,2,0)</f>
        <v>MQZHK</v>
      </c>
      <c r="D32" s="33">
        <f>IFERROR(VLOOKUP(A32,[3]库存报告使用数据处理!$A:$C,3,0),0)</f>
        <v>0</v>
      </c>
      <c r="E32" s="33">
        <f>IFERROR(VLOOKUP(A32,[3]库存报告使用数据处理!$A:$D,4,0),0)</f>
        <v>0</v>
      </c>
      <c r="F32" s="33">
        <f>IFERROR(VLOOKUP(A32,[3]库存报告使用数据处理!$A:$E,5,0),0)</f>
        <v>0</v>
      </c>
      <c r="G32" s="33">
        <f>IFERROR(VLOOKUP(A32,[3]库存报告使用数据处理!$A:$F,6,0),0)</f>
        <v>0</v>
      </c>
      <c r="H32" s="34">
        <f>IFERROR(VLOOKUP(A32,[3]库存报告使用数据处理!$A:$G,7,0),0)</f>
        <v>0</v>
      </c>
      <c r="I32">
        <f>IFERROR(VLOOKUP(A32,[4]数据处理!$A:$B,2,0),0)</f>
        <v>5</v>
      </c>
      <c r="J32" s="36">
        <f>IFERROR(VLOOKUP(A32,[4]数据处理!$A:$D,4,0),0)</f>
        <v>0</v>
      </c>
      <c r="K32" s="36">
        <f>IFERROR(VLOOKUP(A32,[4]数据处理!$A:$E,5,0),0)</f>
        <v>0</v>
      </c>
      <c r="L32" s="36">
        <f>IFERROR(VLOOKUP(A32,[4]数据处理!$A:$G,7,0),0)</f>
        <v>0</v>
      </c>
      <c r="M32">
        <f t="shared" si="0"/>
        <v>5</v>
      </c>
      <c r="N32">
        <f>IFERROR(VLOOKUP(A32,[4]数据处理!$A:$C,3,0),0)</f>
        <v>0</v>
      </c>
      <c r="O32">
        <f>IFERROR(VLOOKUP($A32,[4]数据处理!$A:$N,14,0),0)</f>
        <v>5</v>
      </c>
      <c r="P32">
        <f>IFERROR(VLOOKUP($A32,[5]库存使用数据!$A:$B,2,0),"")</f>
        <v>0</v>
      </c>
      <c r="Q32">
        <f>IFERROR(VLOOKUP($A32,[5]库存使用数据!$A:$E,5,0),"")</f>
        <v>0</v>
      </c>
      <c r="R32">
        <f>IFERROR(VLOOKUP($A32,[5]库存使用数据!$A:$H,8,0),"")</f>
        <v>0</v>
      </c>
      <c r="S32">
        <f>IFERROR(VLOOKUP($A32,[5]库存使用数据!$A:$K,11,0),"")</f>
        <v>13</v>
      </c>
      <c r="T32">
        <f>IFERROR(VLOOKUP($A32,[5]库存使用数据!$A:$C,3,0),"")</f>
        <v>0</v>
      </c>
      <c r="U32">
        <f>IFERROR(VLOOKUP($A32,[5]库存使用数据!$A:$F,6,0),"")</f>
        <v>0</v>
      </c>
      <c r="V32">
        <f>IFERROR(VLOOKUP($A32,[5]库存使用数据!$A:$I,9,0),"")</f>
        <v>0</v>
      </c>
      <c r="W32">
        <f>IFERROR(VLOOKUP($A32,[5]库存使用数据!$A:$L,12,0),"")</f>
        <v>0</v>
      </c>
      <c r="X32" s="23" t="str">
        <f t="shared" si="9"/>
        <v/>
      </c>
      <c r="Y32" s="23" t="str">
        <f t="shared" si="10"/>
        <v/>
      </c>
      <c r="Z32" s="23" t="str">
        <f t="shared" si="11"/>
        <v/>
      </c>
      <c r="AA32" s="23">
        <f t="shared" si="12"/>
        <v>0</v>
      </c>
      <c r="AB32">
        <f>IFERROR(VLOOKUP($A32,[5]库存使用数据!$A:$D,4,0),"")</f>
        <v>0</v>
      </c>
      <c r="AC32">
        <f>IFERROR(VLOOKUP($A32,[5]库存使用数据!$A:$G,7,0),"")</f>
        <v>0</v>
      </c>
      <c r="AD32">
        <f>IFERROR(VLOOKUP($A32,[5]库存使用数据!$A:$J,10,0),"")</f>
        <v>0</v>
      </c>
      <c r="AE32">
        <f>IFERROR(VLOOKUP($A32,[5]库存使用数据!$A:$M,13,0),"")</f>
        <v>0</v>
      </c>
      <c r="AF32" s="23" t="str">
        <f t="shared" si="13"/>
        <v/>
      </c>
      <c r="AG32" s="23" t="str">
        <f t="shared" si="14"/>
        <v/>
      </c>
      <c r="AH32" s="23" t="str">
        <f t="shared" si="15"/>
        <v/>
      </c>
      <c r="AI32" s="23" t="str">
        <f t="shared" si="16"/>
        <v/>
      </c>
      <c r="AJ32">
        <f>IFERROR(VLOOKUP($B32,[1]库存报告使用数据!$A$1:$B$65536,2,0),0)</f>
        <v>3</v>
      </c>
      <c r="AK32">
        <f>IFERROR(VLOOKUP($B32,[1]库存报告使用数据!$A$1:$C$65536,3,0),0)</f>
        <v>5</v>
      </c>
      <c r="AL32">
        <f>IFERROR(VLOOKUP($B32,[1]库存报告使用数据!$A$1:$D$65536,4,0),0)</f>
        <v>6</v>
      </c>
      <c r="AM32">
        <f>IFERROR(VLOOKUP($B32,[1]库存报告使用数据!$A$1:$E$65536,5,0),0)</f>
        <v>2</v>
      </c>
      <c r="AN32" s="23">
        <f t="shared" si="17"/>
        <v>0</v>
      </c>
      <c r="AO32" s="23">
        <f t="shared" si="18"/>
        <v>0</v>
      </c>
      <c r="AP32" s="23">
        <f t="shared" si="19"/>
        <v>0</v>
      </c>
      <c r="AQ32" s="23">
        <f t="shared" si="20"/>
        <v>0</v>
      </c>
      <c r="AR32" s="38">
        <f t="shared" si="4"/>
        <v>0</v>
      </c>
      <c r="AS32" s="38">
        <f t="shared" si="5"/>
        <v>0</v>
      </c>
      <c r="AT32" s="38">
        <f t="shared" si="6"/>
        <v>5</v>
      </c>
      <c r="AU32" s="33" t="str">
        <f t="shared" si="7"/>
        <v>库存为5</v>
      </c>
      <c r="AV32" s="39" t="str">
        <f>IFERROR(时间!$B$4+AU32,"上周无销量")</f>
        <v>上周无销量</v>
      </c>
    </row>
    <row r="33" spans="1:48">
      <c r="A33" s="35" t="s">
        <v>78</v>
      </c>
      <c r="B33" t="str">
        <f>VLOOKUP(A33,'[2]sku-asin（子）'!$A:$B,2,0)</f>
        <v>B0761S8TXR</v>
      </c>
      <c r="C33" t="str">
        <f>VLOOKUP(A33,'[2]子sku-父sku'!$A:$B,2,0)</f>
        <v>MQZHK</v>
      </c>
      <c r="D33" s="33">
        <f>IFERROR(VLOOKUP(A33,[3]库存报告使用数据处理!$A:$C,3,0),0)</f>
        <v>0</v>
      </c>
      <c r="E33" s="33">
        <f>IFERROR(VLOOKUP(A33,[3]库存报告使用数据处理!$A:$D,4,0),0)</f>
        <v>0</v>
      </c>
      <c r="F33" s="33">
        <f>IFERROR(VLOOKUP(A33,[3]库存报告使用数据处理!$A:$E,5,0),0)</f>
        <v>0</v>
      </c>
      <c r="G33" s="33">
        <f>IFERROR(VLOOKUP(A33,[3]库存报告使用数据处理!$A:$F,6,0),0)</f>
        <v>0</v>
      </c>
      <c r="H33" s="34">
        <f>IFERROR(VLOOKUP(A33,[3]库存报告使用数据处理!$A:$G,7,0),0)</f>
        <v>0</v>
      </c>
      <c r="I33">
        <f>IFERROR(VLOOKUP(A33,[4]数据处理!$A:$B,2,0),0)</f>
        <v>2</v>
      </c>
      <c r="J33" s="36">
        <f>IFERROR(VLOOKUP(A33,[4]数据处理!$A:$D,4,0),0)</f>
        <v>0</v>
      </c>
      <c r="K33" s="36">
        <f>IFERROR(VLOOKUP(A33,[4]数据处理!$A:$E,5,0),0)</f>
        <v>0</v>
      </c>
      <c r="L33" s="36">
        <f>IFERROR(VLOOKUP(A33,[4]数据处理!$A:$G,7,0),0)</f>
        <v>0</v>
      </c>
      <c r="M33">
        <f t="shared" si="0"/>
        <v>2</v>
      </c>
      <c r="N33">
        <f>IFERROR(VLOOKUP(A33,[4]数据处理!$A:$C,3,0),0)</f>
        <v>0</v>
      </c>
      <c r="O33">
        <f>IFERROR(VLOOKUP($A33,[4]数据处理!$A:$N,14,0),0)</f>
        <v>2</v>
      </c>
      <c r="P33" t="str">
        <f>IFERROR(VLOOKUP($A33,[5]库存使用数据!$A:$B,2,0),"")</f>
        <v/>
      </c>
      <c r="Q33" t="str">
        <f>IFERROR(VLOOKUP($A33,[5]库存使用数据!$A:$E,5,0),"")</f>
        <v/>
      </c>
      <c r="R33" t="str">
        <f>IFERROR(VLOOKUP($A33,[5]库存使用数据!$A:$H,8,0),"")</f>
        <v/>
      </c>
      <c r="S33" t="str">
        <f>IFERROR(VLOOKUP($A33,[5]库存使用数据!$A:$K,11,0),"")</f>
        <v/>
      </c>
      <c r="T33" t="str">
        <f>IFERROR(VLOOKUP($A33,[5]库存使用数据!$A:$C,3,0),"")</f>
        <v/>
      </c>
      <c r="U33" t="str">
        <f>IFERROR(VLOOKUP($A33,[5]库存使用数据!$A:$F,6,0),"")</f>
        <v/>
      </c>
      <c r="V33" t="str">
        <f>IFERROR(VLOOKUP($A33,[5]库存使用数据!$A:$I,9,0),"")</f>
        <v/>
      </c>
      <c r="W33" t="str">
        <f>IFERROR(VLOOKUP($A33,[5]库存使用数据!$A:$L,12,0),"")</f>
        <v/>
      </c>
      <c r="X33" s="23" t="str">
        <f t="shared" si="9"/>
        <v/>
      </c>
      <c r="Y33" s="23" t="str">
        <f t="shared" si="10"/>
        <v/>
      </c>
      <c r="Z33" s="23" t="str">
        <f t="shared" si="11"/>
        <v/>
      </c>
      <c r="AA33" s="23" t="str">
        <f t="shared" si="12"/>
        <v/>
      </c>
      <c r="AB33" t="str">
        <f>IFERROR(VLOOKUP($A33,[5]库存使用数据!$A:$D,4,0),"")</f>
        <v/>
      </c>
      <c r="AC33" t="str">
        <f>IFERROR(VLOOKUP($A33,[5]库存使用数据!$A:$G,7,0),"")</f>
        <v/>
      </c>
      <c r="AD33" t="str">
        <f>IFERROR(VLOOKUP($A33,[5]库存使用数据!$A:$J,10,0),"")</f>
        <v/>
      </c>
      <c r="AE33" t="str">
        <f>IFERROR(VLOOKUP($A33,[5]库存使用数据!$A:$M,13,0),"")</f>
        <v/>
      </c>
      <c r="AF33" s="23" t="str">
        <f t="shared" si="13"/>
        <v/>
      </c>
      <c r="AG33" s="23" t="str">
        <f t="shared" si="14"/>
        <v/>
      </c>
      <c r="AH33" s="23" t="str">
        <f t="shared" si="15"/>
        <v/>
      </c>
      <c r="AI33" s="23" t="str">
        <f t="shared" si="16"/>
        <v/>
      </c>
      <c r="AJ33">
        <f>IFERROR(VLOOKUP($B33,[1]库存报告使用数据!$A$1:$B$65536,2,0),0)</f>
        <v>3</v>
      </c>
      <c r="AK33">
        <f>IFERROR(VLOOKUP($B33,[1]库存报告使用数据!$A$1:$C$65536,3,0),0)</f>
        <v>5</v>
      </c>
      <c r="AL33">
        <f>IFERROR(VLOOKUP($B33,[1]库存报告使用数据!$A$1:$D$65536,4,0),0)</f>
        <v>4</v>
      </c>
      <c r="AM33">
        <f>IFERROR(VLOOKUP($B33,[1]库存报告使用数据!$A$1:$E$65536,5,0),0)</f>
        <v>0</v>
      </c>
      <c r="AN33" s="23">
        <f t="shared" si="17"/>
        <v>0</v>
      </c>
      <c r="AO33" s="23">
        <f t="shared" si="18"/>
        <v>0</v>
      </c>
      <c r="AP33" s="23">
        <f t="shared" si="19"/>
        <v>0</v>
      </c>
      <c r="AQ33" s="23" t="str">
        <f t="shared" si="20"/>
        <v/>
      </c>
      <c r="AR33" s="38">
        <f t="shared" si="4"/>
        <v>0</v>
      </c>
      <c r="AS33" s="38">
        <f t="shared" si="5"/>
        <v>0</v>
      </c>
      <c r="AT33" s="38">
        <f t="shared" si="6"/>
        <v>2</v>
      </c>
      <c r="AU33" s="33" t="str">
        <f t="shared" si="7"/>
        <v>库存为2</v>
      </c>
      <c r="AV33" s="39" t="str">
        <f>IFERROR(时间!$B$4+AU33,"上周无销量")</f>
        <v>上周无销量</v>
      </c>
    </row>
    <row r="34" spans="1:48">
      <c r="A34" s="35" t="s">
        <v>79</v>
      </c>
      <c r="B34" t="str">
        <f>VLOOKUP(A34,'[2]sku-asin（子）'!$A:$B,2,0)</f>
        <v>B0761N3HJ3</v>
      </c>
      <c r="C34" t="str">
        <f>VLOOKUP(A34,'[2]子sku-父sku'!$A:$B,2,0)</f>
        <v>MY16055</v>
      </c>
      <c r="D34" s="33">
        <f>IFERROR(VLOOKUP(A34,[3]库存报告使用数据处理!$A:$C,3,0),0)</f>
        <v>0</v>
      </c>
      <c r="E34" s="33">
        <f>IFERROR(VLOOKUP(A34,[3]库存报告使用数据处理!$A:$D,4,0),0)</f>
        <v>0</v>
      </c>
      <c r="F34" s="33">
        <f>IFERROR(VLOOKUP(A34,[3]库存报告使用数据处理!$A:$E,5,0),0)</f>
        <v>0</v>
      </c>
      <c r="G34" s="33">
        <f>IFERROR(VLOOKUP(A34,[3]库存报告使用数据处理!$A:$F,6,0),0)</f>
        <v>0</v>
      </c>
      <c r="H34" s="34">
        <f>IFERROR(VLOOKUP(A34,[3]库存报告使用数据处理!$A:$G,7,0),0)</f>
        <v>0</v>
      </c>
      <c r="I34">
        <f>IFERROR(VLOOKUP(A34,[4]数据处理!$A:$B,2,0),0)</f>
        <v>3</v>
      </c>
      <c r="J34" s="36">
        <f>IFERROR(VLOOKUP(A34,[4]数据处理!$A:$D,4,0),0)</f>
        <v>0</v>
      </c>
      <c r="K34" s="36">
        <f>IFERROR(VLOOKUP(A34,[4]数据处理!$A:$E,5,0),0)</f>
        <v>0</v>
      </c>
      <c r="L34" s="36">
        <f>IFERROR(VLOOKUP(A34,[4]数据处理!$A:$G,7,0),0)</f>
        <v>0</v>
      </c>
      <c r="M34">
        <f t="shared" si="0"/>
        <v>3</v>
      </c>
      <c r="N34">
        <f>IFERROR(VLOOKUP(A34,[4]数据处理!$A:$C,3,0),0)</f>
        <v>0</v>
      </c>
      <c r="O34">
        <f>IFERROR(VLOOKUP($A34,[4]数据处理!$A:$N,14,0),0)</f>
        <v>3</v>
      </c>
      <c r="P34" t="str">
        <f>IFERROR(VLOOKUP($A34,[5]库存使用数据!$A:$B,2,0),"")</f>
        <v/>
      </c>
      <c r="Q34" t="str">
        <f>IFERROR(VLOOKUP($A34,[5]库存使用数据!$A:$E,5,0),"")</f>
        <v/>
      </c>
      <c r="R34" t="str">
        <f>IFERROR(VLOOKUP($A34,[5]库存使用数据!$A:$H,8,0),"")</f>
        <v/>
      </c>
      <c r="S34" t="str">
        <f>IFERROR(VLOOKUP($A34,[5]库存使用数据!$A:$K,11,0),"")</f>
        <v/>
      </c>
      <c r="T34" t="str">
        <f>IFERROR(VLOOKUP($A34,[5]库存使用数据!$A:$C,3,0),"")</f>
        <v/>
      </c>
      <c r="U34" t="str">
        <f>IFERROR(VLOOKUP($A34,[5]库存使用数据!$A:$F,6,0),"")</f>
        <v/>
      </c>
      <c r="V34" t="str">
        <f>IFERROR(VLOOKUP($A34,[5]库存使用数据!$A:$I,9,0),"")</f>
        <v/>
      </c>
      <c r="W34" t="str">
        <f>IFERROR(VLOOKUP($A34,[5]库存使用数据!$A:$L,12,0),"")</f>
        <v/>
      </c>
      <c r="X34" s="23" t="str">
        <f t="shared" si="9"/>
        <v/>
      </c>
      <c r="Y34" s="23" t="str">
        <f t="shared" si="10"/>
        <v/>
      </c>
      <c r="Z34" s="23" t="str">
        <f t="shared" si="11"/>
        <v/>
      </c>
      <c r="AA34" s="23" t="str">
        <f t="shared" si="12"/>
        <v/>
      </c>
      <c r="AB34" t="str">
        <f>IFERROR(VLOOKUP($A34,[5]库存使用数据!$A:$D,4,0),"")</f>
        <v/>
      </c>
      <c r="AC34" t="str">
        <f>IFERROR(VLOOKUP($A34,[5]库存使用数据!$A:$G,7,0),"")</f>
        <v/>
      </c>
      <c r="AD34" t="str">
        <f>IFERROR(VLOOKUP($A34,[5]库存使用数据!$A:$J,10,0),"")</f>
        <v/>
      </c>
      <c r="AE34" t="str">
        <f>IFERROR(VLOOKUP($A34,[5]库存使用数据!$A:$M,13,0),"")</f>
        <v/>
      </c>
      <c r="AF34" s="23" t="str">
        <f t="shared" si="13"/>
        <v/>
      </c>
      <c r="AG34" s="23" t="str">
        <f t="shared" si="14"/>
        <v/>
      </c>
      <c r="AH34" s="23" t="str">
        <f t="shared" si="15"/>
        <v/>
      </c>
      <c r="AI34" s="23" t="str">
        <f t="shared" si="16"/>
        <v/>
      </c>
      <c r="AJ34">
        <f>IFERROR(VLOOKUP($B34,[1]库存报告使用数据!$A$1:$B$65536,2,0),0)</f>
        <v>3</v>
      </c>
      <c r="AK34">
        <f>IFERROR(VLOOKUP($B34,[1]库存报告使用数据!$A$1:$C$65536,3,0),0)</f>
        <v>6</v>
      </c>
      <c r="AL34">
        <f>IFERROR(VLOOKUP($B34,[1]库存报告使用数据!$A$1:$D$65536,4,0),0)</f>
        <v>5</v>
      </c>
      <c r="AM34">
        <f>IFERROR(VLOOKUP($B34,[1]库存报告使用数据!$A$1:$E$65536,5,0),0)</f>
        <v>2</v>
      </c>
      <c r="AN34" s="23">
        <f t="shared" si="17"/>
        <v>0</v>
      </c>
      <c r="AO34" s="23">
        <f t="shared" si="18"/>
        <v>0</v>
      </c>
      <c r="AP34" s="23">
        <f t="shared" si="19"/>
        <v>0</v>
      </c>
      <c r="AQ34" s="23">
        <f t="shared" si="20"/>
        <v>0</v>
      </c>
      <c r="AR34" s="38">
        <f t="shared" si="4"/>
        <v>0</v>
      </c>
      <c r="AS34" s="38">
        <f t="shared" si="5"/>
        <v>0</v>
      </c>
      <c r="AT34" s="38">
        <f t="shared" si="6"/>
        <v>3</v>
      </c>
      <c r="AU34" s="33" t="str">
        <f t="shared" si="7"/>
        <v>库存为3</v>
      </c>
      <c r="AV34" s="39" t="str">
        <f>IFERROR(时间!$B$4+AU34,"上周无销量")</f>
        <v>上周无销量</v>
      </c>
    </row>
    <row r="35" spans="1:48">
      <c r="A35" s="35" t="s">
        <v>80</v>
      </c>
      <c r="B35" t="str">
        <f>VLOOKUP(A35,'[2]sku-asin（子）'!$A:$B,2,0)</f>
        <v>B0761R93J2</v>
      </c>
      <c r="C35" t="str">
        <f>VLOOKUP(A35,'[2]子sku-父sku'!$A:$B,2,0)</f>
        <v>MY16055</v>
      </c>
      <c r="D35" s="33">
        <f>IFERROR(VLOOKUP(A35,[3]库存报告使用数据处理!$A:$C,3,0),0)</f>
        <v>0</v>
      </c>
      <c r="E35" s="33">
        <f>IFERROR(VLOOKUP(A35,[3]库存报告使用数据处理!$A:$D,4,0),0)</f>
        <v>0</v>
      </c>
      <c r="F35" s="33">
        <f>IFERROR(VLOOKUP(A35,[3]库存报告使用数据处理!$A:$E,5,0),0)</f>
        <v>0</v>
      </c>
      <c r="G35" s="33">
        <f>IFERROR(VLOOKUP(A35,[3]库存报告使用数据处理!$A:$F,6,0),0)</f>
        <v>0</v>
      </c>
      <c r="H35" s="34">
        <f>IFERROR(VLOOKUP(A35,[3]库存报告使用数据处理!$A:$G,7,0),0)</f>
        <v>0</v>
      </c>
      <c r="I35">
        <f>IFERROR(VLOOKUP(A35,[4]数据处理!$A:$B,2,0),0)</f>
        <v>2</v>
      </c>
      <c r="J35" s="36">
        <f>IFERROR(VLOOKUP(A35,[4]数据处理!$A:$D,4,0),0)</f>
        <v>0</v>
      </c>
      <c r="K35" s="36">
        <f>IFERROR(VLOOKUP(A35,[4]数据处理!$A:$E,5,0),0)</f>
        <v>0</v>
      </c>
      <c r="L35" s="36">
        <f>IFERROR(VLOOKUP(A35,[4]数据处理!$A:$G,7,0),0)</f>
        <v>0</v>
      </c>
      <c r="M35">
        <f t="shared" si="0"/>
        <v>2</v>
      </c>
      <c r="N35">
        <f>IFERROR(VLOOKUP(A35,[4]数据处理!$A:$C,3,0),0)</f>
        <v>0</v>
      </c>
      <c r="O35">
        <f>IFERROR(VLOOKUP($A35,[4]数据处理!$A:$N,14,0),0)</f>
        <v>1</v>
      </c>
      <c r="P35" t="str">
        <f>IFERROR(VLOOKUP($A35,[5]库存使用数据!$A:$B,2,0),"")</f>
        <v/>
      </c>
      <c r="Q35" t="str">
        <f>IFERROR(VLOOKUP($A35,[5]库存使用数据!$A:$E,5,0),"")</f>
        <v/>
      </c>
      <c r="R35" t="str">
        <f>IFERROR(VLOOKUP($A35,[5]库存使用数据!$A:$H,8,0),"")</f>
        <v/>
      </c>
      <c r="S35" t="str">
        <f>IFERROR(VLOOKUP($A35,[5]库存使用数据!$A:$K,11,0),"")</f>
        <v/>
      </c>
      <c r="T35" t="str">
        <f>IFERROR(VLOOKUP($A35,[5]库存使用数据!$A:$C,3,0),"")</f>
        <v/>
      </c>
      <c r="U35" t="str">
        <f>IFERROR(VLOOKUP($A35,[5]库存使用数据!$A:$F,6,0),"")</f>
        <v/>
      </c>
      <c r="V35" t="str">
        <f>IFERROR(VLOOKUP($A35,[5]库存使用数据!$A:$I,9,0),"")</f>
        <v/>
      </c>
      <c r="W35" t="str">
        <f>IFERROR(VLOOKUP($A35,[5]库存使用数据!$A:$L,12,0),"")</f>
        <v/>
      </c>
      <c r="X35" s="23" t="str">
        <f t="shared" si="9"/>
        <v/>
      </c>
      <c r="Y35" s="23" t="str">
        <f t="shared" si="10"/>
        <v/>
      </c>
      <c r="Z35" s="23" t="str">
        <f t="shared" si="11"/>
        <v/>
      </c>
      <c r="AA35" s="23" t="str">
        <f t="shared" si="12"/>
        <v/>
      </c>
      <c r="AB35" t="str">
        <f>IFERROR(VLOOKUP($A35,[5]库存使用数据!$A:$D,4,0),"")</f>
        <v/>
      </c>
      <c r="AC35" t="str">
        <f>IFERROR(VLOOKUP($A35,[5]库存使用数据!$A:$G,7,0),"")</f>
        <v/>
      </c>
      <c r="AD35" t="str">
        <f>IFERROR(VLOOKUP($A35,[5]库存使用数据!$A:$J,10,0),"")</f>
        <v/>
      </c>
      <c r="AE35" t="str">
        <f>IFERROR(VLOOKUP($A35,[5]库存使用数据!$A:$M,13,0),"")</f>
        <v/>
      </c>
      <c r="AF35" s="23" t="str">
        <f t="shared" si="13"/>
        <v/>
      </c>
      <c r="AG35" s="23" t="str">
        <f t="shared" si="14"/>
        <v/>
      </c>
      <c r="AH35" s="23" t="str">
        <f t="shared" si="15"/>
        <v/>
      </c>
      <c r="AI35" s="23" t="str">
        <f t="shared" si="16"/>
        <v/>
      </c>
      <c r="AJ35">
        <f>IFERROR(VLOOKUP($B35,[1]库存报告使用数据!$A$1:$B$65536,2,0),0)</f>
        <v>3</v>
      </c>
      <c r="AK35">
        <f>IFERROR(VLOOKUP($B35,[1]库存报告使用数据!$A$1:$C$65536,3,0),0)</f>
        <v>13</v>
      </c>
      <c r="AL35">
        <f>IFERROR(VLOOKUP($B35,[1]库存报告使用数据!$A$1:$D$65536,4,0),0)</f>
        <v>9</v>
      </c>
      <c r="AM35">
        <f>IFERROR(VLOOKUP($B35,[1]库存报告使用数据!$A$1:$E$65536,5,0),0)</f>
        <v>4</v>
      </c>
      <c r="AN35" s="23">
        <f t="shared" si="17"/>
        <v>0</v>
      </c>
      <c r="AO35" s="23">
        <f t="shared" si="18"/>
        <v>0</v>
      </c>
      <c r="AP35" s="23">
        <f t="shared" si="19"/>
        <v>0</v>
      </c>
      <c r="AQ35" s="23">
        <f t="shared" si="20"/>
        <v>0</v>
      </c>
      <c r="AR35" s="38">
        <f t="shared" si="4"/>
        <v>0</v>
      </c>
      <c r="AS35" s="38">
        <f t="shared" si="5"/>
        <v>0</v>
      </c>
      <c r="AT35" s="38">
        <f t="shared" si="6"/>
        <v>2</v>
      </c>
      <c r="AU35" s="33" t="str">
        <f t="shared" si="7"/>
        <v>库存为2</v>
      </c>
      <c r="AV35" s="39" t="str">
        <f>IFERROR(时间!$B$4+AU35,"上周无销量")</f>
        <v>上周无销量</v>
      </c>
    </row>
    <row r="36" spans="1:48">
      <c r="A36" s="35" t="s">
        <v>81</v>
      </c>
      <c r="B36" t="str">
        <f>VLOOKUP(A36,'[2]sku-asin（子）'!$A:$B,2,0)</f>
        <v>B0761NM1NH</v>
      </c>
      <c r="C36" t="str">
        <f>VLOOKUP(A36,'[2]子sku-父sku'!$A:$B,2,0)</f>
        <v>MY16055</v>
      </c>
      <c r="D36" s="33">
        <f>IFERROR(VLOOKUP(A36,[3]库存报告使用数据处理!$A:$C,3,0),0)</f>
        <v>0</v>
      </c>
      <c r="E36" s="33">
        <f>IFERROR(VLOOKUP(A36,[3]库存报告使用数据处理!$A:$D,4,0),0)</f>
        <v>0</v>
      </c>
      <c r="F36" s="33">
        <f>IFERROR(VLOOKUP(A36,[3]库存报告使用数据处理!$A:$E,5,0),0)</f>
        <v>0</v>
      </c>
      <c r="G36" s="33">
        <f>IFERROR(VLOOKUP(A36,[3]库存报告使用数据处理!$A:$F,6,0),0)</f>
        <v>0</v>
      </c>
      <c r="H36" s="34">
        <f>IFERROR(VLOOKUP(A36,[3]库存报告使用数据处理!$A:$G,7,0),0)</f>
        <v>0</v>
      </c>
      <c r="I36">
        <f>IFERROR(VLOOKUP(A36,[4]数据处理!$A:$B,2,0),0)</f>
        <v>4</v>
      </c>
      <c r="J36" s="36">
        <f>IFERROR(VLOOKUP(A36,[4]数据处理!$A:$D,4,0),0)</f>
        <v>0</v>
      </c>
      <c r="K36" s="36">
        <f>IFERROR(VLOOKUP(A36,[4]数据处理!$A:$E,5,0),0)</f>
        <v>0</v>
      </c>
      <c r="L36" s="36">
        <f>IFERROR(VLOOKUP(A36,[4]数据处理!$A:$G,7,0),0)</f>
        <v>0</v>
      </c>
      <c r="M36">
        <f t="shared" si="0"/>
        <v>4</v>
      </c>
      <c r="N36">
        <f>IFERROR(VLOOKUP(A36,[4]数据处理!$A:$C,3,0),0)</f>
        <v>0</v>
      </c>
      <c r="O36">
        <f>IFERROR(VLOOKUP($A36,[4]数据处理!$A:$N,14,0),0)</f>
        <v>4</v>
      </c>
      <c r="P36" t="str">
        <f>IFERROR(VLOOKUP($A36,[5]库存使用数据!$A:$B,2,0),"")</f>
        <v/>
      </c>
      <c r="Q36" t="str">
        <f>IFERROR(VLOOKUP($A36,[5]库存使用数据!$A:$E,5,0),"")</f>
        <v/>
      </c>
      <c r="R36" t="str">
        <f>IFERROR(VLOOKUP($A36,[5]库存使用数据!$A:$H,8,0),"")</f>
        <v/>
      </c>
      <c r="S36" t="str">
        <f>IFERROR(VLOOKUP($A36,[5]库存使用数据!$A:$K,11,0),"")</f>
        <v/>
      </c>
      <c r="T36" t="str">
        <f>IFERROR(VLOOKUP($A36,[5]库存使用数据!$A:$C,3,0),"")</f>
        <v/>
      </c>
      <c r="U36" t="str">
        <f>IFERROR(VLOOKUP($A36,[5]库存使用数据!$A:$F,6,0),"")</f>
        <v/>
      </c>
      <c r="V36" t="str">
        <f>IFERROR(VLOOKUP($A36,[5]库存使用数据!$A:$I,9,0),"")</f>
        <v/>
      </c>
      <c r="W36" t="str">
        <f>IFERROR(VLOOKUP($A36,[5]库存使用数据!$A:$L,12,0),"")</f>
        <v/>
      </c>
      <c r="X36" s="23" t="str">
        <f t="shared" si="9"/>
        <v/>
      </c>
      <c r="Y36" s="23" t="str">
        <f t="shared" si="10"/>
        <v/>
      </c>
      <c r="Z36" s="23" t="str">
        <f t="shared" si="11"/>
        <v/>
      </c>
      <c r="AA36" s="23" t="str">
        <f t="shared" si="12"/>
        <v/>
      </c>
      <c r="AB36" t="str">
        <f>IFERROR(VLOOKUP($A36,[5]库存使用数据!$A:$D,4,0),"")</f>
        <v/>
      </c>
      <c r="AC36" t="str">
        <f>IFERROR(VLOOKUP($A36,[5]库存使用数据!$A:$G,7,0),"")</f>
        <v/>
      </c>
      <c r="AD36" t="str">
        <f>IFERROR(VLOOKUP($A36,[5]库存使用数据!$A:$J,10,0),"")</f>
        <v/>
      </c>
      <c r="AE36" t="str">
        <f>IFERROR(VLOOKUP($A36,[5]库存使用数据!$A:$M,13,0),"")</f>
        <v/>
      </c>
      <c r="AF36" s="23" t="str">
        <f t="shared" si="13"/>
        <v/>
      </c>
      <c r="AG36" s="23" t="str">
        <f t="shared" si="14"/>
        <v/>
      </c>
      <c r="AH36" s="23" t="str">
        <f t="shared" si="15"/>
        <v/>
      </c>
      <c r="AI36" s="23" t="str">
        <f t="shared" si="16"/>
        <v/>
      </c>
      <c r="AJ36">
        <f>IFERROR(VLOOKUP($B36,[1]库存报告使用数据!$A$1:$B$65536,2,0),0)</f>
        <v>8</v>
      </c>
      <c r="AK36">
        <f>IFERROR(VLOOKUP($B36,[1]库存报告使用数据!$A$1:$C$65536,3,0),0)</f>
        <v>9</v>
      </c>
      <c r="AL36">
        <f>IFERROR(VLOOKUP($B36,[1]库存报告使用数据!$A$1:$D$65536,4,0),0)</f>
        <v>6</v>
      </c>
      <c r="AM36">
        <f>IFERROR(VLOOKUP($B36,[1]库存报告使用数据!$A$1:$E$65536,5,0),0)</f>
        <v>2</v>
      </c>
      <c r="AN36" s="23">
        <f t="shared" si="17"/>
        <v>0</v>
      </c>
      <c r="AO36" s="23">
        <f t="shared" si="18"/>
        <v>0</v>
      </c>
      <c r="AP36" s="23">
        <f t="shared" si="19"/>
        <v>0</v>
      </c>
      <c r="AQ36" s="23">
        <f t="shared" si="20"/>
        <v>0</v>
      </c>
      <c r="AR36" s="38">
        <f t="shared" si="4"/>
        <v>0</v>
      </c>
      <c r="AS36" s="38">
        <f t="shared" si="5"/>
        <v>0</v>
      </c>
      <c r="AT36" s="38">
        <f t="shared" si="6"/>
        <v>4</v>
      </c>
      <c r="AU36" s="33" t="str">
        <f t="shared" si="7"/>
        <v>库存为4</v>
      </c>
      <c r="AV36" s="39" t="str">
        <f>IFERROR(时间!$B$4+AU36,"上周无销量")</f>
        <v>上周无销量</v>
      </c>
    </row>
    <row r="37" spans="1:48">
      <c r="A37" s="35" t="s">
        <v>82</v>
      </c>
      <c r="B37" t="str">
        <f>VLOOKUP(A37,'[2]sku-asin（子）'!$A:$B,2,0)</f>
        <v>B0761Q9VPH</v>
      </c>
      <c r="C37" t="str">
        <f>VLOOKUP(A37,'[2]子sku-父sku'!$A:$B,2,0)</f>
        <v>MY16055</v>
      </c>
      <c r="D37" s="33">
        <f>IFERROR(VLOOKUP(A37,[3]库存报告使用数据处理!$A:$C,3,0),0)</f>
        <v>0</v>
      </c>
      <c r="E37" s="33">
        <f>IFERROR(VLOOKUP(A37,[3]库存报告使用数据处理!$A:$D,4,0),0)</f>
        <v>0</v>
      </c>
      <c r="F37" s="33">
        <f>IFERROR(VLOOKUP(A37,[3]库存报告使用数据处理!$A:$E,5,0),0)</f>
        <v>0</v>
      </c>
      <c r="G37" s="33">
        <f>IFERROR(VLOOKUP(A37,[3]库存报告使用数据处理!$A:$F,6,0),0)</f>
        <v>0</v>
      </c>
      <c r="H37" s="34">
        <f>IFERROR(VLOOKUP(A37,[3]库存报告使用数据处理!$A:$G,7,0),0)</f>
        <v>0</v>
      </c>
      <c r="I37">
        <f>IFERROR(VLOOKUP(A37,[4]数据处理!$A:$B,2,0),0)</f>
        <v>5</v>
      </c>
      <c r="J37" s="36">
        <f>IFERROR(VLOOKUP(A37,[4]数据处理!$A:$D,4,0),0)</f>
        <v>0</v>
      </c>
      <c r="K37" s="36">
        <f>IFERROR(VLOOKUP(A37,[4]数据处理!$A:$E,5,0),0)</f>
        <v>0</v>
      </c>
      <c r="L37" s="36">
        <f>IFERROR(VLOOKUP(A37,[4]数据处理!$A:$G,7,0),0)</f>
        <v>0</v>
      </c>
      <c r="M37">
        <f t="shared" si="0"/>
        <v>5</v>
      </c>
      <c r="N37">
        <f>IFERROR(VLOOKUP(A37,[4]数据处理!$A:$C,3,0),0)</f>
        <v>0</v>
      </c>
      <c r="O37">
        <f>IFERROR(VLOOKUP($A37,[4]数据处理!$A:$N,14,0),0)</f>
        <v>5</v>
      </c>
      <c r="P37" t="str">
        <f>IFERROR(VLOOKUP($A37,[5]库存使用数据!$A:$B,2,0),"")</f>
        <v/>
      </c>
      <c r="Q37" t="str">
        <f>IFERROR(VLOOKUP($A37,[5]库存使用数据!$A:$E,5,0),"")</f>
        <v/>
      </c>
      <c r="R37" t="str">
        <f>IFERROR(VLOOKUP($A37,[5]库存使用数据!$A:$H,8,0),"")</f>
        <v/>
      </c>
      <c r="S37" t="str">
        <f>IFERROR(VLOOKUP($A37,[5]库存使用数据!$A:$K,11,0),"")</f>
        <v/>
      </c>
      <c r="T37" t="str">
        <f>IFERROR(VLOOKUP($A37,[5]库存使用数据!$A:$C,3,0),"")</f>
        <v/>
      </c>
      <c r="U37" t="str">
        <f>IFERROR(VLOOKUP($A37,[5]库存使用数据!$A:$F,6,0),"")</f>
        <v/>
      </c>
      <c r="V37" t="str">
        <f>IFERROR(VLOOKUP($A37,[5]库存使用数据!$A:$I,9,0),"")</f>
        <v/>
      </c>
      <c r="W37" t="str">
        <f>IFERROR(VLOOKUP($A37,[5]库存使用数据!$A:$L,12,0),"")</f>
        <v/>
      </c>
      <c r="X37" s="23" t="str">
        <f t="shared" si="9"/>
        <v/>
      </c>
      <c r="Y37" s="23" t="str">
        <f t="shared" si="10"/>
        <v/>
      </c>
      <c r="Z37" s="23" t="str">
        <f t="shared" si="11"/>
        <v/>
      </c>
      <c r="AA37" s="23" t="str">
        <f t="shared" si="12"/>
        <v/>
      </c>
      <c r="AB37" t="str">
        <f>IFERROR(VLOOKUP($A37,[5]库存使用数据!$A:$D,4,0),"")</f>
        <v/>
      </c>
      <c r="AC37" t="str">
        <f>IFERROR(VLOOKUP($A37,[5]库存使用数据!$A:$G,7,0),"")</f>
        <v/>
      </c>
      <c r="AD37" t="str">
        <f>IFERROR(VLOOKUP($A37,[5]库存使用数据!$A:$J,10,0),"")</f>
        <v/>
      </c>
      <c r="AE37" t="str">
        <f>IFERROR(VLOOKUP($A37,[5]库存使用数据!$A:$M,13,0),"")</f>
        <v/>
      </c>
      <c r="AF37" s="23" t="str">
        <f t="shared" si="13"/>
        <v/>
      </c>
      <c r="AG37" s="23" t="str">
        <f t="shared" si="14"/>
        <v/>
      </c>
      <c r="AH37" s="23" t="str">
        <f t="shared" si="15"/>
        <v/>
      </c>
      <c r="AI37" s="23" t="str">
        <f t="shared" si="16"/>
        <v/>
      </c>
      <c r="AJ37">
        <f>IFERROR(VLOOKUP($B37,[1]库存报告使用数据!$A$1:$B$65536,2,0),0)</f>
        <v>9</v>
      </c>
      <c r="AK37">
        <f>IFERROR(VLOOKUP($B37,[1]库存报告使用数据!$A$1:$C$65536,3,0),0)</f>
        <v>15</v>
      </c>
      <c r="AL37">
        <f>IFERROR(VLOOKUP($B37,[1]库存报告使用数据!$A$1:$D$65536,4,0),0)</f>
        <v>5</v>
      </c>
      <c r="AM37">
        <f>IFERROR(VLOOKUP($B37,[1]库存报告使用数据!$A$1:$E$65536,5,0),0)</f>
        <v>6</v>
      </c>
      <c r="AN37" s="23">
        <f t="shared" si="17"/>
        <v>0</v>
      </c>
      <c r="AO37" s="23">
        <f t="shared" si="18"/>
        <v>0</v>
      </c>
      <c r="AP37" s="23">
        <f t="shared" si="19"/>
        <v>0</v>
      </c>
      <c r="AQ37" s="23">
        <f t="shared" si="20"/>
        <v>0</v>
      </c>
      <c r="AR37" s="38">
        <f t="shared" si="4"/>
        <v>0</v>
      </c>
      <c r="AS37" s="38">
        <f t="shared" si="5"/>
        <v>0</v>
      </c>
      <c r="AT37" s="38">
        <f t="shared" si="6"/>
        <v>5</v>
      </c>
      <c r="AU37" s="33" t="str">
        <f t="shared" si="7"/>
        <v>库存为5</v>
      </c>
      <c r="AV37" s="39" t="str">
        <f>IFERROR(时间!$B$4+AU37,"上周无销量")</f>
        <v>上周无销量</v>
      </c>
    </row>
    <row r="38" spans="1:48">
      <c r="A38" s="35" t="s">
        <v>83</v>
      </c>
      <c r="B38" t="str">
        <f>VLOOKUP(A38,'[2]sku-asin（子）'!$A:$B,2,0)</f>
        <v>B0761Q7KPX</v>
      </c>
      <c r="C38" t="str">
        <f>VLOOKUP(A38,'[2]子sku-父sku'!$A:$B,2,0)</f>
        <v>MY16055</v>
      </c>
      <c r="D38" s="33">
        <f>IFERROR(VLOOKUP(A38,[3]库存报告使用数据处理!$A:$C,3,0),0)</f>
        <v>0</v>
      </c>
      <c r="E38" s="33">
        <f>IFERROR(VLOOKUP(A38,[3]库存报告使用数据处理!$A:$D,4,0),0)</f>
        <v>0</v>
      </c>
      <c r="F38" s="33">
        <f>IFERROR(VLOOKUP(A38,[3]库存报告使用数据处理!$A:$E,5,0),0)</f>
        <v>0</v>
      </c>
      <c r="G38" s="33">
        <f>IFERROR(VLOOKUP(A38,[3]库存报告使用数据处理!$A:$F,6,0),0)</f>
        <v>0</v>
      </c>
      <c r="H38" s="34">
        <f>IFERROR(VLOOKUP(A38,[3]库存报告使用数据处理!$A:$G,7,0),0)</f>
        <v>0</v>
      </c>
      <c r="I38">
        <f>IFERROR(VLOOKUP(A38,[4]数据处理!$A:$B,2,0),0)</f>
        <v>4</v>
      </c>
      <c r="J38" s="36">
        <f>IFERROR(VLOOKUP(A38,[4]数据处理!$A:$D,4,0),0)</f>
        <v>0</v>
      </c>
      <c r="K38" s="36">
        <f>IFERROR(VLOOKUP(A38,[4]数据处理!$A:$E,5,0),0)</f>
        <v>0</v>
      </c>
      <c r="L38" s="36">
        <f>IFERROR(VLOOKUP(A38,[4]数据处理!$A:$G,7,0),0)</f>
        <v>0</v>
      </c>
      <c r="M38">
        <f t="shared" si="0"/>
        <v>4</v>
      </c>
      <c r="N38">
        <f>IFERROR(VLOOKUP(A38,[4]数据处理!$A:$C,3,0),0)</f>
        <v>0</v>
      </c>
      <c r="O38">
        <f>IFERROR(VLOOKUP($A38,[4]数据处理!$A:$N,14,0),0)</f>
        <v>4</v>
      </c>
      <c r="P38">
        <f>IFERROR(VLOOKUP($A38,[5]库存使用数据!$A:$B,2,0),"")</f>
        <v>0</v>
      </c>
      <c r="Q38">
        <f>IFERROR(VLOOKUP($A38,[5]库存使用数据!$A:$E,5,0),"")</f>
        <v>0</v>
      </c>
      <c r="R38">
        <f>IFERROR(VLOOKUP($A38,[5]库存使用数据!$A:$H,8,0),"")</f>
        <v>0</v>
      </c>
      <c r="S38">
        <f>IFERROR(VLOOKUP($A38,[5]库存使用数据!$A:$K,11,0),"")</f>
        <v>8</v>
      </c>
      <c r="T38">
        <f>IFERROR(VLOOKUP($A38,[5]库存使用数据!$A:$C,3,0),"")</f>
        <v>0</v>
      </c>
      <c r="U38">
        <f>IFERROR(VLOOKUP($A38,[5]库存使用数据!$A:$F,6,0),"")</f>
        <v>0</v>
      </c>
      <c r="V38">
        <f>IFERROR(VLOOKUP($A38,[5]库存使用数据!$A:$I,9,0),"")</f>
        <v>0</v>
      </c>
      <c r="W38">
        <f>IFERROR(VLOOKUP($A38,[5]库存使用数据!$A:$L,12,0),"")</f>
        <v>0</v>
      </c>
      <c r="X38" s="23" t="str">
        <f t="shared" si="9"/>
        <v/>
      </c>
      <c r="Y38" s="23" t="str">
        <f t="shared" si="10"/>
        <v/>
      </c>
      <c r="Z38" s="23" t="str">
        <f t="shared" si="11"/>
        <v/>
      </c>
      <c r="AA38" s="23">
        <f t="shared" si="12"/>
        <v>0</v>
      </c>
      <c r="AB38">
        <f>IFERROR(VLOOKUP($A38,[5]库存使用数据!$A:$D,4,0),"")</f>
        <v>0</v>
      </c>
      <c r="AC38">
        <f>IFERROR(VLOOKUP($A38,[5]库存使用数据!$A:$G,7,0),"")</f>
        <v>0</v>
      </c>
      <c r="AD38">
        <f>IFERROR(VLOOKUP($A38,[5]库存使用数据!$A:$J,10,0),"")</f>
        <v>0</v>
      </c>
      <c r="AE38">
        <f>IFERROR(VLOOKUP($A38,[5]库存使用数据!$A:$M,13,0),"")</f>
        <v>0</v>
      </c>
      <c r="AF38" s="23" t="str">
        <f t="shared" si="13"/>
        <v/>
      </c>
      <c r="AG38" s="23" t="str">
        <f t="shared" si="14"/>
        <v/>
      </c>
      <c r="AH38" s="23" t="str">
        <f t="shared" si="15"/>
        <v/>
      </c>
      <c r="AI38" s="23" t="str">
        <f t="shared" si="16"/>
        <v/>
      </c>
      <c r="AJ38">
        <f>IFERROR(VLOOKUP($B38,[1]库存报告使用数据!$A$1:$B$65536,2,0),0)</f>
        <v>5</v>
      </c>
      <c r="AK38">
        <f>IFERROR(VLOOKUP($B38,[1]库存报告使用数据!$A$1:$C$65536,3,0),0)</f>
        <v>7</v>
      </c>
      <c r="AL38">
        <f>IFERROR(VLOOKUP($B38,[1]库存报告使用数据!$A$1:$D$65536,4,0),0)</f>
        <v>10</v>
      </c>
      <c r="AM38">
        <f>IFERROR(VLOOKUP($B38,[1]库存报告使用数据!$A$1:$E$65536,5,0),0)</f>
        <v>5</v>
      </c>
      <c r="AN38" s="23">
        <f t="shared" si="17"/>
        <v>0</v>
      </c>
      <c r="AO38" s="23">
        <f t="shared" si="18"/>
        <v>0</v>
      </c>
      <c r="AP38" s="23">
        <f t="shared" si="19"/>
        <v>0</v>
      </c>
      <c r="AQ38" s="23">
        <f t="shared" si="20"/>
        <v>0</v>
      </c>
      <c r="AR38" s="38">
        <f t="shared" si="4"/>
        <v>0</v>
      </c>
      <c r="AS38" s="38">
        <f t="shared" si="5"/>
        <v>0</v>
      </c>
      <c r="AT38" s="38">
        <f t="shared" si="6"/>
        <v>4</v>
      </c>
      <c r="AU38" s="33" t="str">
        <f t="shared" si="7"/>
        <v>库存为4</v>
      </c>
      <c r="AV38" s="39" t="str">
        <f>IFERROR(时间!$B$4+AU38,"上周无销量")</f>
        <v>上周无销量</v>
      </c>
    </row>
    <row r="39" spans="1:48">
      <c r="A39" s="35" t="s">
        <v>84</v>
      </c>
      <c r="B39" t="str">
        <f>VLOOKUP(A39,'[2]sku-asin（子）'!$A:$B,2,0)</f>
        <v>B0761QW2JK</v>
      </c>
      <c r="C39" t="str">
        <f>VLOOKUP(A39,'[2]子sku-父sku'!$A:$B,2,0)</f>
        <v>MY16055</v>
      </c>
      <c r="D39" s="33">
        <f>IFERROR(VLOOKUP(A39,[3]库存报告使用数据处理!$A:$C,3,0),0)</f>
        <v>0</v>
      </c>
      <c r="E39" s="33">
        <f>IFERROR(VLOOKUP(A39,[3]库存报告使用数据处理!$A:$D,4,0),0)</f>
        <v>0</v>
      </c>
      <c r="F39" s="33">
        <f>IFERROR(VLOOKUP(A39,[3]库存报告使用数据处理!$A:$E,5,0),0)</f>
        <v>0</v>
      </c>
      <c r="G39" s="33">
        <f>IFERROR(VLOOKUP(A39,[3]库存报告使用数据处理!$A:$F,6,0),0)</f>
        <v>0</v>
      </c>
      <c r="H39" s="34">
        <f>IFERROR(VLOOKUP(A39,[3]库存报告使用数据处理!$A:$G,7,0),0)</f>
        <v>0</v>
      </c>
      <c r="I39">
        <f>IFERROR(VLOOKUP(A39,[4]数据处理!$A:$B,2,0),0)</f>
        <v>4</v>
      </c>
      <c r="J39" s="36">
        <f>IFERROR(VLOOKUP(A39,[4]数据处理!$A:$D,4,0),0)</f>
        <v>0</v>
      </c>
      <c r="K39" s="36">
        <f>IFERROR(VLOOKUP(A39,[4]数据处理!$A:$E,5,0),0)</f>
        <v>0</v>
      </c>
      <c r="L39" s="36">
        <f>IFERROR(VLOOKUP(A39,[4]数据处理!$A:$G,7,0),0)</f>
        <v>0</v>
      </c>
      <c r="M39">
        <f t="shared" si="0"/>
        <v>4</v>
      </c>
      <c r="N39">
        <f>IFERROR(VLOOKUP(A39,[4]数据处理!$A:$C,3,0),0)</f>
        <v>0</v>
      </c>
      <c r="O39">
        <f>IFERROR(VLOOKUP($A39,[4]数据处理!$A:$N,14,0),0)</f>
        <v>4</v>
      </c>
      <c r="P39" t="str">
        <f>IFERROR(VLOOKUP($A39,[5]库存使用数据!$A:$B,2,0),"")</f>
        <v/>
      </c>
      <c r="Q39" t="str">
        <f>IFERROR(VLOOKUP($A39,[5]库存使用数据!$A:$E,5,0),"")</f>
        <v/>
      </c>
      <c r="R39" t="str">
        <f>IFERROR(VLOOKUP($A39,[5]库存使用数据!$A:$H,8,0),"")</f>
        <v/>
      </c>
      <c r="S39" t="str">
        <f>IFERROR(VLOOKUP($A39,[5]库存使用数据!$A:$K,11,0),"")</f>
        <v/>
      </c>
      <c r="T39" t="str">
        <f>IFERROR(VLOOKUP($A39,[5]库存使用数据!$A:$C,3,0),"")</f>
        <v/>
      </c>
      <c r="U39" t="str">
        <f>IFERROR(VLOOKUP($A39,[5]库存使用数据!$A:$F,6,0),"")</f>
        <v/>
      </c>
      <c r="V39" t="str">
        <f>IFERROR(VLOOKUP($A39,[5]库存使用数据!$A:$I,9,0),"")</f>
        <v/>
      </c>
      <c r="W39" t="str">
        <f>IFERROR(VLOOKUP($A39,[5]库存使用数据!$A:$L,12,0),"")</f>
        <v/>
      </c>
      <c r="X39" s="23" t="str">
        <f t="shared" si="9"/>
        <v/>
      </c>
      <c r="Y39" s="23" t="str">
        <f t="shared" si="10"/>
        <v/>
      </c>
      <c r="Z39" s="23" t="str">
        <f t="shared" si="11"/>
        <v/>
      </c>
      <c r="AA39" s="23" t="str">
        <f t="shared" si="12"/>
        <v/>
      </c>
      <c r="AB39" t="str">
        <f>IFERROR(VLOOKUP($A39,[5]库存使用数据!$A:$D,4,0),"")</f>
        <v/>
      </c>
      <c r="AC39" t="str">
        <f>IFERROR(VLOOKUP($A39,[5]库存使用数据!$A:$G,7,0),"")</f>
        <v/>
      </c>
      <c r="AD39" t="str">
        <f>IFERROR(VLOOKUP($A39,[5]库存使用数据!$A:$J,10,0),"")</f>
        <v/>
      </c>
      <c r="AE39" t="str">
        <f>IFERROR(VLOOKUP($A39,[5]库存使用数据!$A:$M,13,0),"")</f>
        <v/>
      </c>
      <c r="AF39" s="23" t="str">
        <f t="shared" si="13"/>
        <v/>
      </c>
      <c r="AG39" s="23" t="str">
        <f t="shared" si="14"/>
        <v/>
      </c>
      <c r="AH39" s="23" t="str">
        <f t="shared" si="15"/>
        <v/>
      </c>
      <c r="AI39" s="23" t="str">
        <f t="shared" si="16"/>
        <v/>
      </c>
      <c r="AJ39">
        <f>IFERROR(VLOOKUP($B39,[1]库存报告使用数据!$A$1:$B$65536,2,0),0)</f>
        <v>7</v>
      </c>
      <c r="AK39">
        <f>IFERROR(VLOOKUP($B39,[1]库存报告使用数据!$A$1:$C$65536,3,0),0)</f>
        <v>12</v>
      </c>
      <c r="AL39">
        <f>IFERROR(VLOOKUP($B39,[1]库存报告使用数据!$A$1:$D$65536,4,0),0)</f>
        <v>4</v>
      </c>
      <c r="AM39">
        <f>IFERROR(VLOOKUP($B39,[1]库存报告使用数据!$A$1:$E$65536,5,0),0)</f>
        <v>2</v>
      </c>
      <c r="AN39" s="23">
        <f t="shared" si="17"/>
        <v>0</v>
      </c>
      <c r="AO39" s="23">
        <f t="shared" si="18"/>
        <v>0</v>
      </c>
      <c r="AP39" s="23">
        <f t="shared" si="19"/>
        <v>0</v>
      </c>
      <c r="AQ39" s="23">
        <f t="shared" si="20"/>
        <v>0</v>
      </c>
      <c r="AR39" s="38">
        <f t="shared" si="4"/>
        <v>0</v>
      </c>
      <c r="AS39" s="38">
        <f t="shared" si="5"/>
        <v>0</v>
      </c>
      <c r="AT39" s="38">
        <f t="shared" si="6"/>
        <v>4</v>
      </c>
      <c r="AU39" s="33" t="str">
        <f t="shared" si="7"/>
        <v>库存为4</v>
      </c>
      <c r="AV39" s="39" t="str">
        <f>IFERROR(时间!$B$4+AU39,"上周无销量")</f>
        <v>上周无销量</v>
      </c>
    </row>
    <row r="40" spans="1:48">
      <c r="A40" s="35" t="s">
        <v>85</v>
      </c>
      <c r="B40" t="str">
        <f>VLOOKUP(A40,'[2]sku-asin（子）'!$A:$B,2,0)</f>
        <v>B0761PXTK8</v>
      </c>
      <c r="C40" t="str">
        <f>VLOOKUP(A40,'[2]子sku-父sku'!$A:$B,2,0)</f>
        <v>MY16055</v>
      </c>
      <c r="D40" s="33">
        <f>IFERROR(VLOOKUP(A40,[3]库存报告使用数据处理!$A:$C,3,0),0)</f>
        <v>0</v>
      </c>
      <c r="E40" s="33">
        <f>IFERROR(VLOOKUP(A40,[3]库存报告使用数据处理!$A:$D,4,0),0)</f>
        <v>0</v>
      </c>
      <c r="F40" s="33">
        <f>IFERROR(VLOOKUP(A40,[3]库存报告使用数据处理!$A:$E,5,0),0)</f>
        <v>0</v>
      </c>
      <c r="G40" s="33">
        <f>IFERROR(VLOOKUP(A40,[3]库存报告使用数据处理!$A:$F,6,0),0)</f>
        <v>0</v>
      </c>
      <c r="H40" s="34">
        <f>IFERROR(VLOOKUP(A40,[3]库存报告使用数据处理!$A:$G,7,0),0)</f>
        <v>0</v>
      </c>
      <c r="I40">
        <f>IFERROR(VLOOKUP(A40,[4]数据处理!$A:$B,2,0),0)</f>
        <v>2</v>
      </c>
      <c r="J40" s="36">
        <f>IFERROR(VLOOKUP(A40,[4]数据处理!$A:$D,4,0),0)</f>
        <v>0</v>
      </c>
      <c r="K40" s="36">
        <f>IFERROR(VLOOKUP(A40,[4]数据处理!$A:$E,5,0),0)</f>
        <v>0</v>
      </c>
      <c r="L40" s="36">
        <f>IFERROR(VLOOKUP(A40,[4]数据处理!$A:$G,7,0),0)</f>
        <v>0</v>
      </c>
      <c r="M40">
        <f t="shared" si="0"/>
        <v>2</v>
      </c>
      <c r="N40">
        <f>IFERROR(VLOOKUP(A40,[4]数据处理!$A:$C,3,0),0)</f>
        <v>0</v>
      </c>
      <c r="O40">
        <f>IFERROR(VLOOKUP($A40,[4]数据处理!$A:$N,14,0),0)</f>
        <v>2</v>
      </c>
      <c r="P40" t="str">
        <f>IFERROR(VLOOKUP($A40,[5]库存使用数据!$A:$B,2,0),"")</f>
        <v/>
      </c>
      <c r="Q40" t="str">
        <f>IFERROR(VLOOKUP($A40,[5]库存使用数据!$A:$E,5,0),"")</f>
        <v/>
      </c>
      <c r="R40" t="str">
        <f>IFERROR(VLOOKUP($A40,[5]库存使用数据!$A:$H,8,0),"")</f>
        <v/>
      </c>
      <c r="S40" t="str">
        <f>IFERROR(VLOOKUP($A40,[5]库存使用数据!$A:$K,11,0),"")</f>
        <v/>
      </c>
      <c r="T40" t="str">
        <f>IFERROR(VLOOKUP($A40,[5]库存使用数据!$A:$C,3,0),"")</f>
        <v/>
      </c>
      <c r="U40" t="str">
        <f>IFERROR(VLOOKUP($A40,[5]库存使用数据!$A:$F,6,0),"")</f>
        <v/>
      </c>
      <c r="V40" t="str">
        <f>IFERROR(VLOOKUP($A40,[5]库存使用数据!$A:$I,9,0),"")</f>
        <v/>
      </c>
      <c r="W40" t="str">
        <f>IFERROR(VLOOKUP($A40,[5]库存使用数据!$A:$L,12,0),"")</f>
        <v/>
      </c>
      <c r="X40" s="23" t="str">
        <f t="shared" si="9"/>
        <v/>
      </c>
      <c r="Y40" s="23" t="str">
        <f t="shared" si="10"/>
        <v/>
      </c>
      <c r="Z40" s="23" t="str">
        <f t="shared" si="11"/>
        <v/>
      </c>
      <c r="AA40" s="23" t="str">
        <f t="shared" si="12"/>
        <v/>
      </c>
      <c r="AB40" t="str">
        <f>IFERROR(VLOOKUP($A40,[5]库存使用数据!$A:$D,4,0),"")</f>
        <v/>
      </c>
      <c r="AC40" t="str">
        <f>IFERROR(VLOOKUP($A40,[5]库存使用数据!$A:$G,7,0),"")</f>
        <v/>
      </c>
      <c r="AD40" t="str">
        <f>IFERROR(VLOOKUP($A40,[5]库存使用数据!$A:$J,10,0),"")</f>
        <v/>
      </c>
      <c r="AE40" t="str">
        <f>IFERROR(VLOOKUP($A40,[5]库存使用数据!$A:$M,13,0),"")</f>
        <v/>
      </c>
      <c r="AF40" s="23" t="str">
        <f t="shared" si="13"/>
        <v/>
      </c>
      <c r="AG40" s="23" t="str">
        <f t="shared" si="14"/>
        <v/>
      </c>
      <c r="AH40" s="23" t="str">
        <f t="shared" si="15"/>
        <v/>
      </c>
      <c r="AI40" s="23" t="str">
        <f t="shared" si="16"/>
        <v/>
      </c>
      <c r="AJ40">
        <f>IFERROR(VLOOKUP($B40,[1]库存报告使用数据!$A$1:$B$65536,2,0),0)</f>
        <v>4</v>
      </c>
      <c r="AK40">
        <f>IFERROR(VLOOKUP($B40,[1]库存报告使用数据!$A$1:$C$65536,3,0),0)</f>
        <v>5</v>
      </c>
      <c r="AL40">
        <f>IFERROR(VLOOKUP($B40,[1]库存报告使用数据!$A$1:$D$65536,4,0),0)</f>
        <v>9</v>
      </c>
      <c r="AM40">
        <f>IFERROR(VLOOKUP($B40,[1]库存报告使用数据!$A$1:$E$65536,5,0),0)</f>
        <v>4</v>
      </c>
      <c r="AN40" s="23">
        <f t="shared" si="17"/>
        <v>0</v>
      </c>
      <c r="AO40" s="23">
        <f t="shared" si="18"/>
        <v>0</v>
      </c>
      <c r="AP40" s="23">
        <f t="shared" si="19"/>
        <v>0</v>
      </c>
      <c r="AQ40" s="23">
        <f t="shared" si="20"/>
        <v>0</v>
      </c>
      <c r="AR40" s="38">
        <f t="shared" si="4"/>
        <v>0</v>
      </c>
      <c r="AS40" s="38">
        <f t="shared" si="5"/>
        <v>0</v>
      </c>
      <c r="AT40" s="38">
        <f t="shared" si="6"/>
        <v>2</v>
      </c>
      <c r="AU40" s="33" t="str">
        <f t="shared" si="7"/>
        <v>库存为2</v>
      </c>
      <c r="AV40" s="39" t="str">
        <f>IFERROR(时间!$B$4+AU40,"上周无销量")</f>
        <v>上周无销量</v>
      </c>
    </row>
    <row r="41" spans="1:48">
      <c r="A41" s="35" t="s">
        <v>86</v>
      </c>
      <c r="B41" t="str">
        <f>VLOOKUP(A41,'[2]sku-asin（子）'!$A:$B,2,0)</f>
        <v>B0761Q4YF6</v>
      </c>
      <c r="C41" t="str">
        <f>VLOOKUP(A41,'[2]子sku-父sku'!$A:$B,2,0)</f>
        <v>MY16055</v>
      </c>
      <c r="D41" s="33">
        <f>IFERROR(VLOOKUP(A41,[3]库存报告使用数据处理!$A:$C,3,0),0)</f>
        <v>0</v>
      </c>
      <c r="E41" s="33">
        <f>IFERROR(VLOOKUP(A41,[3]库存报告使用数据处理!$A:$D,4,0),0)</f>
        <v>0</v>
      </c>
      <c r="F41" s="33">
        <f>IFERROR(VLOOKUP(A41,[3]库存报告使用数据处理!$A:$E,5,0),0)</f>
        <v>0</v>
      </c>
      <c r="G41" s="33">
        <f>IFERROR(VLOOKUP(A41,[3]库存报告使用数据处理!$A:$F,6,0),0)</f>
        <v>0</v>
      </c>
      <c r="H41" s="34">
        <f>IFERROR(VLOOKUP(A41,[3]库存报告使用数据处理!$A:$G,7,0),0)</f>
        <v>0</v>
      </c>
      <c r="I41">
        <f>IFERROR(VLOOKUP(A41,[4]数据处理!$A:$B,2,0),0)</f>
        <v>1</v>
      </c>
      <c r="J41" s="36">
        <f>IFERROR(VLOOKUP(A41,[4]数据处理!$A:$D,4,0),0)</f>
        <v>0</v>
      </c>
      <c r="K41" s="36">
        <f>IFERROR(VLOOKUP(A41,[4]数据处理!$A:$E,5,0),0)</f>
        <v>0</v>
      </c>
      <c r="L41" s="36">
        <f>IFERROR(VLOOKUP(A41,[4]数据处理!$A:$G,7,0),0)</f>
        <v>0</v>
      </c>
      <c r="M41">
        <f t="shared" si="0"/>
        <v>1</v>
      </c>
      <c r="N41">
        <f>IFERROR(VLOOKUP(A41,[4]数据处理!$A:$C,3,0),0)</f>
        <v>0</v>
      </c>
      <c r="O41">
        <f>IFERROR(VLOOKUP($A41,[4]数据处理!$A:$N,14,0),0)</f>
        <v>1</v>
      </c>
      <c r="P41" t="str">
        <f>IFERROR(VLOOKUP($A41,[5]库存使用数据!$A:$B,2,0),"")</f>
        <v/>
      </c>
      <c r="Q41" t="str">
        <f>IFERROR(VLOOKUP($A41,[5]库存使用数据!$A:$E,5,0),"")</f>
        <v/>
      </c>
      <c r="R41" t="str">
        <f>IFERROR(VLOOKUP($A41,[5]库存使用数据!$A:$H,8,0),"")</f>
        <v/>
      </c>
      <c r="S41" t="str">
        <f>IFERROR(VLOOKUP($A41,[5]库存使用数据!$A:$K,11,0),"")</f>
        <v/>
      </c>
      <c r="T41" t="str">
        <f>IFERROR(VLOOKUP($A41,[5]库存使用数据!$A:$C,3,0),"")</f>
        <v/>
      </c>
      <c r="U41" t="str">
        <f>IFERROR(VLOOKUP($A41,[5]库存使用数据!$A:$F,6,0),"")</f>
        <v/>
      </c>
      <c r="V41" t="str">
        <f>IFERROR(VLOOKUP($A41,[5]库存使用数据!$A:$I,9,0),"")</f>
        <v/>
      </c>
      <c r="W41" t="str">
        <f>IFERROR(VLOOKUP($A41,[5]库存使用数据!$A:$L,12,0),"")</f>
        <v/>
      </c>
      <c r="X41" s="23" t="str">
        <f t="shared" si="9"/>
        <v/>
      </c>
      <c r="Y41" s="23" t="str">
        <f t="shared" si="10"/>
        <v/>
      </c>
      <c r="Z41" s="23" t="str">
        <f t="shared" si="11"/>
        <v/>
      </c>
      <c r="AA41" s="23" t="str">
        <f t="shared" si="12"/>
        <v/>
      </c>
      <c r="AB41" t="str">
        <f>IFERROR(VLOOKUP($A41,[5]库存使用数据!$A:$D,4,0),"")</f>
        <v/>
      </c>
      <c r="AC41" t="str">
        <f>IFERROR(VLOOKUP($A41,[5]库存使用数据!$A:$G,7,0),"")</f>
        <v/>
      </c>
      <c r="AD41" t="str">
        <f>IFERROR(VLOOKUP($A41,[5]库存使用数据!$A:$J,10,0),"")</f>
        <v/>
      </c>
      <c r="AE41" t="str">
        <f>IFERROR(VLOOKUP($A41,[5]库存使用数据!$A:$M,13,0),"")</f>
        <v/>
      </c>
      <c r="AF41" s="23" t="str">
        <f t="shared" si="13"/>
        <v/>
      </c>
      <c r="AG41" s="23" t="str">
        <f t="shared" si="14"/>
        <v/>
      </c>
      <c r="AH41" s="23" t="str">
        <f t="shared" si="15"/>
        <v/>
      </c>
      <c r="AI41" s="23" t="str">
        <f t="shared" si="16"/>
        <v/>
      </c>
      <c r="AJ41">
        <f>IFERROR(VLOOKUP($B41,[1]库存报告使用数据!$A$1:$B$65536,2,0),0)</f>
        <v>8</v>
      </c>
      <c r="AK41">
        <f>IFERROR(VLOOKUP($B41,[1]库存报告使用数据!$A$1:$C$65536,3,0),0)</f>
        <v>11</v>
      </c>
      <c r="AL41">
        <f>IFERROR(VLOOKUP($B41,[1]库存报告使用数据!$A$1:$D$65536,4,0),0)</f>
        <v>9</v>
      </c>
      <c r="AM41">
        <f>IFERROR(VLOOKUP($B41,[1]库存报告使用数据!$A$1:$E$65536,5,0),0)</f>
        <v>6</v>
      </c>
      <c r="AN41" s="23">
        <f t="shared" si="17"/>
        <v>0</v>
      </c>
      <c r="AO41" s="23">
        <f t="shared" si="18"/>
        <v>0</v>
      </c>
      <c r="AP41" s="23">
        <f t="shared" si="19"/>
        <v>0</v>
      </c>
      <c r="AQ41" s="23">
        <f t="shared" si="20"/>
        <v>0</v>
      </c>
      <c r="AR41" s="38">
        <f t="shared" si="4"/>
        <v>0</v>
      </c>
      <c r="AS41" s="38">
        <f t="shared" si="5"/>
        <v>0</v>
      </c>
      <c r="AT41" s="38">
        <f t="shared" si="6"/>
        <v>1</v>
      </c>
      <c r="AU41" s="33" t="str">
        <f t="shared" si="7"/>
        <v>库存为1</v>
      </c>
      <c r="AV41" s="39" t="str">
        <f>IFERROR(时间!$B$4+AU41,"上周无销量")</f>
        <v>上周无销量</v>
      </c>
    </row>
    <row r="42" spans="1:48">
      <c r="A42" s="35" t="s">
        <v>87</v>
      </c>
      <c r="B42" t="str">
        <f>VLOOKUP(A42,'[2]sku-asin（子）'!$A:$B,2,0)</f>
        <v>B0761PL2N2</v>
      </c>
      <c r="C42" t="str">
        <f>VLOOKUP(A42,'[2]子sku-父sku'!$A:$B,2,0)</f>
        <v>MY16055</v>
      </c>
      <c r="D42" s="33">
        <f>IFERROR(VLOOKUP(A42,[3]库存报告使用数据处理!$A:$C,3,0),0)</f>
        <v>0</v>
      </c>
      <c r="E42" s="33">
        <f>IFERROR(VLOOKUP(A42,[3]库存报告使用数据处理!$A:$D,4,0),0)</f>
        <v>0</v>
      </c>
      <c r="F42" s="33">
        <f>IFERROR(VLOOKUP(A42,[3]库存报告使用数据处理!$A:$E,5,0),0)</f>
        <v>0</v>
      </c>
      <c r="G42" s="33">
        <f>IFERROR(VLOOKUP(A42,[3]库存报告使用数据处理!$A:$F,6,0),0)</f>
        <v>0</v>
      </c>
      <c r="H42" s="34">
        <f>IFERROR(VLOOKUP(A42,[3]库存报告使用数据处理!$A:$G,7,0),0)</f>
        <v>0</v>
      </c>
      <c r="I42">
        <f>IFERROR(VLOOKUP(A42,[4]数据处理!$A:$B,2,0),0)</f>
        <v>3</v>
      </c>
      <c r="J42" s="36">
        <f>IFERROR(VLOOKUP(A42,[4]数据处理!$A:$D,4,0),0)</f>
        <v>0</v>
      </c>
      <c r="K42" s="36">
        <f>IFERROR(VLOOKUP(A42,[4]数据处理!$A:$E,5,0),0)</f>
        <v>0</v>
      </c>
      <c r="L42" s="36">
        <f>IFERROR(VLOOKUP(A42,[4]数据处理!$A:$G,7,0),0)</f>
        <v>0</v>
      </c>
      <c r="M42">
        <f t="shared" si="0"/>
        <v>3</v>
      </c>
      <c r="N42">
        <f>IFERROR(VLOOKUP(A42,[4]数据处理!$A:$C,3,0),0)</f>
        <v>0</v>
      </c>
      <c r="O42">
        <f>IFERROR(VLOOKUP($A42,[4]数据处理!$A:$N,14,0),0)</f>
        <v>3</v>
      </c>
      <c r="P42" t="str">
        <f>IFERROR(VLOOKUP($A42,[5]库存使用数据!$A:$B,2,0),"")</f>
        <v/>
      </c>
      <c r="Q42" t="str">
        <f>IFERROR(VLOOKUP($A42,[5]库存使用数据!$A:$E,5,0),"")</f>
        <v/>
      </c>
      <c r="R42" t="str">
        <f>IFERROR(VLOOKUP($A42,[5]库存使用数据!$A:$H,8,0),"")</f>
        <v/>
      </c>
      <c r="S42" t="str">
        <f>IFERROR(VLOOKUP($A42,[5]库存使用数据!$A:$K,11,0),"")</f>
        <v/>
      </c>
      <c r="T42" t="str">
        <f>IFERROR(VLOOKUP($A42,[5]库存使用数据!$A:$C,3,0),"")</f>
        <v/>
      </c>
      <c r="U42" t="str">
        <f>IFERROR(VLOOKUP($A42,[5]库存使用数据!$A:$F,6,0),"")</f>
        <v/>
      </c>
      <c r="V42" t="str">
        <f>IFERROR(VLOOKUP($A42,[5]库存使用数据!$A:$I,9,0),"")</f>
        <v/>
      </c>
      <c r="W42" t="str">
        <f>IFERROR(VLOOKUP($A42,[5]库存使用数据!$A:$L,12,0),"")</f>
        <v/>
      </c>
      <c r="X42" s="23" t="str">
        <f t="shared" si="9"/>
        <v/>
      </c>
      <c r="Y42" s="23" t="str">
        <f t="shared" si="10"/>
        <v/>
      </c>
      <c r="Z42" s="23" t="str">
        <f t="shared" si="11"/>
        <v/>
      </c>
      <c r="AA42" s="23" t="str">
        <f t="shared" si="12"/>
        <v/>
      </c>
      <c r="AB42" t="str">
        <f>IFERROR(VLOOKUP($A42,[5]库存使用数据!$A:$D,4,0),"")</f>
        <v/>
      </c>
      <c r="AC42" t="str">
        <f>IFERROR(VLOOKUP($A42,[5]库存使用数据!$A:$G,7,0),"")</f>
        <v/>
      </c>
      <c r="AD42" t="str">
        <f>IFERROR(VLOOKUP($A42,[5]库存使用数据!$A:$J,10,0),"")</f>
        <v/>
      </c>
      <c r="AE42" t="str">
        <f>IFERROR(VLOOKUP($A42,[5]库存使用数据!$A:$M,13,0),"")</f>
        <v/>
      </c>
      <c r="AF42" s="23" t="str">
        <f t="shared" si="13"/>
        <v/>
      </c>
      <c r="AG42" s="23" t="str">
        <f t="shared" si="14"/>
        <v/>
      </c>
      <c r="AH42" s="23" t="str">
        <f t="shared" si="15"/>
        <v/>
      </c>
      <c r="AI42" s="23" t="str">
        <f t="shared" si="16"/>
        <v/>
      </c>
      <c r="AJ42">
        <f>IFERROR(VLOOKUP($B42,[1]库存报告使用数据!$A$1:$B$65536,2,0),0)</f>
        <v>5</v>
      </c>
      <c r="AK42">
        <f>IFERROR(VLOOKUP($B42,[1]库存报告使用数据!$A$1:$C$65536,3,0),0)</f>
        <v>12</v>
      </c>
      <c r="AL42">
        <f>IFERROR(VLOOKUP($B42,[1]库存报告使用数据!$A$1:$D$65536,4,0),0)</f>
        <v>5</v>
      </c>
      <c r="AM42">
        <f>IFERROR(VLOOKUP($B42,[1]库存报告使用数据!$A$1:$E$65536,5,0),0)</f>
        <v>3</v>
      </c>
      <c r="AN42" s="23">
        <f t="shared" si="17"/>
        <v>0</v>
      </c>
      <c r="AO42" s="23">
        <f t="shared" si="18"/>
        <v>0</v>
      </c>
      <c r="AP42" s="23">
        <f t="shared" si="19"/>
        <v>0</v>
      </c>
      <c r="AQ42" s="23">
        <f t="shared" si="20"/>
        <v>0</v>
      </c>
      <c r="AR42" s="38">
        <f t="shared" si="4"/>
        <v>0</v>
      </c>
      <c r="AS42" s="38">
        <f t="shared" si="5"/>
        <v>0</v>
      </c>
      <c r="AT42" s="38">
        <f t="shared" si="6"/>
        <v>3</v>
      </c>
      <c r="AU42" s="33" t="str">
        <f t="shared" si="7"/>
        <v>库存为3</v>
      </c>
      <c r="AV42" s="39" t="str">
        <f>IFERROR(时间!$B$4+AU42,"上周无销量")</f>
        <v>上周无销量</v>
      </c>
    </row>
    <row r="43" spans="1:48">
      <c r="A43" s="35" t="s">
        <v>88</v>
      </c>
      <c r="B43" t="str">
        <f>VLOOKUP(A43,'[2]sku-asin（子）'!$A:$B,2,0)</f>
        <v>B0761RRL7M</v>
      </c>
      <c r="C43" t="str">
        <f>VLOOKUP(A43,'[2]子sku-父sku'!$A:$B,2,0)</f>
        <v>MY16055</v>
      </c>
      <c r="D43" s="33">
        <f>IFERROR(VLOOKUP(A43,[3]库存报告使用数据处理!$A:$C,3,0),0)</f>
        <v>0</v>
      </c>
      <c r="E43" s="33">
        <f>IFERROR(VLOOKUP(A43,[3]库存报告使用数据处理!$A:$D,4,0),0)</f>
        <v>0</v>
      </c>
      <c r="F43" s="33">
        <f>IFERROR(VLOOKUP(A43,[3]库存报告使用数据处理!$A:$E,5,0),0)</f>
        <v>0</v>
      </c>
      <c r="G43" s="33">
        <f>IFERROR(VLOOKUP(A43,[3]库存报告使用数据处理!$A:$F,6,0),0)</f>
        <v>0</v>
      </c>
      <c r="H43" s="34">
        <f>IFERROR(VLOOKUP(A43,[3]库存报告使用数据处理!$A:$G,7,0),0)</f>
        <v>0</v>
      </c>
      <c r="I43">
        <f>IFERROR(VLOOKUP(A43,[4]数据处理!$A:$B,2,0),0)</f>
        <v>0</v>
      </c>
      <c r="J43" s="36">
        <f>IFERROR(VLOOKUP(A43,[4]数据处理!$A:$D,4,0),0)</f>
        <v>0</v>
      </c>
      <c r="K43" s="36">
        <f>IFERROR(VLOOKUP(A43,[4]数据处理!$A:$E,5,0),0)</f>
        <v>0</v>
      </c>
      <c r="L43" s="36">
        <f>IFERROR(VLOOKUP(A43,[4]数据处理!$A:$G,7,0),0)</f>
        <v>0</v>
      </c>
      <c r="M43">
        <f t="shared" si="0"/>
        <v>0</v>
      </c>
      <c r="N43">
        <f>IFERROR(VLOOKUP(A43,[4]数据处理!$A:$C,3,0),0)</f>
        <v>0</v>
      </c>
      <c r="O43">
        <f>IFERROR(VLOOKUP($A43,[4]数据处理!$A:$N,14,0),0)</f>
        <v>0</v>
      </c>
      <c r="P43" t="str">
        <f>IFERROR(VLOOKUP($A43,[5]库存使用数据!$A:$B,2,0),"")</f>
        <v/>
      </c>
      <c r="Q43" t="str">
        <f>IFERROR(VLOOKUP($A43,[5]库存使用数据!$A:$E,5,0),"")</f>
        <v/>
      </c>
      <c r="R43" t="str">
        <f>IFERROR(VLOOKUP($A43,[5]库存使用数据!$A:$H,8,0),"")</f>
        <v/>
      </c>
      <c r="S43" t="str">
        <f>IFERROR(VLOOKUP($A43,[5]库存使用数据!$A:$K,11,0),"")</f>
        <v/>
      </c>
      <c r="T43" t="str">
        <f>IFERROR(VLOOKUP($A43,[5]库存使用数据!$A:$C,3,0),"")</f>
        <v/>
      </c>
      <c r="U43" t="str">
        <f>IFERROR(VLOOKUP($A43,[5]库存使用数据!$A:$F,6,0),"")</f>
        <v/>
      </c>
      <c r="V43" t="str">
        <f>IFERROR(VLOOKUP($A43,[5]库存使用数据!$A:$I,9,0),"")</f>
        <v/>
      </c>
      <c r="W43" t="str">
        <f>IFERROR(VLOOKUP($A43,[5]库存使用数据!$A:$L,12,0),"")</f>
        <v/>
      </c>
      <c r="X43" s="23" t="str">
        <f t="shared" si="9"/>
        <v/>
      </c>
      <c r="Y43" s="23" t="str">
        <f t="shared" si="10"/>
        <v/>
      </c>
      <c r="Z43" s="23" t="str">
        <f t="shared" si="11"/>
        <v/>
      </c>
      <c r="AA43" s="23" t="str">
        <f t="shared" si="12"/>
        <v/>
      </c>
      <c r="AB43" t="str">
        <f>IFERROR(VLOOKUP($A43,[5]库存使用数据!$A:$D,4,0),"")</f>
        <v/>
      </c>
      <c r="AC43" t="str">
        <f>IFERROR(VLOOKUP($A43,[5]库存使用数据!$A:$G,7,0),"")</f>
        <v/>
      </c>
      <c r="AD43" t="str">
        <f>IFERROR(VLOOKUP($A43,[5]库存使用数据!$A:$J,10,0),"")</f>
        <v/>
      </c>
      <c r="AE43" t="str">
        <f>IFERROR(VLOOKUP($A43,[5]库存使用数据!$A:$M,13,0),"")</f>
        <v/>
      </c>
      <c r="AF43" s="23" t="str">
        <f t="shared" si="13"/>
        <v/>
      </c>
      <c r="AG43" s="23" t="str">
        <f t="shared" si="14"/>
        <v/>
      </c>
      <c r="AH43" s="23" t="str">
        <f t="shared" si="15"/>
        <v/>
      </c>
      <c r="AI43" s="23" t="str">
        <f t="shared" si="16"/>
        <v/>
      </c>
      <c r="AJ43">
        <f>IFERROR(VLOOKUP($B43,[1]库存报告使用数据!$A$1:$B$65536,2,0),0)</f>
        <v>0</v>
      </c>
      <c r="AK43">
        <f>IFERROR(VLOOKUP($B43,[1]库存报告使用数据!$A$1:$C$65536,3,0),0)</f>
        <v>0</v>
      </c>
      <c r="AL43">
        <f>IFERROR(VLOOKUP($B43,[1]库存报告使用数据!$A$1:$D$65536,4,0),0)</f>
        <v>0</v>
      </c>
      <c r="AM43">
        <f>IFERROR(VLOOKUP($B43,[1]库存报告使用数据!$A$1:$E$65536,5,0),0)</f>
        <v>0</v>
      </c>
      <c r="AN43" s="23" t="str">
        <f t="shared" si="17"/>
        <v/>
      </c>
      <c r="AO43" s="23" t="str">
        <f t="shared" si="18"/>
        <v/>
      </c>
      <c r="AP43" s="23" t="str">
        <f t="shared" si="19"/>
        <v/>
      </c>
      <c r="AQ43" s="23" t="str">
        <f t="shared" si="20"/>
        <v/>
      </c>
      <c r="AR43" s="38">
        <f t="shared" si="4"/>
        <v>0</v>
      </c>
      <c r="AS43" s="38">
        <f t="shared" si="5"/>
        <v>0</v>
      </c>
      <c r="AT43" s="38">
        <f t="shared" si="6"/>
        <v>0</v>
      </c>
      <c r="AU43" s="33" t="str">
        <f t="shared" si="7"/>
        <v>库存为0</v>
      </c>
      <c r="AV43" s="39" t="str">
        <f>IFERROR(时间!$B$4+AU43,"上周无销量")</f>
        <v>上周无销量</v>
      </c>
    </row>
    <row r="44" spans="1:48">
      <c r="A44" s="35" t="s">
        <v>89</v>
      </c>
      <c r="B44" t="str">
        <f>VLOOKUP(A44,'[2]sku-asin（子）'!$A:$B,2,0)</f>
        <v>B0761NGYTK</v>
      </c>
      <c r="C44" t="str">
        <f>VLOOKUP(A44,'[2]子sku-父sku'!$A:$B,2,0)</f>
        <v>MY16055</v>
      </c>
      <c r="D44" s="33">
        <f>IFERROR(VLOOKUP(A44,[3]库存报告使用数据处理!$A:$C,3,0),0)</f>
        <v>0</v>
      </c>
      <c r="E44" s="33">
        <f>IFERROR(VLOOKUP(A44,[3]库存报告使用数据处理!$A:$D,4,0),0)</f>
        <v>0</v>
      </c>
      <c r="F44" s="33">
        <f>IFERROR(VLOOKUP(A44,[3]库存报告使用数据处理!$A:$E,5,0),0)</f>
        <v>0</v>
      </c>
      <c r="G44" s="33">
        <f>IFERROR(VLOOKUP(A44,[3]库存报告使用数据处理!$A:$F,6,0),0)</f>
        <v>0</v>
      </c>
      <c r="H44" s="34">
        <f>IFERROR(VLOOKUP(A44,[3]库存报告使用数据处理!$A:$G,7,0),0)</f>
        <v>0</v>
      </c>
      <c r="I44">
        <f>IFERROR(VLOOKUP(A44,[4]数据处理!$A:$B,2,0),0)</f>
        <v>4</v>
      </c>
      <c r="J44" s="36">
        <f>IFERROR(VLOOKUP(A44,[4]数据处理!$A:$D,4,0),0)</f>
        <v>0</v>
      </c>
      <c r="K44" s="36">
        <f>IFERROR(VLOOKUP(A44,[4]数据处理!$A:$E,5,0),0)</f>
        <v>0</v>
      </c>
      <c r="L44" s="36">
        <f>IFERROR(VLOOKUP(A44,[4]数据处理!$A:$G,7,0),0)</f>
        <v>0</v>
      </c>
      <c r="M44">
        <f t="shared" si="0"/>
        <v>4</v>
      </c>
      <c r="N44">
        <f>IFERROR(VLOOKUP(A44,[4]数据处理!$A:$C,3,0),0)</f>
        <v>0</v>
      </c>
      <c r="O44">
        <f>IFERROR(VLOOKUP($A44,[4]数据处理!$A:$N,14,0),0)</f>
        <v>2</v>
      </c>
      <c r="P44" t="str">
        <f>IFERROR(VLOOKUP($A44,[5]库存使用数据!$A:$B,2,0),"")</f>
        <v/>
      </c>
      <c r="Q44" t="str">
        <f>IFERROR(VLOOKUP($A44,[5]库存使用数据!$A:$E,5,0),"")</f>
        <v/>
      </c>
      <c r="R44" t="str">
        <f>IFERROR(VLOOKUP($A44,[5]库存使用数据!$A:$H,8,0),"")</f>
        <v/>
      </c>
      <c r="S44" t="str">
        <f>IFERROR(VLOOKUP($A44,[5]库存使用数据!$A:$K,11,0),"")</f>
        <v/>
      </c>
      <c r="T44" t="str">
        <f>IFERROR(VLOOKUP($A44,[5]库存使用数据!$A:$C,3,0),"")</f>
        <v/>
      </c>
      <c r="U44" t="str">
        <f>IFERROR(VLOOKUP($A44,[5]库存使用数据!$A:$F,6,0),"")</f>
        <v/>
      </c>
      <c r="V44" t="str">
        <f>IFERROR(VLOOKUP($A44,[5]库存使用数据!$A:$I,9,0),"")</f>
        <v/>
      </c>
      <c r="W44" t="str">
        <f>IFERROR(VLOOKUP($A44,[5]库存使用数据!$A:$L,12,0),"")</f>
        <v/>
      </c>
      <c r="X44" s="23" t="str">
        <f t="shared" si="9"/>
        <v/>
      </c>
      <c r="Y44" s="23" t="str">
        <f t="shared" si="10"/>
        <v/>
      </c>
      <c r="Z44" s="23" t="str">
        <f t="shared" si="11"/>
        <v/>
      </c>
      <c r="AA44" s="23" t="str">
        <f t="shared" si="12"/>
        <v/>
      </c>
      <c r="AB44" t="str">
        <f>IFERROR(VLOOKUP($A44,[5]库存使用数据!$A:$D,4,0),"")</f>
        <v/>
      </c>
      <c r="AC44" t="str">
        <f>IFERROR(VLOOKUP($A44,[5]库存使用数据!$A:$G,7,0),"")</f>
        <v/>
      </c>
      <c r="AD44" t="str">
        <f>IFERROR(VLOOKUP($A44,[5]库存使用数据!$A:$J,10,0),"")</f>
        <v/>
      </c>
      <c r="AE44" t="str">
        <f>IFERROR(VLOOKUP($A44,[5]库存使用数据!$A:$M,13,0),"")</f>
        <v/>
      </c>
      <c r="AF44" s="23" t="str">
        <f t="shared" si="13"/>
        <v/>
      </c>
      <c r="AG44" s="23" t="str">
        <f t="shared" si="14"/>
        <v/>
      </c>
      <c r="AH44" s="23" t="str">
        <f t="shared" si="15"/>
        <v/>
      </c>
      <c r="AI44" s="23" t="str">
        <f t="shared" si="16"/>
        <v/>
      </c>
      <c r="AJ44">
        <f>IFERROR(VLOOKUP($B44,[1]库存报告使用数据!$A$1:$B$65536,2,0),0)</f>
        <v>3</v>
      </c>
      <c r="AK44">
        <f>IFERROR(VLOOKUP($B44,[1]库存报告使用数据!$A$1:$C$65536,3,0),0)</f>
        <v>27</v>
      </c>
      <c r="AL44">
        <f>IFERROR(VLOOKUP($B44,[1]库存报告使用数据!$A$1:$D$65536,4,0),0)</f>
        <v>19</v>
      </c>
      <c r="AM44">
        <f>IFERROR(VLOOKUP($B44,[1]库存报告使用数据!$A$1:$E$65536,5,0),0)</f>
        <v>18</v>
      </c>
      <c r="AN44" s="23">
        <f t="shared" si="17"/>
        <v>0</v>
      </c>
      <c r="AO44" s="23">
        <f t="shared" si="18"/>
        <v>0</v>
      </c>
      <c r="AP44" s="23">
        <f t="shared" si="19"/>
        <v>0</v>
      </c>
      <c r="AQ44" s="23">
        <f t="shared" si="20"/>
        <v>0</v>
      </c>
      <c r="AR44" s="38">
        <f t="shared" si="4"/>
        <v>0</v>
      </c>
      <c r="AS44" s="38">
        <f t="shared" si="5"/>
        <v>0</v>
      </c>
      <c r="AT44" s="38">
        <f t="shared" si="6"/>
        <v>4</v>
      </c>
      <c r="AU44" s="33" t="str">
        <f t="shared" si="7"/>
        <v>库存为4</v>
      </c>
      <c r="AV44" s="39" t="str">
        <f>IFERROR(时间!$B$4+AU44,"上周无销量")</f>
        <v>上周无销量</v>
      </c>
    </row>
    <row r="45" spans="1:48">
      <c r="A45" s="35" t="s">
        <v>90</v>
      </c>
      <c r="B45" t="str">
        <f>VLOOKUP(A45,'[2]sku-asin（子）'!$A:$B,2,0)</f>
        <v>B0761PSPTJ</v>
      </c>
      <c r="C45" t="str">
        <f>VLOOKUP(A45,'[2]子sku-父sku'!$A:$B,2,0)</f>
        <v>MY16055</v>
      </c>
      <c r="D45" s="33">
        <f>IFERROR(VLOOKUP(A45,[3]库存报告使用数据处理!$A:$C,3,0),0)</f>
        <v>0</v>
      </c>
      <c r="E45" s="33">
        <f>IFERROR(VLOOKUP(A45,[3]库存报告使用数据处理!$A:$D,4,0),0)</f>
        <v>0</v>
      </c>
      <c r="F45" s="33">
        <f>IFERROR(VLOOKUP(A45,[3]库存报告使用数据处理!$A:$E,5,0),0)</f>
        <v>0</v>
      </c>
      <c r="G45" s="33">
        <f>IFERROR(VLOOKUP(A45,[3]库存报告使用数据处理!$A:$F,6,0),0)</f>
        <v>0</v>
      </c>
      <c r="H45" s="34">
        <f>IFERROR(VLOOKUP(A45,[3]库存报告使用数据处理!$A:$G,7,0),0)</f>
        <v>0</v>
      </c>
      <c r="I45">
        <f>IFERROR(VLOOKUP(A45,[4]数据处理!$A:$B,2,0),0)</f>
        <v>1</v>
      </c>
      <c r="J45" s="36">
        <f>IFERROR(VLOOKUP(A45,[4]数据处理!$A:$D,4,0),0)</f>
        <v>0</v>
      </c>
      <c r="K45" s="36">
        <f>IFERROR(VLOOKUP(A45,[4]数据处理!$A:$E,5,0),0)</f>
        <v>0</v>
      </c>
      <c r="L45" s="36">
        <f>IFERROR(VLOOKUP(A45,[4]数据处理!$A:$G,7,0),0)</f>
        <v>0</v>
      </c>
      <c r="M45">
        <f t="shared" si="0"/>
        <v>1</v>
      </c>
      <c r="N45">
        <f>IFERROR(VLOOKUP(A45,[4]数据处理!$A:$C,3,0),0)</f>
        <v>1</v>
      </c>
      <c r="O45">
        <f>IFERROR(VLOOKUP($A45,[4]数据处理!$A:$N,14,0),0)</f>
        <v>1</v>
      </c>
      <c r="P45" t="str">
        <f>IFERROR(VLOOKUP($A45,[5]库存使用数据!$A:$B,2,0),"")</f>
        <v/>
      </c>
      <c r="Q45" t="str">
        <f>IFERROR(VLOOKUP($A45,[5]库存使用数据!$A:$E,5,0),"")</f>
        <v/>
      </c>
      <c r="R45" t="str">
        <f>IFERROR(VLOOKUP($A45,[5]库存使用数据!$A:$H,8,0),"")</f>
        <v/>
      </c>
      <c r="S45" t="str">
        <f>IFERROR(VLOOKUP($A45,[5]库存使用数据!$A:$K,11,0),"")</f>
        <v/>
      </c>
      <c r="T45" t="str">
        <f>IFERROR(VLOOKUP($A45,[5]库存使用数据!$A:$C,3,0),"")</f>
        <v/>
      </c>
      <c r="U45" t="str">
        <f>IFERROR(VLOOKUP($A45,[5]库存使用数据!$A:$F,6,0),"")</f>
        <v/>
      </c>
      <c r="V45" t="str">
        <f>IFERROR(VLOOKUP($A45,[5]库存使用数据!$A:$I,9,0),"")</f>
        <v/>
      </c>
      <c r="W45" t="str">
        <f>IFERROR(VLOOKUP($A45,[5]库存使用数据!$A:$L,12,0),"")</f>
        <v/>
      </c>
      <c r="X45" s="23" t="str">
        <f t="shared" si="9"/>
        <v/>
      </c>
      <c r="Y45" s="23" t="str">
        <f t="shared" si="10"/>
        <v/>
      </c>
      <c r="Z45" s="23" t="str">
        <f t="shared" si="11"/>
        <v/>
      </c>
      <c r="AA45" s="23" t="str">
        <f t="shared" si="12"/>
        <v/>
      </c>
      <c r="AB45" t="str">
        <f>IFERROR(VLOOKUP($A45,[5]库存使用数据!$A:$D,4,0),"")</f>
        <v/>
      </c>
      <c r="AC45" t="str">
        <f>IFERROR(VLOOKUP($A45,[5]库存使用数据!$A:$G,7,0),"")</f>
        <v/>
      </c>
      <c r="AD45" t="str">
        <f>IFERROR(VLOOKUP($A45,[5]库存使用数据!$A:$J,10,0),"")</f>
        <v/>
      </c>
      <c r="AE45" t="str">
        <f>IFERROR(VLOOKUP($A45,[5]库存使用数据!$A:$M,13,0),"")</f>
        <v/>
      </c>
      <c r="AF45" s="23" t="str">
        <f t="shared" si="13"/>
        <v/>
      </c>
      <c r="AG45" s="23" t="str">
        <f t="shared" si="14"/>
        <v/>
      </c>
      <c r="AH45" s="23" t="str">
        <f t="shared" si="15"/>
        <v/>
      </c>
      <c r="AI45" s="23" t="str">
        <f t="shared" si="16"/>
        <v/>
      </c>
      <c r="AJ45">
        <f>IFERROR(VLOOKUP($B45,[1]库存报告使用数据!$A$1:$B$65536,2,0),0)</f>
        <v>12</v>
      </c>
      <c r="AK45">
        <f>IFERROR(VLOOKUP($B45,[1]库存报告使用数据!$A$1:$C$65536,3,0),0)</f>
        <v>7</v>
      </c>
      <c r="AL45">
        <f>IFERROR(VLOOKUP($B45,[1]库存报告使用数据!$A$1:$D$65536,4,0),0)</f>
        <v>5</v>
      </c>
      <c r="AM45">
        <f>IFERROR(VLOOKUP($B45,[1]库存报告使用数据!$A$1:$E$65536,5,0),0)</f>
        <v>8</v>
      </c>
      <c r="AN45" s="23">
        <f t="shared" si="17"/>
        <v>0</v>
      </c>
      <c r="AO45" s="23">
        <f t="shared" si="18"/>
        <v>0</v>
      </c>
      <c r="AP45" s="23">
        <f t="shared" si="19"/>
        <v>0</v>
      </c>
      <c r="AQ45" s="23">
        <f t="shared" si="20"/>
        <v>0</v>
      </c>
      <c r="AR45" s="38">
        <f t="shared" si="4"/>
        <v>0</v>
      </c>
      <c r="AS45" s="38">
        <f t="shared" si="5"/>
        <v>0</v>
      </c>
      <c r="AT45" s="38">
        <f t="shared" si="6"/>
        <v>1</v>
      </c>
      <c r="AU45" s="33" t="str">
        <f t="shared" si="7"/>
        <v>库存为1</v>
      </c>
      <c r="AV45" s="39" t="str">
        <f>IFERROR(时间!$B$4+AU45,"上周无销量")</f>
        <v>上周无销量</v>
      </c>
    </row>
    <row r="46" spans="1:48">
      <c r="A46" s="35" t="s">
        <v>91</v>
      </c>
      <c r="B46" t="str">
        <f>VLOOKUP(A46,'[2]sku-asin（子）'!$A:$B,2,0)</f>
        <v>B0761PDMGN</v>
      </c>
      <c r="C46" t="str">
        <f>VLOOKUP(A46,'[2]子sku-父sku'!$A:$B,2,0)</f>
        <v>MY16055</v>
      </c>
      <c r="D46" s="33">
        <f>IFERROR(VLOOKUP(A46,[3]库存报告使用数据处理!$A:$C,3,0),0)</f>
        <v>0</v>
      </c>
      <c r="E46" s="33">
        <f>IFERROR(VLOOKUP(A46,[3]库存报告使用数据处理!$A:$D,4,0),0)</f>
        <v>0</v>
      </c>
      <c r="F46" s="33">
        <f>IFERROR(VLOOKUP(A46,[3]库存报告使用数据处理!$A:$E,5,0),0)</f>
        <v>0</v>
      </c>
      <c r="G46" s="33">
        <f>IFERROR(VLOOKUP(A46,[3]库存报告使用数据处理!$A:$F,6,0),0)</f>
        <v>0</v>
      </c>
      <c r="H46" s="34">
        <f>IFERROR(VLOOKUP(A46,[3]库存报告使用数据处理!$A:$G,7,0),0)</f>
        <v>0</v>
      </c>
      <c r="I46">
        <f>IFERROR(VLOOKUP(A46,[4]数据处理!$A:$B,2,0),0)</f>
        <v>4</v>
      </c>
      <c r="J46" s="36">
        <f>IFERROR(VLOOKUP(A46,[4]数据处理!$A:$D,4,0),0)</f>
        <v>0</v>
      </c>
      <c r="K46" s="36">
        <f>IFERROR(VLOOKUP(A46,[4]数据处理!$A:$E,5,0),0)</f>
        <v>0</v>
      </c>
      <c r="L46" s="36">
        <f>IFERROR(VLOOKUP(A46,[4]数据处理!$A:$G,7,0),0)</f>
        <v>0</v>
      </c>
      <c r="M46">
        <f t="shared" si="0"/>
        <v>4</v>
      </c>
      <c r="N46">
        <f>IFERROR(VLOOKUP(A46,[4]数据处理!$A:$C,3,0),0)</f>
        <v>0</v>
      </c>
      <c r="O46">
        <f>IFERROR(VLOOKUP($A46,[4]数据处理!$A:$N,14,0),0)</f>
        <v>3</v>
      </c>
      <c r="P46" t="str">
        <f>IFERROR(VLOOKUP($A46,[5]库存使用数据!$A:$B,2,0),"")</f>
        <v/>
      </c>
      <c r="Q46" t="str">
        <f>IFERROR(VLOOKUP($A46,[5]库存使用数据!$A:$E,5,0),"")</f>
        <v/>
      </c>
      <c r="R46" t="str">
        <f>IFERROR(VLOOKUP($A46,[5]库存使用数据!$A:$H,8,0),"")</f>
        <v/>
      </c>
      <c r="S46" t="str">
        <f>IFERROR(VLOOKUP($A46,[5]库存使用数据!$A:$K,11,0),"")</f>
        <v/>
      </c>
      <c r="T46" t="str">
        <f>IFERROR(VLOOKUP($A46,[5]库存使用数据!$A:$C,3,0),"")</f>
        <v/>
      </c>
      <c r="U46" t="str">
        <f>IFERROR(VLOOKUP($A46,[5]库存使用数据!$A:$F,6,0),"")</f>
        <v/>
      </c>
      <c r="V46" t="str">
        <f>IFERROR(VLOOKUP($A46,[5]库存使用数据!$A:$I,9,0),"")</f>
        <v/>
      </c>
      <c r="W46" t="str">
        <f>IFERROR(VLOOKUP($A46,[5]库存使用数据!$A:$L,12,0),"")</f>
        <v/>
      </c>
      <c r="X46" s="23" t="str">
        <f t="shared" si="9"/>
        <v/>
      </c>
      <c r="Y46" s="23" t="str">
        <f t="shared" si="10"/>
        <v/>
      </c>
      <c r="Z46" s="23" t="str">
        <f t="shared" si="11"/>
        <v/>
      </c>
      <c r="AA46" s="23" t="str">
        <f t="shared" si="12"/>
        <v/>
      </c>
      <c r="AB46" t="str">
        <f>IFERROR(VLOOKUP($A46,[5]库存使用数据!$A:$D,4,0),"")</f>
        <v/>
      </c>
      <c r="AC46" t="str">
        <f>IFERROR(VLOOKUP($A46,[5]库存使用数据!$A:$G,7,0),"")</f>
        <v/>
      </c>
      <c r="AD46" t="str">
        <f>IFERROR(VLOOKUP($A46,[5]库存使用数据!$A:$J,10,0),"")</f>
        <v/>
      </c>
      <c r="AE46" t="str">
        <f>IFERROR(VLOOKUP($A46,[5]库存使用数据!$A:$M,13,0),"")</f>
        <v/>
      </c>
      <c r="AF46" s="23" t="str">
        <f t="shared" si="13"/>
        <v/>
      </c>
      <c r="AG46" s="23" t="str">
        <f t="shared" si="14"/>
        <v/>
      </c>
      <c r="AH46" s="23" t="str">
        <f t="shared" si="15"/>
        <v/>
      </c>
      <c r="AI46" s="23" t="str">
        <f t="shared" si="16"/>
        <v/>
      </c>
      <c r="AJ46">
        <f>IFERROR(VLOOKUP($B46,[1]库存报告使用数据!$A$1:$B$65536,2,0),0)</f>
        <v>5</v>
      </c>
      <c r="AK46">
        <f>IFERROR(VLOOKUP($B46,[1]库存报告使用数据!$A$1:$C$65536,3,0),0)</f>
        <v>23</v>
      </c>
      <c r="AL46">
        <f>IFERROR(VLOOKUP($B46,[1]库存报告使用数据!$A$1:$D$65536,4,0),0)</f>
        <v>25</v>
      </c>
      <c r="AM46">
        <f>IFERROR(VLOOKUP($B46,[1]库存报告使用数据!$A$1:$E$65536,5,0),0)</f>
        <v>5</v>
      </c>
      <c r="AN46" s="23">
        <f t="shared" si="17"/>
        <v>0</v>
      </c>
      <c r="AO46" s="23">
        <f t="shared" si="18"/>
        <v>0</v>
      </c>
      <c r="AP46" s="23">
        <f t="shared" si="19"/>
        <v>0</v>
      </c>
      <c r="AQ46" s="23">
        <f t="shared" si="20"/>
        <v>0</v>
      </c>
      <c r="AR46" s="38">
        <f t="shared" si="4"/>
        <v>0</v>
      </c>
      <c r="AS46" s="38">
        <f t="shared" si="5"/>
        <v>0</v>
      </c>
      <c r="AT46" s="38">
        <f t="shared" si="6"/>
        <v>4</v>
      </c>
      <c r="AU46" s="33" t="str">
        <f t="shared" si="7"/>
        <v>库存为4</v>
      </c>
      <c r="AV46" s="39" t="str">
        <f>IFERROR(时间!$B$4+AU46,"上周无销量")</f>
        <v>上周无销量</v>
      </c>
    </row>
    <row r="47" spans="1:48">
      <c r="A47" s="35" t="s">
        <v>92</v>
      </c>
      <c r="B47" t="str">
        <f>VLOOKUP(A47,'[2]sku-asin（子）'!$A:$B,2,0)</f>
        <v>B0761PVQYZ</v>
      </c>
      <c r="C47" t="str">
        <f>VLOOKUP(A47,'[2]子sku-父sku'!$A:$B,2,0)</f>
        <v>MY71107</v>
      </c>
      <c r="D47" s="33">
        <f>IFERROR(VLOOKUP(A47,[3]库存报告使用数据处理!$A:$C,3,0),0)</f>
        <v>0</v>
      </c>
      <c r="E47" s="33">
        <f>IFERROR(VLOOKUP(A47,[3]库存报告使用数据处理!$A:$D,4,0),0)</f>
        <v>0</v>
      </c>
      <c r="F47" s="33">
        <f>IFERROR(VLOOKUP(A47,[3]库存报告使用数据处理!$A:$E,5,0),0)</f>
        <v>0</v>
      </c>
      <c r="G47" s="33">
        <f>IFERROR(VLOOKUP(A47,[3]库存报告使用数据处理!$A:$F,6,0),0)</f>
        <v>0</v>
      </c>
      <c r="H47" s="34">
        <f>IFERROR(VLOOKUP(A47,[3]库存报告使用数据处理!$A:$G,7,0),0)</f>
        <v>0</v>
      </c>
      <c r="I47">
        <f>IFERROR(VLOOKUP(A47,[4]数据处理!$A:$B,2,0),0)</f>
        <v>0</v>
      </c>
      <c r="J47" s="36">
        <f>IFERROR(VLOOKUP(A47,[4]数据处理!$A:$D,4,0),0)</f>
        <v>0</v>
      </c>
      <c r="K47" s="36">
        <f>IFERROR(VLOOKUP(A47,[4]数据处理!$A:$E,5,0),0)</f>
        <v>0</v>
      </c>
      <c r="L47" s="36">
        <f>IFERROR(VLOOKUP(A47,[4]数据处理!$A:$G,7,0),0)</f>
        <v>0</v>
      </c>
      <c r="M47">
        <f t="shared" si="0"/>
        <v>0</v>
      </c>
      <c r="N47">
        <f>IFERROR(VLOOKUP(A47,[4]数据处理!$A:$C,3,0),0)</f>
        <v>3</v>
      </c>
      <c r="O47">
        <f>IFERROR(VLOOKUP($A47,[4]数据处理!$A:$N,14,0),0)</f>
        <v>0</v>
      </c>
      <c r="P47" t="str">
        <f>IFERROR(VLOOKUP($A47,[5]库存使用数据!$A:$B,2,0),"")</f>
        <v/>
      </c>
      <c r="Q47" t="str">
        <f>IFERROR(VLOOKUP($A47,[5]库存使用数据!$A:$E,5,0),"")</f>
        <v/>
      </c>
      <c r="R47" t="str">
        <f>IFERROR(VLOOKUP($A47,[5]库存使用数据!$A:$H,8,0),"")</f>
        <v/>
      </c>
      <c r="S47" t="str">
        <f>IFERROR(VLOOKUP($A47,[5]库存使用数据!$A:$K,11,0),"")</f>
        <v/>
      </c>
      <c r="T47" t="str">
        <f>IFERROR(VLOOKUP($A47,[5]库存使用数据!$A:$C,3,0),"")</f>
        <v/>
      </c>
      <c r="U47" t="str">
        <f>IFERROR(VLOOKUP($A47,[5]库存使用数据!$A:$F,6,0),"")</f>
        <v/>
      </c>
      <c r="V47" t="str">
        <f>IFERROR(VLOOKUP($A47,[5]库存使用数据!$A:$I,9,0),"")</f>
        <v/>
      </c>
      <c r="W47" t="str">
        <f>IFERROR(VLOOKUP($A47,[5]库存使用数据!$A:$L,12,0),"")</f>
        <v/>
      </c>
      <c r="X47" s="23" t="str">
        <f t="shared" si="9"/>
        <v/>
      </c>
      <c r="Y47" s="23" t="str">
        <f t="shared" si="10"/>
        <v/>
      </c>
      <c r="Z47" s="23" t="str">
        <f t="shared" si="11"/>
        <v/>
      </c>
      <c r="AA47" s="23" t="str">
        <f t="shared" si="12"/>
        <v/>
      </c>
      <c r="AB47" t="str">
        <f>IFERROR(VLOOKUP($A47,[5]库存使用数据!$A:$D,4,0),"")</f>
        <v/>
      </c>
      <c r="AC47" t="str">
        <f>IFERROR(VLOOKUP($A47,[5]库存使用数据!$A:$G,7,0),"")</f>
        <v/>
      </c>
      <c r="AD47" t="str">
        <f>IFERROR(VLOOKUP($A47,[5]库存使用数据!$A:$J,10,0),"")</f>
        <v/>
      </c>
      <c r="AE47" t="str">
        <f>IFERROR(VLOOKUP($A47,[5]库存使用数据!$A:$M,13,0),"")</f>
        <v/>
      </c>
      <c r="AF47" s="23" t="str">
        <f t="shared" si="13"/>
        <v/>
      </c>
      <c r="AG47" s="23" t="str">
        <f t="shared" si="14"/>
        <v/>
      </c>
      <c r="AH47" s="23" t="str">
        <f t="shared" si="15"/>
        <v/>
      </c>
      <c r="AI47" s="23" t="str">
        <f t="shared" si="16"/>
        <v/>
      </c>
      <c r="AJ47">
        <f>IFERROR(VLOOKUP($B47,[1]库存报告使用数据!$A$1:$B$65536,2,0),0)</f>
        <v>0</v>
      </c>
      <c r="AK47">
        <f>IFERROR(VLOOKUP($B47,[1]库存报告使用数据!$A$1:$C$65536,3,0),0)</f>
        <v>0</v>
      </c>
      <c r="AL47">
        <f>IFERROR(VLOOKUP($B47,[1]库存报告使用数据!$A$1:$D$65536,4,0),0)</f>
        <v>0</v>
      </c>
      <c r="AM47">
        <f>IFERROR(VLOOKUP($B47,[1]库存报告使用数据!$A$1:$E$65536,5,0),0)</f>
        <v>0</v>
      </c>
      <c r="AN47" s="23" t="str">
        <f t="shared" si="17"/>
        <v/>
      </c>
      <c r="AO47" s="23" t="str">
        <f t="shared" si="18"/>
        <v/>
      </c>
      <c r="AP47" s="23" t="str">
        <f t="shared" si="19"/>
        <v/>
      </c>
      <c r="AQ47" s="23" t="str">
        <f t="shared" si="20"/>
        <v/>
      </c>
      <c r="AR47" s="38">
        <f t="shared" si="4"/>
        <v>0</v>
      </c>
      <c r="AS47" s="38">
        <f t="shared" si="5"/>
        <v>0</v>
      </c>
      <c r="AT47" s="38">
        <f t="shared" si="6"/>
        <v>0</v>
      </c>
      <c r="AU47" s="33" t="str">
        <f t="shared" si="7"/>
        <v>库存为0</v>
      </c>
      <c r="AV47" s="39" t="str">
        <f>IFERROR(时间!$B$4+AU47,"上周无销量")</f>
        <v>上周无销量</v>
      </c>
    </row>
    <row r="48" spans="1:48">
      <c r="A48" s="35" t="s">
        <v>93</v>
      </c>
      <c r="B48" t="str">
        <f>VLOOKUP(A48,'[2]sku-asin（子）'!$A:$B,2,0)</f>
        <v>B0761NLN4R</v>
      </c>
      <c r="C48" t="str">
        <f>VLOOKUP(A48,'[2]子sku-父sku'!$A:$B,2,0)</f>
        <v>MY71107</v>
      </c>
      <c r="D48" s="33">
        <f>IFERROR(VLOOKUP(A48,[3]库存报告使用数据处理!$A:$C,3,0),0)</f>
        <v>0</v>
      </c>
      <c r="E48" s="33">
        <f>IFERROR(VLOOKUP(A48,[3]库存报告使用数据处理!$A:$D,4,0),0)</f>
        <v>0</v>
      </c>
      <c r="F48" s="33">
        <f>IFERROR(VLOOKUP(A48,[3]库存报告使用数据处理!$A:$E,5,0),0)</f>
        <v>0</v>
      </c>
      <c r="G48" s="33">
        <f>IFERROR(VLOOKUP(A48,[3]库存报告使用数据处理!$A:$F,6,0),0)</f>
        <v>0</v>
      </c>
      <c r="H48" s="34">
        <f>IFERROR(VLOOKUP(A48,[3]库存报告使用数据处理!$A:$G,7,0),0)</f>
        <v>0</v>
      </c>
      <c r="I48">
        <f>IFERROR(VLOOKUP(A48,[4]数据处理!$A:$B,2,0),0)</f>
        <v>0</v>
      </c>
      <c r="J48" s="36">
        <f>IFERROR(VLOOKUP(A48,[4]数据处理!$A:$D,4,0),0)</f>
        <v>0</v>
      </c>
      <c r="K48" s="36">
        <f>IFERROR(VLOOKUP(A48,[4]数据处理!$A:$E,5,0),0)</f>
        <v>0</v>
      </c>
      <c r="L48" s="36">
        <f>IFERROR(VLOOKUP(A48,[4]数据处理!$A:$G,7,0),0)</f>
        <v>0</v>
      </c>
      <c r="M48">
        <f t="shared" si="0"/>
        <v>0</v>
      </c>
      <c r="N48">
        <f>IFERROR(VLOOKUP(A48,[4]数据处理!$A:$C,3,0),0)</f>
        <v>0</v>
      </c>
      <c r="O48">
        <f>IFERROR(VLOOKUP($A48,[4]数据处理!$A:$N,14,0),0)</f>
        <v>0</v>
      </c>
      <c r="P48" t="str">
        <f>IFERROR(VLOOKUP($A48,[5]库存使用数据!$A:$B,2,0),"")</f>
        <v/>
      </c>
      <c r="Q48" t="str">
        <f>IFERROR(VLOOKUP($A48,[5]库存使用数据!$A:$E,5,0),"")</f>
        <v/>
      </c>
      <c r="R48" t="str">
        <f>IFERROR(VLOOKUP($A48,[5]库存使用数据!$A:$H,8,0),"")</f>
        <v/>
      </c>
      <c r="S48" t="str">
        <f>IFERROR(VLOOKUP($A48,[5]库存使用数据!$A:$K,11,0),"")</f>
        <v/>
      </c>
      <c r="T48" t="str">
        <f>IFERROR(VLOOKUP($A48,[5]库存使用数据!$A:$C,3,0),"")</f>
        <v/>
      </c>
      <c r="U48" t="str">
        <f>IFERROR(VLOOKUP($A48,[5]库存使用数据!$A:$F,6,0),"")</f>
        <v/>
      </c>
      <c r="V48" t="str">
        <f>IFERROR(VLOOKUP($A48,[5]库存使用数据!$A:$I,9,0),"")</f>
        <v/>
      </c>
      <c r="W48" t="str">
        <f>IFERROR(VLOOKUP($A48,[5]库存使用数据!$A:$L,12,0),"")</f>
        <v/>
      </c>
      <c r="X48" s="23" t="str">
        <f t="shared" si="9"/>
        <v/>
      </c>
      <c r="Y48" s="23" t="str">
        <f t="shared" si="10"/>
        <v/>
      </c>
      <c r="Z48" s="23" t="str">
        <f t="shared" si="11"/>
        <v/>
      </c>
      <c r="AA48" s="23" t="str">
        <f t="shared" si="12"/>
        <v/>
      </c>
      <c r="AB48" t="str">
        <f>IFERROR(VLOOKUP($A48,[5]库存使用数据!$A:$D,4,0),"")</f>
        <v/>
      </c>
      <c r="AC48" t="str">
        <f>IFERROR(VLOOKUP($A48,[5]库存使用数据!$A:$G,7,0),"")</f>
        <v/>
      </c>
      <c r="AD48" t="str">
        <f>IFERROR(VLOOKUP($A48,[5]库存使用数据!$A:$J,10,0),"")</f>
        <v/>
      </c>
      <c r="AE48" t="str">
        <f>IFERROR(VLOOKUP($A48,[5]库存使用数据!$A:$M,13,0),"")</f>
        <v/>
      </c>
      <c r="AF48" s="23" t="str">
        <f t="shared" si="13"/>
        <v/>
      </c>
      <c r="AG48" s="23" t="str">
        <f t="shared" si="14"/>
        <v/>
      </c>
      <c r="AH48" s="23" t="str">
        <f t="shared" si="15"/>
        <v/>
      </c>
      <c r="AI48" s="23" t="str">
        <f t="shared" si="16"/>
        <v/>
      </c>
      <c r="AJ48">
        <f>IFERROR(VLOOKUP($B48,[1]库存报告使用数据!$A$1:$B$65536,2,0),0)</f>
        <v>0</v>
      </c>
      <c r="AK48">
        <f>IFERROR(VLOOKUP($B48,[1]库存报告使用数据!$A$1:$C$65536,3,0),0)</f>
        <v>0</v>
      </c>
      <c r="AL48">
        <f>IFERROR(VLOOKUP($B48,[1]库存报告使用数据!$A$1:$D$65536,4,0),0)</f>
        <v>0</v>
      </c>
      <c r="AM48">
        <f>IFERROR(VLOOKUP($B48,[1]库存报告使用数据!$A$1:$E$65536,5,0),0)</f>
        <v>0</v>
      </c>
      <c r="AN48" s="23" t="str">
        <f t="shared" si="17"/>
        <v/>
      </c>
      <c r="AO48" s="23" t="str">
        <f t="shared" si="18"/>
        <v/>
      </c>
      <c r="AP48" s="23" t="str">
        <f t="shared" si="19"/>
        <v/>
      </c>
      <c r="AQ48" s="23" t="str">
        <f t="shared" si="20"/>
        <v/>
      </c>
      <c r="AR48" s="38">
        <f t="shared" si="4"/>
        <v>0</v>
      </c>
      <c r="AS48" s="38">
        <f t="shared" si="5"/>
        <v>0</v>
      </c>
      <c r="AT48" s="38">
        <f t="shared" si="6"/>
        <v>0</v>
      </c>
      <c r="AU48" s="33" t="str">
        <f t="shared" si="7"/>
        <v>库存为0</v>
      </c>
      <c r="AV48" s="39" t="str">
        <f>IFERROR(时间!$B$4+AU48,"上周无销量")</f>
        <v>上周无销量</v>
      </c>
    </row>
    <row r="49" spans="1:48">
      <c r="A49" s="35" t="s">
        <v>94</v>
      </c>
      <c r="B49" t="str">
        <f>VLOOKUP(A49,'[2]sku-asin（子）'!$A:$B,2,0)</f>
        <v>B0761P4LKC</v>
      </c>
      <c r="C49" t="str">
        <f>VLOOKUP(A49,'[2]子sku-父sku'!$A:$B,2,0)</f>
        <v>MY71107</v>
      </c>
      <c r="D49" s="33">
        <f>IFERROR(VLOOKUP(A49,[3]库存报告使用数据处理!$A:$C,3,0),0)</f>
        <v>0</v>
      </c>
      <c r="E49" s="33">
        <f>IFERROR(VLOOKUP(A49,[3]库存报告使用数据处理!$A:$D,4,0),0)</f>
        <v>0</v>
      </c>
      <c r="F49" s="33">
        <f>IFERROR(VLOOKUP(A49,[3]库存报告使用数据处理!$A:$E,5,0),0)</f>
        <v>0</v>
      </c>
      <c r="G49" s="33">
        <f>IFERROR(VLOOKUP(A49,[3]库存报告使用数据处理!$A:$F,6,0),0)</f>
        <v>0</v>
      </c>
      <c r="H49" s="34">
        <f>IFERROR(VLOOKUP(A49,[3]库存报告使用数据处理!$A:$G,7,0),0)</f>
        <v>0</v>
      </c>
      <c r="I49">
        <f>IFERROR(VLOOKUP(A49,[4]数据处理!$A:$B,2,0),0)</f>
        <v>3</v>
      </c>
      <c r="J49" s="36">
        <f>IFERROR(VLOOKUP(A49,[4]数据处理!$A:$D,4,0),0)</f>
        <v>0</v>
      </c>
      <c r="K49" s="36">
        <f>IFERROR(VLOOKUP(A49,[4]数据处理!$A:$E,5,0),0)</f>
        <v>0</v>
      </c>
      <c r="L49" s="36">
        <f>IFERROR(VLOOKUP(A49,[4]数据处理!$A:$G,7,0),0)</f>
        <v>0</v>
      </c>
      <c r="M49">
        <f t="shared" si="0"/>
        <v>3</v>
      </c>
      <c r="N49">
        <f>IFERROR(VLOOKUP(A49,[4]数据处理!$A:$C,3,0),0)</f>
        <v>2</v>
      </c>
      <c r="O49">
        <f>IFERROR(VLOOKUP($A49,[4]数据处理!$A:$N,14,0),0)</f>
        <v>3</v>
      </c>
      <c r="P49" t="str">
        <f>IFERROR(VLOOKUP($A49,[5]库存使用数据!$A:$B,2,0),"")</f>
        <v/>
      </c>
      <c r="Q49" t="str">
        <f>IFERROR(VLOOKUP($A49,[5]库存使用数据!$A:$E,5,0),"")</f>
        <v/>
      </c>
      <c r="R49" t="str">
        <f>IFERROR(VLOOKUP($A49,[5]库存使用数据!$A:$H,8,0),"")</f>
        <v/>
      </c>
      <c r="S49" t="str">
        <f>IFERROR(VLOOKUP($A49,[5]库存使用数据!$A:$K,11,0),"")</f>
        <v/>
      </c>
      <c r="T49" t="str">
        <f>IFERROR(VLOOKUP($A49,[5]库存使用数据!$A:$C,3,0),"")</f>
        <v/>
      </c>
      <c r="U49" t="str">
        <f>IFERROR(VLOOKUP($A49,[5]库存使用数据!$A:$F,6,0),"")</f>
        <v/>
      </c>
      <c r="V49" t="str">
        <f>IFERROR(VLOOKUP($A49,[5]库存使用数据!$A:$I,9,0),"")</f>
        <v/>
      </c>
      <c r="W49" t="str">
        <f>IFERROR(VLOOKUP($A49,[5]库存使用数据!$A:$L,12,0),"")</f>
        <v/>
      </c>
      <c r="X49" s="23" t="str">
        <f t="shared" si="9"/>
        <v/>
      </c>
      <c r="Y49" s="23" t="str">
        <f t="shared" si="10"/>
        <v/>
      </c>
      <c r="Z49" s="23" t="str">
        <f t="shared" si="11"/>
        <v/>
      </c>
      <c r="AA49" s="23" t="str">
        <f t="shared" si="12"/>
        <v/>
      </c>
      <c r="AB49" t="str">
        <f>IFERROR(VLOOKUP($A49,[5]库存使用数据!$A:$D,4,0),"")</f>
        <v/>
      </c>
      <c r="AC49" t="str">
        <f>IFERROR(VLOOKUP($A49,[5]库存使用数据!$A:$G,7,0),"")</f>
        <v/>
      </c>
      <c r="AD49" t="str">
        <f>IFERROR(VLOOKUP($A49,[5]库存使用数据!$A:$J,10,0),"")</f>
        <v/>
      </c>
      <c r="AE49" t="str">
        <f>IFERROR(VLOOKUP($A49,[5]库存使用数据!$A:$M,13,0),"")</f>
        <v/>
      </c>
      <c r="AF49" s="23" t="str">
        <f t="shared" si="13"/>
        <v/>
      </c>
      <c r="AG49" s="23" t="str">
        <f t="shared" si="14"/>
        <v/>
      </c>
      <c r="AH49" s="23" t="str">
        <f t="shared" si="15"/>
        <v/>
      </c>
      <c r="AI49" s="23" t="str">
        <f t="shared" si="16"/>
        <v/>
      </c>
      <c r="AJ49">
        <f>IFERROR(VLOOKUP($B49,[1]库存报告使用数据!$A$1:$B$65536,2,0),0)</f>
        <v>4</v>
      </c>
      <c r="AK49">
        <f>IFERROR(VLOOKUP($B49,[1]库存报告使用数据!$A$1:$C$65536,3,0),0)</f>
        <v>19</v>
      </c>
      <c r="AL49">
        <f>IFERROR(VLOOKUP($B49,[1]库存报告使用数据!$A$1:$D$65536,4,0),0)</f>
        <v>30</v>
      </c>
      <c r="AM49">
        <f>IFERROR(VLOOKUP($B49,[1]库存报告使用数据!$A$1:$E$65536,5,0),0)</f>
        <v>50</v>
      </c>
      <c r="AN49" s="23">
        <f t="shared" si="17"/>
        <v>0</v>
      </c>
      <c r="AO49" s="23">
        <f t="shared" si="18"/>
        <v>0</v>
      </c>
      <c r="AP49" s="23">
        <f t="shared" si="19"/>
        <v>0</v>
      </c>
      <c r="AQ49" s="23">
        <f t="shared" si="20"/>
        <v>0</v>
      </c>
      <c r="AR49" s="38">
        <f t="shared" si="4"/>
        <v>0</v>
      </c>
      <c r="AS49" s="38">
        <f t="shared" si="5"/>
        <v>0</v>
      </c>
      <c r="AT49" s="38">
        <f t="shared" si="6"/>
        <v>3</v>
      </c>
      <c r="AU49" s="33" t="str">
        <f t="shared" si="7"/>
        <v>库存为3</v>
      </c>
      <c r="AV49" s="39" t="str">
        <f>IFERROR(时间!$B$4+AU49,"上周无销量")</f>
        <v>上周无销量</v>
      </c>
    </row>
    <row r="50" spans="1:48">
      <c r="A50" s="35" t="s">
        <v>95</v>
      </c>
      <c r="B50" t="str">
        <f>VLOOKUP(A50,'[2]sku-asin（子）'!$A:$B,2,0)</f>
        <v>B0761NJPNM</v>
      </c>
      <c r="C50" t="str">
        <f>VLOOKUP(A50,'[2]子sku-父sku'!$A:$B,2,0)</f>
        <v>MY71107</v>
      </c>
      <c r="D50" s="33">
        <f>IFERROR(VLOOKUP(A50,[3]库存报告使用数据处理!$A:$C,3,0),0)</f>
        <v>0</v>
      </c>
      <c r="E50" s="33">
        <f>IFERROR(VLOOKUP(A50,[3]库存报告使用数据处理!$A:$D,4,0),0)</f>
        <v>0</v>
      </c>
      <c r="F50" s="33">
        <f>IFERROR(VLOOKUP(A50,[3]库存报告使用数据处理!$A:$E,5,0),0)</f>
        <v>0</v>
      </c>
      <c r="G50" s="33">
        <f>IFERROR(VLOOKUP(A50,[3]库存报告使用数据处理!$A:$F,6,0),0)</f>
        <v>1</v>
      </c>
      <c r="H50" s="34">
        <f>IFERROR(VLOOKUP(A50,[3]库存报告使用数据处理!$A:$G,7,0),0)</f>
        <v>42.99</v>
      </c>
      <c r="I50">
        <f>IFERROR(VLOOKUP(A50,[4]数据处理!$A:$B,2,0),0)</f>
        <v>7</v>
      </c>
      <c r="J50" s="36">
        <f>IFERROR(VLOOKUP(A50,[4]数据处理!$A:$D,4,0),0)</f>
        <v>0</v>
      </c>
      <c r="K50" s="36">
        <f>IFERROR(VLOOKUP(A50,[4]数据处理!$A:$E,5,0),0)</f>
        <v>0</v>
      </c>
      <c r="L50" s="36">
        <f>IFERROR(VLOOKUP(A50,[4]数据处理!$A:$G,7,0),0)</f>
        <v>0</v>
      </c>
      <c r="M50">
        <f t="shared" si="0"/>
        <v>7</v>
      </c>
      <c r="N50">
        <f>IFERROR(VLOOKUP(A50,[4]数据处理!$A:$C,3,0),0)</f>
        <v>1</v>
      </c>
      <c r="O50">
        <f>IFERROR(VLOOKUP($A50,[4]数据处理!$A:$N,14,0),0)</f>
        <v>7</v>
      </c>
      <c r="P50">
        <f>IFERROR(VLOOKUP($A50,[5]库存使用数据!$A:$B,2,0),"")</f>
        <v>0</v>
      </c>
      <c r="Q50">
        <f>IFERROR(VLOOKUP($A50,[5]库存使用数据!$A:$E,5,0),"")</f>
        <v>0</v>
      </c>
      <c r="R50">
        <f>IFERROR(VLOOKUP($A50,[5]库存使用数据!$A:$H,8,0),"")</f>
        <v>0</v>
      </c>
      <c r="S50">
        <f>IFERROR(VLOOKUP($A50,[5]库存使用数据!$A:$K,11,0),"")</f>
        <v>6</v>
      </c>
      <c r="T50">
        <f>IFERROR(VLOOKUP($A50,[5]库存使用数据!$A:$C,3,0),"")</f>
        <v>0</v>
      </c>
      <c r="U50">
        <f>IFERROR(VLOOKUP($A50,[5]库存使用数据!$A:$F,6,0),"")</f>
        <v>0</v>
      </c>
      <c r="V50">
        <f>IFERROR(VLOOKUP($A50,[5]库存使用数据!$A:$I,9,0),"")</f>
        <v>0</v>
      </c>
      <c r="W50">
        <f>IFERROR(VLOOKUP($A50,[5]库存使用数据!$A:$L,12,0),"")</f>
        <v>0</v>
      </c>
      <c r="X50" s="23" t="str">
        <f t="shared" si="9"/>
        <v/>
      </c>
      <c r="Y50" s="23" t="str">
        <f t="shared" si="10"/>
        <v/>
      </c>
      <c r="Z50" s="23" t="str">
        <f t="shared" si="11"/>
        <v/>
      </c>
      <c r="AA50" s="23">
        <f t="shared" si="12"/>
        <v>0</v>
      </c>
      <c r="AB50">
        <f>IFERROR(VLOOKUP($A50,[5]库存使用数据!$A:$D,4,0),"")</f>
        <v>0</v>
      </c>
      <c r="AC50">
        <f>IFERROR(VLOOKUP($A50,[5]库存使用数据!$A:$G,7,0),"")</f>
        <v>0</v>
      </c>
      <c r="AD50">
        <f>IFERROR(VLOOKUP($A50,[5]库存使用数据!$A:$J,10,0),"")</f>
        <v>0</v>
      </c>
      <c r="AE50">
        <f>IFERROR(VLOOKUP($A50,[5]库存使用数据!$A:$M,13,0),"")</f>
        <v>0</v>
      </c>
      <c r="AF50" s="23" t="str">
        <f t="shared" si="13"/>
        <v/>
      </c>
      <c r="AG50" s="23" t="str">
        <f t="shared" si="14"/>
        <v/>
      </c>
      <c r="AH50" s="23" t="str">
        <f t="shared" si="15"/>
        <v/>
      </c>
      <c r="AI50" s="23" t="str">
        <f t="shared" si="16"/>
        <v/>
      </c>
      <c r="AJ50">
        <f>IFERROR(VLOOKUP($B50,[1]库存报告使用数据!$A$1:$B$65536,2,0),0)</f>
        <v>11</v>
      </c>
      <c r="AK50">
        <f>IFERROR(VLOOKUP($B50,[1]库存报告使用数据!$A$1:$C$65536,3,0),0)</f>
        <v>26</v>
      </c>
      <c r="AL50">
        <f>IFERROR(VLOOKUP($B50,[1]库存报告使用数据!$A$1:$D$65536,4,0),0)</f>
        <v>17</v>
      </c>
      <c r="AM50">
        <f>IFERROR(VLOOKUP($B50,[1]库存报告使用数据!$A$1:$E$65536,5,0),0)</f>
        <v>15</v>
      </c>
      <c r="AN50" s="23">
        <f t="shared" si="17"/>
        <v>0</v>
      </c>
      <c r="AO50" s="23">
        <f t="shared" si="18"/>
        <v>0</v>
      </c>
      <c r="AP50" s="23">
        <f t="shared" si="19"/>
        <v>0</v>
      </c>
      <c r="AQ50" s="23">
        <f t="shared" si="20"/>
        <v>0.0666666666666667</v>
      </c>
      <c r="AR50" s="38">
        <f t="shared" si="4"/>
        <v>0</v>
      </c>
      <c r="AS50" s="38">
        <f t="shared" si="5"/>
        <v>0</v>
      </c>
      <c r="AT50" s="38">
        <f t="shared" si="6"/>
        <v>7</v>
      </c>
      <c r="AU50" s="33" t="str">
        <f t="shared" si="7"/>
        <v>库存为7</v>
      </c>
      <c r="AV50" s="39" t="str">
        <f>IFERROR(时间!$B$4+AU50,"上周无销量")</f>
        <v>上周无销量</v>
      </c>
    </row>
    <row r="51" spans="1:48">
      <c r="A51" s="35" t="s">
        <v>96</v>
      </c>
      <c r="B51" t="str">
        <f>VLOOKUP(A51,'[2]sku-asin（子）'!$A:$B,2,0)</f>
        <v>B0761NM3SZ</v>
      </c>
      <c r="C51" t="str">
        <f>VLOOKUP(A51,'[2]子sku-父sku'!$A:$B,2,0)</f>
        <v>MY71107</v>
      </c>
      <c r="D51" s="33">
        <f>IFERROR(VLOOKUP(A51,[3]库存报告使用数据处理!$A:$C,3,0),0)</f>
        <v>0</v>
      </c>
      <c r="E51" s="33">
        <f>IFERROR(VLOOKUP(A51,[3]库存报告使用数据处理!$A:$D,4,0),0)</f>
        <v>0</v>
      </c>
      <c r="F51" s="33">
        <f>IFERROR(VLOOKUP(A51,[3]库存报告使用数据处理!$A:$E,5,0),0)</f>
        <v>0</v>
      </c>
      <c r="G51" s="33">
        <f>IFERROR(VLOOKUP(A51,[3]库存报告使用数据处理!$A:$F,6,0),0)</f>
        <v>0</v>
      </c>
      <c r="H51" s="34">
        <f>IFERROR(VLOOKUP(A51,[3]库存报告使用数据处理!$A:$G,7,0),0)</f>
        <v>0</v>
      </c>
      <c r="I51">
        <f>IFERROR(VLOOKUP(A51,[4]数据处理!$A:$B,2,0),0)</f>
        <v>5</v>
      </c>
      <c r="J51" s="36">
        <f>IFERROR(VLOOKUP(A51,[4]数据处理!$A:$D,4,0),0)</f>
        <v>0</v>
      </c>
      <c r="K51" s="36">
        <f>IFERROR(VLOOKUP(A51,[4]数据处理!$A:$E,5,0),0)</f>
        <v>0</v>
      </c>
      <c r="L51" s="36">
        <f>IFERROR(VLOOKUP(A51,[4]数据处理!$A:$G,7,0),0)</f>
        <v>0</v>
      </c>
      <c r="M51">
        <f t="shared" si="0"/>
        <v>5</v>
      </c>
      <c r="N51">
        <f>IFERROR(VLOOKUP(A51,[4]数据处理!$A:$C,3,0),0)</f>
        <v>0</v>
      </c>
      <c r="O51">
        <f>IFERROR(VLOOKUP($A51,[4]数据处理!$A:$N,14,0),0)</f>
        <v>5</v>
      </c>
      <c r="P51" t="str">
        <f>IFERROR(VLOOKUP($A51,[5]库存使用数据!$A:$B,2,0),"")</f>
        <v/>
      </c>
      <c r="Q51" t="str">
        <f>IFERROR(VLOOKUP($A51,[5]库存使用数据!$A:$E,5,0),"")</f>
        <v/>
      </c>
      <c r="R51" t="str">
        <f>IFERROR(VLOOKUP($A51,[5]库存使用数据!$A:$H,8,0),"")</f>
        <v/>
      </c>
      <c r="S51" t="str">
        <f>IFERROR(VLOOKUP($A51,[5]库存使用数据!$A:$K,11,0),"")</f>
        <v/>
      </c>
      <c r="T51" t="str">
        <f>IFERROR(VLOOKUP($A51,[5]库存使用数据!$A:$C,3,0),"")</f>
        <v/>
      </c>
      <c r="U51" t="str">
        <f>IFERROR(VLOOKUP($A51,[5]库存使用数据!$A:$F,6,0),"")</f>
        <v/>
      </c>
      <c r="V51" t="str">
        <f>IFERROR(VLOOKUP($A51,[5]库存使用数据!$A:$I,9,0),"")</f>
        <v/>
      </c>
      <c r="W51" t="str">
        <f>IFERROR(VLOOKUP($A51,[5]库存使用数据!$A:$L,12,0),"")</f>
        <v/>
      </c>
      <c r="X51" s="23" t="str">
        <f t="shared" si="9"/>
        <v/>
      </c>
      <c r="Y51" s="23" t="str">
        <f t="shared" si="10"/>
        <v/>
      </c>
      <c r="Z51" s="23" t="str">
        <f t="shared" si="11"/>
        <v/>
      </c>
      <c r="AA51" s="23" t="str">
        <f t="shared" si="12"/>
        <v/>
      </c>
      <c r="AB51" t="str">
        <f>IFERROR(VLOOKUP($A51,[5]库存使用数据!$A:$D,4,0),"")</f>
        <v/>
      </c>
      <c r="AC51" t="str">
        <f>IFERROR(VLOOKUP($A51,[5]库存使用数据!$A:$G,7,0),"")</f>
        <v/>
      </c>
      <c r="AD51" t="str">
        <f>IFERROR(VLOOKUP($A51,[5]库存使用数据!$A:$J,10,0),"")</f>
        <v/>
      </c>
      <c r="AE51" t="str">
        <f>IFERROR(VLOOKUP($A51,[5]库存使用数据!$A:$M,13,0),"")</f>
        <v/>
      </c>
      <c r="AF51" s="23" t="str">
        <f t="shared" si="13"/>
        <v/>
      </c>
      <c r="AG51" s="23" t="str">
        <f t="shared" si="14"/>
        <v/>
      </c>
      <c r="AH51" s="23" t="str">
        <f t="shared" si="15"/>
        <v/>
      </c>
      <c r="AI51" s="23" t="str">
        <f t="shared" si="16"/>
        <v/>
      </c>
      <c r="AJ51">
        <f>IFERROR(VLOOKUP($B51,[1]库存报告使用数据!$A$1:$B$65536,2,0),0)</f>
        <v>8</v>
      </c>
      <c r="AK51">
        <f>IFERROR(VLOOKUP($B51,[1]库存报告使用数据!$A$1:$C$65536,3,0),0)</f>
        <v>41</v>
      </c>
      <c r="AL51">
        <f>IFERROR(VLOOKUP($B51,[1]库存报告使用数据!$A$1:$D$65536,4,0),0)</f>
        <v>23</v>
      </c>
      <c r="AM51">
        <f>IFERROR(VLOOKUP($B51,[1]库存报告使用数据!$A$1:$E$65536,5,0),0)</f>
        <v>13</v>
      </c>
      <c r="AN51" s="23">
        <f t="shared" si="17"/>
        <v>0</v>
      </c>
      <c r="AO51" s="23">
        <f t="shared" si="18"/>
        <v>0</v>
      </c>
      <c r="AP51" s="23">
        <f t="shared" si="19"/>
        <v>0</v>
      </c>
      <c r="AQ51" s="23">
        <f t="shared" si="20"/>
        <v>0</v>
      </c>
      <c r="AR51" s="38">
        <f t="shared" si="4"/>
        <v>0</v>
      </c>
      <c r="AS51" s="38">
        <f t="shared" si="5"/>
        <v>0</v>
      </c>
      <c r="AT51" s="38">
        <f t="shared" si="6"/>
        <v>5</v>
      </c>
      <c r="AU51" s="33" t="str">
        <f t="shared" si="7"/>
        <v>库存为5</v>
      </c>
      <c r="AV51" s="39" t="str">
        <f>IFERROR(时间!$B$4+AU51,"上周无销量")</f>
        <v>上周无销量</v>
      </c>
    </row>
    <row r="52" spans="1:48">
      <c r="A52" s="35" t="s">
        <v>97</v>
      </c>
      <c r="B52" t="str">
        <f>VLOOKUP(A52,'[2]sku-asin（子）'!$A:$B,2,0)</f>
        <v>B0761NNM84</v>
      </c>
      <c r="C52" t="str">
        <f>VLOOKUP(A52,'[2]子sku-父sku'!$A:$B,2,0)</f>
        <v>MY71107</v>
      </c>
      <c r="D52" s="33">
        <f>IFERROR(VLOOKUP(A52,[3]库存报告使用数据处理!$A:$C,3,0),0)</f>
        <v>0</v>
      </c>
      <c r="E52" s="33">
        <f>IFERROR(VLOOKUP(A52,[3]库存报告使用数据处理!$A:$D,4,0),0)</f>
        <v>0</v>
      </c>
      <c r="F52" s="33">
        <f>IFERROR(VLOOKUP(A52,[3]库存报告使用数据处理!$A:$E,5,0),0)</f>
        <v>0</v>
      </c>
      <c r="G52" s="33">
        <f>IFERROR(VLOOKUP(A52,[3]库存报告使用数据处理!$A:$F,6,0),0)</f>
        <v>0</v>
      </c>
      <c r="H52" s="34">
        <f>IFERROR(VLOOKUP(A52,[3]库存报告使用数据处理!$A:$G,7,0),0)</f>
        <v>0</v>
      </c>
      <c r="I52">
        <f>IFERROR(VLOOKUP(A52,[4]数据处理!$A:$B,2,0),0)</f>
        <v>8</v>
      </c>
      <c r="J52" s="36">
        <f>IFERROR(VLOOKUP(A52,[4]数据处理!$A:$D,4,0),0)</f>
        <v>0</v>
      </c>
      <c r="K52" s="36">
        <f>IFERROR(VLOOKUP(A52,[4]数据处理!$A:$E,5,0),0)</f>
        <v>0</v>
      </c>
      <c r="L52" s="36">
        <f>IFERROR(VLOOKUP(A52,[4]数据处理!$A:$G,7,0),0)</f>
        <v>0</v>
      </c>
      <c r="M52">
        <f t="shared" si="0"/>
        <v>8</v>
      </c>
      <c r="N52">
        <f>IFERROR(VLOOKUP(A52,[4]数据处理!$A:$C,3,0),0)</f>
        <v>1</v>
      </c>
      <c r="O52">
        <f>IFERROR(VLOOKUP($A52,[4]数据处理!$A:$N,14,0),0)</f>
        <v>8</v>
      </c>
      <c r="P52">
        <f>IFERROR(VLOOKUP($A52,[5]库存使用数据!$A:$B,2,0),"")</f>
        <v>0</v>
      </c>
      <c r="Q52">
        <f>IFERROR(VLOOKUP($A52,[5]库存使用数据!$A:$E,5,0),"")</f>
        <v>0</v>
      </c>
      <c r="R52">
        <f>IFERROR(VLOOKUP($A52,[5]库存使用数据!$A:$H,8,0),"")</f>
        <v>0</v>
      </c>
      <c r="S52">
        <f>IFERROR(VLOOKUP($A52,[5]库存使用数据!$A:$K,11,0),"")</f>
        <v>45</v>
      </c>
      <c r="T52">
        <f>IFERROR(VLOOKUP($A52,[5]库存使用数据!$A:$C,3,0),"")</f>
        <v>0</v>
      </c>
      <c r="U52">
        <f>IFERROR(VLOOKUP($A52,[5]库存使用数据!$A:$F,6,0),"")</f>
        <v>0</v>
      </c>
      <c r="V52">
        <f>IFERROR(VLOOKUP($A52,[5]库存使用数据!$A:$I,9,0),"")</f>
        <v>0</v>
      </c>
      <c r="W52">
        <f>IFERROR(VLOOKUP($A52,[5]库存使用数据!$A:$L,12,0),"")</f>
        <v>0</v>
      </c>
      <c r="X52" s="23" t="str">
        <f t="shared" si="9"/>
        <v/>
      </c>
      <c r="Y52" s="23" t="str">
        <f t="shared" si="10"/>
        <v/>
      </c>
      <c r="Z52" s="23" t="str">
        <f t="shared" si="11"/>
        <v/>
      </c>
      <c r="AA52" s="23">
        <f t="shared" si="12"/>
        <v>0</v>
      </c>
      <c r="AB52">
        <f>IFERROR(VLOOKUP($A52,[5]库存使用数据!$A:$D,4,0),"")</f>
        <v>0</v>
      </c>
      <c r="AC52">
        <f>IFERROR(VLOOKUP($A52,[5]库存使用数据!$A:$G,7,0),"")</f>
        <v>0</v>
      </c>
      <c r="AD52">
        <f>IFERROR(VLOOKUP($A52,[5]库存使用数据!$A:$J,10,0),"")</f>
        <v>0</v>
      </c>
      <c r="AE52">
        <f>IFERROR(VLOOKUP($A52,[5]库存使用数据!$A:$M,13,0),"")</f>
        <v>0</v>
      </c>
      <c r="AF52" s="23" t="str">
        <f t="shared" si="13"/>
        <v/>
      </c>
      <c r="AG52" s="23" t="str">
        <f t="shared" si="14"/>
        <v/>
      </c>
      <c r="AH52" s="23" t="str">
        <f t="shared" si="15"/>
        <v/>
      </c>
      <c r="AI52" s="23" t="str">
        <f t="shared" si="16"/>
        <v/>
      </c>
      <c r="AJ52">
        <f>IFERROR(VLOOKUP($B52,[1]库存报告使用数据!$A$1:$B$65536,2,0),0)</f>
        <v>3</v>
      </c>
      <c r="AK52">
        <f>IFERROR(VLOOKUP($B52,[1]库存报告使用数据!$A$1:$C$65536,3,0),0)</f>
        <v>19</v>
      </c>
      <c r="AL52">
        <f>IFERROR(VLOOKUP($B52,[1]库存报告使用数据!$A$1:$D$65536,4,0),0)</f>
        <v>7</v>
      </c>
      <c r="AM52">
        <f>IFERROR(VLOOKUP($B52,[1]库存报告使用数据!$A$1:$E$65536,5,0),0)</f>
        <v>10</v>
      </c>
      <c r="AN52" s="23">
        <f t="shared" si="17"/>
        <v>0</v>
      </c>
      <c r="AO52" s="23">
        <f t="shared" si="18"/>
        <v>0</v>
      </c>
      <c r="AP52" s="23">
        <f t="shared" si="19"/>
        <v>0</v>
      </c>
      <c r="AQ52" s="23">
        <f t="shared" si="20"/>
        <v>0</v>
      </c>
      <c r="AR52" s="38">
        <f t="shared" si="4"/>
        <v>0</v>
      </c>
      <c r="AS52" s="38">
        <f t="shared" si="5"/>
        <v>0</v>
      </c>
      <c r="AT52" s="38">
        <f t="shared" si="6"/>
        <v>8</v>
      </c>
      <c r="AU52" s="33" t="str">
        <f t="shared" si="7"/>
        <v>库存为8</v>
      </c>
      <c r="AV52" s="39" t="str">
        <f>IFERROR(时间!$B$4+AU52,"上周无销量")</f>
        <v>上周无销量</v>
      </c>
    </row>
    <row r="53" spans="1:48">
      <c r="A53" s="35" t="s">
        <v>98</v>
      </c>
      <c r="B53" t="str">
        <f>VLOOKUP(A53,'[2]sku-asin（子）'!$A:$B,2,0)</f>
        <v>B0761PTZY2</v>
      </c>
      <c r="C53" t="str">
        <f>VLOOKUP(A53,'[2]子sku-父sku'!$A:$B,2,0)</f>
        <v>MY71107</v>
      </c>
      <c r="D53" s="33">
        <f>IFERROR(VLOOKUP(A53,[3]库存报告使用数据处理!$A:$C,3,0),0)</f>
        <v>0</v>
      </c>
      <c r="E53" s="33">
        <f>IFERROR(VLOOKUP(A53,[3]库存报告使用数据处理!$A:$D,4,0),0)</f>
        <v>0</v>
      </c>
      <c r="F53" s="33">
        <f>IFERROR(VLOOKUP(A53,[3]库存报告使用数据处理!$A:$E,5,0),0)</f>
        <v>0</v>
      </c>
      <c r="G53" s="33">
        <f>IFERROR(VLOOKUP(A53,[3]库存报告使用数据处理!$A:$F,6,0),0)</f>
        <v>0</v>
      </c>
      <c r="H53" s="34">
        <f>IFERROR(VLOOKUP(A53,[3]库存报告使用数据处理!$A:$G,7,0),0)</f>
        <v>0</v>
      </c>
      <c r="I53">
        <f>IFERROR(VLOOKUP(A53,[4]数据处理!$A:$B,2,0),0)</f>
        <v>10</v>
      </c>
      <c r="J53" s="36">
        <f>IFERROR(VLOOKUP(A53,[4]数据处理!$A:$D,4,0),0)</f>
        <v>0</v>
      </c>
      <c r="K53" s="36">
        <f>IFERROR(VLOOKUP(A53,[4]数据处理!$A:$E,5,0),0)</f>
        <v>0</v>
      </c>
      <c r="L53" s="36">
        <f>IFERROR(VLOOKUP(A53,[4]数据处理!$A:$G,7,0),0)</f>
        <v>0</v>
      </c>
      <c r="M53">
        <f t="shared" si="0"/>
        <v>10</v>
      </c>
      <c r="N53">
        <f>IFERROR(VLOOKUP(A53,[4]数据处理!$A:$C,3,0),0)</f>
        <v>0</v>
      </c>
      <c r="O53">
        <f>IFERROR(VLOOKUP($A53,[4]数据处理!$A:$N,14,0),0)</f>
        <v>10</v>
      </c>
      <c r="P53">
        <f>IFERROR(VLOOKUP($A53,[5]库存使用数据!$A:$B,2,0),"")</f>
        <v>0</v>
      </c>
      <c r="Q53">
        <f>IFERROR(VLOOKUP($A53,[5]库存使用数据!$A:$E,5,0),"")</f>
        <v>0</v>
      </c>
      <c r="R53">
        <f>IFERROR(VLOOKUP($A53,[5]库存使用数据!$A:$H,8,0),"")</f>
        <v>0</v>
      </c>
      <c r="S53">
        <f>IFERROR(VLOOKUP($A53,[5]库存使用数据!$A:$K,11,0),"")</f>
        <v>6</v>
      </c>
      <c r="T53">
        <f>IFERROR(VLOOKUP($A53,[5]库存使用数据!$A:$C,3,0),"")</f>
        <v>0</v>
      </c>
      <c r="U53">
        <f>IFERROR(VLOOKUP($A53,[5]库存使用数据!$A:$F,6,0),"")</f>
        <v>0</v>
      </c>
      <c r="V53">
        <f>IFERROR(VLOOKUP($A53,[5]库存使用数据!$A:$I,9,0),"")</f>
        <v>0</v>
      </c>
      <c r="W53">
        <f>IFERROR(VLOOKUP($A53,[5]库存使用数据!$A:$L,12,0),"")</f>
        <v>0</v>
      </c>
      <c r="X53" s="23" t="str">
        <f t="shared" si="9"/>
        <v/>
      </c>
      <c r="Y53" s="23" t="str">
        <f t="shared" si="10"/>
        <v/>
      </c>
      <c r="Z53" s="23" t="str">
        <f t="shared" si="11"/>
        <v/>
      </c>
      <c r="AA53" s="23">
        <f t="shared" si="12"/>
        <v>0</v>
      </c>
      <c r="AB53">
        <f>IFERROR(VLOOKUP($A53,[5]库存使用数据!$A:$D,4,0),"")</f>
        <v>0</v>
      </c>
      <c r="AC53">
        <f>IFERROR(VLOOKUP($A53,[5]库存使用数据!$A:$G,7,0),"")</f>
        <v>0</v>
      </c>
      <c r="AD53">
        <f>IFERROR(VLOOKUP($A53,[5]库存使用数据!$A:$J,10,0),"")</f>
        <v>0</v>
      </c>
      <c r="AE53">
        <f>IFERROR(VLOOKUP($A53,[5]库存使用数据!$A:$M,13,0),"")</f>
        <v>0</v>
      </c>
      <c r="AF53" s="23" t="str">
        <f t="shared" si="13"/>
        <v/>
      </c>
      <c r="AG53" s="23" t="str">
        <f t="shared" si="14"/>
        <v/>
      </c>
      <c r="AH53" s="23" t="str">
        <f t="shared" si="15"/>
        <v/>
      </c>
      <c r="AI53" s="23" t="str">
        <f t="shared" si="16"/>
        <v/>
      </c>
      <c r="AJ53">
        <f>IFERROR(VLOOKUP($B53,[1]库存报告使用数据!$A$1:$B$65536,2,0),0)</f>
        <v>4</v>
      </c>
      <c r="AK53">
        <f>IFERROR(VLOOKUP($B53,[1]库存报告使用数据!$A$1:$C$65536,3,0),0)</f>
        <v>19</v>
      </c>
      <c r="AL53">
        <f>IFERROR(VLOOKUP($B53,[1]库存报告使用数据!$A$1:$D$65536,4,0),0)</f>
        <v>8</v>
      </c>
      <c r="AM53">
        <f>IFERROR(VLOOKUP($B53,[1]库存报告使用数据!$A$1:$E$65536,5,0),0)</f>
        <v>17</v>
      </c>
      <c r="AN53" s="23">
        <f t="shared" si="17"/>
        <v>0</v>
      </c>
      <c r="AO53" s="23">
        <f t="shared" si="18"/>
        <v>0</v>
      </c>
      <c r="AP53" s="23">
        <f t="shared" si="19"/>
        <v>0</v>
      </c>
      <c r="AQ53" s="23">
        <f t="shared" si="20"/>
        <v>0</v>
      </c>
      <c r="AR53" s="38">
        <f t="shared" si="4"/>
        <v>0</v>
      </c>
      <c r="AS53" s="38">
        <f t="shared" si="5"/>
        <v>0</v>
      </c>
      <c r="AT53" s="38">
        <f t="shared" si="6"/>
        <v>10</v>
      </c>
      <c r="AU53" s="33" t="str">
        <f t="shared" si="7"/>
        <v>库存为10</v>
      </c>
      <c r="AV53" s="39" t="str">
        <f>IFERROR(时间!$B$4+AU53,"上周无销量")</f>
        <v>上周无销量</v>
      </c>
    </row>
    <row r="54" spans="1:48">
      <c r="A54" s="35" t="s">
        <v>99</v>
      </c>
      <c r="B54" t="str">
        <f>VLOOKUP(A54,'[2]sku-asin（子）'!$A:$B,2,0)</f>
        <v>B0761NJH9L</v>
      </c>
      <c r="C54" t="str">
        <f>VLOOKUP(A54,'[2]子sku-父sku'!$A:$B,2,0)</f>
        <v>MY71107</v>
      </c>
      <c r="D54" s="33">
        <f>IFERROR(VLOOKUP(A54,[3]库存报告使用数据处理!$A:$C,3,0),0)</f>
        <v>0</v>
      </c>
      <c r="E54" s="33">
        <f>IFERROR(VLOOKUP(A54,[3]库存报告使用数据处理!$A:$D,4,0),0)</f>
        <v>0</v>
      </c>
      <c r="F54" s="33">
        <f>IFERROR(VLOOKUP(A54,[3]库存报告使用数据处理!$A:$E,5,0),0)</f>
        <v>0</v>
      </c>
      <c r="G54" s="33">
        <f>IFERROR(VLOOKUP(A54,[3]库存报告使用数据处理!$A:$F,6,0),0)</f>
        <v>0</v>
      </c>
      <c r="H54" s="34">
        <f>IFERROR(VLOOKUP(A54,[3]库存报告使用数据处理!$A:$G,7,0),0)</f>
        <v>0</v>
      </c>
      <c r="I54">
        <f>IFERROR(VLOOKUP(A54,[4]数据处理!$A:$B,2,0),0)</f>
        <v>0</v>
      </c>
      <c r="J54" s="36">
        <f>IFERROR(VLOOKUP(A54,[4]数据处理!$A:$D,4,0),0)</f>
        <v>0</v>
      </c>
      <c r="K54" s="36">
        <f>IFERROR(VLOOKUP(A54,[4]数据处理!$A:$E,5,0),0)</f>
        <v>0</v>
      </c>
      <c r="L54" s="36">
        <f>IFERROR(VLOOKUP(A54,[4]数据处理!$A:$G,7,0),0)</f>
        <v>0</v>
      </c>
      <c r="M54">
        <f t="shared" si="0"/>
        <v>0</v>
      </c>
      <c r="N54">
        <f>IFERROR(VLOOKUP(A54,[4]数据处理!$A:$C,3,0),0)</f>
        <v>1</v>
      </c>
      <c r="O54">
        <f>IFERROR(VLOOKUP($A54,[4]数据处理!$A:$N,14,0),0)</f>
        <v>0</v>
      </c>
      <c r="P54" t="str">
        <f>IFERROR(VLOOKUP($A54,[5]库存使用数据!$A:$B,2,0),"")</f>
        <v/>
      </c>
      <c r="Q54" t="str">
        <f>IFERROR(VLOOKUP($A54,[5]库存使用数据!$A:$E,5,0),"")</f>
        <v/>
      </c>
      <c r="R54" t="str">
        <f>IFERROR(VLOOKUP($A54,[5]库存使用数据!$A:$H,8,0),"")</f>
        <v/>
      </c>
      <c r="S54" t="str">
        <f>IFERROR(VLOOKUP($A54,[5]库存使用数据!$A:$K,11,0),"")</f>
        <v/>
      </c>
      <c r="T54" t="str">
        <f>IFERROR(VLOOKUP($A54,[5]库存使用数据!$A:$C,3,0),"")</f>
        <v/>
      </c>
      <c r="U54" t="str">
        <f>IFERROR(VLOOKUP($A54,[5]库存使用数据!$A:$F,6,0),"")</f>
        <v/>
      </c>
      <c r="V54" t="str">
        <f>IFERROR(VLOOKUP($A54,[5]库存使用数据!$A:$I,9,0),"")</f>
        <v/>
      </c>
      <c r="W54" t="str">
        <f>IFERROR(VLOOKUP($A54,[5]库存使用数据!$A:$L,12,0),"")</f>
        <v/>
      </c>
      <c r="X54" s="23" t="str">
        <f t="shared" si="9"/>
        <v/>
      </c>
      <c r="Y54" s="23" t="str">
        <f t="shared" si="10"/>
        <v/>
      </c>
      <c r="Z54" s="23" t="str">
        <f t="shared" si="11"/>
        <v/>
      </c>
      <c r="AA54" s="23" t="str">
        <f t="shared" si="12"/>
        <v/>
      </c>
      <c r="AB54" t="str">
        <f>IFERROR(VLOOKUP($A54,[5]库存使用数据!$A:$D,4,0),"")</f>
        <v/>
      </c>
      <c r="AC54" t="str">
        <f>IFERROR(VLOOKUP($A54,[5]库存使用数据!$A:$G,7,0),"")</f>
        <v/>
      </c>
      <c r="AD54" t="str">
        <f>IFERROR(VLOOKUP($A54,[5]库存使用数据!$A:$J,10,0),"")</f>
        <v/>
      </c>
      <c r="AE54" t="str">
        <f>IFERROR(VLOOKUP($A54,[5]库存使用数据!$A:$M,13,0),"")</f>
        <v/>
      </c>
      <c r="AF54" s="23" t="str">
        <f t="shared" si="13"/>
        <v/>
      </c>
      <c r="AG54" s="23" t="str">
        <f t="shared" si="14"/>
        <v/>
      </c>
      <c r="AH54" s="23" t="str">
        <f t="shared" si="15"/>
        <v/>
      </c>
      <c r="AI54" s="23" t="str">
        <f t="shared" si="16"/>
        <v/>
      </c>
      <c r="AJ54">
        <f>IFERROR(VLOOKUP($B54,[1]库存报告使用数据!$A$1:$B$65536,2,0),0)</f>
        <v>0</v>
      </c>
      <c r="AK54">
        <f>IFERROR(VLOOKUP($B54,[1]库存报告使用数据!$A$1:$C$65536,3,0),0)</f>
        <v>0</v>
      </c>
      <c r="AL54">
        <f>IFERROR(VLOOKUP($B54,[1]库存报告使用数据!$A$1:$D$65536,4,0),0)</f>
        <v>0</v>
      </c>
      <c r="AM54">
        <f>IFERROR(VLOOKUP($B54,[1]库存报告使用数据!$A$1:$E$65536,5,0),0)</f>
        <v>0</v>
      </c>
      <c r="AN54" s="23" t="str">
        <f t="shared" si="17"/>
        <v/>
      </c>
      <c r="AO54" s="23" t="str">
        <f t="shared" si="18"/>
        <v/>
      </c>
      <c r="AP54" s="23" t="str">
        <f t="shared" si="19"/>
        <v/>
      </c>
      <c r="AQ54" s="23" t="str">
        <f t="shared" si="20"/>
        <v/>
      </c>
      <c r="AR54" s="38">
        <f t="shared" si="4"/>
        <v>0</v>
      </c>
      <c r="AS54" s="38">
        <f t="shared" si="5"/>
        <v>0</v>
      </c>
      <c r="AT54" s="38">
        <f t="shared" si="6"/>
        <v>0</v>
      </c>
      <c r="AU54" s="33" t="str">
        <f t="shared" si="7"/>
        <v>库存为0</v>
      </c>
      <c r="AV54" s="39" t="str">
        <f>IFERROR(时间!$B$4+AU54,"上周无销量")</f>
        <v>上周无销量</v>
      </c>
    </row>
    <row r="55" spans="1:48">
      <c r="A55" s="35" t="s">
        <v>100</v>
      </c>
      <c r="B55" t="str">
        <f>VLOOKUP(A55,'[2]sku-asin（子）'!$A:$B,2,0)</f>
        <v>B0761P4LK2</v>
      </c>
      <c r="C55" t="str">
        <f>VLOOKUP(A55,'[2]子sku-父sku'!$A:$B,2,0)</f>
        <v>MY71107</v>
      </c>
      <c r="D55" s="33">
        <f>IFERROR(VLOOKUP(A55,[3]库存报告使用数据处理!$A:$C,3,0),0)</f>
        <v>0</v>
      </c>
      <c r="E55" s="33">
        <f>IFERROR(VLOOKUP(A55,[3]库存报告使用数据处理!$A:$D,4,0),0)</f>
        <v>0</v>
      </c>
      <c r="F55" s="33">
        <f>IFERROR(VLOOKUP(A55,[3]库存报告使用数据处理!$A:$E,5,0),0)</f>
        <v>0</v>
      </c>
      <c r="G55" s="33">
        <f>IFERROR(VLOOKUP(A55,[3]库存报告使用数据处理!$A:$F,6,0),0)</f>
        <v>0</v>
      </c>
      <c r="H55" s="34">
        <f>IFERROR(VLOOKUP(A55,[3]库存报告使用数据处理!$A:$G,7,0),0)</f>
        <v>0</v>
      </c>
      <c r="I55">
        <f>IFERROR(VLOOKUP(A55,[4]数据处理!$A:$B,2,0),0)</f>
        <v>1</v>
      </c>
      <c r="J55" s="36">
        <f>IFERROR(VLOOKUP(A55,[4]数据处理!$A:$D,4,0),0)</f>
        <v>0</v>
      </c>
      <c r="K55" s="36">
        <f>IFERROR(VLOOKUP(A55,[4]数据处理!$A:$E,5,0),0)</f>
        <v>0</v>
      </c>
      <c r="L55" s="36">
        <f>IFERROR(VLOOKUP(A55,[4]数据处理!$A:$G,7,0),0)</f>
        <v>0</v>
      </c>
      <c r="M55">
        <f t="shared" si="0"/>
        <v>1</v>
      </c>
      <c r="N55">
        <f>IFERROR(VLOOKUP(A55,[4]数据处理!$A:$C,3,0),0)</f>
        <v>0</v>
      </c>
      <c r="O55">
        <f>IFERROR(VLOOKUP($A55,[4]数据处理!$A:$N,14,0),0)</f>
        <v>0</v>
      </c>
      <c r="P55">
        <f>IFERROR(VLOOKUP($A55,[5]库存使用数据!$A:$B,2,0),"")</f>
        <v>0</v>
      </c>
      <c r="Q55">
        <f>IFERROR(VLOOKUP($A55,[5]库存使用数据!$A:$E,5,0),"")</f>
        <v>0</v>
      </c>
      <c r="R55">
        <f>IFERROR(VLOOKUP($A55,[5]库存使用数据!$A:$H,8,0),"")</f>
        <v>0</v>
      </c>
      <c r="S55">
        <f>IFERROR(VLOOKUP($A55,[5]库存使用数据!$A:$K,11,0),"")</f>
        <v>253</v>
      </c>
      <c r="T55">
        <f>IFERROR(VLOOKUP($A55,[5]库存使用数据!$A:$C,3,0),"")</f>
        <v>0</v>
      </c>
      <c r="U55">
        <f>IFERROR(VLOOKUP($A55,[5]库存使用数据!$A:$F,6,0),"")</f>
        <v>0</v>
      </c>
      <c r="V55">
        <f>IFERROR(VLOOKUP($A55,[5]库存使用数据!$A:$I,9,0),"")</f>
        <v>0</v>
      </c>
      <c r="W55">
        <f>IFERROR(VLOOKUP($A55,[5]库存使用数据!$A:$L,12,0),"")</f>
        <v>1</v>
      </c>
      <c r="X55" s="23" t="str">
        <f t="shared" si="9"/>
        <v/>
      </c>
      <c r="Y55" s="23" t="str">
        <f t="shared" si="10"/>
        <v/>
      </c>
      <c r="Z55" s="23" t="str">
        <f t="shared" si="11"/>
        <v/>
      </c>
      <c r="AA55" s="23">
        <f t="shared" si="12"/>
        <v>0.00395256916996047</v>
      </c>
      <c r="AB55">
        <f>IFERROR(VLOOKUP($A55,[5]库存使用数据!$A:$D,4,0),"")</f>
        <v>0</v>
      </c>
      <c r="AC55">
        <f>IFERROR(VLOOKUP($A55,[5]库存使用数据!$A:$G,7,0),"")</f>
        <v>0</v>
      </c>
      <c r="AD55">
        <f>IFERROR(VLOOKUP($A55,[5]库存使用数据!$A:$J,10,0),"")</f>
        <v>0</v>
      </c>
      <c r="AE55">
        <f>IFERROR(VLOOKUP($A55,[5]库存使用数据!$A:$M,13,0),"")</f>
        <v>0.33</v>
      </c>
      <c r="AF55" s="23" t="str">
        <f t="shared" si="13"/>
        <v/>
      </c>
      <c r="AG55" s="23" t="str">
        <f t="shared" si="14"/>
        <v/>
      </c>
      <c r="AH55" s="23" t="str">
        <f t="shared" si="15"/>
        <v/>
      </c>
      <c r="AI55" s="23" t="str">
        <f t="shared" si="16"/>
        <v>无销量广告费为0.33</v>
      </c>
      <c r="AJ55">
        <f>IFERROR(VLOOKUP($B55,[1]库存报告使用数据!$A$1:$B$65536,2,0),0)</f>
        <v>6</v>
      </c>
      <c r="AK55">
        <f>IFERROR(VLOOKUP($B55,[1]库存报告使用数据!$A$1:$C$65536,3,0),0)</f>
        <v>34</v>
      </c>
      <c r="AL55">
        <f>IFERROR(VLOOKUP($B55,[1]库存报告使用数据!$A$1:$D$65536,4,0),0)</f>
        <v>15</v>
      </c>
      <c r="AM55">
        <f>IFERROR(VLOOKUP($B55,[1]库存报告使用数据!$A$1:$E$65536,5,0),0)</f>
        <v>20</v>
      </c>
      <c r="AN55" s="23">
        <f t="shared" si="17"/>
        <v>0</v>
      </c>
      <c r="AO55" s="23">
        <f t="shared" si="18"/>
        <v>0</v>
      </c>
      <c r="AP55" s="23">
        <f t="shared" si="19"/>
        <v>0</v>
      </c>
      <c r="AQ55" s="23">
        <f t="shared" si="20"/>
        <v>0</v>
      </c>
      <c r="AR55" s="38">
        <f t="shared" si="4"/>
        <v>0</v>
      </c>
      <c r="AS55" s="38">
        <f t="shared" si="5"/>
        <v>0</v>
      </c>
      <c r="AT55" s="38">
        <f t="shared" si="6"/>
        <v>1</v>
      </c>
      <c r="AU55" s="33" t="str">
        <f t="shared" si="7"/>
        <v>库存为1</v>
      </c>
      <c r="AV55" s="39" t="str">
        <f>IFERROR(时间!$B$4+AU55,"上周无销量")</f>
        <v>上周无销量</v>
      </c>
    </row>
    <row r="56" spans="1:48">
      <c r="A56" s="35" t="s">
        <v>101</v>
      </c>
      <c r="B56" t="str">
        <f>VLOOKUP(A56,'[2]sku-asin（子）'!$A:$B,2,0)</f>
        <v>B0761N286T</v>
      </c>
      <c r="C56" t="str">
        <f>VLOOKUP(A56,'[2]子sku-父sku'!$A:$B,2,0)</f>
        <v>MY71107</v>
      </c>
      <c r="D56" s="33">
        <f>IFERROR(VLOOKUP(A56,[3]库存报告使用数据处理!$A:$C,3,0),0)</f>
        <v>0</v>
      </c>
      <c r="E56" s="33">
        <f>IFERROR(VLOOKUP(A56,[3]库存报告使用数据处理!$A:$D,4,0),0)</f>
        <v>0</v>
      </c>
      <c r="F56" s="33">
        <f>IFERROR(VLOOKUP(A56,[3]库存报告使用数据处理!$A:$E,5,0),0)</f>
        <v>0</v>
      </c>
      <c r="G56" s="33">
        <f>IFERROR(VLOOKUP(A56,[3]库存报告使用数据处理!$A:$F,6,0),0)</f>
        <v>0</v>
      </c>
      <c r="H56" s="34">
        <f>IFERROR(VLOOKUP(A56,[3]库存报告使用数据处理!$A:$G,7,0),0)</f>
        <v>0</v>
      </c>
      <c r="I56">
        <f>IFERROR(VLOOKUP(A56,[4]数据处理!$A:$B,2,0),0)</f>
        <v>2</v>
      </c>
      <c r="J56" s="36">
        <f>IFERROR(VLOOKUP(A56,[4]数据处理!$A:$D,4,0),0)</f>
        <v>0</v>
      </c>
      <c r="K56" s="36">
        <f>IFERROR(VLOOKUP(A56,[4]数据处理!$A:$E,5,0),0)</f>
        <v>0</v>
      </c>
      <c r="L56" s="36">
        <f>IFERROR(VLOOKUP(A56,[4]数据处理!$A:$G,7,0),0)</f>
        <v>0</v>
      </c>
      <c r="M56">
        <f t="shared" si="0"/>
        <v>2</v>
      </c>
      <c r="N56">
        <f>IFERROR(VLOOKUP(A56,[4]数据处理!$A:$C,3,0),0)</f>
        <v>0</v>
      </c>
      <c r="O56">
        <f>IFERROR(VLOOKUP($A56,[4]数据处理!$A:$N,14,0),0)</f>
        <v>2</v>
      </c>
      <c r="P56">
        <f>IFERROR(VLOOKUP($A56,[5]库存使用数据!$A:$B,2,0),"")</f>
        <v>0</v>
      </c>
      <c r="Q56">
        <f>IFERROR(VLOOKUP($A56,[5]库存使用数据!$A:$E,5,0),"")</f>
        <v>0</v>
      </c>
      <c r="R56">
        <f>IFERROR(VLOOKUP($A56,[5]库存使用数据!$A:$H,8,0),"")</f>
        <v>0</v>
      </c>
      <c r="S56">
        <f>IFERROR(VLOOKUP($A56,[5]库存使用数据!$A:$K,11,0),"")</f>
        <v>10</v>
      </c>
      <c r="T56">
        <f>IFERROR(VLOOKUP($A56,[5]库存使用数据!$A:$C,3,0),"")</f>
        <v>0</v>
      </c>
      <c r="U56">
        <f>IFERROR(VLOOKUP($A56,[5]库存使用数据!$A:$F,6,0),"")</f>
        <v>0</v>
      </c>
      <c r="V56">
        <f>IFERROR(VLOOKUP($A56,[5]库存使用数据!$A:$I,9,0),"")</f>
        <v>0</v>
      </c>
      <c r="W56">
        <f>IFERROR(VLOOKUP($A56,[5]库存使用数据!$A:$L,12,0),"")</f>
        <v>0</v>
      </c>
      <c r="X56" s="23" t="str">
        <f t="shared" si="9"/>
        <v/>
      </c>
      <c r="Y56" s="23" t="str">
        <f t="shared" si="10"/>
        <v/>
      </c>
      <c r="Z56" s="23" t="str">
        <f t="shared" si="11"/>
        <v/>
      </c>
      <c r="AA56" s="23">
        <f t="shared" si="12"/>
        <v>0</v>
      </c>
      <c r="AB56">
        <f>IFERROR(VLOOKUP($A56,[5]库存使用数据!$A:$D,4,0),"")</f>
        <v>0</v>
      </c>
      <c r="AC56">
        <f>IFERROR(VLOOKUP($A56,[5]库存使用数据!$A:$G,7,0),"")</f>
        <v>0</v>
      </c>
      <c r="AD56">
        <f>IFERROR(VLOOKUP($A56,[5]库存使用数据!$A:$J,10,0),"")</f>
        <v>0</v>
      </c>
      <c r="AE56">
        <f>IFERROR(VLOOKUP($A56,[5]库存使用数据!$A:$M,13,0),"")</f>
        <v>0</v>
      </c>
      <c r="AF56" s="23" t="str">
        <f t="shared" si="13"/>
        <v/>
      </c>
      <c r="AG56" s="23" t="str">
        <f t="shared" si="14"/>
        <v/>
      </c>
      <c r="AH56" s="23" t="str">
        <f t="shared" si="15"/>
        <v/>
      </c>
      <c r="AI56" s="23" t="str">
        <f t="shared" si="16"/>
        <v/>
      </c>
      <c r="AJ56">
        <f>IFERROR(VLOOKUP($B56,[1]库存报告使用数据!$A$1:$B$65536,2,0),0)</f>
        <v>3</v>
      </c>
      <c r="AK56">
        <f>IFERROR(VLOOKUP($B56,[1]库存报告使用数据!$A$1:$C$65536,3,0),0)</f>
        <v>15</v>
      </c>
      <c r="AL56">
        <f>IFERROR(VLOOKUP($B56,[1]库存报告使用数据!$A$1:$D$65536,4,0),0)</f>
        <v>16</v>
      </c>
      <c r="AM56">
        <f>IFERROR(VLOOKUP($B56,[1]库存报告使用数据!$A$1:$E$65536,5,0),0)</f>
        <v>8</v>
      </c>
      <c r="AN56" s="23">
        <f t="shared" si="17"/>
        <v>0</v>
      </c>
      <c r="AO56" s="23">
        <f t="shared" si="18"/>
        <v>0</v>
      </c>
      <c r="AP56" s="23">
        <f t="shared" si="19"/>
        <v>0</v>
      </c>
      <c r="AQ56" s="23">
        <f t="shared" si="20"/>
        <v>0</v>
      </c>
      <c r="AR56" s="38">
        <f t="shared" si="4"/>
        <v>0</v>
      </c>
      <c r="AS56" s="38">
        <f t="shared" si="5"/>
        <v>0</v>
      </c>
      <c r="AT56" s="38">
        <f t="shared" si="6"/>
        <v>2</v>
      </c>
      <c r="AU56" s="33" t="str">
        <f t="shared" si="7"/>
        <v>库存为2</v>
      </c>
      <c r="AV56" s="39" t="str">
        <f>IFERROR(时间!$B$4+AU56,"上周无销量")</f>
        <v>上周无销量</v>
      </c>
    </row>
    <row r="57" spans="1:48">
      <c r="A57" s="35" t="s">
        <v>102</v>
      </c>
      <c r="B57" t="str">
        <f>VLOOKUP(A57,'[2]sku-asin（子）'!$A:$B,2,0)</f>
        <v>B0761NG4W8</v>
      </c>
      <c r="C57" t="str">
        <f>VLOOKUP(A57,'[2]子sku-父sku'!$A:$B,2,0)</f>
        <v>MY71107</v>
      </c>
      <c r="D57" s="33">
        <f>IFERROR(VLOOKUP(A57,[3]库存报告使用数据处理!$A:$C,3,0),0)</f>
        <v>0</v>
      </c>
      <c r="E57" s="33">
        <f>IFERROR(VLOOKUP(A57,[3]库存报告使用数据处理!$A:$D,4,0),0)</f>
        <v>0</v>
      </c>
      <c r="F57" s="33">
        <f>IFERROR(VLOOKUP(A57,[3]库存报告使用数据处理!$A:$E,5,0),0)</f>
        <v>0</v>
      </c>
      <c r="G57" s="33">
        <f>IFERROR(VLOOKUP(A57,[3]库存报告使用数据处理!$A:$F,6,0),0)</f>
        <v>0</v>
      </c>
      <c r="H57" s="34">
        <f>IFERROR(VLOOKUP(A57,[3]库存报告使用数据处理!$A:$G,7,0),0)</f>
        <v>0</v>
      </c>
      <c r="I57">
        <f>IFERROR(VLOOKUP(A57,[4]数据处理!$A:$B,2,0),0)</f>
        <v>0</v>
      </c>
      <c r="J57" s="36">
        <f>IFERROR(VLOOKUP(A57,[4]数据处理!$A:$D,4,0),0)</f>
        <v>0</v>
      </c>
      <c r="K57" s="36">
        <f>IFERROR(VLOOKUP(A57,[4]数据处理!$A:$E,5,0),0)</f>
        <v>0</v>
      </c>
      <c r="L57" s="36">
        <f>IFERROR(VLOOKUP(A57,[4]数据处理!$A:$G,7,0),0)</f>
        <v>0</v>
      </c>
      <c r="M57">
        <f t="shared" si="0"/>
        <v>0</v>
      </c>
      <c r="N57">
        <f>IFERROR(VLOOKUP(A57,[4]数据处理!$A:$C,3,0),0)</f>
        <v>1</v>
      </c>
      <c r="O57">
        <f>IFERROR(VLOOKUP($A57,[4]数据处理!$A:$N,14,0),0)</f>
        <v>0</v>
      </c>
      <c r="P57" t="str">
        <f>IFERROR(VLOOKUP($A57,[5]库存使用数据!$A:$B,2,0),"")</f>
        <v/>
      </c>
      <c r="Q57" t="str">
        <f>IFERROR(VLOOKUP($A57,[5]库存使用数据!$A:$E,5,0),"")</f>
        <v/>
      </c>
      <c r="R57" t="str">
        <f>IFERROR(VLOOKUP($A57,[5]库存使用数据!$A:$H,8,0),"")</f>
        <v/>
      </c>
      <c r="S57" t="str">
        <f>IFERROR(VLOOKUP($A57,[5]库存使用数据!$A:$K,11,0),"")</f>
        <v/>
      </c>
      <c r="T57" t="str">
        <f>IFERROR(VLOOKUP($A57,[5]库存使用数据!$A:$C,3,0),"")</f>
        <v/>
      </c>
      <c r="U57" t="str">
        <f>IFERROR(VLOOKUP($A57,[5]库存使用数据!$A:$F,6,0),"")</f>
        <v/>
      </c>
      <c r="V57" t="str">
        <f>IFERROR(VLOOKUP($A57,[5]库存使用数据!$A:$I,9,0),"")</f>
        <v/>
      </c>
      <c r="W57" t="str">
        <f>IFERROR(VLOOKUP($A57,[5]库存使用数据!$A:$L,12,0),"")</f>
        <v/>
      </c>
      <c r="X57" s="23" t="str">
        <f t="shared" si="9"/>
        <v/>
      </c>
      <c r="Y57" s="23" t="str">
        <f t="shared" si="10"/>
        <v/>
      </c>
      <c r="Z57" s="23" t="str">
        <f t="shared" si="11"/>
        <v/>
      </c>
      <c r="AA57" s="23" t="str">
        <f t="shared" si="12"/>
        <v/>
      </c>
      <c r="AB57" t="str">
        <f>IFERROR(VLOOKUP($A57,[5]库存使用数据!$A:$D,4,0),"")</f>
        <v/>
      </c>
      <c r="AC57" t="str">
        <f>IFERROR(VLOOKUP($A57,[5]库存使用数据!$A:$G,7,0),"")</f>
        <v/>
      </c>
      <c r="AD57" t="str">
        <f>IFERROR(VLOOKUP($A57,[5]库存使用数据!$A:$J,10,0),"")</f>
        <v/>
      </c>
      <c r="AE57" t="str">
        <f>IFERROR(VLOOKUP($A57,[5]库存使用数据!$A:$M,13,0),"")</f>
        <v/>
      </c>
      <c r="AF57" s="23" t="str">
        <f t="shared" si="13"/>
        <v/>
      </c>
      <c r="AG57" s="23" t="str">
        <f t="shared" si="14"/>
        <v/>
      </c>
      <c r="AH57" s="23" t="str">
        <f t="shared" si="15"/>
        <v/>
      </c>
      <c r="AI57" s="23" t="str">
        <f t="shared" si="16"/>
        <v/>
      </c>
      <c r="AJ57">
        <f>IFERROR(VLOOKUP($B57,[1]库存报告使用数据!$A$1:$B$65536,2,0),0)</f>
        <v>0</v>
      </c>
      <c r="AK57">
        <f>IFERROR(VLOOKUP($B57,[1]库存报告使用数据!$A$1:$C$65536,3,0),0)</f>
        <v>0</v>
      </c>
      <c r="AL57">
        <f>IFERROR(VLOOKUP($B57,[1]库存报告使用数据!$A$1:$D$65536,4,0),0)</f>
        <v>0</v>
      </c>
      <c r="AM57">
        <f>IFERROR(VLOOKUP($B57,[1]库存报告使用数据!$A$1:$E$65536,5,0),0)</f>
        <v>0</v>
      </c>
      <c r="AN57" s="23" t="str">
        <f t="shared" si="17"/>
        <v/>
      </c>
      <c r="AO57" s="23" t="str">
        <f t="shared" si="18"/>
        <v/>
      </c>
      <c r="AP57" s="23" t="str">
        <f t="shared" si="19"/>
        <v/>
      </c>
      <c r="AQ57" s="23" t="str">
        <f t="shared" si="20"/>
        <v/>
      </c>
      <c r="AR57" s="38">
        <f t="shared" si="4"/>
        <v>0</v>
      </c>
      <c r="AS57" s="38">
        <f t="shared" si="5"/>
        <v>0</v>
      </c>
      <c r="AT57" s="38">
        <f t="shared" si="6"/>
        <v>0</v>
      </c>
      <c r="AU57" s="33" t="str">
        <f t="shared" si="7"/>
        <v>库存为0</v>
      </c>
      <c r="AV57" s="39" t="str">
        <f>IFERROR(时间!$B$4+AU57,"上周无销量")</f>
        <v>上周无销量</v>
      </c>
    </row>
    <row r="58" spans="1:48">
      <c r="A58" s="35" t="s">
        <v>103</v>
      </c>
      <c r="B58" t="str">
        <f>VLOOKUP(A58,'[2]sku-asin（子）'!$A:$B,2,0)</f>
        <v>B0761PV7ZS</v>
      </c>
      <c r="C58" t="str">
        <f>VLOOKUP(A58,'[2]子sku-父sku'!$A:$B,2,0)</f>
        <v>MY71107</v>
      </c>
      <c r="D58" s="33">
        <f>IFERROR(VLOOKUP(A58,[3]库存报告使用数据处理!$A:$C,3,0),0)</f>
        <v>0</v>
      </c>
      <c r="E58" s="33">
        <f>IFERROR(VLOOKUP(A58,[3]库存报告使用数据处理!$A:$D,4,0),0)</f>
        <v>0</v>
      </c>
      <c r="F58" s="33">
        <f>IFERROR(VLOOKUP(A58,[3]库存报告使用数据处理!$A:$E,5,0),0)</f>
        <v>0</v>
      </c>
      <c r="G58" s="33">
        <f>IFERROR(VLOOKUP(A58,[3]库存报告使用数据处理!$A:$F,6,0),0)</f>
        <v>0</v>
      </c>
      <c r="H58" s="34">
        <f>IFERROR(VLOOKUP(A58,[3]库存报告使用数据处理!$A:$G,7,0),0)</f>
        <v>0</v>
      </c>
      <c r="I58">
        <f>IFERROR(VLOOKUP(A58,[4]数据处理!$A:$B,2,0),0)</f>
        <v>0</v>
      </c>
      <c r="J58" s="36">
        <f>IFERROR(VLOOKUP(A58,[4]数据处理!$A:$D,4,0),0)</f>
        <v>0</v>
      </c>
      <c r="K58" s="36">
        <f>IFERROR(VLOOKUP(A58,[4]数据处理!$A:$E,5,0),0)</f>
        <v>0</v>
      </c>
      <c r="L58" s="36">
        <f>IFERROR(VLOOKUP(A58,[4]数据处理!$A:$G,7,0),0)</f>
        <v>0</v>
      </c>
      <c r="M58">
        <f t="shared" si="0"/>
        <v>0</v>
      </c>
      <c r="N58">
        <f>IFERROR(VLOOKUP(A58,[4]数据处理!$A:$C,3,0),0)</f>
        <v>0</v>
      </c>
      <c r="O58">
        <f>IFERROR(VLOOKUP($A58,[4]数据处理!$A:$N,14,0),0)</f>
        <v>0</v>
      </c>
      <c r="P58" t="str">
        <f>IFERROR(VLOOKUP($A58,[5]库存使用数据!$A:$B,2,0),"")</f>
        <v/>
      </c>
      <c r="Q58" t="str">
        <f>IFERROR(VLOOKUP($A58,[5]库存使用数据!$A:$E,5,0),"")</f>
        <v/>
      </c>
      <c r="R58" t="str">
        <f>IFERROR(VLOOKUP($A58,[5]库存使用数据!$A:$H,8,0),"")</f>
        <v/>
      </c>
      <c r="S58" t="str">
        <f>IFERROR(VLOOKUP($A58,[5]库存使用数据!$A:$K,11,0),"")</f>
        <v/>
      </c>
      <c r="T58" t="str">
        <f>IFERROR(VLOOKUP($A58,[5]库存使用数据!$A:$C,3,0),"")</f>
        <v/>
      </c>
      <c r="U58" t="str">
        <f>IFERROR(VLOOKUP($A58,[5]库存使用数据!$A:$F,6,0),"")</f>
        <v/>
      </c>
      <c r="V58" t="str">
        <f>IFERROR(VLOOKUP($A58,[5]库存使用数据!$A:$I,9,0),"")</f>
        <v/>
      </c>
      <c r="W58" t="str">
        <f>IFERROR(VLOOKUP($A58,[5]库存使用数据!$A:$L,12,0),"")</f>
        <v/>
      </c>
      <c r="X58" s="23" t="str">
        <f t="shared" si="9"/>
        <v/>
      </c>
      <c r="Y58" s="23" t="str">
        <f t="shared" si="10"/>
        <v/>
      </c>
      <c r="Z58" s="23" t="str">
        <f t="shared" si="11"/>
        <v/>
      </c>
      <c r="AA58" s="23" t="str">
        <f t="shared" si="12"/>
        <v/>
      </c>
      <c r="AB58" t="str">
        <f>IFERROR(VLOOKUP($A58,[5]库存使用数据!$A:$D,4,0),"")</f>
        <v/>
      </c>
      <c r="AC58" t="str">
        <f>IFERROR(VLOOKUP($A58,[5]库存使用数据!$A:$G,7,0),"")</f>
        <v/>
      </c>
      <c r="AD58" t="str">
        <f>IFERROR(VLOOKUP($A58,[5]库存使用数据!$A:$J,10,0),"")</f>
        <v/>
      </c>
      <c r="AE58" t="str">
        <f>IFERROR(VLOOKUP($A58,[5]库存使用数据!$A:$M,13,0),"")</f>
        <v/>
      </c>
      <c r="AF58" s="23" t="str">
        <f t="shared" si="13"/>
        <v/>
      </c>
      <c r="AG58" s="23" t="str">
        <f t="shared" si="14"/>
        <v/>
      </c>
      <c r="AH58" s="23" t="str">
        <f t="shared" si="15"/>
        <v/>
      </c>
      <c r="AI58" s="23" t="str">
        <f t="shared" si="16"/>
        <v/>
      </c>
      <c r="AJ58">
        <f>IFERROR(VLOOKUP($B58,[1]库存报告使用数据!$A$1:$B$65536,2,0),0)</f>
        <v>0</v>
      </c>
      <c r="AK58">
        <f>IFERROR(VLOOKUP($B58,[1]库存报告使用数据!$A$1:$C$65536,3,0),0)</f>
        <v>0</v>
      </c>
      <c r="AL58">
        <f>IFERROR(VLOOKUP($B58,[1]库存报告使用数据!$A$1:$D$65536,4,0),0)</f>
        <v>0</v>
      </c>
      <c r="AM58">
        <f>IFERROR(VLOOKUP($B58,[1]库存报告使用数据!$A$1:$E$65536,5,0),0)</f>
        <v>0</v>
      </c>
      <c r="AN58" s="23" t="str">
        <f t="shared" si="17"/>
        <v/>
      </c>
      <c r="AO58" s="23" t="str">
        <f t="shared" si="18"/>
        <v/>
      </c>
      <c r="AP58" s="23" t="str">
        <f t="shared" si="19"/>
        <v/>
      </c>
      <c r="AQ58" s="23" t="str">
        <f t="shared" si="20"/>
        <v/>
      </c>
      <c r="AR58" s="38">
        <f t="shared" si="4"/>
        <v>0</v>
      </c>
      <c r="AS58" s="38">
        <f t="shared" si="5"/>
        <v>0</v>
      </c>
      <c r="AT58" s="38">
        <f t="shared" si="6"/>
        <v>0</v>
      </c>
      <c r="AU58" s="33" t="str">
        <f t="shared" si="7"/>
        <v>库存为0</v>
      </c>
      <c r="AV58" s="39" t="str">
        <f>IFERROR(时间!$B$4+AU58,"上周无销量")</f>
        <v>上周无销量</v>
      </c>
    </row>
    <row r="59" spans="1:48">
      <c r="A59" s="35" t="s">
        <v>104</v>
      </c>
      <c r="B59" t="str">
        <f>VLOOKUP(A59,'[2]sku-asin（子）'!$A:$B,2,0)</f>
        <v>B0761NNDWM</v>
      </c>
      <c r="C59" t="str">
        <f>VLOOKUP(A59,'[2]子sku-父sku'!$A:$B,2,0)</f>
        <v>MY71107</v>
      </c>
      <c r="D59" s="33">
        <f>IFERROR(VLOOKUP(A59,[3]库存报告使用数据处理!$A:$C,3,0),0)</f>
        <v>0</v>
      </c>
      <c r="E59" s="33">
        <f>IFERROR(VLOOKUP(A59,[3]库存报告使用数据处理!$A:$D,4,0),0)</f>
        <v>0</v>
      </c>
      <c r="F59" s="33">
        <f>IFERROR(VLOOKUP(A59,[3]库存报告使用数据处理!$A:$E,5,0),0)</f>
        <v>0</v>
      </c>
      <c r="G59" s="33">
        <f>IFERROR(VLOOKUP(A59,[3]库存报告使用数据处理!$A:$F,6,0),0)</f>
        <v>0</v>
      </c>
      <c r="H59" s="34">
        <f>IFERROR(VLOOKUP(A59,[3]库存报告使用数据处理!$A:$G,7,0),0)</f>
        <v>0</v>
      </c>
      <c r="I59">
        <f>IFERROR(VLOOKUP(A59,[4]数据处理!$A:$B,2,0),0)</f>
        <v>1</v>
      </c>
      <c r="J59" s="36">
        <f>IFERROR(VLOOKUP(A59,[4]数据处理!$A:$D,4,0),0)</f>
        <v>0</v>
      </c>
      <c r="K59" s="36">
        <f>IFERROR(VLOOKUP(A59,[4]数据处理!$A:$E,5,0),0)</f>
        <v>0</v>
      </c>
      <c r="L59" s="36">
        <f>IFERROR(VLOOKUP(A59,[4]数据处理!$A:$G,7,0),0)</f>
        <v>0</v>
      </c>
      <c r="M59">
        <f t="shared" si="0"/>
        <v>1</v>
      </c>
      <c r="N59">
        <f>IFERROR(VLOOKUP(A59,[4]数据处理!$A:$C,3,0),0)</f>
        <v>1</v>
      </c>
      <c r="O59">
        <f>IFERROR(VLOOKUP($A59,[4]数据处理!$A:$N,14,0),0)</f>
        <v>1</v>
      </c>
      <c r="P59" t="str">
        <f>IFERROR(VLOOKUP($A59,[5]库存使用数据!$A:$B,2,0),"")</f>
        <v/>
      </c>
      <c r="Q59" t="str">
        <f>IFERROR(VLOOKUP($A59,[5]库存使用数据!$A:$E,5,0),"")</f>
        <v/>
      </c>
      <c r="R59" t="str">
        <f>IFERROR(VLOOKUP($A59,[5]库存使用数据!$A:$H,8,0),"")</f>
        <v/>
      </c>
      <c r="S59" t="str">
        <f>IFERROR(VLOOKUP($A59,[5]库存使用数据!$A:$K,11,0),"")</f>
        <v/>
      </c>
      <c r="T59" t="str">
        <f>IFERROR(VLOOKUP($A59,[5]库存使用数据!$A:$C,3,0),"")</f>
        <v/>
      </c>
      <c r="U59" t="str">
        <f>IFERROR(VLOOKUP($A59,[5]库存使用数据!$A:$F,6,0),"")</f>
        <v/>
      </c>
      <c r="V59" t="str">
        <f>IFERROR(VLOOKUP($A59,[5]库存使用数据!$A:$I,9,0),"")</f>
        <v/>
      </c>
      <c r="W59" t="str">
        <f>IFERROR(VLOOKUP($A59,[5]库存使用数据!$A:$L,12,0),"")</f>
        <v/>
      </c>
      <c r="X59" s="23" t="str">
        <f t="shared" si="9"/>
        <v/>
      </c>
      <c r="Y59" s="23" t="str">
        <f t="shared" si="10"/>
        <v/>
      </c>
      <c r="Z59" s="23" t="str">
        <f t="shared" si="11"/>
        <v/>
      </c>
      <c r="AA59" s="23" t="str">
        <f t="shared" si="12"/>
        <v/>
      </c>
      <c r="AB59" t="str">
        <f>IFERROR(VLOOKUP($A59,[5]库存使用数据!$A:$D,4,0),"")</f>
        <v/>
      </c>
      <c r="AC59" t="str">
        <f>IFERROR(VLOOKUP($A59,[5]库存使用数据!$A:$G,7,0),"")</f>
        <v/>
      </c>
      <c r="AD59" t="str">
        <f>IFERROR(VLOOKUP($A59,[5]库存使用数据!$A:$J,10,0),"")</f>
        <v/>
      </c>
      <c r="AE59" t="str">
        <f>IFERROR(VLOOKUP($A59,[5]库存使用数据!$A:$M,13,0),"")</f>
        <v/>
      </c>
      <c r="AF59" s="23" t="str">
        <f t="shared" si="13"/>
        <v/>
      </c>
      <c r="AG59" s="23" t="str">
        <f t="shared" si="14"/>
        <v/>
      </c>
      <c r="AH59" s="23" t="str">
        <f t="shared" si="15"/>
        <v/>
      </c>
      <c r="AI59" s="23" t="str">
        <f t="shared" si="16"/>
        <v/>
      </c>
      <c r="AJ59">
        <f>IFERROR(VLOOKUP($B59,[1]库存报告使用数据!$A$1:$B$65536,2,0),0)</f>
        <v>6</v>
      </c>
      <c r="AK59">
        <f>IFERROR(VLOOKUP($B59,[1]库存报告使用数据!$A$1:$C$65536,3,0),0)</f>
        <v>13</v>
      </c>
      <c r="AL59">
        <f>IFERROR(VLOOKUP($B59,[1]库存报告使用数据!$A$1:$D$65536,4,0),0)</f>
        <v>17</v>
      </c>
      <c r="AM59">
        <f>IFERROR(VLOOKUP($B59,[1]库存报告使用数据!$A$1:$E$65536,5,0),0)</f>
        <v>19</v>
      </c>
      <c r="AN59" s="23">
        <f t="shared" si="17"/>
        <v>0</v>
      </c>
      <c r="AO59" s="23">
        <f t="shared" si="18"/>
        <v>0</v>
      </c>
      <c r="AP59" s="23">
        <f t="shared" si="19"/>
        <v>0</v>
      </c>
      <c r="AQ59" s="23">
        <f t="shared" si="20"/>
        <v>0</v>
      </c>
      <c r="AR59" s="38">
        <f t="shared" si="4"/>
        <v>0</v>
      </c>
      <c r="AS59" s="38">
        <f t="shared" si="5"/>
        <v>0</v>
      </c>
      <c r="AT59" s="38">
        <f t="shared" si="6"/>
        <v>1</v>
      </c>
      <c r="AU59" s="33" t="str">
        <f t="shared" si="7"/>
        <v>库存为1</v>
      </c>
      <c r="AV59" s="39" t="str">
        <f>IFERROR(时间!$B$4+AU59,"上周无销量")</f>
        <v>上周无销量</v>
      </c>
    </row>
    <row r="60" spans="1:48">
      <c r="A60" s="35" t="s">
        <v>105</v>
      </c>
      <c r="B60" t="str">
        <f>VLOOKUP(A60,'[2]sku-asin（子）'!$A:$B,2,0)</f>
        <v>B0761PDHV5</v>
      </c>
      <c r="C60" t="str">
        <f>VLOOKUP(A60,'[2]子sku-父sku'!$A:$B,2,0)</f>
        <v>MY71107</v>
      </c>
      <c r="D60" s="33">
        <f>IFERROR(VLOOKUP(A60,[3]库存报告使用数据处理!$A:$C,3,0),0)</f>
        <v>0</v>
      </c>
      <c r="E60" s="33">
        <f>IFERROR(VLOOKUP(A60,[3]库存报告使用数据处理!$A:$D,4,0),0)</f>
        <v>0</v>
      </c>
      <c r="F60" s="33">
        <f>IFERROR(VLOOKUP(A60,[3]库存报告使用数据处理!$A:$E,5,0),0)</f>
        <v>0</v>
      </c>
      <c r="G60" s="33">
        <f>IFERROR(VLOOKUP(A60,[3]库存报告使用数据处理!$A:$F,6,0),0)</f>
        <v>0</v>
      </c>
      <c r="H60" s="34">
        <f>IFERROR(VLOOKUP(A60,[3]库存报告使用数据处理!$A:$G,7,0),0)</f>
        <v>0</v>
      </c>
      <c r="I60">
        <f>IFERROR(VLOOKUP(A60,[4]数据处理!$A:$B,2,0),0)</f>
        <v>4</v>
      </c>
      <c r="J60" s="36">
        <f>IFERROR(VLOOKUP(A60,[4]数据处理!$A:$D,4,0),0)</f>
        <v>0</v>
      </c>
      <c r="K60" s="36">
        <f>IFERROR(VLOOKUP(A60,[4]数据处理!$A:$E,5,0),0)</f>
        <v>0</v>
      </c>
      <c r="L60" s="36">
        <f>IFERROR(VLOOKUP(A60,[4]数据处理!$A:$G,7,0),0)</f>
        <v>0</v>
      </c>
      <c r="M60">
        <f t="shared" si="0"/>
        <v>4</v>
      </c>
      <c r="N60">
        <f>IFERROR(VLOOKUP(A60,[4]数据处理!$A:$C,3,0),0)</f>
        <v>1</v>
      </c>
      <c r="O60">
        <f>IFERROR(VLOOKUP($A60,[4]数据处理!$A:$N,14,0),0)</f>
        <v>3</v>
      </c>
      <c r="P60" t="str">
        <f>IFERROR(VLOOKUP($A60,[5]库存使用数据!$A:$B,2,0),"")</f>
        <v/>
      </c>
      <c r="Q60" t="str">
        <f>IFERROR(VLOOKUP($A60,[5]库存使用数据!$A:$E,5,0),"")</f>
        <v/>
      </c>
      <c r="R60" t="str">
        <f>IFERROR(VLOOKUP($A60,[5]库存使用数据!$A:$H,8,0),"")</f>
        <v/>
      </c>
      <c r="S60" t="str">
        <f>IFERROR(VLOOKUP($A60,[5]库存使用数据!$A:$K,11,0),"")</f>
        <v/>
      </c>
      <c r="T60" t="str">
        <f>IFERROR(VLOOKUP($A60,[5]库存使用数据!$A:$C,3,0),"")</f>
        <v/>
      </c>
      <c r="U60" t="str">
        <f>IFERROR(VLOOKUP($A60,[5]库存使用数据!$A:$F,6,0),"")</f>
        <v/>
      </c>
      <c r="V60" t="str">
        <f>IFERROR(VLOOKUP($A60,[5]库存使用数据!$A:$I,9,0),"")</f>
        <v/>
      </c>
      <c r="W60" t="str">
        <f>IFERROR(VLOOKUP($A60,[5]库存使用数据!$A:$L,12,0),"")</f>
        <v/>
      </c>
      <c r="X60" s="23" t="str">
        <f t="shared" si="9"/>
        <v/>
      </c>
      <c r="Y60" s="23" t="str">
        <f t="shared" si="10"/>
        <v/>
      </c>
      <c r="Z60" s="23" t="str">
        <f t="shared" si="11"/>
        <v/>
      </c>
      <c r="AA60" s="23" t="str">
        <f t="shared" si="12"/>
        <v/>
      </c>
      <c r="AB60" t="str">
        <f>IFERROR(VLOOKUP($A60,[5]库存使用数据!$A:$D,4,0),"")</f>
        <v/>
      </c>
      <c r="AC60" t="str">
        <f>IFERROR(VLOOKUP($A60,[5]库存使用数据!$A:$G,7,0),"")</f>
        <v/>
      </c>
      <c r="AD60" t="str">
        <f>IFERROR(VLOOKUP($A60,[5]库存使用数据!$A:$J,10,0),"")</f>
        <v/>
      </c>
      <c r="AE60" t="str">
        <f>IFERROR(VLOOKUP($A60,[5]库存使用数据!$A:$M,13,0),"")</f>
        <v/>
      </c>
      <c r="AF60" s="23" t="str">
        <f t="shared" si="13"/>
        <v/>
      </c>
      <c r="AG60" s="23" t="str">
        <f t="shared" si="14"/>
        <v/>
      </c>
      <c r="AH60" s="23" t="str">
        <f t="shared" si="15"/>
        <v/>
      </c>
      <c r="AI60" s="23" t="str">
        <f t="shared" si="16"/>
        <v/>
      </c>
      <c r="AJ60">
        <f>IFERROR(VLOOKUP($B60,[1]库存报告使用数据!$A$1:$B$65536,2,0),0)</f>
        <v>4</v>
      </c>
      <c r="AK60">
        <f>IFERROR(VLOOKUP($B60,[1]库存报告使用数据!$A$1:$C$65536,3,0),0)</f>
        <v>5</v>
      </c>
      <c r="AL60">
        <f>IFERROR(VLOOKUP($B60,[1]库存报告使用数据!$A$1:$D$65536,4,0),0)</f>
        <v>8</v>
      </c>
      <c r="AM60">
        <f>IFERROR(VLOOKUP($B60,[1]库存报告使用数据!$A$1:$E$65536,5,0),0)</f>
        <v>3</v>
      </c>
      <c r="AN60" s="23">
        <f t="shared" si="17"/>
        <v>0</v>
      </c>
      <c r="AO60" s="23">
        <f t="shared" si="18"/>
        <v>0</v>
      </c>
      <c r="AP60" s="23">
        <f t="shared" si="19"/>
        <v>0</v>
      </c>
      <c r="AQ60" s="23">
        <f t="shared" si="20"/>
        <v>0</v>
      </c>
      <c r="AR60" s="38">
        <f t="shared" si="4"/>
        <v>0</v>
      </c>
      <c r="AS60" s="38">
        <f t="shared" si="5"/>
        <v>0</v>
      </c>
      <c r="AT60" s="38">
        <f t="shared" si="6"/>
        <v>4</v>
      </c>
      <c r="AU60" s="33" t="str">
        <f t="shared" si="7"/>
        <v>库存为4</v>
      </c>
      <c r="AV60" s="39" t="str">
        <f>IFERROR(时间!$B$4+AU60,"上周无销量")</f>
        <v>上周无销量</v>
      </c>
    </row>
    <row r="61" spans="1:48">
      <c r="A61" s="35" t="s">
        <v>106</v>
      </c>
      <c r="B61" t="str">
        <f>VLOOKUP(A61,'[2]sku-asin（子）'!$A:$B,2,0)</f>
        <v>B0761NGWJD</v>
      </c>
      <c r="C61" t="str">
        <f>VLOOKUP(A61,'[2]子sku-父sku'!$A:$B,2,0)</f>
        <v>MY71115</v>
      </c>
      <c r="D61" s="33">
        <f>IFERROR(VLOOKUP(A61,[3]库存报告使用数据处理!$A:$C,3,0),0)</f>
        <v>0</v>
      </c>
      <c r="E61" s="33">
        <f>IFERROR(VLOOKUP(A61,[3]库存报告使用数据处理!$A:$D,4,0),0)</f>
        <v>0</v>
      </c>
      <c r="F61" s="33">
        <f>IFERROR(VLOOKUP(A61,[3]库存报告使用数据处理!$A:$E,5,0),0)</f>
        <v>0</v>
      </c>
      <c r="G61" s="33">
        <f>IFERROR(VLOOKUP(A61,[3]库存报告使用数据处理!$A:$F,6,0),0)</f>
        <v>0</v>
      </c>
      <c r="H61" s="34">
        <f>IFERROR(VLOOKUP(A61,[3]库存报告使用数据处理!$A:$G,7,0),0)</f>
        <v>0</v>
      </c>
      <c r="I61">
        <f>IFERROR(VLOOKUP(A61,[4]数据处理!$A:$B,2,0),0)</f>
        <v>6</v>
      </c>
      <c r="J61" s="36">
        <f>IFERROR(VLOOKUP(A61,[4]数据处理!$A:$D,4,0),0)</f>
        <v>0</v>
      </c>
      <c r="K61" s="36">
        <f>IFERROR(VLOOKUP(A61,[4]数据处理!$A:$E,5,0),0)</f>
        <v>0</v>
      </c>
      <c r="L61" s="36">
        <f>IFERROR(VLOOKUP(A61,[4]数据处理!$A:$G,7,0),0)</f>
        <v>0</v>
      </c>
      <c r="M61">
        <f t="shared" si="0"/>
        <v>6</v>
      </c>
      <c r="N61">
        <f>IFERROR(VLOOKUP(A61,[4]数据处理!$A:$C,3,0),0)</f>
        <v>0</v>
      </c>
      <c r="O61">
        <f>IFERROR(VLOOKUP($A61,[4]数据处理!$A:$N,14,0),0)</f>
        <v>6</v>
      </c>
      <c r="P61">
        <f>IFERROR(VLOOKUP($A61,[5]库存使用数据!$A:$B,2,0),"")</f>
        <v>0</v>
      </c>
      <c r="Q61">
        <f>IFERROR(VLOOKUP($A61,[5]库存使用数据!$A:$E,5,0),"")</f>
        <v>0</v>
      </c>
      <c r="R61">
        <f>IFERROR(VLOOKUP($A61,[5]库存使用数据!$A:$H,8,0),"")</f>
        <v>0</v>
      </c>
      <c r="S61">
        <f>IFERROR(VLOOKUP($A61,[5]库存使用数据!$A:$K,11,0),"")</f>
        <v>149</v>
      </c>
      <c r="T61">
        <f>IFERROR(VLOOKUP($A61,[5]库存使用数据!$A:$C,3,0),"")</f>
        <v>0</v>
      </c>
      <c r="U61">
        <f>IFERROR(VLOOKUP($A61,[5]库存使用数据!$A:$F,6,0),"")</f>
        <v>0</v>
      </c>
      <c r="V61">
        <f>IFERROR(VLOOKUP($A61,[5]库存使用数据!$A:$I,9,0),"")</f>
        <v>0</v>
      </c>
      <c r="W61">
        <f>IFERROR(VLOOKUP($A61,[5]库存使用数据!$A:$L,12,0),"")</f>
        <v>0</v>
      </c>
      <c r="X61" s="23" t="str">
        <f t="shared" si="9"/>
        <v/>
      </c>
      <c r="Y61" s="23" t="str">
        <f t="shared" si="10"/>
        <v/>
      </c>
      <c r="Z61" s="23" t="str">
        <f t="shared" si="11"/>
        <v/>
      </c>
      <c r="AA61" s="23">
        <f t="shared" si="12"/>
        <v>0</v>
      </c>
      <c r="AB61">
        <f>IFERROR(VLOOKUP($A61,[5]库存使用数据!$A:$D,4,0),"")</f>
        <v>0</v>
      </c>
      <c r="AC61">
        <f>IFERROR(VLOOKUP($A61,[5]库存使用数据!$A:$G,7,0),"")</f>
        <v>0</v>
      </c>
      <c r="AD61">
        <f>IFERROR(VLOOKUP($A61,[5]库存使用数据!$A:$J,10,0),"")</f>
        <v>0</v>
      </c>
      <c r="AE61">
        <f>IFERROR(VLOOKUP($A61,[5]库存使用数据!$A:$M,13,0),"")</f>
        <v>0</v>
      </c>
      <c r="AF61" s="23" t="str">
        <f t="shared" si="13"/>
        <v/>
      </c>
      <c r="AG61" s="23" t="str">
        <f t="shared" si="14"/>
        <v/>
      </c>
      <c r="AH61" s="23" t="str">
        <f t="shared" si="15"/>
        <v/>
      </c>
      <c r="AI61" s="23" t="str">
        <f t="shared" si="16"/>
        <v/>
      </c>
      <c r="AJ61">
        <f>IFERROR(VLOOKUP($B61,[1]库存报告使用数据!$A$1:$B$65536,2,0),0)</f>
        <v>5</v>
      </c>
      <c r="AK61">
        <f>IFERROR(VLOOKUP($B61,[1]库存报告使用数据!$A$1:$C$65536,3,0),0)</f>
        <v>6</v>
      </c>
      <c r="AL61">
        <f>IFERROR(VLOOKUP($B61,[1]库存报告使用数据!$A$1:$D$65536,4,0),0)</f>
        <v>6</v>
      </c>
      <c r="AM61">
        <f>IFERROR(VLOOKUP($B61,[1]库存报告使用数据!$A$1:$E$65536,5,0),0)</f>
        <v>5</v>
      </c>
      <c r="AN61" s="23">
        <f t="shared" si="17"/>
        <v>0</v>
      </c>
      <c r="AO61" s="23">
        <f t="shared" si="18"/>
        <v>0</v>
      </c>
      <c r="AP61" s="23">
        <f t="shared" si="19"/>
        <v>0</v>
      </c>
      <c r="AQ61" s="23">
        <f t="shared" si="20"/>
        <v>0</v>
      </c>
      <c r="AR61" s="38">
        <f t="shared" si="4"/>
        <v>0</v>
      </c>
      <c r="AS61" s="38">
        <f t="shared" si="5"/>
        <v>0</v>
      </c>
      <c r="AT61" s="38">
        <f t="shared" si="6"/>
        <v>6</v>
      </c>
      <c r="AU61" s="33" t="str">
        <f t="shared" si="7"/>
        <v>库存为6</v>
      </c>
      <c r="AV61" s="39" t="str">
        <f>IFERROR(时间!$B$4+AU61,"上周无销量")</f>
        <v>上周无销量</v>
      </c>
    </row>
    <row r="62" spans="1:48">
      <c r="A62" s="35" t="s">
        <v>107</v>
      </c>
      <c r="B62" t="str">
        <f>VLOOKUP(A62,'[2]sku-asin（子）'!$A:$B,2,0)</f>
        <v>B0761SKR3P</v>
      </c>
      <c r="C62" t="str">
        <f>VLOOKUP(A62,'[2]子sku-父sku'!$A:$B,2,0)</f>
        <v>MY71115</v>
      </c>
      <c r="D62" s="33">
        <f>IFERROR(VLOOKUP(A62,[3]库存报告使用数据处理!$A:$C,3,0),0)</f>
        <v>0</v>
      </c>
      <c r="E62" s="33">
        <f>IFERROR(VLOOKUP(A62,[3]库存报告使用数据处理!$A:$D,4,0),0)</f>
        <v>1</v>
      </c>
      <c r="F62" s="33">
        <f>IFERROR(VLOOKUP(A62,[3]库存报告使用数据处理!$A:$E,5,0),0)</f>
        <v>1</v>
      </c>
      <c r="G62" s="33">
        <f>IFERROR(VLOOKUP(A62,[3]库存报告使用数据处理!$A:$F,6,0),0)</f>
        <v>0</v>
      </c>
      <c r="H62" s="34">
        <f>IFERROR(VLOOKUP(A62,[3]库存报告使用数据处理!$A:$G,7,0),0)</f>
        <v>42.99</v>
      </c>
      <c r="I62">
        <f>IFERROR(VLOOKUP(A62,[4]数据处理!$A:$B,2,0),0)</f>
        <v>2</v>
      </c>
      <c r="J62" s="36">
        <f>IFERROR(VLOOKUP(A62,[4]数据处理!$A:$D,4,0),0)</f>
        <v>0</v>
      </c>
      <c r="K62" s="36">
        <f>IFERROR(VLOOKUP(A62,[4]数据处理!$A:$E,5,0),0)</f>
        <v>0</v>
      </c>
      <c r="L62" s="36">
        <f>IFERROR(VLOOKUP(A62,[4]数据处理!$A:$G,7,0),0)</f>
        <v>0</v>
      </c>
      <c r="M62">
        <f t="shared" si="0"/>
        <v>2</v>
      </c>
      <c r="N62">
        <f>IFERROR(VLOOKUP(A62,[4]数据处理!$A:$C,3,0),0)</f>
        <v>0</v>
      </c>
      <c r="O62">
        <f>IFERROR(VLOOKUP($A62,[4]数据处理!$A:$N,14,0),0)</f>
        <v>2</v>
      </c>
      <c r="P62">
        <f>IFERROR(VLOOKUP($A62,[5]库存使用数据!$A:$B,2,0),"")</f>
        <v>0</v>
      </c>
      <c r="Q62">
        <f>IFERROR(VLOOKUP($A62,[5]库存使用数据!$A:$E,5,0),"")</f>
        <v>0</v>
      </c>
      <c r="R62">
        <f>IFERROR(VLOOKUP($A62,[5]库存使用数据!$A:$H,8,0),"")</f>
        <v>0</v>
      </c>
      <c r="S62">
        <f>IFERROR(VLOOKUP($A62,[5]库存使用数据!$A:$K,11,0),"")</f>
        <v>358</v>
      </c>
      <c r="T62">
        <f>IFERROR(VLOOKUP($A62,[5]库存使用数据!$A:$C,3,0),"")</f>
        <v>0</v>
      </c>
      <c r="U62">
        <f>IFERROR(VLOOKUP($A62,[5]库存使用数据!$A:$F,6,0),"")</f>
        <v>0</v>
      </c>
      <c r="V62">
        <f>IFERROR(VLOOKUP($A62,[5]库存使用数据!$A:$I,9,0),"")</f>
        <v>0</v>
      </c>
      <c r="W62">
        <f>IFERROR(VLOOKUP($A62,[5]库存使用数据!$A:$L,12,0),"")</f>
        <v>0</v>
      </c>
      <c r="X62" s="23" t="str">
        <f t="shared" si="9"/>
        <v/>
      </c>
      <c r="Y62" s="23" t="str">
        <f t="shared" si="10"/>
        <v/>
      </c>
      <c r="Z62" s="23" t="str">
        <f t="shared" si="11"/>
        <v/>
      </c>
      <c r="AA62" s="23">
        <f t="shared" si="12"/>
        <v>0</v>
      </c>
      <c r="AB62">
        <f>IFERROR(VLOOKUP($A62,[5]库存使用数据!$A:$D,4,0),"")</f>
        <v>0</v>
      </c>
      <c r="AC62">
        <f>IFERROR(VLOOKUP($A62,[5]库存使用数据!$A:$G,7,0),"")</f>
        <v>0</v>
      </c>
      <c r="AD62">
        <f>IFERROR(VLOOKUP($A62,[5]库存使用数据!$A:$J,10,0),"")</f>
        <v>0</v>
      </c>
      <c r="AE62">
        <f>IFERROR(VLOOKUP($A62,[5]库存使用数据!$A:$M,13,0),"")</f>
        <v>0</v>
      </c>
      <c r="AF62" s="23" t="str">
        <f t="shared" si="13"/>
        <v/>
      </c>
      <c r="AG62" s="23" t="str">
        <f t="shared" si="14"/>
        <v/>
      </c>
      <c r="AH62" s="23" t="str">
        <f t="shared" si="15"/>
        <v/>
      </c>
      <c r="AI62" s="23" t="str">
        <f t="shared" si="16"/>
        <v/>
      </c>
      <c r="AJ62">
        <f>IFERROR(VLOOKUP($B62,[1]库存报告使用数据!$A$1:$B$65536,2,0),0)</f>
        <v>2</v>
      </c>
      <c r="AK62">
        <f>IFERROR(VLOOKUP($B62,[1]库存报告使用数据!$A$1:$C$65536,3,0),0)</f>
        <v>17</v>
      </c>
      <c r="AL62">
        <f>IFERROR(VLOOKUP($B62,[1]库存报告使用数据!$A$1:$D$65536,4,0),0)</f>
        <v>5</v>
      </c>
      <c r="AM62">
        <f>IFERROR(VLOOKUP($B62,[1]库存报告使用数据!$A$1:$E$65536,5,0),0)</f>
        <v>6</v>
      </c>
      <c r="AN62" s="23">
        <f t="shared" si="17"/>
        <v>0</v>
      </c>
      <c r="AO62" s="23">
        <f t="shared" si="18"/>
        <v>0.0588235294117647</v>
      </c>
      <c r="AP62" s="23">
        <f t="shared" si="19"/>
        <v>0.2</v>
      </c>
      <c r="AQ62" s="23">
        <f t="shared" si="20"/>
        <v>0</v>
      </c>
      <c r="AR62" s="38">
        <f t="shared" si="4"/>
        <v>0</v>
      </c>
      <c r="AS62" s="38">
        <f t="shared" si="5"/>
        <v>0</v>
      </c>
      <c r="AT62" s="38">
        <f t="shared" si="6"/>
        <v>2</v>
      </c>
      <c r="AU62" s="33" t="str">
        <f t="shared" si="7"/>
        <v>库存为2</v>
      </c>
      <c r="AV62" s="39" t="str">
        <f>IFERROR(时间!$B$4+AU62,"上周无销量")</f>
        <v>上周无销量</v>
      </c>
    </row>
    <row r="63" spans="1:48">
      <c r="A63" s="35" t="s">
        <v>108</v>
      </c>
      <c r="B63" t="str">
        <f>VLOOKUP(A63,'[2]sku-asin（子）'!$A:$B,2,0)</f>
        <v>B0761NFTQC</v>
      </c>
      <c r="C63" t="str">
        <f>VLOOKUP(A63,'[2]子sku-父sku'!$A:$B,2,0)</f>
        <v>MY71115</v>
      </c>
      <c r="D63" s="33">
        <f>IFERROR(VLOOKUP(A63,[3]库存报告使用数据处理!$A:$C,3,0),0)</f>
        <v>0</v>
      </c>
      <c r="E63" s="33">
        <f>IFERROR(VLOOKUP(A63,[3]库存报告使用数据处理!$A:$D,4,0),0)</f>
        <v>0</v>
      </c>
      <c r="F63" s="33">
        <f>IFERROR(VLOOKUP(A63,[3]库存报告使用数据处理!$A:$E,5,0),0)</f>
        <v>0</v>
      </c>
      <c r="G63" s="33">
        <f>IFERROR(VLOOKUP(A63,[3]库存报告使用数据处理!$A:$F,6,0),0)</f>
        <v>0</v>
      </c>
      <c r="H63" s="34">
        <f>IFERROR(VLOOKUP(A63,[3]库存报告使用数据处理!$A:$G,7,0),0)</f>
        <v>0</v>
      </c>
      <c r="I63">
        <f>IFERROR(VLOOKUP(A63,[4]数据处理!$A:$B,2,0),0)</f>
        <v>5</v>
      </c>
      <c r="J63" s="36">
        <f>IFERROR(VLOOKUP(A63,[4]数据处理!$A:$D,4,0),0)</f>
        <v>0</v>
      </c>
      <c r="K63" s="36">
        <f>IFERROR(VLOOKUP(A63,[4]数据处理!$A:$E,5,0),0)</f>
        <v>0</v>
      </c>
      <c r="L63" s="36">
        <f>IFERROR(VLOOKUP(A63,[4]数据处理!$A:$G,7,0),0)</f>
        <v>0</v>
      </c>
      <c r="M63">
        <f t="shared" si="0"/>
        <v>5</v>
      </c>
      <c r="N63">
        <f>IFERROR(VLOOKUP(A63,[4]数据处理!$A:$C,3,0),0)</f>
        <v>0</v>
      </c>
      <c r="O63">
        <f>IFERROR(VLOOKUP($A63,[4]数据处理!$A:$N,14,0),0)</f>
        <v>5</v>
      </c>
      <c r="P63" t="str">
        <f>IFERROR(VLOOKUP($A63,[5]库存使用数据!$A:$B,2,0),"")</f>
        <v/>
      </c>
      <c r="Q63" t="str">
        <f>IFERROR(VLOOKUP($A63,[5]库存使用数据!$A:$E,5,0),"")</f>
        <v/>
      </c>
      <c r="R63" t="str">
        <f>IFERROR(VLOOKUP($A63,[5]库存使用数据!$A:$H,8,0),"")</f>
        <v/>
      </c>
      <c r="S63" t="str">
        <f>IFERROR(VLOOKUP($A63,[5]库存使用数据!$A:$K,11,0),"")</f>
        <v/>
      </c>
      <c r="T63" t="str">
        <f>IFERROR(VLOOKUP($A63,[5]库存使用数据!$A:$C,3,0),"")</f>
        <v/>
      </c>
      <c r="U63" t="str">
        <f>IFERROR(VLOOKUP($A63,[5]库存使用数据!$A:$F,6,0),"")</f>
        <v/>
      </c>
      <c r="V63" t="str">
        <f>IFERROR(VLOOKUP($A63,[5]库存使用数据!$A:$I,9,0),"")</f>
        <v/>
      </c>
      <c r="W63" t="str">
        <f>IFERROR(VLOOKUP($A63,[5]库存使用数据!$A:$L,12,0),"")</f>
        <v/>
      </c>
      <c r="X63" s="23" t="str">
        <f t="shared" si="9"/>
        <v/>
      </c>
      <c r="Y63" s="23" t="str">
        <f t="shared" si="10"/>
        <v/>
      </c>
      <c r="Z63" s="23" t="str">
        <f t="shared" si="11"/>
        <v/>
      </c>
      <c r="AA63" s="23" t="str">
        <f t="shared" si="12"/>
        <v/>
      </c>
      <c r="AB63" t="str">
        <f>IFERROR(VLOOKUP($A63,[5]库存使用数据!$A:$D,4,0),"")</f>
        <v/>
      </c>
      <c r="AC63" t="str">
        <f>IFERROR(VLOOKUP($A63,[5]库存使用数据!$A:$G,7,0),"")</f>
        <v/>
      </c>
      <c r="AD63" t="str">
        <f>IFERROR(VLOOKUP($A63,[5]库存使用数据!$A:$J,10,0),"")</f>
        <v/>
      </c>
      <c r="AE63" t="str">
        <f>IFERROR(VLOOKUP($A63,[5]库存使用数据!$A:$M,13,0),"")</f>
        <v/>
      </c>
      <c r="AF63" s="23" t="str">
        <f t="shared" si="13"/>
        <v/>
      </c>
      <c r="AG63" s="23" t="str">
        <f t="shared" si="14"/>
        <v/>
      </c>
      <c r="AH63" s="23" t="str">
        <f t="shared" si="15"/>
        <v/>
      </c>
      <c r="AI63" s="23" t="str">
        <f t="shared" si="16"/>
        <v/>
      </c>
      <c r="AJ63">
        <f>IFERROR(VLOOKUP($B63,[1]库存报告使用数据!$A$1:$B$65536,2,0),0)</f>
        <v>4</v>
      </c>
      <c r="AK63">
        <f>IFERROR(VLOOKUP($B63,[1]库存报告使用数据!$A$1:$C$65536,3,0),0)</f>
        <v>5</v>
      </c>
      <c r="AL63">
        <f>IFERROR(VLOOKUP($B63,[1]库存报告使用数据!$A$1:$D$65536,4,0),0)</f>
        <v>4</v>
      </c>
      <c r="AM63">
        <f>IFERROR(VLOOKUP($B63,[1]库存报告使用数据!$A$1:$E$65536,5,0),0)</f>
        <v>3</v>
      </c>
      <c r="AN63" s="23">
        <f t="shared" si="17"/>
        <v>0</v>
      </c>
      <c r="AO63" s="23">
        <f t="shared" si="18"/>
        <v>0</v>
      </c>
      <c r="AP63" s="23">
        <f t="shared" si="19"/>
        <v>0</v>
      </c>
      <c r="AQ63" s="23">
        <f t="shared" si="20"/>
        <v>0</v>
      </c>
      <c r="AR63" s="38">
        <f t="shared" si="4"/>
        <v>0</v>
      </c>
      <c r="AS63" s="38">
        <f t="shared" si="5"/>
        <v>0</v>
      </c>
      <c r="AT63" s="38">
        <f t="shared" si="6"/>
        <v>5</v>
      </c>
      <c r="AU63" s="33" t="str">
        <f t="shared" si="7"/>
        <v>库存为5</v>
      </c>
      <c r="AV63" s="39" t="str">
        <f>IFERROR(时间!$B$4+AU63,"上周无销量")</f>
        <v>上周无销量</v>
      </c>
    </row>
    <row r="64" spans="1:48">
      <c r="A64" s="35" t="s">
        <v>109</v>
      </c>
      <c r="B64" t="str">
        <f>VLOOKUP(A64,'[2]sku-asin（子）'!$A:$B,2,0)</f>
        <v>B0761PV952</v>
      </c>
      <c r="C64" t="str">
        <f>VLOOKUP(A64,'[2]子sku-父sku'!$A:$B,2,0)</f>
        <v>MY71115</v>
      </c>
      <c r="D64" s="33">
        <f>IFERROR(VLOOKUP(A64,[3]库存报告使用数据处理!$A:$C,3,0),0)</f>
        <v>0</v>
      </c>
      <c r="E64" s="33">
        <f>IFERROR(VLOOKUP(A64,[3]库存报告使用数据处理!$A:$D,4,0),0)</f>
        <v>0</v>
      </c>
      <c r="F64" s="33">
        <f>IFERROR(VLOOKUP(A64,[3]库存报告使用数据处理!$A:$E,5,0),0)</f>
        <v>0</v>
      </c>
      <c r="G64" s="33">
        <f>IFERROR(VLOOKUP(A64,[3]库存报告使用数据处理!$A:$F,6,0),0)</f>
        <v>0</v>
      </c>
      <c r="H64" s="34">
        <f>IFERROR(VLOOKUP(A64,[3]库存报告使用数据处理!$A:$G,7,0),0)</f>
        <v>0</v>
      </c>
      <c r="I64">
        <f>IFERROR(VLOOKUP(A64,[4]数据处理!$A:$B,2,0),0)</f>
        <v>4</v>
      </c>
      <c r="J64" s="36">
        <f>IFERROR(VLOOKUP(A64,[4]数据处理!$A:$D,4,0),0)</f>
        <v>0</v>
      </c>
      <c r="K64" s="36">
        <f>IFERROR(VLOOKUP(A64,[4]数据处理!$A:$E,5,0),0)</f>
        <v>0</v>
      </c>
      <c r="L64" s="36">
        <f>IFERROR(VLOOKUP(A64,[4]数据处理!$A:$G,7,0),0)</f>
        <v>0</v>
      </c>
      <c r="M64">
        <f t="shared" si="0"/>
        <v>4</v>
      </c>
      <c r="N64">
        <f>IFERROR(VLOOKUP(A64,[4]数据处理!$A:$C,3,0),0)</f>
        <v>0</v>
      </c>
      <c r="O64">
        <f>IFERROR(VLOOKUP($A64,[4]数据处理!$A:$N,14,0),0)</f>
        <v>3</v>
      </c>
      <c r="P64" t="str">
        <f>IFERROR(VLOOKUP($A64,[5]库存使用数据!$A:$B,2,0),"")</f>
        <v/>
      </c>
      <c r="Q64" t="str">
        <f>IFERROR(VLOOKUP($A64,[5]库存使用数据!$A:$E,5,0),"")</f>
        <v/>
      </c>
      <c r="R64" t="str">
        <f>IFERROR(VLOOKUP($A64,[5]库存使用数据!$A:$H,8,0),"")</f>
        <v/>
      </c>
      <c r="S64" t="str">
        <f>IFERROR(VLOOKUP($A64,[5]库存使用数据!$A:$K,11,0),"")</f>
        <v/>
      </c>
      <c r="T64" t="str">
        <f>IFERROR(VLOOKUP($A64,[5]库存使用数据!$A:$C,3,0),"")</f>
        <v/>
      </c>
      <c r="U64" t="str">
        <f>IFERROR(VLOOKUP($A64,[5]库存使用数据!$A:$F,6,0),"")</f>
        <v/>
      </c>
      <c r="V64" t="str">
        <f>IFERROR(VLOOKUP($A64,[5]库存使用数据!$A:$I,9,0),"")</f>
        <v/>
      </c>
      <c r="W64" t="str">
        <f>IFERROR(VLOOKUP($A64,[5]库存使用数据!$A:$L,12,0),"")</f>
        <v/>
      </c>
      <c r="X64" s="23" t="str">
        <f t="shared" si="9"/>
        <v/>
      </c>
      <c r="Y64" s="23" t="str">
        <f t="shared" si="10"/>
        <v/>
      </c>
      <c r="Z64" s="23" t="str">
        <f t="shared" si="11"/>
        <v/>
      </c>
      <c r="AA64" s="23" t="str">
        <f t="shared" si="12"/>
        <v/>
      </c>
      <c r="AB64" t="str">
        <f>IFERROR(VLOOKUP($A64,[5]库存使用数据!$A:$D,4,0),"")</f>
        <v/>
      </c>
      <c r="AC64" t="str">
        <f>IFERROR(VLOOKUP($A64,[5]库存使用数据!$A:$G,7,0),"")</f>
        <v/>
      </c>
      <c r="AD64" t="str">
        <f>IFERROR(VLOOKUP($A64,[5]库存使用数据!$A:$J,10,0),"")</f>
        <v/>
      </c>
      <c r="AE64" t="str">
        <f>IFERROR(VLOOKUP($A64,[5]库存使用数据!$A:$M,13,0),"")</f>
        <v/>
      </c>
      <c r="AF64" s="23" t="str">
        <f t="shared" si="13"/>
        <v/>
      </c>
      <c r="AG64" s="23" t="str">
        <f t="shared" si="14"/>
        <v/>
      </c>
      <c r="AH64" s="23" t="str">
        <f t="shared" si="15"/>
        <v/>
      </c>
      <c r="AI64" s="23" t="str">
        <f t="shared" si="16"/>
        <v/>
      </c>
      <c r="AJ64">
        <f>IFERROR(VLOOKUP($B64,[1]库存报告使用数据!$A$1:$B$65536,2,0),0)</f>
        <v>6</v>
      </c>
      <c r="AK64">
        <f>IFERROR(VLOOKUP($B64,[1]库存报告使用数据!$A$1:$C$65536,3,0),0)</f>
        <v>12</v>
      </c>
      <c r="AL64">
        <f>IFERROR(VLOOKUP($B64,[1]库存报告使用数据!$A$1:$D$65536,4,0),0)</f>
        <v>7</v>
      </c>
      <c r="AM64">
        <f>IFERROR(VLOOKUP($B64,[1]库存报告使用数据!$A$1:$E$65536,5,0),0)</f>
        <v>6</v>
      </c>
      <c r="AN64" s="23">
        <f t="shared" si="17"/>
        <v>0</v>
      </c>
      <c r="AO64" s="23">
        <f t="shared" si="18"/>
        <v>0</v>
      </c>
      <c r="AP64" s="23">
        <f t="shared" si="19"/>
        <v>0</v>
      </c>
      <c r="AQ64" s="23">
        <f t="shared" si="20"/>
        <v>0</v>
      </c>
      <c r="AR64" s="38">
        <f t="shared" si="4"/>
        <v>0</v>
      </c>
      <c r="AS64" s="38">
        <f t="shared" si="5"/>
        <v>0</v>
      </c>
      <c r="AT64" s="38">
        <f t="shared" si="6"/>
        <v>4</v>
      </c>
      <c r="AU64" s="33" t="str">
        <f t="shared" si="7"/>
        <v>库存为4</v>
      </c>
      <c r="AV64" s="39" t="str">
        <f>IFERROR(时间!$B$4+AU64,"上周无销量")</f>
        <v>上周无销量</v>
      </c>
    </row>
    <row r="65" spans="1:48">
      <c r="A65" s="35" t="s">
        <v>110</v>
      </c>
      <c r="B65" t="str">
        <f>VLOOKUP(A65,'[2]sku-asin（子）'!$A:$B,2,0)</f>
        <v>B0761NHB1Y</v>
      </c>
      <c r="C65" t="str">
        <f>VLOOKUP(A65,'[2]子sku-父sku'!$A:$B,2,0)</f>
        <v>MY71115</v>
      </c>
      <c r="D65" s="33">
        <f>IFERROR(VLOOKUP(A65,[3]库存报告使用数据处理!$A:$C,3,0),0)</f>
        <v>0</v>
      </c>
      <c r="E65" s="33">
        <f>IFERROR(VLOOKUP(A65,[3]库存报告使用数据处理!$A:$D,4,0),0)</f>
        <v>0</v>
      </c>
      <c r="F65" s="33">
        <f>IFERROR(VLOOKUP(A65,[3]库存报告使用数据处理!$A:$E,5,0),0)</f>
        <v>0</v>
      </c>
      <c r="G65" s="33">
        <f>IFERROR(VLOOKUP(A65,[3]库存报告使用数据处理!$A:$F,6,0),0)</f>
        <v>0</v>
      </c>
      <c r="H65" s="34">
        <f>IFERROR(VLOOKUP(A65,[3]库存报告使用数据处理!$A:$G,7,0),0)</f>
        <v>0</v>
      </c>
      <c r="I65">
        <f>IFERROR(VLOOKUP(A65,[4]数据处理!$A:$B,2,0),0)</f>
        <v>5</v>
      </c>
      <c r="J65" s="36">
        <f>IFERROR(VLOOKUP(A65,[4]数据处理!$A:$D,4,0),0)</f>
        <v>0</v>
      </c>
      <c r="K65" s="36">
        <f>IFERROR(VLOOKUP(A65,[4]数据处理!$A:$E,5,0),0)</f>
        <v>0</v>
      </c>
      <c r="L65" s="36">
        <f>IFERROR(VLOOKUP(A65,[4]数据处理!$A:$G,7,0),0)</f>
        <v>0</v>
      </c>
      <c r="M65">
        <f t="shared" si="0"/>
        <v>5</v>
      </c>
      <c r="N65">
        <f>IFERROR(VLOOKUP(A65,[4]数据处理!$A:$C,3,0),0)</f>
        <v>0</v>
      </c>
      <c r="O65">
        <f>IFERROR(VLOOKUP($A65,[4]数据处理!$A:$N,14,0),0)</f>
        <v>5</v>
      </c>
      <c r="P65">
        <f>IFERROR(VLOOKUP($A65,[5]库存使用数据!$A:$B,2,0),"")</f>
        <v>0</v>
      </c>
      <c r="Q65">
        <f>IFERROR(VLOOKUP($A65,[5]库存使用数据!$A:$E,5,0),"")</f>
        <v>0</v>
      </c>
      <c r="R65">
        <f>IFERROR(VLOOKUP($A65,[5]库存使用数据!$A:$H,8,0),"")</f>
        <v>0</v>
      </c>
      <c r="S65">
        <f>IFERROR(VLOOKUP($A65,[5]库存使用数据!$A:$K,11,0),"")</f>
        <v>22</v>
      </c>
      <c r="T65">
        <f>IFERROR(VLOOKUP($A65,[5]库存使用数据!$A:$C,3,0),"")</f>
        <v>0</v>
      </c>
      <c r="U65">
        <f>IFERROR(VLOOKUP($A65,[5]库存使用数据!$A:$F,6,0),"")</f>
        <v>0</v>
      </c>
      <c r="V65">
        <f>IFERROR(VLOOKUP($A65,[5]库存使用数据!$A:$I,9,0),"")</f>
        <v>0</v>
      </c>
      <c r="W65">
        <f>IFERROR(VLOOKUP($A65,[5]库存使用数据!$A:$L,12,0),"")</f>
        <v>0</v>
      </c>
      <c r="X65" s="23" t="str">
        <f t="shared" si="9"/>
        <v/>
      </c>
      <c r="Y65" s="23" t="str">
        <f t="shared" si="10"/>
        <v/>
      </c>
      <c r="Z65" s="23" t="str">
        <f t="shared" si="11"/>
        <v/>
      </c>
      <c r="AA65" s="23">
        <f t="shared" si="12"/>
        <v>0</v>
      </c>
      <c r="AB65">
        <f>IFERROR(VLOOKUP($A65,[5]库存使用数据!$A:$D,4,0),"")</f>
        <v>0</v>
      </c>
      <c r="AC65">
        <f>IFERROR(VLOOKUP($A65,[5]库存使用数据!$A:$G,7,0),"")</f>
        <v>0</v>
      </c>
      <c r="AD65">
        <f>IFERROR(VLOOKUP($A65,[5]库存使用数据!$A:$J,10,0),"")</f>
        <v>0</v>
      </c>
      <c r="AE65">
        <f>IFERROR(VLOOKUP($A65,[5]库存使用数据!$A:$M,13,0),"")</f>
        <v>0</v>
      </c>
      <c r="AF65" s="23" t="str">
        <f t="shared" si="13"/>
        <v/>
      </c>
      <c r="AG65" s="23" t="str">
        <f t="shared" si="14"/>
        <v/>
      </c>
      <c r="AH65" s="23" t="str">
        <f t="shared" si="15"/>
        <v/>
      </c>
      <c r="AI65" s="23" t="str">
        <f t="shared" si="16"/>
        <v/>
      </c>
      <c r="AJ65">
        <f>IFERROR(VLOOKUP($B65,[1]库存报告使用数据!$A$1:$B$65536,2,0),0)</f>
        <v>3</v>
      </c>
      <c r="AK65">
        <f>IFERROR(VLOOKUP($B65,[1]库存报告使用数据!$A$1:$C$65536,3,0),0)</f>
        <v>9</v>
      </c>
      <c r="AL65">
        <f>IFERROR(VLOOKUP($B65,[1]库存报告使用数据!$A$1:$D$65536,4,0),0)</f>
        <v>6</v>
      </c>
      <c r="AM65">
        <f>IFERROR(VLOOKUP($B65,[1]库存报告使用数据!$A$1:$E$65536,5,0),0)</f>
        <v>5</v>
      </c>
      <c r="AN65" s="23">
        <f t="shared" si="17"/>
        <v>0</v>
      </c>
      <c r="AO65" s="23">
        <f t="shared" si="18"/>
        <v>0</v>
      </c>
      <c r="AP65" s="23">
        <f t="shared" si="19"/>
        <v>0</v>
      </c>
      <c r="AQ65" s="23">
        <f t="shared" si="20"/>
        <v>0</v>
      </c>
      <c r="AR65" s="38">
        <f t="shared" si="4"/>
        <v>0</v>
      </c>
      <c r="AS65" s="38">
        <f t="shared" si="5"/>
        <v>0</v>
      </c>
      <c r="AT65" s="38">
        <f t="shared" si="6"/>
        <v>5</v>
      </c>
      <c r="AU65" s="33" t="str">
        <f t="shared" si="7"/>
        <v>库存为5</v>
      </c>
      <c r="AV65" s="39" t="str">
        <f>IFERROR(时间!$B$4+AU65,"上周无销量")</f>
        <v>上周无销量</v>
      </c>
    </row>
    <row r="66" spans="1:48">
      <c r="A66" s="35" t="s">
        <v>111</v>
      </c>
      <c r="B66" t="str">
        <f>VLOOKUP(A66,'[2]sku-asin（子）'!$A:$B,2,0)</f>
        <v>B0761PWB12</v>
      </c>
      <c r="C66" t="str">
        <f>VLOOKUP(A66,'[2]子sku-父sku'!$A:$B,2,0)</f>
        <v>MY71115</v>
      </c>
      <c r="D66" s="33">
        <f>IFERROR(VLOOKUP(A66,[3]库存报告使用数据处理!$A:$C,3,0),0)</f>
        <v>0</v>
      </c>
      <c r="E66" s="33">
        <f>IFERROR(VLOOKUP(A66,[3]库存报告使用数据处理!$A:$D,4,0),0)</f>
        <v>0</v>
      </c>
      <c r="F66" s="33">
        <f>IFERROR(VLOOKUP(A66,[3]库存报告使用数据处理!$A:$E,5,0),0)</f>
        <v>0</v>
      </c>
      <c r="G66" s="33">
        <f>IFERROR(VLOOKUP(A66,[3]库存报告使用数据处理!$A:$F,6,0),0)</f>
        <v>0</v>
      </c>
      <c r="H66" s="34">
        <f>IFERROR(VLOOKUP(A66,[3]库存报告使用数据处理!$A:$G,7,0),0)</f>
        <v>0</v>
      </c>
      <c r="I66">
        <f>IFERROR(VLOOKUP(A66,[4]数据处理!$A:$B,2,0),0)</f>
        <v>5</v>
      </c>
      <c r="J66" s="36">
        <f>IFERROR(VLOOKUP(A66,[4]数据处理!$A:$D,4,0),0)</f>
        <v>0</v>
      </c>
      <c r="K66" s="36">
        <f>IFERROR(VLOOKUP(A66,[4]数据处理!$A:$E,5,0),0)</f>
        <v>0</v>
      </c>
      <c r="L66" s="36">
        <f>IFERROR(VLOOKUP(A66,[4]数据处理!$A:$G,7,0),0)</f>
        <v>0</v>
      </c>
      <c r="M66">
        <f t="shared" si="0"/>
        <v>5</v>
      </c>
      <c r="N66">
        <f>IFERROR(VLOOKUP(A66,[4]数据处理!$A:$C,3,0),0)</f>
        <v>0</v>
      </c>
      <c r="O66">
        <f>IFERROR(VLOOKUP($A66,[4]数据处理!$A:$N,14,0),0)</f>
        <v>5</v>
      </c>
      <c r="P66" t="str">
        <f>IFERROR(VLOOKUP($A66,[5]库存使用数据!$A:$B,2,0),"")</f>
        <v/>
      </c>
      <c r="Q66" t="str">
        <f>IFERROR(VLOOKUP($A66,[5]库存使用数据!$A:$E,5,0),"")</f>
        <v/>
      </c>
      <c r="R66" t="str">
        <f>IFERROR(VLOOKUP($A66,[5]库存使用数据!$A:$H,8,0),"")</f>
        <v/>
      </c>
      <c r="S66" t="str">
        <f>IFERROR(VLOOKUP($A66,[5]库存使用数据!$A:$K,11,0),"")</f>
        <v/>
      </c>
      <c r="T66" t="str">
        <f>IFERROR(VLOOKUP($A66,[5]库存使用数据!$A:$C,3,0),"")</f>
        <v/>
      </c>
      <c r="U66" t="str">
        <f>IFERROR(VLOOKUP($A66,[5]库存使用数据!$A:$F,6,0),"")</f>
        <v/>
      </c>
      <c r="V66" t="str">
        <f>IFERROR(VLOOKUP($A66,[5]库存使用数据!$A:$I,9,0),"")</f>
        <v/>
      </c>
      <c r="W66" t="str">
        <f>IFERROR(VLOOKUP($A66,[5]库存使用数据!$A:$L,12,0),"")</f>
        <v/>
      </c>
      <c r="X66" s="23" t="str">
        <f t="shared" si="9"/>
        <v/>
      </c>
      <c r="Y66" s="23" t="str">
        <f t="shared" si="10"/>
        <v/>
      </c>
      <c r="Z66" s="23" t="str">
        <f t="shared" si="11"/>
        <v/>
      </c>
      <c r="AA66" s="23" t="str">
        <f t="shared" si="12"/>
        <v/>
      </c>
      <c r="AB66" t="str">
        <f>IFERROR(VLOOKUP($A66,[5]库存使用数据!$A:$D,4,0),"")</f>
        <v/>
      </c>
      <c r="AC66" t="str">
        <f>IFERROR(VLOOKUP($A66,[5]库存使用数据!$A:$G,7,0),"")</f>
        <v/>
      </c>
      <c r="AD66" t="str">
        <f>IFERROR(VLOOKUP($A66,[5]库存使用数据!$A:$J,10,0),"")</f>
        <v/>
      </c>
      <c r="AE66" t="str">
        <f>IFERROR(VLOOKUP($A66,[5]库存使用数据!$A:$M,13,0),"")</f>
        <v/>
      </c>
      <c r="AF66" s="23" t="str">
        <f t="shared" si="13"/>
        <v/>
      </c>
      <c r="AG66" s="23" t="str">
        <f t="shared" si="14"/>
        <v/>
      </c>
      <c r="AH66" s="23" t="str">
        <f t="shared" si="15"/>
        <v/>
      </c>
      <c r="AI66" s="23" t="str">
        <f t="shared" si="16"/>
        <v/>
      </c>
      <c r="AJ66">
        <f>IFERROR(VLOOKUP($B66,[1]库存报告使用数据!$A$1:$B$65536,2,0),0)</f>
        <v>2</v>
      </c>
      <c r="AK66">
        <f>IFERROR(VLOOKUP($B66,[1]库存报告使用数据!$A$1:$C$65536,3,0),0)</f>
        <v>6</v>
      </c>
      <c r="AL66">
        <f>IFERROR(VLOOKUP($B66,[1]库存报告使用数据!$A$1:$D$65536,4,0),0)</f>
        <v>2</v>
      </c>
      <c r="AM66">
        <f>IFERROR(VLOOKUP($B66,[1]库存报告使用数据!$A$1:$E$65536,5,0),0)</f>
        <v>4</v>
      </c>
      <c r="AN66" s="23">
        <f t="shared" si="17"/>
        <v>0</v>
      </c>
      <c r="AO66" s="23">
        <f t="shared" si="18"/>
        <v>0</v>
      </c>
      <c r="AP66" s="23">
        <f t="shared" si="19"/>
        <v>0</v>
      </c>
      <c r="AQ66" s="23">
        <f t="shared" si="20"/>
        <v>0</v>
      </c>
      <c r="AR66" s="38">
        <f t="shared" si="4"/>
        <v>0</v>
      </c>
      <c r="AS66" s="38">
        <f t="shared" si="5"/>
        <v>0</v>
      </c>
      <c r="AT66" s="38">
        <f t="shared" si="6"/>
        <v>5</v>
      </c>
      <c r="AU66" s="33" t="str">
        <f t="shared" si="7"/>
        <v>库存为5</v>
      </c>
      <c r="AV66" s="39" t="str">
        <f>IFERROR(时间!$B$4+AU66,"上周无销量")</f>
        <v>上周无销量</v>
      </c>
    </row>
    <row r="67" spans="1:48">
      <c r="A67" s="35" t="s">
        <v>112</v>
      </c>
      <c r="B67" t="str">
        <f>VLOOKUP(A67,'[2]sku-asin（子）'!$A:$B,2,0)</f>
        <v>B0761N46BN</v>
      </c>
      <c r="C67" t="str">
        <f>VLOOKUP(A67,'[2]子sku-父sku'!$A:$B,2,0)</f>
        <v>MY71115</v>
      </c>
      <c r="D67" s="33">
        <f>IFERROR(VLOOKUP(A67,[3]库存报告使用数据处理!$A:$C,3,0),0)</f>
        <v>0</v>
      </c>
      <c r="E67" s="33">
        <f>IFERROR(VLOOKUP(A67,[3]库存报告使用数据处理!$A:$D,4,0),0)</f>
        <v>0</v>
      </c>
      <c r="F67" s="33">
        <f>IFERROR(VLOOKUP(A67,[3]库存报告使用数据处理!$A:$E,5,0),0)</f>
        <v>0</v>
      </c>
      <c r="G67" s="33">
        <f>IFERROR(VLOOKUP(A67,[3]库存报告使用数据处理!$A:$F,6,0),0)</f>
        <v>0</v>
      </c>
      <c r="H67" s="34">
        <f>IFERROR(VLOOKUP(A67,[3]库存报告使用数据处理!$A:$G,7,0),0)</f>
        <v>0</v>
      </c>
      <c r="I67">
        <f>IFERROR(VLOOKUP(A67,[4]数据处理!$A:$B,2,0),0)</f>
        <v>4</v>
      </c>
      <c r="J67" s="36">
        <f>IFERROR(VLOOKUP(A67,[4]数据处理!$A:$D,4,0),0)</f>
        <v>0</v>
      </c>
      <c r="K67" s="36">
        <f>IFERROR(VLOOKUP(A67,[4]数据处理!$A:$E,5,0),0)</f>
        <v>0</v>
      </c>
      <c r="L67" s="36">
        <f>IFERROR(VLOOKUP(A67,[4]数据处理!$A:$G,7,0),0)</f>
        <v>0</v>
      </c>
      <c r="M67">
        <f t="shared" si="0"/>
        <v>4</v>
      </c>
      <c r="N67">
        <f>IFERROR(VLOOKUP(A67,[4]数据处理!$A:$C,3,0),0)</f>
        <v>0</v>
      </c>
      <c r="O67">
        <f>IFERROR(VLOOKUP($A67,[4]数据处理!$A:$N,14,0),0)</f>
        <v>4</v>
      </c>
      <c r="P67" t="str">
        <f>IFERROR(VLOOKUP($A67,[5]库存使用数据!$A:$B,2,0),"")</f>
        <v/>
      </c>
      <c r="Q67" t="str">
        <f>IFERROR(VLOOKUP($A67,[5]库存使用数据!$A:$E,5,0),"")</f>
        <v/>
      </c>
      <c r="R67" t="str">
        <f>IFERROR(VLOOKUP($A67,[5]库存使用数据!$A:$H,8,0),"")</f>
        <v/>
      </c>
      <c r="S67" t="str">
        <f>IFERROR(VLOOKUP($A67,[5]库存使用数据!$A:$K,11,0),"")</f>
        <v/>
      </c>
      <c r="T67" t="str">
        <f>IFERROR(VLOOKUP($A67,[5]库存使用数据!$A:$C,3,0),"")</f>
        <v/>
      </c>
      <c r="U67" t="str">
        <f>IFERROR(VLOOKUP($A67,[5]库存使用数据!$A:$F,6,0),"")</f>
        <v/>
      </c>
      <c r="V67" t="str">
        <f>IFERROR(VLOOKUP($A67,[5]库存使用数据!$A:$I,9,0),"")</f>
        <v/>
      </c>
      <c r="W67" t="str">
        <f>IFERROR(VLOOKUP($A67,[5]库存使用数据!$A:$L,12,0),"")</f>
        <v/>
      </c>
      <c r="X67" s="23" t="str">
        <f t="shared" si="9"/>
        <v/>
      </c>
      <c r="Y67" s="23" t="str">
        <f t="shared" si="10"/>
        <v/>
      </c>
      <c r="Z67" s="23" t="str">
        <f t="shared" si="11"/>
        <v/>
      </c>
      <c r="AA67" s="23" t="str">
        <f t="shared" si="12"/>
        <v/>
      </c>
      <c r="AB67" t="str">
        <f>IFERROR(VLOOKUP($A67,[5]库存使用数据!$A:$D,4,0),"")</f>
        <v/>
      </c>
      <c r="AC67" t="str">
        <f>IFERROR(VLOOKUP($A67,[5]库存使用数据!$A:$G,7,0),"")</f>
        <v/>
      </c>
      <c r="AD67" t="str">
        <f>IFERROR(VLOOKUP($A67,[5]库存使用数据!$A:$J,10,0),"")</f>
        <v/>
      </c>
      <c r="AE67" t="str">
        <f>IFERROR(VLOOKUP($A67,[5]库存使用数据!$A:$M,13,0),"")</f>
        <v/>
      </c>
      <c r="AF67" s="23" t="str">
        <f t="shared" si="13"/>
        <v/>
      </c>
      <c r="AG67" s="23" t="str">
        <f t="shared" si="14"/>
        <v/>
      </c>
      <c r="AH67" s="23" t="str">
        <f t="shared" si="15"/>
        <v/>
      </c>
      <c r="AI67" s="23" t="str">
        <f t="shared" si="16"/>
        <v/>
      </c>
      <c r="AJ67">
        <f>IFERROR(VLOOKUP($B67,[1]库存报告使用数据!$A$1:$B$65536,2,0),0)</f>
        <v>2</v>
      </c>
      <c r="AK67">
        <f>IFERROR(VLOOKUP($B67,[1]库存报告使用数据!$A$1:$C$65536,3,0),0)</f>
        <v>14</v>
      </c>
      <c r="AL67">
        <f>IFERROR(VLOOKUP($B67,[1]库存报告使用数据!$A$1:$D$65536,4,0),0)</f>
        <v>14</v>
      </c>
      <c r="AM67">
        <f>IFERROR(VLOOKUP($B67,[1]库存报告使用数据!$A$1:$E$65536,5,0),0)</f>
        <v>2</v>
      </c>
      <c r="AN67" s="23">
        <f t="shared" si="17"/>
        <v>0</v>
      </c>
      <c r="AO67" s="23">
        <f t="shared" si="18"/>
        <v>0</v>
      </c>
      <c r="AP67" s="23">
        <f t="shared" si="19"/>
        <v>0</v>
      </c>
      <c r="AQ67" s="23">
        <f t="shared" si="20"/>
        <v>0</v>
      </c>
      <c r="AR67" s="38">
        <f t="shared" si="4"/>
        <v>0</v>
      </c>
      <c r="AS67" s="38">
        <f t="shared" si="5"/>
        <v>0</v>
      </c>
      <c r="AT67" s="38">
        <f t="shared" si="6"/>
        <v>4</v>
      </c>
      <c r="AU67" s="33" t="str">
        <f t="shared" si="7"/>
        <v>库存为4</v>
      </c>
      <c r="AV67" s="39" t="str">
        <f>IFERROR(时间!$B$4+AU67,"上周无销量")</f>
        <v>上周无销量</v>
      </c>
    </row>
    <row r="68" spans="1:48">
      <c r="A68" s="35" t="s">
        <v>113</v>
      </c>
      <c r="B68" t="str">
        <f>VLOOKUP(A68,'[2]sku-asin（子）'!$A:$B,2,0)</f>
        <v>B0761S2M63</v>
      </c>
      <c r="C68" t="str">
        <f>VLOOKUP(A68,'[2]子sku-父sku'!$A:$B,2,0)</f>
        <v>MY71115</v>
      </c>
      <c r="D68" s="33">
        <f>IFERROR(VLOOKUP(A68,[3]库存报告使用数据处理!$A:$C,3,0),0)</f>
        <v>0</v>
      </c>
      <c r="E68" s="33">
        <f>IFERROR(VLOOKUP(A68,[3]库存报告使用数据处理!$A:$D,4,0),0)</f>
        <v>0</v>
      </c>
      <c r="F68" s="33">
        <f>IFERROR(VLOOKUP(A68,[3]库存报告使用数据处理!$A:$E,5,0),0)</f>
        <v>0</v>
      </c>
      <c r="G68" s="33">
        <f>IFERROR(VLOOKUP(A68,[3]库存报告使用数据处理!$A:$F,6,0),0)</f>
        <v>0</v>
      </c>
      <c r="H68" s="34">
        <f>IFERROR(VLOOKUP(A68,[3]库存报告使用数据处理!$A:$G,7,0),0)</f>
        <v>0</v>
      </c>
      <c r="I68">
        <f>IFERROR(VLOOKUP(A68,[4]数据处理!$A:$B,2,0),0)</f>
        <v>5</v>
      </c>
      <c r="J68" s="36">
        <f>IFERROR(VLOOKUP(A68,[4]数据处理!$A:$D,4,0),0)</f>
        <v>0</v>
      </c>
      <c r="K68" s="36">
        <f>IFERROR(VLOOKUP(A68,[4]数据处理!$A:$E,5,0),0)</f>
        <v>0</v>
      </c>
      <c r="L68" s="36">
        <f>IFERROR(VLOOKUP(A68,[4]数据处理!$A:$G,7,0),0)</f>
        <v>0</v>
      </c>
      <c r="M68">
        <f t="shared" si="0"/>
        <v>5</v>
      </c>
      <c r="N68">
        <f>IFERROR(VLOOKUP(A68,[4]数据处理!$A:$C,3,0),0)</f>
        <v>0</v>
      </c>
      <c r="O68">
        <f>IFERROR(VLOOKUP($A68,[4]数据处理!$A:$N,14,0),0)</f>
        <v>4</v>
      </c>
      <c r="P68" t="str">
        <f>IFERROR(VLOOKUP($A68,[5]库存使用数据!$A:$B,2,0),"")</f>
        <v/>
      </c>
      <c r="Q68" t="str">
        <f>IFERROR(VLOOKUP($A68,[5]库存使用数据!$A:$E,5,0),"")</f>
        <v/>
      </c>
      <c r="R68" t="str">
        <f>IFERROR(VLOOKUP($A68,[5]库存使用数据!$A:$H,8,0),"")</f>
        <v/>
      </c>
      <c r="S68" t="str">
        <f>IFERROR(VLOOKUP($A68,[5]库存使用数据!$A:$K,11,0),"")</f>
        <v/>
      </c>
      <c r="T68" t="str">
        <f>IFERROR(VLOOKUP($A68,[5]库存使用数据!$A:$C,3,0),"")</f>
        <v/>
      </c>
      <c r="U68" t="str">
        <f>IFERROR(VLOOKUP($A68,[5]库存使用数据!$A:$F,6,0),"")</f>
        <v/>
      </c>
      <c r="V68" t="str">
        <f>IFERROR(VLOOKUP($A68,[5]库存使用数据!$A:$I,9,0),"")</f>
        <v/>
      </c>
      <c r="W68" t="str">
        <f>IFERROR(VLOOKUP($A68,[5]库存使用数据!$A:$L,12,0),"")</f>
        <v/>
      </c>
      <c r="X68" s="23" t="str">
        <f t="shared" si="9"/>
        <v/>
      </c>
      <c r="Y68" s="23" t="str">
        <f t="shared" si="10"/>
        <v/>
      </c>
      <c r="Z68" s="23" t="str">
        <f t="shared" si="11"/>
        <v/>
      </c>
      <c r="AA68" s="23" t="str">
        <f t="shared" si="12"/>
        <v/>
      </c>
      <c r="AB68" t="str">
        <f>IFERROR(VLOOKUP($A68,[5]库存使用数据!$A:$D,4,0),"")</f>
        <v/>
      </c>
      <c r="AC68" t="str">
        <f>IFERROR(VLOOKUP($A68,[5]库存使用数据!$A:$G,7,0),"")</f>
        <v/>
      </c>
      <c r="AD68" t="str">
        <f>IFERROR(VLOOKUP($A68,[5]库存使用数据!$A:$J,10,0),"")</f>
        <v/>
      </c>
      <c r="AE68" t="str">
        <f>IFERROR(VLOOKUP($A68,[5]库存使用数据!$A:$M,13,0),"")</f>
        <v/>
      </c>
      <c r="AF68" s="23" t="str">
        <f t="shared" si="13"/>
        <v/>
      </c>
      <c r="AG68" s="23" t="str">
        <f t="shared" si="14"/>
        <v/>
      </c>
      <c r="AH68" s="23" t="str">
        <f t="shared" si="15"/>
        <v/>
      </c>
      <c r="AI68" s="23" t="str">
        <f t="shared" si="16"/>
        <v/>
      </c>
      <c r="AJ68">
        <f>IFERROR(VLOOKUP($B68,[1]库存报告使用数据!$A$1:$B$65536,2,0),0)</f>
        <v>5</v>
      </c>
      <c r="AK68">
        <f>IFERROR(VLOOKUP($B68,[1]库存报告使用数据!$A$1:$C$65536,3,0),0)</f>
        <v>7</v>
      </c>
      <c r="AL68">
        <f>IFERROR(VLOOKUP($B68,[1]库存报告使用数据!$A$1:$D$65536,4,0),0)</f>
        <v>6</v>
      </c>
      <c r="AM68">
        <f>IFERROR(VLOOKUP($B68,[1]库存报告使用数据!$A$1:$E$65536,5,0),0)</f>
        <v>4</v>
      </c>
      <c r="AN68" s="23">
        <f t="shared" si="17"/>
        <v>0</v>
      </c>
      <c r="AO68" s="23">
        <f t="shared" si="18"/>
        <v>0</v>
      </c>
      <c r="AP68" s="23">
        <f t="shared" si="19"/>
        <v>0</v>
      </c>
      <c r="AQ68" s="23">
        <f t="shared" si="20"/>
        <v>0</v>
      </c>
      <c r="AR68" s="38">
        <f t="shared" si="4"/>
        <v>0</v>
      </c>
      <c r="AS68" s="38">
        <f t="shared" si="5"/>
        <v>0</v>
      </c>
      <c r="AT68" s="38">
        <f t="shared" si="6"/>
        <v>5</v>
      </c>
      <c r="AU68" s="33" t="str">
        <f t="shared" si="7"/>
        <v>库存为5</v>
      </c>
      <c r="AV68" s="39" t="str">
        <f>IFERROR(时间!$B$4+AU68,"上周无销量")</f>
        <v>上周无销量</v>
      </c>
    </row>
    <row r="69" spans="1:48">
      <c r="A69" s="35" t="s">
        <v>114</v>
      </c>
      <c r="B69" t="str">
        <f>VLOOKUP(A69,'[2]sku-asin（子）'!$A:$B,2,0)</f>
        <v>B0761MXCJB</v>
      </c>
      <c r="C69" t="str">
        <f>VLOOKUP(A69,'[2]子sku-父sku'!$A:$B,2,0)</f>
        <v>MY71115</v>
      </c>
      <c r="D69" s="33">
        <f>IFERROR(VLOOKUP(A69,[3]库存报告使用数据处理!$A:$C,3,0),0)</f>
        <v>0</v>
      </c>
      <c r="E69" s="33">
        <f>IFERROR(VLOOKUP(A69,[3]库存报告使用数据处理!$A:$D,4,0),0)</f>
        <v>0</v>
      </c>
      <c r="F69" s="33">
        <f>IFERROR(VLOOKUP(A69,[3]库存报告使用数据处理!$A:$E,5,0),0)</f>
        <v>0</v>
      </c>
      <c r="G69" s="33">
        <f>IFERROR(VLOOKUP(A69,[3]库存报告使用数据处理!$A:$F,6,0),0)</f>
        <v>0</v>
      </c>
      <c r="H69" s="34">
        <f>IFERROR(VLOOKUP(A69,[3]库存报告使用数据处理!$A:$G,7,0),0)</f>
        <v>0</v>
      </c>
      <c r="I69">
        <f>IFERROR(VLOOKUP(A69,[4]数据处理!$A:$B,2,0),0)</f>
        <v>7</v>
      </c>
      <c r="J69" s="36">
        <f>IFERROR(VLOOKUP(A69,[4]数据处理!$A:$D,4,0),0)</f>
        <v>0</v>
      </c>
      <c r="K69" s="36">
        <f>IFERROR(VLOOKUP(A69,[4]数据处理!$A:$E,5,0),0)</f>
        <v>0</v>
      </c>
      <c r="L69" s="36">
        <f>IFERROR(VLOOKUP(A69,[4]数据处理!$A:$G,7,0),0)</f>
        <v>0</v>
      </c>
      <c r="M69">
        <f t="shared" ref="M69:M132" si="21">SUM(I69:L69)</f>
        <v>7</v>
      </c>
      <c r="N69">
        <f>IFERROR(VLOOKUP(A69,[4]数据处理!$A:$C,3,0),0)</f>
        <v>0</v>
      </c>
      <c r="O69">
        <f>IFERROR(VLOOKUP($A69,[4]数据处理!$A:$N,14,0),0)</f>
        <v>7</v>
      </c>
      <c r="P69">
        <f>IFERROR(VLOOKUP($A69,[5]库存使用数据!$A:$B,2,0),"")</f>
        <v>0</v>
      </c>
      <c r="Q69">
        <f>IFERROR(VLOOKUP($A69,[5]库存使用数据!$A:$E,5,0),"")</f>
        <v>0</v>
      </c>
      <c r="R69">
        <f>IFERROR(VLOOKUP($A69,[5]库存使用数据!$A:$H,8,0),"")</f>
        <v>0</v>
      </c>
      <c r="S69">
        <f>IFERROR(VLOOKUP($A69,[5]库存使用数据!$A:$K,11,0),"")</f>
        <v>54</v>
      </c>
      <c r="T69">
        <f>IFERROR(VLOOKUP($A69,[5]库存使用数据!$A:$C,3,0),"")</f>
        <v>0</v>
      </c>
      <c r="U69">
        <f>IFERROR(VLOOKUP($A69,[5]库存使用数据!$A:$F,6,0),"")</f>
        <v>0</v>
      </c>
      <c r="V69">
        <f>IFERROR(VLOOKUP($A69,[5]库存使用数据!$A:$I,9,0),"")</f>
        <v>0</v>
      </c>
      <c r="W69">
        <f>IFERROR(VLOOKUP($A69,[5]库存使用数据!$A:$L,12,0),"")</f>
        <v>1</v>
      </c>
      <c r="X69" s="23" t="str">
        <f t="shared" si="9"/>
        <v/>
      </c>
      <c r="Y69" s="23" t="str">
        <f t="shared" si="10"/>
        <v/>
      </c>
      <c r="Z69" s="23" t="str">
        <f t="shared" si="11"/>
        <v/>
      </c>
      <c r="AA69" s="23">
        <f t="shared" si="12"/>
        <v>0.0185185185185185</v>
      </c>
      <c r="AB69">
        <f>IFERROR(VLOOKUP($A69,[5]库存使用数据!$A:$D,4,0),"")</f>
        <v>0</v>
      </c>
      <c r="AC69">
        <f>IFERROR(VLOOKUP($A69,[5]库存使用数据!$A:$G,7,0),"")</f>
        <v>0</v>
      </c>
      <c r="AD69">
        <f>IFERROR(VLOOKUP($A69,[5]库存使用数据!$A:$J,10,0),"")</f>
        <v>0</v>
      </c>
      <c r="AE69">
        <f>IFERROR(VLOOKUP($A69,[5]库存使用数据!$A:$M,13,0),"")</f>
        <v>0.59</v>
      </c>
      <c r="AF69" s="23" t="str">
        <f t="shared" si="13"/>
        <v/>
      </c>
      <c r="AG69" s="23" t="str">
        <f t="shared" si="14"/>
        <v/>
      </c>
      <c r="AH69" s="23" t="str">
        <f t="shared" si="15"/>
        <v/>
      </c>
      <c r="AI69" s="23" t="str">
        <f t="shared" si="16"/>
        <v>无销量广告费为0.59</v>
      </c>
      <c r="AJ69">
        <f>IFERROR(VLOOKUP($B69,[1]库存报告使用数据!$A$1:$B$65536,2,0),0)</f>
        <v>3</v>
      </c>
      <c r="AK69">
        <f>IFERROR(VLOOKUP($B69,[1]库存报告使用数据!$A$1:$C$65536,3,0),0)</f>
        <v>9</v>
      </c>
      <c r="AL69">
        <f>IFERROR(VLOOKUP($B69,[1]库存报告使用数据!$A$1:$D$65536,4,0),0)</f>
        <v>4</v>
      </c>
      <c r="AM69">
        <f>IFERROR(VLOOKUP($B69,[1]库存报告使用数据!$A$1:$E$65536,5,0),0)</f>
        <v>8</v>
      </c>
      <c r="AN69" s="23">
        <f t="shared" si="17"/>
        <v>0</v>
      </c>
      <c r="AO69" s="23">
        <f t="shared" si="18"/>
        <v>0</v>
      </c>
      <c r="AP69" s="23">
        <f t="shared" si="19"/>
        <v>0</v>
      </c>
      <c r="AQ69" s="23">
        <f t="shared" si="20"/>
        <v>0</v>
      </c>
      <c r="AR69" s="38">
        <f t="shared" ref="AR69:AR132" si="22">IFERROR(D69/7,"")</f>
        <v>0</v>
      </c>
      <c r="AS69" s="38">
        <f t="shared" ref="AS69:AS132" si="23">IF(AR69="","上周无销量",60*AR69)</f>
        <v>0</v>
      </c>
      <c r="AT69" s="38">
        <f t="shared" ref="AT69:AT132" si="24">IF(AS69="上周无销量","上周无销量/总库存"&amp;M69,M69-AS69)</f>
        <v>7</v>
      </c>
      <c r="AU69" s="33" t="str">
        <f t="shared" ref="AU69:AU132" si="25">IF(AR69="","库存为"&amp;M69,IF(AS69=0,"库存为"&amp;M69,INT(M69/AR69)))</f>
        <v>库存为7</v>
      </c>
      <c r="AV69" s="39" t="str">
        <f>IFERROR(时间!$B$4+AU69,"上周无销量")</f>
        <v>上周无销量</v>
      </c>
    </row>
    <row r="70" spans="1:48">
      <c r="A70" s="35" t="s">
        <v>115</v>
      </c>
      <c r="B70" t="str">
        <f>VLOOKUP(A70,'[2]sku-asin（子）'!$A:$B,2,0)</f>
        <v>B0761R6ZG2</v>
      </c>
      <c r="C70" t="str">
        <f>VLOOKUP(A70,'[2]子sku-父sku'!$A:$B,2,0)</f>
        <v>MY71115</v>
      </c>
      <c r="D70" s="33">
        <f>IFERROR(VLOOKUP(A70,[3]库存报告使用数据处理!$A:$C,3,0),0)</f>
        <v>0</v>
      </c>
      <c r="E70" s="33">
        <f>IFERROR(VLOOKUP(A70,[3]库存报告使用数据处理!$A:$D,4,0),0)</f>
        <v>0</v>
      </c>
      <c r="F70" s="33">
        <f>IFERROR(VLOOKUP(A70,[3]库存报告使用数据处理!$A:$E,5,0),0)</f>
        <v>0</v>
      </c>
      <c r="G70" s="33">
        <f>IFERROR(VLOOKUP(A70,[3]库存报告使用数据处理!$A:$F,6,0),0)</f>
        <v>0</v>
      </c>
      <c r="H70" s="34">
        <f>IFERROR(VLOOKUP(A70,[3]库存报告使用数据处理!$A:$G,7,0),0)</f>
        <v>0</v>
      </c>
      <c r="I70">
        <f>IFERROR(VLOOKUP(A70,[4]数据处理!$A:$B,2,0),0)</f>
        <v>6</v>
      </c>
      <c r="J70" s="36">
        <f>IFERROR(VLOOKUP(A70,[4]数据处理!$A:$D,4,0),0)</f>
        <v>0</v>
      </c>
      <c r="K70" s="36">
        <f>IFERROR(VLOOKUP(A70,[4]数据处理!$A:$E,5,0),0)</f>
        <v>0</v>
      </c>
      <c r="L70" s="36">
        <f>IFERROR(VLOOKUP(A70,[4]数据处理!$A:$G,7,0),0)</f>
        <v>0</v>
      </c>
      <c r="M70">
        <f t="shared" si="21"/>
        <v>6</v>
      </c>
      <c r="N70">
        <f>IFERROR(VLOOKUP(A70,[4]数据处理!$A:$C,3,0),0)</f>
        <v>0</v>
      </c>
      <c r="O70">
        <f>IFERROR(VLOOKUP($A70,[4]数据处理!$A:$N,14,0),0)</f>
        <v>6</v>
      </c>
      <c r="P70" t="str">
        <f>IFERROR(VLOOKUP($A70,[5]库存使用数据!$A:$B,2,0),"")</f>
        <v/>
      </c>
      <c r="Q70" t="str">
        <f>IFERROR(VLOOKUP($A70,[5]库存使用数据!$A:$E,5,0),"")</f>
        <v/>
      </c>
      <c r="R70" t="str">
        <f>IFERROR(VLOOKUP($A70,[5]库存使用数据!$A:$H,8,0),"")</f>
        <v/>
      </c>
      <c r="S70" t="str">
        <f>IFERROR(VLOOKUP($A70,[5]库存使用数据!$A:$K,11,0),"")</f>
        <v/>
      </c>
      <c r="T70" t="str">
        <f>IFERROR(VLOOKUP($A70,[5]库存使用数据!$A:$C,3,0),"")</f>
        <v/>
      </c>
      <c r="U70" t="str">
        <f>IFERROR(VLOOKUP($A70,[5]库存使用数据!$A:$F,6,0),"")</f>
        <v/>
      </c>
      <c r="V70" t="str">
        <f>IFERROR(VLOOKUP($A70,[5]库存使用数据!$A:$I,9,0),"")</f>
        <v/>
      </c>
      <c r="W70" t="str">
        <f>IFERROR(VLOOKUP($A70,[5]库存使用数据!$A:$L,12,0),"")</f>
        <v/>
      </c>
      <c r="X70" s="23" t="str">
        <f t="shared" ref="X70:X133" si="26">IFERROR(T70/P70,"")</f>
        <v/>
      </c>
      <c r="Y70" s="23" t="str">
        <f t="shared" ref="Y70:Y133" si="27">IFERROR(U70/Q70,"")</f>
        <v/>
      </c>
      <c r="Z70" s="23" t="str">
        <f t="shared" ref="Z70:Z133" si="28">IFERROR(V70/R70,"")</f>
        <v/>
      </c>
      <c r="AA70" s="23" t="str">
        <f t="shared" ref="AA70:AA133" si="29">IFERROR(W70/S70,"")</f>
        <v/>
      </c>
      <c r="AB70" t="str">
        <f>IFERROR(VLOOKUP($A70,[5]库存使用数据!$A:$D,4,0),"")</f>
        <v/>
      </c>
      <c r="AC70" t="str">
        <f>IFERROR(VLOOKUP($A70,[5]库存使用数据!$A:$G,7,0),"")</f>
        <v/>
      </c>
      <c r="AD70" t="str">
        <f>IFERROR(VLOOKUP($A70,[5]库存使用数据!$A:$J,10,0),"")</f>
        <v/>
      </c>
      <c r="AE70" t="str">
        <f>IFERROR(VLOOKUP($A70,[5]库存使用数据!$A:$M,13,0),"")</f>
        <v/>
      </c>
      <c r="AF70" s="23" t="str">
        <f t="shared" ref="AF70:AF133" si="30">IF(OR(AB70="",AB70=0),"",IF(AND(D70*$H70=0,AB70&gt;0),"无销量广告费为"&amp;AB70,AB70/(D70*$H70)))</f>
        <v/>
      </c>
      <c r="AG70" s="23" t="str">
        <f t="shared" ref="AG70:AG133" si="31">IF(OR(AC70="",AC70=0),"",IF(AND(E70*$H70=0,AC70&gt;0),"无销量广告费为"&amp;AC70,AC70/(E70*$H70)))</f>
        <v/>
      </c>
      <c r="AH70" s="23" t="str">
        <f t="shared" ref="AH70:AH133" si="32">IF(OR(AD70="",AD70=0),"",IF(AND(F70*$H70=0,AD70&gt;0),"无销量广告费为"&amp;AD70,AD70/(F70*$H70)))</f>
        <v/>
      </c>
      <c r="AI70" s="23" t="str">
        <f t="shared" ref="AI70:AI133" si="33">IF(OR(AE70="",AE70=0),"",IF(AND(G70*$H70=0,AE70&gt;0),"无销量广告费为"&amp;AE70,AE70/(G70*$H70)))</f>
        <v/>
      </c>
      <c r="AJ70">
        <f>IFERROR(VLOOKUP($B70,[1]库存报告使用数据!$A$1:$B$65536,2,0),0)</f>
        <v>6</v>
      </c>
      <c r="AK70">
        <f>IFERROR(VLOOKUP($B70,[1]库存报告使用数据!$A$1:$C$65536,3,0),0)</f>
        <v>11</v>
      </c>
      <c r="AL70">
        <f>IFERROR(VLOOKUP($B70,[1]库存报告使用数据!$A$1:$D$65536,4,0),0)</f>
        <v>11</v>
      </c>
      <c r="AM70">
        <f>IFERROR(VLOOKUP($B70,[1]库存报告使用数据!$A$1:$E$65536,5,0),0)</f>
        <v>1</v>
      </c>
      <c r="AN70" s="23">
        <f t="shared" ref="AN70:AN133" si="34">IFERROR(D70/AJ70,"")</f>
        <v>0</v>
      </c>
      <c r="AO70" s="23">
        <f t="shared" ref="AO70:AO133" si="35">IFERROR(E70/AK70,"")</f>
        <v>0</v>
      </c>
      <c r="AP70" s="23">
        <f t="shared" ref="AP70:AP133" si="36">IFERROR(F70/AL70,"")</f>
        <v>0</v>
      </c>
      <c r="AQ70" s="23">
        <f t="shared" ref="AQ70:AQ133" si="37">IFERROR(G70/AM70,"")</f>
        <v>0</v>
      </c>
      <c r="AR70" s="38">
        <f t="shared" si="22"/>
        <v>0</v>
      </c>
      <c r="AS70" s="38">
        <f t="shared" si="23"/>
        <v>0</v>
      </c>
      <c r="AT70" s="38">
        <f t="shared" si="24"/>
        <v>6</v>
      </c>
      <c r="AU70" s="33" t="str">
        <f t="shared" si="25"/>
        <v>库存为6</v>
      </c>
      <c r="AV70" s="39" t="str">
        <f>IFERROR(时间!$B$4+AU70,"上周无销量")</f>
        <v>上周无销量</v>
      </c>
    </row>
    <row r="71" spans="1:48">
      <c r="A71" s="35" t="s">
        <v>116</v>
      </c>
      <c r="B71" t="str">
        <f>VLOOKUP(A71,'[2]sku-asin（子）'!$A:$B,2,0)</f>
        <v>B0761PBXCV</v>
      </c>
      <c r="C71" t="str">
        <f>VLOOKUP(A71,'[2]子sku-父sku'!$A:$B,2,0)</f>
        <v>MY71115</v>
      </c>
      <c r="D71" s="33">
        <f>IFERROR(VLOOKUP(A71,[3]库存报告使用数据处理!$A:$C,3,0),0)</f>
        <v>0</v>
      </c>
      <c r="E71" s="33">
        <f>IFERROR(VLOOKUP(A71,[3]库存报告使用数据处理!$A:$D,4,0),0)</f>
        <v>0</v>
      </c>
      <c r="F71" s="33">
        <f>IFERROR(VLOOKUP(A71,[3]库存报告使用数据处理!$A:$E,5,0),0)</f>
        <v>0</v>
      </c>
      <c r="G71" s="33">
        <f>IFERROR(VLOOKUP(A71,[3]库存报告使用数据处理!$A:$F,6,0),0)</f>
        <v>1</v>
      </c>
      <c r="H71" s="34">
        <f>IFERROR(VLOOKUP(A71,[3]库存报告使用数据处理!$A:$G,7,0),0)</f>
        <v>42.99</v>
      </c>
      <c r="I71">
        <f>IFERROR(VLOOKUP(A71,[4]数据处理!$A:$B,2,0),0)</f>
        <v>5</v>
      </c>
      <c r="J71" s="36">
        <f>IFERROR(VLOOKUP(A71,[4]数据处理!$A:$D,4,0),0)</f>
        <v>0</v>
      </c>
      <c r="K71" s="36">
        <f>IFERROR(VLOOKUP(A71,[4]数据处理!$A:$E,5,0),0)</f>
        <v>0</v>
      </c>
      <c r="L71" s="36">
        <f>IFERROR(VLOOKUP(A71,[4]数据处理!$A:$G,7,0),0)</f>
        <v>0</v>
      </c>
      <c r="M71">
        <f t="shared" si="21"/>
        <v>5</v>
      </c>
      <c r="N71">
        <f>IFERROR(VLOOKUP(A71,[4]数据处理!$A:$C,3,0),0)</f>
        <v>2</v>
      </c>
      <c r="O71">
        <f>IFERROR(VLOOKUP($A71,[4]数据处理!$A:$N,14,0),0)</f>
        <v>4</v>
      </c>
      <c r="P71">
        <f>IFERROR(VLOOKUP($A71,[5]库存使用数据!$A:$B,2,0),"")</f>
        <v>0</v>
      </c>
      <c r="Q71">
        <f>IFERROR(VLOOKUP($A71,[5]库存使用数据!$A:$E,5,0),"")</f>
        <v>0</v>
      </c>
      <c r="R71">
        <f>IFERROR(VLOOKUP($A71,[5]库存使用数据!$A:$H,8,0),"")</f>
        <v>0</v>
      </c>
      <c r="S71">
        <f>IFERROR(VLOOKUP($A71,[5]库存使用数据!$A:$K,11,0),"")</f>
        <v>134</v>
      </c>
      <c r="T71">
        <f>IFERROR(VLOOKUP($A71,[5]库存使用数据!$A:$C,3,0),"")</f>
        <v>0</v>
      </c>
      <c r="U71">
        <f>IFERROR(VLOOKUP($A71,[5]库存使用数据!$A:$F,6,0),"")</f>
        <v>0</v>
      </c>
      <c r="V71">
        <f>IFERROR(VLOOKUP($A71,[5]库存使用数据!$A:$I,9,0),"")</f>
        <v>0</v>
      </c>
      <c r="W71">
        <f>IFERROR(VLOOKUP($A71,[5]库存使用数据!$A:$L,12,0),"")</f>
        <v>0</v>
      </c>
      <c r="X71" s="23" t="str">
        <f t="shared" si="26"/>
        <v/>
      </c>
      <c r="Y71" s="23" t="str">
        <f t="shared" si="27"/>
        <v/>
      </c>
      <c r="Z71" s="23" t="str">
        <f t="shared" si="28"/>
        <v/>
      </c>
      <c r="AA71" s="23">
        <f t="shared" si="29"/>
        <v>0</v>
      </c>
      <c r="AB71">
        <f>IFERROR(VLOOKUP($A71,[5]库存使用数据!$A:$D,4,0),"")</f>
        <v>0</v>
      </c>
      <c r="AC71">
        <f>IFERROR(VLOOKUP($A71,[5]库存使用数据!$A:$G,7,0),"")</f>
        <v>0</v>
      </c>
      <c r="AD71">
        <f>IFERROR(VLOOKUP($A71,[5]库存使用数据!$A:$J,10,0),"")</f>
        <v>0</v>
      </c>
      <c r="AE71">
        <f>IFERROR(VLOOKUP($A71,[5]库存使用数据!$A:$M,13,0),"")</f>
        <v>0</v>
      </c>
      <c r="AF71" s="23" t="str">
        <f t="shared" si="30"/>
        <v/>
      </c>
      <c r="AG71" s="23" t="str">
        <f t="shared" si="31"/>
        <v/>
      </c>
      <c r="AH71" s="23" t="str">
        <f t="shared" si="32"/>
        <v/>
      </c>
      <c r="AI71" s="23" t="str">
        <f t="shared" si="33"/>
        <v/>
      </c>
      <c r="AJ71">
        <f>IFERROR(VLOOKUP($B71,[1]库存报告使用数据!$A$1:$B$65536,2,0),0)</f>
        <v>3</v>
      </c>
      <c r="AK71">
        <f>IFERROR(VLOOKUP($B71,[1]库存报告使用数据!$A$1:$C$65536,3,0),0)</f>
        <v>12</v>
      </c>
      <c r="AL71">
        <f>IFERROR(VLOOKUP($B71,[1]库存报告使用数据!$A$1:$D$65536,4,0),0)</f>
        <v>6</v>
      </c>
      <c r="AM71">
        <f>IFERROR(VLOOKUP($B71,[1]库存报告使用数据!$A$1:$E$65536,5,0),0)</f>
        <v>4</v>
      </c>
      <c r="AN71" s="23">
        <f t="shared" si="34"/>
        <v>0</v>
      </c>
      <c r="AO71" s="23">
        <f t="shared" si="35"/>
        <v>0</v>
      </c>
      <c r="AP71" s="23">
        <f t="shared" si="36"/>
        <v>0</v>
      </c>
      <c r="AQ71" s="23">
        <f t="shared" si="37"/>
        <v>0.25</v>
      </c>
      <c r="AR71" s="38">
        <f t="shared" si="22"/>
        <v>0</v>
      </c>
      <c r="AS71" s="38">
        <f t="shared" si="23"/>
        <v>0</v>
      </c>
      <c r="AT71" s="38">
        <f t="shared" si="24"/>
        <v>5</v>
      </c>
      <c r="AU71" s="33" t="str">
        <f t="shared" si="25"/>
        <v>库存为5</v>
      </c>
      <c r="AV71" s="39" t="str">
        <f>IFERROR(时间!$B$4+AU71,"上周无销量")</f>
        <v>上周无销量</v>
      </c>
    </row>
    <row r="72" spans="1:48">
      <c r="A72" s="35" t="s">
        <v>117</v>
      </c>
      <c r="B72" t="str">
        <f>VLOOKUP(A72,'[2]sku-asin（子）'!$A:$B,2,0)</f>
        <v>B0761MLYTQ</v>
      </c>
      <c r="C72" t="str">
        <f>VLOOKUP(A72,'[2]子sku-父sku'!$A:$B,2,0)</f>
        <v>MY71115</v>
      </c>
      <c r="D72" s="33">
        <f>IFERROR(VLOOKUP(A72,[3]库存报告使用数据处理!$A:$C,3,0),0)</f>
        <v>0</v>
      </c>
      <c r="E72" s="33">
        <f>IFERROR(VLOOKUP(A72,[3]库存报告使用数据处理!$A:$D,4,0),0)</f>
        <v>0</v>
      </c>
      <c r="F72" s="33">
        <f>IFERROR(VLOOKUP(A72,[3]库存报告使用数据处理!$A:$E,5,0),0)</f>
        <v>0</v>
      </c>
      <c r="G72" s="33">
        <f>IFERROR(VLOOKUP(A72,[3]库存报告使用数据处理!$A:$F,6,0),0)</f>
        <v>0</v>
      </c>
      <c r="H72" s="34">
        <f>IFERROR(VLOOKUP(A72,[3]库存报告使用数据处理!$A:$G,7,0),0)</f>
        <v>0</v>
      </c>
      <c r="I72">
        <f>IFERROR(VLOOKUP(A72,[4]数据处理!$A:$B,2,0),0)</f>
        <v>8</v>
      </c>
      <c r="J72" s="36">
        <f>IFERROR(VLOOKUP(A72,[4]数据处理!$A:$D,4,0),0)</f>
        <v>0</v>
      </c>
      <c r="K72" s="36">
        <f>IFERROR(VLOOKUP(A72,[4]数据处理!$A:$E,5,0),0)</f>
        <v>0</v>
      </c>
      <c r="L72" s="36">
        <f>IFERROR(VLOOKUP(A72,[4]数据处理!$A:$G,7,0),0)</f>
        <v>0</v>
      </c>
      <c r="M72">
        <f t="shared" si="21"/>
        <v>8</v>
      </c>
      <c r="N72">
        <f>IFERROR(VLOOKUP(A72,[4]数据处理!$A:$C,3,0),0)</f>
        <v>0</v>
      </c>
      <c r="O72">
        <f>IFERROR(VLOOKUP($A72,[4]数据处理!$A:$N,14,0),0)</f>
        <v>8</v>
      </c>
      <c r="P72">
        <f>IFERROR(VLOOKUP($A72,[5]库存使用数据!$A:$B,2,0),"")</f>
        <v>0</v>
      </c>
      <c r="Q72">
        <f>IFERROR(VLOOKUP($A72,[5]库存使用数据!$A:$E,5,0),"")</f>
        <v>0</v>
      </c>
      <c r="R72">
        <f>IFERROR(VLOOKUP($A72,[5]库存使用数据!$A:$H,8,0),"")</f>
        <v>0</v>
      </c>
      <c r="S72">
        <f>IFERROR(VLOOKUP($A72,[5]库存使用数据!$A:$K,11,0),"")</f>
        <v>52</v>
      </c>
      <c r="T72">
        <f>IFERROR(VLOOKUP($A72,[5]库存使用数据!$A:$C,3,0),"")</f>
        <v>0</v>
      </c>
      <c r="U72">
        <f>IFERROR(VLOOKUP($A72,[5]库存使用数据!$A:$F,6,0),"")</f>
        <v>0</v>
      </c>
      <c r="V72">
        <f>IFERROR(VLOOKUP($A72,[5]库存使用数据!$A:$I,9,0),"")</f>
        <v>0</v>
      </c>
      <c r="W72">
        <f>IFERROR(VLOOKUP($A72,[5]库存使用数据!$A:$L,12,0),"")</f>
        <v>0</v>
      </c>
      <c r="X72" s="23" t="str">
        <f t="shared" si="26"/>
        <v/>
      </c>
      <c r="Y72" s="23" t="str">
        <f t="shared" si="27"/>
        <v/>
      </c>
      <c r="Z72" s="23" t="str">
        <f t="shared" si="28"/>
        <v/>
      </c>
      <c r="AA72" s="23">
        <f t="shared" si="29"/>
        <v>0</v>
      </c>
      <c r="AB72">
        <f>IFERROR(VLOOKUP($A72,[5]库存使用数据!$A:$D,4,0),"")</f>
        <v>0</v>
      </c>
      <c r="AC72">
        <f>IFERROR(VLOOKUP($A72,[5]库存使用数据!$A:$G,7,0),"")</f>
        <v>0</v>
      </c>
      <c r="AD72">
        <f>IFERROR(VLOOKUP($A72,[5]库存使用数据!$A:$J,10,0),"")</f>
        <v>0</v>
      </c>
      <c r="AE72">
        <f>IFERROR(VLOOKUP($A72,[5]库存使用数据!$A:$M,13,0),"")</f>
        <v>0</v>
      </c>
      <c r="AF72" s="23" t="str">
        <f t="shared" si="30"/>
        <v/>
      </c>
      <c r="AG72" s="23" t="str">
        <f t="shared" si="31"/>
        <v/>
      </c>
      <c r="AH72" s="23" t="str">
        <f t="shared" si="32"/>
        <v/>
      </c>
      <c r="AI72" s="23" t="str">
        <f t="shared" si="33"/>
        <v/>
      </c>
      <c r="AJ72">
        <f>IFERROR(VLOOKUP($B72,[1]库存报告使用数据!$A$1:$B$65536,2,0),0)</f>
        <v>1</v>
      </c>
      <c r="AK72">
        <f>IFERROR(VLOOKUP($B72,[1]库存报告使用数据!$A$1:$C$65536,3,0),0)</f>
        <v>11</v>
      </c>
      <c r="AL72">
        <f>IFERROR(VLOOKUP($B72,[1]库存报告使用数据!$A$1:$D$65536,4,0),0)</f>
        <v>4</v>
      </c>
      <c r="AM72">
        <f>IFERROR(VLOOKUP($B72,[1]库存报告使用数据!$A$1:$E$65536,5,0),0)</f>
        <v>3</v>
      </c>
      <c r="AN72" s="23">
        <f t="shared" si="34"/>
        <v>0</v>
      </c>
      <c r="AO72" s="23">
        <f t="shared" si="35"/>
        <v>0</v>
      </c>
      <c r="AP72" s="23">
        <f t="shared" si="36"/>
        <v>0</v>
      </c>
      <c r="AQ72" s="23">
        <f t="shared" si="37"/>
        <v>0</v>
      </c>
      <c r="AR72" s="38">
        <f t="shared" si="22"/>
        <v>0</v>
      </c>
      <c r="AS72" s="38">
        <f t="shared" si="23"/>
        <v>0</v>
      </c>
      <c r="AT72" s="38">
        <f t="shared" si="24"/>
        <v>8</v>
      </c>
      <c r="AU72" s="33" t="str">
        <f t="shared" si="25"/>
        <v>库存为8</v>
      </c>
      <c r="AV72" s="39" t="str">
        <f>IFERROR(时间!$B$4+AU72,"上周无销量")</f>
        <v>上周无销量</v>
      </c>
    </row>
    <row r="73" spans="1:48">
      <c r="A73" s="35" t="s">
        <v>118</v>
      </c>
      <c r="B73" t="str">
        <f>VLOOKUP(A73,'[2]sku-asin（子）'!$A:$B,2,0)</f>
        <v>B074JWL6PF</v>
      </c>
      <c r="C73" t="str">
        <f>VLOOKUP(A73,'[2]子sku-父sku'!$A:$B,2,0)</f>
        <v>MZCXK</v>
      </c>
      <c r="D73" s="33">
        <f>IFERROR(VLOOKUP(A73,[3]库存报告使用数据处理!$A:$C,3,0),0)</f>
        <v>0</v>
      </c>
      <c r="E73" s="33">
        <f>IFERROR(VLOOKUP(A73,[3]库存报告使用数据处理!$A:$D,4,0),0)</f>
        <v>0</v>
      </c>
      <c r="F73" s="33">
        <f>IFERROR(VLOOKUP(A73,[3]库存报告使用数据处理!$A:$E,5,0),0)</f>
        <v>0</v>
      </c>
      <c r="G73" s="33">
        <f>IFERROR(VLOOKUP(A73,[3]库存报告使用数据处理!$A:$F,6,0),0)</f>
        <v>0</v>
      </c>
      <c r="H73" s="34">
        <f>IFERROR(VLOOKUP(A73,[3]库存报告使用数据处理!$A:$G,7,0),0)</f>
        <v>0</v>
      </c>
      <c r="I73">
        <f>IFERROR(VLOOKUP(A73,[4]数据处理!$A:$B,2,0),0)</f>
        <v>43</v>
      </c>
      <c r="J73" s="36">
        <f>IFERROR(VLOOKUP(A73,[4]数据处理!$A:$D,4,0),0)</f>
        <v>0</v>
      </c>
      <c r="K73" s="36">
        <f>IFERROR(VLOOKUP(A73,[4]数据处理!$A:$E,5,0),0)</f>
        <v>0</v>
      </c>
      <c r="L73" s="36">
        <f>IFERROR(VLOOKUP(A73,[4]数据处理!$A:$G,7,0),0)</f>
        <v>0</v>
      </c>
      <c r="M73">
        <f t="shared" si="21"/>
        <v>43</v>
      </c>
      <c r="N73">
        <f>IFERROR(VLOOKUP(A73,[4]数据处理!$A:$C,3,0),0)</f>
        <v>0</v>
      </c>
      <c r="O73">
        <f>IFERROR(VLOOKUP($A73,[4]数据处理!$A:$N,14,0),0)</f>
        <v>43</v>
      </c>
      <c r="P73">
        <f>IFERROR(VLOOKUP($A73,[5]库存使用数据!$A:$B,2,0),"")</f>
        <v>89</v>
      </c>
      <c r="Q73">
        <f>IFERROR(VLOOKUP($A73,[5]库存使用数据!$A:$E,5,0),"")</f>
        <v>63</v>
      </c>
      <c r="R73">
        <f>IFERROR(VLOOKUP($A73,[5]库存使用数据!$A:$H,8,0),"")</f>
        <v>214</v>
      </c>
      <c r="S73">
        <f>IFERROR(VLOOKUP($A73,[5]库存使用数据!$A:$K,11,0),"")</f>
        <v>602</v>
      </c>
      <c r="T73">
        <f>IFERROR(VLOOKUP($A73,[5]库存使用数据!$A:$C,3,0),"")</f>
        <v>0</v>
      </c>
      <c r="U73">
        <f>IFERROR(VLOOKUP($A73,[5]库存使用数据!$A:$F,6,0),"")</f>
        <v>0</v>
      </c>
      <c r="V73">
        <f>IFERROR(VLOOKUP($A73,[5]库存使用数据!$A:$I,9,0),"")</f>
        <v>0</v>
      </c>
      <c r="W73">
        <f>IFERROR(VLOOKUP($A73,[5]库存使用数据!$A:$L,12,0),"")</f>
        <v>1</v>
      </c>
      <c r="X73" s="23">
        <f t="shared" si="26"/>
        <v>0</v>
      </c>
      <c r="Y73" s="23">
        <f t="shared" si="27"/>
        <v>0</v>
      </c>
      <c r="Z73" s="23">
        <f t="shared" si="28"/>
        <v>0</v>
      </c>
      <c r="AA73" s="23">
        <f t="shared" si="29"/>
        <v>0.00166112956810631</v>
      </c>
      <c r="AB73">
        <f>IFERROR(VLOOKUP($A73,[5]库存使用数据!$A:$D,4,0),"")</f>
        <v>0</v>
      </c>
      <c r="AC73">
        <f>IFERROR(VLOOKUP($A73,[5]库存使用数据!$A:$G,7,0),"")</f>
        <v>0</v>
      </c>
      <c r="AD73">
        <f>IFERROR(VLOOKUP($A73,[5]库存使用数据!$A:$J,10,0),"")</f>
        <v>0</v>
      </c>
      <c r="AE73">
        <f>IFERROR(VLOOKUP($A73,[5]库存使用数据!$A:$M,13,0),"")</f>
        <v>0.7</v>
      </c>
      <c r="AF73" s="23" t="str">
        <f t="shared" si="30"/>
        <v/>
      </c>
      <c r="AG73" s="23" t="str">
        <f t="shared" si="31"/>
        <v/>
      </c>
      <c r="AH73" s="23" t="str">
        <f t="shared" si="32"/>
        <v/>
      </c>
      <c r="AI73" s="23" t="str">
        <f t="shared" si="33"/>
        <v>无销量广告费为0.7</v>
      </c>
      <c r="AJ73">
        <f>IFERROR(VLOOKUP($B73,[1]库存报告使用数据!$A$1:$B$65536,2,0),0)</f>
        <v>3</v>
      </c>
      <c r="AK73">
        <f>IFERROR(VLOOKUP($B73,[1]库存报告使用数据!$A$1:$C$65536,3,0),0)</f>
        <v>4</v>
      </c>
      <c r="AL73">
        <f>IFERROR(VLOOKUP($B73,[1]库存报告使用数据!$A$1:$D$65536,4,0),0)</f>
        <v>5</v>
      </c>
      <c r="AM73">
        <f>IFERROR(VLOOKUP($B73,[1]库存报告使用数据!$A$1:$E$65536,5,0),0)</f>
        <v>1</v>
      </c>
      <c r="AN73" s="23">
        <f t="shared" si="34"/>
        <v>0</v>
      </c>
      <c r="AO73" s="23">
        <f t="shared" si="35"/>
        <v>0</v>
      </c>
      <c r="AP73" s="23">
        <f t="shared" si="36"/>
        <v>0</v>
      </c>
      <c r="AQ73" s="23">
        <f t="shared" si="37"/>
        <v>0</v>
      </c>
      <c r="AR73" s="38">
        <f t="shared" si="22"/>
        <v>0</v>
      </c>
      <c r="AS73" s="38">
        <f t="shared" si="23"/>
        <v>0</v>
      </c>
      <c r="AT73" s="38">
        <f t="shared" si="24"/>
        <v>43</v>
      </c>
      <c r="AU73" s="33" t="str">
        <f t="shared" si="25"/>
        <v>库存为43</v>
      </c>
      <c r="AV73" s="39" t="str">
        <f>IFERROR(时间!$B$4+AU73,"上周无销量")</f>
        <v>上周无销量</v>
      </c>
    </row>
    <row r="74" spans="1:48">
      <c r="A74" s="35" t="s">
        <v>119</v>
      </c>
      <c r="B74" t="str">
        <f>VLOOKUP(A74,'[2]sku-asin（子）'!$A:$B,2,0)</f>
        <v>B074JWL4F2</v>
      </c>
      <c r="C74" t="str">
        <f>VLOOKUP(A74,'[2]子sku-父sku'!$A:$B,2,0)</f>
        <v>MZCXK</v>
      </c>
      <c r="D74" s="33">
        <f>IFERROR(VLOOKUP(A74,[3]库存报告使用数据处理!$A:$C,3,0),0)</f>
        <v>0</v>
      </c>
      <c r="E74" s="33">
        <f>IFERROR(VLOOKUP(A74,[3]库存报告使用数据处理!$A:$D,4,0),0)</f>
        <v>1</v>
      </c>
      <c r="F74" s="33">
        <f>IFERROR(VLOOKUP(A74,[3]库存报告使用数据处理!$A:$E,5,0),0)</f>
        <v>0</v>
      </c>
      <c r="G74" s="33">
        <f>IFERROR(VLOOKUP(A74,[3]库存报告使用数据处理!$A:$F,6,0),0)</f>
        <v>1</v>
      </c>
      <c r="H74" s="34">
        <f>IFERROR(VLOOKUP(A74,[3]库存报告使用数据处理!$A:$G,7,0),0)</f>
        <v>7.99</v>
      </c>
      <c r="I74">
        <f>IFERROR(VLOOKUP(A74,[4]数据处理!$A:$B,2,0),0)</f>
        <v>41</v>
      </c>
      <c r="J74" s="36">
        <f>IFERROR(VLOOKUP(A74,[4]数据处理!$A:$D,4,0),0)</f>
        <v>0</v>
      </c>
      <c r="K74" s="36">
        <f>IFERROR(VLOOKUP(A74,[4]数据处理!$A:$E,5,0),0)</f>
        <v>0</v>
      </c>
      <c r="L74" s="36">
        <f>IFERROR(VLOOKUP(A74,[4]数据处理!$A:$G,7,0),0)</f>
        <v>0</v>
      </c>
      <c r="M74">
        <f t="shared" si="21"/>
        <v>41</v>
      </c>
      <c r="N74">
        <f>IFERROR(VLOOKUP(A74,[4]数据处理!$A:$C,3,0),0)</f>
        <v>0</v>
      </c>
      <c r="O74">
        <f>IFERROR(VLOOKUP($A74,[4]数据处理!$A:$N,14,0),0)</f>
        <v>40</v>
      </c>
      <c r="P74">
        <f>IFERROR(VLOOKUP($A74,[5]库存使用数据!$A:$B,2,0),"")</f>
        <v>713</v>
      </c>
      <c r="Q74">
        <f>IFERROR(VLOOKUP($A74,[5]库存使用数据!$A:$E,5,0),"")</f>
        <v>528</v>
      </c>
      <c r="R74">
        <f>IFERROR(VLOOKUP($A74,[5]库存使用数据!$A:$H,8,0),"")</f>
        <v>685</v>
      </c>
      <c r="S74">
        <f>IFERROR(VLOOKUP($A74,[5]库存使用数据!$A:$K,11,0),"")</f>
        <v>1736</v>
      </c>
      <c r="T74">
        <f>IFERROR(VLOOKUP($A74,[5]库存使用数据!$A:$C,3,0),"")</f>
        <v>3</v>
      </c>
      <c r="U74">
        <f>IFERROR(VLOOKUP($A74,[5]库存使用数据!$A:$F,6,0),"")</f>
        <v>1</v>
      </c>
      <c r="V74">
        <f>IFERROR(VLOOKUP($A74,[5]库存使用数据!$A:$I,9,0),"")</f>
        <v>1</v>
      </c>
      <c r="W74">
        <f>IFERROR(VLOOKUP($A74,[5]库存使用数据!$A:$L,12,0),"")</f>
        <v>0</v>
      </c>
      <c r="X74" s="23">
        <f t="shared" si="26"/>
        <v>0.00420757363253857</v>
      </c>
      <c r="Y74" s="23">
        <f t="shared" si="27"/>
        <v>0.00189393939393939</v>
      </c>
      <c r="Z74" s="23">
        <f t="shared" si="28"/>
        <v>0.00145985401459854</v>
      </c>
      <c r="AA74" s="23">
        <f t="shared" si="29"/>
        <v>0</v>
      </c>
      <c r="AB74">
        <f>IFERROR(VLOOKUP($A74,[5]库存使用数据!$A:$D,4,0),"")</f>
        <v>1.32</v>
      </c>
      <c r="AC74">
        <f>IFERROR(VLOOKUP($A74,[5]库存使用数据!$A:$G,7,0),"")</f>
        <v>0.4</v>
      </c>
      <c r="AD74">
        <f>IFERROR(VLOOKUP($A74,[5]库存使用数据!$A:$J,10,0),"")</f>
        <v>0.15</v>
      </c>
      <c r="AE74">
        <f>IFERROR(VLOOKUP($A74,[5]库存使用数据!$A:$M,13,0),"")</f>
        <v>0</v>
      </c>
      <c r="AF74" s="23" t="str">
        <f t="shared" si="30"/>
        <v>无销量广告费为1.32</v>
      </c>
      <c r="AG74" s="23">
        <f t="shared" si="31"/>
        <v>0.0500625782227785</v>
      </c>
      <c r="AH74" s="23" t="str">
        <f t="shared" si="32"/>
        <v>无销量广告费为0.15</v>
      </c>
      <c r="AI74" s="23" t="str">
        <f t="shared" si="33"/>
        <v/>
      </c>
      <c r="AJ74">
        <f>IFERROR(VLOOKUP($B74,[1]库存报告使用数据!$A$1:$B$65536,2,0),0)</f>
        <v>4</v>
      </c>
      <c r="AK74">
        <f>IFERROR(VLOOKUP($B74,[1]库存报告使用数据!$A$1:$C$65536,3,0),0)</f>
        <v>4</v>
      </c>
      <c r="AL74">
        <f>IFERROR(VLOOKUP($B74,[1]库存报告使用数据!$A$1:$D$65536,4,0),0)</f>
        <v>3</v>
      </c>
      <c r="AM74">
        <f>IFERROR(VLOOKUP($B74,[1]库存报告使用数据!$A$1:$E$65536,5,0),0)</f>
        <v>7</v>
      </c>
      <c r="AN74" s="23">
        <f t="shared" si="34"/>
        <v>0</v>
      </c>
      <c r="AO74" s="23">
        <f t="shared" si="35"/>
        <v>0.25</v>
      </c>
      <c r="AP74" s="23">
        <f t="shared" si="36"/>
        <v>0</v>
      </c>
      <c r="AQ74" s="23">
        <f t="shared" si="37"/>
        <v>0.142857142857143</v>
      </c>
      <c r="AR74" s="38">
        <f t="shared" si="22"/>
        <v>0</v>
      </c>
      <c r="AS74" s="38">
        <f t="shared" si="23"/>
        <v>0</v>
      </c>
      <c r="AT74" s="38">
        <f t="shared" si="24"/>
        <v>41</v>
      </c>
      <c r="AU74" s="33" t="str">
        <f t="shared" si="25"/>
        <v>库存为41</v>
      </c>
      <c r="AV74" s="39" t="str">
        <f>IFERROR(时间!$B$4+AU74,"上周无销量")</f>
        <v>上周无销量</v>
      </c>
    </row>
    <row r="75" spans="1:48">
      <c r="A75" s="35" t="s">
        <v>120</v>
      </c>
      <c r="B75" t="str">
        <f>VLOOKUP(A75,'[2]sku-asin（子）'!$A:$B,2,0)</f>
        <v>B074JV7QWX</v>
      </c>
      <c r="C75" t="str">
        <f>VLOOKUP(A75,'[2]子sku-父sku'!$A:$B,2,0)</f>
        <v>MZCXK</v>
      </c>
      <c r="D75" s="33">
        <f>IFERROR(VLOOKUP(A75,[3]库存报告使用数据处理!$A:$C,3,0),0)</f>
        <v>0</v>
      </c>
      <c r="E75" s="33">
        <f>IFERROR(VLOOKUP(A75,[3]库存报告使用数据处理!$A:$D,4,0),0)</f>
        <v>0</v>
      </c>
      <c r="F75" s="33">
        <f>IFERROR(VLOOKUP(A75,[3]库存报告使用数据处理!$A:$E,5,0),0)</f>
        <v>0</v>
      </c>
      <c r="G75" s="33">
        <f>IFERROR(VLOOKUP(A75,[3]库存报告使用数据处理!$A:$F,6,0),0)</f>
        <v>0</v>
      </c>
      <c r="H75" s="34">
        <f>IFERROR(VLOOKUP(A75,[3]库存报告使用数据处理!$A:$G,7,0),0)</f>
        <v>0</v>
      </c>
      <c r="I75">
        <f>IFERROR(VLOOKUP(A75,[4]数据处理!$A:$B,2,0),0)</f>
        <v>46</v>
      </c>
      <c r="J75" s="36">
        <f>IFERROR(VLOOKUP(A75,[4]数据处理!$A:$D,4,0),0)</f>
        <v>0</v>
      </c>
      <c r="K75" s="36">
        <f>IFERROR(VLOOKUP(A75,[4]数据处理!$A:$E,5,0),0)</f>
        <v>0</v>
      </c>
      <c r="L75" s="36">
        <f>IFERROR(VLOOKUP(A75,[4]数据处理!$A:$G,7,0),0)</f>
        <v>0</v>
      </c>
      <c r="M75">
        <f t="shared" si="21"/>
        <v>46</v>
      </c>
      <c r="N75">
        <f>IFERROR(VLOOKUP(A75,[4]数据处理!$A:$C,3,0),0)</f>
        <v>0</v>
      </c>
      <c r="O75">
        <f>IFERROR(VLOOKUP($A75,[4]数据处理!$A:$N,14,0),0)</f>
        <v>46</v>
      </c>
      <c r="P75">
        <f>IFERROR(VLOOKUP($A75,[5]库存使用数据!$A:$B,2,0),"")</f>
        <v>178</v>
      </c>
      <c r="Q75">
        <f>IFERROR(VLOOKUP($A75,[5]库存使用数据!$A:$E,5,0),"")</f>
        <v>128</v>
      </c>
      <c r="R75">
        <f>IFERROR(VLOOKUP($A75,[5]库存使用数据!$A:$H,8,0),"")</f>
        <v>466</v>
      </c>
      <c r="S75">
        <f>IFERROR(VLOOKUP($A75,[5]库存使用数据!$A:$K,11,0),"")</f>
        <v>4966</v>
      </c>
      <c r="T75">
        <f>IFERROR(VLOOKUP($A75,[5]库存使用数据!$A:$C,3,0),"")</f>
        <v>4</v>
      </c>
      <c r="U75">
        <f>IFERROR(VLOOKUP($A75,[5]库存使用数据!$A:$F,6,0),"")</f>
        <v>0</v>
      </c>
      <c r="V75">
        <f>IFERROR(VLOOKUP($A75,[5]库存使用数据!$A:$I,9,0),"")</f>
        <v>1</v>
      </c>
      <c r="W75">
        <f>IFERROR(VLOOKUP($A75,[5]库存使用数据!$A:$L,12,0),"")</f>
        <v>14</v>
      </c>
      <c r="X75" s="23">
        <f t="shared" si="26"/>
        <v>0.0224719101123595</v>
      </c>
      <c r="Y75" s="23">
        <f t="shared" si="27"/>
        <v>0</v>
      </c>
      <c r="Z75" s="23">
        <f t="shared" si="28"/>
        <v>0.00214592274678112</v>
      </c>
      <c r="AA75" s="23">
        <f t="shared" si="29"/>
        <v>0.00281917035843737</v>
      </c>
      <c r="AB75">
        <f>IFERROR(VLOOKUP($A75,[5]库存使用数据!$A:$D,4,0),"")</f>
        <v>1.33</v>
      </c>
      <c r="AC75">
        <f>IFERROR(VLOOKUP($A75,[5]库存使用数据!$A:$G,7,0),"")</f>
        <v>0</v>
      </c>
      <c r="AD75">
        <f>IFERROR(VLOOKUP($A75,[5]库存使用数据!$A:$J,10,0),"")</f>
        <v>0.39</v>
      </c>
      <c r="AE75">
        <f>IFERROR(VLOOKUP($A75,[5]库存使用数据!$A:$M,13,0),"")</f>
        <v>5.16</v>
      </c>
      <c r="AF75" s="23" t="str">
        <f t="shared" si="30"/>
        <v>无销量广告费为1.33</v>
      </c>
      <c r="AG75" s="23" t="str">
        <f t="shared" si="31"/>
        <v/>
      </c>
      <c r="AH75" s="23" t="str">
        <f t="shared" si="32"/>
        <v>无销量广告费为0.39</v>
      </c>
      <c r="AI75" s="23" t="str">
        <f t="shared" si="33"/>
        <v>无销量广告费为5.16</v>
      </c>
      <c r="AJ75">
        <f>IFERROR(VLOOKUP($B75,[1]库存报告使用数据!$A$1:$B$65536,2,0),0)</f>
        <v>3</v>
      </c>
      <c r="AK75">
        <f>IFERROR(VLOOKUP($B75,[1]库存报告使用数据!$A$1:$C$65536,3,0),0)</f>
        <v>1</v>
      </c>
      <c r="AL75">
        <f>IFERROR(VLOOKUP($B75,[1]库存报告使用数据!$A$1:$D$65536,4,0),0)</f>
        <v>2</v>
      </c>
      <c r="AM75">
        <f>IFERROR(VLOOKUP($B75,[1]库存报告使用数据!$A$1:$E$65536,5,0),0)</f>
        <v>6</v>
      </c>
      <c r="AN75" s="23">
        <f t="shared" si="34"/>
        <v>0</v>
      </c>
      <c r="AO75" s="23">
        <f t="shared" si="35"/>
        <v>0</v>
      </c>
      <c r="AP75" s="23">
        <f t="shared" si="36"/>
        <v>0</v>
      </c>
      <c r="AQ75" s="23">
        <f t="shared" si="37"/>
        <v>0</v>
      </c>
      <c r="AR75" s="38">
        <f t="shared" si="22"/>
        <v>0</v>
      </c>
      <c r="AS75" s="38">
        <f t="shared" si="23"/>
        <v>0</v>
      </c>
      <c r="AT75" s="38">
        <f t="shared" si="24"/>
        <v>46</v>
      </c>
      <c r="AU75" s="33" t="str">
        <f t="shared" si="25"/>
        <v>库存为46</v>
      </c>
      <c r="AV75" s="39" t="str">
        <f>IFERROR(时间!$B$4+AU75,"上周无销量")</f>
        <v>上周无销量</v>
      </c>
    </row>
    <row r="76" spans="1:48">
      <c r="A76" s="35" t="s">
        <v>121</v>
      </c>
      <c r="B76" t="str">
        <f>VLOOKUP(A76,'[2]sku-asin（子）'!$A:$B,2,0)</f>
        <v>B074K1L386</v>
      </c>
      <c r="C76" t="str">
        <f>VLOOKUP(A76,'[2]子sku-父sku'!$A:$B,2,0)</f>
        <v>N029Y</v>
      </c>
      <c r="D76" s="33">
        <f>IFERROR(VLOOKUP(A76,[3]库存报告使用数据处理!$A:$C,3,0),0)</f>
        <v>0</v>
      </c>
      <c r="E76" s="33">
        <f>IFERROR(VLOOKUP(A76,[3]库存报告使用数据处理!$A:$D,4,0),0)</f>
        <v>1</v>
      </c>
      <c r="F76" s="33">
        <f>IFERROR(VLOOKUP(A76,[3]库存报告使用数据处理!$A:$E,5,0),0)</f>
        <v>1</v>
      </c>
      <c r="G76" s="33">
        <f>IFERROR(VLOOKUP(A76,[3]库存报告使用数据处理!$A:$F,6,0),0)</f>
        <v>0</v>
      </c>
      <c r="H76" s="34">
        <f>IFERROR(VLOOKUP(A76,[3]库存报告使用数据处理!$A:$G,7,0),0)</f>
        <v>7.68</v>
      </c>
      <c r="I76">
        <f>IFERROR(VLOOKUP(A76,[4]数据处理!$A:$B,2,0),0)</f>
        <v>41</v>
      </c>
      <c r="J76" s="36">
        <f>IFERROR(VLOOKUP(A76,[4]数据处理!$A:$D,4,0),0)</f>
        <v>0</v>
      </c>
      <c r="K76" s="36">
        <f>IFERROR(VLOOKUP(A76,[4]数据处理!$A:$E,5,0),0)</f>
        <v>0</v>
      </c>
      <c r="L76" s="36">
        <f>IFERROR(VLOOKUP(A76,[4]数据处理!$A:$G,7,0),0)</f>
        <v>0</v>
      </c>
      <c r="M76">
        <f t="shared" si="21"/>
        <v>41</v>
      </c>
      <c r="N76">
        <f>IFERROR(VLOOKUP(A76,[4]数据处理!$A:$C,3,0),0)</f>
        <v>0</v>
      </c>
      <c r="O76">
        <f>IFERROR(VLOOKUP($A76,[4]数据处理!$A:$N,14,0),0)</f>
        <v>41</v>
      </c>
      <c r="P76">
        <f>IFERROR(VLOOKUP($A76,[5]库存使用数据!$A:$B,2,0),"")</f>
        <v>264</v>
      </c>
      <c r="Q76">
        <f>IFERROR(VLOOKUP($A76,[5]库存使用数据!$A:$E,5,0),"")</f>
        <v>260</v>
      </c>
      <c r="R76">
        <f>IFERROR(VLOOKUP($A76,[5]库存使用数据!$A:$H,8,0),"")</f>
        <v>232</v>
      </c>
      <c r="S76">
        <f>IFERROR(VLOOKUP($A76,[5]库存使用数据!$A:$K,11,0),"")</f>
        <v>383</v>
      </c>
      <c r="T76">
        <f>IFERROR(VLOOKUP($A76,[5]库存使用数据!$A:$C,3,0),"")</f>
        <v>1</v>
      </c>
      <c r="U76">
        <f>IFERROR(VLOOKUP($A76,[5]库存使用数据!$A:$F,6,0),"")</f>
        <v>0</v>
      </c>
      <c r="V76">
        <f>IFERROR(VLOOKUP($A76,[5]库存使用数据!$A:$I,9,0),"")</f>
        <v>0</v>
      </c>
      <c r="W76">
        <f>IFERROR(VLOOKUP($A76,[5]库存使用数据!$A:$L,12,0),"")</f>
        <v>1</v>
      </c>
      <c r="X76" s="23">
        <f t="shared" si="26"/>
        <v>0.00378787878787879</v>
      </c>
      <c r="Y76" s="23">
        <f t="shared" si="27"/>
        <v>0</v>
      </c>
      <c r="Z76" s="23">
        <f t="shared" si="28"/>
        <v>0</v>
      </c>
      <c r="AA76" s="23">
        <f t="shared" si="29"/>
        <v>0.00261096605744125</v>
      </c>
      <c r="AB76">
        <f>IFERROR(VLOOKUP($A76,[5]库存使用数据!$A:$D,4,0),"")</f>
        <v>0.67</v>
      </c>
      <c r="AC76">
        <f>IFERROR(VLOOKUP($A76,[5]库存使用数据!$A:$G,7,0),"")</f>
        <v>0</v>
      </c>
      <c r="AD76">
        <f>IFERROR(VLOOKUP($A76,[5]库存使用数据!$A:$J,10,0),"")</f>
        <v>0</v>
      </c>
      <c r="AE76">
        <f>IFERROR(VLOOKUP($A76,[5]库存使用数据!$A:$M,13,0),"")</f>
        <v>0.3</v>
      </c>
      <c r="AF76" s="23" t="str">
        <f t="shared" si="30"/>
        <v>无销量广告费为0.67</v>
      </c>
      <c r="AG76" s="23" t="str">
        <f t="shared" si="31"/>
        <v/>
      </c>
      <c r="AH76" s="23" t="str">
        <f t="shared" si="32"/>
        <v/>
      </c>
      <c r="AI76" s="23" t="str">
        <f t="shared" si="33"/>
        <v>无销量广告费为0.3</v>
      </c>
      <c r="AJ76">
        <f>IFERROR(VLOOKUP($B76,[1]库存报告使用数据!$A$1:$B$65536,2,0),0)</f>
        <v>3</v>
      </c>
      <c r="AK76">
        <f>IFERROR(VLOOKUP($B76,[1]库存报告使用数据!$A$1:$C$65536,3,0),0)</f>
        <v>2</v>
      </c>
      <c r="AL76">
        <f>IFERROR(VLOOKUP($B76,[1]库存报告使用数据!$A$1:$D$65536,4,0),0)</f>
        <v>5</v>
      </c>
      <c r="AM76">
        <f>IFERROR(VLOOKUP($B76,[1]库存报告使用数据!$A$1:$E$65536,5,0),0)</f>
        <v>2</v>
      </c>
      <c r="AN76" s="23">
        <f t="shared" si="34"/>
        <v>0</v>
      </c>
      <c r="AO76" s="23">
        <f t="shared" si="35"/>
        <v>0.5</v>
      </c>
      <c r="AP76" s="23">
        <f t="shared" si="36"/>
        <v>0.2</v>
      </c>
      <c r="AQ76" s="23">
        <f t="shared" si="37"/>
        <v>0</v>
      </c>
      <c r="AR76" s="38">
        <f t="shared" si="22"/>
        <v>0</v>
      </c>
      <c r="AS76" s="38">
        <f t="shared" si="23"/>
        <v>0</v>
      </c>
      <c r="AT76" s="38">
        <f t="shared" si="24"/>
        <v>41</v>
      </c>
      <c r="AU76" s="33" t="str">
        <f t="shared" si="25"/>
        <v>库存为41</v>
      </c>
      <c r="AV76" s="39" t="str">
        <f>IFERROR(时间!$B$4+AU76,"上周无销量")</f>
        <v>上周无销量</v>
      </c>
    </row>
    <row r="77" spans="1:48">
      <c r="A77" s="35" t="s">
        <v>122</v>
      </c>
      <c r="B77" t="str">
        <f>VLOOKUP(A77,'[2]sku-asin（子）'!$A:$B,2,0)</f>
        <v>B074JWS1CB</v>
      </c>
      <c r="C77" t="str">
        <f>VLOOKUP(A77,'[2]子sku-父sku'!$A:$B,2,0)</f>
        <v>N029Y</v>
      </c>
      <c r="D77" s="33">
        <f>IFERROR(VLOOKUP(A77,[3]库存报告使用数据处理!$A:$C,3,0),0)</f>
        <v>0</v>
      </c>
      <c r="E77" s="33">
        <f>IFERROR(VLOOKUP(A77,[3]库存报告使用数据处理!$A:$D,4,0),0)</f>
        <v>0</v>
      </c>
      <c r="F77" s="33">
        <f>IFERROR(VLOOKUP(A77,[3]库存报告使用数据处理!$A:$E,5,0),0)</f>
        <v>0</v>
      </c>
      <c r="G77" s="33">
        <f>IFERROR(VLOOKUP(A77,[3]库存报告使用数据处理!$A:$F,6,0),0)</f>
        <v>0</v>
      </c>
      <c r="H77" s="34">
        <f>IFERROR(VLOOKUP(A77,[3]库存报告使用数据处理!$A:$G,7,0),0)</f>
        <v>0</v>
      </c>
      <c r="I77">
        <f>IFERROR(VLOOKUP(A77,[4]数据处理!$A:$B,2,0),0)</f>
        <v>44</v>
      </c>
      <c r="J77" s="36">
        <f>IFERROR(VLOOKUP(A77,[4]数据处理!$A:$D,4,0),0)</f>
        <v>0</v>
      </c>
      <c r="K77" s="36">
        <f>IFERROR(VLOOKUP(A77,[4]数据处理!$A:$E,5,0),0)</f>
        <v>0</v>
      </c>
      <c r="L77" s="36">
        <f>IFERROR(VLOOKUP(A77,[4]数据处理!$A:$G,7,0),0)</f>
        <v>0</v>
      </c>
      <c r="M77">
        <f t="shared" si="21"/>
        <v>44</v>
      </c>
      <c r="N77">
        <f>IFERROR(VLOOKUP(A77,[4]数据处理!$A:$C,3,0),0)</f>
        <v>0</v>
      </c>
      <c r="O77">
        <f>IFERROR(VLOOKUP($A77,[4]数据处理!$A:$N,14,0),0)</f>
        <v>43</v>
      </c>
      <c r="P77">
        <f>IFERROR(VLOOKUP($A77,[5]库存使用数据!$A:$B,2,0),"")</f>
        <v>418</v>
      </c>
      <c r="Q77">
        <f>IFERROR(VLOOKUP($A77,[5]库存使用数据!$A:$E,5,0),"")</f>
        <v>480</v>
      </c>
      <c r="R77">
        <f>IFERROR(VLOOKUP($A77,[5]库存使用数据!$A:$H,8,0),"")</f>
        <v>443</v>
      </c>
      <c r="S77">
        <f>IFERROR(VLOOKUP($A77,[5]库存使用数据!$A:$K,11,0),"")</f>
        <v>472</v>
      </c>
      <c r="T77">
        <f>IFERROR(VLOOKUP($A77,[5]库存使用数据!$A:$C,3,0),"")</f>
        <v>0</v>
      </c>
      <c r="U77">
        <f>IFERROR(VLOOKUP($A77,[5]库存使用数据!$A:$F,6,0),"")</f>
        <v>0</v>
      </c>
      <c r="V77">
        <f>IFERROR(VLOOKUP($A77,[5]库存使用数据!$A:$I,9,0),"")</f>
        <v>0</v>
      </c>
      <c r="W77">
        <f>IFERROR(VLOOKUP($A77,[5]库存使用数据!$A:$L,12,0),"")</f>
        <v>4</v>
      </c>
      <c r="X77" s="23">
        <f t="shared" si="26"/>
        <v>0</v>
      </c>
      <c r="Y77" s="23">
        <f t="shared" si="27"/>
        <v>0</v>
      </c>
      <c r="Z77" s="23">
        <f t="shared" si="28"/>
        <v>0</v>
      </c>
      <c r="AA77" s="23">
        <f t="shared" si="29"/>
        <v>0.00847457627118644</v>
      </c>
      <c r="AB77">
        <f>IFERROR(VLOOKUP($A77,[5]库存使用数据!$A:$D,4,0),"")</f>
        <v>0</v>
      </c>
      <c r="AC77">
        <f>IFERROR(VLOOKUP($A77,[5]库存使用数据!$A:$G,7,0),"")</f>
        <v>0</v>
      </c>
      <c r="AD77">
        <f>IFERROR(VLOOKUP($A77,[5]库存使用数据!$A:$J,10,0),"")</f>
        <v>0</v>
      </c>
      <c r="AE77">
        <f>IFERROR(VLOOKUP($A77,[5]库存使用数据!$A:$M,13,0),"")</f>
        <v>1.1</v>
      </c>
      <c r="AF77" s="23" t="str">
        <f t="shared" si="30"/>
        <v/>
      </c>
      <c r="AG77" s="23" t="str">
        <f t="shared" si="31"/>
        <v/>
      </c>
      <c r="AH77" s="23" t="str">
        <f t="shared" si="32"/>
        <v/>
      </c>
      <c r="AI77" s="23" t="str">
        <f t="shared" si="33"/>
        <v>无销量广告费为1.1</v>
      </c>
      <c r="AJ77">
        <f>IFERROR(VLOOKUP($B77,[1]库存报告使用数据!$A$1:$B$65536,2,0),0)</f>
        <v>4</v>
      </c>
      <c r="AK77">
        <f>IFERROR(VLOOKUP($B77,[1]库存报告使用数据!$A$1:$C$65536,3,0),0)</f>
        <v>5</v>
      </c>
      <c r="AL77">
        <f>IFERROR(VLOOKUP($B77,[1]库存报告使用数据!$A$1:$D$65536,4,0),0)</f>
        <v>4</v>
      </c>
      <c r="AM77">
        <f>IFERROR(VLOOKUP($B77,[1]库存报告使用数据!$A$1:$E$65536,5,0),0)</f>
        <v>2</v>
      </c>
      <c r="AN77" s="23">
        <f t="shared" si="34"/>
        <v>0</v>
      </c>
      <c r="AO77" s="23">
        <f t="shared" si="35"/>
        <v>0</v>
      </c>
      <c r="AP77" s="23">
        <f t="shared" si="36"/>
        <v>0</v>
      </c>
      <c r="AQ77" s="23">
        <f t="shared" si="37"/>
        <v>0</v>
      </c>
      <c r="AR77" s="38">
        <f t="shared" si="22"/>
        <v>0</v>
      </c>
      <c r="AS77" s="38">
        <f t="shared" si="23"/>
        <v>0</v>
      </c>
      <c r="AT77" s="38">
        <f t="shared" si="24"/>
        <v>44</v>
      </c>
      <c r="AU77" s="33" t="str">
        <f t="shared" si="25"/>
        <v>库存为44</v>
      </c>
      <c r="AV77" s="39" t="str">
        <f>IFERROR(时间!$B$4+AU77,"上周无销量")</f>
        <v>上周无销量</v>
      </c>
    </row>
    <row r="78" spans="1:48">
      <c r="A78" s="35" t="s">
        <v>123</v>
      </c>
      <c r="B78" t="str">
        <f>VLOOKUP(A78,'[2]sku-asin（子）'!$A:$B,2,0)</f>
        <v>B074JW5XZ4</v>
      </c>
      <c r="C78" t="str">
        <f>VLOOKUP(A78,'[2]子sku-父sku'!$A:$B,2,0)</f>
        <v>N029Y</v>
      </c>
      <c r="D78" s="33">
        <f>IFERROR(VLOOKUP(A78,[3]库存报告使用数据处理!$A:$C,3,0),0)</f>
        <v>0</v>
      </c>
      <c r="E78" s="33">
        <f>IFERROR(VLOOKUP(A78,[3]库存报告使用数据处理!$A:$D,4,0),0)</f>
        <v>0</v>
      </c>
      <c r="F78" s="33">
        <f>IFERROR(VLOOKUP(A78,[3]库存报告使用数据处理!$A:$E,5,0),0)</f>
        <v>0</v>
      </c>
      <c r="G78" s="33">
        <f>IFERROR(VLOOKUP(A78,[3]库存报告使用数据处理!$A:$F,6,0),0)</f>
        <v>0</v>
      </c>
      <c r="H78" s="34">
        <f>IFERROR(VLOOKUP(A78,[3]库存报告使用数据处理!$A:$G,7,0),0)</f>
        <v>0</v>
      </c>
      <c r="I78">
        <f>IFERROR(VLOOKUP(A78,[4]数据处理!$A:$B,2,0),0)</f>
        <v>46</v>
      </c>
      <c r="J78" s="36">
        <f>IFERROR(VLOOKUP(A78,[4]数据处理!$A:$D,4,0),0)</f>
        <v>0</v>
      </c>
      <c r="K78" s="36">
        <f>IFERROR(VLOOKUP(A78,[4]数据处理!$A:$E,5,0),0)</f>
        <v>0</v>
      </c>
      <c r="L78" s="36">
        <f>IFERROR(VLOOKUP(A78,[4]数据处理!$A:$G,7,0),0)</f>
        <v>0</v>
      </c>
      <c r="M78">
        <f t="shared" si="21"/>
        <v>46</v>
      </c>
      <c r="N78">
        <f>IFERROR(VLOOKUP(A78,[4]数据处理!$A:$C,3,0),0)</f>
        <v>0</v>
      </c>
      <c r="O78">
        <f>IFERROR(VLOOKUP($A78,[4]数据处理!$A:$N,14,0),0)</f>
        <v>45</v>
      </c>
      <c r="P78">
        <f>IFERROR(VLOOKUP($A78,[5]库存使用数据!$A:$B,2,0),"")</f>
        <v>3102</v>
      </c>
      <c r="Q78">
        <f>IFERROR(VLOOKUP($A78,[5]库存使用数据!$A:$E,5,0),"")</f>
        <v>3834</v>
      </c>
      <c r="R78">
        <f>IFERROR(VLOOKUP($A78,[5]库存使用数据!$A:$H,8,0),"")</f>
        <v>2874</v>
      </c>
      <c r="S78">
        <f>IFERROR(VLOOKUP($A78,[5]库存使用数据!$A:$K,11,0),"")</f>
        <v>1051</v>
      </c>
      <c r="T78">
        <f>IFERROR(VLOOKUP($A78,[5]库存使用数据!$A:$C,3,0),"")</f>
        <v>15</v>
      </c>
      <c r="U78">
        <f>IFERROR(VLOOKUP($A78,[5]库存使用数据!$A:$F,6,0),"")</f>
        <v>19</v>
      </c>
      <c r="V78">
        <f>IFERROR(VLOOKUP($A78,[5]库存使用数据!$A:$I,9,0),"")</f>
        <v>16</v>
      </c>
      <c r="W78">
        <f>IFERROR(VLOOKUP($A78,[5]库存使用数据!$A:$L,12,0),"")</f>
        <v>5</v>
      </c>
      <c r="X78" s="23">
        <f t="shared" si="26"/>
        <v>0.00483558994197292</v>
      </c>
      <c r="Y78" s="23">
        <f t="shared" si="27"/>
        <v>0.00495565988523735</v>
      </c>
      <c r="Z78" s="23">
        <f t="shared" si="28"/>
        <v>0.00556715379262352</v>
      </c>
      <c r="AA78" s="23">
        <f t="shared" si="29"/>
        <v>0.00475737392959087</v>
      </c>
      <c r="AB78">
        <f>IFERROR(VLOOKUP($A78,[5]库存使用数据!$A:$D,4,0),"")</f>
        <v>5.46</v>
      </c>
      <c r="AC78">
        <f>IFERROR(VLOOKUP($A78,[5]库存使用数据!$A:$G,7,0),"")</f>
        <v>7.42</v>
      </c>
      <c r="AD78">
        <f>IFERROR(VLOOKUP($A78,[5]库存使用数据!$A:$J,10,0),"")</f>
        <v>5.48</v>
      </c>
      <c r="AE78">
        <f>IFERROR(VLOOKUP($A78,[5]库存使用数据!$A:$M,13,0),"")</f>
        <v>1.44</v>
      </c>
      <c r="AF78" s="23" t="str">
        <f t="shared" si="30"/>
        <v>无销量广告费为5.46</v>
      </c>
      <c r="AG78" s="23" t="str">
        <f t="shared" si="31"/>
        <v>无销量广告费为7.42</v>
      </c>
      <c r="AH78" s="23" t="str">
        <f t="shared" si="32"/>
        <v>无销量广告费为5.48</v>
      </c>
      <c r="AI78" s="23" t="str">
        <f t="shared" si="33"/>
        <v>无销量广告费为1.44</v>
      </c>
      <c r="AJ78">
        <f>IFERROR(VLOOKUP($B78,[1]库存报告使用数据!$A$1:$B$65536,2,0),0)</f>
        <v>5</v>
      </c>
      <c r="AK78">
        <f>IFERROR(VLOOKUP($B78,[1]库存报告使用数据!$A$1:$C$65536,3,0),0)</f>
        <v>6</v>
      </c>
      <c r="AL78">
        <f>IFERROR(VLOOKUP($B78,[1]库存报告使用数据!$A$1:$D$65536,4,0),0)</f>
        <v>9</v>
      </c>
      <c r="AM78">
        <f>IFERROR(VLOOKUP($B78,[1]库存报告使用数据!$A$1:$E$65536,5,0),0)</f>
        <v>3</v>
      </c>
      <c r="AN78" s="23">
        <f t="shared" si="34"/>
        <v>0</v>
      </c>
      <c r="AO78" s="23">
        <f t="shared" si="35"/>
        <v>0</v>
      </c>
      <c r="AP78" s="23">
        <f t="shared" si="36"/>
        <v>0</v>
      </c>
      <c r="AQ78" s="23">
        <f t="shared" si="37"/>
        <v>0</v>
      </c>
      <c r="AR78" s="38">
        <f t="shared" si="22"/>
        <v>0</v>
      </c>
      <c r="AS78" s="38">
        <f t="shared" si="23"/>
        <v>0</v>
      </c>
      <c r="AT78" s="38">
        <f t="shared" si="24"/>
        <v>46</v>
      </c>
      <c r="AU78" s="33" t="str">
        <f t="shared" si="25"/>
        <v>库存为46</v>
      </c>
      <c r="AV78" s="39" t="str">
        <f>IFERROR(时间!$B$4+AU78,"上周无销量")</f>
        <v>上周无销量</v>
      </c>
    </row>
    <row r="79" spans="1:48">
      <c r="A79" s="35" t="s">
        <v>124</v>
      </c>
      <c r="B79" t="str">
        <f>VLOOKUP(A79,'[2]sku-asin（子）'!$A:$B,2,0)</f>
        <v>B074K5FMRM</v>
      </c>
      <c r="C79" t="str">
        <f>VLOOKUP(A79,'[2]子sku-父sku'!$A:$B,2,0)</f>
        <v>N029Y</v>
      </c>
      <c r="D79" s="33">
        <f>IFERROR(VLOOKUP(A79,[3]库存报告使用数据处理!$A:$C,3,0),0)</f>
        <v>0</v>
      </c>
      <c r="E79" s="33">
        <f>IFERROR(VLOOKUP(A79,[3]库存报告使用数据处理!$A:$D,4,0),0)</f>
        <v>1</v>
      </c>
      <c r="F79" s="33">
        <f>IFERROR(VLOOKUP(A79,[3]库存报告使用数据处理!$A:$E,5,0),0)</f>
        <v>0</v>
      </c>
      <c r="G79" s="33">
        <f>IFERROR(VLOOKUP(A79,[3]库存报告使用数据处理!$A:$F,6,0),0)</f>
        <v>0</v>
      </c>
      <c r="H79" s="34">
        <f>IFERROR(VLOOKUP(A79,[3]库存报告使用数据处理!$A:$G,7,0),0)</f>
        <v>7.99</v>
      </c>
      <c r="I79">
        <f>IFERROR(VLOOKUP(A79,[4]数据处理!$A:$B,2,0),0)</f>
        <v>32</v>
      </c>
      <c r="J79" s="36">
        <f>IFERROR(VLOOKUP(A79,[4]数据处理!$A:$D,4,0),0)</f>
        <v>0</v>
      </c>
      <c r="K79" s="36">
        <f>IFERROR(VLOOKUP(A79,[4]数据处理!$A:$E,5,0),0)</f>
        <v>0</v>
      </c>
      <c r="L79" s="36">
        <f>IFERROR(VLOOKUP(A79,[4]数据处理!$A:$G,7,0),0)</f>
        <v>0</v>
      </c>
      <c r="M79">
        <f t="shared" si="21"/>
        <v>32</v>
      </c>
      <c r="N79">
        <f>IFERROR(VLOOKUP(A79,[4]数据处理!$A:$C,3,0),0)</f>
        <v>0</v>
      </c>
      <c r="O79">
        <f>IFERROR(VLOOKUP($A79,[4]数据处理!$A:$N,14,0),0)</f>
        <v>32</v>
      </c>
      <c r="P79">
        <f>IFERROR(VLOOKUP($A79,[5]库存使用数据!$A:$B,2,0),"")</f>
        <v>108</v>
      </c>
      <c r="Q79">
        <f>IFERROR(VLOOKUP($A79,[5]库存使用数据!$A:$E,5,0),"")</f>
        <v>140</v>
      </c>
      <c r="R79">
        <f>IFERROR(VLOOKUP($A79,[5]库存使用数据!$A:$H,8,0),"")</f>
        <v>270</v>
      </c>
      <c r="S79">
        <f>IFERROR(VLOOKUP($A79,[5]库存使用数据!$A:$K,11,0),"")</f>
        <v>484</v>
      </c>
      <c r="T79">
        <f>IFERROR(VLOOKUP($A79,[5]库存使用数据!$A:$C,3,0),"")</f>
        <v>0</v>
      </c>
      <c r="U79">
        <f>IFERROR(VLOOKUP($A79,[5]库存使用数据!$A:$F,6,0),"")</f>
        <v>0</v>
      </c>
      <c r="V79">
        <f>IFERROR(VLOOKUP($A79,[5]库存使用数据!$A:$I,9,0),"")</f>
        <v>2</v>
      </c>
      <c r="W79">
        <f>IFERROR(VLOOKUP($A79,[5]库存使用数据!$A:$L,12,0),"")</f>
        <v>0</v>
      </c>
      <c r="X79" s="23">
        <f t="shared" si="26"/>
        <v>0</v>
      </c>
      <c r="Y79" s="23">
        <f t="shared" si="27"/>
        <v>0</v>
      </c>
      <c r="Z79" s="23">
        <f t="shared" si="28"/>
        <v>0.00740740740740741</v>
      </c>
      <c r="AA79" s="23">
        <f t="shared" si="29"/>
        <v>0</v>
      </c>
      <c r="AB79">
        <f>IFERROR(VLOOKUP($A79,[5]库存使用数据!$A:$D,4,0),"")</f>
        <v>0</v>
      </c>
      <c r="AC79">
        <f>IFERROR(VLOOKUP($A79,[5]库存使用数据!$A:$G,7,0),"")</f>
        <v>0</v>
      </c>
      <c r="AD79">
        <f>IFERROR(VLOOKUP($A79,[5]库存使用数据!$A:$J,10,0),"")</f>
        <v>0.78</v>
      </c>
      <c r="AE79">
        <f>IFERROR(VLOOKUP($A79,[5]库存使用数据!$A:$M,13,0),"")</f>
        <v>0</v>
      </c>
      <c r="AF79" s="23" t="str">
        <f t="shared" si="30"/>
        <v/>
      </c>
      <c r="AG79" s="23" t="str">
        <f t="shared" si="31"/>
        <v/>
      </c>
      <c r="AH79" s="23" t="str">
        <f t="shared" si="32"/>
        <v>无销量广告费为0.78</v>
      </c>
      <c r="AI79" s="23" t="str">
        <f t="shared" si="33"/>
        <v/>
      </c>
      <c r="AJ79">
        <f>IFERROR(VLOOKUP($B79,[1]库存报告使用数据!$A$1:$B$65536,2,0),0)</f>
        <v>1</v>
      </c>
      <c r="AK79">
        <f>IFERROR(VLOOKUP($B79,[1]库存报告使用数据!$A$1:$C$65536,3,0),0)</f>
        <v>1</v>
      </c>
      <c r="AL79">
        <f>IFERROR(VLOOKUP($B79,[1]库存报告使用数据!$A$1:$D$65536,4,0),0)</f>
        <v>5</v>
      </c>
      <c r="AM79">
        <f>IFERROR(VLOOKUP($B79,[1]库存报告使用数据!$A$1:$E$65536,5,0),0)</f>
        <v>1</v>
      </c>
      <c r="AN79" s="23">
        <f t="shared" si="34"/>
        <v>0</v>
      </c>
      <c r="AO79" s="23">
        <f t="shared" si="35"/>
        <v>1</v>
      </c>
      <c r="AP79" s="23">
        <f t="shared" si="36"/>
        <v>0</v>
      </c>
      <c r="AQ79" s="23">
        <f t="shared" si="37"/>
        <v>0</v>
      </c>
      <c r="AR79" s="38">
        <f t="shared" si="22"/>
        <v>0</v>
      </c>
      <c r="AS79" s="38">
        <f t="shared" si="23"/>
        <v>0</v>
      </c>
      <c r="AT79" s="38">
        <f t="shared" si="24"/>
        <v>32</v>
      </c>
      <c r="AU79" s="33" t="str">
        <f t="shared" si="25"/>
        <v>库存为32</v>
      </c>
      <c r="AV79" s="39" t="str">
        <f>IFERROR(时间!$B$4+AU79,"上周无销量")</f>
        <v>上周无销量</v>
      </c>
    </row>
    <row r="80" spans="1:48">
      <c r="A80" s="35" t="s">
        <v>125</v>
      </c>
      <c r="B80" t="str">
        <f>VLOOKUP(A80,'[2]sku-asin（子）'!$A:$B,2,0)</f>
        <v>B074K26CND</v>
      </c>
      <c r="C80" t="str">
        <f>VLOOKUP(A80,'[2]子sku-父sku'!$A:$B,2,0)</f>
        <v>N029Y</v>
      </c>
      <c r="D80" s="33">
        <f>IFERROR(VLOOKUP(A80,[3]库存报告使用数据处理!$A:$C,3,0),0)</f>
        <v>0</v>
      </c>
      <c r="E80" s="33">
        <f>IFERROR(VLOOKUP(A80,[3]库存报告使用数据处理!$A:$D,4,0),0)</f>
        <v>0</v>
      </c>
      <c r="F80" s="33">
        <f>IFERROR(VLOOKUP(A80,[3]库存报告使用数据处理!$A:$E,5,0),0)</f>
        <v>0</v>
      </c>
      <c r="G80" s="33">
        <f>IFERROR(VLOOKUP(A80,[3]库存报告使用数据处理!$A:$F,6,0),0)</f>
        <v>0</v>
      </c>
      <c r="H80" s="34">
        <f>IFERROR(VLOOKUP(A80,[3]库存报告使用数据处理!$A:$G,7,0),0)</f>
        <v>0</v>
      </c>
      <c r="I80">
        <f>IFERROR(VLOOKUP(A80,[4]数据处理!$A:$B,2,0),0)</f>
        <v>74</v>
      </c>
      <c r="J80" s="36">
        <f>IFERROR(VLOOKUP(A80,[4]数据处理!$A:$D,4,0),0)</f>
        <v>0</v>
      </c>
      <c r="K80" s="36">
        <f>IFERROR(VLOOKUP(A80,[4]数据处理!$A:$E,5,0),0)</f>
        <v>0</v>
      </c>
      <c r="L80" s="36">
        <f>IFERROR(VLOOKUP(A80,[4]数据处理!$A:$G,7,0),0)</f>
        <v>0</v>
      </c>
      <c r="M80">
        <f t="shared" si="21"/>
        <v>74</v>
      </c>
      <c r="N80">
        <f>IFERROR(VLOOKUP(A80,[4]数据处理!$A:$C,3,0),0)</f>
        <v>0</v>
      </c>
      <c r="O80">
        <f>IFERROR(VLOOKUP($A80,[4]数据处理!$A:$N,14,0),0)</f>
        <v>73</v>
      </c>
      <c r="P80">
        <f>IFERROR(VLOOKUP($A80,[5]库存使用数据!$A:$B,2,0),"")</f>
        <v>431</v>
      </c>
      <c r="Q80">
        <f>IFERROR(VLOOKUP($A80,[5]库存使用数据!$A:$E,5,0),"")</f>
        <v>521</v>
      </c>
      <c r="R80">
        <f>IFERROR(VLOOKUP($A80,[5]库存使用数据!$A:$H,8,0),"")</f>
        <v>975</v>
      </c>
      <c r="S80">
        <f>IFERROR(VLOOKUP($A80,[5]库存使用数据!$A:$K,11,0),"")</f>
        <v>2050</v>
      </c>
      <c r="T80">
        <f>IFERROR(VLOOKUP($A80,[5]库存使用数据!$A:$C,3,0),"")</f>
        <v>1</v>
      </c>
      <c r="U80">
        <f>IFERROR(VLOOKUP($A80,[5]库存使用数据!$A:$F,6,0),"")</f>
        <v>1</v>
      </c>
      <c r="V80">
        <f>IFERROR(VLOOKUP($A80,[5]库存使用数据!$A:$I,9,0),"")</f>
        <v>1</v>
      </c>
      <c r="W80">
        <f>IFERROR(VLOOKUP($A80,[5]库存使用数据!$A:$L,12,0),"")</f>
        <v>0</v>
      </c>
      <c r="X80" s="23">
        <f t="shared" si="26"/>
        <v>0.00232018561484919</v>
      </c>
      <c r="Y80" s="23">
        <f t="shared" si="27"/>
        <v>0.00191938579654511</v>
      </c>
      <c r="Z80" s="23">
        <f t="shared" si="28"/>
        <v>0.00102564102564103</v>
      </c>
      <c r="AA80" s="23">
        <f t="shared" si="29"/>
        <v>0</v>
      </c>
      <c r="AB80">
        <f>IFERROR(VLOOKUP($A80,[5]库存使用数据!$A:$D,4,0),"")</f>
        <v>0.42</v>
      </c>
      <c r="AC80">
        <f>IFERROR(VLOOKUP($A80,[5]库存使用数据!$A:$G,7,0),"")</f>
        <v>0.43</v>
      </c>
      <c r="AD80">
        <f>IFERROR(VLOOKUP($A80,[5]库存使用数据!$A:$J,10,0),"")</f>
        <v>0.47</v>
      </c>
      <c r="AE80">
        <f>IFERROR(VLOOKUP($A80,[5]库存使用数据!$A:$M,13,0),"")</f>
        <v>0</v>
      </c>
      <c r="AF80" s="23" t="str">
        <f t="shared" si="30"/>
        <v>无销量广告费为0.42</v>
      </c>
      <c r="AG80" s="23" t="str">
        <f t="shared" si="31"/>
        <v>无销量广告费为0.43</v>
      </c>
      <c r="AH80" s="23" t="str">
        <f t="shared" si="32"/>
        <v>无销量广告费为0.47</v>
      </c>
      <c r="AI80" s="23" t="str">
        <f t="shared" si="33"/>
        <v/>
      </c>
      <c r="AJ80">
        <f>IFERROR(VLOOKUP($B80,[1]库存报告使用数据!$A$1:$B$65536,2,0),0)</f>
        <v>1</v>
      </c>
      <c r="AK80">
        <f>IFERROR(VLOOKUP($B80,[1]库存报告使用数据!$A$1:$C$65536,3,0),0)</f>
        <v>2</v>
      </c>
      <c r="AL80">
        <f>IFERROR(VLOOKUP($B80,[1]库存报告使用数据!$A$1:$D$65536,4,0),0)</f>
        <v>2</v>
      </c>
      <c r="AM80">
        <f>IFERROR(VLOOKUP($B80,[1]库存报告使用数据!$A$1:$E$65536,5,0),0)</f>
        <v>4</v>
      </c>
      <c r="AN80" s="23">
        <f t="shared" si="34"/>
        <v>0</v>
      </c>
      <c r="AO80" s="23">
        <f t="shared" si="35"/>
        <v>0</v>
      </c>
      <c r="AP80" s="23">
        <f t="shared" si="36"/>
        <v>0</v>
      </c>
      <c r="AQ80" s="23">
        <f t="shared" si="37"/>
        <v>0</v>
      </c>
      <c r="AR80" s="38">
        <f t="shared" si="22"/>
        <v>0</v>
      </c>
      <c r="AS80" s="38">
        <f t="shared" si="23"/>
        <v>0</v>
      </c>
      <c r="AT80" s="38">
        <f t="shared" si="24"/>
        <v>74</v>
      </c>
      <c r="AU80" s="33" t="str">
        <f t="shared" si="25"/>
        <v>库存为74</v>
      </c>
      <c r="AV80" s="39" t="str">
        <f>IFERROR(时间!$B$4+AU80,"上周无销量")</f>
        <v>上周无销量</v>
      </c>
    </row>
    <row r="81" spans="1:48">
      <c r="A81" s="35" t="s">
        <v>126</v>
      </c>
      <c r="B81" t="str">
        <f>VLOOKUP(A81,'[2]sku-asin（子）'!$A:$B,2,0)</f>
        <v>B074JX2YCN</v>
      </c>
      <c r="C81" t="str">
        <f>VLOOKUP(A81,'[2]子sku-父sku'!$A:$B,2,0)</f>
        <v>N029Y</v>
      </c>
      <c r="D81" s="33">
        <f>IFERROR(VLOOKUP(A81,[3]库存报告使用数据处理!$A:$C,3,0),0)</f>
        <v>0</v>
      </c>
      <c r="E81" s="33">
        <f>IFERROR(VLOOKUP(A81,[3]库存报告使用数据处理!$A:$D,4,0),0)</f>
        <v>0</v>
      </c>
      <c r="F81" s="33">
        <f>IFERROR(VLOOKUP(A81,[3]库存报告使用数据处理!$A:$E,5,0),0)</f>
        <v>0</v>
      </c>
      <c r="G81" s="33">
        <f>IFERROR(VLOOKUP(A81,[3]库存报告使用数据处理!$A:$F,6,0),0)</f>
        <v>0</v>
      </c>
      <c r="H81" s="34">
        <f>IFERROR(VLOOKUP(A81,[3]库存报告使用数据处理!$A:$G,7,0),0)</f>
        <v>0</v>
      </c>
      <c r="I81">
        <f>IFERROR(VLOOKUP(A81,[4]数据处理!$A:$B,2,0),0)</f>
        <v>35</v>
      </c>
      <c r="J81" s="36">
        <f>IFERROR(VLOOKUP(A81,[4]数据处理!$A:$D,4,0),0)</f>
        <v>0</v>
      </c>
      <c r="K81" s="36">
        <f>IFERROR(VLOOKUP(A81,[4]数据处理!$A:$E,5,0),0)</f>
        <v>0</v>
      </c>
      <c r="L81" s="36">
        <f>IFERROR(VLOOKUP(A81,[4]数据处理!$A:$G,7,0),0)</f>
        <v>0</v>
      </c>
      <c r="M81">
        <f t="shared" si="21"/>
        <v>35</v>
      </c>
      <c r="N81">
        <f>IFERROR(VLOOKUP(A81,[4]数据处理!$A:$C,3,0),0)</f>
        <v>0</v>
      </c>
      <c r="O81">
        <f>IFERROR(VLOOKUP($A81,[4]数据处理!$A:$N,14,0),0)</f>
        <v>34</v>
      </c>
      <c r="P81">
        <f>IFERROR(VLOOKUP($A81,[5]库存使用数据!$A:$B,2,0),"")</f>
        <v>2226</v>
      </c>
      <c r="Q81">
        <f>IFERROR(VLOOKUP($A81,[5]库存使用数据!$A:$E,5,0),"")</f>
        <v>2263</v>
      </c>
      <c r="R81">
        <f>IFERROR(VLOOKUP($A81,[5]库存使用数据!$A:$H,8,0),"")</f>
        <v>1700</v>
      </c>
      <c r="S81">
        <f>IFERROR(VLOOKUP($A81,[5]库存使用数据!$A:$K,11,0),"")</f>
        <v>1274</v>
      </c>
      <c r="T81">
        <f>IFERROR(VLOOKUP($A81,[5]库存使用数据!$A:$C,3,0),"")</f>
        <v>1</v>
      </c>
      <c r="U81">
        <f>IFERROR(VLOOKUP($A81,[5]库存使用数据!$A:$F,6,0),"")</f>
        <v>2</v>
      </c>
      <c r="V81">
        <f>IFERROR(VLOOKUP($A81,[5]库存使用数据!$A:$I,9,0),"")</f>
        <v>3</v>
      </c>
      <c r="W81">
        <f>IFERROR(VLOOKUP($A81,[5]库存使用数据!$A:$L,12,0),"")</f>
        <v>2</v>
      </c>
      <c r="X81" s="23">
        <f t="shared" si="26"/>
        <v>0.000449236298292902</v>
      </c>
      <c r="Y81" s="23">
        <f t="shared" si="27"/>
        <v>0.000883782589482987</v>
      </c>
      <c r="Z81" s="23">
        <f t="shared" si="28"/>
        <v>0.00176470588235294</v>
      </c>
      <c r="AA81" s="23">
        <f t="shared" si="29"/>
        <v>0.00156985871271586</v>
      </c>
      <c r="AB81">
        <f>IFERROR(VLOOKUP($A81,[5]库存使用数据!$A:$D,4,0),"")</f>
        <v>0.16</v>
      </c>
      <c r="AC81">
        <f>IFERROR(VLOOKUP($A81,[5]库存使用数据!$A:$G,7,0),"")</f>
        <v>0.68</v>
      </c>
      <c r="AD81">
        <f>IFERROR(VLOOKUP($A81,[5]库存使用数据!$A:$J,10,0),"")</f>
        <v>0.57</v>
      </c>
      <c r="AE81">
        <f>IFERROR(VLOOKUP($A81,[5]库存使用数据!$A:$M,13,0),"")</f>
        <v>0.51</v>
      </c>
      <c r="AF81" s="23" t="str">
        <f t="shared" si="30"/>
        <v>无销量广告费为0.16</v>
      </c>
      <c r="AG81" s="23" t="str">
        <f t="shared" si="31"/>
        <v>无销量广告费为0.68</v>
      </c>
      <c r="AH81" s="23" t="str">
        <f t="shared" si="32"/>
        <v>无销量广告费为0.57</v>
      </c>
      <c r="AI81" s="23" t="str">
        <f t="shared" si="33"/>
        <v>无销量广告费为0.51</v>
      </c>
      <c r="AJ81">
        <f>IFERROR(VLOOKUP($B81,[1]库存报告使用数据!$A$1:$B$65536,2,0),0)</f>
        <v>4</v>
      </c>
      <c r="AK81">
        <f>IFERROR(VLOOKUP($B81,[1]库存报告使用数据!$A$1:$C$65536,3,0),0)</f>
        <v>5</v>
      </c>
      <c r="AL81">
        <f>IFERROR(VLOOKUP($B81,[1]库存报告使用数据!$A$1:$D$65536,4,0),0)</f>
        <v>3</v>
      </c>
      <c r="AM81">
        <f>IFERROR(VLOOKUP($B81,[1]库存报告使用数据!$A$1:$E$65536,5,0),0)</f>
        <v>2</v>
      </c>
      <c r="AN81" s="23">
        <f t="shared" si="34"/>
        <v>0</v>
      </c>
      <c r="AO81" s="23">
        <f t="shared" si="35"/>
        <v>0</v>
      </c>
      <c r="AP81" s="23">
        <f t="shared" si="36"/>
        <v>0</v>
      </c>
      <c r="AQ81" s="23">
        <f t="shared" si="37"/>
        <v>0</v>
      </c>
      <c r="AR81" s="38">
        <f t="shared" si="22"/>
        <v>0</v>
      </c>
      <c r="AS81" s="38">
        <f t="shared" si="23"/>
        <v>0</v>
      </c>
      <c r="AT81" s="38">
        <f t="shared" si="24"/>
        <v>35</v>
      </c>
      <c r="AU81" s="33" t="str">
        <f t="shared" si="25"/>
        <v>库存为35</v>
      </c>
      <c r="AV81" s="39" t="str">
        <f>IFERROR(时间!$B$4+AU81,"上周无销量")</f>
        <v>上周无销量</v>
      </c>
    </row>
    <row r="82" spans="1:48">
      <c r="A82" s="35" t="s">
        <v>127</v>
      </c>
      <c r="B82" t="str">
        <f>VLOOKUP(A82,'[2]sku-asin（子）'!$A:$B,2,0)</f>
        <v>B074JWQ644</v>
      </c>
      <c r="C82" t="str">
        <f>VLOOKUP(A82,'[2]子sku-父sku'!$A:$B,2,0)</f>
        <v>N029Y</v>
      </c>
      <c r="D82" s="33">
        <f>IFERROR(VLOOKUP(A82,[3]库存报告使用数据处理!$A:$C,3,0),0)</f>
        <v>0</v>
      </c>
      <c r="E82" s="33">
        <f>IFERROR(VLOOKUP(A82,[3]库存报告使用数据处理!$A:$D,4,0),0)</f>
        <v>0</v>
      </c>
      <c r="F82" s="33">
        <f>IFERROR(VLOOKUP(A82,[3]库存报告使用数据处理!$A:$E,5,0),0)</f>
        <v>0</v>
      </c>
      <c r="G82" s="33">
        <f>IFERROR(VLOOKUP(A82,[3]库存报告使用数据处理!$A:$F,6,0),0)</f>
        <v>0</v>
      </c>
      <c r="H82" s="34">
        <f>IFERROR(VLOOKUP(A82,[3]库存报告使用数据处理!$A:$G,7,0),0)</f>
        <v>0</v>
      </c>
      <c r="I82">
        <f>IFERROR(VLOOKUP(A82,[4]数据处理!$A:$B,2,0),0)</f>
        <v>33</v>
      </c>
      <c r="J82" s="36">
        <f>IFERROR(VLOOKUP(A82,[4]数据处理!$A:$D,4,0),0)</f>
        <v>0</v>
      </c>
      <c r="K82" s="36">
        <f>IFERROR(VLOOKUP(A82,[4]数据处理!$A:$E,5,0),0)</f>
        <v>0</v>
      </c>
      <c r="L82" s="36">
        <f>IFERROR(VLOOKUP(A82,[4]数据处理!$A:$G,7,0),0)</f>
        <v>0</v>
      </c>
      <c r="M82">
        <f t="shared" si="21"/>
        <v>33</v>
      </c>
      <c r="N82">
        <f>IFERROR(VLOOKUP(A82,[4]数据处理!$A:$C,3,0),0)</f>
        <v>0</v>
      </c>
      <c r="O82">
        <f>IFERROR(VLOOKUP($A82,[4]数据处理!$A:$N,14,0),0)</f>
        <v>32</v>
      </c>
      <c r="P82">
        <f>IFERROR(VLOOKUP($A82,[5]库存使用数据!$A:$B,2,0),"")</f>
        <v>897</v>
      </c>
      <c r="Q82">
        <f>IFERROR(VLOOKUP($A82,[5]库存使用数据!$A:$E,5,0),"")</f>
        <v>949</v>
      </c>
      <c r="R82">
        <f>IFERROR(VLOOKUP($A82,[5]库存使用数据!$A:$H,8,0),"")</f>
        <v>712</v>
      </c>
      <c r="S82">
        <f>IFERROR(VLOOKUP($A82,[5]库存使用数据!$A:$K,11,0),"")</f>
        <v>740</v>
      </c>
      <c r="T82">
        <f>IFERROR(VLOOKUP($A82,[5]库存使用数据!$A:$C,3,0),"")</f>
        <v>1</v>
      </c>
      <c r="U82">
        <f>IFERROR(VLOOKUP($A82,[5]库存使用数据!$A:$F,6,0),"")</f>
        <v>2</v>
      </c>
      <c r="V82">
        <f>IFERROR(VLOOKUP($A82,[5]库存使用数据!$A:$I,9,0),"")</f>
        <v>2</v>
      </c>
      <c r="W82">
        <f>IFERROR(VLOOKUP($A82,[5]库存使用数据!$A:$L,12,0),"")</f>
        <v>0</v>
      </c>
      <c r="X82" s="23">
        <f t="shared" si="26"/>
        <v>0.00111482720178372</v>
      </c>
      <c r="Y82" s="23">
        <f t="shared" si="27"/>
        <v>0.00210748155953635</v>
      </c>
      <c r="Z82" s="23">
        <f t="shared" si="28"/>
        <v>0.00280898876404494</v>
      </c>
      <c r="AA82" s="23">
        <f t="shared" si="29"/>
        <v>0</v>
      </c>
      <c r="AB82">
        <f>IFERROR(VLOOKUP($A82,[5]库存使用数据!$A:$D,4,0),"")</f>
        <v>0.45</v>
      </c>
      <c r="AC82">
        <f>IFERROR(VLOOKUP($A82,[5]库存使用数据!$A:$G,7,0),"")</f>
        <v>0.95</v>
      </c>
      <c r="AD82">
        <f>IFERROR(VLOOKUP($A82,[5]库存使用数据!$A:$J,10,0),"")</f>
        <v>0.99</v>
      </c>
      <c r="AE82">
        <f>IFERROR(VLOOKUP($A82,[5]库存使用数据!$A:$M,13,0),"")</f>
        <v>0</v>
      </c>
      <c r="AF82" s="23" t="str">
        <f t="shared" si="30"/>
        <v>无销量广告费为0.45</v>
      </c>
      <c r="AG82" s="23" t="str">
        <f t="shared" si="31"/>
        <v>无销量广告费为0.95</v>
      </c>
      <c r="AH82" s="23" t="str">
        <f t="shared" si="32"/>
        <v>无销量广告费为0.99</v>
      </c>
      <c r="AI82" s="23" t="str">
        <f t="shared" si="33"/>
        <v/>
      </c>
      <c r="AJ82">
        <f>IFERROR(VLOOKUP($B82,[1]库存报告使用数据!$A$1:$B$65536,2,0),0)</f>
        <v>3</v>
      </c>
      <c r="AK82">
        <f>IFERROR(VLOOKUP($B82,[1]库存报告使用数据!$A$1:$C$65536,3,0),0)</f>
        <v>7</v>
      </c>
      <c r="AL82">
        <f>IFERROR(VLOOKUP($B82,[1]库存报告使用数据!$A$1:$D$65536,4,0),0)</f>
        <v>2</v>
      </c>
      <c r="AM82">
        <f>IFERROR(VLOOKUP($B82,[1]库存报告使用数据!$A$1:$E$65536,5,0),0)</f>
        <v>0</v>
      </c>
      <c r="AN82" s="23">
        <f t="shared" si="34"/>
        <v>0</v>
      </c>
      <c r="AO82" s="23">
        <f t="shared" si="35"/>
        <v>0</v>
      </c>
      <c r="AP82" s="23">
        <f t="shared" si="36"/>
        <v>0</v>
      </c>
      <c r="AQ82" s="23" t="str">
        <f t="shared" si="37"/>
        <v/>
      </c>
      <c r="AR82" s="38">
        <f t="shared" si="22"/>
        <v>0</v>
      </c>
      <c r="AS82" s="38">
        <f t="shared" si="23"/>
        <v>0</v>
      </c>
      <c r="AT82" s="38">
        <f t="shared" si="24"/>
        <v>33</v>
      </c>
      <c r="AU82" s="33" t="str">
        <f t="shared" si="25"/>
        <v>库存为33</v>
      </c>
      <c r="AV82" s="39" t="str">
        <f>IFERROR(时间!$B$4+AU82,"上周无销量")</f>
        <v>上周无销量</v>
      </c>
    </row>
    <row r="83" spans="1:48">
      <c r="A83" s="35" t="s">
        <v>128</v>
      </c>
      <c r="B83" t="str">
        <f>VLOOKUP(A83,'[2]sku-asin（子）'!$A:$B,2,0)</f>
        <v>B074JX2YCX</v>
      </c>
      <c r="C83" t="str">
        <f>VLOOKUP(A83,'[2]子sku-父sku'!$A:$B,2,0)</f>
        <v>N029Y</v>
      </c>
      <c r="D83" s="33">
        <f>IFERROR(VLOOKUP(A83,[3]库存报告使用数据处理!$A:$C,3,0),0)</f>
        <v>0</v>
      </c>
      <c r="E83" s="33">
        <f>IFERROR(VLOOKUP(A83,[3]库存报告使用数据处理!$A:$D,4,0),0)</f>
        <v>0</v>
      </c>
      <c r="F83" s="33">
        <f>IFERROR(VLOOKUP(A83,[3]库存报告使用数据处理!$A:$E,5,0),0)</f>
        <v>0</v>
      </c>
      <c r="G83" s="33">
        <f>IFERROR(VLOOKUP(A83,[3]库存报告使用数据处理!$A:$F,6,0),0)</f>
        <v>1</v>
      </c>
      <c r="H83" s="34">
        <f>IFERROR(VLOOKUP(A83,[3]库存报告使用数据处理!$A:$G,7,0),0)</f>
        <v>8.08</v>
      </c>
      <c r="I83">
        <f>IFERROR(VLOOKUP(A83,[4]数据处理!$A:$B,2,0),0)</f>
        <v>29</v>
      </c>
      <c r="J83" s="36">
        <f>IFERROR(VLOOKUP(A83,[4]数据处理!$A:$D,4,0),0)</f>
        <v>0</v>
      </c>
      <c r="K83" s="36">
        <f>IFERROR(VLOOKUP(A83,[4]数据处理!$A:$E,5,0),0)</f>
        <v>0</v>
      </c>
      <c r="L83" s="36">
        <f>IFERROR(VLOOKUP(A83,[4]数据处理!$A:$G,7,0),0)</f>
        <v>0</v>
      </c>
      <c r="M83">
        <f t="shared" si="21"/>
        <v>29</v>
      </c>
      <c r="N83">
        <f>IFERROR(VLOOKUP(A83,[4]数据处理!$A:$C,3,0),0)</f>
        <v>0</v>
      </c>
      <c r="O83">
        <f>IFERROR(VLOOKUP($A83,[4]数据处理!$A:$N,14,0),0)</f>
        <v>29</v>
      </c>
      <c r="P83">
        <f>IFERROR(VLOOKUP($A83,[5]库存使用数据!$A:$B,2,0),"")</f>
        <v>31</v>
      </c>
      <c r="Q83">
        <f>IFERROR(VLOOKUP($A83,[5]库存使用数据!$A:$E,5,0),"")</f>
        <v>72</v>
      </c>
      <c r="R83">
        <f>IFERROR(VLOOKUP($A83,[5]库存使用数据!$A:$H,8,0),"")</f>
        <v>66</v>
      </c>
      <c r="S83">
        <f>IFERROR(VLOOKUP($A83,[5]库存使用数据!$A:$K,11,0),"")</f>
        <v>46</v>
      </c>
      <c r="T83">
        <f>IFERROR(VLOOKUP($A83,[5]库存使用数据!$A:$C,3,0),"")</f>
        <v>0</v>
      </c>
      <c r="U83">
        <f>IFERROR(VLOOKUP($A83,[5]库存使用数据!$A:$F,6,0),"")</f>
        <v>0</v>
      </c>
      <c r="V83">
        <f>IFERROR(VLOOKUP($A83,[5]库存使用数据!$A:$I,9,0),"")</f>
        <v>1</v>
      </c>
      <c r="W83">
        <f>IFERROR(VLOOKUP($A83,[5]库存使用数据!$A:$L,12,0),"")</f>
        <v>0</v>
      </c>
      <c r="X83" s="23">
        <f t="shared" si="26"/>
        <v>0</v>
      </c>
      <c r="Y83" s="23">
        <f t="shared" si="27"/>
        <v>0</v>
      </c>
      <c r="Z83" s="23">
        <f t="shared" si="28"/>
        <v>0.0151515151515152</v>
      </c>
      <c r="AA83" s="23">
        <f t="shared" si="29"/>
        <v>0</v>
      </c>
      <c r="AB83">
        <f>IFERROR(VLOOKUP($A83,[5]库存使用数据!$A:$D,4,0),"")</f>
        <v>0</v>
      </c>
      <c r="AC83">
        <f>IFERROR(VLOOKUP($A83,[5]库存使用数据!$A:$G,7,0),"")</f>
        <v>0</v>
      </c>
      <c r="AD83">
        <f>IFERROR(VLOOKUP($A83,[5]库存使用数据!$A:$J,10,0),"")</f>
        <v>0.17</v>
      </c>
      <c r="AE83">
        <f>IFERROR(VLOOKUP($A83,[5]库存使用数据!$A:$M,13,0),"")</f>
        <v>0</v>
      </c>
      <c r="AF83" s="23" t="str">
        <f t="shared" si="30"/>
        <v/>
      </c>
      <c r="AG83" s="23" t="str">
        <f t="shared" si="31"/>
        <v/>
      </c>
      <c r="AH83" s="23" t="str">
        <f t="shared" si="32"/>
        <v>无销量广告费为0.17</v>
      </c>
      <c r="AI83" s="23" t="str">
        <f t="shared" si="33"/>
        <v/>
      </c>
      <c r="AJ83">
        <f>IFERROR(VLOOKUP($B83,[1]库存报告使用数据!$A$1:$B$65536,2,0),0)</f>
        <v>4</v>
      </c>
      <c r="AK83">
        <f>IFERROR(VLOOKUP($B83,[1]库存报告使用数据!$A$1:$C$65536,3,0),0)</f>
        <v>4</v>
      </c>
      <c r="AL83">
        <f>IFERROR(VLOOKUP($B83,[1]库存报告使用数据!$A$1:$D$65536,4,0),0)</f>
        <v>2</v>
      </c>
      <c r="AM83">
        <f>IFERROR(VLOOKUP($B83,[1]库存报告使用数据!$A$1:$E$65536,5,0),0)</f>
        <v>2</v>
      </c>
      <c r="AN83" s="23">
        <f t="shared" si="34"/>
        <v>0</v>
      </c>
      <c r="AO83" s="23">
        <f t="shared" si="35"/>
        <v>0</v>
      </c>
      <c r="AP83" s="23">
        <f t="shared" si="36"/>
        <v>0</v>
      </c>
      <c r="AQ83" s="23">
        <f t="shared" si="37"/>
        <v>0.5</v>
      </c>
      <c r="AR83" s="38">
        <f t="shared" si="22"/>
        <v>0</v>
      </c>
      <c r="AS83" s="38">
        <f t="shared" si="23"/>
        <v>0</v>
      </c>
      <c r="AT83" s="38">
        <f t="shared" si="24"/>
        <v>29</v>
      </c>
      <c r="AU83" s="33" t="str">
        <f t="shared" si="25"/>
        <v>库存为29</v>
      </c>
      <c r="AV83" s="39" t="str">
        <f>IFERROR(时间!$B$4+AU83,"上周无销量")</f>
        <v>上周无销量</v>
      </c>
    </row>
    <row r="84" spans="1:48">
      <c r="A84" s="35" t="s">
        <v>129</v>
      </c>
      <c r="B84" t="str">
        <f>VLOOKUP(A84,'[2]sku-asin（子）'!$A:$B,2,0)</f>
        <v>B074JTW9NR</v>
      </c>
      <c r="C84" t="str">
        <f>VLOOKUP(A84,'[2]子sku-父sku'!$A:$B,2,0)</f>
        <v>N029Y</v>
      </c>
      <c r="D84" s="33">
        <f>IFERROR(VLOOKUP(A84,[3]库存报告使用数据处理!$A:$C,3,0),0)</f>
        <v>0</v>
      </c>
      <c r="E84" s="33">
        <f>IFERROR(VLOOKUP(A84,[3]库存报告使用数据处理!$A:$D,4,0),0)</f>
        <v>0</v>
      </c>
      <c r="F84" s="33">
        <f>IFERROR(VLOOKUP(A84,[3]库存报告使用数据处理!$A:$E,5,0),0)</f>
        <v>0</v>
      </c>
      <c r="G84" s="33">
        <f>IFERROR(VLOOKUP(A84,[3]库存报告使用数据处理!$A:$F,6,0),0)</f>
        <v>0</v>
      </c>
      <c r="H84" s="34">
        <f>IFERROR(VLOOKUP(A84,[3]库存报告使用数据处理!$A:$G,7,0),0)</f>
        <v>0</v>
      </c>
      <c r="I84">
        <f>IFERROR(VLOOKUP(A84,[4]数据处理!$A:$B,2,0),0)</f>
        <v>27</v>
      </c>
      <c r="J84" s="36">
        <f>IFERROR(VLOOKUP(A84,[4]数据处理!$A:$D,4,0),0)</f>
        <v>0</v>
      </c>
      <c r="K84" s="36">
        <f>IFERROR(VLOOKUP(A84,[4]数据处理!$A:$E,5,0),0)</f>
        <v>0</v>
      </c>
      <c r="L84" s="36">
        <f>IFERROR(VLOOKUP(A84,[4]数据处理!$A:$G,7,0),0)</f>
        <v>0</v>
      </c>
      <c r="M84">
        <f t="shared" si="21"/>
        <v>27</v>
      </c>
      <c r="N84">
        <f>IFERROR(VLOOKUP(A84,[4]数据处理!$A:$C,3,0),0)</f>
        <v>0</v>
      </c>
      <c r="O84">
        <f>IFERROR(VLOOKUP($A84,[4]数据处理!$A:$N,14,0),0)</f>
        <v>27</v>
      </c>
      <c r="P84">
        <f>IFERROR(VLOOKUP($A84,[5]库存使用数据!$A:$B,2,0),"")</f>
        <v>129</v>
      </c>
      <c r="Q84">
        <f>IFERROR(VLOOKUP($A84,[5]库存使用数据!$A:$E,5,0),"")</f>
        <v>113</v>
      </c>
      <c r="R84">
        <f>IFERROR(VLOOKUP($A84,[5]库存使用数据!$A:$H,8,0),"")</f>
        <v>145</v>
      </c>
      <c r="S84">
        <f>IFERROR(VLOOKUP($A84,[5]库存使用数据!$A:$K,11,0),"")</f>
        <v>188</v>
      </c>
      <c r="T84">
        <f>IFERROR(VLOOKUP($A84,[5]库存使用数据!$A:$C,3,0),"")</f>
        <v>2</v>
      </c>
      <c r="U84">
        <f>IFERROR(VLOOKUP($A84,[5]库存使用数据!$A:$F,6,0),"")</f>
        <v>0</v>
      </c>
      <c r="V84">
        <f>IFERROR(VLOOKUP($A84,[5]库存使用数据!$A:$I,9,0),"")</f>
        <v>1</v>
      </c>
      <c r="W84">
        <f>IFERROR(VLOOKUP($A84,[5]库存使用数据!$A:$L,12,0),"")</f>
        <v>0</v>
      </c>
      <c r="X84" s="23">
        <f t="shared" si="26"/>
        <v>0.0155038759689922</v>
      </c>
      <c r="Y84" s="23">
        <f t="shared" si="27"/>
        <v>0</v>
      </c>
      <c r="Z84" s="23">
        <f t="shared" si="28"/>
        <v>0.00689655172413793</v>
      </c>
      <c r="AA84" s="23">
        <f t="shared" si="29"/>
        <v>0</v>
      </c>
      <c r="AB84">
        <f>IFERROR(VLOOKUP($A84,[5]库存使用数据!$A:$D,4,0),"")</f>
        <v>0.53</v>
      </c>
      <c r="AC84">
        <f>IFERROR(VLOOKUP($A84,[5]库存使用数据!$A:$G,7,0),"")</f>
        <v>0</v>
      </c>
      <c r="AD84">
        <f>IFERROR(VLOOKUP($A84,[5]库存使用数据!$A:$J,10,0),"")</f>
        <v>0.38</v>
      </c>
      <c r="AE84">
        <f>IFERROR(VLOOKUP($A84,[5]库存使用数据!$A:$M,13,0),"")</f>
        <v>0</v>
      </c>
      <c r="AF84" s="23" t="str">
        <f t="shared" si="30"/>
        <v>无销量广告费为0.53</v>
      </c>
      <c r="AG84" s="23" t="str">
        <f t="shared" si="31"/>
        <v/>
      </c>
      <c r="AH84" s="23" t="str">
        <f t="shared" si="32"/>
        <v>无销量广告费为0.38</v>
      </c>
      <c r="AI84" s="23" t="str">
        <f t="shared" si="33"/>
        <v/>
      </c>
      <c r="AJ84">
        <f>IFERROR(VLOOKUP($B84,[1]库存报告使用数据!$A$1:$B$65536,2,0),0)</f>
        <v>2</v>
      </c>
      <c r="AK84">
        <f>IFERROR(VLOOKUP($B84,[1]库存报告使用数据!$A$1:$C$65536,3,0),0)</f>
        <v>2</v>
      </c>
      <c r="AL84">
        <f>IFERROR(VLOOKUP($B84,[1]库存报告使用数据!$A$1:$D$65536,4,0),0)</f>
        <v>2</v>
      </c>
      <c r="AM84">
        <f>IFERROR(VLOOKUP($B84,[1]库存报告使用数据!$A$1:$E$65536,5,0),0)</f>
        <v>1</v>
      </c>
      <c r="AN84" s="23">
        <f t="shared" si="34"/>
        <v>0</v>
      </c>
      <c r="AO84" s="23">
        <f t="shared" si="35"/>
        <v>0</v>
      </c>
      <c r="AP84" s="23">
        <f t="shared" si="36"/>
        <v>0</v>
      </c>
      <c r="AQ84" s="23">
        <f t="shared" si="37"/>
        <v>0</v>
      </c>
      <c r="AR84" s="38">
        <f t="shared" si="22"/>
        <v>0</v>
      </c>
      <c r="AS84" s="38">
        <f t="shared" si="23"/>
        <v>0</v>
      </c>
      <c r="AT84" s="38">
        <f t="shared" si="24"/>
        <v>27</v>
      </c>
      <c r="AU84" s="33" t="str">
        <f t="shared" si="25"/>
        <v>库存为27</v>
      </c>
      <c r="AV84" s="39" t="str">
        <f>IFERROR(时间!$B$4+AU84,"上周无销量")</f>
        <v>上周无销量</v>
      </c>
    </row>
    <row r="85" spans="1:48">
      <c r="A85" s="35" t="s">
        <v>130</v>
      </c>
      <c r="B85" t="str">
        <f>VLOOKUP(A85,'[2]sku-asin（子）'!$A:$B,2,0)</f>
        <v>B074JZ2HSX</v>
      </c>
      <c r="C85" t="str">
        <f>VLOOKUP(A85,'[2]子sku-父sku'!$A:$B,2,0)</f>
        <v>N039Y</v>
      </c>
      <c r="D85" s="33">
        <f>IFERROR(VLOOKUP(A85,[3]库存报告使用数据处理!$A:$C,3,0),0)</f>
        <v>0</v>
      </c>
      <c r="E85" s="33">
        <f>IFERROR(VLOOKUP(A85,[3]库存报告使用数据处理!$A:$D,4,0),0)</f>
        <v>0</v>
      </c>
      <c r="F85" s="33">
        <f>IFERROR(VLOOKUP(A85,[3]库存报告使用数据处理!$A:$E,5,0),0)</f>
        <v>0</v>
      </c>
      <c r="G85" s="33">
        <f>IFERROR(VLOOKUP(A85,[3]库存报告使用数据处理!$A:$F,6,0),0)</f>
        <v>0</v>
      </c>
      <c r="H85" s="34">
        <f>IFERROR(VLOOKUP(A85,[3]库存报告使用数据处理!$A:$G,7,0),0)</f>
        <v>0</v>
      </c>
      <c r="I85">
        <f>IFERROR(VLOOKUP(A85,[4]数据处理!$A:$B,2,0),0)</f>
        <v>25</v>
      </c>
      <c r="J85" s="36">
        <f>IFERROR(VLOOKUP(A85,[4]数据处理!$A:$D,4,0),0)</f>
        <v>0</v>
      </c>
      <c r="K85" s="36">
        <f>IFERROR(VLOOKUP(A85,[4]数据处理!$A:$E,5,0),0)</f>
        <v>0</v>
      </c>
      <c r="L85" s="36">
        <f>IFERROR(VLOOKUP(A85,[4]数据处理!$A:$G,7,0),0)</f>
        <v>0</v>
      </c>
      <c r="M85">
        <f t="shared" si="21"/>
        <v>25</v>
      </c>
      <c r="N85">
        <f>IFERROR(VLOOKUP(A85,[4]数据处理!$A:$C,3,0),0)</f>
        <v>0</v>
      </c>
      <c r="O85">
        <f>IFERROR(VLOOKUP($A85,[4]数据处理!$A:$N,14,0),0)</f>
        <v>25</v>
      </c>
      <c r="P85">
        <f>IFERROR(VLOOKUP($A85,[5]库存使用数据!$A:$B,2,0),"")</f>
        <v>155</v>
      </c>
      <c r="Q85">
        <f>IFERROR(VLOOKUP($A85,[5]库存使用数据!$A:$E,5,0),"")</f>
        <v>227</v>
      </c>
      <c r="R85">
        <f>IFERROR(VLOOKUP($A85,[5]库存使用数据!$A:$H,8,0),"")</f>
        <v>335</v>
      </c>
      <c r="S85">
        <f>IFERROR(VLOOKUP($A85,[5]库存使用数据!$A:$K,11,0),"")</f>
        <v>2474</v>
      </c>
      <c r="T85">
        <f>IFERROR(VLOOKUP($A85,[5]库存使用数据!$A:$C,3,0),"")</f>
        <v>0</v>
      </c>
      <c r="U85">
        <f>IFERROR(VLOOKUP($A85,[5]库存使用数据!$A:$F,6,0),"")</f>
        <v>2</v>
      </c>
      <c r="V85">
        <f>IFERROR(VLOOKUP($A85,[5]库存使用数据!$A:$I,9,0),"")</f>
        <v>2</v>
      </c>
      <c r="W85">
        <f>IFERROR(VLOOKUP($A85,[5]库存使用数据!$A:$L,12,0),"")</f>
        <v>0</v>
      </c>
      <c r="X85" s="23">
        <f t="shared" si="26"/>
        <v>0</v>
      </c>
      <c r="Y85" s="23">
        <f t="shared" si="27"/>
        <v>0.00881057268722467</v>
      </c>
      <c r="Z85" s="23">
        <f t="shared" si="28"/>
        <v>0.00597014925373134</v>
      </c>
      <c r="AA85" s="23">
        <f t="shared" si="29"/>
        <v>0</v>
      </c>
      <c r="AB85">
        <f>IFERROR(VLOOKUP($A85,[5]库存使用数据!$A:$D,4,0),"")</f>
        <v>0</v>
      </c>
      <c r="AC85">
        <f>IFERROR(VLOOKUP($A85,[5]库存使用数据!$A:$G,7,0),"")</f>
        <v>1.28</v>
      </c>
      <c r="AD85">
        <f>IFERROR(VLOOKUP($A85,[5]库存使用数据!$A:$J,10,0),"")</f>
        <v>0.29</v>
      </c>
      <c r="AE85">
        <f>IFERROR(VLOOKUP($A85,[5]库存使用数据!$A:$M,13,0),"")</f>
        <v>0</v>
      </c>
      <c r="AF85" s="23" t="str">
        <f t="shared" si="30"/>
        <v/>
      </c>
      <c r="AG85" s="23" t="str">
        <f t="shared" si="31"/>
        <v>无销量广告费为1.28</v>
      </c>
      <c r="AH85" s="23" t="str">
        <f t="shared" si="32"/>
        <v>无销量广告费为0.29</v>
      </c>
      <c r="AI85" s="23" t="str">
        <f t="shared" si="33"/>
        <v/>
      </c>
      <c r="AJ85">
        <f>IFERROR(VLOOKUP($B85,[1]库存报告使用数据!$A$1:$B$65536,2,0),0)</f>
        <v>3</v>
      </c>
      <c r="AK85">
        <f>IFERROR(VLOOKUP($B85,[1]库存报告使用数据!$A$1:$C$65536,3,0),0)</f>
        <v>2</v>
      </c>
      <c r="AL85">
        <f>IFERROR(VLOOKUP($B85,[1]库存报告使用数据!$A$1:$D$65536,4,0),0)</f>
        <v>3</v>
      </c>
      <c r="AM85">
        <f>IFERROR(VLOOKUP($B85,[1]库存报告使用数据!$A$1:$E$65536,5,0),0)</f>
        <v>0</v>
      </c>
      <c r="AN85" s="23">
        <f t="shared" si="34"/>
        <v>0</v>
      </c>
      <c r="AO85" s="23">
        <f t="shared" si="35"/>
        <v>0</v>
      </c>
      <c r="AP85" s="23">
        <f t="shared" si="36"/>
        <v>0</v>
      </c>
      <c r="AQ85" s="23" t="str">
        <f t="shared" si="37"/>
        <v/>
      </c>
      <c r="AR85" s="38">
        <f t="shared" si="22"/>
        <v>0</v>
      </c>
      <c r="AS85" s="38">
        <f t="shared" si="23"/>
        <v>0</v>
      </c>
      <c r="AT85" s="38">
        <f t="shared" si="24"/>
        <v>25</v>
      </c>
      <c r="AU85" s="33" t="str">
        <f t="shared" si="25"/>
        <v>库存为25</v>
      </c>
      <c r="AV85" s="39" t="str">
        <f>IFERROR(时间!$B$4+AU85,"上周无销量")</f>
        <v>上周无销量</v>
      </c>
    </row>
    <row r="86" spans="1:48">
      <c r="A86" s="35" t="s">
        <v>131</v>
      </c>
      <c r="B86" t="str">
        <f>VLOOKUP(A86,'[2]sku-asin（子）'!$A:$B,2,0)</f>
        <v>B074JW9ZRS</v>
      </c>
      <c r="C86" t="str">
        <f>VLOOKUP(A86,'[2]子sku-父sku'!$A:$B,2,0)</f>
        <v>N039Y</v>
      </c>
      <c r="D86" s="33">
        <f>IFERROR(VLOOKUP(A86,[3]库存报告使用数据处理!$A:$C,3,0),0)</f>
        <v>0</v>
      </c>
      <c r="E86" s="33">
        <f>IFERROR(VLOOKUP(A86,[3]库存报告使用数据处理!$A:$D,4,0),0)</f>
        <v>0</v>
      </c>
      <c r="F86" s="33">
        <f>IFERROR(VLOOKUP(A86,[3]库存报告使用数据处理!$A:$E,5,0),0)</f>
        <v>1</v>
      </c>
      <c r="G86" s="33">
        <f>IFERROR(VLOOKUP(A86,[3]库存报告使用数据处理!$A:$F,6,0),0)</f>
        <v>0</v>
      </c>
      <c r="H86" s="34">
        <f>IFERROR(VLOOKUP(A86,[3]库存报告使用数据处理!$A:$G,7,0),0)</f>
        <v>9.99</v>
      </c>
      <c r="I86">
        <f>IFERROR(VLOOKUP(A86,[4]数据处理!$A:$B,2,0),0)</f>
        <v>26</v>
      </c>
      <c r="J86" s="36">
        <f>IFERROR(VLOOKUP(A86,[4]数据处理!$A:$D,4,0),0)</f>
        <v>0</v>
      </c>
      <c r="K86" s="36">
        <f>IFERROR(VLOOKUP(A86,[4]数据处理!$A:$E,5,0),0)</f>
        <v>0</v>
      </c>
      <c r="L86" s="36">
        <f>IFERROR(VLOOKUP(A86,[4]数据处理!$A:$G,7,0),0)</f>
        <v>0</v>
      </c>
      <c r="M86">
        <f t="shared" si="21"/>
        <v>26</v>
      </c>
      <c r="N86">
        <f>IFERROR(VLOOKUP(A86,[4]数据处理!$A:$C,3,0),0)</f>
        <v>0</v>
      </c>
      <c r="O86">
        <f>IFERROR(VLOOKUP($A86,[4]数据处理!$A:$N,14,0),0)</f>
        <v>26</v>
      </c>
      <c r="P86">
        <f>IFERROR(VLOOKUP($A86,[5]库存使用数据!$A:$B,2,0),"")</f>
        <v>1644</v>
      </c>
      <c r="Q86">
        <f>IFERROR(VLOOKUP($A86,[5]库存使用数据!$A:$E,5,0),"")</f>
        <v>469</v>
      </c>
      <c r="R86">
        <f>IFERROR(VLOOKUP($A86,[5]库存使用数据!$A:$H,8,0),"")</f>
        <v>1800</v>
      </c>
      <c r="S86">
        <f>IFERROR(VLOOKUP($A86,[5]库存使用数据!$A:$K,11,0),"")</f>
        <v>10476</v>
      </c>
      <c r="T86">
        <f>IFERROR(VLOOKUP($A86,[5]库存使用数据!$A:$C,3,0),"")</f>
        <v>6</v>
      </c>
      <c r="U86">
        <f>IFERROR(VLOOKUP($A86,[5]库存使用数据!$A:$F,6,0),"")</f>
        <v>1</v>
      </c>
      <c r="V86">
        <f>IFERROR(VLOOKUP($A86,[5]库存使用数据!$A:$I,9,0),"")</f>
        <v>4</v>
      </c>
      <c r="W86">
        <f>IFERROR(VLOOKUP($A86,[5]库存使用数据!$A:$L,12,0),"")</f>
        <v>20</v>
      </c>
      <c r="X86" s="23">
        <f t="shared" si="26"/>
        <v>0.00364963503649635</v>
      </c>
      <c r="Y86" s="23">
        <f t="shared" si="27"/>
        <v>0.00213219616204691</v>
      </c>
      <c r="Z86" s="23">
        <f t="shared" si="28"/>
        <v>0.00222222222222222</v>
      </c>
      <c r="AA86" s="23">
        <f t="shared" si="29"/>
        <v>0.00190912562046583</v>
      </c>
      <c r="AB86">
        <f>IFERROR(VLOOKUP($A86,[5]库存使用数据!$A:$D,4,0),"")</f>
        <v>2.24</v>
      </c>
      <c r="AC86">
        <f>IFERROR(VLOOKUP($A86,[5]库存使用数据!$A:$G,7,0),"")</f>
        <v>0.13</v>
      </c>
      <c r="AD86">
        <f>IFERROR(VLOOKUP($A86,[5]库存使用数据!$A:$J,10,0),"")</f>
        <v>0.81</v>
      </c>
      <c r="AE86">
        <f>IFERROR(VLOOKUP($A86,[5]库存使用数据!$A:$M,13,0),"")</f>
        <v>3.92</v>
      </c>
      <c r="AF86" s="23" t="str">
        <f t="shared" si="30"/>
        <v>无销量广告费为2.24</v>
      </c>
      <c r="AG86" s="23" t="str">
        <f t="shared" si="31"/>
        <v>无销量广告费为0.13</v>
      </c>
      <c r="AH86" s="23">
        <f t="shared" si="32"/>
        <v>0.0810810810810811</v>
      </c>
      <c r="AI86" s="23" t="str">
        <f t="shared" si="33"/>
        <v>无销量广告费为3.92</v>
      </c>
      <c r="AJ86">
        <f>IFERROR(VLOOKUP($B86,[1]库存报告使用数据!$A$1:$B$65536,2,0),0)</f>
        <v>6</v>
      </c>
      <c r="AK86">
        <f>IFERROR(VLOOKUP($B86,[1]库存报告使用数据!$A$1:$C$65536,3,0),0)</f>
        <v>4</v>
      </c>
      <c r="AL86">
        <f>IFERROR(VLOOKUP($B86,[1]库存报告使用数据!$A$1:$D$65536,4,0),0)</f>
        <v>4</v>
      </c>
      <c r="AM86">
        <f>IFERROR(VLOOKUP($B86,[1]库存报告使用数据!$A$1:$E$65536,5,0),0)</f>
        <v>3</v>
      </c>
      <c r="AN86" s="23">
        <f t="shared" si="34"/>
        <v>0</v>
      </c>
      <c r="AO86" s="23">
        <f t="shared" si="35"/>
        <v>0</v>
      </c>
      <c r="AP86" s="23">
        <f t="shared" si="36"/>
        <v>0.25</v>
      </c>
      <c r="AQ86" s="23">
        <f t="shared" si="37"/>
        <v>0</v>
      </c>
      <c r="AR86" s="38">
        <f t="shared" si="22"/>
        <v>0</v>
      </c>
      <c r="AS86" s="38">
        <f t="shared" si="23"/>
        <v>0</v>
      </c>
      <c r="AT86" s="38">
        <f t="shared" si="24"/>
        <v>26</v>
      </c>
      <c r="AU86" s="33" t="str">
        <f t="shared" si="25"/>
        <v>库存为26</v>
      </c>
      <c r="AV86" s="39" t="str">
        <f>IFERROR(时间!$B$4+AU86,"上周无销量")</f>
        <v>上周无销量</v>
      </c>
    </row>
    <row r="87" spans="1:48">
      <c r="A87" s="35" t="s">
        <v>132</v>
      </c>
      <c r="B87" t="str">
        <f>VLOOKUP(A87,'[2]sku-asin（子）'!$A:$B,2,0)</f>
        <v>B074JW46DX</v>
      </c>
      <c r="C87" t="str">
        <f>VLOOKUP(A87,'[2]子sku-父sku'!$A:$B,2,0)</f>
        <v>N039Y</v>
      </c>
      <c r="D87" s="33">
        <f>IFERROR(VLOOKUP(A87,[3]库存报告使用数据处理!$A:$C,3,0),0)</f>
        <v>0</v>
      </c>
      <c r="E87" s="33">
        <f>IFERROR(VLOOKUP(A87,[3]库存报告使用数据处理!$A:$D,4,0),0)</f>
        <v>0</v>
      </c>
      <c r="F87" s="33">
        <f>IFERROR(VLOOKUP(A87,[3]库存报告使用数据处理!$A:$E,5,0),0)</f>
        <v>0</v>
      </c>
      <c r="G87" s="33">
        <f>IFERROR(VLOOKUP(A87,[3]库存报告使用数据处理!$A:$F,6,0),0)</f>
        <v>0</v>
      </c>
      <c r="H87" s="34">
        <f>IFERROR(VLOOKUP(A87,[3]库存报告使用数据处理!$A:$G,7,0),0)</f>
        <v>0</v>
      </c>
      <c r="I87">
        <f>IFERROR(VLOOKUP(A87,[4]数据处理!$A:$B,2,0),0)</f>
        <v>33</v>
      </c>
      <c r="J87" s="36">
        <f>IFERROR(VLOOKUP(A87,[4]数据处理!$A:$D,4,0),0)</f>
        <v>0</v>
      </c>
      <c r="K87" s="36">
        <f>IFERROR(VLOOKUP(A87,[4]数据处理!$A:$E,5,0),0)</f>
        <v>0</v>
      </c>
      <c r="L87" s="36">
        <f>IFERROR(VLOOKUP(A87,[4]数据处理!$A:$G,7,0),0)</f>
        <v>0</v>
      </c>
      <c r="M87">
        <f t="shared" si="21"/>
        <v>33</v>
      </c>
      <c r="N87">
        <f>IFERROR(VLOOKUP(A87,[4]数据处理!$A:$C,3,0),0)</f>
        <v>0</v>
      </c>
      <c r="O87">
        <f>IFERROR(VLOOKUP($A87,[4]数据处理!$A:$N,14,0),0)</f>
        <v>33</v>
      </c>
      <c r="P87">
        <f>IFERROR(VLOOKUP($A87,[5]库存使用数据!$A:$B,2,0),"")</f>
        <v>132</v>
      </c>
      <c r="Q87">
        <f>IFERROR(VLOOKUP($A87,[5]库存使用数据!$A:$E,5,0),"")</f>
        <v>132</v>
      </c>
      <c r="R87">
        <f>IFERROR(VLOOKUP($A87,[5]库存使用数据!$A:$H,8,0),"")</f>
        <v>101</v>
      </c>
      <c r="S87">
        <f>IFERROR(VLOOKUP($A87,[5]库存使用数据!$A:$K,11,0),"")</f>
        <v>127</v>
      </c>
      <c r="T87">
        <f>IFERROR(VLOOKUP($A87,[5]库存使用数据!$A:$C,3,0),"")</f>
        <v>0</v>
      </c>
      <c r="U87">
        <f>IFERROR(VLOOKUP($A87,[5]库存使用数据!$A:$F,6,0),"")</f>
        <v>1</v>
      </c>
      <c r="V87">
        <f>IFERROR(VLOOKUP($A87,[5]库存使用数据!$A:$I,9,0),"")</f>
        <v>2</v>
      </c>
      <c r="W87">
        <f>IFERROR(VLOOKUP($A87,[5]库存使用数据!$A:$L,12,0),"")</f>
        <v>0</v>
      </c>
      <c r="X87" s="23">
        <f t="shared" si="26"/>
        <v>0</v>
      </c>
      <c r="Y87" s="23">
        <f t="shared" si="27"/>
        <v>0.00757575757575758</v>
      </c>
      <c r="Z87" s="23">
        <f t="shared" si="28"/>
        <v>0.0198019801980198</v>
      </c>
      <c r="AA87" s="23">
        <f t="shared" si="29"/>
        <v>0</v>
      </c>
      <c r="AB87">
        <f>IFERROR(VLOOKUP($A87,[5]库存使用数据!$A:$D,4,0),"")</f>
        <v>0</v>
      </c>
      <c r="AC87">
        <f>IFERROR(VLOOKUP($A87,[5]库存使用数据!$A:$G,7,0),"")</f>
        <v>0.47</v>
      </c>
      <c r="AD87">
        <f>IFERROR(VLOOKUP($A87,[5]库存使用数据!$A:$J,10,0),"")</f>
        <v>0.7</v>
      </c>
      <c r="AE87">
        <f>IFERROR(VLOOKUP($A87,[5]库存使用数据!$A:$M,13,0),"")</f>
        <v>0</v>
      </c>
      <c r="AF87" s="23" t="str">
        <f t="shared" si="30"/>
        <v/>
      </c>
      <c r="AG87" s="23" t="str">
        <f t="shared" si="31"/>
        <v>无销量广告费为0.47</v>
      </c>
      <c r="AH87" s="23" t="str">
        <f t="shared" si="32"/>
        <v>无销量广告费为0.7</v>
      </c>
      <c r="AI87" s="23" t="str">
        <f t="shared" si="33"/>
        <v/>
      </c>
      <c r="AJ87">
        <f>IFERROR(VLOOKUP($B87,[1]库存报告使用数据!$A$1:$B$65536,2,0),0)</f>
        <v>2</v>
      </c>
      <c r="AK87">
        <f>IFERROR(VLOOKUP($B87,[1]库存报告使用数据!$A$1:$C$65536,3,0),0)</f>
        <v>3</v>
      </c>
      <c r="AL87">
        <f>IFERROR(VLOOKUP($B87,[1]库存报告使用数据!$A$1:$D$65536,4,0),0)</f>
        <v>4</v>
      </c>
      <c r="AM87">
        <f>IFERROR(VLOOKUP($B87,[1]库存报告使用数据!$A$1:$E$65536,5,0),0)</f>
        <v>3</v>
      </c>
      <c r="AN87" s="23">
        <f t="shared" si="34"/>
        <v>0</v>
      </c>
      <c r="AO87" s="23">
        <f t="shared" si="35"/>
        <v>0</v>
      </c>
      <c r="AP87" s="23">
        <f t="shared" si="36"/>
        <v>0</v>
      </c>
      <c r="AQ87" s="23">
        <f t="shared" si="37"/>
        <v>0</v>
      </c>
      <c r="AR87" s="38">
        <f t="shared" si="22"/>
        <v>0</v>
      </c>
      <c r="AS87" s="38">
        <f t="shared" si="23"/>
        <v>0</v>
      </c>
      <c r="AT87" s="38">
        <f t="shared" si="24"/>
        <v>33</v>
      </c>
      <c r="AU87" s="33" t="str">
        <f t="shared" si="25"/>
        <v>库存为33</v>
      </c>
      <c r="AV87" s="39" t="str">
        <f>IFERROR(时间!$B$4+AU87,"上周无销量")</f>
        <v>上周无销量</v>
      </c>
    </row>
    <row r="88" spans="1:48">
      <c r="A88" s="35" t="s">
        <v>133</v>
      </c>
      <c r="B88" t="str">
        <f>VLOOKUP(A88,'[2]sku-asin（子）'!$A:$B,2,0)</f>
        <v>B074K1913X</v>
      </c>
      <c r="C88" t="str">
        <f>VLOOKUP(A88,'[2]子sku-父sku'!$A:$B,2,0)</f>
        <v>N039Y</v>
      </c>
      <c r="D88" s="33">
        <f>IFERROR(VLOOKUP(A88,[3]库存报告使用数据处理!$A:$C,3,0),0)</f>
        <v>0</v>
      </c>
      <c r="E88" s="33">
        <f>IFERROR(VLOOKUP(A88,[3]库存报告使用数据处理!$A:$D,4,0),0)</f>
        <v>0</v>
      </c>
      <c r="F88" s="33">
        <f>IFERROR(VLOOKUP(A88,[3]库存报告使用数据处理!$A:$E,5,0),0)</f>
        <v>0</v>
      </c>
      <c r="G88" s="33">
        <f>IFERROR(VLOOKUP(A88,[3]库存报告使用数据处理!$A:$F,6,0),0)</f>
        <v>0</v>
      </c>
      <c r="H88" s="34">
        <f>IFERROR(VLOOKUP(A88,[3]库存报告使用数据处理!$A:$G,7,0),0)</f>
        <v>0</v>
      </c>
      <c r="I88">
        <f>IFERROR(VLOOKUP(A88,[4]数据处理!$A:$B,2,0),0)</f>
        <v>27</v>
      </c>
      <c r="J88" s="36">
        <f>IFERROR(VLOOKUP(A88,[4]数据处理!$A:$D,4,0),0)</f>
        <v>0</v>
      </c>
      <c r="K88" s="36">
        <f>IFERROR(VLOOKUP(A88,[4]数据处理!$A:$E,5,0),0)</f>
        <v>0</v>
      </c>
      <c r="L88" s="36">
        <f>IFERROR(VLOOKUP(A88,[4]数据处理!$A:$G,7,0),0)</f>
        <v>0</v>
      </c>
      <c r="M88">
        <f t="shared" si="21"/>
        <v>27</v>
      </c>
      <c r="N88">
        <f>IFERROR(VLOOKUP(A88,[4]数据处理!$A:$C,3,0),0)</f>
        <v>0</v>
      </c>
      <c r="O88">
        <f>IFERROR(VLOOKUP($A88,[4]数据处理!$A:$N,14,0),0)</f>
        <v>27</v>
      </c>
      <c r="P88">
        <f>IFERROR(VLOOKUP($A88,[5]库存使用数据!$A:$B,2,0),"")</f>
        <v>267</v>
      </c>
      <c r="Q88">
        <f>IFERROR(VLOOKUP($A88,[5]库存使用数据!$A:$E,5,0),"")</f>
        <v>193</v>
      </c>
      <c r="R88">
        <f>IFERROR(VLOOKUP($A88,[5]库存使用数据!$A:$H,8,0),"")</f>
        <v>142</v>
      </c>
      <c r="S88">
        <f>IFERROR(VLOOKUP($A88,[5]库存使用数据!$A:$K,11,0),"")</f>
        <v>99</v>
      </c>
      <c r="T88">
        <f>IFERROR(VLOOKUP($A88,[5]库存使用数据!$A:$C,3,0),"")</f>
        <v>0</v>
      </c>
      <c r="U88">
        <f>IFERROR(VLOOKUP($A88,[5]库存使用数据!$A:$F,6,0),"")</f>
        <v>0</v>
      </c>
      <c r="V88">
        <f>IFERROR(VLOOKUP($A88,[5]库存使用数据!$A:$I,9,0),"")</f>
        <v>0</v>
      </c>
      <c r="W88">
        <f>IFERROR(VLOOKUP($A88,[5]库存使用数据!$A:$L,12,0),"")</f>
        <v>0</v>
      </c>
      <c r="X88" s="23">
        <f t="shared" si="26"/>
        <v>0</v>
      </c>
      <c r="Y88" s="23">
        <f t="shared" si="27"/>
        <v>0</v>
      </c>
      <c r="Z88" s="23">
        <f t="shared" si="28"/>
        <v>0</v>
      </c>
      <c r="AA88" s="23">
        <f t="shared" si="29"/>
        <v>0</v>
      </c>
      <c r="AB88">
        <f>IFERROR(VLOOKUP($A88,[5]库存使用数据!$A:$D,4,0),"")</f>
        <v>0</v>
      </c>
      <c r="AC88">
        <f>IFERROR(VLOOKUP($A88,[5]库存使用数据!$A:$G,7,0),"")</f>
        <v>0</v>
      </c>
      <c r="AD88">
        <f>IFERROR(VLOOKUP($A88,[5]库存使用数据!$A:$J,10,0),"")</f>
        <v>0</v>
      </c>
      <c r="AE88">
        <f>IFERROR(VLOOKUP($A88,[5]库存使用数据!$A:$M,13,0),"")</f>
        <v>0</v>
      </c>
      <c r="AF88" s="23" t="str">
        <f t="shared" si="30"/>
        <v/>
      </c>
      <c r="AG88" s="23" t="str">
        <f t="shared" si="31"/>
        <v/>
      </c>
      <c r="AH88" s="23" t="str">
        <f t="shared" si="32"/>
        <v/>
      </c>
      <c r="AI88" s="23" t="str">
        <f t="shared" si="33"/>
        <v/>
      </c>
      <c r="AJ88">
        <f>IFERROR(VLOOKUP($B88,[1]库存报告使用数据!$A$1:$B$65536,2,0),0)</f>
        <v>5</v>
      </c>
      <c r="AK88">
        <f>IFERROR(VLOOKUP($B88,[1]库存报告使用数据!$A$1:$C$65536,3,0),0)</f>
        <v>1</v>
      </c>
      <c r="AL88">
        <f>IFERROR(VLOOKUP($B88,[1]库存报告使用数据!$A$1:$D$65536,4,0),0)</f>
        <v>0</v>
      </c>
      <c r="AM88">
        <f>IFERROR(VLOOKUP($B88,[1]库存报告使用数据!$A$1:$E$65536,5,0),0)</f>
        <v>0</v>
      </c>
      <c r="AN88" s="23">
        <f t="shared" si="34"/>
        <v>0</v>
      </c>
      <c r="AO88" s="23">
        <f t="shared" si="35"/>
        <v>0</v>
      </c>
      <c r="AP88" s="23" t="str">
        <f t="shared" si="36"/>
        <v/>
      </c>
      <c r="AQ88" s="23" t="str">
        <f t="shared" si="37"/>
        <v/>
      </c>
      <c r="AR88" s="38">
        <f t="shared" si="22"/>
        <v>0</v>
      </c>
      <c r="AS88" s="38">
        <f t="shared" si="23"/>
        <v>0</v>
      </c>
      <c r="AT88" s="38">
        <f t="shared" si="24"/>
        <v>27</v>
      </c>
      <c r="AU88" s="33" t="str">
        <f t="shared" si="25"/>
        <v>库存为27</v>
      </c>
      <c r="AV88" s="39" t="str">
        <f>IFERROR(时间!$B$4+AU88,"上周无销量")</f>
        <v>上周无销量</v>
      </c>
    </row>
    <row r="89" spans="1:48">
      <c r="A89" s="35" t="s">
        <v>134</v>
      </c>
      <c r="B89" t="str">
        <f>VLOOKUP(A89,'[2]sku-asin（子）'!$A:$B,2,0)</f>
        <v>B074JXGVBD</v>
      </c>
      <c r="C89" t="str">
        <f>VLOOKUP(A89,'[2]子sku-父sku'!$A:$B,2,0)</f>
        <v>N039Y</v>
      </c>
      <c r="D89" s="33">
        <f>IFERROR(VLOOKUP(A89,[3]库存报告使用数据处理!$A:$C,3,0),0)</f>
        <v>0</v>
      </c>
      <c r="E89" s="33">
        <f>IFERROR(VLOOKUP(A89,[3]库存报告使用数据处理!$A:$D,4,0),0)</f>
        <v>0</v>
      </c>
      <c r="F89" s="33">
        <f>IFERROR(VLOOKUP(A89,[3]库存报告使用数据处理!$A:$E,5,0),0)</f>
        <v>0</v>
      </c>
      <c r="G89" s="33">
        <f>IFERROR(VLOOKUP(A89,[3]库存报告使用数据处理!$A:$F,6,0),0)</f>
        <v>0</v>
      </c>
      <c r="H89" s="34">
        <f>IFERROR(VLOOKUP(A89,[3]库存报告使用数据处理!$A:$G,7,0),0)</f>
        <v>0</v>
      </c>
      <c r="I89">
        <f>IFERROR(VLOOKUP(A89,[4]数据处理!$A:$B,2,0),0)</f>
        <v>30</v>
      </c>
      <c r="J89" s="36">
        <f>IFERROR(VLOOKUP(A89,[4]数据处理!$A:$D,4,0),0)</f>
        <v>0</v>
      </c>
      <c r="K89" s="36">
        <f>IFERROR(VLOOKUP(A89,[4]数据处理!$A:$E,5,0),0)</f>
        <v>0</v>
      </c>
      <c r="L89" s="36">
        <f>IFERROR(VLOOKUP(A89,[4]数据处理!$A:$G,7,0),0)</f>
        <v>0</v>
      </c>
      <c r="M89">
        <f t="shared" si="21"/>
        <v>30</v>
      </c>
      <c r="N89">
        <f>IFERROR(VLOOKUP(A89,[4]数据处理!$A:$C,3,0),0)</f>
        <v>0</v>
      </c>
      <c r="O89">
        <f>IFERROR(VLOOKUP($A89,[4]数据处理!$A:$N,14,0),0)</f>
        <v>30</v>
      </c>
      <c r="P89">
        <f>IFERROR(VLOOKUP($A89,[5]库存使用数据!$A:$B,2,0),"")</f>
        <v>1718</v>
      </c>
      <c r="Q89">
        <f>IFERROR(VLOOKUP($A89,[5]库存使用数据!$A:$E,5,0),"")</f>
        <v>2962</v>
      </c>
      <c r="R89">
        <f>IFERROR(VLOOKUP($A89,[5]库存使用数据!$A:$H,8,0),"")</f>
        <v>2838</v>
      </c>
      <c r="S89">
        <f>IFERROR(VLOOKUP($A89,[5]库存使用数据!$A:$K,11,0),"")</f>
        <v>3896</v>
      </c>
      <c r="T89">
        <f>IFERROR(VLOOKUP($A89,[5]库存使用数据!$A:$C,3,0),"")</f>
        <v>3</v>
      </c>
      <c r="U89">
        <f>IFERROR(VLOOKUP($A89,[5]库存使用数据!$A:$F,6,0),"")</f>
        <v>4</v>
      </c>
      <c r="V89">
        <f>IFERROR(VLOOKUP($A89,[5]库存使用数据!$A:$I,9,0),"")</f>
        <v>6</v>
      </c>
      <c r="W89">
        <f>IFERROR(VLOOKUP($A89,[5]库存使用数据!$A:$L,12,0),"")</f>
        <v>4</v>
      </c>
      <c r="X89" s="23">
        <f t="shared" si="26"/>
        <v>0.00174621653084983</v>
      </c>
      <c r="Y89" s="23">
        <f t="shared" si="27"/>
        <v>0.00135043889264011</v>
      </c>
      <c r="Z89" s="23">
        <f t="shared" si="28"/>
        <v>0.00211416490486258</v>
      </c>
      <c r="AA89" s="23">
        <f t="shared" si="29"/>
        <v>0.00102669404517454</v>
      </c>
      <c r="AB89">
        <f>IFERROR(VLOOKUP($A89,[5]库存使用数据!$A:$D,4,0),"")</f>
        <v>0.96</v>
      </c>
      <c r="AC89">
        <f>IFERROR(VLOOKUP($A89,[5]库存使用数据!$A:$G,7,0),"")</f>
        <v>1.92</v>
      </c>
      <c r="AD89">
        <f>IFERROR(VLOOKUP($A89,[5]库存使用数据!$A:$J,10,0),"")</f>
        <v>2.63</v>
      </c>
      <c r="AE89">
        <f>IFERROR(VLOOKUP($A89,[5]库存使用数据!$A:$M,13,0),"")</f>
        <v>1.53</v>
      </c>
      <c r="AF89" s="23" t="str">
        <f t="shared" si="30"/>
        <v>无销量广告费为0.96</v>
      </c>
      <c r="AG89" s="23" t="str">
        <f t="shared" si="31"/>
        <v>无销量广告费为1.92</v>
      </c>
      <c r="AH89" s="23" t="str">
        <f t="shared" si="32"/>
        <v>无销量广告费为2.63</v>
      </c>
      <c r="AI89" s="23" t="str">
        <f t="shared" si="33"/>
        <v>无销量广告费为1.53</v>
      </c>
      <c r="AJ89">
        <f>IFERROR(VLOOKUP($B89,[1]库存报告使用数据!$A$1:$B$65536,2,0),0)</f>
        <v>5</v>
      </c>
      <c r="AK89">
        <f>IFERROR(VLOOKUP($B89,[1]库存报告使用数据!$A$1:$C$65536,3,0),0)</f>
        <v>2</v>
      </c>
      <c r="AL89">
        <f>IFERROR(VLOOKUP($B89,[1]库存报告使用数据!$A$1:$D$65536,4,0),0)</f>
        <v>1</v>
      </c>
      <c r="AM89">
        <f>IFERROR(VLOOKUP($B89,[1]库存报告使用数据!$A$1:$E$65536,5,0),0)</f>
        <v>1</v>
      </c>
      <c r="AN89" s="23">
        <f t="shared" si="34"/>
        <v>0</v>
      </c>
      <c r="AO89" s="23">
        <f t="shared" si="35"/>
        <v>0</v>
      </c>
      <c r="AP89" s="23">
        <f t="shared" si="36"/>
        <v>0</v>
      </c>
      <c r="AQ89" s="23">
        <f t="shared" si="37"/>
        <v>0</v>
      </c>
      <c r="AR89" s="38">
        <f t="shared" si="22"/>
        <v>0</v>
      </c>
      <c r="AS89" s="38">
        <f t="shared" si="23"/>
        <v>0</v>
      </c>
      <c r="AT89" s="38">
        <f t="shared" si="24"/>
        <v>30</v>
      </c>
      <c r="AU89" s="33" t="str">
        <f t="shared" si="25"/>
        <v>库存为30</v>
      </c>
      <c r="AV89" s="39" t="str">
        <f>IFERROR(时间!$B$4+AU89,"上周无销量")</f>
        <v>上周无销量</v>
      </c>
    </row>
    <row r="90" spans="1:48">
      <c r="A90" s="35" t="s">
        <v>135</v>
      </c>
      <c r="B90" t="str">
        <f>VLOOKUP(A90,'[2]sku-asin（子）'!$A:$B,2,0)</f>
        <v>B074JY219R</v>
      </c>
      <c r="C90" t="str">
        <f>VLOOKUP(A90,'[2]子sku-父sku'!$A:$B,2,0)</f>
        <v>N039Y</v>
      </c>
      <c r="D90" s="33">
        <f>IFERROR(VLOOKUP(A90,[3]库存报告使用数据处理!$A:$C,3,0),0)</f>
        <v>0</v>
      </c>
      <c r="E90" s="33">
        <f>IFERROR(VLOOKUP(A90,[3]库存报告使用数据处理!$A:$D,4,0),0)</f>
        <v>0</v>
      </c>
      <c r="F90" s="33">
        <f>IFERROR(VLOOKUP(A90,[3]库存报告使用数据处理!$A:$E,5,0),0)</f>
        <v>0</v>
      </c>
      <c r="G90" s="33">
        <f>IFERROR(VLOOKUP(A90,[3]库存报告使用数据处理!$A:$F,6,0),0)</f>
        <v>0</v>
      </c>
      <c r="H90" s="34">
        <f>IFERROR(VLOOKUP(A90,[3]库存报告使用数据处理!$A:$G,7,0),0)</f>
        <v>0</v>
      </c>
      <c r="I90">
        <f>IFERROR(VLOOKUP(A90,[4]数据处理!$A:$B,2,0),0)</f>
        <v>30</v>
      </c>
      <c r="J90" s="36">
        <f>IFERROR(VLOOKUP(A90,[4]数据处理!$A:$D,4,0),0)</f>
        <v>0</v>
      </c>
      <c r="K90" s="36">
        <f>IFERROR(VLOOKUP(A90,[4]数据处理!$A:$E,5,0),0)</f>
        <v>0</v>
      </c>
      <c r="L90" s="36">
        <f>IFERROR(VLOOKUP(A90,[4]数据处理!$A:$G,7,0),0)</f>
        <v>0</v>
      </c>
      <c r="M90">
        <f t="shared" si="21"/>
        <v>30</v>
      </c>
      <c r="N90">
        <f>IFERROR(VLOOKUP(A90,[4]数据处理!$A:$C,3,0),0)</f>
        <v>0</v>
      </c>
      <c r="O90">
        <f>IFERROR(VLOOKUP($A90,[4]数据处理!$A:$N,14,0),0)</f>
        <v>30</v>
      </c>
      <c r="P90">
        <f>IFERROR(VLOOKUP($A90,[5]库存使用数据!$A:$B,2,0),"")</f>
        <v>184</v>
      </c>
      <c r="Q90">
        <f>IFERROR(VLOOKUP($A90,[5]库存使用数据!$A:$E,5,0),"")</f>
        <v>516</v>
      </c>
      <c r="R90">
        <f>IFERROR(VLOOKUP($A90,[5]库存使用数据!$A:$H,8,0),"")</f>
        <v>543</v>
      </c>
      <c r="S90">
        <f>IFERROR(VLOOKUP($A90,[5]库存使用数据!$A:$K,11,0),"")</f>
        <v>166</v>
      </c>
      <c r="T90">
        <f>IFERROR(VLOOKUP($A90,[5]库存使用数据!$A:$C,3,0),"")</f>
        <v>0</v>
      </c>
      <c r="U90">
        <f>IFERROR(VLOOKUP($A90,[5]库存使用数据!$A:$F,6,0),"")</f>
        <v>1</v>
      </c>
      <c r="V90">
        <f>IFERROR(VLOOKUP($A90,[5]库存使用数据!$A:$I,9,0),"")</f>
        <v>0</v>
      </c>
      <c r="W90">
        <f>IFERROR(VLOOKUP($A90,[5]库存使用数据!$A:$L,12,0),"")</f>
        <v>0</v>
      </c>
      <c r="X90" s="23">
        <f t="shared" si="26"/>
        <v>0</v>
      </c>
      <c r="Y90" s="23">
        <f t="shared" si="27"/>
        <v>0.00193798449612403</v>
      </c>
      <c r="Z90" s="23">
        <f t="shared" si="28"/>
        <v>0</v>
      </c>
      <c r="AA90" s="23">
        <f t="shared" si="29"/>
        <v>0</v>
      </c>
      <c r="AB90">
        <f>IFERROR(VLOOKUP($A90,[5]库存使用数据!$A:$D,4,0),"")</f>
        <v>0</v>
      </c>
      <c r="AC90">
        <f>IFERROR(VLOOKUP($A90,[5]库存使用数据!$A:$G,7,0),"")</f>
        <v>0.29</v>
      </c>
      <c r="AD90">
        <f>IFERROR(VLOOKUP($A90,[5]库存使用数据!$A:$J,10,0),"")</f>
        <v>0</v>
      </c>
      <c r="AE90">
        <f>IFERROR(VLOOKUP($A90,[5]库存使用数据!$A:$M,13,0),"")</f>
        <v>0</v>
      </c>
      <c r="AF90" s="23" t="str">
        <f t="shared" si="30"/>
        <v/>
      </c>
      <c r="AG90" s="23" t="str">
        <f t="shared" si="31"/>
        <v>无销量广告费为0.29</v>
      </c>
      <c r="AH90" s="23" t="str">
        <f t="shared" si="32"/>
        <v/>
      </c>
      <c r="AI90" s="23" t="str">
        <f t="shared" si="33"/>
        <v/>
      </c>
      <c r="AJ90">
        <f>IFERROR(VLOOKUP($B90,[1]库存报告使用数据!$A$1:$B$65536,2,0),0)</f>
        <v>3</v>
      </c>
      <c r="AK90">
        <f>IFERROR(VLOOKUP($B90,[1]库存报告使用数据!$A$1:$C$65536,3,0),0)</f>
        <v>3</v>
      </c>
      <c r="AL90">
        <f>IFERROR(VLOOKUP($B90,[1]库存报告使用数据!$A$1:$D$65536,4,0),0)</f>
        <v>2</v>
      </c>
      <c r="AM90">
        <f>IFERROR(VLOOKUP($B90,[1]库存报告使用数据!$A$1:$E$65536,5,0),0)</f>
        <v>0</v>
      </c>
      <c r="AN90" s="23">
        <f t="shared" si="34"/>
        <v>0</v>
      </c>
      <c r="AO90" s="23">
        <f t="shared" si="35"/>
        <v>0</v>
      </c>
      <c r="AP90" s="23">
        <f t="shared" si="36"/>
        <v>0</v>
      </c>
      <c r="AQ90" s="23" t="str">
        <f t="shared" si="37"/>
        <v/>
      </c>
      <c r="AR90" s="38">
        <f t="shared" si="22"/>
        <v>0</v>
      </c>
      <c r="AS90" s="38">
        <f t="shared" si="23"/>
        <v>0</v>
      </c>
      <c r="AT90" s="38">
        <f t="shared" si="24"/>
        <v>30</v>
      </c>
      <c r="AU90" s="33" t="str">
        <f t="shared" si="25"/>
        <v>库存为30</v>
      </c>
      <c r="AV90" s="39" t="str">
        <f>IFERROR(时间!$B$4+AU90,"上周无销量")</f>
        <v>上周无销量</v>
      </c>
    </row>
    <row r="91" spans="1:48">
      <c r="A91" s="35" t="s">
        <v>136</v>
      </c>
      <c r="B91" t="str">
        <f>VLOOKUP(A91,'[2]sku-asin（子）'!$A:$B,2,0)</f>
        <v>B074JYMHZL</v>
      </c>
      <c r="C91" t="str">
        <f>VLOOKUP(A91,'[2]子sku-父sku'!$A:$B,2,0)</f>
        <v>N039Y</v>
      </c>
      <c r="D91" s="33">
        <f>IFERROR(VLOOKUP(A91,[3]库存报告使用数据处理!$A:$C,3,0),0)</f>
        <v>0</v>
      </c>
      <c r="E91" s="33">
        <f>IFERROR(VLOOKUP(A91,[3]库存报告使用数据处理!$A:$D,4,0),0)</f>
        <v>1</v>
      </c>
      <c r="F91" s="33">
        <f>IFERROR(VLOOKUP(A91,[3]库存报告使用数据处理!$A:$E,5,0),0)</f>
        <v>1</v>
      </c>
      <c r="G91" s="33">
        <f>IFERROR(VLOOKUP(A91,[3]库存报告使用数据处理!$A:$F,6,0),0)</f>
        <v>2</v>
      </c>
      <c r="H91" s="34">
        <f>IFERROR(VLOOKUP(A91,[3]库存报告使用数据处理!$A:$G,7,0),0)</f>
        <v>9.99</v>
      </c>
      <c r="I91">
        <f>IFERROR(VLOOKUP(A91,[4]数据处理!$A:$B,2,0),0)</f>
        <v>10</v>
      </c>
      <c r="J91" s="36">
        <f>IFERROR(VLOOKUP(A91,[4]数据处理!$A:$D,4,0),0)</f>
        <v>0</v>
      </c>
      <c r="K91" s="36">
        <f>IFERROR(VLOOKUP(A91,[4]数据处理!$A:$E,5,0),0)</f>
        <v>0</v>
      </c>
      <c r="L91" s="36">
        <f>IFERROR(VLOOKUP(A91,[4]数据处理!$A:$G,7,0),0)</f>
        <v>1</v>
      </c>
      <c r="M91">
        <f t="shared" si="21"/>
        <v>11</v>
      </c>
      <c r="N91">
        <f>IFERROR(VLOOKUP(A91,[4]数据处理!$A:$C,3,0),0)</f>
        <v>0</v>
      </c>
      <c r="O91">
        <f>IFERROR(VLOOKUP($A91,[4]数据处理!$A:$N,14,0),0)</f>
        <v>9</v>
      </c>
      <c r="P91">
        <f>IFERROR(VLOOKUP($A91,[5]库存使用数据!$A:$B,2,0),"")</f>
        <v>309</v>
      </c>
      <c r="Q91">
        <f>IFERROR(VLOOKUP($A91,[5]库存使用数据!$A:$E,5,0),"")</f>
        <v>272</v>
      </c>
      <c r="R91">
        <f>IFERROR(VLOOKUP($A91,[5]库存使用数据!$A:$H,8,0),"")</f>
        <v>151</v>
      </c>
      <c r="S91">
        <f>IFERROR(VLOOKUP($A91,[5]库存使用数据!$A:$K,11,0),"")</f>
        <v>223</v>
      </c>
      <c r="T91">
        <f>IFERROR(VLOOKUP($A91,[5]库存使用数据!$A:$C,3,0),"")</f>
        <v>2</v>
      </c>
      <c r="U91">
        <f>IFERROR(VLOOKUP($A91,[5]库存使用数据!$A:$F,6,0),"")</f>
        <v>0</v>
      </c>
      <c r="V91">
        <f>IFERROR(VLOOKUP($A91,[5]库存使用数据!$A:$I,9,0),"")</f>
        <v>0</v>
      </c>
      <c r="W91">
        <f>IFERROR(VLOOKUP($A91,[5]库存使用数据!$A:$L,12,0),"")</f>
        <v>1</v>
      </c>
      <c r="X91" s="23">
        <f t="shared" si="26"/>
        <v>0.00647249190938511</v>
      </c>
      <c r="Y91" s="23">
        <f t="shared" si="27"/>
        <v>0</v>
      </c>
      <c r="Z91" s="23">
        <f t="shared" si="28"/>
        <v>0</v>
      </c>
      <c r="AA91" s="23">
        <f t="shared" si="29"/>
        <v>0.00448430493273543</v>
      </c>
      <c r="AB91">
        <f>IFERROR(VLOOKUP($A91,[5]库存使用数据!$A:$D,4,0),"")</f>
        <v>0.79</v>
      </c>
      <c r="AC91">
        <f>IFERROR(VLOOKUP($A91,[5]库存使用数据!$A:$G,7,0),"")</f>
        <v>0</v>
      </c>
      <c r="AD91">
        <f>IFERROR(VLOOKUP($A91,[5]库存使用数据!$A:$J,10,0),"")</f>
        <v>0</v>
      </c>
      <c r="AE91">
        <f>IFERROR(VLOOKUP($A91,[5]库存使用数据!$A:$M,13,0),"")</f>
        <v>0.46</v>
      </c>
      <c r="AF91" s="23" t="str">
        <f t="shared" si="30"/>
        <v>无销量广告费为0.79</v>
      </c>
      <c r="AG91" s="23" t="str">
        <f t="shared" si="31"/>
        <v/>
      </c>
      <c r="AH91" s="23" t="str">
        <f t="shared" si="32"/>
        <v/>
      </c>
      <c r="AI91" s="23">
        <f t="shared" si="33"/>
        <v>0.023023023023023</v>
      </c>
      <c r="AJ91">
        <f>IFERROR(VLOOKUP($B91,[1]库存报告使用数据!$A$1:$B$65536,2,0),0)</f>
        <v>6</v>
      </c>
      <c r="AK91">
        <f>IFERROR(VLOOKUP($B91,[1]库存报告使用数据!$A$1:$C$65536,3,0),0)</f>
        <v>4</v>
      </c>
      <c r="AL91">
        <f>IFERROR(VLOOKUP($B91,[1]库存报告使用数据!$A$1:$D$65536,4,0),0)</f>
        <v>3</v>
      </c>
      <c r="AM91">
        <f>IFERROR(VLOOKUP($B91,[1]库存报告使用数据!$A$1:$E$65536,5,0),0)</f>
        <v>5</v>
      </c>
      <c r="AN91" s="23">
        <f t="shared" si="34"/>
        <v>0</v>
      </c>
      <c r="AO91" s="23">
        <f t="shared" si="35"/>
        <v>0.25</v>
      </c>
      <c r="AP91" s="23">
        <f t="shared" si="36"/>
        <v>0.333333333333333</v>
      </c>
      <c r="AQ91" s="23">
        <f t="shared" si="37"/>
        <v>0.4</v>
      </c>
      <c r="AR91" s="38">
        <f t="shared" si="22"/>
        <v>0</v>
      </c>
      <c r="AS91" s="38">
        <f t="shared" si="23"/>
        <v>0</v>
      </c>
      <c r="AT91" s="38">
        <f t="shared" si="24"/>
        <v>11</v>
      </c>
      <c r="AU91" s="33" t="str">
        <f t="shared" si="25"/>
        <v>库存为11</v>
      </c>
      <c r="AV91" s="39" t="str">
        <f>IFERROR(时间!$B$4+AU91,"上周无销量")</f>
        <v>上周无销量</v>
      </c>
    </row>
    <row r="92" spans="1:48">
      <c r="A92" s="35" t="s">
        <v>137</v>
      </c>
      <c r="B92" t="str">
        <f>VLOOKUP(A92,'[2]sku-asin（子）'!$A:$B,2,0)</f>
        <v>B074K3YM47</v>
      </c>
      <c r="C92" t="str">
        <f>VLOOKUP(A92,'[2]子sku-父sku'!$A:$B,2,0)</f>
        <v>N039Y</v>
      </c>
      <c r="D92" s="33">
        <f>IFERROR(VLOOKUP(A92,[3]库存报告使用数据处理!$A:$C,3,0),0)</f>
        <v>0</v>
      </c>
      <c r="E92" s="33">
        <f>IFERROR(VLOOKUP(A92,[3]库存报告使用数据处理!$A:$D,4,0),0)</f>
        <v>1</v>
      </c>
      <c r="F92" s="33">
        <f>IFERROR(VLOOKUP(A92,[3]库存报告使用数据处理!$A:$E,5,0),0)</f>
        <v>0</v>
      </c>
      <c r="G92" s="33">
        <f>IFERROR(VLOOKUP(A92,[3]库存报告使用数据处理!$A:$F,6,0),0)</f>
        <v>1</v>
      </c>
      <c r="H92" s="34">
        <f>IFERROR(VLOOKUP(A92,[3]库存报告使用数据处理!$A:$G,7,0),0)</f>
        <v>9.99</v>
      </c>
      <c r="I92">
        <f>IFERROR(VLOOKUP(A92,[4]数据处理!$A:$B,2,0),0)</f>
        <v>2</v>
      </c>
      <c r="J92" s="36">
        <f>IFERROR(VLOOKUP(A92,[4]数据处理!$A:$D,4,0),0)</f>
        <v>0</v>
      </c>
      <c r="K92" s="36">
        <f>IFERROR(VLOOKUP(A92,[4]数据处理!$A:$E,5,0),0)</f>
        <v>0</v>
      </c>
      <c r="L92" s="36">
        <f>IFERROR(VLOOKUP(A92,[4]数据处理!$A:$G,7,0),0)</f>
        <v>0</v>
      </c>
      <c r="M92">
        <f t="shared" si="21"/>
        <v>2</v>
      </c>
      <c r="N92">
        <f>IFERROR(VLOOKUP(A92,[4]数据处理!$A:$C,3,0),0)</f>
        <v>0</v>
      </c>
      <c r="O92">
        <f>IFERROR(VLOOKUP($A92,[4]数据处理!$A:$N,14,0),0)</f>
        <v>1</v>
      </c>
      <c r="P92">
        <f>IFERROR(VLOOKUP($A92,[5]库存使用数据!$A:$B,2,0),"")</f>
        <v>2895</v>
      </c>
      <c r="Q92">
        <f>IFERROR(VLOOKUP($A92,[5]库存使用数据!$A:$E,5,0),"")</f>
        <v>1730</v>
      </c>
      <c r="R92">
        <f>IFERROR(VLOOKUP($A92,[5]库存使用数据!$A:$H,8,0),"")</f>
        <v>1098</v>
      </c>
      <c r="S92">
        <f>IFERROR(VLOOKUP($A92,[5]库存使用数据!$A:$K,11,0),"")</f>
        <v>3835</v>
      </c>
      <c r="T92">
        <f>IFERROR(VLOOKUP($A92,[5]库存使用数据!$A:$C,3,0),"")</f>
        <v>1</v>
      </c>
      <c r="U92">
        <f>IFERROR(VLOOKUP($A92,[5]库存使用数据!$A:$F,6,0),"")</f>
        <v>0</v>
      </c>
      <c r="V92">
        <f>IFERROR(VLOOKUP($A92,[5]库存使用数据!$A:$I,9,0),"")</f>
        <v>2</v>
      </c>
      <c r="W92">
        <f>IFERROR(VLOOKUP($A92,[5]库存使用数据!$A:$L,12,0),"")</f>
        <v>7</v>
      </c>
      <c r="X92" s="23">
        <f t="shared" si="26"/>
        <v>0.000345423143350604</v>
      </c>
      <c r="Y92" s="23">
        <f t="shared" si="27"/>
        <v>0</v>
      </c>
      <c r="Z92" s="23">
        <f t="shared" si="28"/>
        <v>0.00182149362477231</v>
      </c>
      <c r="AA92" s="23">
        <f t="shared" si="29"/>
        <v>0.00182529335071708</v>
      </c>
      <c r="AB92">
        <f>IFERROR(VLOOKUP($A92,[5]库存使用数据!$A:$D,4,0),"")</f>
        <v>0.26</v>
      </c>
      <c r="AC92">
        <f>IFERROR(VLOOKUP($A92,[5]库存使用数据!$A:$G,7,0),"")</f>
        <v>0</v>
      </c>
      <c r="AD92">
        <f>IFERROR(VLOOKUP($A92,[5]库存使用数据!$A:$J,10,0),"")</f>
        <v>0.77</v>
      </c>
      <c r="AE92">
        <f>IFERROR(VLOOKUP($A92,[5]库存使用数据!$A:$M,13,0),"")</f>
        <v>3.02</v>
      </c>
      <c r="AF92" s="23" t="str">
        <f t="shared" si="30"/>
        <v>无销量广告费为0.26</v>
      </c>
      <c r="AG92" s="23" t="str">
        <f t="shared" si="31"/>
        <v/>
      </c>
      <c r="AH92" s="23" t="str">
        <f t="shared" si="32"/>
        <v>无销量广告费为0.77</v>
      </c>
      <c r="AI92" s="23">
        <f t="shared" si="33"/>
        <v>0.302302302302302</v>
      </c>
      <c r="AJ92">
        <f>IFERROR(VLOOKUP($B92,[1]库存报告使用数据!$A$1:$B$65536,2,0),0)</f>
        <v>5</v>
      </c>
      <c r="AK92">
        <f>IFERROR(VLOOKUP($B92,[1]库存报告使用数据!$A$1:$C$65536,3,0),0)</f>
        <v>2</v>
      </c>
      <c r="AL92">
        <f>IFERROR(VLOOKUP($B92,[1]库存报告使用数据!$A$1:$D$65536,4,0),0)</f>
        <v>3</v>
      </c>
      <c r="AM92">
        <f>IFERROR(VLOOKUP($B92,[1]库存报告使用数据!$A$1:$E$65536,5,0),0)</f>
        <v>1</v>
      </c>
      <c r="AN92" s="23">
        <f t="shared" si="34"/>
        <v>0</v>
      </c>
      <c r="AO92" s="23">
        <f t="shared" si="35"/>
        <v>0.5</v>
      </c>
      <c r="AP92" s="23">
        <f t="shared" si="36"/>
        <v>0</v>
      </c>
      <c r="AQ92" s="23">
        <f t="shared" si="37"/>
        <v>1</v>
      </c>
      <c r="AR92" s="38">
        <f t="shared" si="22"/>
        <v>0</v>
      </c>
      <c r="AS92" s="38">
        <f t="shared" si="23"/>
        <v>0</v>
      </c>
      <c r="AT92" s="38">
        <f t="shared" si="24"/>
        <v>2</v>
      </c>
      <c r="AU92" s="33" t="str">
        <f t="shared" si="25"/>
        <v>库存为2</v>
      </c>
      <c r="AV92" s="39" t="str">
        <f>IFERROR(时间!$B$4+AU92,"上周无销量")</f>
        <v>上周无销量</v>
      </c>
    </row>
    <row r="93" spans="1:48">
      <c r="A93" s="35" t="s">
        <v>138</v>
      </c>
      <c r="B93" t="str">
        <f>VLOOKUP(A93,'[2]sku-asin（子）'!$A:$B,2,0)</f>
        <v>B074K4GLGJ</v>
      </c>
      <c r="C93" t="str">
        <f>VLOOKUP(A93,'[2]子sku-父sku'!$A:$B,2,0)</f>
        <v>N039Y</v>
      </c>
      <c r="D93" s="33">
        <f>IFERROR(VLOOKUP(A93,[3]库存报告使用数据处理!$A:$C,3,0),0)</f>
        <v>0</v>
      </c>
      <c r="E93" s="33">
        <f>IFERROR(VLOOKUP(A93,[3]库存报告使用数据处理!$A:$D,4,0),0)</f>
        <v>1</v>
      </c>
      <c r="F93" s="33">
        <f>IFERROR(VLOOKUP(A93,[3]库存报告使用数据处理!$A:$E,5,0),0)</f>
        <v>0</v>
      </c>
      <c r="G93" s="33">
        <f>IFERROR(VLOOKUP(A93,[3]库存报告使用数据处理!$A:$F,6,0),0)</f>
        <v>1</v>
      </c>
      <c r="H93" s="34">
        <f>IFERROR(VLOOKUP(A93,[3]库存报告使用数据处理!$A:$G,7,0),0)</f>
        <v>9.99</v>
      </c>
      <c r="I93">
        <f>IFERROR(VLOOKUP(A93,[4]数据处理!$A:$B,2,0),0)</f>
        <v>22</v>
      </c>
      <c r="J93" s="36">
        <f>IFERROR(VLOOKUP(A93,[4]数据处理!$A:$D,4,0),0)</f>
        <v>0</v>
      </c>
      <c r="K93" s="36">
        <f>IFERROR(VLOOKUP(A93,[4]数据处理!$A:$E,5,0),0)</f>
        <v>0</v>
      </c>
      <c r="L93" s="36">
        <f>IFERROR(VLOOKUP(A93,[4]数据处理!$A:$G,7,0),0)</f>
        <v>0</v>
      </c>
      <c r="M93">
        <f t="shared" si="21"/>
        <v>22</v>
      </c>
      <c r="N93">
        <f>IFERROR(VLOOKUP(A93,[4]数据处理!$A:$C,3,0),0)</f>
        <v>0</v>
      </c>
      <c r="O93">
        <f>IFERROR(VLOOKUP($A93,[4]数据处理!$A:$N,14,0),0)</f>
        <v>21</v>
      </c>
      <c r="P93">
        <f>IFERROR(VLOOKUP($A93,[5]库存使用数据!$A:$B,2,0),"")</f>
        <v>179</v>
      </c>
      <c r="Q93">
        <f>IFERROR(VLOOKUP($A93,[5]库存使用数据!$A:$E,5,0),"")</f>
        <v>1112</v>
      </c>
      <c r="R93">
        <f>IFERROR(VLOOKUP($A93,[5]库存使用数据!$A:$H,8,0),"")</f>
        <v>1159</v>
      </c>
      <c r="S93">
        <f>IFERROR(VLOOKUP($A93,[5]库存使用数据!$A:$K,11,0),"")</f>
        <v>378</v>
      </c>
      <c r="T93">
        <f>IFERROR(VLOOKUP($A93,[5]库存使用数据!$A:$C,3,0),"")</f>
        <v>0</v>
      </c>
      <c r="U93">
        <f>IFERROR(VLOOKUP($A93,[5]库存使用数据!$A:$F,6,0),"")</f>
        <v>2</v>
      </c>
      <c r="V93">
        <f>IFERROR(VLOOKUP($A93,[5]库存使用数据!$A:$I,9,0),"")</f>
        <v>2</v>
      </c>
      <c r="W93">
        <f>IFERROR(VLOOKUP($A93,[5]库存使用数据!$A:$L,12,0),"")</f>
        <v>2</v>
      </c>
      <c r="X93" s="23">
        <f t="shared" si="26"/>
        <v>0</v>
      </c>
      <c r="Y93" s="23">
        <f t="shared" si="27"/>
        <v>0.00179856115107914</v>
      </c>
      <c r="Z93" s="23">
        <f t="shared" si="28"/>
        <v>0.00172562553925798</v>
      </c>
      <c r="AA93" s="23">
        <f t="shared" si="29"/>
        <v>0.00529100529100529</v>
      </c>
      <c r="AB93">
        <f>IFERROR(VLOOKUP($A93,[5]库存使用数据!$A:$D,4,0),"")</f>
        <v>0</v>
      </c>
      <c r="AC93">
        <f>IFERROR(VLOOKUP($A93,[5]库存使用数据!$A:$G,7,0),"")</f>
        <v>0.78</v>
      </c>
      <c r="AD93">
        <f>IFERROR(VLOOKUP($A93,[5]库存使用数据!$A:$J,10,0),"")</f>
        <v>0.77</v>
      </c>
      <c r="AE93">
        <f>IFERROR(VLOOKUP($A93,[5]库存使用数据!$A:$M,13,0),"")</f>
        <v>0.79</v>
      </c>
      <c r="AF93" s="23" t="str">
        <f t="shared" si="30"/>
        <v/>
      </c>
      <c r="AG93" s="23">
        <f t="shared" si="31"/>
        <v>0.0780780780780781</v>
      </c>
      <c r="AH93" s="23" t="str">
        <f t="shared" si="32"/>
        <v>无销量广告费为0.77</v>
      </c>
      <c r="AI93" s="23">
        <f t="shared" si="33"/>
        <v>0.0790790790790791</v>
      </c>
      <c r="AJ93">
        <f>IFERROR(VLOOKUP($B93,[1]库存报告使用数据!$A$1:$B$65536,2,0),0)</f>
        <v>3</v>
      </c>
      <c r="AK93">
        <f>IFERROR(VLOOKUP($B93,[1]库存报告使用数据!$A$1:$C$65536,3,0),0)</f>
        <v>3</v>
      </c>
      <c r="AL93">
        <f>IFERROR(VLOOKUP($B93,[1]库存报告使用数据!$A$1:$D$65536,4,0),0)</f>
        <v>6</v>
      </c>
      <c r="AM93">
        <f>IFERROR(VLOOKUP($B93,[1]库存报告使用数据!$A$1:$E$65536,5,0),0)</f>
        <v>7</v>
      </c>
      <c r="AN93" s="23">
        <f t="shared" si="34"/>
        <v>0</v>
      </c>
      <c r="AO93" s="23">
        <f t="shared" si="35"/>
        <v>0.333333333333333</v>
      </c>
      <c r="AP93" s="23">
        <f t="shared" si="36"/>
        <v>0</v>
      </c>
      <c r="AQ93" s="23">
        <f t="shared" si="37"/>
        <v>0.142857142857143</v>
      </c>
      <c r="AR93" s="38">
        <f t="shared" si="22"/>
        <v>0</v>
      </c>
      <c r="AS93" s="38">
        <f t="shared" si="23"/>
        <v>0</v>
      </c>
      <c r="AT93" s="38">
        <f t="shared" si="24"/>
        <v>22</v>
      </c>
      <c r="AU93" s="33" t="str">
        <f t="shared" si="25"/>
        <v>库存为22</v>
      </c>
      <c r="AV93" s="39" t="str">
        <f>IFERROR(时间!$B$4+AU93,"上周无销量")</f>
        <v>上周无销量</v>
      </c>
    </row>
    <row r="94" spans="1:48">
      <c r="A94" s="35" t="s">
        <v>139</v>
      </c>
      <c r="B94" t="str">
        <f>VLOOKUP(A94,'[2]sku-asin（子）'!$A:$B,2,0)</f>
        <v>B074JTR9T4</v>
      </c>
      <c r="C94" t="str">
        <f>VLOOKUP(A94,'[2]子sku-父sku'!$A:$B,2,0)</f>
        <v>N039Y</v>
      </c>
      <c r="D94" s="33">
        <f>IFERROR(VLOOKUP(A94,[3]库存报告使用数据处理!$A:$C,3,0),0)</f>
        <v>0</v>
      </c>
      <c r="E94" s="33">
        <f>IFERROR(VLOOKUP(A94,[3]库存报告使用数据处理!$A:$D,4,0),0)</f>
        <v>1</v>
      </c>
      <c r="F94" s="33">
        <f>IFERROR(VLOOKUP(A94,[3]库存报告使用数据处理!$A:$E,5,0),0)</f>
        <v>0</v>
      </c>
      <c r="G94" s="33">
        <f>IFERROR(VLOOKUP(A94,[3]库存报告使用数据处理!$A:$F,6,0),0)</f>
        <v>1</v>
      </c>
      <c r="H94" s="34">
        <f>IFERROR(VLOOKUP(A94,[3]库存报告使用数据处理!$A:$G,7,0),0)</f>
        <v>7.8</v>
      </c>
      <c r="I94">
        <f>IFERROR(VLOOKUP(A94,[4]数据处理!$A:$B,2,0),0)</f>
        <v>25</v>
      </c>
      <c r="J94" s="36">
        <f>IFERROR(VLOOKUP(A94,[4]数据处理!$A:$D,4,0),0)</f>
        <v>0</v>
      </c>
      <c r="K94" s="36">
        <f>IFERROR(VLOOKUP(A94,[4]数据处理!$A:$E,5,0),0)</f>
        <v>0</v>
      </c>
      <c r="L94" s="36">
        <f>IFERROR(VLOOKUP(A94,[4]数据处理!$A:$G,7,0),0)</f>
        <v>0</v>
      </c>
      <c r="M94">
        <f t="shared" si="21"/>
        <v>25</v>
      </c>
      <c r="N94">
        <f>IFERROR(VLOOKUP(A94,[4]数据处理!$A:$C,3,0),0)</f>
        <v>0</v>
      </c>
      <c r="O94">
        <f>IFERROR(VLOOKUP($A94,[4]数据处理!$A:$N,14,0),0)</f>
        <v>25</v>
      </c>
      <c r="P94">
        <f>IFERROR(VLOOKUP($A94,[5]库存使用数据!$A:$B,2,0),"")</f>
        <v>117</v>
      </c>
      <c r="Q94">
        <f>IFERROR(VLOOKUP($A94,[5]库存使用数据!$A:$E,5,0),"")</f>
        <v>130</v>
      </c>
      <c r="R94">
        <f>IFERROR(VLOOKUP($A94,[5]库存使用数据!$A:$H,8,0),"")</f>
        <v>33</v>
      </c>
      <c r="S94">
        <f>IFERROR(VLOOKUP($A94,[5]库存使用数据!$A:$K,11,0),"")</f>
        <v>37</v>
      </c>
      <c r="T94">
        <f>IFERROR(VLOOKUP($A94,[5]库存使用数据!$A:$C,3,0),"")</f>
        <v>1</v>
      </c>
      <c r="U94">
        <f>IFERROR(VLOOKUP($A94,[5]库存使用数据!$A:$F,6,0),"")</f>
        <v>1</v>
      </c>
      <c r="V94">
        <f>IFERROR(VLOOKUP($A94,[5]库存使用数据!$A:$I,9,0),"")</f>
        <v>0</v>
      </c>
      <c r="W94">
        <f>IFERROR(VLOOKUP($A94,[5]库存使用数据!$A:$L,12,0),"")</f>
        <v>0</v>
      </c>
      <c r="X94" s="23">
        <f t="shared" si="26"/>
        <v>0.00854700854700855</v>
      </c>
      <c r="Y94" s="23">
        <f t="shared" si="27"/>
        <v>0.00769230769230769</v>
      </c>
      <c r="Z94" s="23">
        <f t="shared" si="28"/>
        <v>0</v>
      </c>
      <c r="AA94" s="23">
        <f t="shared" si="29"/>
        <v>0</v>
      </c>
      <c r="AB94">
        <f>IFERROR(VLOOKUP($A94,[5]库存使用数据!$A:$D,4,0),"")</f>
        <v>0.34</v>
      </c>
      <c r="AC94">
        <f>IFERROR(VLOOKUP($A94,[5]库存使用数据!$A:$G,7,0),"")</f>
        <v>0.29</v>
      </c>
      <c r="AD94">
        <f>IFERROR(VLOOKUP($A94,[5]库存使用数据!$A:$J,10,0),"")</f>
        <v>0</v>
      </c>
      <c r="AE94">
        <f>IFERROR(VLOOKUP($A94,[5]库存使用数据!$A:$M,13,0),"")</f>
        <v>0</v>
      </c>
      <c r="AF94" s="23" t="str">
        <f t="shared" si="30"/>
        <v>无销量广告费为0.34</v>
      </c>
      <c r="AG94" s="23">
        <f t="shared" si="31"/>
        <v>0.0371794871794872</v>
      </c>
      <c r="AH94" s="23" t="str">
        <f t="shared" si="32"/>
        <v/>
      </c>
      <c r="AI94" s="23" t="str">
        <f t="shared" si="33"/>
        <v/>
      </c>
      <c r="AJ94">
        <f>IFERROR(VLOOKUP($B94,[1]库存报告使用数据!$A$1:$B$65536,2,0),0)</f>
        <v>2</v>
      </c>
      <c r="AK94">
        <f>IFERROR(VLOOKUP($B94,[1]库存报告使用数据!$A$1:$C$65536,3,0),0)</f>
        <v>4</v>
      </c>
      <c r="AL94">
        <f>IFERROR(VLOOKUP($B94,[1]库存报告使用数据!$A$1:$D$65536,4,0),0)</f>
        <v>1</v>
      </c>
      <c r="AM94">
        <f>IFERROR(VLOOKUP($B94,[1]库存报告使用数据!$A$1:$E$65536,5,0),0)</f>
        <v>2</v>
      </c>
      <c r="AN94" s="23">
        <f t="shared" si="34"/>
        <v>0</v>
      </c>
      <c r="AO94" s="23">
        <f t="shared" si="35"/>
        <v>0.25</v>
      </c>
      <c r="AP94" s="23">
        <f t="shared" si="36"/>
        <v>0</v>
      </c>
      <c r="AQ94" s="23">
        <f t="shared" si="37"/>
        <v>0.5</v>
      </c>
      <c r="AR94" s="38">
        <f t="shared" si="22"/>
        <v>0</v>
      </c>
      <c r="AS94" s="38">
        <f t="shared" si="23"/>
        <v>0</v>
      </c>
      <c r="AT94" s="38">
        <f t="shared" si="24"/>
        <v>25</v>
      </c>
      <c r="AU94" s="33" t="str">
        <f t="shared" si="25"/>
        <v>库存为25</v>
      </c>
      <c r="AV94" s="39" t="str">
        <f>IFERROR(时间!$B$4+AU94,"上周无销量")</f>
        <v>上周无销量</v>
      </c>
    </row>
    <row r="95" spans="1:48">
      <c r="A95" s="35" t="s">
        <v>140</v>
      </c>
      <c r="B95" t="str">
        <f>VLOOKUP(A95,'[2]sku-asin（子）'!$A:$B,2,0)</f>
        <v>B074K3MSFD</v>
      </c>
      <c r="C95" t="str">
        <f>VLOOKUP(A95,'[2]子sku-父sku'!$A:$B,2,0)</f>
        <v>N039Y</v>
      </c>
      <c r="D95" s="33">
        <f>IFERROR(VLOOKUP(A95,[3]库存报告使用数据处理!$A:$C,3,0),0)</f>
        <v>0</v>
      </c>
      <c r="E95" s="33">
        <f>IFERROR(VLOOKUP(A95,[3]库存报告使用数据处理!$A:$D,4,0),0)</f>
        <v>0</v>
      </c>
      <c r="F95" s="33">
        <f>IFERROR(VLOOKUP(A95,[3]库存报告使用数据处理!$A:$E,5,0),0)</f>
        <v>1</v>
      </c>
      <c r="G95" s="33">
        <f>IFERROR(VLOOKUP(A95,[3]库存报告使用数据处理!$A:$F,6,0),0)</f>
        <v>0</v>
      </c>
      <c r="H95" s="34">
        <f>IFERROR(VLOOKUP(A95,[3]库存报告使用数据处理!$A:$G,7,0),0)</f>
        <v>9.99</v>
      </c>
      <c r="I95">
        <f>IFERROR(VLOOKUP(A95,[4]数据处理!$A:$B,2,0),0)</f>
        <v>29</v>
      </c>
      <c r="J95" s="36">
        <f>IFERROR(VLOOKUP(A95,[4]数据处理!$A:$D,4,0),0)</f>
        <v>0</v>
      </c>
      <c r="K95" s="36">
        <f>IFERROR(VLOOKUP(A95,[4]数据处理!$A:$E,5,0),0)</f>
        <v>0</v>
      </c>
      <c r="L95" s="36">
        <f>IFERROR(VLOOKUP(A95,[4]数据处理!$A:$G,7,0),0)</f>
        <v>0</v>
      </c>
      <c r="M95">
        <f t="shared" si="21"/>
        <v>29</v>
      </c>
      <c r="N95">
        <f>IFERROR(VLOOKUP(A95,[4]数据处理!$A:$C,3,0),0)</f>
        <v>0</v>
      </c>
      <c r="O95">
        <f>IFERROR(VLOOKUP($A95,[4]数据处理!$A:$N,14,0),0)</f>
        <v>29</v>
      </c>
      <c r="P95">
        <f>IFERROR(VLOOKUP($A95,[5]库存使用数据!$A:$B,2,0),"")</f>
        <v>295</v>
      </c>
      <c r="Q95">
        <f>IFERROR(VLOOKUP($A95,[5]库存使用数据!$A:$E,5,0),"")</f>
        <v>85</v>
      </c>
      <c r="R95">
        <f>IFERROR(VLOOKUP($A95,[5]库存使用数据!$A:$H,8,0),"")</f>
        <v>52</v>
      </c>
      <c r="S95">
        <f>IFERROR(VLOOKUP($A95,[5]库存使用数据!$A:$K,11,0),"")</f>
        <v>92</v>
      </c>
      <c r="T95">
        <f>IFERROR(VLOOKUP($A95,[5]库存使用数据!$A:$C,3,0),"")</f>
        <v>0</v>
      </c>
      <c r="U95">
        <f>IFERROR(VLOOKUP($A95,[5]库存使用数据!$A:$F,6,0),"")</f>
        <v>0</v>
      </c>
      <c r="V95">
        <f>IFERROR(VLOOKUP($A95,[5]库存使用数据!$A:$I,9,0),"")</f>
        <v>0</v>
      </c>
      <c r="W95">
        <f>IFERROR(VLOOKUP($A95,[5]库存使用数据!$A:$L,12,0),"")</f>
        <v>0</v>
      </c>
      <c r="X95" s="23">
        <f t="shared" si="26"/>
        <v>0</v>
      </c>
      <c r="Y95" s="23">
        <f t="shared" si="27"/>
        <v>0</v>
      </c>
      <c r="Z95" s="23">
        <f t="shared" si="28"/>
        <v>0</v>
      </c>
      <c r="AA95" s="23">
        <f t="shared" si="29"/>
        <v>0</v>
      </c>
      <c r="AB95">
        <f>IFERROR(VLOOKUP($A95,[5]库存使用数据!$A:$D,4,0),"")</f>
        <v>0</v>
      </c>
      <c r="AC95">
        <f>IFERROR(VLOOKUP($A95,[5]库存使用数据!$A:$G,7,0),"")</f>
        <v>0</v>
      </c>
      <c r="AD95">
        <f>IFERROR(VLOOKUP($A95,[5]库存使用数据!$A:$J,10,0),"")</f>
        <v>0</v>
      </c>
      <c r="AE95">
        <f>IFERROR(VLOOKUP($A95,[5]库存使用数据!$A:$M,13,0),"")</f>
        <v>0</v>
      </c>
      <c r="AF95" s="23" t="str">
        <f t="shared" si="30"/>
        <v/>
      </c>
      <c r="AG95" s="23" t="str">
        <f t="shared" si="31"/>
        <v/>
      </c>
      <c r="AH95" s="23" t="str">
        <f t="shared" si="32"/>
        <v/>
      </c>
      <c r="AI95" s="23" t="str">
        <f t="shared" si="33"/>
        <v/>
      </c>
      <c r="AJ95">
        <f>IFERROR(VLOOKUP($B95,[1]库存报告使用数据!$A$1:$B$65536,2,0),0)</f>
        <v>4</v>
      </c>
      <c r="AK95">
        <f>IFERROR(VLOOKUP($B95,[1]库存报告使用数据!$A$1:$C$65536,3,0),0)</f>
        <v>3</v>
      </c>
      <c r="AL95">
        <f>IFERROR(VLOOKUP($B95,[1]库存报告使用数据!$A$1:$D$65536,4,0),0)</f>
        <v>1</v>
      </c>
      <c r="AM95">
        <f>IFERROR(VLOOKUP($B95,[1]库存报告使用数据!$A$1:$E$65536,5,0),0)</f>
        <v>2</v>
      </c>
      <c r="AN95" s="23">
        <f t="shared" si="34"/>
        <v>0</v>
      </c>
      <c r="AO95" s="23">
        <f t="shared" si="35"/>
        <v>0</v>
      </c>
      <c r="AP95" s="23">
        <f t="shared" si="36"/>
        <v>1</v>
      </c>
      <c r="AQ95" s="23">
        <f t="shared" si="37"/>
        <v>0</v>
      </c>
      <c r="AR95" s="38">
        <f t="shared" si="22"/>
        <v>0</v>
      </c>
      <c r="AS95" s="38">
        <f t="shared" si="23"/>
        <v>0</v>
      </c>
      <c r="AT95" s="38">
        <f t="shared" si="24"/>
        <v>29</v>
      </c>
      <c r="AU95" s="33" t="str">
        <f t="shared" si="25"/>
        <v>库存为29</v>
      </c>
      <c r="AV95" s="39" t="str">
        <f>IFERROR(时间!$B$4+AU95,"上周无销量")</f>
        <v>上周无销量</v>
      </c>
    </row>
    <row r="96" spans="1:48">
      <c r="A96" s="35" t="s">
        <v>141</v>
      </c>
      <c r="B96" t="str">
        <f>VLOOKUP(A96,'[2]sku-asin（子）'!$A:$B,2,0)</f>
        <v>B074K4N247</v>
      </c>
      <c r="C96" t="str">
        <f>VLOOKUP(A96,'[2]子sku-父sku'!$A:$B,2,0)</f>
        <v>N039Y</v>
      </c>
      <c r="D96" s="33">
        <f>IFERROR(VLOOKUP(A96,[3]库存报告使用数据处理!$A:$C,3,0),0)</f>
        <v>0</v>
      </c>
      <c r="E96" s="33">
        <f>IFERROR(VLOOKUP(A96,[3]库存报告使用数据处理!$A:$D,4,0),0)</f>
        <v>0</v>
      </c>
      <c r="F96" s="33">
        <f>IFERROR(VLOOKUP(A96,[3]库存报告使用数据处理!$A:$E,5,0),0)</f>
        <v>0</v>
      </c>
      <c r="G96" s="33">
        <f>IFERROR(VLOOKUP(A96,[3]库存报告使用数据处理!$A:$F,6,0),0)</f>
        <v>0</v>
      </c>
      <c r="H96" s="34">
        <f>IFERROR(VLOOKUP(A96,[3]库存报告使用数据处理!$A:$G,7,0),0)</f>
        <v>0</v>
      </c>
      <c r="I96">
        <f>IFERROR(VLOOKUP(A96,[4]数据处理!$A:$B,2,0),0)</f>
        <v>32</v>
      </c>
      <c r="J96" s="36">
        <f>IFERROR(VLOOKUP(A96,[4]数据处理!$A:$D,4,0),0)</f>
        <v>0</v>
      </c>
      <c r="K96" s="36">
        <f>IFERROR(VLOOKUP(A96,[4]数据处理!$A:$E,5,0),0)</f>
        <v>0</v>
      </c>
      <c r="L96" s="36">
        <f>IFERROR(VLOOKUP(A96,[4]数据处理!$A:$G,7,0),0)</f>
        <v>0</v>
      </c>
      <c r="M96">
        <f t="shared" si="21"/>
        <v>32</v>
      </c>
      <c r="N96">
        <f>IFERROR(VLOOKUP(A96,[4]数据处理!$A:$C,3,0),0)</f>
        <v>0</v>
      </c>
      <c r="O96">
        <f>IFERROR(VLOOKUP($A96,[4]数据处理!$A:$N,14,0),0)</f>
        <v>32</v>
      </c>
      <c r="P96">
        <f>IFERROR(VLOOKUP($A96,[5]库存使用数据!$A:$B,2,0),"")</f>
        <v>251</v>
      </c>
      <c r="Q96">
        <f>IFERROR(VLOOKUP($A96,[5]库存使用数据!$A:$E,5,0),"")</f>
        <v>429</v>
      </c>
      <c r="R96">
        <f>IFERROR(VLOOKUP($A96,[5]库存使用数据!$A:$H,8,0),"")</f>
        <v>361</v>
      </c>
      <c r="S96">
        <f>IFERROR(VLOOKUP($A96,[5]库存使用数据!$A:$K,11,0),"")</f>
        <v>245</v>
      </c>
      <c r="T96">
        <f>IFERROR(VLOOKUP($A96,[5]库存使用数据!$A:$C,3,0),"")</f>
        <v>1</v>
      </c>
      <c r="U96">
        <f>IFERROR(VLOOKUP($A96,[5]库存使用数据!$A:$F,6,0),"")</f>
        <v>2</v>
      </c>
      <c r="V96">
        <f>IFERROR(VLOOKUP($A96,[5]库存使用数据!$A:$I,9,0),"")</f>
        <v>0</v>
      </c>
      <c r="W96">
        <f>IFERROR(VLOOKUP($A96,[5]库存使用数据!$A:$L,12,0),"")</f>
        <v>2</v>
      </c>
      <c r="X96" s="23">
        <f t="shared" si="26"/>
        <v>0.00398406374501992</v>
      </c>
      <c r="Y96" s="23">
        <f t="shared" si="27"/>
        <v>0.00466200466200466</v>
      </c>
      <c r="Z96" s="23">
        <f t="shared" si="28"/>
        <v>0</v>
      </c>
      <c r="AA96" s="23">
        <f t="shared" si="29"/>
        <v>0.00816326530612245</v>
      </c>
      <c r="AB96">
        <f>IFERROR(VLOOKUP($A96,[5]库存使用数据!$A:$D,4,0),"")</f>
        <v>0.34</v>
      </c>
      <c r="AC96">
        <f>IFERROR(VLOOKUP($A96,[5]库存使用数据!$A:$G,7,0),"")</f>
        <v>0.93</v>
      </c>
      <c r="AD96">
        <f>IFERROR(VLOOKUP($A96,[5]库存使用数据!$A:$J,10,0),"")</f>
        <v>0</v>
      </c>
      <c r="AE96">
        <f>IFERROR(VLOOKUP($A96,[5]库存使用数据!$A:$M,13,0),"")</f>
        <v>0.74</v>
      </c>
      <c r="AF96" s="23" t="str">
        <f t="shared" si="30"/>
        <v>无销量广告费为0.34</v>
      </c>
      <c r="AG96" s="23" t="str">
        <f t="shared" si="31"/>
        <v>无销量广告费为0.93</v>
      </c>
      <c r="AH96" s="23" t="str">
        <f t="shared" si="32"/>
        <v/>
      </c>
      <c r="AI96" s="23" t="str">
        <f t="shared" si="33"/>
        <v>无销量广告费为0.74</v>
      </c>
      <c r="AJ96">
        <f>IFERROR(VLOOKUP($B96,[1]库存报告使用数据!$A$1:$B$65536,2,0),0)</f>
        <v>4</v>
      </c>
      <c r="AK96">
        <f>IFERROR(VLOOKUP($B96,[1]库存报告使用数据!$A$1:$C$65536,3,0),0)</f>
        <v>6</v>
      </c>
      <c r="AL96">
        <f>IFERROR(VLOOKUP($B96,[1]库存报告使用数据!$A$1:$D$65536,4,0),0)</f>
        <v>3</v>
      </c>
      <c r="AM96">
        <f>IFERROR(VLOOKUP($B96,[1]库存报告使用数据!$A$1:$E$65536,5,0),0)</f>
        <v>1</v>
      </c>
      <c r="AN96" s="23">
        <f t="shared" si="34"/>
        <v>0</v>
      </c>
      <c r="AO96" s="23">
        <f t="shared" si="35"/>
        <v>0</v>
      </c>
      <c r="AP96" s="23">
        <f t="shared" si="36"/>
        <v>0</v>
      </c>
      <c r="AQ96" s="23">
        <f t="shared" si="37"/>
        <v>0</v>
      </c>
      <c r="AR96" s="38">
        <f t="shared" si="22"/>
        <v>0</v>
      </c>
      <c r="AS96" s="38">
        <f t="shared" si="23"/>
        <v>0</v>
      </c>
      <c r="AT96" s="38">
        <f t="shared" si="24"/>
        <v>32</v>
      </c>
      <c r="AU96" s="33" t="str">
        <f t="shared" si="25"/>
        <v>库存为32</v>
      </c>
      <c r="AV96" s="39" t="str">
        <f>IFERROR(时间!$B$4+AU96,"上周无销量")</f>
        <v>上周无销量</v>
      </c>
    </row>
    <row r="97" spans="1:48">
      <c r="A97" s="35" t="s">
        <v>142</v>
      </c>
      <c r="B97" t="str">
        <f>VLOOKUP(A97,'[2]sku-asin（子）'!$A:$B,2,0)</f>
        <v>B074K2GJCF</v>
      </c>
      <c r="C97" t="str">
        <f>VLOOKUP(A97,'[2]子sku-父sku'!$A:$B,2,0)</f>
        <v>N039Y</v>
      </c>
      <c r="D97" s="33">
        <f>IFERROR(VLOOKUP(A97,[3]库存报告使用数据处理!$A:$C,3,0),0)</f>
        <v>0</v>
      </c>
      <c r="E97" s="33">
        <f>IFERROR(VLOOKUP(A97,[3]库存报告使用数据处理!$A:$D,4,0),0)</f>
        <v>0</v>
      </c>
      <c r="F97" s="33">
        <f>IFERROR(VLOOKUP(A97,[3]库存报告使用数据处理!$A:$E,5,0),0)</f>
        <v>0</v>
      </c>
      <c r="G97" s="33">
        <f>IFERROR(VLOOKUP(A97,[3]库存报告使用数据处理!$A:$F,6,0),0)</f>
        <v>0</v>
      </c>
      <c r="H97" s="34">
        <f>IFERROR(VLOOKUP(A97,[3]库存报告使用数据处理!$A:$G,7,0),0)</f>
        <v>0</v>
      </c>
      <c r="I97">
        <f>IFERROR(VLOOKUP(A97,[4]数据处理!$A:$B,2,0),0)</f>
        <v>32</v>
      </c>
      <c r="J97" s="36">
        <f>IFERROR(VLOOKUP(A97,[4]数据处理!$A:$D,4,0),0)</f>
        <v>0</v>
      </c>
      <c r="K97" s="36">
        <f>IFERROR(VLOOKUP(A97,[4]数据处理!$A:$E,5,0),0)</f>
        <v>0</v>
      </c>
      <c r="L97" s="36">
        <f>IFERROR(VLOOKUP(A97,[4]数据处理!$A:$G,7,0),0)</f>
        <v>0</v>
      </c>
      <c r="M97">
        <f t="shared" si="21"/>
        <v>32</v>
      </c>
      <c r="N97">
        <f>IFERROR(VLOOKUP(A97,[4]数据处理!$A:$C,3,0),0)</f>
        <v>0</v>
      </c>
      <c r="O97">
        <f>IFERROR(VLOOKUP($A97,[4]数据处理!$A:$N,14,0),0)</f>
        <v>32</v>
      </c>
      <c r="P97">
        <f>IFERROR(VLOOKUP($A97,[5]库存使用数据!$A:$B,2,0),"")</f>
        <v>262</v>
      </c>
      <c r="Q97">
        <f>IFERROR(VLOOKUP($A97,[5]库存使用数据!$A:$E,5,0),"")</f>
        <v>330</v>
      </c>
      <c r="R97">
        <f>IFERROR(VLOOKUP($A97,[5]库存使用数据!$A:$H,8,0),"")</f>
        <v>1601</v>
      </c>
      <c r="S97">
        <f>IFERROR(VLOOKUP($A97,[5]库存使用数据!$A:$K,11,0),"")</f>
        <v>4485</v>
      </c>
      <c r="T97">
        <f>IFERROR(VLOOKUP($A97,[5]库存使用数据!$A:$C,3,0),"")</f>
        <v>0</v>
      </c>
      <c r="U97">
        <f>IFERROR(VLOOKUP($A97,[5]库存使用数据!$A:$F,6,0),"")</f>
        <v>0</v>
      </c>
      <c r="V97">
        <f>IFERROR(VLOOKUP($A97,[5]库存使用数据!$A:$I,9,0),"")</f>
        <v>1</v>
      </c>
      <c r="W97">
        <f>IFERROR(VLOOKUP($A97,[5]库存使用数据!$A:$L,12,0),"")</f>
        <v>2</v>
      </c>
      <c r="X97" s="23">
        <f t="shared" si="26"/>
        <v>0</v>
      </c>
      <c r="Y97" s="23">
        <f t="shared" si="27"/>
        <v>0</v>
      </c>
      <c r="Z97" s="23">
        <f t="shared" si="28"/>
        <v>0.000624609618988132</v>
      </c>
      <c r="AA97" s="23">
        <f t="shared" si="29"/>
        <v>0.000445930880713489</v>
      </c>
      <c r="AB97">
        <f>IFERROR(VLOOKUP($A97,[5]库存使用数据!$A:$D,4,0),"")</f>
        <v>0</v>
      </c>
      <c r="AC97">
        <f>IFERROR(VLOOKUP($A97,[5]库存使用数据!$A:$G,7,0),"")</f>
        <v>0</v>
      </c>
      <c r="AD97">
        <f>IFERROR(VLOOKUP($A97,[5]库存使用数据!$A:$J,10,0),"")</f>
        <v>0.63</v>
      </c>
      <c r="AE97">
        <f>IFERROR(VLOOKUP($A97,[5]库存使用数据!$A:$M,13,0),"")</f>
        <v>0.4</v>
      </c>
      <c r="AF97" s="23" t="str">
        <f t="shared" si="30"/>
        <v/>
      </c>
      <c r="AG97" s="23" t="str">
        <f t="shared" si="31"/>
        <v/>
      </c>
      <c r="AH97" s="23" t="str">
        <f t="shared" si="32"/>
        <v>无销量广告费为0.63</v>
      </c>
      <c r="AI97" s="23" t="str">
        <f t="shared" si="33"/>
        <v>无销量广告费为0.4</v>
      </c>
      <c r="AJ97">
        <f>IFERROR(VLOOKUP($B97,[1]库存报告使用数据!$A$1:$B$65536,2,0),0)</f>
        <v>4</v>
      </c>
      <c r="AK97">
        <f>IFERROR(VLOOKUP($B97,[1]库存报告使用数据!$A$1:$C$65536,3,0),0)</f>
        <v>2</v>
      </c>
      <c r="AL97">
        <f>IFERROR(VLOOKUP($B97,[1]库存报告使用数据!$A$1:$D$65536,4,0),0)</f>
        <v>2</v>
      </c>
      <c r="AM97">
        <f>IFERROR(VLOOKUP($B97,[1]库存报告使用数据!$A$1:$E$65536,5,0),0)</f>
        <v>3</v>
      </c>
      <c r="AN97" s="23">
        <f t="shared" si="34"/>
        <v>0</v>
      </c>
      <c r="AO97" s="23">
        <f t="shared" si="35"/>
        <v>0</v>
      </c>
      <c r="AP97" s="23">
        <f t="shared" si="36"/>
        <v>0</v>
      </c>
      <c r="AQ97" s="23">
        <f t="shared" si="37"/>
        <v>0</v>
      </c>
      <c r="AR97" s="38">
        <f t="shared" si="22"/>
        <v>0</v>
      </c>
      <c r="AS97" s="38">
        <f t="shared" si="23"/>
        <v>0</v>
      </c>
      <c r="AT97" s="38">
        <f t="shared" si="24"/>
        <v>32</v>
      </c>
      <c r="AU97" s="33" t="str">
        <f t="shared" si="25"/>
        <v>库存为32</v>
      </c>
      <c r="AV97" s="39" t="str">
        <f>IFERROR(时间!$B$4+AU97,"上周无销量")</f>
        <v>上周无销量</v>
      </c>
    </row>
    <row r="98" spans="1:48">
      <c r="A98" s="35" t="s">
        <v>143</v>
      </c>
      <c r="B98" t="str">
        <f>VLOOKUP(A98,'[2]sku-asin（子）'!$A:$B,2,0)</f>
        <v>B074JZ42X6</v>
      </c>
      <c r="C98" t="str">
        <f>VLOOKUP(A98,'[2]子sku-父sku'!$A:$B,2,0)</f>
        <v>N039Y</v>
      </c>
      <c r="D98" s="33">
        <f>IFERROR(VLOOKUP(A98,[3]库存报告使用数据处理!$A:$C,3,0),0)</f>
        <v>0</v>
      </c>
      <c r="E98" s="33">
        <f>IFERROR(VLOOKUP(A98,[3]库存报告使用数据处理!$A:$D,4,0),0)</f>
        <v>0</v>
      </c>
      <c r="F98" s="33">
        <f>IFERROR(VLOOKUP(A98,[3]库存报告使用数据处理!$A:$E,5,0),0)</f>
        <v>0</v>
      </c>
      <c r="G98" s="33">
        <f>IFERROR(VLOOKUP(A98,[3]库存报告使用数据处理!$A:$F,6,0),0)</f>
        <v>0</v>
      </c>
      <c r="H98" s="34">
        <f>IFERROR(VLOOKUP(A98,[3]库存报告使用数据处理!$A:$G,7,0),0)</f>
        <v>0</v>
      </c>
      <c r="I98">
        <f>IFERROR(VLOOKUP(A98,[4]数据处理!$A:$B,2,0),0)</f>
        <v>33</v>
      </c>
      <c r="J98" s="36">
        <f>IFERROR(VLOOKUP(A98,[4]数据处理!$A:$D,4,0),0)</f>
        <v>0</v>
      </c>
      <c r="K98" s="36">
        <f>IFERROR(VLOOKUP(A98,[4]数据处理!$A:$E,5,0),0)</f>
        <v>0</v>
      </c>
      <c r="L98" s="36">
        <f>IFERROR(VLOOKUP(A98,[4]数据处理!$A:$G,7,0),0)</f>
        <v>0</v>
      </c>
      <c r="M98">
        <f t="shared" si="21"/>
        <v>33</v>
      </c>
      <c r="N98">
        <f>IFERROR(VLOOKUP(A98,[4]数据处理!$A:$C,3,0),0)</f>
        <v>0</v>
      </c>
      <c r="O98">
        <f>IFERROR(VLOOKUP($A98,[4]数据处理!$A:$N,14,0),0)</f>
        <v>33</v>
      </c>
      <c r="P98">
        <f>IFERROR(VLOOKUP($A98,[5]库存使用数据!$A:$B,2,0),"")</f>
        <v>1383</v>
      </c>
      <c r="Q98">
        <f>IFERROR(VLOOKUP($A98,[5]库存使用数据!$A:$E,5,0),"")</f>
        <v>2521</v>
      </c>
      <c r="R98">
        <f>IFERROR(VLOOKUP($A98,[5]库存使用数据!$A:$H,8,0),"")</f>
        <v>1739</v>
      </c>
      <c r="S98">
        <f>IFERROR(VLOOKUP($A98,[5]库存使用数据!$A:$K,11,0),"")</f>
        <v>2442</v>
      </c>
      <c r="T98">
        <f>IFERROR(VLOOKUP($A98,[5]库存使用数据!$A:$C,3,0),"")</f>
        <v>1</v>
      </c>
      <c r="U98">
        <f>IFERROR(VLOOKUP($A98,[5]库存使用数据!$A:$F,6,0),"")</f>
        <v>1</v>
      </c>
      <c r="V98">
        <f>IFERROR(VLOOKUP($A98,[5]库存使用数据!$A:$I,9,0),"")</f>
        <v>0</v>
      </c>
      <c r="W98">
        <f>IFERROR(VLOOKUP($A98,[5]库存使用数据!$A:$L,12,0),"")</f>
        <v>1</v>
      </c>
      <c r="X98" s="23">
        <f t="shared" si="26"/>
        <v>0.000723065798987708</v>
      </c>
      <c r="Y98" s="23">
        <f t="shared" si="27"/>
        <v>0.000396667988893296</v>
      </c>
      <c r="Z98" s="23">
        <f t="shared" si="28"/>
        <v>0</v>
      </c>
      <c r="AA98" s="23">
        <f t="shared" si="29"/>
        <v>0.00040950040950041</v>
      </c>
      <c r="AB98">
        <f>IFERROR(VLOOKUP($A98,[5]库存使用数据!$A:$D,4,0),"")</f>
        <v>0.39</v>
      </c>
      <c r="AC98">
        <f>IFERROR(VLOOKUP($A98,[5]库存使用数据!$A:$G,7,0),"")</f>
        <v>0.2</v>
      </c>
      <c r="AD98">
        <f>IFERROR(VLOOKUP($A98,[5]库存使用数据!$A:$J,10,0),"")</f>
        <v>0</v>
      </c>
      <c r="AE98">
        <f>IFERROR(VLOOKUP($A98,[5]库存使用数据!$A:$M,13,0),"")</f>
        <v>0.3</v>
      </c>
      <c r="AF98" s="23" t="str">
        <f t="shared" si="30"/>
        <v>无销量广告费为0.39</v>
      </c>
      <c r="AG98" s="23" t="str">
        <f t="shared" si="31"/>
        <v>无销量广告费为0.2</v>
      </c>
      <c r="AH98" s="23" t="str">
        <f t="shared" si="32"/>
        <v/>
      </c>
      <c r="AI98" s="23" t="str">
        <f t="shared" si="33"/>
        <v>无销量广告费为0.3</v>
      </c>
      <c r="AJ98">
        <f>IFERROR(VLOOKUP($B98,[1]库存报告使用数据!$A$1:$B$65536,2,0),0)</f>
        <v>5</v>
      </c>
      <c r="AK98">
        <f>IFERROR(VLOOKUP($B98,[1]库存报告使用数据!$A$1:$C$65536,3,0),0)</f>
        <v>2</v>
      </c>
      <c r="AL98">
        <f>IFERROR(VLOOKUP($B98,[1]库存报告使用数据!$A$1:$D$65536,4,0),0)</f>
        <v>2</v>
      </c>
      <c r="AM98">
        <f>IFERROR(VLOOKUP($B98,[1]库存报告使用数据!$A$1:$E$65536,5,0),0)</f>
        <v>1</v>
      </c>
      <c r="AN98" s="23">
        <f t="shared" si="34"/>
        <v>0</v>
      </c>
      <c r="AO98" s="23">
        <f t="shared" si="35"/>
        <v>0</v>
      </c>
      <c r="AP98" s="23">
        <f t="shared" si="36"/>
        <v>0</v>
      </c>
      <c r="AQ98" s="23">
        <f t="shared" si="37"/>
        <v>0</v>
      </c>
      <c r="AR98" s="38">
        <f t="shared" si="22"/>
        <v>0</v>
      </c>
      <c r="AS98" s="38">
        <f t="shared" si="23"/>
        <v>0</v>
      </c>
      <c r="AT98" s="38">
        <f t="shared" si="24"/>
        <v>33</v>
      </c>
      <c r="AU98" s="33" t="str">
        <f t="shared" si="25"/>
        <v>库存为33</v>
      </c>
      <c r="AV98" s="39" t="str">
        <f>IFERROR(时间!$B$4+AU98,"上周无销量")</f>
        <v>上周无销量</v>
      </c>
    </row>
    <row r="99" spans="1:48">
      <c r="A99" s="35" t="s">
        <v>144</v>
      </c>
      <c r="B99" t="str">
        <f>VLOOKUP(A99,'[2]sku-asin（子）'!$A:$B,2,0)</f>
        <v>B074JXZSJM</v>
      </c>
      <c r="C99" t="str">
        <f>VLOOKUP(A99,'[2]子sku-父sku'!$A:$B,2,0)</f>
        <v>N039Y</v>
      </c>
      <c r="D99" s="33">
        <f>IFERROR(VLOOKUP(A99,[3]库存报告使用数据处理!$A:$C,3,0),0)</f>
        <v>0</v>
      </c>
      <c r="E99" s="33">
        <f>IFERROR(VLOOKUP(A99,[3]库存报告使用数据处理!$A:$D,4,0),0)</f>
        <v>1</v>
      </c>
      <c r="F99" s="33">
        <f>IFERROR(VLOOKUP(A99,[3]库存报告使用数据处理!$A:$E,5,0),0)</f>
        <v>0</v>
      </c>
      <c r="G99" s="33">
        <f>IFERROR(VLOOKUP(A99,[3]库存报告使用数据处理!$A:$F,6,0),0)</f>
        <v>0</v>
      </c>
      <c r="H99" s="34">
        <f>IFERROR(VLOOKUP(A99,[3]库存报告使用数据处理!$A:$G,7,0),0)</f>
        <v>7.99</v>
      </c>
      <c r="I99">
        <f>IFERROR(VLOOKUP(A99,[4]数据处理!$A:$B,2,0),0)</f>
        <v>29</v>
      </c>
      <c r="J99" s="36">
        <f>IFERROR(VLOOKUP(A99,[4]数据处理!$A:$D,4,0),0)</f>
        <v>0</v>
      </c>
      <c r="K99" s="36">
        <f>IFERROR(VLOOKUP(A99,[4]数据处理!$A:$E,5,0),0)</f>
        <v>0</v>
      </c>
      <c r="L99" s="36">
        <f>IFERROR(VLOOKUP(A99,[4]数据处理!$A:$G,7,0),0)</f>
        <v>0</v>
      </c>
      <c r="M99">
        <f t="shared" si="21"/>
        <v>29</v>
      </c>
      <c r="N99">
        <f>IFERROR(VLOOKUP(A99,[4]数据处理!$A:$C,3,0),0)</f>
        <v>0</v>
      </c>
      <c r="O99">
        <f>IFERROR(VLOOKUP($A99,[4]数据处理!$A:$N,14,0),0)</f>
        <v>29</v>
      </c>
      <c r="P99">
        <f>IFERROR(VLOOKUP($A99,[5]库存使用数据!$A:$B,2,0),"")</f>
        <v>35</v>
      </c>
      <c r="Q99">
        <f>IFERROR(VLOOKUP($A99,[5]库存使用数据!$A:$E,5,0),"")</f>
        <v>64</v>
      </c>
      <c r="R99">
        <f>IFERROR(VLOOKUP($A99,[5]库存使用数据!$A:$H,8,0),"")</f>
        <v>316</v>
      </c>
      <c r="S99">
        <f>IFERROR(VLOOKUP($A99,[5]库存使用数据!$A:$K,11,0),"")</f>
        <v>358</v>
      </c>
      <c r="T99">
        <f>IFERROR(VLOOKUP($A99,[5]库存使用数据!$A:$C,3,0),"")</f>
        <v>0</v>
      </c>
      <c r="U99">
        <f>IFERROR(VLOOKUP($A99,[5]库存使用数据!$A:$F,6,0),"")</f>
        <v>0</v>
      </c>
      <c r="V99">
        <f>IFERROR(VLOOKUP($A99,[5]库存使用数据!$A:$I,9,0),"")</f>
        <v>1</v>
      </c>
      <c r="W99">
        <f>IFERROR(VLOOKUP($A99,[5]库存使用数据!$A:$L,12,0),"")</f>
        <v>0</v>
      </c>
      <c r="X99" s="23">
        <f t="shared" si="26"/>
        <v>0</v>
      </c>
      <c r="Y99" s="23">
        <f t="shared" si="27"/>
        <v>0</v>
      </c>
      <c r="Z99" s="23">
        <f t="shared" si="28"/>
        <v>0.00316455696202532</v>
      </c>
      <c r="AA99" s="23">
        <f t="shared" si="29"/>
        <v>0</v>
      </c>
      <c r="AB99">
        <f>IFERROR(VLOOKUP($A99,[5]库存使用数据!$A:$D,4,0),"")</f>
        <v>0</v>
      </c>
      <c r="AC99">
        <f>IFERROR(VLOOKUP($A99,[5]库存使用数据!$A:$G,7,0),"")</f>
        <v>0</v>
      </c>
      <c r="AD99">
        <f>IFERROR(VLOOKUP($A99,[5]库存使用数据!$A:$J,10,0),"")</f>
        <v>0.68</v>
      </c>
      <c r="AE99">
        <f>IFERROR(VLOOKUP($A99,[5]库存使用数据!$A:$M,13,0),"")</f>
        <v>0</v>
      </c>
      <c r="AF99" s="23" t="str">
        <f t="shared" si="30"/>
        <v/>
      </c>
      <c r="AG99" s="23" t="str">
        <f t="shared" si="31"/>
        <v/>
      </c>
      <c r="AH99" s="23" t="str">
        <f t="shared" si="32"/>
        <v>无销量广告费为0.68</v>
      </c>
      <c r="AI99" s="23" t="str">
        <f t="shared" si="33"/>
        <v/>
      </c>
      <c r="AJ99">
        <f>IFERROR(VLOOKUP($B99,[1]库存报告使用数据!$A$1:$B$65536,2,0),0)</f>
        <v>4</v>
      </c>
      <c r="AK99">
        <f>IFERROR(VLOOKUP($B99,[1]库存报告使用数据!$A$1:$C$65536,3,0),0)</f>
        <v>3</v>
      </c>
      <c r="AL99">
        <f>IFERROR(VLOOKUP($B99,[1]库存报告使用数据!$A$1:$D$65536,4,0),0)</f>
        <v>2</v>
      </c>
      <c r="AM99">
        <f>IFERROR(VLOOKUP($B99,[1]库存报告使用数据!$A$1:$E$65536,5,0),0)</f>
        <v>0</v>
      </c>
      <c r="AN99" s="23">
        <f t="shared" si="34"/>
        <v>0</v>
      </c>
      <c r="AO99" s="23">
        <f t="shared" si="35"/>
        <v>0.333333333333333</v>
      </c>
      <c r="AP99" s="23">
        <f t="shared" si="36"/>
        <v>0</v>
      </c>
      <c r="AQ99" s="23" t="str">
        <f t="shared" si="37"/>
        <v/>
      </c>
      <c r="AR99" s="38">
        <f t="shared" si="22"/>
        <v>0</v>
      </c>
      <c r="AS99" s="38">
        <f t="shared" si="23"/>
        <v>0</v>
      </c>
      <c r="AT99" s="38">
        <f t="shared" si="24"/>
        <v>29</v>
      </c>
      <c r="AU99" s="33" t="str">
        <f t="shared" si="25"/>
        <v>库存为29</v>
      </c>
      <c r="AV99" s="39" t="str">
        <f>IFERROR(时间!$B$4+AU99,"上周无销量")</f>
        <v>上周无销量</v>
      </c>
    </row>
    <row r="100" spans="1:48">
      <c r="A100" s="35" t="s">
        <v>145</v>
      </c>
      <c r="B100" t="str">
        <f>VLOOKUP(A100,'[2]sku-asin（子）'!$A:$B,2,0)</f>
        <v>B074FXCYQT</v>
      </c>
      <c r="C100" t="str">
        <f>VLOOKUP(A100,'[2]子sku-父sku'!$A:$B,2,0)</f>
        <v>N1228Y</v>
      </c>
      <c r="D100" s="33">
        <f>IFERROR(VLOOKUP(A100,[3]库存报告使用数据处理!$A:$C,3,0),0)</f>
        <v>0</v>
      </c>
      <c r="E100" s="33">
        <f>IFERROR(VLOOKUP(A100,[3]库存报告使用数据处理!$A:$D,4,0),0)</f>
        <v>0</v>
      </c>
      <c r="F100" s="33">
        <f>IFERROR(VLOOKUP(A100,[3]库存报告使用数据处理!$A:$E,5,0),0)</f>
        <v>0</v>
      </c>
      <c r="G100" s="33">
        <f>IFERROR(VLOOKUP(A100,[3]库存报告使用数据处理!$A:$F,6,0),0)</f>
        <v>0</v>
      </c>
      <c r="H100" s="34">
        <f>IFERROR(VLOOKUP(A100,[3]库存报告使用数据处理!$A:$G,7,0),0)</f>
        <v>0</v>
      </c>
      <c r="I100">
        <f>IFERROR(VLOOKUP(A100,[4]数据处理!$A:$B,2,0),0)</f>
        <v>2</v>
      </c>
      <c r="J100" s="36">
        <f>IFERROR(VLOOKUP(A100,[4]数据处理!$A:$D,4,0),0)</f>
        <v>0</v>
      </c>
      <c r="K100" s="36">
        <f>IFERROR(VLOOKUP(A100,[4]数据处理!$A:$E,5,0),0)</f>
        <v>0</v>
      </c>
      <c r="L100" s="36">
        <f>IFERROR(VLOOKUP(A100,[4]数据处理!$A:$G,7,0),0)</f>
        <v>0</v>
      </c>
      <c r="M100">
        <f t="shared" si="21"/>
        <v>2</v>
      </c>
      <c r="N100">
        <f>IFERROR(VLOOKUP(A100,[4]数据处理!$A:$C,3,0),0)</f>
        <v>0</v>
      </c>
      <c r="O100">
        <f>IFERROR(VLOOKUP($A100,[4]数据处理!$A:$N,14,0),0)</f>
        <v>2</v>
      </c>
      <c r="P100">
        <f>IFERROR(VLOOKUP($A100,[5]库存使用数据!$A:$B,2,0),"")</f>
        <v>1331</v>
      </c>
      <c r="Q100">
        <f>IFERROR(VLOOKUP($A100,[5]库存使用数据!$A:$E,5,0),"")</f>
        <v>1404</v>
      </c>
      <c r="R100">
        <f>IFERROR(VLOOKUP($A100,[5]库存使用数据!$A:$H,8,0),"")</f>
        <v>1334</v>
      </c>
      <c r="S100">
        <f>IFERROR(VLOOKUP($A100,[5]库存使用数据!$A:$K,11,0),"")</f>
        <v>951</v>
      </c>
      <c r="T100">
        <f>IFERROR(VLOOKUP($A100,[5]库存使用数据!$A:$C,3,0),"")</f>
        <v>10</v>
      </c>
      <c r="U100">
        <f>IFERROR(VLOOKUP($A100,[5]库存使用数据!$A:$F,6,0),"")</f>
        <v>2</v>
      </c>
      <c r="V100">
        <f>IFERROR(VLOOKUP($A100,[5]库存使用数据!$A:$I,9,0),"")</f>
        <v>9</v>
      </c>
      <c r="W100">
        <f>IFERROR(VLOOKUP($A100,[5]库存使用数据!$A:$L,12,0),"")</f>
        <v>9</v>
      </c>
      <c r="X100" s="23">
        <f t="shared" si="26"/>
        <v>0.00751314800901578</v>
      </c>
      <c r="Y100" s="23">
        <f t="shared" si="27"/>
        <v>0.00142450142450142</v>
      </c>
      <c r="Z100" s="23">
        <f t="shared" si="28"/>
        <v>0.00674662668665667</v>
      </c>
      <c r="AA100" s="23">
        <f t="shared" si="29"/>
        <v>0.00946372239747634</v>
      </c>
      <c r="AB100">
        <f>IFERROR(VLOOKUP($A100,[5]库存使用数据!$A:$D,4,0),"")</f>
        <v>2.59</v>
      </c>
      <c r="AC100">
        <f>IFERROR(VLOOKUP($A100,[5]库存使用数据!$A:$G,7,0),"")</f>
        <v>0.44</v>
      </c>
      <c r="AD100">
        <f>IFERROR(VLOOKUP($A100,[5]库存使用数据!$A:$J,10,0),"")</f>
        <v>2.22</v>
      </c>
      <c r="AE100">
        <f>IFERROR(VLOOKUP($A100,[5]库存使用数据!$A:$M,13,0),"")</f>
        <v>2.68</v>
      </c>
      <c r="AF100" s="23" t="str">
        <f t="shared" si="30"/>
        <v>无销量广告费为2.59</v>
      </c>
      <c r="AG100" s="23" t="str">
        <f t="shared" si="31"/>
        <v>无销量广告费为0.44</v>
      </c>
      <c r="AH100" s="23" t="str">
        <f t="shared" si="32"/>
        <v>无销量广告费为2.22</v>
      </c>
      <c r="AI100" s="23" t="str">
        <f t="shared" si="33"/>
        <v>无销量广告费为2.68</v>
      </c>
      <c r="AJ100">
        <f>IFERROR(VLOOKUP($B100,[1]库存报告使用数据!$A$1:$B$65536,2,0),0)</f>
        <v>4</v>
      </c>
      <c r="AK100">
        <f>IFERROR(VLOOKUP($B100,[1]库存报告使用数据!$A$1:$C$65536,3,0),0)</f>
        <v>1</v>
      </c>
      <c r="AL100">
        <f>IFERROR(VLOOKUP($B100,[1]库存报告使用数据!$A$1:$D$65536,4,0),0)</f>
        <v>1</v>
      </c>
      <c r="AM100">
        <f>IFERROR(VLOOKUP($B100,[1]库存报告使用数据!$A$1:$E$65536,5,0),0)</f>
        <v>2</v>
      </c>
      <c r="AN100" s="23">
        <f t="shared" si="34"/>
        <v>0</v>
      </c>
      <c r="AO100" s="23">
        <f t="shared" si="35"/>
        <v>0</v>
      </c>
      <c r="AP100" s="23">
        <f t="shared" si="36"/>
        <v>0</v>
      </c>
      <c r="AQ100" s="23">
        <f t="shared" si="37"/>
        <v>0</v>
      </c>
      <c r="AR100" s="38">
        <f t="shared" si="22"/>
        <v>0</v>
      </c>
      <c r="AS100" s="38">
        <f t="shared" si="23"/>
        <v>0</v>
      </c>
      <c r="AT100" s="38">
        <f t="shared" si="24"/>
        <v>2</v>
      </c>
      <c r="AU100" s="33" t="str">
        <f t="shared" si="25"/>
        <v>库存为2</v>
      </c>
      <c r="AV100" s="39" t="str">
        <f>IFERROR(时间!$B$4+AU100,"上周无销量")</f>
        <v>上周无销量</v>
      </c>
    </row>
    <row r="101" spans="1:48">
      <c r="A101" s="35" t="s">
        <v>146</v>
      </c>
      <c r="B101" t="str">
        <f>VLOOKUP(A101,'[2]sku-asin（子）'!$A:$B,2,0)</f>
        <v>B074FVRK4X</v>
      </c>
      <c r="C101" t="str">
        <f>VLOOKUP(A101,'[2]子sku-父sku'!$A:$B,2,0)</f>
        <v>N1228Y</v>
      </c>
      <c r="D101" s="33">
        <f>IFERROR(VLOOKUP(A101,[3]库存报告使用数据处理!$A:$C,3,0),0)</f>
        <v>0</v>
      </c>
      <c r="E101" s="33">
        <f>IFERROR(VLOOKUP(A101,[3]库存报告使用数据处理!$A:$D,4,0),0)</f>
        <v>0</v>
      </c>
      <c r="F101" s="33">
        <f>IFERROR(VLOOKUP(A101,[3]库存报告使用数据处理!$A:$E,5,0),0)</f>
        <v>0</v>
      </c>
      <c r="G101" s="33">
        <f>IFERROR(VLOOKUP(A101,[3]库存报告使用数据处理!$A:$F,6,0),0)</f>
        <v>0</v>
      </c>
      <c r="H101" s="34">
        <f>IFERROR(VLOOKUP(A101,[3]库存报告使用数据处理!$A:$G,7,0),0)</f>
        <v>0</v>
      </c>
      <c r="I101">
        <f>IFERROR(VLOOKUP(A101,[4]数据处理!$A:$B,2,0),0)</f>
        <v>2</v>
      </c>
      <c r="J101" s="36">
        <f>IFERROR(VLOOKUP(A101,[4]数据处理!$A:$D,4,0),0)</f>
        <v>0</v>
      </c>
      <c r="K101" s="36">
        <f>IFERROR(VLOOKUP(A101,[4]数据处理!$A:$E,5,0),0)</f>
        <v>0</v>
      </c>
      <c r="L101" s="36">
        <f>IFERROR(VLOOKUP(A101,[4]数据处理!$A:$G,7,0),0)</f>
        <v>0</v>
      </c>
      <c r="M101">
        <f t="shared" si="21"/>
        <v>2</v>
      </c>
      <c r="N101">
        <f>IFERROR(VLOOKUP(A101,[4]数据处理!$A:$C,3,0),0)</f>
        <v>0</v>
      </c>
      <c r="O101">
        <f>IFERROR(VLOOKUP($A101,[4]数据处理!$A:$N,14,0),0)</f>
        <v>2</v>
      </c>
      <c r="P101">
        <f>IFERROR(VLOOKUP($A101,[5]库存使用数据!$A:$B,2,0),"")</f>
        <v>19</v>
      </c>
      <c r="Q101">
        <f>IFERROR(VLOOKUP($A101,[5]库存使用数据!$A:$E,5,0),"")</f>
        <v>19</v>
      </c>
      <c r="R101">
        <f>IFERROR(VLOOKUP($A101,[5]库存使用数据!$A:$H,8,0),"")</f>
        <v>140</v>
      </c>
      <c r="S101">
        <f>IFERROR(VLOOKUP($A101,[5]库存使用数据!$A:$K,11,0),"")</f>
        <v>60</v>
      </c>
      <c r="T101">
        <f>IFERROR(VLOOKUP($A101,[5]库存使用数据!$A:$C,3,0),"")</f>
        <v>0</v>
      </c>
      <c r="U101">
        <f>IFERROR(VLOOKUP($A101,[5]库存使用数据!$A:$F,6,0),"")</f>
        <v>0</v>
      </c>
      <c r="V101">
        <f>IFERROR(VLOOKUP($A101,[5]库存使用数据!$A:$I,9,0),"")</f>
        <v>0</v>
      </c>
      <c r="W101">
        <f>IFERROR(VLOOKUP($A101,[5]库存使用数据!$A:$L,12,0),"")</f>
        <v>2</v>
      </c>
      <c r="X101" s="23">
        <f t="shared" si="26"/>
        <v>0</v>
      </c>
      <c r="Y101" s="23">
        <f t="shared" si="27"/>
        <v>0</v>
      </c>
      <c r="Z101" s="23">
        <f t="shared" si="28"/>
        <v>0</v>
      </c>
      <c r="AA101" s="23">
        <f t="shared" si="29"/>
        <v>0.0333333333333333</v>
      </c>
      <c r="AB101">
        <f>IFERROR(VLOOKUP($A101,[5]库存使用数据!$A:$D,4,0),"")</f>
        <v>0</v>
      </c>
      <c r="AC101">
        <f>IFERROR(VLOOKUP($A101,[5]库存使用数据!$A:$G,7,0),"")</f>
        <v>0</v>
      </c>
      <c r="AD101">
        <f>IFERROR(VLOOKUP($A101,[5]库存使用数据!$A:$J,10,0),"")</f>
        <v>0</v>
      </c>
      <c r="AE101">
        <f>IFERROR(VLOOKUP($A101,[5]库存使用数据!$A:$M,13,0),"")</f>
        <v>0.44</v>
      </c>
      <c r="AF101" s="23" t="str">
        <f t="shared" si="30"/>
        <v/>
      </c>
      <c r="AG101" s="23" t="str">
        <f t="shared" si="31"/>
        <v/>
      </c>
      <c r="AH101" s="23" t="str">
        <f t="shared" si="32"/>
        <v/>
      </c>
      <c r="AI101" s="23" t="str">
        <f t="shared" si="33"/>
        <v>无销量广告费为0.44</v>
      </c>
      <c r="AJ101">
        <f>IFERROR(VLOOKUP($B101,[1]库存报告使用数据!$A$1:$B$65536,2,0),0)</f>
        <v>2</v>
      </c>
      <c r="AK101">
        <f>IFERROR(VLOOKUP($B101,[1]库存报告使用数据!$A$1:$C$65536,3,0),0)</f>
        <v>1</v>
      </c>
      <c r="AL101">
        <f>IFERROR(VLOOKUP($B101,[1]库存报告使用数据!$A$1:$D$65536,4,0),0)</f>
        <v>1</v>
      </c>
      <c r="AM101">
        <f>IFERROR(VLOOKUP($B101,[1]库存报告使用数据!$A$1:$E$65536,5,0),0)</f>
        <v>3</v>
      </c>
      <c r="AN101" s="23">
        <f t="shared" si="34"/>
        <v>0</v>
      </c>
      <c r="AO101" s="23">
        <f t="shared" si="35"/>
        <v>0</v>
      </c>
      <c r="AP101" s="23">
        <f t="shared" si="36"/>
        <v>0</v>
      </c>
      <c r="AQ101" s="23">
        <f t="shared" si="37"/>
        <v>0</v>
      </c>
      <c r="AR101" s="38">
        <f t="shared" si="22"/>
        <v>0</v>
      </c>
      <c r="AS101" s="38">
        <f t="shared" si="23"/>
        <v>0</v>
      </c>
      <c r="AT101" s="38">
        <f t="shared" si="24"/>
        <v>2</v>
      </c>
      <c r="AU101" s="33" t="str">
        <f t="shared" si="25"/>
        <v>库存为2</v>
      </c>
      <c r="AV101" s="39" t="str">
        <f>IFERROR(时间!$B$4+AU101,"上周无销量")</f>
        <v>上周无销量</v>
      </c>
    </row>
    <row r="102" spans="1:48">
      <c r="A102" s="35" t="s">
        <v>147</v>
      </c>
      <c r="B102" t="str">
        <f>VLOOKUP(A102,'[2]sku-asin（子）'!$A:$B,2,0)</f>
        <v>B074FSXVNK</v>
      </c>
      <c r="C102" t="str">
        <f>VLOOKUP(A102,'[2]子sku-父sku'!$A:$B,2,0)</f>
        <v>N158Y</v>
      </c>
      <c r="D102" s="33">
        <f>IFERROR(VLOOKUP(A102,[3]库存报告使用数据处理!$A:$C,3,0),0)</f>
        <v>0</v>
      </c>
      <c r="E102" s="33">
        <f>IFERROR(VLOOKUP(A102,[3]库存报告使用数据处理!$A:$D,4,0),0)</f>
        <v>0</v>
      </c>
      <c r="F102" s="33">
        <f>IFERROR(VLOOKUP(A102,[3]库存报告使用数据处理!$A:$E,5,0),0)</f>
        <v>0</v>
      </c>
      <c r="G102" s="33">
        <f>IFERROR(VLOOKUP(A102,[3]库存报告使用数据处理!$A:$F,6,0),0)</f>
        <v>0</v>
      </c>
      <c r="H102" s="34">
        <f>IFERROR(VLOOKUP(A102,[3]库存报告使用数据处理!$A:$G,7,0),0)</f>
        <v>0</v>
      </c>
      <c r="I102">
        <f>IFERROR(VLOOKUP(A102,[4]数据处理!$A:$B,2,0),0)</f>
        <v>2</v>
      </c>
      <c r="J102" s="36">
        <f>IFERROR(VLOOKUP(A102,[4]数据处理!$A:$D,4,0),0)</f>
        <v>0</v>
      </c>
      <c r="K102" s="36">
        <f>IFERROR(VLOOKUP(A102,[4]数据处理!$A:$E,5,0),0)</f>
        <v>0</v>
      </c>
      <c r="L102" s="36">
        <f>IFERROR(VLOOKUP(A102,[4]数据处理!$A:$G,7,0),0)</f>
        <v>0</v>
      </c>
      <c r="M102">
        <f t="shared" si="21"/>
        <v>2</v>
      </c>
      <c r="N102">
        <f>IFERROR(VLOOKUP(A102,[4]数据处理!$A:$C,3,0),0)</f>
        <v>0</v>
      </c>
      <c r="O102">
        <f>IFERROR(VLOOKUP($A102,[4]数据处理!$A:$N,14,0),0)</f>
        <v>2</v>
      </c>
      <c r="P102">
        <f>IFERROR(VLOOKUP($A102,[5]库存使用数据!$A:$B,2,0),"")</f>
        <v>43</v>
      </c>
      <c r="Q102">
        <f>IFERROR(VLOOKUP($A102,[5]库存使用数据!$A:$E,5,0),"")</f>
        <v>37</v>
      </c>
      <c r="R102">
        <f>IFERROR(VLOOKUP($A102,[5]库存使用数据!$A:$H,8,0),"")</f>
        <v>99</v>
      </c>
      <c r="S102">
        <f>IFERROR(VLOOKUP($A102,[5]库存使用数据!$A:$K,11,0),"")</f>
        <v>282</v>
      </c>
      <c r="T102">
        <f>IFERROR(VLOOKUP($A102,[5]库存使用数据!$A:$C,3,0),"")</f>
        <v>0</v>
      </c>
      <c r="U102">
        <f>IFERROR(VLOOKUP($A102,[5]库存使用数据!$A:$F,6,0),"")</f>
        <v>0</v>
      </c>
      <c r="V102">
        <f>IFERROR(VLOOKUP($A102,[5]库存使用数据!$A:$I,9,0),"")</f>
        <v>1</v>
      </c>
      <c r="W102">
        <f>IFERROR(VLOOKUP($A102,[5]库存使用数据!$A:$L,12,0),"")</f>
        <v>2</v>
      </c>
      <c r="X102" s="23">
        <f t="shared" si="26"/>
        <v>0</v>
      </c>
      <c r="Y102" s="23">
        <f t="shared" si="27"/>
        <v>0</v>
      </c>
      <c r="Z102" s="23">
        <f t="shared" si="28"/>
        <v>0.0101010101010101</v>
      </c>
      <c r="AA102" s="23">
        <f t="shared" si="29"/>
        <v>0.00709219858156028</v>
      </c>
      <c r="AB102">
        <f>IFERROR(VLOOKUP($A102,[5]库存使用数据!$A:$D,4,0),"")</f>
        <v>0</v>
      </c>
      <c r="AC102">
        <f>IFERROR(VLOOKUP($A102,[5]库存使用数据!$A:$G,7,0),"")</f>
        <v>0</v>
      </c>
      <c r="AD102">
        <f>IFERROR(VLOOKUP($A102,[5]库存使用数据!$A:$J,10,0),"")</f>
        <v>0.06</v>
      </c>
      <c r="AE102">
        <f>IFERROR(VLOOKUP($A102,[5]库存使用数据!$A:$M,13,0),"")</f>
        <v>0.71</v>
      </c>
      <c r="AF102" s="23" t="str">
        <f t="shared" si="30"/>
        <v/>
      </c>
      <c r="AG102" s="23" t="str">
        <f t="shared" si="31"/>
        <v/>
      </c>
      <c r="AH102" s="23" t="str">
        <f t="shared" si="32"/>
        <v>无销量广告费为0.06</v>
      </c>
      <c r="AI102" s="23" t="str">
        <f t="shared" si="33"/>
        <v>无销量广告费为0.71</v>
      </c>
      <c r="AJ102">
        <f>IFERROR(VLOOKUP($B102,[1]库存报告使用数据!$A$1:$B$65536,2,0),0)</f>
        <v>0</v>
      </c>
      <c r="AK102">
        <f>IFERROR(VLOOKUP($B102,[1]库存报告使用数据!$A$1:$C$65536,3,0),0)</f>
        <v>1</v>
      </c>
      <c r="AL102">
        <f>IFERROR(VLOOKUP($B102,[1]库存报告使用数据!$A$1:$D$65536,4,0),0)</f>
        <v>2</v>
      </c>
      <c r="AM102">
        <f>IFERROR(VLOOKUP($B102,[1]库存报告使用数据!$A$1:$E$65536,5,0),0)</f>
        <v>2</v>
      </c>
      <c r="AN102" s="23" t="str">
        <f t="shared" si="34"/>
        <v/>
      </c>
      <c r="AO102" s="23">
        <f t="shared" si="35"/>
        <v>0</v>
      </c>
      <c r="AP102" s="23">
        <f t="shared" si="36"/>
        <v>0</v>
      </c>
      <c r="AQ102" s="23">
        <f t="shared" si="37"/>
        <v>0</v>
      </c>
      <c r="AR102" s="38">
        <f t="shared" si="22"/>
        <v>0</v>
      </c>
      <c r="AS102" s="38">
        <f t="shared" si="23"/>
        <v>0</v>
      </c>
      <c r="AT102" s="38">
        <f t="shared" si="24"/>
        <v>2</v>
      </c>
      <c r="AU102" s="33" t="str">
        <f t="shared" si="25"/>
        <v>库存为2</v>
      </c>
      <c r="AV102" s="39" t="str">
        <f>IFERROR(时间!$B$4+AU102,"上周无销量")</f>
        <v>上周无销量</v>
      </c>
    </row>
    <row r="103" spans="1:48">
      <c r="A103" s="35" t="s">
        <v>148</v>
      </c>
      <c r="B103" t="str">
        <f>VLOOKUP(A103,'[2]sku-asin（子）'!$A:$B,2,0)</f>
        <v>B074CZ4S1V</v>
      </c>
      <c r="C103" t="str">
        <f>VLOOKUP(A103,'[2]子sku-父sku'!$A:$B,2,0)</f>
        <v>N1709Y</v>
      </c>
      <c r="D103" s="33">
        <f>IFERROR(VLOOKUP(A103,[3]库存报告使用数据处理!$A:$C,3,0),0)</f>
        <v>0</v>
      </c>
      <c r="E103" s="33">
        <f>IFERROR(VLOOKUP(A103,[3]库存报告使用数据处理!$A:$D,4,0),0)</f>
        <v>0</v>
      </c>
      <c r="F103" s="33">
        <f>IFERROR(VLOOKUP(A103,[3]库存报告使用数据处理!$A:$E,5,0),0)</f>
        <v>0</v>
      </c>
      <c r="G103" s="33">
        <f>IFERROR(VLOOKUP(A103,[3]库存报告使用数据处理!$A:$F,6,0),0)</f>
        <v>0</v>
      </c>
      <c r="H103" s="34">
        <f>IFERROR(VLOOKUP(A103,[3]库存报告使用数据处理!$A:$G,7,0),0)</f>
        <v>0</v>
      </c>
      <c r="I103">
        <f>IFERROR(VLOOKUP(A103,[4]数据处理!$A:$B,2,0),0)</f>
        <v>2</v>
      </c>
      <c r="J103" s="36">
        <f>IFERROR(VLOOKUP(A103,[4]数据处理!$A:$D,4,0),0)</f>
        <v>0</v>
      </c>
      <c r="K103" s="36">
        <f>IFERROR(VLOOKUP(A103,[4]数据处理!$A:$E,5,0),0)</f>
        <v>0</v>
      </c>
      <c r="L103" s="36">
        <f>IFERROR(VLOOKUP(A103,[4]数据处理!$A:$G,7,0),0)</f>
        <v>0</v>
      </c>
      <c r="M103">
        <f t="shared" si="21"/>
        <v>2</v>
      </c>
      <c r="N103">
        <f>IFERROR(VLOOKUP(A103,[4]数据处理!$A:$C,3,0),0)</f>
        <v>0</v>
      </c>
      <c r="O103">
        <f>IFERROR(VLOOKUP($A103,[4]数据处理!$A:$N,14,0),0)</f>
        <v>2</v>
      </c>
      <c r="P103">
        <f>IFERROR(VLOOKUP($A103,[5]库存使用数据!$A:$B,2,0),"")</f>
        <v>295</v>
      </c>
      <c r="Q103">
        <f>IFERROR(VLOOKUP($A103,[5]库存使用数据!$A:$E,5,0),"")</f>
        <v>252</v>
      </c>
      <c r="R103">
        <f>IFERROR(VLOOKUP($A103,[5]库存使用数据!$A:$H,8,0),"")</f>
        <v>385</v>
      </c>
      <c r="S103">
        <f>IFERROR(VLOOKUP($A103,[5]库存使用数据!$A:$K,11,0),"")</f>
        <v>244</v>
      </c>
      <c r="T103">
        <f>IFERROR(VLOOKUP($A103,[5]库存使用数据!$A:$C,3,0),"")</f>
        <v>2</v>
      </c>
      <c r="U103">
        <f>IFERROR(VLOOKUP($A103,[5]库存使用数据!$A:$F,6,0),"")</f>
        <v>1</v>
      </c>
      <c r="V103">
        <f>IFERROR(VLOOKUP($A103,[5]库存使用数据!$A:$I,9,0),"")</f>
        <v>0</v>
      </c>
      <c r="W103">
        <f>IFERROR(VLOOKUP($A103,[5]库存使用数据!$A:$L,12,0),"")</f>
        <v>0</v>
      </c>
      <c r="X103" s="23">
        <f t="shared" si="26"/>
        <v>0.00677966101694915</v>
      </c>
      <c r="Y103" s="23">
        <f t="shared" si="27"/>
        <v>0.00396825396825397</v>
      </c>
      <c r="Z103" s="23">
        <f t="shared" si="28"/>
        <v>0</v>
      </c>
      <c r="AA103" s="23">
        <f t="shared" si="29"/>
        <v>0</v>
      </c>
      <c r="AB103">
        <f>IFERROR(VLOOKUP($A103,[5]库存使用数据!$A:$D,4,0),"")</f>
        <v>0.85</v>
      </c>
      <c r="AC103">
        <f>IFERROR(VLOOKUP($A103,[5]库存使用数据!$A:$G,7,0),"")</f>
        <v>0.26</v>
      </c>
      <c r="AD103">
        <f>IFERROR(VLOOKUP($A103,[5]库存使用数据!$A:$J,10,0),"")</f>
        <v>0</v>
      </c>
      <c r="AE103">
        <f>IFERROR(VLOOKUP($A103,[5]库存使用数据!$A:$M,13,0),"")</f>
        <v>0</v>
      </c>
      <c r="AF103" s="23" t="str">
        <f t="shared" si="30"/>
        <v>无销量广告费为0.85</v>
      </c>
      <c r="AG103" s="23" t="str">
        <f t="shared" si="31"/>
        <v>无销量广告费为0.26</v>
      </c>
      <c r="AH103" s="23" t="str">
        <f t="shared" si="32"/>
        <v/>
      </c>
      <c r="AI103" s="23" t="str">
        <f t="shared" si="33"/>
        <v/>
      </c>
      <c r="AJ103">
        <f>IFERROR(VLOOKUP($B103,[1]库存报告使用数据!$A$1:$B$65536,2,0),0)</f>
        <v>1</v>
      </c>
      <c r="AK103">
        <f>IFERROR(VLOOKUP($B103,[1]库存报告使用数据!$A$1:$C$65536,3,0),0)</f>
        <v>2</v>
      </c>
      <c r="AL103">
        <f>IFERROR(VLOOKUP($B103,[1]库存报告使用数据!$A$1:$D$65536,4,0),0)</f>
        <v>2</v>
      </c>
      <c r="AM103">
        <f>IFERROR(VLOOKUP($B103,[1]库存报告使用数据!$A$1:$E$65536,5,0),0)</f>
        <v>0</v>
      </c>
      <c r="AN103" s="23">
        <f t="shared" si="34"/>
        <v>0</v>
      </c>
      <c r="AO103" s="23">
        <f t="shared" si="35"/>
        <v>0</v>
      </c>
      <c r="AP103" s="23">
        <f t="shared" si="36"/>
        <v>0</v>
      </c>
      <c r="AQ103" s="23" t="str">
        <f t="shared" si="37"/>
        <v/>
      </c>
      <c r="AR103" s="38">
        <f t="shared" si="22"/>
        <v>0</v>
      </c>
      <c r="AS103" s="38">
        <f t="shared" si="23"/>
        <v>0</v>
      </c>
      <c r="AT103" s="38">
        <f t="shared" si="24"/>
        <v>2</v>
      </c>
      <c r="AU103" s="33" t="str">
        <f t="shared" si="25"/>
        <v>库存为2</v>
      </c>
      <c r="AV103" s="39" t="str">
        <f>IFERROR(时间!$B$4+AU103,"上周无销量")</f>
        <v>上周无销量</v>
      </c>
    </row>
    <row r="104" spans="1:48">
      <c r="A104" s="35" t="s">
        <v>149</v>
      </c>
      <c r="B104" t="str">
        <f>VLOOKUP(A104,'[2]sku-asin（子）'!$A:$B,2,0)</f>
        <v>B074CS5P3X</v>
      </c>
      <c r="C104" t="str">
        <f>VLOOKUP(A104,'[2]子sku-父sku'!$A:$B,2,0)</f>
        <v>N1709Y</v>
      </c>
      <c r="D104" s="33">
        <f>IFERROR(VLOOKUP(A104,[3]库存报告使用数据处理!$A:$C,3,0),0)</f>
        <v>0</v>
      </c>
      <c r="E104" s="33">
        <f>IFERROR(VLOOKUP(A104,[3]库存报告使用数据处理!$A:$D,4,0),0)</f>
        <v>0</v>
      </c>
      <c r="F104" s="33">
        <f>IFERROR(VLOOKUP(A104,[3]库存报告使用数据处理!$A:$E,5,0),0)</f>
        <v>0</v>
      </c>
      <c r="G104" s="33">
        <f>IFERROR(VLOOKUP(A104,[3]库存报告使用数据处理!$A:$F,6,0),0)</f>
        <v>0</v>
      </c>
      <c r="H104" s="34">
        <f>IFERROR(VLOOKUP(A104,[3]库存报告使用数据处理!$A:$G,7,0),0)</f>
        <v>0</v>
      </c>
      <c r="I104">
        <f>IFERROR(VLOOKUP(A104,[4]数据处理!$A:$B,2,0),0)</f>
        <v>8</v>
      </c>
      <c r="J104" s="36">
        <f>IFERROR(VLOOKUP(A104,[4]数据处理!$A:$D,4,0),0)</f>
        <v>0</v>
      </c>
      <c r="K104" s="36">
        <f>IFERROR(VLOOKUP(A104,[4]数据处理!$A:$E,5,0),0)</f>
        <v>0</v>
      </c>
      <c r="L104" s="36">
        <f>IFERROR(VLOOKUP(A104,[4]数据处理!$A:$G,7,0),0)</f>
        <v>0</v>
      </c>
      <c r="M104">
        <f t="shared" si="21"/>
        <v>8</v>
      </c>
      <c r="N104">
        <f>IFERROR(VLOOKUP(A104,[4]数据处理!$A:$C,3,0),0)</f>
        <v>0</v>
      </c>
      <c r="O104">
        <f>IFERROR(VLOOKUP($A104,[4]数据处理!$A:$N,14,0),0)</f>
        <v>8</v>
      </c>
      <c r="P104">
        <f>IFERROR(VLOOKUP($A104,[5]库存使用数据!$A:$B,2,0),"")</f>
        <v>15</v>
      </c>
      <c r="Q104">
        <f>IFERROR(VLOOKUP($A104,[5]库存使用数据!$A:$E,5,0),"")</f>
        <v>4</v>
      </c>
      <c r="R104">
        <f>IFERROR(VLOOKUP($A104,[5]库存使用数据!$A:$H,8,0),"")</f>
        <v>8</v>
      </c>
      <c r="S104">
        <f>IFERROR(VLOOKUP($A104,[5]库存使用数据!$A:$K,11,0),"")</f>
        <v>4</v>
      </c>
      <c r="T104">
        <f>IFERROR(VLOOKUP($A104,[5]库存使用数据!$A:$C,3,0),"")</f>
        <v>0</v>
      </c>
      <c r="U104">
        <f>IFERROR(VLOOKUP($A104,[5]库存使用数据!$A:$F,6,0),"")</f>
        <v>0</v>
      </c>
      <c r="V104">
        <f>IFERROR(VLOOKUP($A104,[5]库存使用数据!$A:$I,9,0),"")</f>
        <v>0</v>
      </c>
      <c r="W104">
        <f>IFERROR(VLOOKUP($A104,[5]库存使用数据!$A:$L,12,0),"")</f>
        <v>1</v>
      </c>
      <c r="X104" s="23">
        <f t="shared" si="26"/>
        <v>0</v>
      </c>
      <c r="Y104" s="23">
        <f t="shared" si="27"/>
        <v>0</v>
      </c>
      <c r="Z104" s="23">
        <f t="shared" si="28"/>
        <v>0</v>
      </c>
      <c r="AA104" s="23">
        <f t="shared" si="29"/>
        <v>0.25</v>
      </c>
      <c r="AB104">
        <f>IFERROR(VLOOKUP($A104,[5]库存使用数据!$A:$D,4,0),"")</f>
        <v>0</v>
      </c>
      <c r="AC104">
        <f>IFERROR(VLOOKUP($A104,[5]库存使用数据!$A:$G,7,0),"")</f>
        <v>0</v>
      </c>
      <c r="AD104">
        <f>IFERROR(VLOOKUP($A104,[5]库存使用数据!$A:$J,10,0),"")</f>
        <v>0</v>
      </c>
      <c r="AE104">
        <f>IFERROR(VLOOKUP($A104,[5]库存使用数据!$A:$M,13,0),"")</f>
        <v>0.09</v>
      </c>
      <c r="AF104" s="23" t="str">
        <f t="shared" si="30"/>
        <v/>
      </c>
      <c r="AG104" s="23" t="str">
        <f t="shared" si="31"/>
        <v/>
      </c>
      <c r="AH104" s="23" t="str">
        <f t="shared" si="32"/>
        <v/>
      </c>
      <c r="AI104" s="23" t="str">
        <f t="shared" si="33"/>
        <v>无销量广告费为0.09</v>
      </c>
      <c r="AJ104">
        <f>IFERROR(VLOOKUP($B104,[1]库存报告使用数据!$A$1:$B$65536,2,0),0)</f>
        <v>2</v>
      </c>
      <c r="AK104">
        <f>IFERROR(VLOOKUP($B104,[1]库存报告使用数据!$A$1:$C$65536,3,0),0)</f>
        <v>1</v>
      </c>
      <c r="AL104">
        <f>IFERROR(VLOOKUP($B104,[1]库存报告使用数据!$A$1:$D$65536,4,0),0)</f>
        <v>0</v>
      </c>
      <c r="AM104">
        <f>IFERROR(VLOOKUP($B104,[1]库存报告使用数据!$A$1:$E$65536,5,0),0)</f>
        <v>1</v>
      </c>
      <c r="AN104" s="23">
        <f t="shared" si="34"/>
        <v>0</v>
      </c>
      <c r="AO104" s="23">
        <f t="shared" si="35"/>
        <v>0</v>
      </c>
      <c r="AP104" s="23" t="str">
        <f t="shared" si="36"/>
        <v/>
      </c>
      <c r="AQ104" s="23">
        <f t="shared" si="37"/>
        <v>0</v>
      </c>
      <c r="AR104" s="38">
        <f t="shared" si="22"/>
        <v>0</v>
      </c>
      <c r="AS104" s="38">
        <f t="shared" si="23"/>
        <v>0</v>
      </c>
      <c r="AT104" s="38">
        <f t="shared" si="24"/>
        <v>8</v>
      </c>
      <c r="AU104" s="33" t="str">
        <f t="shared" si="25"/>
        <v>库存为8</v>
      </c>
      <c r="AV104" s="39" t="str">
        <f>IFERROR(时间!$B$4+AU104,"上周无销量")</f>
        <v>上周无销量</v>
      </c>
    </row>
    <row r="105" spans="1:48">
      <c r="A105" s="35" t="s">
        <v>150</v>
      </c>
      <c r="B105" t="str">
        <f>VLOOKUP(A105,'[2]sku-asin（子）'!$A:$B,2,0)</f>
        <v>B074CSF1MY</v>
      </c>
      <c r="C105" t="str">
        <f>VLOOKUP(A105,'[2]子sku-父sku'!$A:$B,2,0)</f>
        <v>N1709Y</v>
      </c>
      <c r="D105" s="33">
        <f>IFERROR(VLOOKUP(A105,[3]库存报告使用数据处理!$A:$C,3,0),0)</f>
        <v>0</v>
      </c>
      <c r="E105" s="33">
        <f>IFERROR(VLOOKUP(A105,[3]库存报告使用数据处理!$A:$D,4,0),0)</f>
        <v>0</v>
      </c>
      <c r="F105" s="33">
        <f>IFERROR(VLOOKUP(A105,[3]库存报告使用数据处理!$A:$E,5,0),0)</f>
        <v>0</v>
      </c>
      <c r="G105" s="33">
        <f>IFERROR(VLOOKUP(A105,[3]库存报告使用数据处理!$A:$F,6,0),0)</f>
        <v>0</v>
      </c>
      <c r="H105" s="34">
        <f>IFERROR(VLOOKUP(A105,[3]库存报告使用数据处理!$A:$G,7,0),0)</f>
        <v>0</v>
      </c>
      <c r="I105">
        <f>IFERROR(VLOOKUP(A105,[4]数据处理!$A:$B,2,0),0)</f>
        <v>16</v>
      </c>
      <c r="J105" s="36">
        <f>IFERROR(VLOOKUP(A105,[4]数据处理!$A:$D,4,0),0)</f>
        <v>0</v>
      </c>
      <c r="K105" s="36">
        <f>IFERROR(VLOOKUP(A105,[4]数据处理!$A:$E,5,0),0)</f>
        <v>0</v>
      </c>
      <c r="L105" s="36">
        <f>IFERROR(VLOOKUP(A105,[4]数据处理!$A:$G,7,0),0)</f>
        <v>0</v>
      </c>
      <c r="M105">
        <f t="shared" si="21"/>
        <v>16</v>
      </c>
      <c r="N105">
        <f>IFERROR(VLOOKUP(A105,[4]数据处理!$A:$C,3,0),0)</f>
        <v>0</v>
      </c>
      <c r="O105">
        <f>IFERROR(VLOOKUP($A105,[4]数据处理!$A:$N,14,0),0)</f>
        <v>16</v>
      </c>
      <c r="P105">
        <f>IFERROR(VLOOKUP($A105,[5]库存使用数据!$A:$B,2,0),"")</f>
        <v>276</v>
      </c>
      <c r="Q105">
        <f>IFERROR(VLOOKUP($A105,[5]库存使用数据!$A:$E,5,0),"")</f>
        <v>227</v>
      </c>
      <c r="R105">
        <f>IFERROR(VLOOKUP($A105,[5]库存使用数据!$A:$H,8,0),"")</f>
        <v>276</v>
      </c>
      <c r="S105">
        <f>IFERROR(VLOOKUP($A105,[5]库存使用数据!$A:$K,11,0),"")</f>
        <v>170</v>
      </c>
      <c r="T105">
        <f>IFERROR(VLOOKUP($A105,[5]库存使用数据!$A:$C,3,0),"")</f>
        <v>2</v>
      </c>
      <c r="U105">
        <f>IFERROR(VLOOKUP($A105,[5]库存使用数据!$A:$F,6,0),"")</f>
        <v>3</v>
      </c>
      <c r="V105">
        <f>IFERROR(VLOOKUP($A105,[5]库存使用数据!$A:$I,9,0),"")</f>
        <v>1</v>
      </c>
      <c r="W105">
        <f>IFERROR(VLOOKUP($A105,[5]库存使用数据!$A:$L,12,0),"")</f>
        <v>3</v>
      </c>
      <c r="X105" s="23">
        <f t="shared" si="26"/>
        <v>0.0072463768115942</v>
      </c>
      <c r="Y105" s="23">
        <f t="shared" si="27"/>
        <v>0.013215859030837</v>
      </c>
      <c r="Z105" s="23">
        <f t="shared" si="28"/>
        <v>0.0036231884057971</v>
      </c>
      <c r="AA105" s="23">
        <f t="shared" si="29"/>
        <v>0.0176470588235294</v>
      </c>
      <c r="AB105">
        <f>IFERROR(VLOOKUP($A105,[5]库存使用数据!$A:$D,4,0),"")</f>
        <v>0.31</v>
      </c>
      <c r="AC105">
        <f>IFERROR(VLOOKUP($A105,[5]库存使用数据!$A:$G,7,0),"")</f>
        <v>0.85</v>
      </c>
      <c r="AD105">
        <f>IFERROR(VLOOKUP($A105,[5]库存使用数据!$A:$J,10,0),"")</f>
        <v>0.37</v>
      </c>
      <c r="AE105">
        <f>IFERROR(VLOOKUP($A105,[5]库存使用数据!$A:$M,13,0),"")</f>
        <v>0.73</v>
      </c>
      <c r="AF105" s="23" t="str">
        <f t="shared" si="30"/>
        <v>无销量广告费为0.31</v>
      </c>
      <c r="AG105" s="23" t="str">
        <f t="shared" si="31"/>
        <v>无销量广告费为0.85</v>
      </c>
      <c r="AH105" s="23" t="str">
        <f t="shared" si="32"/>
        <v>无销量广告费为0.37</v>
      </c>
      <c r="AI105" s="23" t="str">
        <f t="shared" si="33"/>
        <v>无销量广告费为0.73</v>
      </c>
      <c r="AJ105">
        <f>IFERROR(VLOOKUP($B105,[1]库存报告使用数据!$A$1:$B$65536,2,0),0)</f>
        <v>1</v>
      </c>
      <c r="AK105">
        <f>IFERROR(VLOOKUP($B105,[1]库存报告使用数据!$A$1:$C$65536,3,0),0)</f>
        <v>3</v>
      </c>
      <c r="AL105">
        <f>IFERROR(VLOOKUP($B105,[1]库存报告使用数据!$A$1:$D$65536,4,0),0)</f>
        <v>2</v>
      </c>
      <c r="AM105">
        <f>IFERROR(VLOOKUP($B105,[1]库存报告使用数据!$A$1:$E$65536,5,0),0)</f>
        <v>2</v>
      </c>
      <c r="AN105" s="23">
        <f t="shared" si="34"/>
        <v>0</v>
      </c>
      <c r="AO105" s="23">
        <f t="shared" si="35"/>
        <v>0</v>
      </c>
      <c r="AP105" s="23">
        <f t="shared" si="36"/>
        <v>0</v>
      </c>
      <c r="AQ105" s="23">
        <f t="shared" si="37"/>
        <v>0</v>
      </c>
      <c r="AR105" s="38">
        <f t="shared" si="22"/>
        <v>0</v>
      </c>
      <c r="AS105" s="38">
        <f t="shared" si="23"/>
        <v>0</v>
      </c>
      <c r="AT105" s="38">
        <f t="shared" si="24"/>
        <v>16</v>
      </c>
      <c r="AU105" s="33" t="str">
        <f t="shared" si="25"/>
        <v>库存为16</v>
      </c>
      <c r="AV105" s="39" t="str">
        <f>IFERROR(时间!$B$4+AU105,"上周无销量")</f>
        <v>上周无销量</v>
      </c>
    </row>
    <row r="106" spans="1:48">
      <c r="A106" s="35" t="s">
        <v>151</v>
      </c>
      <c r="B106" t="str">
        <f>VLOOKUP(A106,'[2]sku-asin（子）'!$A:$B,2,0)</f>
        <v>B074CSG4ZS</v>
      </c>
      <c r="C106" t="str">
        <f>VLOOKUP(A106,'[2]子sku-父sku'!$A:$B,2,0)</f>
        <v>N1709Y</v>
      </c>
      <c r="D106" s="33">
        <f>IFERROR(VLOOKUP(A106,[3]库存报告使用数据处理!$A:$C,3,0),0)</f>
        <v>0</v>
      </c>
      <c r="E106" s="33">
        <f>IFERROR(VLOOKUP(A106,[3]库存报告使用数据处理!$A:$D,4,0),0)</f>
        <v>0</v>
      </c>
      <c r="F106" s="33">
        <f>IFERROR(VLOOKUP(A106,[3]库存报告使用数据处理!$A:$E,5,0),0)</f>
        <v>0</v>
      </c>
      <c r="G106" s="33">
        <f>IFERROR(VLOOKUP(A106,[3]库存报告使用数据处理!$A:$F,6,0),0)</f>
        <v>0</v>
      </c>
      <c r="H106" s="34">
        <f>IFERROR(VLOOKUP(A106,[3]库存报告使用数据处理!$A:$G,7,0),0)</f>
        <v>0</v>
      </c>
      <c r="I106">
        <f>IFERROR(VLOOKUP(A106,[4]数据处理!$A:$B,2,0),0)</f>
        <v>1</v>
      </c>
      <c r="J106" s="36">
        <f>IFERROR(VLOOKUP(A106,[4]数据处理!$A:$D,4,0),0)</f>
        <v>0</v>
      </c>
      <c r="K106" s="36">
        <f>IFERROR(VLOOKUP(A106,[4]数据处理!$A:$E,5,0),0)</f>
        <v>0</v>
      </c>
      <c r="L106" s="36">
        <f>IFERROR(VLOOKUP(A106,[4]数据处理!$A:$G,7,0),0)</f>
        <v>0</v>
      </c>
      <c r="M106">
        <f t="shared" si="21"/>
        <v>1</v>
      </c>
      <c r="N106">
        <f>IFERROR(VLOOKUP(A106,[4]数据处理!$A:$C,3,0),0)</f>
        <v>0</v>
      </c>
      <c r="O106">
        <f>IFERROR(VLOOKUP($A106,[4]数据处理!$A:$N,14,0),0)</f>
        <v>1</v>
      </c>
      <c r="P106">
        <f>IFERROR(VLOOKUP($A106,[5]库存使用数据!$A:$B,2,0),"")</f>
        <v>16</v>
      </c>
      <c r="Q106">
        <f>IFERROR(VLOOKUP($A106,[5]库存使用数据!$A:$E,5,0),"")</f>
        <v>13</v>
      </c>
      <c r="R106">
        <f>IFERROR(VLOOKUP($A106,[5]库存使用数据!$A:$H,8,0),"")</f>
        <v>40</v>
      </c>
      <c r="S106">
        <f>IFERROR(VLOOKUP($A106,[5]库存使用数据!$A:$K,11,0),"")</f>
        <v>47</v>
      </c>
      <c r="T106">
        <f>IFERROR(VLOOKUP($A106,[5]库存使用数据!$A:$C,3,0),"")</f>
        <v>0</v>
      </c>
      <c r="U106">
        <f>IFERROR(VLOOKUP($A106,[5]库存使用数据!$A:$F,6,0),"")</f>
        <v>0</v>
      </c>
      <c r="V106">
        <f>IFERROR(VLOOKUP($A106,[5]库存使用数据!$A:$I,9,0),"")</f>
        <v>0</v>
      </c>
      <c r="W106">
        <f>IFERROR(VLOOKUP($A106,[5]库存使用数据!$A:$L,12,0),"")</f>
        <v>0</v>
      </c>
      <c r="X106" s="23">
        <f t="shared" si="26"/>
        <v>0</v>
      </c>
      <c r="Y106" s="23">
        <f t="shared" si="27"/>
        <v>0</v>
      </c>
      <c r="Z106" s="23">
        <f t="shared" si="28"/>
        <v>0</v>
      </c>
      <c r="AA106" s="23">
        <f t="shared" si="29"/>
        <v>0</v>
      </c>
      <c r="AB106">
        <f>IFERROR(VLOOKUP($A106,[5]库存使用数据!$A:$D,4,0),"")</f>
        <v>0</v>
      </c>
      <c r="AC106">
        <f>IFERROR(VLOOKUP($A106,[5]库存使用数据!$A:$G,7,0),"")</f>
        <v>0</v>
      </c>
      <c r="AD106">
        <f>IFERROR(VLOOKUP($A106,[5]库存使用数据!$A:$J,10,0),"")</f>
        <v>0</v>
      </c>
      <c r="AE106">
        <f>IFERROR(VLOOKUP($A106,[5]库存使用数据!$A:$M,13,0),"")</f>
        <v>0</v>
      </c>
      <c r="AF106" s="23" t="str">
        <f t="shared" si="30"/>
        <v/>
      </c>
      <c r="AG106" s="23" t="str">
        <f t="shared" si="31"/>
        <v/>
      </c>
      <c r="AH106" s="23" t="str">
        <f t="shared" si="32"/>
        <v/>
      </c>
      <c r="AI106" s="23" t="str">
        <f t="shared" si="33"/>
        <v/>
      </c>
      <c r="AJ106">
        <f>IFERROR(VLOOKUP($B106,[1]库存报告使用数据!$A$1:$B$65536,2,0),0)</f>
        <v>0</v>
      </c>
      <c r="AK106">
        <f>IFERROR(VLOOKUP($B106,[1]库存报告使用数据!$A$1:$C$65536,3,0),0)</f>
        <v>2</v>
      </c>
      <c r="AL106">
        <f>IFERROR(VLOOKUP($B106,[1]库存报告使用数据!$A$1:$D$65536,4,0),0)</f>
        <v>2</v>
      </c>
      <c r="AM106">
        <f>IFERROR(VLOOKUP($B106,[1]库存报告使用数据!$A$1:$E$65536,5,0),0)</f>
        <v>2</v>
      </c>
      <c r="AN106" s="23" t="str">
        <f t="shared" si="34"/>
        <v/>
      </c>
      <c r="AO106" s="23">
        <f t="shared" si="35"/>
        <v>0</v>
      </c>
      <c r="AP106" s="23">
        <f t="shared" si="36"/>
        <v>0</v>
      </c>
      <c r="AQ106" s="23">
        <f t="shared" si="37"/>
        <v>0</v>
      </c>
      <c r="AR106" s="38">
        <f t="shared" si="22"/>
        <v>0</v>
      </c>
      <c r="AS106" s="38">
        <f t="shared" si="23"/>
        <v>0</v>
      </c>
      <c r="AT106" s="38">
        <f t="shared" si="24"/>
        <v>1</v>
      </c>
      <c r="AU106" s="33" t="str">
        <f t="shared" si="25"/>
        <v>库存为1</v>
      </c>
      <c r="AV106" s="39" t="str">
        <f>IFERROR(时间!$B$4+AU106,"上周无销量")</f>
        <v>上周无销量</v>
      </c>
    </row>
    <row r="107" spans="1:48">
      <c r="A107" s="35" t="s">
        <v>152</v>
      </c>
      <c r="B107" t="str">
        <f>VLOOKUP(A107,'[2]sku-asin（子）'!$A:$B,2,0)</f>
        <v>B074CSPJVW</v>
      </c>
      <c r="C107" t="str">
        <f>VLOOKUP(A107,'[2]子sku-父sku'!$A:$B,2,0)</f>
        <v>N1709Y</v>
      </c>
      <c r="D107" s="33">
        <f>IFERROR(VLOOKUP(A107,[3]库存报告使用数据处理!$A:$C,3,0),0)</f>
        <v>0</v>
      </c>
      <c r="E107" s="33">
        <f>IFERROR(VLOOKUP(A107,[3]库存报告使用数据处理!$A:$D,4,0),0)</f>
        <v>0</v>
      </c>
      <c r="F107" s="33">
        <f>IFERROR(VLOOKUP(A107,[3]库存报告使用数据处理!$A:$E,5,0),0)</f>
        <v>0</v>
      </c>
      <c r="G107" s="33">
        <f>IFERROR(VLOOKUP(A107,[3]库存报告使用数据处理!$A:$F,6,0),0)</f>
        <v>0</v>
      </c>
      <c r="H107" s="34">
        <f>IFERROR(VLOOKUP(A107,[3]库存报告使用数据处理!$A:$G,7,0),0)</f>
        <v>0</v>
      </c>
      <c r="I107">
        <f>IFERROR(VLOOKUP(A107,[4]数据处理!$A:$B,2,0),0)</f>
        <v>4</v>
      </c>
      <c r="J107" s="36">
        <f>IFERROR(VLOOKUP(A107,[4]数据处理!$A:$D,4,0),0)</f>
        <v>0</v>
      </c>
      <c r="K107" s="36">
        <f>IFERROR(VLOOKUP(A107,[4]数据处理!$A:$E,5,0),0)</f>
        <v>0</v>
      </c>
      <c r="L107" s="36">
        <f>IFERROR(VLOOKUP(A107,[4]数据处理!$A:$G,7,0),0)</f>
        <v>0</v>
      </c>
      <c r="M107">
        <f t="shared" si="21"/>
        <v>4</v>
      </c>
      <c r="N107">
        <f>IFERROR(VLOOKUP(A107,[4]数据处理!$A:$C,3,0),0)</f>
        <v>0</v>
      </c>
      <c r="O107">
        <f>IFERROR(VLOOKUP($A107,[4]数据处理!$A:$N,14,0),0)</f>
        <v>4</v>
      </c>
      <c r="P107">
        <f>IFERROR(VLOOKUP($A107,[5]库存使用数据!$A:$B,2,0),"")</f>
        <v>10</v>
      </c>
      <c r="Q107">
        <f>IFERROR(VLOOKUP($A107,[5]库存使用数据!$A:$E,5,0),"")</f>
        <v>2</v>
      </c>
      <c r="R107">
        <f>IFERROR(VLOOKUP($A107,[5]库存使用数据!$A:$H,8,0),"")</f>
        <v>3</v>
      </c>
      <c r="S107">
        <f>IFERROR(VLOOKUP($A107,[5]库存使用数据!$A:$K,11,0),"")</f>
        <v>5</v>
      </c>
      <c r="T107">
        <f>IFERROR(VLOOKUP($A107,[5]库存使用数据!$A:$C,3,0),"")</f>
        <v>0</v>
      </c>
      <c r="U107">
        <f>IFERROR(VLOOKUP($A107,[5]库存使用数据!$A:$F,6,0),"")</f>
        <v>0</v>
      </c>
      <c r="V107">
        <f>IFERROR(VLOOKUP($A107,[5]库存使用数据!$A:$I,9,0),"")</f>
        <v>0</v>
      </c>
      <c r="W107">
        <f>IFERROR(VLOOKUP($A107,[5]库存使用数据!$A:$L,12,0),"")</f>
        <v>0</v>
      </c>
      <c r="X107" s="23">
        <f t="shared" si="26"/>
        <v>0</v>
      </c>
      <c r="Y107" s="23">
        <f t="shared" si="27"/>
        <v>0</v>
      </c>
      <c r="Z107" s="23">
        <f t="shared" si="28"/>
        <v>0</v>
      </c>
      <c r="AA107" s="23">
        <f t="shared" si="29"/>
        <v>0</v>
      </c>
      <c r="AB107">
        <f>IFERROR(VLOOKUP($A107,[5]库存使用数据!$A:$D,4,0),"")</f>
        <v>0</v>
      </c>
      <c r="AC107">
        <f>IFERROR(VLOOKUP($A107,[5]库存使用数据!$A:$G,7,0),"")</f>
        <v>0</v>
      </c>
      <c r="AD107">
        <f>IFERROR(VLOOKUP($A107,[5]库存使用数据!$A:$J,10,0),"")</f>
        <v>0</v>
      </c>
      <c r="AE107">
        <f>IFERROR(VLOOKUP($A107,[5]库存使用数据!$A:$M,13,0),"")</f>
        <v>0</v>
      </c>
      <c r="AF107" s="23" t="str">
        <f t="shared" si="30"/>
        <v/>
      </c>
      <c r="AG107" s="23" t="str">
        <f t="shared" si="31"/>
        <v/>
      </c>
      <c r="AH107" s="23" t="str">
        <f t="shared" si="32"/>
        <v/>
      </c>
      <c r="AI107" s="23" t="str">
        <f t="shared" si="33"/>
        <v/>
      </c>
      <c r="AJ107">
        <f>IFERROR(VLOOKUP($B107,[1]库存报告使用数据!$A$1:$B$65536,2,0),0)</f>
        <v>1</v>
      </c>
      <c r="AK107">
        <f>IFERROR(VLOOKUP($B107,[1]库存报告使用数据!$A$1:$C$65536,3,0),0)</f>
        <v>3</v>
      </c>
      <c r="AL107">
        <f>IFERROR(VLOOKUP($B107,[1]库存报告使用数据!$A$1:$D$65536,4,0),0)</f>
        <v>3</v>
      </c>
      <c r="AM107">
        <f>IFERROR(VLOOKUP($B107,[1]库存报告使用数据!$A$1:$E$65536,5,0),0)</f>
        <v>0</v>
      </c>
      <c r="AN107" s="23">
        <f t="shared" si="34"/>
        <v>0</v>
      </c>
      <c r="AO107" s="23">
        <f t="shared" si="35"/>
        <v>0</v>
      </c>
      <c r="AP107" s="23">
        <f t="shared" si="36"/>
        <v>0</v>
      </c>
      <c r="AQ107" s="23" t="str">
        <f t="shared" si="37"/>
        <v/>
      </c>
      <c r="AR107" s="38">
        <f t="shared" si="22"/>
        <v>0</v>
      </c>
      <c r="AS107" s="38">
        <f t="shared" si="23"/>
        <v>0</v>
      </c>
      <c r="AT107" s="38">
        <f t="shared" si="24"/>
        <v>4</v>
      </c>
      <c r="AU107" s="33" t="str">
        <f t="shared" si="25"/>
        <v>库存为4</v>
      </c>
      <c r="AV107" s="39" t="str">
        <f>IFERROR(时间!$B$4+AU107,"上周无销量")</f>
        <v>上周无销量</v>
      </c>
    </row>
    <row r="108" spans="1:48">
      <c r="A108" s="35" t="s">
        <v>153</v>
      </c>
      <c r="B108" t="str">
        <f>VLOOKUP(A108,'[2]sku-asin（子）'!$A:$B,2,0)</f>
        <v>B074CS535P</v>
      </c>
      <c r="C108" t="str">
        <f>VLOOKUP(A108,'[2]子sku-父sku'!$A:$B,2,0)</f>
        <v>N1709Y</v>
      </c>
      <c r="D108" s="33">
        <f>IFERROR(VLOOKUP(A108,[3]库存报告使用数据处理!$A:$C,3,0),0)</f>
        <v>0</v>
      </c>
      <c r="E108" s="33">
        <f>IFERROR(VLOOKUP(A108,[3]库存报告使用数据处理!$A:$D,4,0),0)</f>
        <v>0</v>
      </c>
      <c r="F108" s="33">
        <f>IFERROR(VLOOKUP(A108,[3]库存报告使用数据处理!$A:$E,5,0),0)</f>
        <v>0</v>
      </c>
      <c r="G108" s="33">
        <f>IFERROR(VLOOKUP(A108,[3]库存报告使用数据处理!$A:$F,6,0),0)</f>
        <v>0</v>
      </c>
      <c r="H108" s="34">
        <f>IFERROR(VLOOKUP(A108,[3]库存报告使用数据处理!$A:$G,7,0),0)</f>
        <v>0</v>
      </c>
      <c r="I108">
        <f>IFERROR(VLOOKUP(A108,[4]数据处理!$A:$B,2,0),0)</f>
        <v>8</v>
      </c>
      <c r="J108" s="36">
        <f>IFERROR(VLOOKUP(A108,[4]数据处理!$A:$D,4,0),0)</f>
        <v>0</v>
      </c>
      <c r="K108" s="36">
        <f>IFERROR(VLOOKUP(A108,[4]数据处理!$A:$E,5,0),0)</f>
        <v>0</v>
      </c>
      <c r="L108" s="36">
        <f>IFERROR(VLOOKUP(A108,[4]数据处理!$A:$G,7,0),0)</f>
        <v>0</v>
      </c>
      <c r="M108">
        <f t="shared" si="21"/>
        <v>8</v>
      </c>
      <c r="N108">
        <f>IFERROR(VLOOKUP(A108,[4]数据处理!$A:$C,3,0),0)</f>
        <v>0</v>
      </c>
      <c r="O108">
        <f>IFERROR(VLOOKUP($A108,[4]数据处理!$A:$N,14,0),0)</f>
        <v>8</v>
      </c>
      <c r="P108">
        <f>IFERROR(VLOOKUP($A108,[5]库存使用数据!$A:$B,2,0),"")</f>
        <v>261</v>
      </c>
      <c r="Q108">
        <f>IFERROR(VLOOKUP($A108,[5]库存使用数据!$A:$E,5,0),"")</f>
        <v>170</v>
      </c>
      <c r="R108">
        <f>IFERROR(VLOOKUP($A108,[5]库存使用数据!$A:$H,8,0),"")</f>
        <v>86</v>
      </c>
      <c r="S108">
        <f>IFERROR(VLOOKUP($A108,[5]库存使用数据!$A:$K,11,0),"")</f>
        <v>77</v>
      </c>
      <c r="T108">
        <f>IFERROR(VLOOKUP($A108,[5]库存使用数据!$A:$C,3,0),"")</f>
        <v>5</v>
      </c>
      <c r="U108">
        <f>IFERROR(VLOOKUP($A108,[5]库存使用数据!$A:$F,6,0),"")</f>
        <v>0</v>
      </c>
      <c r="V108">
        <f>IFERROR(VLOOKUP($A108,[5]库存使用数据!$A:$I,9,0),"")</f>
        <v>1</v>
      </c>
      <c r="W108">
        <f>IFERROR(VLOOKUP($A108,[5]库存使用数据!$A:$L,12,0),"")</f>
        <v>0</v>
      </c>
      <c r="X108" s="23">
        <f t="shared" si="26"/>
        <v>0.0191570881226054</v>
      </c>
      <c r="Y108" s="23">
        <f t="shared" si="27"/>
        <v>0</v>
      </c>
      <c r="Z108" s="23">
        <f t="shared" si="28"/>
        <v>0.0116279069767442</v>
      </c>
      <c r="AA108" s="23">
        <f t="shared" si="29"/>
        <v>0</v>
      </c>
      <c r="AB108">
        <f>IFERROR(VLOOKUP($A108,[5]库存使用数据!$A:$D,4,0),"")</f>
        <v>1.67</v>
      </c>
      <c r="AC108">
        <f>IFERROR(VLOOKUP($A108,[5]库存使用数据!$A:$G,7,0),"")</f>
        <v>0</v>
      </c>
      <c r="AD108">
        <f>IFERROR(VLOOKUP($A108,[5]库存使用数据!$A:$J,10,0),"")</f>
        <v>0.27</v>
      </c>
      <c r="AE108">
        <f>IFERROR(VLOOKUP($A108,[5]库存使用数据!$A:$M,13,0),"")</f>
        <v>0</v>
      </c>
      <c r="AF108" s="23" t="str">
        <f t="shared" si="30"/>
        <v>无销量广告费为1.67</v>
      </c>
      <c r="AG108" s="23" t="str">
        <f t="shared" si="31"/>
        <v/>
      </c>
      <c r="AH108" s="23" t="str">
        <f t="shared" si="32"/>
        <v>无销量广告费为0.27</v>
      </c>
      <c r="AI108" s="23" t="str">
        <f t="shared" si="33"/>
        <v/>
      </c>
      <c r="AJ108">
        <f>IFERROR(VLOOKUP($B108,[1]库存报告使用数据!$A$1:$B$65536,2,0),0)</f>
        <v>1</v>
      </c>
      <c r="AK108">
        <f>IFERROR(VLOOKUP($B108,[1]库存报告使用数据!$A$1:$C$65536,3,0),0)</f>
        <v>1</v>
      </c>
      <c r="AL108">
        <f>IFERROR(VLOOKUP($B108,[1]库存报告使用数据!$A$1:$D$65536,4,0),0)</f>
        <v>3</v>
      </c>
      <c r="AM108">
        <f>IFERROR(VLOOKUP($B108,[1]库存报告使用数据!$A$1:$E$65536,5,0),0)</f>
        <v>0</v>
      </c>
      <c r="AN108" s="23">
        <f t="shared" si="34"/>
        <v>0</v>
      </c>
      <c r="AO108" s="23">
        <f t="shared" si="35"/>
        <v>0</v>
      </c>
      <c r="AP108" s="23">
        <f t="shared" si="36"/>
        <v>0</v>
      </c>
      <c r="AQ108" s="23" t="str">
        <f t="shared" si="37"/>
        <v/>
      </c>
      <c r="AR108" s="38">
        <f t="shared" si="22"/>
        <v>0</v>
      </c>
      <c r="AS108" s="38">
        <f t="shared" si="23"/>
        <v>0</v>
      </c>
      <c r="AT108" s="38">
        <f t="shared" si="24"/>
        <v>8</v>
      </c>
      <c r="AU108" s="33" t="str">
        <f t="shared" si="25"/>
        <v>库存为8</v>
      </c>
      <c r="AV108" s="39" t="str">
        <f>IFERROR(时间!$B$4+AU108,"上周无销量")</f>
        <v>上周无销量</v>
      </c>
    </row>
    <row r="109" spans="1:48">
      <c r="A109" s="35" t="s">
        <v>154</v>
      </c>
      <c r="B109" t="str">
        <f>VLOOKUP(A109,'[2]sku-asin（子）'!$A:$B,2,0)</f>
        <v>B074CSCRF6</v>
      </c>
      <c r="C109" t="str">
        <f>VLOOKUP(A109,'[2]子sku-父sku'!$A:$B,2,0)</f>
        <v>N1709Y</v>
      </c>
      <c r="D109" s="33">
        <f>IFERROR(VLOOKUP(A109,[3]库存报告使用数据处理!$A:$C,3,0),0)</f>
        <v>0</v>
      </c>
      <c r="E109" s="33">
        <f>IFERROR(VLOOKUP(A109,[3]库存报告使用数据处理!$A:$D,4,0),0)</f>
        <v>0</v>
      </c>
      <c r="F109" s="33">
        <f>IFERROR(VLOOKUP(A109,[3]库存报告使用数据处理!$A:$E,5,0),0)</f>
        <v>0</v>
      </c>
      <c r="G109" s="33">
        <f>IFERROR(VLOOKUP(A109,[3]库存报告使用数据处理!$A:$F,6,0),0)</f>
        <v>0</v>
      </c>
      <c r="H109" s="34">
        <f>IFERROR(VLOOKUP(A109,[3]库存报告使用数据处理!$A:$G,7,0),0)</f>
        <v>0</v>
      </c>
      <c r="I109">
        <f>IFERROR(VLOOKUP(A109,[4]数据处理!$A:$B,2,0),0)</f>
        <v>3</v>
      </c>
      <c r="J109" s="36">
        <f>IFERROR(VLOOKUP(A109,[4]数据处理!$A:$D,4,0),0)</f>
        <v>0</v>
      </c>
      <c r="K109" s="36">
        <f>IFERROR(VLOOKUP(A109,[4]数据处理!$A:$E,5,0),0)</f>
        <v>0</v>
      </c>
      <c r="L109" s="36">
        <f>IFERROR(VLOOKUP(A109,[4]数据处理!$A:$G,7,0),0)</f>
        <v>0</v>
      </c>
      <c r="M109">
        <f t="shared" si="21"/>
        <v>3</v>
      </c>
      <c r="N109">
        <f>IFERROR(VLOOKUP(A109,[4]数据处理!$A:$C,3,0),0)</f>
        <v>0</v>
      </c>
      <c r="O109">
        <f>IFERROR(VLOOKUP($A109,[4]数据处理!$A:$N,14,0),0)</f>
        <v>3</v>
      </c>
      <c r="P109">
        <f>IFERROR(VLOOKUP($A109,[5]库存使用数据!$A:$B,2,0),"")</f>
        <v>0</v>
      </c>
      <c r="Q109">
        <f>IFERROR(VLOOKUP($A109,[5]库存使用数据!$A:$E,5,0),"")</f>
        <v>1</v>
      </c>
      <c r="R109">
        <f>IFERROR(VLOOKUP($A109,[5]库存使用数据!$A:$H,8,0),"")</f>
        <v>4</v>
      </c>
      <c r="S109">
        <f>IFERROR(VLOOKUP($A109,[5]库存使用数据!$A:$K,11,0),"")</f>
        <v>6</v>
      </c>
      <c r="T109">
        <f>IFERROR(VLOOKUP($A109,[5]库存使用数据!$A:$C,3,0),"")</f>
        <v>0</v>
      </c>
      <c r="U109">
        <f>IFERROR(VLOOKUP($A109,[5]库存使用数据!$A:$F,6,0),"")</f>
        <v>0</v>
      </c>
      <c r="V109">
        <f>IFERROR(VLOOKUP($A109,[5]库存使用数据!$A:$I,9,0),"")</f>
        <v>0</v>
      </c>
      <c r="W109">
        <f>IFERROR(VLOOKUP($A109,[5]库存使用数据!$A:$L,12,0),"")</f>
        <v>0</v>
      </c>
      <c r="X109" s="23" t="str">
        <f t="shared" si="26"/>
        <v/>
      </c>
      <c r="Y109" s="23">
        <f t="shared" si="27"/>
        <v>0</v>
      </c>
      <c r="Z109" s="23">
        <f t="shared" si="28"/>
        <v>0</v>
      </c>
      <c r="AA109" s="23">
        <f t="shared" si="29"/>
        <v>0</v>
      </c>
      <c r="AB109">
        <f>IFERROR(VLOOKUP($A109,[5]库存使用数据!$A:$D,4,0),"")</f>
        <v>0</v>
      </c>
      <c r="AC109">
        <f>IFERROR(VLOOKUP($A109,[5]库存使用数据!$A:$G,7,0),"")</f>
        <v>0</v>
      </c>
      <c r="AD109">
        <f>IFERROR(VLOOKUP($A109,[5]库存使用数据!$A:$J,10,0),"")</f>
        <v>0</v>
      </c>
      <c r="AE109">
        <f>IFERROR(VLOOKUP($A109,[5]库存使用数据!$A:$M,13,0),"")</f>
        <v>0</v>
      </c>
      <c r="AF109" s="23" t="str">
        <f t="shared" si="30"/>
        <v/>
      </c>
      <c r="AG109" s="23" t="str">
        <f t="shared" si="31"/>
        <v/>
      </c>
      <c r="AH109" s="23" t="str">
        <f t="shared" si="32"/>
        <v/>
      </c>
      <c r="AI109" s="23" t="str">
        <f t="shared" si="33"/>
        <v/>
      </c>
      <c r="AJ109">
        <f>IFERROR(VLOOKUP($B109,[1]库存报告使用数据!$A$1:$B$65536,2,0),0)</f>
        <v>1</v>
      </c>
      <c r="AK109">
        <f>IFERROR(VLOOKUP($B109,[1]库存报告使用数据!$A$1:$C$65536,3,0),0)</f>
        <v>2</v>
      </c>
      <c r="AL109">
        <f>IFERROR(VLOOKUP($B109,[1]库存报告使用数据!$A$1:$D$65536,4,0),0)</f>
        <v>0</v>
      </c>
      <c r="AM109">
        <f>IFERROR(VLOOKUP($B109,[1]库存报告使用数据!$A$1:$E$65536,5,0),0)</f>
        <v>0</v>
      </c>
      <c r="AN109" s="23">
        <f t="shared" si="34"/>
        <v>0</v>
      </c>
      <c r="AO109" s="23">
        <f t="shared" si="35"/>
        <v>0</v>
      </c>
      <c r="AP109" s="23" t="str">
        <f t="shared" si="36"/>
        <v/>
      </c>
      <c r="AQ109" s="23" t="str">
        <f t="shared" si="37"/>
        <v/>
      </c>
      <c r="AR109" s="38">
        <f t="shared" si="22"/>
        <v>0</v>
      </c>
      <c r="AS109" s="38">
        <f t="shared" si="23"/>
        <v>0</v>
      </c>
      <c r="AT109" s="38">
        <f t="shared" si="24"/>
        <v>3</v>
      </c>
      <c r="AU109" s="33" t="str">
        <f t="shared" si="25"/>
        <v>库存为3</v>
      </c>
      <c r="AV109" s="39" t="str">
        <f>IFERROR(时间!$B$4+AU109,"上周无销量")</f>
        <v>上周无销量</v>
      </c>
    </row>
    <row r="110" spans="1:48">
      <c r="A110" s="35" t="s">
        <v>155</v>
      </c>
      <c r="B110" t="str">
        <f>VLOOKUP(A110,'[2]sku-asin（子）'!$A:$B,2,0)</f>
        <v>B074DVZPS8</v>
      </c>
      <c r="C110" t="str">
        <f>VLOOKUP(A110,'[2]子sku-父sku'!$A:$B,2,0)</f>
        <v>N1709Y</v>
      </c>
      <c r="D110" s="33">
        <f>IFERROR(VLOOKUP(A110,[3]库存报告使用数据处理!$A:$C,3,0),0)</f>
        <v>0</v>
      </c>
      <c r="E110" s="33">
        <f>IFERROR(VLOOKUP(A110,[3]库存报告使用数据处理!$A:$D,4,0),0)</f>
        <v>0</v>
      </c>
      <c r="F110" s="33">
        <f>IFERROR(VLOOKUP(A110,[3]库存报告使用数据处理!$A:$E,5,0),0)</f>
        <v>0</v>
      </c>
      <c r="G110" s="33">
        <f>IFERROR(VLOOKUP(A110,[3]库存报告使用数据处理!$A:$F,6,0),0)</f>
        <v>0</v>
      </c>
      <c r="H110" s="34">
        <f>IFERROR(VLOOKUP(A110,[3]库存报告使用数据处理!$A:$G,7,0),0)</f>
        <v>0</v>
      </c>
      <c r="I110">
        <f>IFERROR(VLOOKUP(A110,[4]数据处理!$A:$B,2,0),0)</f>
        <v>2</v>
      </c>
      <c r="J110" s="36">
        <f>IFERROR(VLOOKUP(A110,[4]数据处理!$A:$D,4,0),0)</f>
        <v>0</v>
      </c>
      <c r="K110" s="36">
        <f>IFERROR(VLOOKUP(A110,[4]数据处理!$A:$E,5,0),0)</f>
        <v>0</v>
      </c>
      <c r="L110" s="36">
        <f>IFERROR(VLOOKUP(A110,[4]数据处理!$A:$G,7,0),0)</f>
        <v>0</v>
      </c>
      <c r="M110">
        <f t="shared" si="21"/>
        <v>2</v>
      </c>
      <c r="N110">
        <f>IFERROR(VLOOKUP(A110,[4]数据处理!$A:$C,3,0),0)</f>
        <v>0</v>
      </c>
      <c r="O110">
        <f>IFERROR(VLOOKUP($A110,[4]数据处理!$A:$N,14,0),0)</f>
        <v>2</v>
      </c>
      <c r="P110">
        <f>IFERROR(VLOOKUP($A110,[5]库存使用数据!$A:$B,2,0),"")</f>
        <v>454</v>
      </c>
      <c r="Q110">
        <f>IFERROR(VLOOKUP($A110,[5]库存使用数据!$A:$E,5,0),"")</f>
        <v>208</v>
      </c>
      <c r="R110">
        <f>IFERROR(VLOOKUP($A110,[5]库存使用数据!$A:$H,8,0),"")</f>
        <v>141</v>
      </c>
      <c r="S110">
        <f>IFERROR(VLOOKUP($A110,[5]库存使用数据!$A:$K,11,0),"")</f>
        <v>96</v>
      </c>
      <c r="T110">
        <f>IFERROR(VLOOKUP($A110,[5]库存使用数据!$A:$C,3,0),"")</f>
        <v>0</v>
      </c>
      <c r="U110">
        <f>IFERROR(VLOOKUP($A110,[5]库存使用数据!$A:$F,6,0),"")</f>
        <v>1</v>
      </c>
      <c r="V110">
        <f>IFERROR(VLOOKUP($A110,[5]库存使用数据!$A:$I,9,0),"")</f>
        <v>0</v>
      </c>
      <c r="W110">
        <f>IFERROR(VLOOKUP($A110,[5]库存使用数据!$A:$L,12,0),"")</f>
        <v>0</v>
      </c>
      <c r="X110" s="23">
        <f t="shared" si="26"/>
        <v>0</v>
      </c>
      <c r="Y110" s="23">
        <f t="shared" si="27"/>
        <v>0.00480769230769231</v>
      </c>
      <c r="Z110" s="23">
        <f t="shared" si="28"/>
        <v>0</v>
      </c>
      <c r="AA110" s="23">
        <f t="shared" si="29"/>
        <v>0</v>
      </c>
      <c r="AB110">
        <f>IFERROR(VLOOKUP($A110,[5]库存使用数据!$A:$D,4,0),"")</f>
        <v>0</v>
      </c>
      <c r="AC110">
        <f>IFERROR(VLOOKUP($A110,[5]库存使用数据!$A:$G,7,0),"")</f>
        <v>0.04</v>
      </c>
      <c r="AD110">
        <f>IFERROR(VLOOKUP($A110,[5]库存使用数据!$A:$J,10,0),"")</f>
        <v>0</v>
      </c>
      <c r="AE110">
        <f>IFERROR(VLOOKUP($A110,[5]库存使用数据!$A:$M,13,0),"")</f>
        <v>0</v>
      </c>
      <c r="AF110" s="23" t="str">
        <f t="shared" si="30"/>
        <v/>
      </c>
      <c r="AG110" s="23" t="str">
        <f t="shared" si="31"/>
        <v>无销量广告费为0.04</v>
      </c>
      <c r="AH110" s="23" t="str">
        <f t="shared" si="32"/>
        <v/>
      </c>
      <c r="AI110" s="23" t="str">
        <f t="shared" si="33"/>
        <v/>
      </c>
      <c r="AJ110">
        <f>IFERROR(VLOOKUP($B110,[1]库存报告使用数据!$A$1:$B$65536,2,0),0)</f>
        <v>1</v>
      </c>
      <c r="AK110">
        <f>IFERROR(VLOOKUP($B110,[1]库存报告使用数据!$A$1:$C$65536,3,0),0)</f>
        <v>1</v>
      </c>
      <c r="AL110">
        <f>IFERROR(VLOOKUP($B110,[1]库存报告使用数据!$A$1:$D$65536,4,0),0)</f>
        <v>1</v>
      </c>
      <c r="AM110">
        <f>IFERROR(VLOOKUP($B110,[1]库存报告使用数据!$A$1:$E$65536,5,0),0)</f>
        <v>0</v>
      </c>
      <c r="AN110" s="23">
        <f t="shared" si="34"/>
        <v>0</v>
      </c>
      <c r="AO110" s="23">
        <f t="shared" si="35"/>
        <v>0</v>
      </c>
      <c r="AP110" s="23">
        <f t="shared" si="36"/>
        <v>0</v>
      </c>
      <c r="AQ110" s="23" t="str">
        <f t="shared" si="37"/>
        <v/>
      </c>
      <c r="AR110" s="38">
        <f t="shared" si="22"/>
        <v>0</v>
      </c>
      <c r="AS110" s="38">
        <f t="shared" si="23"/>
        <v>0</v>
      </c>
      <c r="AT110" s="38">
        <f t="shared" si="24"/>
        <v>2</v>
      </c>
      <c r="AU110" s="33" t="str">
        <f t="shared" si="25"/>
        <v>库存为2</v>
      </c>
      <c r="AV110" s="39" t="str">
        <f>IFERROR(时间!$B$4+AU110,"上周无销量")</f>
        <v>上周无销量</v>
      </c>
    </row>
    <row r="111" spans="1:48">
      <c r="A111" s="35" t="s">
        <v>156</v>
      </c>
      <c r="B111" t="str">
        <f>VLOOKUP(A111,'[2]sku-asin（子）'!$A:$B,2,0)</f>
        <v>B074DWGDMH</v>
      </c>
      <c r="C111" t="str">
        <f>VLOOKUP(A111,'[2]子sku-父sku'!$A:$B,2,0)</f>
        <v>N1709Y</v>
      </c>
      <c r="D111" s="33">
        <f>IFERROR(VLOOKUP(A111,[3]库存报告使用数据处理!$A:$C,3,0),0)</f>
        <v>0</v>
      </c>
      <c r="E111" s="33">
        <f>IFERROR(VLOOKUP(A111,[3]库存报告使用数据处理!$A:$D,4,0),0)</f>
        <v>0</v>
      </c>
      <c r="F111" s="33">
        <f>IFERROR(VLOOKUP(A111,[3]库存报告使用数据处理!$A:$E,5,0),0)</f>
        <v>0</v>
      </c>
      <c r="G111" s="33">
        <f>IFERROR(VLOOKUP(A111,[3]库存报告使用数据处理!$A:$F,6,0),0)</f>
        <v>0</v>
      </c>
      <c r="H111" s="34">
        <f>IFERROR(VLOOKUP(A111,[3]库存报告使用数据处理!$A:$G,7,0),0)</f>
        <v>0</v>
      </c>
      <c r="I111">
        <f>IFERROR(VLOOKUP(A111,[4]数据处理!$A:$B,2,0),0)</f>
        <v>1</v>
      </c>
      <c r="J111" s="36">
        <f>IFERROR(VLOOKUP(A111,[4]数据处理!$A:$D,4,0),0)</f>
        <v>0</v>
      </c>
      <c r="K111" s="36">
        <f>IFERROR(VLOOKUP(A111,[4]数据处理!$A:$E,5,0),0)</f>
        <v>0</v>
      </c>
      <c r="L111" s="36">
        <f>IFERROR(VLOOKUP(A111,[4]数据处理!$A:$G,7,0),0)</f>
        <v>0</v>
      </c>
      <c r="M111">
        <f t="shared" si="21"/>
        <v>1</v>
      </c>
      <c r="N111">
        <f>IFERROR(VLOOKUP(A111,[4]数据处理!$A:$C,3,0),0)</f>
        <v>0</v>
      </c>
      <c r="O111">
        <f>IFERROR(VLOOKUP($A111,[4]数据处理!$A:$N,14,0),0)</f>
        <v>1</v>
      </c>
      <c r="P111">
        <f>IFERROR(VLOOKUP($A111,[5]库存使用数据!$A:$B,2,0),"")</f>
        <v>84</v>
      </c>
      <c r="Q111">
        <f>IFERROR(VLOOKUP($A111,[5]库存使用数据!$A:$E,5,0),"")</f>
        <v>86</v>
      </c>
      <c r="R111">
        <f>IFERROR(VLOOKUP($A111,[5]库存使用数据!$A:$H,8,0),"")</f>
        <v>105</v>
      </c>
      <c r="S111">
        <f>IFERROR(VLOOKUP($A111,[5]库存使用数据!$A:$K,11,0),"")</f>
        <v>145</v>
      </c>
      <c r="T111">
        <f>IFERROR(VLOOKUP($A111,[5]库存使用数据!$A:$C,3,0),"")</f>
        <v>1</v>
      </c>
      <c r="U111">
        <f>IFERROR(VLOOKUP($A111,[5]库存使用数据!$A:$F,6,0),"")</f>
        <v>0</v>
      </c>
      <c r="V111">
        <f>IFERROR(VLOOKUP($A111,[5]库存使用数据!$A:$I,9,0),"")</f>
        <v>0</v>
      </c>
      <c r="W111">
        <f>IFERROR(VLOOKUP($A111,[5]库存使用数据!$A:$L,12,0),"")</f>
        <v>0</v>
      </c>
      <c r="X111" s="23">
        <f t="shared" si="26"/>
        <v>0.0119047619047619</v>
      </c>
      <c r="Y111" s="23">
        <f t="shared" si="27"/>
        <v>0</v>
      </c>
      <c r="Z111" s="23">
        <f t="shared" si="28"/>
        <v>0</v>
      </c>
      <c r="AA111" s="23">
        <f t="shared" si="29"/>
        <v>0</v>
      </c>
      <c r="AB111">
        <f>IFERROR(VLOOKUP($A111,[5]库存使用数据!$A:$D,4,0),"")</f>
        <v>0.02</v>
      </c>
      <c r="AC111">
        <f>IFERROR(VLOOKUP($A111,[5]库存使用数据!$A:$G,7,0),"")</f>
        <v>0</v>
      </c>
      <c r="AD111">
        <f>IFERROR(VLOOKUP($A111,[5]库存使用数据!$A:$J,10,0),"")</f>
        <v>0</v>
      </c>
      <c r="AE111">
        <f>IFERROR(VLOOKUP($A111,[5]库存使用数据!$A:$M,13,0),"")</f>
        <v>0</v>
      </c>
      <c r="AF111" s="23" t="str">
        <f t="shared" si="30"/>
        <v>无销量广告费为0.02</v>
      </c>
      <c r="AG111" s="23" t="str">
        <f t="shared" si="31"/>
        <v/>
      </c>
      <c r="AH111" s="23" t="str">
        <f t="shared" si="32"/>
        <v/>
      </c>
      <c r="AI111" s="23" t="str">
        <f t="shared" si="33"/>
        <v/>
      </c>
      <c r="AJ111">
        <f>IFERROR(VLOOKUP($B111,[1]库存报告使用数据!$A$1:$B$65536,2,0),0)</f>
        <v>1</v>
      </c>
      <c r="AK111">
        <f>IFERROR(VLOOKUP($B111,[1]库存报告使用数据!$A$1:$C$65536,3,0),0)</f>
        <v>0</v>
      </c>
      <c r="AL111">
        <f>IFERROR(VLOOKUP($B111,[1]库存报告使用数据!$A$1:$D$65536,4,0),0)</f>
        <v>0</v>
      </c>
      <c r="AM111">
        <f>IFERROR(VLOOKUP($B111,[1]库存报告使用数据!$A$1:$E$65536,5,0),0)</f>
        <v>1</v>
      </c>
      <c r="AN111" s="23">
        <f t="shared" si="34"/>
        <v>0</v>
      </c>
      <c r="AO111" s="23" t="str">
        <f t="shared" si="35"/>
        <v/>
      </c>
      <c r="AP111" s="23" t="str">
        <f t="shared" si="36"/>
        <v/>
      </c>
      <c r="AQ111" s="23">
        <f t="shared" si="37"/>
        <v>0</v>
      </c>
      <c r="AR111" s="38">
        <f t="shared" si="22"/>
        <v>0</v>
      </c>
      <c r="AS111" s="38">
        <f t="shared" si="23"/>
        <v>0</v>
      </c>
      <c r="AT111" s="38">
        <f t="shared" si="24"/>
        <v>1</v>
      </c>
      <c r="AU111" s="33" t="str">
        <f t="shared" si="25"/>
        <v>库存为1</v>
      </c>
      <c r="AV111" s="39" t="str">
        <f>IFERROR(时间!$B$4+AU111,"上周无销量")</f>
        <v>上周无销量</v>
      </c>
    </row>
    <row r="112" spans="1:48">
      <c r="A112" s="35" t="s">
        <v>157</v>
      </c>
      <c r="B112" t="str">
        <f>VLOOKUP(A112,'[2]sku-asin（子）'!$A:$B,2,0)</f>
        <v>B074DWBXBD</v>
      </c>
      <c r="C112" t="str">
        <f>VLOOKUP(A112,'[2]子sku-父sku'!$A:$B,2,0)</f>
        <v>N1709Y</v>
      </c>
      <c r="D112" s="33">
        <f>IFERROR(VLOOKUP(A112,[3]库存报告使用数据处理!$A:$C,3,0),0)</f>
        <v>0</v>
      </c>
      <c r="E112" s="33">
        <f>IFERROR(VLOOKUP(A112,[3]库存报告使用数据处理!$A:$D,4,0),0)</f>
        <v>0</v>
      </c>
      <c r="F112" s="33">
        <f>IFERROR(VLOOKUP(A112,[3]库存报告使用数据处理!$A:$E,5,0),0)</f>
        <v>0</v>
      </c>
      <c r="G112" s="33">
        <f>IFERROR(VLOOKUP(A112,[3]库存报告使用数据处理!$A:$F,6,0),0)</f>
        <v>0</v>
      </c>
      <c r="H112" s="34">
        <f>IFERROR(VLOOKUP(A112,[3]库存报告使用数据处理!$A:$G,7,0),0)</f>
        <v>0</v>
      </c>
      <c r="I112">
        <f>IFERROR(VLOOKUP(A112,[4]数据处理!$A:$B,2,0),0)</f>
        <v>2</v>
      </c>
      <c r="J112" s="36">
        <f>IFERROR(VLOOKUP(A112,[4]数据处理!$A:$D,4,0),0)</f>
        <v>0</v>
      </c>
      <c r="K112" s="36">
        <f>IFERROR(VLOOKUP(A112,[4]数据处理!$A:$E,5,0),0)</f>
        <v>0</v>
      </c>
      <c r="L112" s="36">
        <f>IFERROR(VLOOKUP(A112,[4]数据处理!$A:$G,7,0),0)</f>
        <v>0</v>
      </c>
      <c r="M112">
        <f t="shared" si="21"/>
        <v>2</v>
      </c>
      <c r="N112">
        <f>IFERROR(VLOOKUP(A112,[4]数据处理!$A:$C,3,0),0)</f>
        <v>0</v>
      </c>
      <c r="O112">
        <f>IFERROR(VLOOKUP($A112,[4]数据处理!$A:$N,14,0),0)</f>
        <v>2</v>
      </c>
      <c r="P112">
        <f>IFERROR(VLOOKUP($A112,[5]库存使用数据!$A:$B,2,0),"")</f>
        <v>863</v>
      </c>
      <c r="Q112">
        <f>IFERROR(VLOOKUP($A112,[5]库存使用数据!$A:$E,5,0),"")</f>
        <v>1288</v>
      </c>
      <c r="R112">
        <f>IFERROR(VLOOKUP($A112,[5]库存使用数据!$A:$H,8,0),"")</f>
        <v>1184</v>
      </c>
      <c r="S112">
        <f>IFERROR(VLOOKUP($A112,[5]库存使用数据!$A:$K,11,0),"")</f>
        <v>812</v>
      </c>
      <c r="T112">
        <f>IFERROR(VLOOKUP($A112,[5]库存使用数据!$A:$C,3,0),"")</f>
        <v>2</v>
      </c>
      <c r="U112">
        <f>IFERROR(VLOOKUP($A112,[5]库存使用数据!$A:$F,6,0),"")</f>
        <v>3</v>
      </c>
      <c r="V112">
        <f>IFERROR(VLOOKUP($A112,[5]库存使用数据!$A:$I,9,0),"")</f>
        <v>3</v>
      </c>
      <c r="W112">
        <f>IFERROR(VLOOKUP($A112,[5]库存使用数据!$A:$L,12,0),"")</f>
        <v>2</v>
      </c>
      <c r="X112" s="23">
        <f t="shared" si="26"/>
        <v>0.00231749710312862</v>
      </c>
      <c r="Y112" s="23">
        <f t="shared" si="27"/>
        <v>0.00232919254658385</v>
      </c>
      <c r="Z112" s="23">
        <f t="shared" si="28"/>
        <v>0.00253378378378378</v>
      </c>
      <c r="AA112" s="23">
        <f t="shared" si="29"/>
        <v>0.00246305418719212</v>
      </c>
      <c r="AB112">
        <f>IFERROR(VLOOKUP($A112,[5]库存使用数据!$A:$D,4,0),"")</f>
        <v>0.46</v>
      </c>
      <c r="AC112">
        <f>IFERROR(VLOOKUP($A112,[5]库存使用数据!$A:$G,7,0),"")</f>
        <v>0.85</v>
      </c>
      <c r="AD112">
        <f>IFERROR(VLOOKUP($A112,[5]库存使用数据!$A:$J,10,0),"")</f>
        <v>0.24</v>
      </c>
      <c r="AE112">
        <f>IFERROR(VLOOKUP($A112,[5]库存使用数据!$A:$M,13,0),"")</f>
        <v>0.41</v>
      </c>
      <c r="AF112" s="23" t="str">
        <f t="shared" si="30"/>
        <v>无销量广告费为0.46</v>
      </c>
      <c r="AG112" s="23" t="str">
        <f t="shared" si="31"/>
        <v>无销量广告费为0.85</v>
      </c>
      <c r="AH112" s="23" t="str">
        <f t="shared" si="32"/>
        <v>无销量广告费为0.24</v>
      </c>
      <c r="AI112" s="23" t="str">
        <f t="shared" si="33"/>
        <v>无销量广告费为0.41</v>
      </c>
      <c r="AJ112">
        <f>IFERROR(VLOOKUP($B112,[1]库存报告使用数据!$A$1:$B$65536,2,0),0)</f>
        <v>2</v>
      </c>
      <c r="AK112">
        <f>IFERROR(VLOOKUP($B112,[1]库存报告使用数据!$A$1:$C$65536,3,0),0)</f>
        <v>2</v>
      </c>
      <c r="AL112">
        <f>IFERROR(VLOOKUP($B112,[1]库存报告使用数据!$A$1:$D$65536,4,0),0)</f>
        <v>1</v>
      </c>
      <c r="AM112">
        <f>IFERROR(VLOOKUP($B112,[1]库存报告使用数据!$A$1:$E$65536,5,0),0)</f>
        <v>3</v>
      </c>
      <c r="AN112" s="23">
        <f t="shared" si="34"/>
        <v>0</v>
      </c>
      <c r="AO112" s="23">
        <f t="shared" si="35"/>
        <v>0</v>
      </c>
      <c r="AP112" s="23">
        <f t="shared" si="36"/>
        <v>0</v>
      </c>
      <c r="AQ112" s="23">
        <f t="shared" si="37"/>
        <v>0</v>
      </c>
      <c r="AR112" s="38">
        <f t="shared" si="22"/>
        <v>0</v>
      </c>
      <c r="AS112" s="38">
        <f t="shared" si="23"/>
        <v>0</v>
      </c>
      <c r="AT112" s="38">
        <f t="shared" si="24"/>
        <v>2</v>
      </c>
      <c r="AU112" s="33" t="str">
        <f t="shared" si="25"/>
        <v>库存为2</v>
      </c>
      <c r="AV112" s="39" t="str">
        <f>IFERROR(时间!$B$4+AU112,"上周无销量")</f>
        <v>上周无销量</v>
      </c>
    </row>
    <row r="113" spans="1:48">
      <c r="A113" s="35" t="s">
        <v>158</v>
      </c>
      <c r="B113" t="str">
        <f>VLOOKUP(A113,'[2]sku-asin（子）'!$A:$B,2,0)</f>
        <v>B074DVVVVP</v>
      </c>
      <c r="C113" t="str">
        <f>VLOOKUP(A113,'[2]子sku-父sku'!$A:$B,2,0)</f>
        <v>N2033Y</v>
      </c>
      <c r="D113" s="33">
        <f>IFERROR(VLOOKUP(A113,[3]库存报告使用数据处理!$A:$C,3,0),0)</f>
        <v>0</v>
      </c>
      <c r="E113" s="33">
        <f>IFERROR(VLOOKUP(A113,[3]库存报告使用数据处理!$A:$D,4,0),0)</f>
        <v>0</v>
      </c>
      <c r="F113" s="33">
        <f>IFERROR(VLOOKUP(A113,[3]库存报告使用数据处理!$A:$E,5,0),0)</f>
        <v>0</v>
      </c>
      <c r="G113" s="33">
        <f>IFERROR(VLOOKUP(A113,[3]库存报告使用数据处理!$A:$F,6,0),0)</f>
        <v>0</v>
      </c>
      <c r="H113" s="34">
        <f>IFERROR(VLOOKUP(A113,[3]库存报告使用数据处理!$A:$G,7,0),0)</f>
        <v>0</v>
      </c>
      <c r="I113">
        <f>IFERROR(VLOOKUP(A113,[4]数据处理!$A:$B,2,0),0)</f>
        <v>1</v>
      </c>
      <c r="J113" s="36">
        <f>IFERROR(VLOOKUP(A113,[4]数据处理!$A:$D,4,0),0)</f>
        <v>0</v>
      </c>
      <c r="K113" s="36">
        <f>IFERROR(VLOOKUP(A113,[4]数据处理!$A:$E,5,0),0)</f>
        <v>0</v>
      </c>
      <c r="L113" s="36">
        <f>IFERROR(VLOOKUP(A113,[4]数据处理!$A:$G,7,0),0)</f>
        <v>0</v>
      </c>
      <c r="M113">
        <f t="shared" si="21"/>
        <v>1</v>
      </c>
      <c r="N113">
        <f>IFERROR(VLOOKUP(A113,[4]数据处理!$A:$C,3,0),0)</f>
        <v>0</v>
      </c>
      <c r="O113">
        <f>IFERROR(VLOOKUP($A113,[4]数据处理!$A:$N,14,0),0)</f>
        <v>1</v>
      </c>
      <c r="P113">
        <f>IFERROR(VLOOKUP($A113,[5]库存使用数据!$A:$B,2,0),"")</f>
        <v>20</v>
      </c>
      <c r="Q113">
        <f>IFERROR(VLOOKUP($A113,[5]库存使用数据!$A:$E,5,0),"")</f>
        <v>126</v>
      </c>
      <c r="R113">
        <f>IFERROR(VLOOKUP($A113,[5]库存使用数据!$A:$H,8,0),"")</f>
        <v>7</v>
      </c>
      <c r="S113">
        <f>IFERROR(VLOOKUP($A113,[5]库存使用数据!$A:$K,11,0),"")</f>
        <v>7</v>
      </c>
      <c r="T113">
        <f>IFERROR(VLOOKUP($A113,[5]库存使用数据!$A:$C,3,0),"")</f>
        <v>0</v>
      </c>
      <c r="U113">
        <f>IFERROR(VLOOKUP($A113,[5]库存使用数据!$A:$F,6,0),"")</f>
        <v>0</v>
      </c>
      <c r="V113">
        <f>IFERROR(VLOOKUP($A113,[5]库存使用数据!$A:$I,9,0),"")</f>
        <v>0</v>
      </c>
      <c r="W113">
        <f>IFERROR(VLOOKUP($A113,[5]库存使用数据!$A:$L,12,0),"")</f>
        <v>0</v>
      </c>
      <c r="X113" s="23">
        <f t="shared" si="26"/>
        <v>0</v>
      </c>
      <c r="Y113" s="23">
        <f t="shared" si="27"/>
        <v>0</v>
      </c>
      <c r="Z113" s="23">
        <f t="shared" si="28"/>
        <v>0</v>
      </c>
      <c r="AA113" s="23">
        <f t="shared" si="29"/>
        <v>0</v>
      </c>
      <c r="AB113">
        <f>IFERROR(VLOOKUP($A113,[5]库存使用数据!$A:$D,4,0),"")</f>
        <v>0</v>
      </c>
      <c r="AC113">
        <f>IFERROR(VLOOKUP($A113,[5]库存使用数据!$A:$G,7,0),"")</f>
        <v>0</v>
      </c>
      <c r="AD113">
        <f>IFERROR(VLOOKUP($A113,[5]库存使用数据!$A:$J,10,0),"")</f>
        <v>0</v>
      </c>
      <c r="AE113">
        <f>IFERROR(VLOOKUP($A113,[5]库存使用数据!$A:$M,13,0),"")</f>
        <v>0</v>
      </c>
      <c r="AF113" s="23" t="str">
        <f t="shared" si="30"/>
        <v/>
      </c>
      <c r="AG113" s="23" t="str">
        <f t="shared" si="31"/>
        <v/>
      </c>
      <c r="AH113" s="23" t="str">
        <f t="shared" si="32"/>
        <v/>
      </c>
      <c r="AI113" s="23" t="str">
        <f t="shared" si="33"/>
        <v/>
      </c>
      <c r="AJ113">
        <f>IFERROR(VLOOKUP($B113,[1]库存报告使用数据!$A$1:$B$65536,2,0),0)</f>
        <v>1</v>
      </c>
      <c r="AK113">
        <f>IFERROR(VLOOKUP($B113,[1]库存报告使用数据!$A$1:$C$65536,3,0),0)</f>
        <v>0</v>
      </c>
      <c r="AL113">
        <f>IFERROR(VLOOKUP($B113,[1]库存报告使用数据!$A$1:$D$65536,4,0),0)</f>
        <v>0</v>
      </c>
      <c r="AM113">
        <f>IFERROR(VLOOKUP($B113,[1]库存报告使用数据!$A$1:$E$65536,5,0),0)</f>
        <v>2</v>
      </c>
      <c r="AN113" s="23">
        <f t="shared" si="34"/>
        <v>0</v>
      </c>
      <c r="AO113" s="23" t="str">
        <f t="shared" si="35"/>
        <v/>
      </c>
      <c r="AP113" s="23" t="str">
        <f t="shared" si="36"/>
        <v/>
      </c>
      <c r="AQ113" s="23">
        <f t="shared" si="37"/>
        <v>0</v>
      </c>
      <c r="AR113" s="38">
        <f t="shared" si="22"/>
        <v>0</v>
      </c>
      <c r="AS113" s="38">
        <f t="shared" si="23"/>
        <v>0</v>
      </c>
      <c r="AT113" s="38">
        <f t="shared" si="24"/>
        <v>1</v>
      </c>
      <c r="AU113" s="33" t="str">
        <f t="shared" si="25"/>
        <v>库存为1</v>
      </c>
      <c r="AV113" s="39" t="str">
        <f>IFERROR(时间!$B$4+AU113,"上周无销量")</f>
        <v>上周无销量</v>
      </c>
    </row>
    <row r="114" spans="1:48">
      <c r="A114" s="35" t="s">
        <v>159</v>
      </c>
      <c r="B114" t="str">
        <f>VLOOKUP(A114,'[2]sku-asin（子）'!$A:$B,2,0)</f>
        <v>B074DVCJDR</v>
      </c>
      <c r="C114" t="str">
        <f>VLOOKUP(A114,'[2]子sku-父sku'!$A:$B,2,0)</f>
        <v>N2033Y</v>
      </c>
      <c r="D114" s="33">
        <f>IFERROR(VLOOKUP(A114,[3]库存报告使用数据处理!$A:$C,3,0),0)</f>
        <v>0</v>
      </c>
      <c r="E114" s="33">
        <f>IFERROR(VLOOKUP(A114,[3]库存报告使用数据处理!$A:$D,4,0),0)</f>
        <v>0</v>
      </c>
      <c r="F114" s="33">
        <f>IFERROR(VLOOKUP(A114,[3]库存报告使用数据处理!$A:$E,5,0),0)</f>
        <v>0</v>
      </c>
      <c r="G114" s="33">
        <f>IFERROR(VLOOKUP(A114,[3]库存报告使用数据处理!$A:$F,6,0),0)</f>
        <v>0</v>
      </c>
      <c r="H114" s="34">
        <f>IFERROR(VLOOKUP(A114,[3]库存报告使用数据处理!$A:$G,7,0),0)</f>
        <v>0</v>
      </c>
      <c r="I114">
        <f>IFERROR(VLOOKUP(A114,[4]数据处理!$A:$B,2,0),0)</f>
        <v>1</v>
      </c>
      <c r="J114" s="36">
        <f>IFERROR(VLOOKUP(A114,[4]数据处理!$A:$D,4,0),0)</f>
        <v>0</v>
      </c>
      <c r="K114" s="36">
        <f>IFERROR(VLOOKUP(A114,[4]数据处理!$A:$E,5,0),0)</f>
        <v>0</v>
      </c>
      <c r="L114" s="36">
        <f>IFERROR(VLOOKUP(A114,[4]数据处理!$A:$G,7,0),0)</f>
        <v>0</v>
      </c>
      <c r="M114">
        <f t="shared" si="21"/>
        <v>1</v>
      </c>
      <c r="N114">
        <f>IFERROR(VLOOKUP(A114,[4]数据处理!$A:$C,3,0),0)</f>
        <v>0</v>
      </c>
      <c r="O114">
        <f>IFERROR(VLOOKUP($A114,[4]数据处理!$A:$N,14,0),0)</f>
        <v>1</v>
      </c>
      <c r="P114">
        <f>IFERROR(VLOOKUP($A114,[5]库存使用数据!$A:$B,2,0),"")</f>
        <v>17</v>
      </c>
      <c r="Q114">
        <f>IFERROR(VLOOKUP($A114,[5]库存使用数据!$A:$E,5,0),"")</f>
        <v>78</v>
      </c>
      <c r="R114">
        <f>IFERROR(VLOOKUP($A114,[5]库存使用数据!$A:$H,8,0),"")</f>
        <v>23</v>
      </c>
      <c r="S114">
        <f>IFERROR(VLOOKUP($A114,[5]库存使用数据!$A:$K,11,0),"")</f>
        <v>100</v>
      </c>
      <c r="T114">
        <f>IFERROR(VLOOKUP($A114,[5]库存使用数据!$A:$C,3,0),"")</f>
        <v>0</v>
      </c>
      <c r="U114">
        <f>IFERROR(VLOOKUP($A114,[5]库存使用数据!$A:$F,6,0),"")</f>
        <v>0</v>
      </c>
      <c r="V114">
        <f>IFERROR(VLOOKUP($A114,[5]库存使用数据!$A:$I,9,0),"")</f>
        <v>0</v>
      </c>
      <c r="W114">
        <f>IFERROR(VLOOKUP($A114,[5]库存使用数据!$A:$L,12,0),"")</f>
        <v>0</v>
      </c>
      <c r="X114" s="23">
        <f t="shared" si="26"/>
        <v>0</v>
      </c>
      <c r="Y114" s="23">
        <f t="shared" si="27"/>
        <v>0</v>
      </c>
      <c r="Z114" s="23">
        <f t="shared" si="28"/>
        <v>0</v>
      </c>
      <c r="AA114" s="23">
        <f t="shared" si="29"/>
        <v>0</v>
      </c>
      <c r="AB114">
        <f>IFERROR(VLOOKUP($A114,[5]库存使用数据!$A:$D,4,0),"")</f>
        <v>0</v>
      </c>
      <c r="AC114">
        <f>IFERROR(VLOOKUP($A114,[5]库存使用数据!$A:$G,7,0),"")</f>
        <v>0</v>
      </c>
      <c r="AD114">
        <f>IFERROR(VLOOKUP($A114,[5]库存使用数据!$A:$J,10,0),"")</f>
        <v>0</v>
      </c>
      <c r="AE114">
        <f>IFERROR(VLOOKUP($A114,[5]库存使用数据!$A:$M,13,0),"")</f>
        <v>0</v>
      </c>
      <c r="AF114" s="23" t="str">
        <f t="shared" si="30"/>
        <v/>
      </c>
      <c r="AG114" s="23" t="str">
        <f t="shared" si="31"/>
        <v/>
      </c>
      <c r="AH114" s="23" t="str">
        <f t="shared" si="32"/>
        <v/>
      </c>
      <c r="AI114" s="23" t="str">
        <f t="shared" si="33"/>
        <v/>
      </c>
      <c r="AJ114">
        <f>IFERROR(VLOOKUP($B114,[1]库存报告使用数据!$A$1:$B$65536,2,0),0)</f>
        <v>2</v>
      </c>
      <c r="AK114">
        <f>IFERROR(VLOOKUP($B114,[1]库存报告使用数据!$A$1:$C$65536,3,0),0)</f>
        <v>3</v>
      </c>
      <c r="AL114">
        <f>IFERROR(VLOOKUP($B114,[1]库存报告使用数据!$A$1:$D$65536,4,0),0)</f>
        <v>1</v>
      </c>
      <c r="AM114">
        <f>IFERROR(VLOOKUP($B114,[1]库存报告使用数据!$A$1:$E$65536,5,0),0)</f>
        <v>2</v>
      </c>
      <c r="AN114" s="23">
        <f t="shared" si="34"/>
        <v>0</v>
      </c>
      <c r="AO114" s="23">
        <f t="shared" si="35"/>
        <v>0</v>
      </c>
      <c r="AP114" s="23">
        <f t="shared" si="36"/>
        <v>0</v>
      </c>
      <c r="AQ114" s="23">
        <f t="shared" si="37"/>
        <v>0</v>
      </c>
      <c r="AR114" s="38">
        <f t="shared" si="22"/>
        <v>0</v>
      </c>
      <c r="AS114" s="38">
        <f t="shared" si="23"/>
        <v>0</v>
      </c>
      <c r="AT114" s="38">
        <f t="shared" si="24"/>
        <v>1</v>
      </c>
      <c r="AU114" s="33" t="str">
        <f t="shared" si="25"/>
        <v>库存为1</v>
      </c>
      <c r="AV114" s="39" t="str">
        <f>IFERROR(时间!$B$4+AU114,"上周无销量")</f>
        <v>上周无销量</v>
      </c>
    </row>
    <row r="115" spans="1:48">
      <c r="A115" s="35" t="s">
        <v>160</v>
      </c>
      <c r="B115" t="str">
        <f>VLOOKUP(A115,'[2]sku-asin（子）'!$A:$B,2,0)</f>
        <v>B074DW762P</v>
      </c>
      <c r="C115" t="str">
        <f>VLOOKUP(A115,'[2]子sku-父sku'!$A:$B,2,0)</f>
        <v>N2033Y</v>
      </c>
      <c r="D115" s="33">
        <f>IFERROR(VLOOKUP(A115,[3]库存报告使用数据处理!$A:$C,3,0),0)</f>
        <v>0</v>
      </c>
      <c r="E115" s="33">
        <f>IFERROR(VLOOKUP(A115,[3]库存报告使用数据处理!$A:$D,4,0),0)</f>
        <v>0</v>
      </c>
      <c r="F115" s="33">
        <f>IFERROR(VLOOKUP(A115,[3]库存报告使用数据处理!$A:$E,5,0),0)</f>
        <v>0</v>
      </c>
      <c r="G115" s="33">
        <f>IFERROR(VLOOKUP(A115,[3]库存报告使用数据处理!$A:$F,6,0),0)</f>
        <v>0</v>
      </c>
      <c r="H115" s="34">
        <f>IFERROR(VLOOKUP(A115,[3]库存报告使用数据处理!$A:$G,7,0),0)</f>
        <v>0</v>
      </c>
      <c r="I115">
        <f>IFERROR(VLOOKUP(A115,[4]数据处理!$A:$B,2,0),0)</f>
        <v>1</v>
      </c>
      <c r="J115" s="36">
        <f>IFERROR(VLOOKUP(A115,[4]数据处理!$A:$D,4,0),0)</f>
        <v>0</v>
      </c>
      <c r="K115" s="36">
        <f>IFERROR(VLOOKUP(A115,[4]数据处理!$A:$E,5,0),0)</f>
        <v>0</v>
      </c>
      <c r="L115" s="36">
        <f>IFERROR(VLOOKUP(A115,[4]数据处理!$A:$G,7,0),0)</f>
        <v>0</v>
      </c>
      <c r="M115">
        <f t="shared" si="21"/>
        <v>1</v>
      </c>
      <c r="N115">
        <f>IFERROR(VLOOKUP(A115,[4]数据处理!$A:$C,3,0),0)</f>
        <v>0</v>
      </c>
      <c r="O115">
        <f>IFERROR(VLOOKUP($A115,[4]数据处理!$A:$N,14,0),0)</f>
        <v>1</v>
      </c>
      <c r="P115">
        <f>IFERROR(VLOOKUP($A115,[5]库存使用数据!$A:$B,2,0),"")</f>
        <v>582</v>
      </c>
      <c r="Q115">
        <f>IFERROR(VLOOKUP($A115,[5]库存使用数据!$A:$E,5,0),"")</f>
        <v>270</v>
      </c>
      <c r="R115">
        <f>IFERROR(VLOOKUP($A115,[5]库存使用数据!$A:$H,8,0),"")</f>
        <v>282</v>
      </c>
      <c r="S115">
        <f>IFERROR(VLOOKUP($A115,[5]库存使用数据!$A:$K,11,0),"")</f>
        <v>105</v>
      </c>
      <c r="T115">
        <f>IFERROR(VLOOKUP($A115,[5]库存使用数据!$A:$C,3,0),"")</f>
        <v>0</v>
      </c>
      <c r="U115">
        <f>IFERROR(VLOOKUP($A115,[5]库存使用数据!$A:$F,6,0),"")</f>
        <v>0</v>
      </c>
      <c r="V115">
        <f>IFERROR(VLOOKUP($A115,[5]库存使用数据!$A:$I,9,0),"")</f>
        <v>0</v>
      </c>
      <c r="W115">
        <f>IFERROR(VLOOKUP($A115,[5]库存使用数据!$A:$L,12,0),"")</f>
        <v>0</v>
      </c>
      <c r="X115" s="23">
        <f t="shared" si="26"/>
        <v>0</v>
      </c>
      <c r="Y115" s="23">
        <f t="shared" si="27"/>
        <v>0</v>
      </c>
      <c r="Z115" s="23">
        <f t="shared" si="28"/>
        <v>0</v>
      </c>
      <c r="AA115" s="23">
        <f t="shared" si="29"/>
        <v>0</v>
      </c>
      <c r="AB115">
        <f>IFERROR(VLOOKUP($A115,[5]库存使用数据!$A:$D,4,0),"")</f>
        <v>0</v>
      </c>
      <c r="AC115">
        <f>IFERROR(VLOOKUP($A115,[5]库存使用数据!$A:$G,7,0),"")</f>
        <v>0</v>
      </c>
      <c r="AD115">
        <f>IFERROR(VLOOKUP($A115,[5]库存使用数据!$A:$J,10,0),"")</f>
        <v>0</v>
      </c>
      <c r="AE115">
        <f>IFERROR(VLOOKUP($A115,[5]库存使用数据!$A:$M,13,0),"")</f>
        <v>0</v>
      </c>
      <c r="AF115" s="23" t="str">
        <f t="shared" si="30"/>
        <v/>
      </c>
      <c r="AG115" s="23" t="str">
        <f t="shared" si="31"/>
        <v/>
      </c>
      <c r="AH115" s="23" t="str">
        <f t="shared" si="32"/>
        <v/>
      </c>
      <c r="AI115" s="23" t="str">
        <f t="shared" si="33"/>
        <v/>
      </c>
      <c r="AJ115">
        <f>IFERROR(VLOOKUP($B115,[1]库存报告使用数据!$A$1:$B$65536,2,0),0)</f>
        <v>0</v>
      </c>
      <c r="AK115">
        <f>IFERROR(VLOOKUP($B115,[1]库存报告使用数据!$A$1:$C$65536,3,0),0)</f>
        <v>5</v>
      </c>
      <c r="AL115">
        <f>IFERROR(VLOOKUP($B115,[1]库存报告使用数据!$A$1:$D$65536,4,0),0)</f>
        <v>0</v>
      </c>
      <c r="AM115">
        <f>IFERROR(VLOOKUP($B115,[1]库存报告使用数据!$A$1:$E$65536,5,0),0)</f>
        <v>0</v>
      </c>
      <c r="AN115" s="23" t="str">
        <f t="shared" si="34"/>
        <v/>
      </c>
      <c r="AO115" s="23">
        <f t="shared" si="35"/>
        <v>0</v>
      </c>
      <c r="AP115" s="23" t="str">
        <f t="shared" si="36"/>
        <v/>
      </c>
      <c r="AQ115" s="23" t="str">
        <f t="shared" si="37"/>
        <v/>
      </c>
      <c r="AR115" s="38">
        <f t="shared" si="22"/>
        <v>0</v>
      </c>
      <c r="AS115" s="38">
        <f t="shared" si="23"/>
        <v>0</v>
      </c>
      <c r="AT115" s="38">
        <f t="shared" si="24"/>
        <v>1</v>
      </c>
      <c r="AU115" s="33" t="str">
        <f t="shared" si="25"/>
        <v>库存为1</v>
      </c>
      <c r="AV115" s="39" t="str">
        <f>IFERROR(时间!$B$4+AU115,"上周无销量")</f>
        <v>上周无销量</v>
      </c>
    </row>
    <row r="116" spans="1:48">
      <c r="A116" s="35" t="s">
        <v>161</v>
      </c>
      <c r="B116" t="str">
        <f>VLOOKUP(A116,'[2]sku-asin（子）'!$A:$B,2,0)</f>
        <v>B074DW59FV</v>
      </c>
      <c r="C116" t="str">
        <f>VLOOKUP(A116,'[2]子sku-父sku'!$A:$B,2,0)</f>
        <v>N2033Y</v>
      </c>
      <c r="D116" s="33">
        <f>IFERROR(VLOOKUP(A116,[3]库存报告使用数据处理!$A:$C,3,0),0)</f>
        <v>0</v>
      </c>
      <c r="E116" s="33">
        <f>IFERROR(VLOOKUP(A116,[3]库存报告使用数据处理!$A:$D,4,0),0)</f>
        <v>0</v>
      </c>
      <c r="F116" s="33">
        <f>IFERROR(VLOOKUP(A116,[3]库存报告使用数据处理!$A:$E,5,0),0)</f>
        <v>0</v>
      </c>
      <c r="G116" s="33">
        <f>IFERROR(VLOOKUP(A116,[3]库存报告使用数据处理!$A:$F,6,0),0)</f>
        <v>0</v>
      </c>
      <c r="H116" s="34">
        <f>IFERROR(VLOOKUP(A116,[3]库存报告使用数据处理!$A:$G,7,0),0)</f>
        <v>0</v>
      </c>
      <c r="I116">
        <f>IFERROR(VLOOKUP(A116,[4]数据处理!$A:$B,2,0),0)</f>
        <v>0</v>
      </c>
      <c r="J116" s="36">
        <f>IFERROR(VLOOKUP(A116,[4]数据处理!$A:$D,4,0),0)</f>
        <v>0</v>
      </c>
      <c r="K116" s="36">
        <f>IFERROR(VLOOKUP(A116,[4]数据处理!$A:$E,5,0),0)</f>
        <v>0</v>
      </c>
      <c r="L116" s="36">
        <f>IFERROR(VLOOKUP(A116,[4]数据处理!$A:$G,7,0),0)</f>
        <v>0</v>
      </c>
      <c r="M116">
        <f t="shared" si="21"/>
        <v>0</v>
      </c>
      <c r="N116">
        <f>IFERROR(VLOOKUP(A116,[4]数据处理!$A:$C,3,0),0)</f>
        <v>0</v>
      </c>
      <c r="O116">
        <f>IFERROR(VLOOKUP($A116,[4]数据处理!$A:$N,14,0),0)</f>
        <v>0</v>
      </c>
      <c r="P116" t="str">
        <f>IFERROR(VLOOKUP($A116,[5]库存使用数据!$A:$B,2,0),"")</f>
        <v/>
      </c>
      <c r="Q116" t="str">
        <f>IFERROR(VLOOKUP($A116,[5]库存使用数据!$A:$E,5,0),"")</f>
        <v/>
      </c>
      <c r="R116" t="str">
        <f>IFERROR(VLOOKUP($A116,[5]库存使用数据!$A:$H,8,0),"")</f>
        <v/>
      </c>
      <c r="S116" t="str">
        <f>IFERROR(VLOOKUP($A116,[5]库存使用数据!$A:$K,11,0),"")</f>
        <v/>
      </c>
      <c r="T116" t="str">
        <f>IFERROR(VLOOKUP($A116,[5]库存使用数据!$A:$C,3,0),"")</f>
        <v/>
      </c>
      <c r="U116" t="str">
        <f>IFERROR(VLOOKUP($A116,[5]库存使用数据!$A:$F,6,0),"")</f>
        <v/>
      </c>
      <c r="V116" t="str">
        <f>IFERROR(VLOOKUP($A116,[5]库存使用数据!$A:$I,9,0),"")</f>
        <v/>
      </c>
      <c r="W116" t="str">
        <f>IFERROR(VLOOKUP($A116,[5]库存使用数据!$A:$L,12,0),"")</f>
        <v/>
      </c>
      <c r="X116" s="23" t="str">
        <f t="shared" si="26"/>
        <v/>
      </c>
      <c r="Y116" s="23" t="str">
        <f t="shared" si="27"/>
        <v/>
      </c>
      <c r="Z116" s="23" t="str">
        <f t="shared" si="28"/>
        <v/>
      </c>
      <c r="AA116" s="23" t="str">
        <f t="shared" si="29"/>
        <v/>
      </c>
      <c r="AB116" t="str">
        <f>IFERROR(VLOOKUP($A116,[5]库存使用数据!$A:$D,4,0),"")</f>
        <v/>
      </c>
      <c r="AC116" t="str">
        <f>IFERROR(VLOOKUP($A116,[5]库存使用数据!$A:$G,7,0),"")</f>
        <v/>
      </c>
      <c r="AD116" t="str">
        <f>IFERROR(VLOOKUP($A116,[5]库存使用数据!$A:$J,10,0),"")</f>
        <v/>
      </c>
      <c r="AE116" t="str">
        <f>IFERROR(VLOOKUP($A116,[5]库存使用数据!$A:$M,13,0),"")</f>
        <v/>
      </c>
      <c r="AF116" s="23" t="str">
        <f t="shared" si="30"/>
        <v/>
      </c>
      <c r="AG116" s="23" t="str">
        <f t="shared" si="31"/>
        <v/>
      </c>
      <c r="AH116" s="23" t="str">
        <f t="shared" si="32"/>
        <v/>
      </c>
      <c r="AI116" s="23" t="str">
        <f t="shared" si="33"/>
        <v/>
      </c>
      <c r="AJ116">
        <f>IFERROR(VLOOKUP($B116,[1]库存报告使用数据!$A$1:$B$65536,2,0),0)</f>
        <v>0</v>
      </c>
      <c r="AK116">
        <f>IFERROR(VLOOKUP($B116,[1]库存报告使用数据!$A$1:$C$65536,3,0),0)</f>
        <v>0</v>
      </c>
      <c r="AL116">
        <f>IFERROR(VLOOKUP($B116,[1]库存报告使用数据!$A$1:$D$65536,4,0),0)</f>
        <v>0</v>
      </c>
      <c r="AM116">
        <f>IFERROR(VLOOKUP($B116,[1]库存报告使用数据!$A$1:$E$65536,5,0),0)</f>
        <v>0</v>
      </c>
      <c r="AN116" s="23" t="str">
        <f t="shared" si="34"/>
        <v/>
      </c>
      <c r="AO116" s="23" t="str">
        <f t="shared" si="35"/>
        <v/>
      </c>
      <c r="AP116" s="23" t="str">
        <f t="shared" si="36"/>
        <v/>
      </c>
      <c r="AQ116" s="23" t="str">
        <f t="shared" si="37"/>
        <v/>
      </c>
      <c r="AR116" s="38">
        <f t="shared" si="22"/>
        <v>0</v>
      </c>
      <c r="AS116" s="38">
        <f t="shared" si="23"/>
        <v>0</v>
      </c>
      <c r="AT116" s="38">
        <f t="shared" si="24"/>
        <v>0</v>
      </c>
      <c r="AU116" s="33" t="str">
        <f t="shared" si="25"/>
        <v>库存为0</v>
      </c>
      <c r="AV116" s="39" t="str">
        <f>IFERROR(时间!$B$4+AU116,"上周无销量")</f>
        <v>上周无销量</v>
      </c>
    </row>
    <row r="117" spans="1:48">
      <c r="A117" s="35" t="s">
        <v>162</v>
      </c>
      <c r="B117" t="str">
        <f>VLOOKUP(A117,'[2]sku-asin（子）'!$A:$B,2,0)</f>
        <v>B074DVVJND</v>
      </c>
      <c r="C117" t="str">
        <f>VLOOKUP(A117,'[2]子sku-父sku'!$A:$B,2,0)</f>
        <v>N2033Y</v>
      </c>
      <c r="D117" s="33">
        <f>IFERROR(VLOOKUP(A117,[3]库存报告使用数据处理!$A:$C,3,0),0)</f>
        <v>0</v>
      </c>
      <c r="E117" s="33">
        <f>IFERROR(VLOOKUP(A117,[3]库存报告使用数据处理!$A:$D,4,0),0)</f>
        <v>0</v>
      </c>
      <c r="F117" s="33">
        <f>IFERROR(VLOOKUP(A117,[3]库存报告使用数据处理!$A:$E,5,0),0)</f>
        <v>0</v>
      </c>
      <c r="G117" s="33">
        <f>IFERROR(VLOOKUP(A117,[3]库存报告使用数据处理!$A:$F,6,0),0)</f>
        <v>0</v>
      </c>
      <c r="H117" s="34">
        <f>IFERROR(VLOOKUP(A117,[3]库存报告使用数据处理!$A:$G,7,0),0)</f>
        <v>0</v>
      </c>
      <c r="I117">
        <f>IFERROR(VLOOKUP(A117,[4]数据处理!$A:$B,2,0),0)</f>
        <v>1</v>
      </c>
      <c r="J117" s="36">
        <f>IFERROR(VLOOKUP(A117,[4]数据处理!$A:$D,4,0),0)</f>
        <v>0</v>
      </c>
      <c r="K117" s="36">
        <f>IFERROR(VLOOKUP(A117,[4]数据处理!$A:$E,5,0),0)</f>
        <v>0</v>
      </c>
      <c r="L117" s="36">
        <f>IFERROR(VLOOKUP(A117,[4]数据处理!$A:$G,7,0),0)</f>
        <v>0</v>
      </c>
      <c r="M117">
        <f t="shared" si="21"/>
        <v>1</v>
      </c>
      <c r="N117">
        <f>IFERROR(VLOOKUP(A117,[4]数据处理!$A:$C,3,0),0)</f>
        <v>0</v>
      </c>
      <c r="O117">
        <f>IFERROR(VLOOKUP($A117,[4]数据处理!$A:$N,14,0),0)</f>
        <v>1</v>
      </c>
      <c r="P117">
        <f>IFERROR(VLOOKUP($A117,[5]库存使用数据!$A:$B,2,0),"")</f>
        <v>4</v>
      </c>
      <c r="Q117">
        <f>IFERROR(VLOOKUP($A117,[5]库存使用数据!$A:$E,5,0),"")</f>
        <v>1</v>
      </c>
      <c r="R117">
        <f>IFERROR(VLOOKUP($A117,[5]库存使用数据!$A:$H,8,0),"")</f>
        <v>17</v>
      </c>
      <c r="S117">
        <f>IFERROR(VLOOKUP($A117,[5]库存使用数据!$A:$K,11,0),"")</f>
        <v>7</v>
      </c>
      <c r="T117">
        <f>IFERROR(VLOOKUP($A117,[5]库存使用数据!$A:$C,3,0),"")</f>
        <v>0</v>
      </c>
      <c r="U117">
        <f>IFERROR(VLOOKUP($A117,[5]库存使用数据!$A:$F,6,0),"")</f>
        <v>0</v>
      </c>
      <c r="V117">
        <f>IFERROR(VLOOKUP($A117,[5]库存使用数据!$A:$I,9,0),"")</f>
        <v>0</v>
      </c>
      <c r="W117">
        <f>IFERROR(VLOOKUP($A117,[5]库存使用数据!$A:$L,12,0),"")</f>
        <v>1</v>
      </c>
      <c r="X117" s="23">
        <f t="shared" si="26"/>
        <v>0</v>
      </c>
      <c r="Y117" s="23">
        <f t="shared" si="27"/>
        <v>0</v>
      </c>
      <c r="Z117" s="23">
        <f t="shared" si="28"/>
        <v>0</v>
      </c>
      <c r="AA117" s="23">
        <f t="shared" si="29"/>
        <v>0.142857142857143</v>
      </c>
      <c r="AB117">
        <f>IFERROR(VLOOKUP($A117,[5]库存使用数据!$A:$D,4,0),"")</f>
        <v>0</v>
      </c>
      <c r="AC117">
        <f>IFERROR(VLOOKUP($A117,[5]库存使用数据!$A:$G,7,0),"")</f>
        <v>0</v>
      </c>
      <c r="AD117">
        <f>IFERROR(VLOOKUP($A117,[5]库存使用数据!$A:$J,10,0),"")</f>
        <v>0</v>
      </c>
      <c r="AE117">
        <f>IFERROR(VLOOKUP($A117,[5]库存使用数据!$A:$M,13,0),"")</f>
        <v>0.07</v>
      </c>
      <c r="AF117" s="23" t="str">
        <f t="shared" si="30"/>
        <v/>
      </c>
      <c r="AG117" s="23" t="str">
        <f t="shared" si="31"/>
        <v/>
      </c>
      <c r="AH117" s="23" t="str">
        <f t="shared" si="32"/>
        <v/>
      </c>
      <c r="AI117" s="23" t="str">
        <f t="shared" si="33"/>
        <v>无销量广告费为0.07</v>
      </c>
      <c r="AJ117">
        <f>IFERROR(VLOOKUP($B117,[1]库存报告使用数据!$A$1:$B$65536,2,0),0)</f>
        <v>1</v>
      </c>
      <c r="AK117">
        <f>IFERROR(VLOOKUP($B117,[1]库存报告使用数据!$A$1:$C$65536,3,0),0)</f>
        <v>1</v>
      </c>
      <c r="AL117">
        <f>IFERROR(VLOOKUP($B117,[1]库存报告使用数据!$A$1:$D$65536,4,0),0)</f>
        <v>1</v>
      </c>
      <c r="AM117">
        <f>IFERROR(VLOOKUP($B117,[1]库存报告使用数据!$A$1:$E$65536,5,0),0)</f>
        <v>1</v>
      </c>
      <c r="AN117" s="23">
        <f t="shared" si="34"/>
        <v>0</v>
      </c>
      <c r="AO117" s="23">
        <f t="shared" si="35"/>
        <v>0</v>
      </c>
      <c r="AP117" s="23">
        <f t="shared" si="36"/>
        <v>0</v>
      </c>
      <c r="AQ117" s="23">
        <f t="shared" si="37"/>
        <v>0</v>
      </c>
      <c r="AR117" s="38">
        <f t="shared" si="22"/>
        <v>0</v>
      </c>
      <c r="AS117" s="38">
        <f t="shared" si="23"/>
        <v>0</v>
      </c>
      <c r="AT117" s="38">
        <f t="shared" si="24"/>
        <v>1</v>
      </c>
      <c r="AU117" s="33" t="str">
        <f t="shared" si="25"/>
        <v>库存为1</v>
      </c>
      <c r="AV117" s="39" t="str">
        <f>IFERROR(时间!$B$4+AU117,"上周无销量")</f>
        <v>上周无销量</v>
      </c>
    </row>
    <row r="118" spans="1:48">
      <c r="A118" s="35" t="s">
        <v>163</v>
      </c>
      <c r="B118" t="str">
        <f>VLOOKUP(A118,'[2]sku-asin（子）'!$A:$B,2,0)</f>
        <v>B074DW274J</v>
      </c>
      <c r="C118" t="str">
        <f>VLOOKUP(A118,'[2]子sku-父sku'!$A:$B,2,0)</f>
        <v>N2033Y</v>
      </c>
      <c r="D118" s="33">
        <f>IFERROR(VLOOKUP(A118,[3]库存报告使用数据处理!$A:$C,3,0),0)</f>
        <v>0</v>
      </c>
      <c r="E118" s="33">
        <f>IFERROR(VLOOKUP(A118,[3]库存报告使用数据处理!$A:$D,4,0),0)</f>
        <v>0</v>
      </c>
      <c r="F118" s="33">
        <f>IFERROR(VLOOKUP(A118,[3]库存报告使用数据处理!$A:$E,5,0),0)</f>
        <v>0</v>
      </c>
      <c r="G118" s="33">
        <f>IFERROR(VLOOKUP(A118,[3]库存报告使用数据处理!$A:$F,6,0),0)</f>
        <v>0</v>
      </c>
      <c r="H118" s="34">
        <f>IFERROR(VLOOKUP(A118,[3]库存报告使用数据处理!$A:$G,7,0),0)</f>
        <v>0</v>
      </c>
      <c r="I118">
        <f>IFERROR(VLOOKUP(A118,[4]数据处理!$A:$B,2,0),0)</f>
        <v>1</v>
      </c>
      <c r="J118" s="36">
        <f>IFERROR(VLOOKUP(A118,[4]数据处理!$A:$D,4,0),0)</f>
        <v>0</v>
      </c>
      <c r="K118" s="36">
        <f>IFERROR(VLOOKUP(A118,[4]数据处理!$A:$E,5,0),0)</f>
        <v>0</v>
      </c>
      <c r="L118" s="36">
        <f>IFERROR(VLOOKUP(A118,[4]数据处理!$A:$G,7,0),0)</f>
        <v>0</v>
      </c>
      <c r="M118">
        <f t="shared" si="21"/>
        <v>1</v>
      </c>
      <c r="N118">
        <f>IFERROR(VLOOKUP(A118,[4]数据处理!$A:$C,3,0),0)</f>
        <v>0</v>
      </c>
      <c r="O118">
        <f>IFERROR(VLOOKUP($A118,[4]数据处理!$A:$N,14,0),0)</f>
        <v>1</v>
      </c>
      <c r="P118">
        <f>IFERROR(VLOOKUP($A118,[5]库存使用数据!$A:$B,2,0),"")</f>
        <v>78</v>
      </c>
      <c r="Q118">
        <f>IFERROR(VLOOKUP($A118,[5]库存使用数据!$A:$E,5,0),"")</f>
        <v>62</v>
      </c>
      <c r="R118">
        <f>IFERROR(VLOOKUP($A118,[5]库存使用数据!$A:$H,8,0),"")</f>
        <v>41</v>
      </c>
      <c r="S118">
        <f>IFERROR(VLOOKUP($A118,[5]库存使用数据!$A:$K,11,0),"")</f>
        <v>12</v>
      </c>
      <c r="T118">
        <f>IFERROR(VLOOKUP($A118,[5]库存使用数据!$A:$C,3,0),"")</f>
        <v>0</v>
      </c>
      <c r="U118">
        <f>IFERROR(VLOOKUP($A118,[5]库存使用数据!$A:$F,6,0),"")</f>
        <v>1</v>
      </c>
      <c r="V118">
        <f>IFERROR(VLOOKUP($A118,[5]库存使用数据!$A:$I,9,0),"")</f>
        <v>0</v>
      </c>
      <c r="W118">
        <f>IFERROR(VLOOKUP($A118,[5]库存使用数据!$A:$L,12,0),"")</f>
        <v>0</v>
      </c>
      <c r="X118" s="23">
        <f t="shared" si="26"/>
        <v>0</v>
      </c>
      <c r="Y118" s="23">
        <f t="shared" si="27"/>
        <v>0.0161290322580645</v>
      </c>
      <c r="Z118" s="23">
        <f t="shared" si="28"/>
        <v>0</v>
      </c>
      <c r="AA118" s="23">
        <f t="shared" si="29"/>
        <v>0</v>
      </c>
      <c r="AB118">
        <f>IFERROR(VLOOKUP($A118,[5]库存使用数据!$A:$D,4,0),"")</f>
        <v>0</v>
      </c>
      <c r="AC118">
        <f>IFERROR(VLOOKUP($A118,[5]库存使用数据!$A:$G,7,0),"")</f>
        <v>0.19</v>
      </c>
      <c r="AD118">
        <f>IFERROR(VLOOKUP($A118,[5]库存使用数据!$A:$J,10,0),"")</f>
        <v>0</v>
      </c>
      <c r="AE118">
        <f>IFERROR(VLOOKUP($A118,[5]库存使用数据!$A:$M,13,0),"")</f>
        <v>0</v>
      </c>
      <c r="AF118" s="23" t="str">
        <f t="shared" si="30"/>
        <v/>
      </c>
      <c r="AG118" s="23" t="str">
        <f t="shared" si="31"/>
        <v>无销量广告费为0.19</v>
      </c>
      <c r="AH118" s="23" t="str">
        <f t="shared" si="32"/>
        <v/>
      </c>
      <c r="AI118" s="23" t="str">
        <f t="shared" si="33"/>
        <v/>
      </c>
      <c r="AJ118">
        <f>IFERROR(VLOOKUP($B118,[1]库存报告使用数据!$A$1:$B$65536,2,0),0)</f>
        <v>1</v>
      </c>
      <c r="AK118">
        <f>IFERROR(VLOOKUP($B118,[1]库存报告使用数据!$A$1:$C$65536,3,0),0)</f>
        <v>2</v>
      </c>
      <c r="AL118">
        <f>IFERROR(VLOOKUP($B118,[1]库存报告使用数据!$A$1:$D$65536,4,0),0)</f>
        <v>0</v>
      </c>
      <c r="AM118">
        <f>IFERROR(VLOOKUP($B118,[1]库存报告使用数据!$A$1:$E$65536,5,0),0)</f>
        <v>0</v>
      </c>
      <c r="AN118" s="23">
        <f t="shared" si="34"/>
        <v>0</v>
      </c>
      <c r="AO118" s="23">
        <f t="shared" si="35"/>
        <v>0</v>
      </c>
      <c r="AP118" s="23" t="str">
        <f t="shared" si="36"/>
        <v/>
      </c>
      <c r="AQ118" s="23" t="str">
        <f t="shared" si="37"/>
        <v/>
      </c>
      <c r="AR118" s="38">
        <f t="shared" si="22"/>
        <v>0</v>
      </c>
      <c r="AS118" s="38">
        <f t="shared" si="23"/>
        <v>0</v>
      </c>
      <c r="AT118" s="38">
        <f t="shared" si="24"/>
        <v>1</v>
      </c>
      <c r="AU118" s="33" t="str">
        <f t="shared" si="25"/>
        <v>库存为1</v>
      </c>
      <c r="AV118" s="39" t="str">
        <f>IFERROR(时间!$B$4+AU118,"上周无销量")</f>
        <v>上周无销量</v>
      </c>
    </row>
    <row r="119" spans="1:48">
      <c r="A119" s="35" t="s">
        <v>164</v>
      </c>
      <c r="B119" t="str">
        <f>VLOOKUP(A119,'[2]sku-asin（子）'!$A:$B,2,0)</f>
        <v>B074DVQP6Q</v>
      </c>
      <c r="C119" t="str">
        <f>VLOOKUP(A119,'[2]子sku-父sku'!$A:$B,2,0)</f>
        <v>N2047Y</v>
      </c>
      <c r="D119" s="33">
        <f>IFERROR(VLOOKUP(A119,[3]库存报告使用数据处理!$A:$C,3,0),0)</f>
        <v>0</v>
      </c>
      <c r="E119" s="33">
        <f>IFERROR(VLOOKUP(A119,[3]库存报告使用数据处理!$A:$D,4,0),0)</f>
        <v>0</v>
      </c>
      <c r="F119" s="33">
        <f>IFERROR(VLOOKUP(A119,[3]库存报告使用数据处理!$A:$E,5,0),0)</f>
        <v>0</v>
      </c>
      <c r="G119" s="33">
        <f>IFERROR(VLOOKUP(A119,[3]库存报告使用数据处理!$A:$F,6,0),0)</f>
        <v>0</v>
      </c>
      <c r="H119" s="34">
        <f>IFERROR(VLOOKUP(A119,[3]库存报告使用数据处理!$A:$G,7,0),0)</f>
        <v>0</v>
      </c>
      <c r="I119">
        <f>IFERROR(VLOOKUP(A119,[4]数据处理!$A:$B,2,0),0)</f>
        <v>1</v>
      </c>
      <c r="J119" s="36">
        <f>IFERROR(VLOOKUP(A119,[4]数据处理!$A:$D,4,0),0)</f>
        <v>0</v>
      </c>
      <c r="K119" s="36">
        <f>IFERROR(VLOOKUP(A119,[4]数据处理!$A:$E,5,0),0)</f>
        <v>0</v>
      </c>
      <c r="L119" s="36">
        <f>IFERROR(VLOOKUP(A119,[4]数据处理!$A:$G,7,0),0)</f>
        <v>0</v>
      </c>
      <c r="M119">
        <f t="shared" si="21"/>
        <v>1</v>
      </c>
      <c r="N119">
        <f>IFERROR(VLOOKUP(A119,[4]数据处理!$A:$C,3,0),0)</f>
        <v>0</v>
      </c>
      <c r="O119">
        <f>IFERROR(VLOOKUP($A119,[4]数据处理!$A:$N,14,0),0)</f>
        <v>1</v>
      </c>
      <c r="P119">
        <f>IFERROR(VLOOKUP($A119,[5]库存使用数据!$A:$B,2,0),"")</f>
        <v>145</v>
      </c>
      <c r="Q119">
        <f>IFERROR(VLOOKUP($A119,[5]库存使用数据!$A:$E,5,0),"")</f>
        <v>180</v>
      </c>
      <c r="R119">
        <f>IFERROR(VLOOKUP($A119,[5]库存使用数据!$A:$H,8,0),"")</f>
        <v>309</v>
      </c>
      <c r="S119">
        <f>IFERROR(VLOOKUP($A119,[5]库存使用数据!$A:$K,11,0),"")</f>
        <v>122</v>
      </c>
      <c r="T119">
        <f>IFERROR(VLOOKUP($A119,[5]库存使用数据!$A:$C,3,0),"")</f>
        <v>0</v>
      </c>
      <c r="U119">
        <f>IFERROR(VLOOKUP($A119,[5]库存使用数据!$A:$F,6,0),"")</f>
        <v>0</v>
      </c>
      <c r="V119">
        <f>IFERROR(VLOOKUP($A119,[5]库存使用数据!$A:$I,9,0),"")</f>
        <v>0</v>
      </c>
      <c r="W119">
        <f>IFERROR(VLOOKUP($A119,[5]库存使用数据!$A:$L,12,0),"")</f>
        <v>1</v>
      </c>
      <c r="X119" s="23">
        <f t="shared" si="26"/>
        <v>0</v>
      </c>
      <c r="Y119" s="23">
        <f t="shared" si="27"/>
        <v>0</v>
      </c>
      <c r="Z119" s="23">
        <f t="shared" si="28"/>
        <v>0</v>
      </c>
      <c r="AA119" s="23">
        <f t="shared" si="29"/>
        <v>0.00819672131147541</v>
      </c>
      <c r="AB119">
        <f>IFERROR(VLOOKUP($A119,[5]库存使用数据!$A:$D,4,0),"")</f>
        <v>0</v>
      </c>
      <c r="AC119">
        <f>IFERROR(VLOOKUP($A119,[5]库存使用数据!$A:$G,7,0),"")</f>
        <v>0</v>
      </c>
      <c r="AD119">
        <f>IFERROR(VLOOKUP($A119,[5]库存使用数据!$A:$J,10,0),"")</f>
        <v>0</v>
      </c>
      <c r="AE119">
        <f>IFERROR(VLOOKUP($A119,[5]库存使用数据!$A:$M,13,0),"")</f>
        <v>0.41</v>
      </c>
      <c r="AF119" s="23" t="str">
        <f t="shared" si="30"/>
        <v/>
      </c>
      <c r="AG119" s="23" t="str">
        <f t="shared" si="31"/>
        <v/>
      </c>
      <c r="AH119" s="23" t="str">
        <f t="shared" si="32"/>
        <v/>
      </c>
      <c r="AI119" s="23" t="str">
        <f t="shared" si="33"/>
        <v>无销量广告费为0.41</v>
      </c>
      <c r="AJ119">
        <f>IFERROR(VLOOKUP($B119,[1]库存报告使用数据!$A$1:$B$65536,2,0),0)</f>
        <v>1</v>
      </c>
      <c r="AK119">
        <f>IFERROR(VLOOKUP($B119,[1]库存报告使用数据!$A$1:$C$65536,3,0),0)</f>
        <v>1</v>
      </c>
      <c r="AL119">
        <f>IFERROR(VLOOKUP($B119,[1]库存报告使用数据!$A$1:$D$65536,4,0),0)</f>
        <v>3</v>
      </c>
      <c r="AM119">
        <f>IFERROR(VLOOKUP($B119,[1]库存报告使用数据!$A$1:$E$65536,5,0),0)</f>
        <v>1</v>
      </c>
      <c r="AN119" s="23">
        <f t="shared" si="34"/>
        <v>0</v>
      </c>
      <c r="AO119" s="23">
        <f t="shared" si="35"/>
        <v>0</v>
      </c>
      <c r="AP119" s="23">
        <f t="shared" si="36"/>
        <v>0</v>
      </c>
      <c r="AQ119" s="23">
        <f t="shared" si="37"/>
        <v>0</v>
      </c>
      <c r="AR119" s="38">
        <f t="shared" si="22"/>
        <v>0</v>
      </c>
      <c r="AS119" s="38">
        <f t="shared" si="23"/>
        <v>0</v>
      </c>
      <c r="AT119" s="38">
        <f t="shared" si="24"/>
        <v>1</v>
      </c>
      <c r="AU119" s="33" t="str">
        <f t="shared" si="25"/>
        <v>库存为1</v>
      </c>
      <c r="AV119" s="39" t="str">
        <f>IFERROR(时间!$B$4+AU119,"上周无销量")</f>
        <v>上周无销量</v>
      </c>
    </row>
    <row r="120" spans="1:48">
      <c r="A120" s="35" t="s">
        <v>165</v>
      </c>
      <c r="B120" t="str">
        <f>VLOOKUP(A120,'[2]sku-asin（子）'!$A:$B,2,0)</f>
        <v>B074DW3W5X</v>
      </c>
      <c r="C120" t="str">
        <f>VLOOKUP(A120,'[2]子sku-父sku'!$A:$B,2,0)</f>
        <v>N2047Y</v>
      </c>
      <c r="D120" s="33">
        <f>IFERROR(VLOOKUP(A120,[3]库存报告使用数据处理!$A:$C,3,0),0)</f>
        <v>0</v>
      </c>
      <c r="E120" s="33">
        <f>IFERROR(VLOOKUP(A120,[3]库存报告使用数据处理!$A:$D,4,0),0)</f>
        <v>0</v>
      </c>
      <c r="F120" s="33">
        <f>IFERROR(VLOOKUP(A120,[3]库存报告使用数据处理!$A:$E,5,0),0)</f>
        <v>0</v>
      </c>
      <c r="G120" s="33">
        <f>IFERROR(VLOOKUP(A120,[3]库存报告使用数据处理!$A:$F,6,0),0)</f>
        <v>0</v>
      </c>
      <c r="H120" s="34">
        <f>IFERROR(VLOOKUP(A120,[3]库存报告使用数据处理!$A:$G,7,0),0)</f>
        <v>0</v>
      </c>
      <c r="I120">
        <f>IFERROR(VLOOKUP(A120,[4]数据处理!$A:$B,2,0),0)</f>
        <v>0</v>
      </c>
      <c r="J120" s="36">
        <f>IFERROR(VLOOKUP(A120,[4]数据处理!$A:$D,4,0),0)</f>
        <v>0</v>
      </c>
      <c r="K120" s="36">
        <f>IFERROR(VLOOKUP(A120,[4]数据处理!$A:$E,5,0),0)</f>
        <v>0</v>
      </c>
      <c r="L120" s="36">
        <f>IFERROR(VLOOKUP(A120,[4]数据处理!$A:$G,7,0),0)</f>
        <v>0</v>
      </c>
      <c r="M120">
        <f t="shared" si="21"/>
        <v>0</v>
      </c>
      <c r="N120">
        <f>IFERROR(VLOOKUP(A120,[4]数据处理!$A:$C,3,0),0)</f>
        <v>0</v>
      </c>
      <c r="O120">
        <f>IFERROR(VLOOKUP($A120,[4]数据处理!$A:$N,14,0),0)</f>
        <v>0</v>
      </c>
      <c r="P120" t="str">
        <f>IFERROR(VLOOKUP($A120,[5]库存使用数据!$A:$B,2,0),"")</f>
        <v/>
      </c>
      <c r="Q120" t="str">
        <f>IFERROR(VLOOKUP($A120,[5]库存使用数据!$A:$E,5,0),"")</f>
        <v/>
      </c>
      <c r="R120" t="str">
        <f>IFERROR(VLOOKUP($A120,[5]库存使用数据!$A:$H,8,0),"")</f>
        <v/>
      </c>
      <c r="S120" t="str">
        <f>IFERROR(VLOOKUP($A120,[5]库存使用数据!$A:$K,11,0),"")</f>
        <v/>
      </c>
      <c r="T120" t="str">
        <f>IFERROR(VLOOKUP($A120,[5]库存使用数据!$A:$C,3,0),"")</f>
        <v/>
      </c>
      <c r="U120" t="str">
        <f>IFERROR(VLOOKUP($A120,[5]库存使用数据!$A:$F,6,0),"")</f>
        <v/>
      </c>
      <c r="V120" t="str">
        <f>IFERROR(VLOOKUP($A120,[5]库存使用数据!$A:$I,9,0),"")</f>
        <v/>
      </c>
      <c r="W120" t="str">
        <f>IFERROR(VLOOKUP($A120,[5]库存使用数据!$A:$L,12,0),"")</f>
        <v/>
      </c>
      <c r="X120" s="23" t="str">
        <f t="shared" si="26"/>
        <v/>
      </c>
      <c r="Y120" s="23" t="str">
        <f t="shared" si="27"/>
        <v/>
      </c>
      <c r="Z120" s="23" t="str">
        <f t="shared" si="28"/>
        <v/>
      </c>
      <c r="AA120" s="23" t="str">
        <f t="shared" si="29"/>
        <v/>
      </c>
      <c r="AB120" t="str">
        <f>IFERROR(VLOOKUP($A120,[5]库存使用数据!$A:$D,4,0),"")</f>
        <v/>
      </c>
      <c r="AC120" t="str">
        <f>IFERROR(VLOOKUP($A120,[5]库存使用数据!$A:$G,7,0),"")</f>
        <v/>
      </c>
      <c r="AD120" t="str">
        <f>IFERROR(VLOOKUP($A120,[5]库存使用数据!$A:$J,10,0),"")</f>
        <v/>
      </c>
      <c r="AE120" t="str">
        <f>IFERROR(VLOOKUP($A120,[5]库存使用数据!$A:$M,13,0),"")</f>
        <v/>
      </c>
      <c r="AF120" s="23" t="str">
        <f t="shared" si="30"/>
        <v/>
      </c>
      <c r="AG120" s="23" t="str">
        <f t="shared" si="31"/>
        <v/>
      </c>
      <c r="AH120" s="23" t="str">
        <f t="shared" si="32"/>
        <v/>
      </c>
      <c r="AI120" s="23" t="str">
        <f t="shared" si="33"/>
        <v/>
      </c>
      <c r="AJ120">
        <f>IFERROR(VLOOKUP($B120,[1]库存报告使用数据!$A$1:$B$65536,2,0),0)</f>
        <v>0</v>
      </c>
      <c r="AK120">
        <f>IFERROR(VLOOKUP($B120,[1]库存报告使用数据!$A$1:$C$65536,3,0),0)</f>
        <v>0</v>
      </c>
      <c r="AL120">
        <f>IFERROR(VLOOKUP($B120,[1]库存报告使用数据!$A$1:$D$65536,4,0),0)</f>
        <v>0</v>
      </c>
      <c r="AM120">
        <f>IFERROR(VLOOKUP($B120,[1]库存报告使用数据!$A$1:$E$65536,5,0),0)</f>
        <v>0</v>
      </c>
      <c r="AN120" s="23" t="str">
        <f t="shared" si="34"/>
        <v/>
      </c>
      <c r="AO120" s="23" t="str">
        <f t="shared" si="35"/>
        <v/>
      </c>
      <c r="AP120" s="23" t="str">
        <f t="shared" si="36"/>
        <v/>
      </c>
      <c r="AQ120" s="23" t="str">
        <f t="shared" si="37"/>
        <v/>
      </c>
      <c r="AR120" s="38">
        <f t="shared" si="22"/>
        <v>0</v>
      </c>
      <c r="AS120" s="38">
        <f t="shared" si="23"/>
        <v>0</v>
      </c>
      <c r="AT120" s="38">
        <f t="shared" si="24"/>
        <v>0</v>
      </c>
      <c r="AU120" s="33" t="str">
        <f t="shared" si="25"/>
        <v>库存为0</v>
      </c>
      <c r="AV120" s="39" t="str">
        <f>IFERROR(时间!$B$4+AU120,"上周无销量")</f>
        <v>上周无销量</v>
      </c>
    </row>
    <row r="121" spans="1:48">
      <c r="A121" s="35" t="s">
        <v>166</v>
      </c>
      <c r="B121" t="str">
        <f>VLOOKUP(A121,'[2]sku-asin（子）'!$A:$B,2,0)</f>
        <v>B074DWLT99</v>
      </c>
      <c r="C121" t="str">
        <f>VLOOKUP(A121,'[2]子sku-父sku'!$A:$B,2,0)</f>
        <v>N2047Y</v>
      </c>
      <c r="D121" s="33">
        <f>IFERROR(VLOOKUP(A121,[3]库存报告使用数据处理!$A:$C,3,0),0)</f>
        <v>0</v>
      </c>
      <c r="E121" s="33">
        <f>IFERROR(VLOOKUP(A121,[3]库存报告使用数据处理!$A:$D,4,0),0)</f>
        <v>0</v>
      </c>
      <c r="F121" s="33">
        <f>IFERROR(VLOOKUP(A121,[3]库存报告使用数据处理!$A:$E,5,0),0)</f>
        <v>0</v>
      </c>
      <c r="G121" s="33">
        <f>IFERROR(VLOOKUP(A121,[3]库存报告使用数据处理!$A:$F,6,0),0)</f>
        <v>0</v>
      </c>
      <c r="H121" s="34">
        <f>IFERROR(VLOOKUP(A121,[3]库存报告使用数据处理!$A:$G,7,0),0)</f>
        <v>0</v>
      </c>
      <c r="I121">
        <f>IFERROR(VLOOKUP(A121,[4]数据处理!$A:$B,2,0),0)</f>
        <v>2</v>
      </c>
      <c r="J121" s="36">
        <f>IFERROR(VLOOKUP(A121,[4]数据处理!$A:$D,4,0),0)</f>
        <v>0</v>
      </c>
      <c r="K121" s="36">
        <f>IFERROR(VLOOKUP(A121,[4]数据处理!$A:$E,5,0),0)</f>
        <v>0</v>
      </c>
      <c r="L121" s="36">
        <f>IFERROR(VLOOKUP(A121,[4]数据处理!$A:$G,7,0),0)</f>
        <v>0</v>
      </c>
      <c r="M121">
        <f t="shared" si="21"/>
        <v>2</v>
      </c>
      <c r="N121">
        <f>IFERROR(VLOOKUP(A121,[4]数据处理!$A:$C,3,0),0)</f>
        <v>0</v>
      </c>
      <c r="O121">
        <f>IFERROR(VLOOKUP($A121,[4]数据处理!$A:$N,14,0),0)</f>
        <v>2</v>
      </c>
      <c r="P121">
        <f>IFERROR(VLOOKUP($A121,[5]库存使用数据!$A:$B,2,0),"")</f>
        <v>33</v>
      </c>
      <c r="Q121">
        <f>IFERROR(VLOOKUP($A121,[5]库存使用数据!$A:$E,5,0),"")</f>
        <v>100</v>
      </c>
      <c r="R121">
        <f>IFERROR(VLOOKUP($A121,[5]库存使用数据!$A:$H,8,0),"")</f>
        <v>24</v>
      </c>
      <c r="S121">
        <f>IFERROR(VLOOKUP($A121,[5]库存使用数据!$A:$K,11,0),"")</f>
        <v>24</v>
      </c>
      <c r="T121">
        <f>IFERROR(VLOOKUP($A121,[5]库存使用数据!$A:$C,3,0),"")</f>
        <v>0</v>
      </c>
      <c r="U121">
        <f>IFERROR(VLOOKUP($A121,[5]库存使用数据!$A:$F,6,0),"")</f>
        <v>0</v>
      </c>
      <c r="V121">
        <f>IFERROR(VLOOKUP($A121,[5]库存使用数据!$A:$I,9,0),"")</f>
        <v>1</v>
      </c>
      <c r="W121">
        <f>IFERROR(VLOOKUP($A121,[5]库存使用数据!$A:$L,12,0),"")</f>
        <v>0</v>
      </c>
      <c r="X121" s="23">
        <f t="shared" si="26"/>
        <v>0</v>
      </c>
      <c r="Y121" s="23">
        <f t="shared" si="27"/>
        <v>0</v>
      </c>
      <c r="Z121" s="23">
        <f t="shared" si="28"/>
        <v>0.0416666666666667</v>
      </c>
      <c r="AA121" s="23">
        <f t="shared" si="29"/>
        <v>0</v>
      </c>
      <c r="AB121">
        <f>IFERROR(VLOOKUP($A121,[5]库存使用数据!$A:$D,4,0),"")</f>
        <v>0</v>
      </c>
      <c r="AC121">
        <f>IFERROR(VLOOKUP($A121,[5]库存使用数据!$A:$G,7,0),"")</f>
        <v>0</v>
      </c>
      <c r="AD121">
        <f>IFERROR(VLOOKUP($A121,[5]库存使用数据!$A:$J,10,0),"")</f>
        <v>0.04</v>
      </c>
      <c r="AE121">
        <f>IFERROR(VLOOKUP($A121,[5]库存使用数据!$A:$M,13,0),"")</f>
        <v>0</v>
      </c>
      <c r="AF121" s="23" t="str">
        <f t="shared" si="30"/>
        <v/>
      </c>
      <c r="AG121" s="23" t="str">
        <f t="shared" si="31"/>
        <v/>
      </c>
      <c r="AH121" s="23" t="str">
        <f t="shared" si="32"/>
        <v>无销量广告费为0.04</v>
      </c>
      <c r="AI121" s="23" t="str">
        <f t="shared" si="33"/>
        <v/>
      </c>
      <c r="AJ121">
        <f>IFERROR(VLOOKUP($B121,[1]库存报告使用数据!$A$1:$B$65536,2,0),0)</f>
        <v>0</v>
      </c>
      <c r="AK121">
        <f>IFERROR(VLOOKUP($B121,[1]库存报告使用数据!$A$1:$C$65536,3,0),0)</f>
        <v>1</v>
      </c>
      <c r="AL121">
        <f>IFERROR(VLOOKUP($B121,[1]库存报告使用数据!$A$1:$D$65536,4,0),0)</f>
        <v>2</v>
      </c>
      <c r="AM121">
        <f>IFERROR(VLOOKUP($B121,[1]库存报告使用数据!$A$1:$E$65536,5,0),0)</f>
        <v>0</v>
      </c>
      <c r="AN121" s="23" t="str">
        <f t="shared" si="34"/>
        <v/>
      </c>
      <c r="AO121" s="23">
        <f t="shared" si="35"/>
        <v>0</v>
      </c>
      <c r="AP121" s="23">
        <f t="shared" si="36"/>
        <v>0</v>
      </c>
      <c r="AQ121" s="23" t="str">
        <f t="shared" si="37"/>
        <v/>
      </c>
      <c r="AR121" s="38">
        <f t="shared" si="22"/>
        <v>0</v>
      </c>
      <c r="AS121" s="38">
        <f t="shared" si="23"/>
        <v>0</v>
      </c>
      <c r="AT121" s="38">
        <f t="shared" si="24"/>
        <v>2</v>
      </c>
      <c r="AU121" s="33" t="str">
        <f t="shared" si="25"/>
        <v>库存为2</v>
      </c>
      <c r="AV121" s="39" t="str">
        <f>IFERROR(时间!$B$4+AU121,"上周无销量")</f>
        <v>上周无销量</v>
      </c>
    </row>
    <row r="122" spans="1:48">
      <c r="A122" s="35" t="s">
        <v>167</v>
      </c>
      <c r="B122" t="str">
        <f>VLOOKUP(A122,'[2]sku-asin（子）'!$A:$B,2,0)</f>
        <v>B074DVQ243</v>
      </c>
      <c r="C122" t="str">
        <f>VLOOKUP(A122,'[2]子sku-父sku'!$A:$B,2,0)</f>
        <v>N2047Y</v>
      </c>
      <c r="D122" s="33">
        <f>IFERROR(VLOOKUP(A122,[3]库存报告使用数据处理!$A:$C,3,0),0)</f>
        <v>0</v>
      </c>
      <c r="E122" s="33">
        <f>IFERROR(VLOOKUP(A122,[3]库存报告使用数据处理!$A:$D,4,0),0)</f>
        <v>0</v>
      </c>
      <c r="F122" s="33">
        <f>IFERROR(VLOOKUP(A122,[3]库存报告使用数据处理!$A:$E,5,0),0)</f>
        <v>0</v>
      </c>
      <c r="G122" s="33">
        <f>IFERROR(VLOOKUP(A122,[3]库存报告使用数据处理!$A:$F,6,0),0)</f>
        <v>0</v>
      </c>
      <c r="H122" s="34">
        <f>IFERROR(VLOOKUP(A122,[3]库存报告使用数据处理!$A:$G,7,0),0)</f>
        <v>0</v>
      </c>
      <c r="I122">
        <f>IFERROR(VLOOKUP(A122,[4]数据处理!$A:$B,2,0),0)</f>
        <v>0</v>
      </c>
      <c r="J122" s="36">
        <f>IFERROR(VLOOKUP(A122,[4]数据处理!$A:$D,4,0),0)</f>
        <v>0</v>
      </c>
      <c r="K122" s="36">
        <f>IFERROR(VLOOKUP(A122,[4]数据处理!$A:$E,5,0),0)</f>
        <v>0</v>
      </c>
      <c r="L122" s="36">
        <f>IFERROR(VLOOKUP(A122,[4]数据处理!$A:$G,7,0),0)</f>
        <v>0</v>
      </c>
      <c r="M122">
        <f t="shared" si="21"/>
        <v>0</v>
      </c>
      <c r="N122">
        <f>IFERROR(VLOOKUP(A122,[4]数据处理!$A:$C,3,0),0)</f>
        <v>0</v>
      </c>
      <c r="O122">
        <f>IFERROR(VLOOKUP($A122,[4]数据处理!$A:$N,14,0),0)</f>
        <v>0</v>
      </c>
      <c r="P122" t="str">
        <f>IFERROR(VLOOKUP($A122,[5]库存使用数据!$A:$B,2,0),"")</f>
        <v/>
      </c>
      <c r="Q122" t="str">
        <f>IFERROR(VLOOKUP($A122,[5]库存使用数据!$A:$E,5,0),"")</f>
        <v/>
      </c>
      <c r="R122" t="str">
        <f>IFERROR(VLOOKUP($A122,[5]库存使用数据!$A:$H,8,0),"")</f>
        <v/>
      </c>
      <c r="S122" t="str">
        <f>IFERROR(VLOOKUP($A122,[5]库存使用数据!$A:$K,11,0),"")</f>
        <v/>
      </c>
      <c r="T122" t="str">
        <f>IFERROR(VLOOKUP($A122,[5]库存使用数据!$A:$C,3,0),"")</f>
        <v/>
      </c>
      <c r="U122" t="str">
        <f>IFERROR(VLOOKUP($A122,[5]库存使用数据!$A:$F,6,0),"")</f>
        <v/>
      </c>
      <c r="V122" t="str">
        <f>IFERROR(VLOOKUP($A122,[5]库存使用数据!$A:$I,9,0),"")</f>
        <v/>
      </c>
      <c r="W122" t="str">
        <f>IFERROR(VLOOKUP($A122,[5]库存使用数据!$A:$L,12,0),"")</f>
        <v/>
      </c>
      <c r="X122" s="23" t="str">
        <f t="shared" si="26"/>
        <v/>
      </c>
      <c r="Y122" s="23" t="str">
        <f t="shared" si="27"/>
        <v/>
      </c>
      <c r="Z122" s="23" t="str">
        <f t="shared" si="28"/>
        <v/>
      </c>
      <c r="AA122" s="23" t="str">
        <f t="shared" si="29"/>
        <v/>
      </c>
      <c r="AB122" t="str">
        <f>IFERROR(VLOOKUP($A122,[5]库存使用数据!$A:$D,4,0),"")</f>
        <v/>
      </c>
      <c r="AC122" t="str">
        <f>IFERROR(VLOOKUP($A122,[5]库存使用数据!$A:$G,7,0),"")</f>
        <v/>
      </c>
      <c r="AD122" t="str">
        <f>IFERROR(VLOOKUP($A122,[5]库存使用数据!$A:$J,10,0),"")</f>
        <v/>
      </c>
      <c r="AE122" t="str">
        <f>IFERROR(VLOOKUP($A122,[5]库存使用数据!$A:$M,13,0),"")</f>
        <v/>
      </c>
      <c r="AF122" s="23" t="str">
        <f t="shared" si="30"/>
        <v/>
      </c>
      <c r="AG122" s="23" t="str">
        <f t="shared" si="31"/>
        <v/>
      </c>
      <c r="AH122" s="23" t="str">
        <f t="shared" si="32"/>
        <v/>
      </c>
      <c r="AI122" s="23" t="str">
        <f t="shared" si="33"/>
        <v/>
      </c>
      <c r="AJ122">
        <f>IFERROR(VLOOKUP($B122,[1]库存报告使用数据!$A$1:$B$65536,2,0),0)</f>
        <v>0</v>
      </c>
      <c r="AK122">
        <f>IFERROR(VLOOKUP($B122,[1]库存报告使用数据!$A$1:$C$65536,3,0),0)</f>
        <v>0</v>
      </c>
      <c r="AL122">
        <f>IFERROR(VLOOKUP($B122,[1]库存报告使用数据!$A$1:$D$65536,4,0),0)</f>
        <v>0</v>
      </c>
      <c r="AM122">
        <f>IFERROR(VLOOKUP($B122,[1]库存报告使用数据!$A$1:$E$65536,5,0),0)</f>
        <v>0</v>
      </c>
      <c r="AN122" s="23" t="str">
        <f t="shared" si="34"/>
        <v/>
      </c>
      <c r="AO122" s="23" t="str">
        <f t="shared" si="35"/>
        <v/>
      </c>
      <c r="AP122" s="23" t="str">
        <f t="shared" si="36"/>
        <v/>
      </c>
      <c r="AQ122" s="23" t="str">
        <f t="shared" si="37"/>
        <v/>
      </c>
      <c r="AR122" s="38">
        <f t="shared" si="22"/>
        <v>0</v>
      </c>
      <c r="AS122" s="38">
        <f t="shared" si="23"/>
        <v>0</v>
      </c>
      <c r="AT122" s="38">
        <f t="shared" si="24"/>
        <v>0</v>
      </c>
      <c r="AU122" s="33" t="str">
        <f t="shared" si="25"/>
        <v>库存为0</v>
      </c>
      <c r="AV122" s="39" t="str">
        <f>IFERROR(时间!$B$4+AU122,"上周无销量")</f>
        <v>上周无销量</v>
      </c>
    </row>
    <row r="123" spans="1:48">
      <c r="A123" s="35" t="s">
        <v>168</v>
      </c>
      <c r="B123" t="str">
        <f>VLOOKUP(A123,'[2]sku-asin（子）'!$A:$B,2,0)</f>
        <v>B074DWFV62</v>
      </c>
      <c r="C123" t="str">
        <f>VLOOKUP(A123,'[2]子sku-父sku'!$A:$B,2,0)</f>
        <v>N2047Y</v>
      </c>
      <c r="D123" s="33">
        <f>IFERROR(VLOOKUP(A123,[3]库存报告使用数据处理!$A:$C,3,0),0)</f>
        <v>0</v>
      </c>
      <c r="E123" s="33">
        <f>IFERROR(VLOOKUP(A123,[3]库存报告使用数据处理!$A:$D,4,0),0)</f>
        <v>0</v>
      </c>
      <c r="F123" s="33">
        <f>IFERROR(VLOOKUP(A123,[3]库存报告使用数据处理!$A:$E,5,0),0)</f>
        <v>0</v>
      </c>
      <c r="G123" s="33">
        <f>IFERROR(VLOOKUP(A123,[3]库存报告使用数据处理!$A:$F,6,0),0)</f>
        <v>0</v>
      </c>
      <c r="H123" s="34">
        <f>IFERROR(VLOOKUP(A123,[3]库存报告使用数据处理!$A:$G,7,0),0)</f>
        <v>0</v>
      </c>
      <c r="I123">
        <f>IFERROR(VLOOKUP(A123,[4]数据处理!$A:$B,2,0),0)</f>
        <v>2</v>
      </c>
      <c r="J123" s="36">
        <f>IFERROR(VLOOKUP(A123,[4]数据处理!$A:$D,4,0),0)</f>
        <v>0</v>
      </c>
      <c r="K123" s="36">
        <f>IFERROR(VLOOKUP(A123,[4]数据处理!$A:$E,5,0),0)</f>
        <v>0</v>
      </c>
      <c r="L123" s="36">
        <f>IFERROR(VLOOKUP(A123,[4]数据处理!$A:$G,7,0),0)</f>
        <v>0</v>
      </c>
      <c r="M123">
        <f t="shared" si="21"/>
        <v>2</v>
      </c>
      <c r="N123">
        <f>IFERROR(VLOOKUP(A123,[4]数据处理!$A:$C,3,0),0)</f>
        <v>0</v>
      </c>
      <c r="O123">
        <f>IFERROR(VLOOKUP($A123,[4]数据处理!$A:$N,14,0),0)</f>
        <v>2</v>
      </c>
      <c r="P123">
        <f>IFERROR(VLOOKUP($A123,[5]库存使用数据!$A:$B,2,0),"")</f>
        <v>537</v>
      </c>
      <c r="Q123">
        <f>IFERROR(VLOOKUP($A123,[5]库存使用数据!$A:$E,5,0),"")</f>
        <v>604</v>
      </c>
      <c r="R123">
        <f>IFERROR(VLOOKUP($A123,[5]库存使用数据!$A:$H,8,0),"")</f>
        <v>710</v>
      </c>
      <c r="S123">
        <f>IFERROR(VLOOKUP($A123,[5]库存使用数据!$A:$K,11,0),"")</f>
        <v>630</v>
      </c>
      <c r="T123">
        <f>IFERROR(VLOOKUP($A123,[5]库存使用数据!$A:$C,3,0),"")</f>
        <v>0</v>
      </c>
      <c r="U123">
        <f>IFERROR(VLOOKUP($A123,[5]库存使用数据!$A:$F,6,0),"")</f>
        <v>1</v>
      </c>
      <c r="V123">
        <f>IFERROR(VLOOKUP($A123,[5]库存使用数据!$A:$I,9,0),"")</f>
        <v>1</v>
      </c>
      <c r="W123">
        <f>IFERROR(VLOOKUP($A123,[5]库存使用数据!$A:$L,12,0),"")</f>
        <v>0</v>
      </c>
      <c r="X123" s="23">
        <f t="shared" si="26"/>
        <v>0</v>
      </c>
      <c r="Y123" s="23">
        <f t="shared" si="27"/>
        <v>0.00165562913907285</v>
      </c>
      <c r="Z123" s="23">
        <f t="shared" si="28"/>
        <v>0.00140845070422535</v>
      </c>
      <c r="AA123" s="23">
        <f t="shared" si="29"/>
        <v>0</v>
      </c>
      <c r="AB123">
        <f>IFERROR(VLOOKUP($A123,[5]库存使用数据!$A:$D,4,0),"")</f>
        <v>0</v>
      </c>
      <c r="AC123">
        <f>IFERROR(VLOOKUP($A123,[5]库存使用数据!$A:$G,7,0),"")</f>
        <v>0.31</v>
      </c>
      <c r="AD123">
        <f>IFERROR(VLOOKUP($A123,[5]库存使用数据!$A:$J,10,0),"")</f>
        <v>0.19</v>
      </c>
      <c r="AE123">
        <f>IFERROR(VLOOKUP($A123,[5]库存使用数据!$A:$M,13,0),"")</f>
        <v>0</v>
      </c>
      <c r="AF123" s="23" t="str">
        <f t="shared" si="30"/>
        <v/>
      </c>
      <c r="AG123" s="23" t="str">
        <f t="shared" si="31"/>
        <v>无销量广告费为0.31</v>
      </c>
      <c r="AH123" s="23" t="str">
        <f t="shared" si="32"/>
        <v>无销量广告费为0.19</v>
      </c>
      <c r="AI123" s="23" t="str">
        <f t="shared" si="33"/>
        <v/>
      </c>
      <c r="AJ123">
        <f>IFERROR(VLOOKUP($B123,[1]库存报告使用数据!$A$1:$B$65536,2,0),0)</f>
        <v>1</v>
      </c>
      <c r="AK123">
        <f>IFERROR(VLOOKUP($B123,[1]库存报告使用数据!$A$1:$C$65536,3,0),0)</f>
        <v>1</v>
      </c>
      <c r="AL123">
        <f>IFERROR(VLOOKUP($B123,[1]库存报告使用数据!$A$1:$D$65536,4,0),0)</f>
        <v>2</v>
      </c>
      <c r="AM123">
        <f>IFERROR(VLOOKUP($B123,[1]库存报告使用数据!$A$1:$E$65536,5,0),0)</f>
        <v>0</v>
      </c>
      <c r="AN123" s="23">
        <f t="shared" si="34"/>
        <v>0</v>
      </c>
      <c r="AO123" s="23">
        <f t="shared" si="35"/>
        <v>0</v>
      </c>
      <c r="AP123" s="23">
        <f t="shared" si="36"/>
        <v>0</v>
      </c>
      <c r="AQ123" s="23" t="str">
        <f t="shared" si="37"/>
        <v/>
      </c>
      <c r="AR123" s="38">
        <f t="shared" si="22"/>
        <v>0</v>
      </c>
      <c r="AS123" s="38">
        <f t="shared" si="23"/>
        <v>0</v>
      </c>
      <c r="AT123" s="38">
        <f t="shared" si="24"/>
        <v>2</v>
      </c>
      <c r="AU123" s="33" t="str">
        <f t="shared" si="25"/>
        <v>库存为2</v>
      </c>
      <c r="AV123" s="39" t="str">
        <f>IFERROR(时间!$B$4+AU123,"上周无销量")</f>
        <v>上周无销量</v>
      </c>
    </row>
    <row r="124" spans="1:48">
      <c r="A124" s="35" t="s">
        <v>169</v>
      </c>
      <c r="B124" t="str">
        <f>VLOOKUP(A124,'[2]sku-asin（子）'!$A:$B,2,0)</f>
        <v>B074DW5ZSD</v>
      </c>
      <c r="C124" t="str">
        <f>VLOOKUP(A124,'[2]子sku-父sku'!$A:$B,2,0)</f>
        <v>N2082Y</v>
      </c>
      <c r="D124" s="33">
        <f>IFERROR(VLOOKUP(A124,[3]库存报告使用数据处理!$A:$C,3,0),0)</f>
        <v>0</v>
      </c>
      <c r="E124" s="33">
        <f>IFERROR(VLOOKUP(A124,[3]库存报告使用数据处理!$A:$D,4,0),0)</f>
        <v>0</v>
      </c>
      <c r="F124" s="33">
        <f>IFERROR(VLOOKUP(A124,[3]库存报告使用数据处理!$A:$E,5,0),0)</f>
        <v>0</v>
      </c>
      <c r="G124" s="33">
        <f>IFERROR(VLOOKUP(A124,[3]库存报告使用数据处理!$A:$F,6,0),0)</f>
        <v>0</v>
      </c>
      <c r="H124" s="34">
        <f>IFERROR(VLOOKUP(A124,[3]库存报告使用数据处理!$A:$G,7,0),0)</f>
        <v>0</v>
      </c>
      <c r="I124">
        <f>IFERROR(VLOOKUP(A124,[4]数据处理!$A:$B,2,0),0)</f>
        <v>1</v>
      </c>
      <c r="J124" s="36">
        <f>IFERROR(VLOOKUP(A124,[4]数据处理!$A:$D,4,0),0)</f>
        <v>0</v>
      </c>
      <c r="K124" s="36">
        <f>IFERROR(VLOOKUP(A124,[4]数据处理!$A:$E,5,0),0)</f>
        <v>0</v>
      </c>
      <c r="L124" s="36">
        <f>IFERROR(VLOOKUP(A124,[4]数据处理!$A:$G,7,0),0)</f>
        <v>0</v>
      </c>
      <c r="M124">
        <f t="shared" si="21"/>
        <v>1</v>
      </c>
      <c r="N124">
        <f>IFERROR(VLOOKUP(A124,[4]数据处理!$A:$C,3,0),0)</f>
        <v>0</v>
      </c>
      <c r="O124">
        <f>IFERROR(VLOOKUP($A124,[4]数据处理!$A:$N,14,0),0)</f>
        <v>1</v>
      </c>
      <c r="P124">
        <f>IFERROR(VLOOKUP($A124,[5]库存使用数据!$A:$B,2,0),"")</f>
        <v>10</v>
      </c>
      <c r="Q124">
        <f>IFERROR(VLOOKUP($A124,[5]库存使用数据!$A:$E,5,0),"")</f>
        <v>35</v>
      </c>
      <c r="R124">
        <f>IFERROR(VLOOKUP($A124,[5]库存使用数据!$A:$H,8,0),"")</f>
        <v>24</v>
      </c>
      <c r="S124">
        <f>IFERROR(VLOOKUP($A124,[5]库存使用数据!$A:$K,11,0),"")</f>
        <v>4</v>
      </c>
      <c r="T124">
        <f>IFERROR(VLOOKUP($A124,[5]库存使用数据!$A:$C,3,0),"")</f>
        <v>0</v>
      </c>
      <c r="U124">
        <f>IFERROR(VLOOKUP($A124,[5]库存使用数据!$A:$F,6,0),"")</f>
        <v>0</v>
      </c>
      <c r="V124">
        <f>IFERROR(VLOOKUP($A124,[5]库存使用数据!$A:$I,9,0),"")</f>
        <v>0</v>
      </c>
      <c r="W124">
        <f>IFERROR(VLOOKUP($A124,[5]库存使用数据!$A:$L,12,0),"")</f>
        <v>1</v>
      </c>
      <c r="X124" s="23">
        <f t="shared" si="26"/>
        <v>0</v>
      </c>
      <c r="Y124" s="23">
        <f t="shared" si="27"/>
        <v>0</v>
      </c>
      <c r="Z124" s="23">
        <f t="shared" si="28"/>
        <v>0</v>
      </c>
      <c r="AA124" s="23">
        <f t="shared" si="29"/>
        <v>0.25</v>
      </c>
      <c r="AB124">
        <f>IFERROR(VLOOKUP($A124,[5]库存使用数据!$A:$D,4,0),"")</f>
        <v>0</v>
      </c>
      <c r="AC124">
        <f>IFERROR(VLOOKUP($A124,[5]库存使用数据!$A:$G,7,0),"")</f>
        <v>0</v>
      </c>
      <c r="AD124">
        <f>IFERROR(VLOOKUP($A124,[5]库存使用数据!$A:$J,10,0),"")</f>
        <v>0</v>
      </c>
      <c r="AE124">
        <f>IFERROR(VLOOKUP($A124,[5]库存使用数据!$A:$M,13,0),"")</f>
        <v>0.39</v>
      </c>
      <c r="AF124" s="23" t="str">
        <f t="shared" si="30"/>
        <v/>
      </c>
      <c r="AG124" s="23" t="str">
        <f t="shared" si="31"/>
        <v/>
      </c>
      <c r="AH124" s="23" t="str">
        <f t="shared" si="32"/>
        <v/>
      </c>
      <c r="AI124" s="23" t="str">
        <f t="shared" si="33"/>
        <v>无销量广告费为0.39</v>
      </c>
      <c r="AJ124">
        <f>IFERROR(VLOOKUP($B124,[1]库存报告使用数据!$A$1:$B$65536,2,0),0)</f>
        <v>0</v>
      </c>
      <c r="AK124">
        <f>IFERROR(VLOOKUP($B124,[1]库存报告使用数据!$A$1:$C$65536,3,0),0)</f>
        <v>3</v>
      </c>
      <c r="AL124">
        <f>IFERROR(VLOOKUP($B124,[1]库存报告使用数据!$A$1:$D$65536,4,0),0)</f>
        <v>0</v>
      </c>
      <c r="AM124">
        <f>IFERROR(VLOOKUP($B124,[1]库存报告使用数据!$A$1:$E$65536,5,0),0)</f>
        <v>1</v>
      </c>
      <c r="AN124" s="23" t="str">
        <f t="shared" si="34"/>
        <v/>
      </c>
      <c r="AO124" s="23">
        <f t="shared" si="35"/>
        <v>0</v>
      </c>
      <c r="AP124" s="23" t="str">
        <f t="shared" si="36"/>
        <v/>
      </c>
      <c r="AQ124" s="23">
        <f t="shared" si="37"/>
        <v>0</v>
      </c>
      <c r="AR124" s="38">
        <f t="shared" si="22"/>
        <v>0</v>
      </c>
      <c r="AS124" s="38">
        <f t="shared" si="23"/>
        <v>0</v>
      </c>
      <c r="AT124" s="38">
        <f t="shared" si="24"/>
        <v>1</v>
      </c>
      <c r="AU124" s="33" t="str">
        <f t="shared" si="25"/>
        <v>库存为1</v>
      </c>
      <c r="AV124" s="39" t="str">
        <f>IFERROR(时间!$B$4+AU124,"上周无销量")</f>
        <v>上周无销量</v>
      </c>
    </row>
    <row r="125" spans="1:48">
      <c r="A125" s="35" t="s">
        <v>170</v>
      </c>
      <c r="B125" t="str">
        <f>VLOOKUP(A125,'[2]sku-asin（子）'!$A:$B,2,0)</f>
        <v>B074DVY5J8</v>
      </c>
      <c r="C125" t="str">
        <f>VLOOKUP(A125,'[2]子sku-父sku'!$A:$B,2,0)</f>
        <v>N2082Y</v>
      </c>
      <c r="D125" s="33">
        <f>IFERROR(VLOOKUP(A125,[3]库存报告使用数据处理!$A:$C,3,0),0)</f>
        <v>0</v>
      </c>
      <c r="E125" s="33">
        <f>IFERROR(VLOOKUP(A125,[3]库存报告使用数据处理!$A:$D,4,0),0)</f>
        <v>0</v>
      </c>
      <c r="F125" s="33">
        <f>IFERROR(VLOOKUP(A125,[3]库存报告使用数据处理!$A:$E,5,0),0)</f>
        <v>0</v>
      </c>
      <c r="G125" s="33">
        <f>IFERROR(VLOOKUP(A125,[3]库存报告使用数据处理!$A:$F,6,0),0)</f>
        <v>0</v>
      </c>
      <c r="H125" s="34">
        <f>IFERROR(VLOOKUP(A125,[3]库存报告使用数据处理!$A:$G,7,0),0)</f>
        <v>0</v>
      </c>
      <c r="I125">
        <f>IFERROR(VLOOKUP(A125,[4]数据处理!$A:$B,2,0),0)</f>
        <v>1</v>
      </c>
      <c r="J125" s="36">
        <f>IFERROR(VLOOKUP(A125,[4]数据处理!$A:$D,4,0),0)</f>
        <v>0</v>
      </c>
      <c r="K125" s="36">
        <f>IFERROR(VLOOKUP(A125,[4]数据处理!$A:$E,5,0),0)</f>
        <v>0</v>
      </c>
      <c r="L125" s="36">
        <f>IFERROR(VLOOKUP(A125,[4]数据处理!$A:$G,7,0),0)</f>
        <v>0</v>
      </c>
      <c r="M125">
        <f t="shared" si="21"/>
        <v>1</v>
      </c>
      <c r="N125">
        <f>IFERROR(VLOOKUP(A125,[4]数据处理!$A:$C,3,0),0)</f>
        <v>0</v>
      </c>
      <c r="O125">
        <f>IFERROR(VLOOKUP($A125,[4]数据处理!$A:$N,14,0),0)</f>
        <v>1</v>
      </c>
      <c r="P125">
        <f>IFERROR(VLOOKUP($A125,[5]库存使用数据!$A:$B,2,0),"")</f>
        <v>171</v>
      </c>
      <c r="Q125">
        <f>IFERROR(VLOOKUP($A125,[5]库存使用数据!$A:$E,5,0),"")</f>
        <v>125</v>
      </c>
      <c r="R125">
        <f>IFERROR(VLOOKUP($A125,[5]库存使用数据!$A:$H,8,0),"")</f>
        <v>77</v>
      </c>
      <c r="S125">
        <f>IFERROR(VLOOKUP($A125,[5]库存使用数据!$A:$K,11,0),"")</f>
        <v>49</v>
      </c>
      <c r="T125">
        <f>IFERROR(VLOOKUP($A125,[5]库存使用数据!$A:$C,3,0),"")</f>
        <v>1</v>
      </c>
      <c r="U125">
        <f>IFERROR(VLOOKUP($A125,[5]库存使用数据!$A:$F,6,0),"")</f>
        <v>0</v>
      </c>
      <c r="V125">
        <f>IFERROR(VLOOKUP($A125,[5]库存使用数据!$A:$I,9,0),"")</f>
        <v>0</v>
      </c>
      <c r="W125">
        <f>IFERROR(VLOOKUP($A125,[5]库存使用数据!$A:$L,12,0),"")</f>
        <v>0</v>
      </c>
      <c r="X125" s="23">
        <f t="shared" si="26"/>
        <v>0.00584795321637427</v>
      </c>
      <c r="Y125" s="23">
        <f t="shared" si="27"/>
        <v>0</v>
      </c>
      <c r="Z125" s="23">
        <f t="shared" si="28"/>
        <v>0</v>
      </c>
      <c r="AA125" s="23">
        <f t="shared" si="29"/>
        <v>0</v>
      </c>
      <c r="AB125">
        <f>IFERROR(VLOOKUP($A125,[5]库存使用数据!$A:$D,4,0),"")</f>
        <v>0.04</v>
      </c>
      <c r="AC125">
        <f>IFERROR(VLOOKUP($A125,[5]库存使用数据!$A:$G,7,0),"")</f>
        <v>0</v>
      </c>
      <c r="AD125">
        <f>IFERROR(VLOOKUP($A125,[5]库存使用数据!$A:$J,10,0),"")</f>
        <v>0</v>
      </c>
      <c r="AE125">
        <f>IFERROR(VLOOKUP($A125,[5]库存使用数据!$A:$M,13,0),"")</f>
        <v>0</v>
      </c>
      <c r="AF125" s="23" t="str">
        <f t="shared" si="30"/>
        <v>无销量广告费为0.04</v>
      </c>
      <c r="AG125" s="23" t="str">
        <f t="shared" si="31"/>
        <v/>
      </c>
      <c r="AH125" s="23" t="str">
        <f t="shared" si="32"/>
        <v/>
      </c>
      <c r="AI125" s="23" t="str">
        <f t="shared" si="33"/>
        <v/>
      </c>
      <c r="AJ125">
        <f>IFERROR(VLOOKUP($B125,[1]库存报告使用数据!$A$1:$B$65536,2,0),0)</f>
        <v>0</v>
      </c>
      <c r="AK125">
        <f>IFERROR(VLOOKUP($B125,[1]库存报告使用数据!$A$1:$C$65536,3,0),0)</f>
        <v>2</v>
      </c>
      <c r="AL125">
        <f>IFERROR(VLOOKUP($B125,[1]库存报告使用数据!$A$1:$D$65536,4,0),0)</f>
        <v>0</v>
      </c>
      <c r="AM125">
        <f>IFERROR(VLOOKUP($B125,[1]库存报告使用数据!$A$1:$E$65536,5,0),0)</f>
        <v>0</v>
      </c>
      <c r="AN125" s="23" t="str">
        <f t="shared" si="34"/>
        <v/>
      </c>
      <c r="AO125" s="23">
        <f t="shared" si="35"/>
        <v>0</v>
      </c>
      <c r="AP125" s="23" t="str">
        <f t="shared" si="36"/>
        <v/>
      </c>
      <c r="AQ125" s="23" t="str">
        <f t="shared" si="37"/>
        <v/>
      </c>
      <c r="AR125" s="38">
        <f t="shared" si="22"/>
        <v>0</v>
      </c>
      <c r="AS125" s="38">
        <f t="shared" si="23"/>
        <v>0</v>
      </c>
      <c r="AT125" s="38">
        <f t="shared" si="24"/>
        <v>1</v>
      </c>
      <c r="AU125" s="33" t="str">
        <f t="shared" si="25"/>
        <v>库存为1</v>
      </c>
      <c r="AV125" s="39" t="str">
        <f>IFERROR(时间!$B$4+AU125,"上周无销量")</f>
        <v>上周无销量</v>
      </c>
    </row>
    <row r="126" spans="1:48">
      <c r="A126" s="35" t="s">
        <v>171</v>
      </c>
      <c r="B126" t="str">
        <f>VLOOKUP(A126,'[2]sku-asin（子）'!$A:$B,2,0)</f>
        <v>B074DW2MGG</v>
      </c>
      <c r="C126" t="str">
        <f>VLOOKUP(A126,'[2]子sku-父sku'!$A:$B,2,0)</f>
        <v>N2082Y</v>
      </c>
      <c r="D126" s="33">
        <f>IFERROR(VLOOKUP(A126,[3]库存报告使用数据处理!$A:$C,3,0),0)</f>
        <v>0</v>
      </c>
      <c r="E126" s="33">
        <f>IFERROR(VLOOKUP(A126,[3]库存报告使用数据处理!$A:$D,4,0),0)</f>
        <v>0</v>
      </c>
      <c r="F126" s="33">
        <f>IFERROR(VLOOKUP(A126,[3]库存报告使用数据处理!$A:$E,5,0),0)</f>
        <v>0</v>
      </c>
      <c r="G126" s="33">
        <f>IFERROR(VLOOKUP(A126,[3]库存报告使用数据处理!$A:$F,6,0),0)</f>
        <v>0</v>
      </c>
      <c r="H126" s="34">
        <f>IFERROR(VLOOKUP(A126,[3]库存报告使用数据处理!$A:$G,7,0),0)</f>
        <v>0</v>
      </c>
      <c r="I126">
        <f>IFERROR(VLOOKUP(A126,[4]数据处理!$A:$B,2,0),0)</f>
        <v>1</v>
      </c>
      <c r="J126" s="36">
        <f>IFERROR(VLOOKUP(A126,[4]数据处理!$A:$D,4,0),0)</f>
        <v>0</v>
      </c>
      <c r="K126" s="36">
        <f>IFERROR(VLOOKUP(A126,[4]数据处理!$A:$E,5,0),0)</f>
        <v>0</v>
      </c>
      <c r="L126" s="36">
        <f>IFERROR(VLOOKUP(A126,[4]数据处理!$A:$G,7,0),0)</f>
        <v>0</v>
      </c>
      <c r="M126">
        <f t="shared" si="21"/>
        <v>1</v>
      </c>
      <c r="N126">
        <f>IFERROR(VLOOKUP(A126,[4]数据处理!$A:$C,3,0),0)</f>
        <v>0</v>
      </c>
      <c r="O126">
        <f>IFERROR(VLOOKUP($A126,[4]数据处理!$A:$N,14,0),0)</f>
        <v>1</v>
      </c>
      <c r="P126">
        <f>IFERROR(VLOOKUP($A126,[5]库存使用数据!$A:$B,2,0),"")</f>
        <v>21</v>
      </c>
      <c r="Q126">
        <f>IFERROR(VLOOKUP($A126,[5]库存使用数据!$A:$E,5,0),"")</f>
        <v>32</v>
      </c>
      <c r="R126">
        <f>IFERROR(VLOOKUP($A126,[5]库存使用数据!$A:$H,8,0),"")</f>
        <v>34</v>
      </c>
      <c r="S126">
        <f>IFERROR(VLOOKUP($A126,[5]库存使用数据!$A:$K,11,0),"")</f>
        <v>22</v>
      </c>
      <c r="T126">
        <f>IFERROR(VLOOKUP($A126,[5]库存使用数据!$A:$C,3,0),"")</f>
        <v>0</v>
      </c>
      <c r="U126">
        <f>IFERROR(VLOOKUP($A126,[5]库存使用数据!$A:$F,6,0),"")</f>
        <v>0</v>
      </c>
      <c r="V126">
        <f>IFERROR(VLOOKUP($A126,[5]库存使用数据!$A:$I,9,0),"")</f>
        <v>1</v>
      </c>
      <c r="W126">
        <f>IFERROR(VLOOKUP($A126,[5]库存使用数据!$A:$L,12,0),"")</f>
        <v>1</v>
      </c>
      <c r="X126" s="23">
        <f t="shared" si="26"/>
        <v>0</v>
      </c>
      <c r="Y126" s="23">
        <f t="shared" si="27"/>
        <v>0</v>
      </c>
      <c r="Z126" s="23">
        <f t="shared" si="28"/>
        <v>0.0294117647058824</v>
      </c>
      <c r="AA126" s="23">
        <f t="shared" si="29"/>
        <v>0.0454545454545455</v>
      </c>
      <c r="AB126">
        <f>IFERROR(VLOOKUP($A126,[5]库存使用数据!$A:$D,4,0),"")</f>
        <v>0</v>
      </c>
      <c r="AC126">
        <f>IFERROR(VLOOKUP($A126,[5]库存使用数据!$A:$G,7,0),"")</f>
        <v>0</v>
      </c>
      <c r="AD126">
        <f>IFERROR(VLOOKUP($A126,[5]库存使用数据!$A:$J,10,0),"")</f>
        <v>0.26</v>
      </c>
      <c r="AE126">
        <f>IFERROR(VLOOKUP($A126,[5]库存使用数据!$A:$M,13,0),"")</f>
        <v>0.41</v>
      </c>
      <c r="AF126" s="23" t="str">
        <f t="shared" si="30"/>
        <v/>
      </c>
      <c r="AG126" s="23" t="str">
        <f t="shared" si="31"/>
        <v/>
      </c>
      <c r="AH126" s="23" t="str">
        <f t="shared" si="32"/>
        <v>无销量广告费为0.26</v>
      </c>
      <c r="AI126" s="23" t="str">
        <f t="shared" si="33"/>
        <v>无销量广告费为0.41</v>
      </c>
      <c r="AJ126">
        <f>IFERROR(VLOOKUP($B126,[1]库存报告使用数据!$A$1:$B$65536,2,0),0)</f>
        <v>1</v>
      </c>
      <c r="AK126">
        <f>IFERROR(VLOOKUP($B126,[1]库存报告使用数据!$A$1:$C$65536,3,0),0)</f>
        <v>2</v>
      </c>
      <c r="AL126">
        <f>IFERROR(VLOOKUP($B126,[1]库存报告使用数据!$A$1:$D$65536,4,0),0)</f>
        <v>2</v>
      </c>
      <c r="AM126">
        <f>IFERROR(VLOOKUP($B126,[1]库存报告使用数据!$A$1:$E$65536,5,0),0)</f>
        <v>0</v>
      </c>
      <c r="AN126" s="23">
        <f t="shared" si="34"/>
        <v>0</v>
      </c>
      <c r="AO126" s="23">
        <f t="shared" si="35"/>
        <v>0</v>
      </c>
      <c r="AP126" s="23">
        <f t="shared" si="36"/>
        <v>0</v>
      </c>
      <c r="AQ126" s="23" t="str">
        <f t="shared" si="37"/>
        <v/>
      </c>
      <c r="AR126" s="38">
        <f t="shared" si="22"/>
        <v>0</v>
      </c>
      <c r="AS126" s="38">
        <f t="shared" si="23"/>
        <v>0</v>
      </c>
      <c r="AT126" s="38">
        <f t="shared" si="24"/>
        <v>1</v>
      </c>
      <c r="AU126" s="33" t="str">
        <f t="shared" si="25"/>
        <v>库存为1</v>
      </c>
      <c r="AV126" s="39" t="str">
        <f>IFERROR(时间!$B$4+AU126,"上周无销量")</f>
        <v>上周无销量</v>
      </c>
    </row>
    <row r="127" spans="1:48">
      <c r="A127" s="35" t="s">
        <v>172</v>
      </c>
      <c r="B127" t="str">
        <f>VLOOKUP(A127,'[2]sku-asin（子）'!$A:$B,2,0)</f>
        <v>B074DW1MXR</v>
      </c>
      <c r="C127" t="str">
        <f>VLOOKUP(A127,'[2]子sku-父sku'!$A:$B,2,0)</f>
        <v>N2082Y</v>
      </c>
      <c r="D127" s="33">
        <f>IFERROR(VLOOKUP(A127,[3]库存报告使用数据处理!$A:$C,3,0),0)</f>
        <v>0</v>
      </c>
      <c r="E127" s="33">
        <f>IFERROR(VLOOKUP(A127,[3]库存报告使用数据处理!$A:$D,4,0),0)</f>
        <v>0</v>
      </c>
      <c r="F127" s="33">
        <f>IFERROR(VLOOKUP(A127,[3]库存报告使用数据处理!$A:$E,5,0),0)</f>
        <v>0</v>
      </c>
      <c r="G127" s="33">
        <f>IFERROR(VLOOKUP(A127,[3]库存报告使用数据处理!$A:$F,6,0),0)</f>
        <v>0</v>
      </c>
      <c r="H127" s="34">
        <f>IFERROR(VLOOKUP(A127,[3]库存报告使用数据处理!$A:$G,7,0),0)</f>
        <v>0</v>
      </c>
      <c r="I127">
        <f>IFERROR(VLOOKUP(A127,[4]数据处理!$A:$B,2,0),0)</f>
        <v>1</v>
      </c>
      <c r="J127" s="36">
        <f>IFERROR(VLOOKUP(A127,[4]数据处理!$A:$D,4,0),0)</f>
        <v>0</v>
      </c>
      <c r="K127" s="36">
        <f>IFERROR(VLOOKUP(A127,[4]数据处理!$A:$E,5,0),0)</f>
        <v>0</v>
      </c>
      <c r="L127" s="36">
        <f>IFERROR(VLOOKUP(A127,[4]数据处理!$A:$G,7,0),0)</f>
        <v>0</v>
      </c>
      <c r="M127">
        <f t="shared" si="21"/>
        <v>1</v>
      </c>
      <c r="N127">
        <f>IFERROR(VLOOKUP(A127,[4]数据处理!$A:$C,3,0),0)</f>
        <v>0</v>
      </c>
      <c r="O127">
        <f>IFERROR(VLOOKUP($A127,[4]数据处理!$A:$N,14,0),0)</f>
        <v>1</v>
      </c>
      <c r="P127">
        <f>IFERROR(VLOOKUP($A127,[5]库存使用数据!$A:$B,2,0),"")</f>
        <v>14</v>
      </c>
      <c r="Q127">
        <f>IFERROR(VLOOKUP($A127,[5]库存使用数据!$A:$E,5,0),"")</f>
        <v>7</v>
      </c>
      <c r="R127">
        <f>IFERROR(VLOOKUP($A127,[5]库存使用数据!$A:$H,8,0),"")</f>
        <v>42</v>
      </c>
      <c r="S127">
        <f>IFERROR(VLOOKUP($A127,[5]库存使用数据!$A:$K,11,0),"")</f>
        <v>21</v>
      </c>
      <c r="T127">
        <f>IFERROR(VLOOKUP($A127,[5]库存使用数据!$A:$C,3,0),"")</f>
        <v>0</v>
      </c>
      <c r="U127">
        <f>IFERROR(VLOOKUP($A127,[5]库存使用数据!$A:$F,6,0),"")</f>
        <v>0</v>
      </c>
      <c r="V127">
        <f>IFERROR(VLOOKUP($A127,[5]库存使用数据!$A:$I,9,0),"")</f>
        <v>0</v>
      </c>
      <c r="W127">
        <f>IFERROR(VLOOKUP($A127,[5]库存使用数据!$A:$L,12,0),"")</f>
        <v>0</v>
      </c>
      <c r="X127" s="23">
        <f t="shared" si="26"/>
        <v>0</v>
      </c>
      <c r="Y127" s="23">
        <f t="shared" si="27"/>
        <v>0</v>
      </c>
      <c r="Z127" s="23">
        <f t="shared" si="28"/>
        <v>0</v>
      </c>
      <c r="AA127" s="23">
        <f t="shared" si="29"/>
        <v>0</v>
      </c>
      <c r="AB127">
        <f>IFERROR(VLOOKUP($A127,[5]库存使用数据!$A:$D,4,0),"")</f>
        <v>0</v>
      </c>
      <c r="AC127">
        <f>IFERROR(VLOOKUP($A127,[5]库存使用数据!$A:$G,7,0),"")</f>
        <v>0</v>
      </c>
      <c r="AD127">
        <f>IFERROR(VLOOKUP($A127,[5]库存使用数据!$A:$J,10,0),"")</f>
        <v>0</v>
      </c>
      <c r="AE127">
        <f>IFERROR(VLOOKUP($A127,[5]库存使用数据!$A:$M,13,0),"")</f>
        <v>0</v>
      </c>
      <c r="AF127" s="23" t="str">
        <f t="shared" si="30"/>
        <v/>
      </c>
      <c r="AG127" s="23" t="str">
        <f t="shared" si="31"/>
        <v/>
      </c>
      <c r="AH127" s="23" t="str">
        <f t="shared" si="32"/>
        <v/>
      </c>
      <c r="AI127" s="23" t="str">
        <f t="shared" si="33"/>
        <v/>
      </c>
      <c r="AJ127">
        <f>IFERROR(VLOOKUP($B127,[1]库存报告使用数据!$A$1:$B$65536,2,0),0)</f>
        <v>1</v>
      </c>
      <c r="AK127">
        <f>IFERROR(VLOOKUP($B127,[1]库存报告使用数据!$A$1:$C$65536,3,0),0)</f>
        <v>2</v>
      </c>
      <c r="AL127">
        <f>IFERROR(VLOOKUP($B127,[1]库存报告使用数据!$A$1:$D$65536,4,0),0)</f>
        <v>0</v>
      </c>
      <c r="AM127">
        <f>IFERROR(VLOOKUP($B127,[1]库存报告使用数据!$A$1:$E$65536,5,0),0)</f>
        <v>1</v>
      </c>
      <c r="AN127" s="23">
        <f t="shared" si="34"/>
        <v>0</v>
      </c>
      <c r="AO127" s="23">
        <f t="shared" si="35"/>
        <v>0</v>
      </c>
      <c r="AP127" s="23" t="str">
        <f t="shared" si="36"/>
        <v/>
      </c>
      <c r="AQ127" s="23">
        <f t="shared" si="37"/>
        <v>0</v>
      </c>
      <c r="AR127" s="38">
        <f t="shared" si="22"/>
        <v>0</v>
      </c>
      <c r="AS127" s="38">
        <f t="shared" si="23"/>
        <v>0</v>
      </c>
      <c r="AT127" s="38">
        <f t="shared" si="24"/>
        <v>1</v>
      </c>
      <c r="AU127" s="33" t="str">
        <f t="shared" si="25"/>
        <v>库存为1</v>
      </c>
      <c r="AV127" s="39" t="str">
        <f>IFERROR(时间!$B$4+AU127,"上周无销量")</f>
        <v>上周无销量</v>
      </c>
    </row>
    <row r="128" spans="1:48">
      <c r="A128" s="35" t="s">
        <v>173</v>
      </c>
      <c r="B128" t="str">
        <f>VLOOKUP(A128,'[2]sku-asin（子）'!$A:$B,2,0)</f>
        <v>B074DW2H3B</v>
      </c>
      <c r="C128" t="str">
        <f>VLOOKUP(A128,'[2]子sku-父sku'!$A:$B,2,0)</f>
        <v>N2082Y</v>
      </c>
      <c r="D128" s="33">
        <f>IFERROR(VLOOKUP(A128,[3]库存报告使用数据处理!$A:$C,3,0),0)</f>
        <v>0</v>
      </c>
      <c r="E128" s="33">
        <f>IFERROR(VLOOKUP(A128,[3]库存报告使用数据处理!$A:$D,4,0),0)</f>
        <v>0</v>
      </c>
      <c r="F128" s="33">
        <f>IFERROR(VLOOKUP(A128,[3]库存报告使用数据处理!$A:$E,5,0),0)</f>
        <v>0</v>
      </c>
      <c r="G128" s="33">
        <f>IFERROR(VLOOKUP(A128,[3]库存报告使用数据处理!$A:$F,6,0),0)</f>
        <v>0</v>
      </c>
      <c r="H128" s="34">
        <f>IFERROR(VLOOKUP(A128,[3]库存报告使用数据处理!$A:$G,7,0),0)</f>
        <v>0</v>
      </c>
      <c r="I128">
        <f>IFERROR(VLOOKUP(A128,[4]数据处理!$A:$B,2,0),0)</f>
        <v>1</v>
      </c>
      <c r="J128" s="36">
        <f>IFERROR(VLOOKUP(A128,[4]数据处理!$A:$D,4,0),0)</f>
        <v>0</v>
      </c>
      <c r="K128" s="36">
        <f>IFERROR(VLOOKUP(A128,[4]数据处理!$A:$E,5,0),0)</f>
        <v>0</v>
      </c>
      <c r="L128" s="36">
        <f>IFERROR(VLOOKUP(A128,[4]数据处理!$A:$G,7,0),0)</f>
        <v>0</v>
      </c>
      <c r="M128">
        <f t="shared" si="21"/>
        <v>1</v>
      </c>
      <c r="N128">
        <f>IFERROR(VLOOKUP(A128,[4]数据处理!$A:$C,3,0),0)</f>
        <v>0</v>
      </c>
      <c r="O128">
        <f>IFERROR(VLOOKUP($A128,[4]数据处理!$A:$N,14,0),0)</f>
        <v>1</v>
      </c>
      <c r="P128">
        <f>IFERROR(VLOOKUP($A128,[5]库存使用数据!$A:$B,2,0),"")</f>
        <v>15</v>
      </c>
      <c r="Q128">
        <f>IFERROR(VLOOKUP($A128,[5]库存使用数据!$A:$E,5,0),"")</f>
        <v>70</v>
      </c>
      <c r="R128">
        <f>IFERROR(VLOOKUP($A128,[5]库存使用数据!$A:$H,8,0),"")</f>
        <v>28</v>
      </c>
      <c r="S128">
        <f>IFERROR(VLOOKUP($A128,[5]库存使用数据!$A:$K,11,0),"")</f>
        <v>27</v>
      </c>
      <c r="T128">
        <f>IFERROR(VLOOKUP($A128,[5]库存使用数据!$A:$C,3,0),"")</f>
        <v>0</v>
      </c>
      <c r="U128">
        <f>IFERROR(VLOOKUP($A128,[5]库存使用数据!$A:$F,6,0),"")</f>
        <v>0</v>
      </c>
      <c r="V128">
        <f>IFERROR(VLOOKUP($A128,[5]库存使用数据!$A:$I,9,0),"")</f>
        <v>0</v>
      </c>
      <c r="W128">
        <f>IFERROR(VLOOKUP($A128,[5]库存使用数据!$A:$L,12,0),"")</f>
        <v>0</v>
      </c>
      <c r="X128" s="23">
        <f t="shared" si="26"/>
        <v>0</v>
      </c>
      <c r="Y128" s="23">
        <f t="shared" si="27"/>
        <v>0</v>
      </c>
      <c r="Z128" s="23">
        <f t="shared" si="28"/>
        <v>0</v>
      </c>
      <c r="AA128" s="23">
        <f t="shared" si="29"/>
        <v>0</v>
      </c>
      <c r="AB128">
        <f>IFERROR(VLOOKUP($A128,[5]库存使用数据!$A:$D,4,0),"")</f>
        <v>0</v>
      </c>
      <c r="AC128">
        <f>IFERROR(VLOOKUP($A128,[5]库存使用数据!$A:$G,7,0),"")</f>
        <v>0</v>
      </c>
      <c r="AD128">
        <f>IFERROR(VLOOKUP($A128,[5]库存使用数据!$A:$J,10,0),"")</f>
        <v>0</v>
      </c>
      <c r="AE128">
        <f>IFERROR(VLOOKUP($A128,[5]库存使用数据!$A:$M,13,0),"")</f>
        <v>0</v>
      </c>
      <c r="AF128" s="23" t="str">
        <f t="shared" si="30"/>
        <v/>
      </c>
      <c r="AG128" s="23" t="str">
        <f t="shared" si="31"/>
        <v/>
      </c>
      <c r="AH128" s="23" t="str">
        <f t="shared" si="32"/>
        <v/>
      </c>
      <c r="AI128" s="23" t="str">
        <f t="shared" si="33"/>
        <v/>
      </c>
      <c r="AJ128">
        <f>IFERROR(VLOOKUP($B128,[1]库存报告使用数据!$A$1:$B$65536,2,0),0)</f>
        <v>0</v>
      </c>
      <c r="AK128">
        <f>IFERROR(VLOOKUP($B128,[1]库存报告使用数据!$A$1:$C$65536,3,0),0)</f>
        <v>1</v>
      </c>
      <c r="AL128">
        <f>IFERROR(VLOOKUP($B128,[1]库存报告使用数据!$A$1:$D$65536,4,0),0)</f>
        <v>2</v>
      </c>
      <c r="AM128">
        <f>IFERROR(VLOOKUP($B128,[1]库存报告使用数据!$A$1:$E$65536,5,0),0)</f>
        <v>1</v>
      </c>
      <c r="AN128" s="23" t="str">
        <f t="shared" si="34"/>
        <v/>
      </c>
      <c r="AO128" s="23">
        <f t="shared" si="35"/>
        <v>0</v>
      </c>
      <c r="AP128" s="23">
        <f t="shared" si="36"/>
        <v>0</v>
      </c>
      <c r="AQ128" s="23">
        <f t="shared" si="37"/>
        <v>0</v>
      </c>
      <c r="AR128" s="38">
        <f t="shared" si="22"/>
        <v>0</v>
      </c>
      <c r="AS128" s="38">
        <f t="shared" si="23"/>
        <v>0</v>
      </c>
      <c r="AT128" s="38">
        <f t="shared" si="24"/>
        <v>1</v>
      </c>
      <c r="AU128" s="33" t="str">
        <f t="shared" si="25"/>
        <v>库存为1</v>
      </c>
      <c r="AV128" s="39" t="str">
        <f>IFERROR(时间!$B$4+AU128,"上周无销量")</f>
        <v>上周无销量</v>
      </c>
    </row>
    <row r="129" spans="1:48">
      <c r="A129" s="35" t="s">
        <v>174</v>
      </c>
      <c r="B129" t="str">
        <f>VLOOKUP(A129,'[2]sku-asin（子）'!$A:$B,2,0)</f>
        <v>B074DWNCM6</v>
      </c>
      <c r="C129" t="str">
        <f>VLOOKUP(A129,'[2]子sku-父sku'!$A:$B,2,0)</f>
        <v>N2082Y</v>
      </c>
      <c r="D129" s="33">
        <f>IFERROR(VLOOKUP(A129,[3]库存报告使用数据处理!$A:$C,3,0),0)</f>
        <v>0</v>
      </c>
      <c r="E129" s="33">
        <f>IFERROR(VLOOKUP(A129,[3]库存报告使用数据处理!$A:$D,4,0),0)</f>
        <v>0</v>
      </c>
      <c r="F129" s="33">
        <f>IFERROR(VLOOKUP(A129,[3]库存报告使用数据处理!$A:$E,5,0),0)</f>
        <v>0</v>
      </c>
      <c r="G129" s="33">
        <f>IFERROR(VLOOKUP(A129,[3]库存报告使用数据处理!$A:$F,6,0),0)</f>
        <v>0</v>
      </c>
      <c r="H129" s="34">
        <f>IFERROR(VLOOKUP(A129,[3]库存报告使用数据处理!$A:$G,7,0),0)</f>
        <v>0</v>
      </c>
      <c r="I129">
        <f>IFERROR(VLOOKUP(A129,[4]数据处理!$A:$B,2,0),0)</f>
        <v>0</v>
      </c>
      <c r="J129" s="36">
        <f>IFERROR(VLOOKUP(A129,[4]数据处理!$A:$D,4,0),0)</f>
        <v>0</v>
      </c>
      <c r="K129" s="36">
        <f>IFERROR(VLOOKUP(A129,[4]数据处理!$A:$E,5,0),0)</f>
        <v>0</v>
      </c>
      <c r="L129" s="36">
        <f>IFERROR(VLOOKUP(A129,[4]数据处理!$A:$G,7,0),0)</f>
        <v>0</v>
      </c>
      <c r="M129">
        <f t="shared" si="21"/>
        <v>0</v>
      </c>
      <c r="N129">
        <f>IFERROR(VLOOKUP(A129,[4]数据处理!$A:$C,3,0),0)</f>
        <v>0</v>
      </c>
      <c r="O129">
        <f>IFERROR(VLOOKUP($A129,[4]数据处理!$A:$N,14,0),0)</f>
        <v>0</v>
      </c>
      <c r="P129" t="str">
        <f>IFERROR(VLOOKUP($A129,[5]库存使用数据!$A:$B,2,0),"")</f>
        <v/>
      </c>
      <c r="Q129" t="str">
        <f>IFERROR(VLOOKUP($A129,[5]库存使用数据!$A:$E,5,0),"")</f>
        <v/>
      </c>
      <c r="R129" t="str">
        <f>IFERROR(VLOOKUP($A129,[5]库存使用数据!$A:$H,8,0),"")</f>
        <v/>
      </c>
      <c r="S129" t="str">
        <f>IFERROR(VLOOKUP($A129,[5]库存使用数据!$A:$K,11,0),"")</f>
        <v/>
      </c>
      <c r="T129" t="str">
        <f>IFERROR(VLOOKUP($A129,[5]库存使用数据!$A:$C,3,0),"")</f>
        <v/>
      </c>
      <c r="U129" t="str">
        <f>IFERROR(VLOOKUP($A129,[5]库存使用数据!$A:$F,6,0),"")</f>
        <v/>
      </c>
      <c r="V129" t="str">
        <f>IFERROR(VLOOKUP($A129,[5]库存使用数据!$A:$I,9,0),"")</f>
        <v/>
      </c>
      <c r="W129" t="str">
        <f>IFERROR(VLOOKUP($A129,[5]库存使用数据!$A:$L,12,0),"")</f>
        <v/>
      </c>
      <c r="X129" s="23" t="str">
        <f t="shared" si="26"/>
        <v/>
      </c>
      <c r="Y129" s="23" t="str">
        <f t="shared" si="27"/>
        <v/>
      </c>
      <c r="Z129" s="23" t="str">
        <f t="shared" si="28"/>
        <v/>
      </c>
      <c r="AA129" s="23" t="str">
        <f t="shared" si="29"/>
        <v/>
      </c>
      <c r="AB129" t="str">
        <f>IFERROR(VLOOKUP($A129,[5]库存使用数据!$A:$D,4,0),"")</f>
        <v/>
      </c>
      <c r="AC129" t="str">
        <f>IFERROR(VLOOKUP($A129,[5]库存使用数据!$A:$G,7,0),"")</f>
        <v/>
      </c>
      <c r="AD129" t="str">
        <f>IFERROR(VLOOKUP($A129,[5]库存使用数据!$A:$J,10,0),"")</f>
        <v/>
      </c>
      <c r="AE129" t="str">
        <f>IFERROR(VLOOKUP($A129,[5]库存使用数据!$A:$M,13,0),"")</f>
        <v/>
      </c>
      <c r="AF129" s="23" t="str">
        <f t="shared" si="30"/>
        <v/>
      </c>
      <c r="AG129" s="23" t="str">
        <f t="shared" si="31"/>
        <v/>
      </c>
      <c r="AH129" s="23" t="str">
        <f t="shared" si="32"/>
        <v/>
      </c>
      <c r="AI129" s="23" t="str">
        <f t="shared" si="33"/>
        <v/>
      </c>
      <c r="AJ129">
        <f>IFERROR(VLOOKUP($B129,[1]库存报告使用数据!$A$1:$B$65536,2,0),0)</f>
        <v>0</v>
      </c>
      <c r="AK129">
        <f>IFERROR(VLOOKUP($B129,[1]库存报告使用数据!$A$1:$C$65536,3,0),0)</f>
        <v>0</v>
      </c>
      <c r="AL129">
        <f>IFERROR(VLOOKUP($B129,[1]库存报告使用数据!$A$1:$D$65536,4,0),0)</f>
        <v>0</v>
      </c>
      <c r="AM129">
        <f>IFERROR(VLOOKUP($B129,[1]库存报告使用数据!$A$1:$E$65536,5,0),0)</f>
        <v>0</v>
      </c>
      <c r="AN129" s="23" t="str">
        <f t="shared" si="34"/>
        <v/>
      </c>
      <c r="AO129" s="23" t="str">
        <f t="shared" si="35"/>
        <v/>
      </c>
      <c r="AP129" s="23" t="str">
        <f t="shared" si="36"/>
        <v/>
      </c>
      <c r="AQ129" s="23" t="str">
        <f t="shared" si="37"/>
        <v/>
      </c>
      <c r="AR129" s="38">
        <f t="shared" si="22"/>
        <v>0</v>
      </c>
      <c r="AS129" s="38">
        <f t="shared" si="23"/>
        <v>0</v>
      </c>
      <c r="AT129" s="38">
        <f t="shared" si="24"/>
        <v>0</v>
      </c>
      <c r="AU129" s="33" t="str">
        <f t="shared" si="25"/>
        <v>库存为0</v>
      </c>
      <c r="AV129" s="39" t="str">
        <f>IFERROR(时间!$B$4+AU129,"上周无销量")</f>
        <v>上周无销量</v>
      </c>
    </row>
    <row r="130" spans="1:48">
      <c r="A130" s="35" t="s">
        <v>175</v>
      </c>
      <c r="B130" t="str">
        <f>VLOOKUP(A130,'[2]sku-asin（子）'!$A:$B,2,0)</f>
        <v>B074FL1674</v>
      </c>
      <c r="C130" t="str">
        <f>VLOOKUP(A130,'[2]子sku-父sku'!$A:$B,2,0)</f>
        <v>N2082Y</v>
      </c>
      <c r="D130" s="33">
        <f>IFERROR(VLOOKUP(A130,[3]库存报告使用数据处理!$A:$C,3,0),0)</f>
        <v>0</v>
      </c>
      <c r="E130" s="33">
        <f>IFERROR(VLOOKUP(A130,[3]库存报告使用数据处理!$A:$D,4,0),0)</f>
        <v>0</v>
      </c>
      <c r="F130" s="33">
        <f>IFERROR(VLOOKUP(A130,[3]库存报告使用数据处理!$A:$E,5,0),0)</f>
        <v>0</v>
      </c>
      <c r="G130" s="33">
        <f>IFERROR(VLOOKUP(A130,[3]库存报告使用数据处理!$A:$F,6,0),0)</f>
        <v>0</v>
      </c>
      <c r="H130" s="34">
        <f>IFERROR(VLOOKUP(A130,[3]库存报告使用数据处理!$A:$G,7,0),0)</f>
        <v>0</v>
      </c>
      <c r="I130">
        <f>IFERROR(VLOOKUP(A130,[4]数据处理!$A:$B,2,0),0)</f>
        <v>1</v>
      </c>
      <c r="J130" s="36">
        <f>IFERROR(VLOOKUP(A130,[4]数据处理!$A:$D,4,0),0)</f>
        <v>0</v>
      </c>
      <c r="K130" s="36">
        <f>IFERROR(VLOOKUP(A130,[4]数据处理!$A:$E,5,0),0)</f>
        <v>0</v>
      </c>
      <c r="L130" s="36">
        <f>IFERROR(VLOOKUP(A130,[4]数据处理!$A:$G,7,0),0)</f>
        <v>0</v>
      </c>
      <c r="M130">
        <f t="shared" si="21"/>
        <v>1</v>
      </c>
      <c r="N130">
        <f>IFERROR(VLOOKUP(A130,[4]数据处理!$A:$C,3,0),0)</f>
        <v>0</v>
      </c>
      <c r="O130">
        <f>IFERROR(VLOOKUP($A130,[4]数据处理!$A:$N,14,0),0)</f>
        <v>1</v>
      </c>
      <c r="P130">
        <f>IFERROR(VLOOKUP($A130,[5]库存使用数据!$A:$B,2,0),"")</f>
        <v>1628</v>
      </c>
      <c r="Q130">
        <f>IFERROR(VLOOKUP($A130,[5]库存使用数据!$A:$E,5,0),"")</f>
        <v>1007</v>
      </c>
      <c r="R130">
        <f>IFERROR(VLOOKUP($A130,[5]库存使用数据!$A:$H,8,0),"")</f>
        <v>820</v>
      </c>
      <c r="S130">
        <f>IFERROR(VLOOKUP($A130,[5]库存使用数据!$A:$K,11,0),"")</f>
        <v>609</v>
      </c>
      <c r="T130">
        <f>IFERROR(VLOOKUP($A130,[5]库存使用数据!$A:$C,3,0),"")</f>
        <v>20</v>
      </c>
      <c r="U130">
        <f>IFERROR(VLOOKUP($A130,[5]库存使用数据!$A:$F,6,0),"")</f>
        <v>14</v>
      </c>
      <c r="V130">
        <f>IFERROR(VLOOKUP($A130,[5]库存使用数据!$A:$I,9,0),"")</f>
        <v>7</v>
      </c>
      <c r="W130">
        <f>IFERROR(VLOOKUP($A130,[5]库存使用数据!$A:$L,12,0),"")</f>
        <v>4</v>
      </c>
      <c r="X130" s="23">
        <f t="shared" si="26"/>
        <v>0.0122850122850123</v>
      </c>
      <c r="Y130" s="23">
        <f t="shared" si="27"/>
        <v>0.0139026812313803</v>
      </c>
      <c r="Z130" s="23">
        <f t="shared" si="28"/>
        <v>0.00853658536585366</v>
      </c>
      <c r="AA130" s="23">
        <f t="shared" si="29"/>
        <v>0.00656814449917898</v>
      </c>
      <c r="AB130">
        <f>IFERROR(VLOOKUP($A130,[5]库存使用数据!$A:$D,4,0),"")</f>
        <v>5.72</v>
      </c>
      <c r="AC130">
        <f>IFERROR(VLOOKUP($A130,[5]库存使用数据!$A:$G,7,0),"")</f>
        <v>3.67</v>
      </c>
      <c r="AD130">
        <f>IFERROR(VLOOKUP($A130,[5]库存使用数据!$A:$J,10,0),"")</f>
        <v>2.29</v>
      </c>
      <c r="AE130">
        <f>IFERROR(VLOOKUP($A130,[5]库存使用数据!$A:$M,13,0),"")</f>
        <v>1.28</v>
      </c>
      <c r="AF130" s="23" t="str">
        <f t="shared" si="30"/>
        <v>无销量广告费为5.72</v>
      </c>
      <c r="AG130" s="23" t="str">
        <f t="shared" si="31"/>
        <v>无销量广告费为3.67</v>
      </c>
      <c r="AH130" s="23" t="str">
        <f t="shared" si="32"/>
        <v>无销量广告费为2.29</v>
      </c>
      <c r="AI130" s="23" t="str">
        <f t="shared" si="33"/>
        <v>无销量广告费为1.28</v>
      </c>
      <c r="AJ130">
        <f>IFERROR(VLOOKUP($B130,[1]库存报告使用数据!$A$1:$B$65536,2,0),0)</f>
        <v>7</v>
      </c>
      <c r="AK130">
        <f>IFERROR(VLOOKUP($B130,[1]库存报告使用数据!$A$1:$C$65536,3,0),0)</f>
        <v>4</v>
      </c>
      <c r="AL130">
        <f>IFERROR(VLOOKUP($B130,[1]库存报告使用数据!$A$1:$D$65536,4,0),0)</f>
        <v>2</v>
      </c>
      <c r="AM130">
        <f>IFERROR(VLOOKUP($B130,[1]库存报告使用数据!$A$1:$E$65536,5,0),0)</f>
        <v>1</v>
      </c>
      <c r="AN130" s="23">
        <f t="shared" si="34"/>
        <v>0</v>
      </c>
      <c r="AO130" s="23">
        <f t="shared" si="35"/>
        <v>0</v>
      </c>
      <c r="AP130" s="23">
        <f t="shared" si="36"/>
        <v>0</v>
      </c>
      <c r="AQ130" s="23">
        <f t="shared" si="37"/>
        <v>0</v>
      </c>
      <c r="AR130" s="38">
        <f t="shared" si="22"/>
        <v>0</v>
      </c>
      <c r="AS130" s="38">
        <f t="shared" si="23"/>
        <v>0</v>
      </c>
      <c r="AT130" s="38">
        <f t="shared" si="24"/>
        <v>1</v>
      </c>
      <c r="AU130" s="33" t="str">
        <f t="shared" si="25"/>
        <v>库存为1</v>
      </c>
      <c r="AV130" s="39" t="str">
        <f>IFERROR(时间!$B$4+AU130,"上周无销量")</f>
        <v>上周无销量</v>
      </c>
    </row>
    <row r="131" spans="1:48">
      <c r="A131" s="35" t="s">
        <v>176</v>
      </c>
      <c r="B131" t="str">
        <f>VLOOKUP(A131,'[2]sku-asin（子）'!$A:$B,2,0)</f>
        <v>B074DVLRRB</v>
      </c>
      <c r="C131" t="str">
        <f>VLOOKUP(A131,'[2]子sku-父sku'!$A:$B,2,0)</f>
        <v>N2082Y</v>
      </c>
      <c r="D131" s="33">
        <f>IFERROR(VLOOKUP(A131,[3]库存报告使用数据处理!$A:$C,3,0),0)</f>
        <v>0</v>
      </c>
      <c r="E131" s="33">
        <f>IFERROR(VLOOKUP(A131,[3]库存报告使用数据处理!$A:$D,4,0),0)</f>
        <v>0</v>
      </c>
      <c r="F131" s="33">
        <f>IFERROR(VLOOKUP(A131,[3]库存报告使用数据处理!$A:$E,5,0),0)</f>
        <v>0</v>
      </c>
      <c r="G131" s="33">
        <f>IFERROR(VLOOKUP(A131,[3]库存报告使用数据处理!$A:$F,6,0),0)</f>
        <v>0</v>
      </c>
      <c r="H131" s="34">
        <f>IFERROR(VLOOKUP(A131,[3]库存报告使用数据处理!$A:$G,7,0),0)</f>
        <v>0</v>
      </c>
      <c r="I131">
        <f>IFERROR(VLOOKUP(A131,[4]数据处理!$A:$B,2,0),0)</f>
        <v>0</v>
      </c>
      <c r="J131" s="36">
        <f>IFERROR(VLOOKUP(A131,[4]数据处理!$A:$D,4,0),0)</f>
        <v>0</v>
      </c>
      <c r="K131" s="36">
        <f>IFERROR(VLOOKUP(A131,[4]数据处理!$A:$E,5,0),0)</f>
        <v>0</v>
      </c>
      <c r="L131" s="36">
        <f>IFERROR(VLOOKUP(A131,[4]数据处理!$A:$G,7,0),0)</f>
        <v>0</v>
      </c>
      <c r="M131">
        <f t="shared" si="21"/>
        <v>0</v>
      </c>
      <c r="N131">
        <f>IFERROR(VLOOKUP(A131,[4]数据处理!$A:$C,3,0),0)</f>
        <v>0</v>
      </c>
      <c r="O131">
        <f>IFERROR(VLOOKUP($A131,[4]数据处理!$A:$N,14,0),0)</f>
        <v>0</v>
      </c>
      <c r="P131" t="str">
        <f>IFERROR(VLOOKUP($A131,[5]库存使用数据!$A:$B,2,0),"")</f>
        <v/>
      </c>
      <c r="Q131" t="str">
        <f>IFERROR(VLOOKUP($A131,[5]库存使用数据!$A:$E,5,0),"")</f>
        <v/>
      </c>
      <c r="R131" t="str">
        <f>IFERROR(VLOOKUP($A131,[5]库存使用数据!$A:$H,8,0),"")</f>
        <v/>
      </c>
      <c r="S131" t="str">
        <f>IFERROR(VLOOKUP($A131,[5]库存使用数据!$A:$K,11,0),"")</f>
        <v/>
      </c>
      <c r="T131" t="str">
        <f>IFERROR(VLOOKUP($A131,[5]库存使用数据!$A:$C,3,0),"")</f>
        <v/>
      </c>
      <c r="U131" t="str">
        <f>IFERROR(VLOOKUP($A131,[5]库存使用数据!$A:$F,6,0),"")</f>
        <v/>
      </c>
      <c r="V131" t="str">
        <f>IFERROR(VLOOKUP($A131,[5]库存使用数据!$A:$I,9,0),"")</f>
        <v/>
      </c>
      <c r="W131" t="str">
        <f>IFERROR(VLOOKUP($A131,[5]库存使用数据!$A:$L,12,0),"")</f>
        <v/>
      </c>
      <c r="X131" s="23" t="str">
        <f t="shared" si="26"/>
        <v/>
      </c>
      <c r="Y131" s="23" t="str">
        <f t="shared" si="27"/>
        <v/>
      </c>
      <c r="Z131" s="23" t="str">
        <f t="shared" si="28"/>
        <v/>
      </c>
      <c r="AA131" s="23" t="str">
        <f t="shared" si="29"/>
        <v/>
      </c>
      <c r="AB131" t="str">
        <f>IFERROR(VLOOKUP($A131,[5]库存使用数据!$A:$D,4,0),"")</f>
        <v/>
      </c>
      <c r="AC131" t="str">
        <f>IFERROR(VLOOKUP($A131,[5]库存使用数据!$A:$G,7,0),"")</f>
        <v/>
      </c>
      <c r="AD131" t="str">
        <f>IFERROR(VLOOKUP($A131,[5]库存使用数据!$A:$J,10,0),"")</f>
        <v/>
      </c>
      <c r="AE131" t="str">
        <f>IFERROR(VLOOKUP($A131,[5]库存使用数据!$A:$M,13,0),"")</f>
        <v/>
      </c>
      <c r="AF131" s="23" t="str">
        <f t="shared" si="30"/>
        <v/>
      </c>
      <c r="AG131" s="23" t="str">
        <f t="shared" si="31"/>
        <v/>
      </c>
      <c r="AH131" s="23" t="str">
        <f t="shared" si="32"/>
        <v/>
      </c>
      <c r="AI131" s="23" t="str">
        <f t="shared" si="33"/>
        <v/>
      </c>
      <c r="AJ131">
        <f>IFERROR(VLOOKUP($B131,[1]库存报告使用数据!$A$1:$B$65536,2,0),0)</f>
        <v>0</v>
      </c>
      <c r="AK131">
        <f>IFERROR(VLOOKUP($B131,[1]库存报告使用数据!$A$1:$C$65536,3,0),0)</f>
        <v>0</v>
      </c>
      <c r="AL131">
        <f>IFERROR(VLOOKUP($B131,[1]库存报告使用数据!$A$1:$D$65536,4,0),0)</f>
        <v>0</v>
      </c>
      <c r="AM131">
        <f>IFERROR(VLOOKUP($B131,[1]库存报告使用数据!$A$1:$E$65536,5,0),0)</f>
        <v>0</v>
      </c>
      <c r="AN131" s="23" t="str">
        <f t="shared" si="34"/>
        <v/>
      </c>
      <c r="AO131" s="23" t="str">
        <f t="shared" si="35"/>
        <v/>
      </c>
      <c r="AP131" s="23" t="str">
        <f t="shared" si="36"/>
        <v/>
      </c>
      <c r="AQ131" s="23" t="str">
        <f t="shared" si="37"/>
        <v/>
      </c>
      <c r="AR131" s="38">
        <f t="shared" si="22"/>
        <v>0</v>
      </c>
      <c r="AS131" s="38">
        <f t="shared" si="23"/>
        <v>0</v>
      </c>
      <c r="AT131" s="38">
        <f t="shared" si="24"/>
        <v>0</v>
      </c>
      <c r="AU131" s="33" t="str">
        <f t="shared" si="25"/>
        <v>库存为0</v>
      </c>
      <c r="AV131" s="39" t="str">
        <f>IFERROR(时间!$B$4+AU131,"上周无销量")</f>
        <v>上周无销量</v>
      </c>
    </row>
    <row r="132" spans="1:48">
      <c r="A132" s="35" t="s">
        <v>177</v>
      </c>
      <c r="B132" t="str">
        <f>VLOOKUP(A132,'[2]sku-asin（子）'!$A:$B,2,0)</f>
        <v>B074DW6NQD</v>
      </c>
      <c r="C132" t="str">
        <f>VLOOKUP(A132,'[2]子sku-父sku'!$A:$B,2,0)</f>
        <v>N2257Y</v>
      </c>
      <c r="D132" s="33">
        <f>IFERROR(VLOOKUP(A132,[3]库存报告使用数据处理!$A:$C,3,0),0)</f>
        <v>0</v>
      </c>
      <c r="E132" s="33">
        <f>IFERROR(VLOOKUP(A132,[3]库存报告使用数据处理!$A:$D,4,0),0)</f>
        <v>0</v>
      </c>
      <c r="F132" s="33">
        <f>IFERROR(VLOOKUP(A132,[3]库存报告使用数据处理!$A:$E,5,0),0)</f>
        <v>0</v>
      </c>
      <c r="G132" s="33">
        <f>IFERROR(VLOOKUP(A132,[3]库存报告使用数据处理!$A:$F,6,0),0)</f>
        <v>0</v>
      </c>
      <c r="H132" s="34">
        <f>IFERROR(VLOOKUP(A132,[3]库存报告使用数据处理!$A:$G,7,0),0)</f>
        <v>0</v>
      </c>
      <c r="I132">
        <f>IFERROR(VLOOKUP(A132,[4]数据处理!$A:$B,2,0),0)</f>
        <v>1</v>
      </c>
      <c r="J132" s="36">
        <f>IFERROR(VLOOKUP(A132,[4]数据处理!$A:$D,4,0),0)</f>
        <v>0</v>
      </c>
      <c r="K132" s="36">
        <f>IFERROR(VLOOKUP(A132,[4]数据处理!$A:$E,5,0),0)</f>
        <v>0</v>
      </c>
      <c r="L132" s="36">
        <f>IFERROR(VLOOKUP(A132,[4]数据处理!$A:$G,7,0),0)</f>
        <v>0</v>
      </c>
      <c r="M132">
        <f t="shared" si="21"/>
        <v>1</v>
      </c>
      <c r="N132">
        <f>IFERROR(VLOOKUP(A132,[4]数据处理!$A:$C,3,0),0)</f>
        <v>0</v>
      </c>
      <c r="O132">
        <f>IFERROR(VLOOKUP($A132,[4]数据处理!$A:$N,14,0),0)</f>
        <v>1</v>
      </c>
      <c r="P132">
        <f>IFERROR(VLOOKUP($A132,[5]库存使用数据!$A:$B,2,0),"")</f>
        <v>38</v>
      </c>
      <c r="Q132">
        <f>IFERROR(VLOOKUP($A132,[5]库存使用数据!$A:$E,5,0),"")</f>
        <v>7</v>
      </c>
      <c r="R132">
        <f>IFERROR(VLOOKUP($A132,[5]库存使用数据!$A:$H,8,0),"")</f>
        <v>11</v>
      </c>
      <c r="S132">
        <f>IFERROR(VLOOKUP($A132,[5]库存使用数据!$A:$K,11,0),"")</f>
        <v>13</v>
      </c>
      <c r="T132">
        <f>IFERROR(VLOOKUP($A132,[5]库存使用数据!$A:$C,3,0),"")</f>
        <v>0</v>
      </c>
      <c r="U132">
        <f>IFERROR(VLOOKUP($A132,[5]库存使用数据!$A:$F,6,0),"")</f>
        <v>0</v>
      </c>
      <c r="V132">
        <f>IFERROR(VLOOKUP($A132,[5]库存使用数据!$A:$I,9,0),"")</f>
        <v>1</v>
      </c>
      <c r="W132">
        <f>IFERROR(VLOOKUP($A132,[5]库存使用数据!$A:$L,12,0),"")</f>
        <v>0</v>
      </c>
      <c r="X132" s="23">
        <f t="shared" si="26"/>
        <v>0</v>
      </c>
      <c r="Y132" s="23">
        <f t="shared" si="27"/>
        <v>0</v>
      </c>
      <c r="Z132" s="23">
        <f t="shared" si="28"/>
        <v>0.0909090909090909</v>
      </c>
      <c r="AA132" s="23">
        <f t="shared" si="29"/>
        <v>0</v>
      </c>
      <c r="AB132">
        <f>IFERROR(VLOOKUP($A132,[5]库存使用数据!$A:$D,4,0),"")</f>
        <v>0</v>
      </c>
      <c r="AC132">
        <f>IFERROR(VLOOKUP($A132,[5]库存使用数据!$A:$G,7,0),"")</f>
        <v>0</v>
      </c>
      <c r="AD132">
        <f>IFERROR(VLOOKUP($A132,[5]库存使用数据!$A:$J,10,0),"")</f>
        <v>0.56</v>
      </c>
      <c r="AE132">
        <f>IFERROR(VLOOKUP($A132,[5]库存使用数据!$A:$M,13,0),"")</f>
        <v>0</v>
      </c>
      <c r="AF132" s="23" t="str">
        <f t="shared" si="30"/>
        <v/>
      </c>
      <c r="AG132" s="23" t="str">
        <f t="shared" si="31"/>
        <v/>
      </c>
      <c r="AH132" s="23" t="str">
        <f t="shared" si="32"/>
        <v>无销量广告费为0.56</v>
      </c>
      <c r="AI132" s="23" t="str">
        <f t="shared" si="33"/>
        <v/>
      </c>
      <c r="AJ132">
        <f>IFERROR(VLOOKUP($B132,[1]库存报告使用数据!$A$1:$B$65536,2,0),0)</f>
        <v>3</v>
      </c>
      <c r="AK132">
        <f>IFERROR(VLOOKUP($B132,[1]库存报告使用数据!$A$1:$C$65536,3,0),0)</f>
        <v>2</v>
      </c>
      <c r="AL132">
        <f>IFERROR(VLOOKUP($B132,[1]库存报告使用数据!$A$1:$D$65536,4,0),0)</f>
        <v>1</v>
      </c>
      <c r="AM132">
        <f>IFERROR(VLOOKUP($B132,[1]库存报告使用数据!$A$1:$E$65536,5,0),0)</f>
        <v>1</v>
      </c>
      <c r="AN132" s="23">
        <f t="shared" si="34"/>
        <v>0</v>
      </c>
      <c r="AO132" s="23">
        <f t="shared" si="35"/>
        <v>0</v>
      </c>
      <c r="AP132" s="23">
        <f t="shared" si="36"/>
        <v>0</v>
      </c>
      <c r="AQ132" s="23">
        <f t="shared" si="37"/>
        <v>0</v>
      </c>
      <c r="AR132" s="38">
        <f t="shared" si="22"/>
        <v>0</v>
      </c>
      <c r="AS132" s="38">
        <f t="shared" si="23"/>
        <v>0</v>
      </c>
      <c r="AT132" s="38">
        <f t="shared" si="24"/>
        <v>1</v>
      </c>
      <c r="AU132" s="33" t="str">
        <f t="shared" si="25"/>
        <v>库存为1</v>
      </c>
      <c r="AV132" s="39" t="str">
        <f>IFERROR(时间!$B$4+AU132,"上周无销量")</f>
        <v>上周无销量</v>
      </c>
    </row>
    <row r="133" spans="1:48">
      <c r="A133" s="35" t="s">
        <v>178</v>
      </c>
      <c r="B133" t="str">
        <f>VLOOKUP(A133,'[2]sku-asin（子）'!$A:$B,2,0)</f>
        <v>B074DV7WDZ</v>
      </c>
      <c r="C133" t="str">
        <f>VLOOKUP(A133,'[2]子sku-父sku'!$A:$B,2,0)</f>
        <v>N2257Y</v>
      </c>
      <c r="D133" s="33">
        <f>IFERROR(VLOOKUP(A133,[3]库存报告使用数据处理!$A:$C,3,0),0)</f>
        <v>0</v>
      </c>
      <c r="E133" s="33">
        <f>IFERROR(VLOOKUP(A133,[3]库存报告使用数据处理!$A:$D,4,0),0)</f>
        <v>0</v>
      </c>
      <c r="F133" s="33">
        <f>IFERROR(VLOOKUP(A133,[3]库存报告使用数据处理!$A:$E,5,0),0)</f>
        <v>0</v>
      </c>
      <c r="G133" s="33">
        <f>IFERROR(VLOOKUP(A133,[3]库存报告使用数据处理!$A:$F,6,0),0)</f>
        <v>0</v>
      </c>
      <c r="H133" s="34">
        <f>IFERROR(VLOOKUP(A133,[3]库存报告使用数据处理!$A:$G,7,0),0)</f>
        <v>0</v>
      </c>
      <c r="I133">
        <f>IFERROR(VLOOKUP(A133,[4]数据处理!$A:$B,2,0),0)</f>
        <v>1</v>
      </c>
      <c r="J133" s="36">
        <f>IFERROR(VLOOKUP(A133,[4]数据处理!$A:$D,4,0),0)</f>
        <v>0</v>
      </c>
      <c r="K133" s="36">
        <f>IFERROR(VLOOKUP(A133,[4]数据处理!$A:$E,5,0),0)</f>
        <v>0</v>
      </c>
      <c r="L133" s="36">
        <f>IFERROR(VLOOKUP(A133,[4]数据处理!$A:$G,7,0),0)</f>
        <v>0</v>
      </c>
      <c r="M133">
        <f t="shared" ref="M133:M196" si="38">SUM(I133:L133)</f>
        <v>1</v>
      </c>
      <c r="N133">
        <f>IFERROR(VLOOKUP(A133,[4]数据处理!$A:$C,3,0),0)</f>
        <v>0</v>
      </c>
      <c r="O133">
        <f>IFERROR(VLOOKUP($A133,[4]数据处理!$A:$N,14,0),0)</f>
        <v>1</v>
      </c>
      <c r="P133">
        <f>IFERROR(VLOOKUP($A133,[5]库存使用数据!$A:$B,2,0),"")</f>
        <v>187</v>
      </c>
      <c r="Q133">
        <f>IFERROR(VLOOKUP($A133,[5]库存使用数据!$A:$E,5,0),"")</f>
        <v>304</v>
      </c>
      <c r="R133">
        <f>IFERROR(VLOOKUP($A133,[5]库存使用数据!$A:$H,8,0),"")</f>
        <v>243</v>
      </c>
      <c r="S133">
        <f>IFERROR(VLOOKUP($A133,[5]库存使用数据!$A:$K,11,0),"")</f>
        <v>136</v>
      </c>
      <c r="T133">
        <f>IFERROR(VLOOKUP($A133,[5]库存使用数据!$A:$C,3,0),"")</f>
        <v>0</v>
      </c>
      <c r="U133">
        <f>IFERROR(VLOOKUP($A133,[5]库存使用数据!$A:$F,6,0),"")</f>
        <v>1</v>
      </c>
      <c r="V133">
        <f>IFERROR(VLOOKUP($A133,[5]库存使用数据!$A:$I,9,0),"")</f>
        <v>0</v>
      </c>
      <c r="W133">
        <f>IFERROR(VLOOKUP($A133,[5]库存使用数据!$A:$L,12,0),"")</f>
        <v>1</v>
      </c>
      <c r="X133" s="23">
        <f t="shared" si="26"/>
        <v>0</v>
      </c>
      <c r="Y133" s="23">
        <f t="shared" si="27"/>
        <v>0.00328947368421053</v>
      </c>
      <c r="Z133" s="23">
        <f t="shared" si="28"/>
        <v>0</v>
      </c>
      <c r="AA133" s="23">
        <f t="shared" si="29"/>
        <v>0.00735294117647059</v>
      </c>
      <c r="AB133">
        <f>IFERROR(VLOOKUP($A133,[5]库存使用数据!$A:$D,4,0),"")</f>
        <v>0</v>
      </c>
      <c r="AC133">
        <f>IFERROR(VLOOKUP($A133,[5]库存使用数据!$A:$G,7,0),"")</f>
        <v>0.24</v>
      </c>
      <c r="AD133">
        <f>IFERROR(VLOOKUP($A133,[5]库存使用数据!$A:$J,10,0),"")</f>
        <v>0</v>
      </c>
      <c r="AE133">
        <f>IFERROR(VLOOKUP($A133,[5]库存使用数据!$A:$M,13,0),"")</f>
        <v>0.1</v>
      </c>
      <c r="AF133" s="23" t="str">
        <f t="shared" si="30"/>
        <v/>
      </c>
      <c r="AG133" s="23" t="str">
        <f t="shared" si="31"/>
        <v>无销量广告费为0.24</v>
      </c>
      <c r="AH133" s="23" t="str">
        <f t="shared" si="32"/>
        <v/>
      </c>
      <c r="AI133" s="23" t="str">
        <f t="shared" si="33"/>
        <v>无销量广告费为0.1</v>
      </c>
      <c r="AJ133">
        <f>IFERROR(VLOOKUP($B133,[1]库存报告使用数据!$A$1:$B$65536,2,0),0)</f>
        <v>2</v>
      </c>
      <c r="AK133">
        <f>IFERROR(VLOOKUP($B133,[1]库存报告使用数据!$A$1:$C$65536,3,0),0)</f>
        <v>0</v>
      </c>
      <c r="AL133">
        <f>IFERROR(VLOOKUP($B133,[1]库存报告使用数据!$A$1:$D$65536,4,0),0)</f>
        <v>2</v>
      </c>
      <c r="AM133">
        <f>IFERROR(VLOOKUP($B133,[1]库存报告使用数据!$A$1:$E$65536,5,0),0)</f>
        <v>1</v>
      </c>
      <c r="AN133" s="23">
        <f t="shared" si="34"/>
        <v>0</v>
      </c>
      <c r="AO133" s="23" t="str">
        <f t="shared" si="35"/>
        <v/>
      </c>
      <c r="AP133" s="23">
        <f t="shared" si="36"/>
        <v>0</v>
      </c>
      <c r="AQ133" s="23">
        <f t="shared" si="37"/>
        <v>0</v>
      </c>
      <c r="AR133" s="38">
        <f t="shared" ref="AR133:AR196" si="39">IFERROR(D133/7,"")</f>
        <v>0</v>
      </c>
      <c r="AS133" s="38">
        <f t="shared" ref="AS133:AS196" si="40">IF(AR133="","上周无销量",60*AR133)</f>
        <v>0</v>
      </c>
      <c r="AT133" s="38">
        <f t="shared" ref="AT133:AT196" si="41">IF(AS133="上周无销量","上周无销量/总库存"&amp;M133,M133-AS133)</f>
        <v>1</v>
      </c>
      <c r="AU133" s="33" t="str">
        <f t="shared" ref="AU133:AU196" si="42">IF(AR133="","库存为"&amp;M133,IF(AS133=0,"库存为"&amp;M133,INT(M133/AR133)))</f>
        <v>库存为1</v>
      </c>
      <c r="AV133" s="39" t="str">
        <f>IFERROR(时间!$B$4+AU133,"上周无销量")</f>
        <v>上周无销量</v>
      </c>
    </row>
    <row r="134" spans="1:48">
      <c r="A134" s="35" t="s">
        <v>179</v>
      </c>
      <c r="B134" t="str">
        <f>VLOOKUP(A134,'[2]sku-asin（子）'!$A:$B,2,0)</f>
        <v>B074DVZ847</v>
      </c>
      <c r="C134" t="str">
        <f>VLOOKUP(A134,'[2]子sku-父sku'!$A:$B,2,0)</f>
        <v>N2257Y</v>
      </c>
      <c r="D134" s="33">
        <f>IFERROR(VLOOKUP(A134,[3]库存报告使用数据处理!$A:$C,3,0),0)</f>
        <v>0</v>
      </c>
      <c r="E134" s="33">
        <f>IFERROR(VLOOKUP(A134,[3]库存报告使用数据处理!$A:$D,4,0),0)</f>
        <v>0</v>
      </c>
      <c r="F134" s="33">
        <f>IFERROR(VLOOKUP(A134,[3]库存报告使用数据处理!$A:$E,5,0),0)</f>
        <v>0</v>
      </c>
      <c r="G134" s="33">
        <f>IFERROR(VLOOKUP(A134,[3]库存报告使用数据处理!$A:$F,6,0),0)</f>
        <v>0</v>
      </c>
      <c r="H134" s="34">
        <f>IFERROR(VLOOKUP(A134,[3]库存报告使用数据处理!$A:$G,7,0),0)</f>
        <v>0</v>
      </c>
      <c r="I134">
        <f>IFERROR(VLOOKUP(A134,[4]数据处理!$A:$B,2,0),0)</f>
        <v>2</v>
      </c>
      <c r="J134" s="36">
        <f>IFERROR(VLOOKUP(A134,[4]数据处理!$A:$D,4,0),0)</f>
        <v>0</v>
      </c>
      <c r="K134" s="36">
        <f>IFERROR(VLOOKUP(A134,[4]数据处理!$A:$E,5,0),0)</f>
        <v>0</v>
      </c>
      <c r="L134" s="36">
        <f>IFERROR(VLOOKUP(A134,[4]数据处理!$A:$G,7,0),0)</f>
        <v>0</v>
      </c>
      <c r="M134">
        <f t="shared" si="38"/>
        <v>2</v>
      </c>
      <c r="N134">
        <f>IFERROR(VLOOKUP(A134,[4]数据处理!$A:$C,3,0),0)</f>
        <v>0</v>
      </c>
      <c r="O134">
        <f>IFERROR(VLOOKUP($A134,[4]数据处理!$A:$N,14,0),0)</f>
        <v>2</v>
      </c>
      <c r="P134">
        <f>IFERROR(VLOOKUP($A134,[5]库存使用数据!$A:$B,2,0),"")</f>
        <v>67</v>
      </c>
      <c r="Q134">
        <f>IFERROR(VLOOKUP($A134,[5]库存使用数据!$A:$E,5,0),"")</f>
        <v>185</v>
      </c>
      <c r="R134">
        <f>IFERROR(VLOOKUP($A134,[5]库存使用数据!$A:$H,8,0),"")</f>
        <v>116</v>
      </c>
      <c r="S134">
        <f>IFERROR(VLOOKUP($A134,[5]库存使用数据!$A:$K,11,0),"")</f>
        <v>37</v>
      </c>
      <c r="T134">
        <f>IFERROR(VLOOKUP($A134,[5]库存使用数据!$A:$C,3,0),"")</f>
        <v>0</v>
      </c>
      <c r="U134">
        <f>IFERROR(VLOOKUP($A134,[5]库存使用数据!$A:$F,6,0),"")</f>
        <v>3</v>
      </c>
      <c r="V134">
        <f>IFERROR(VLOOKUP($A134,[5]库存使用数据!$A:$I,9,0),"")</f>
        <v>0</v>
      </c>
      <c r="W134">
        <f>IFERROR(VLOOKUP($A134,[5]库存使用数据!$A:$L,12,0),"")</f>
        <v>0</v>
      </c>
      <c r="X134" s="23">
        <f t="shared" ref="X134:X197" si="43">IFERROR(T134/P134,"")</f>
        <v>0</v>
      </c>
      <c r="Y134" s="23">
        <f t="shared" ref="Y134:Y197" si="44">IFERROR(U134/Q134,"")</f>
        <v>0.0162162162162162</v>
      </c>
      <c r="Z134" s="23">
        <f t="shared" ref="Z134:Z197" si="45">IFERROR(V134/R134,"")</f>
        <v>0</v>
      </c>
      <c r="AA134" s="23">
        <f t="shared" ref="AA134:AA197" si="46">IFERROR(W134/S134,"")</f>
        <v>0</v>
      </c>
      <c r="AB134">
        <f>IFERROR(VLOOKUP($A134,[5]库存使用数据!$A:$D,4,0),"")</f>
        <v>0</v>
      </c>
      <c r="AC134">
        <f>IFERROR(VLOOKUP($A134,[5]库存使用数据!$A:$G,7,0),"")</f>
        <v>0.93</v>
      </c>
      <c r="AD134">
        <f>IFERROR(VLOOKUP($A134,[5]库存使用数据!$A:$J,10,0),"")</f>
        <v>0</v>
      </c>
      <c r="AE134">
        <f>IFERROR(VLOOKUP($A134,[5]库存使用数据!$A:$M,13,0),"")</f>
        <v>0</v>
      </c>
      <c r="AF134" s="23" t="str">
        <f t="shared" ref="AF134:AF197" si="47">IF(OR(AB134="",AB134=0),"",IF(AND(D134*$H134=0,AB134&gt;0),"无销量广告费为"&amp;AB134,AB134/(D134*$H134)))</f>
        <v/>
      </c>
      <c r="AG134" s="23" t="str">
        <f t="shared" ref="AG134:AG197" si="48">IF(OR(AC134="",AC134=0),"",IF(AND(E134*$H134=0,AC134&gt;0),"无销量广告费为"&amp;AC134,AC134/(E134*$H134)))</f>
        <v>无销量广告费为0.93</v>
      </c>
      <c r="AH134" s="23" t="str">
        <f t="shared" ref="AH134:AH197" si="49">IF(OR(AD134="",AD134=0),"",IF(AND(F134*$H134=0,AD134&gt;0),"无销量广告费为"&amp;AD134,AD134/(F134*$H134)))</f>
        <v/>
      </c>
      <c r="AI134" s="23" t="str">
        <f t="shared" ref="AI134:AI197" si="50">IF(OR(AE134="",AE134=0),"",IF(AND(G134*$H134=0,AE134&gt;0),"无销量广告费为"&amp;AE134,AE134/(G134*$H134)))</f>
        <v/>
      </c>
      <c r="AJ134">
        <f>IFERROR(VLOOKUP($B134,[1]库存报告使用数据!$A$1:$B$65536,2,0),0)</f>
        <v>4</v>
      </c>
      <c r="AK134">
        <f>IFERROR(VLOOKUP($B134,[1]库存报告使用数据!$A$1:$C$65536,3,0),0)</f>
        <v>1</v>
      </c>
      <c r="AL134">
        <f>IFERROR(VLOOKUP($B134,[1]库存报告使用数据!$A$1:$D$65536,4,0),0)</f>
        <v>1</v>
      </c>
      <c r="AM134">
        <f>IFERROR(VLOOKUP($B134,[1]库存报告使用数据!$A$1:$E$65536,5,0),0)</f>
        <v>0</v>
      </c>
      <c r="AN134" s="23">
        <f t="shared" ref="AN134:AN197" si="51">IFERROR(D134/AJ134,"")</f>
        <v>0</v>
      </c>
      <c r="AO134" s="23">
        <f t="shared" ref="AO134:AO197" si="52">IFERROR(E134/AK134,"")</f>
        <v>0</v>
      </c>
      <c r="AP134" s="23">
        <f t="shared" ref="AP134:AP197" si="53">IFERROR(F134/AL134,"")</f>
        <v>0</v>
      </c>
      <c r="AQ134" s="23" t="str">
        <f t="shared" ref="AQ134:AQ197" si="54">IFERROR(G134/AM134,"")</f>
        <v/>
      </c>
      <c r="AR134" s="38">
        <f t="shared" si="39"/>
        <v>0</v>
      </c>
      <c r="AS134" s="38">
        <f t="shared" si="40"/>
        <v>0</v>
      </c>
      <c r="AT134" s="38">
        <f t="shared" si="41"/>
        <v>2</v>
      </c>
      <c r="AU134" s="33" t="str">
        <f t="shared" si="42"/>
        <v>库存为2</v>
      </c>
      <c r="AV134" s="39" t="str">
        <f>IFERROR(时间!$B$4+AU134,"上周无销量")</f>
        <v>上周无销量</v>
      </c>
    </row>
    <row r="135" spans="1:48">
      <c r="A135" s="35" t="s">
        <v>180</v>
      </c>
      <c r="B135" t="str">
        <f>VLOOKUP(A135,'[2]sku-asin（子）'!$A:$B,2,0)</f>
        <v>B074QJ923S</v>
      </c>
      <c r="C135" t="str">
        <f>VLOOKUP(A135,'[2]子sku-父sku'!$A:$B,2,0)</f>
        <v>N263Y</v>
      </c>
      <c r="D135" s="33">
        <f>IFERROR(VLOOKUP(A135,[3]库存报告使用数据处理!$A:$C,3,0),0)</f>
        <v>0</v>
      </c>
      <c r="E135" s="33">
        <f>IFERROR(VLOOKUP(A135,[3]库存报告使用数据处理!$A:$D,4,0),0)</f>
        <v>0</v>
      </c>
      <c r="F135" s="33">
        <f>IFERROR(VLOOKUP(A135,[3]库存报告使用数据处理!$A:$E,5,0),0)</f>
        <v>0</v>
      </c>
      <c r="G135" s="33">
        <f>IFERROR(VLOOKUP(A135,[3]库存报告使用数据处理!$A:$F,6,0),0)</f>
        <v>0</v>
      </c>
      <c r="H135" s="34">
        <f>IFERROR(VLOOKUP(A135,[3]库存报告使用数据处理!$A:$G,7,0),0)</f>
        <v>0</v>
      </c>
      <c r="I135">
        <f>IFERROR(VLOOKUP(A135,[4]数据处理!$A:$B,2,0),0)</f>
        <v>45</v>
      </c>
      <c r="J135" s="36">
        <f>IFERROR(VLOOKUP(A135,[4]数据处理!$A:$D,4,0),0)</f>
        <v>0</v>
      </c>
      <c r="K135" s="36">
        <f>IFERROR(VLOOKUP(A135,[4]数据处理!$A:$E,5,0),0)</f>
        <v>0</v>
      </c>
      <c r="L135" s="36">
        <f>IFERROR(VLOOKUP(A135,[4]数据处理!$A:$G,7,0),0)</f>
        <v>0</v>
      </c>
      <c r="M135">
        <f t="shared" si="38"/>
        <v>45</v>
      </c>
      <c r="N135">
        <f>IFERROR(VLOOKUP(A135,[4]数据处理!$A:$C,3,0),0)</f>
        <v>0</v>
      </c>
      <c r="O135">
        <f>IFERROR(VLOOKUP($A135,[4]数据处理!$A:$N,14,0),0)</f>
        <v>45</v>
      </c>
      <c r="P135">
        <f>IFERROR(VLOOKUP($A135,[5]库存使用数据!$A:$B,2,0),"")</f>
        <v>157</v>
      </c>
      <c r="Q135">
        <f>IFERROR(VLOOKUP($A135,[5]库存使用数据!$A:$E,5,0),"")</f>
        <v>160</v>
      </c>
      <c r="R135">
        <f>IFERROR(VLOOKUP($A135,[5]库存使用数据!$A:$H,8,0),"")</f>
        <v>83</v>
      </c>
      <c r="S135">
        <f>IFERROR(VLOOKUP($A135,[5]库存使用数据!$A:$K,11,0),"")</f>
        <v>320</v>
      </c>
      <c r="T135">
        <f>IFERROR(VLOOKUP($A135,[5]库存使用数据!$A:$C,3,0),"")</f>
        <v>0</v>
      </c>
      <c r="U135">
        <f>IFERROR(VLOOKUP($A135,[5]库存使用数据!$A:$F,6,0),"")</f>
        <v>3</v>
      </c>
      <c r="V135">
        <f>IFERROR(VLOOKUP($A135,[5]库存使用数据!$A:$I,9,0),"")</f>
        <v>0</v>
      </c>
      <c r="W135">
        <f>IFERROR(VLOOKUP($A135,[5]库存使用数据!$A:$L,12,0),"")</f>
        <v>2</v>
      </c>
      <c r="X135" s="23">
        <f t="shared" si="43"/>
        <v>0</v>
      </c>
      <c r="Y135" s="23">
        <f t="shared" si="44"/>
        <v>0.01875</v>
      </c>
      <c r="Z135" s="23">
        <f t="shared" si="45"/>
        <v>0</v>
      </c>
      <c r="AA135" s="23">
        <f t="shared" si="46"/>
        <v>0.00625</v>
      </c>
      <c r="AB135">
        <f>IFERROR(VLOOKUP($A135,[5]库存使用数据!$A:$D,4,0),"")</f>
        <v>0</v>
      </c>
      <c r="AC135">
        <f>IFERROR(VLOOKUP($A135,[5]库存使用数据!$A:$G,7,0),"")</f>
        <v>1.37</v>
      </c>
      <c r="AD135">
        <f>IFERROR(VLOOKUP($A135,[5]库存使用数据!$A:$J,10,0),"")</f>
        <v>0</v>
      </c>
      <c r="AE135">
        <f>IFERROR(VLOOKUP($A135,[5]库存使用数据!$A:$M,13,0),"")</f>
        <v>0.46</v>
      </c>
      <c r="AF135" s="23" t="str">
        <f t="shared" si="47"/>
        <v/>
      </c>
      <c r="AG135" s="23" t="str">
        <f t="shared" si="48"/>
        <v>无销量广告费为1.37</v>
      </c>
      <c r="AH135" s="23" t="str">
        <f t="shared" si="49"/>
        <v/>
      </c>
      <c r="AI135" s="23" t="str">
        <f t="shared" si="50"/>
        <v>无销量广告费为0.46</v>
      </c>
      <c r="AJ135">
        <f>IFERROR(VLOOKUP($B135,[1]库存报告使用数据!$A$1:$B$65536,2,0),0)</f>
        <v>3</v>
      </c>
      <c r="AK135">
        <f>IFERROR(VLOOKUP($B135,[1]库存报告使用数据!$A$1:$C$65536,3,0),0)</f>
        <v>5</v>
      </c>
      <c r="AL135">
        <f>IFERROR(VLOOKUP($B135,[1]库存报告使用数据!$A$1:$D$65536,4,0),0)</f>
        <v>1</v>
      </c>
      <c r="AM135">
        <f>IFERROR(VLOOKUP($B135,[1]库存报告使用数据!$A$1:$E$65536,5,0),0)</f>
        <v>2</v>
      </c>
      <c r="AN135" s="23">
        <f t="shared" si="51"/>
        <v>0</v>
      </c>
      <c r="AO135" s="23">
        <f t="shared" si="52"/>
        <v>0</v>
      </c>
      <c r="AP135" s="23">
        <f t="shared" si="53"/>
        <v>0</v>
      </c>
      <c r="AQ135" s="23">
        <f t="shared" si="54"/>
        <v>0</v>
      </c>
      <c r="AR135" s="38">
        <f t="shared" si="39"/>
        <v>0</v>
      </c>
      <c r="AS135" s="38">
        <f t="shared" si="40"/>
        <v>0</v>
      </c>
      <c r="AT135" s="38">
        <f t="shared" si="41"/>
        <v>45</v>
      </c>
      <c r="AU135" s="33" t="str">
        <f t="shared" si="42"/>
        <v>库存为45</v>
      </c>
      <c r="AV135" s="39" t="str">
        <f>IFERROR(时间!$B$4+AU135,"上周无销量")</f>
        <v>上周无销量</v>
      </c>
    </row>
    <row r="136" spans="1:48">
      <c r="A136" s="35" t="s">
        <v>181</v>
      </c>
      <c r="B136" t="str">
        <f>VLOOKUP(A136,'[2]sku-asin（子）'!$A:$B,2,0)</f>
        <v>B074Q9CTNJ</v>
      </c>
      <c r="C136" t="str">
        <f>VLOOKUP(A136,'[2]子sku-父sku'!$A:$B,2,0)</f>
        <v>N263Y</v>
      </c>
      <c r="D136" s="33">
        <f>IFERROR(VLOOKUP(A136,[3]库存报告使用数据处理!$A:$C,3,0),0)</f>
        <v>0</v>
      </c>
      <c r="E136" s="33">
        <f>IFERROR(VLOOKUP(A136,[3]库存报告使用数据处理!$A:$D,4,0),0)</f>
        <v>2</v>
      </c>
      <c r="F136" s="33">
        <f>IFERROR(VLOOKUP(A136,[3]库存报告使用数据处理!$A:$E,5,0),0)</f>
        <v>0</v>
      </c>
      <c r="G136" s="33">
        <f>IFERROR(VLOOKUP(A136,[3]库存报告使用数据处理!$A:$F,6,0),0)</f>
        <v>0</v>
      </c>
      <c r="H136" s="34">
        <f>IFERROR(VLOOKUP(A136,[3]库存报告使用数据处理!$A:$G,7,0),0)</f>
        <v>7.89</v>
      </c>
      <c r="I136">
        <f>IFERROR(VLOOKUP(A136,[4]数据处理!$A:$B,2,0),0)</f>
        <v>41</v>
      </c>
      <c r="J136" s="36">
        <f>IFERROR(VLOOKUP(A136,[4]数据处理!$A:$D,4,0),0)</f>
        <v>0</v>
      </c>
      <c r="K136" s="36">
        <f>IFERROR(VLOOKUP(A136,[4]数据处理!$A:$E,5,0),0)</f>
        <v>0</v>
      </c>
      <c r="L136" s="36">
        <f>IFERROR(VLOOKUP(A136,[4]数据处理!$A:$G,7,0),0)</f>
        <v>0</v>
      </c>
      <c r="M136">
        <f t="shared" si="38"/>
        <v>41</v>
      </c>
      <c r="N136">
        <f>IFERROR(VLOOKUP(A136,[4]数据处理!$A:$C,3,0),0)</f>
        <v>0</v>
      </c>
      <c r="O136">
        <f>IFERROR(VLOOKUP($A136,[4]数据处理!$A:$N,14,0),0)</f>
        <v>41</v>
      </c>
      <c r="P136">
        <f>IFERROR(VLOOKUP($A136,[5]库存使用数据!$A:$B,2,0),"")</f>
        <v>230</v>
      </c>
      <c r="Q136">
        <f>IFERROR(VLOOKUP($A136,[5]库存使用数据!$A:$E,5,0),"")</f>
        <v>829</v>
      </c>
      <c r="R136">
        <f>IFERROR(VLOOKUP($A136,[5]库存使用数据!$A:$H,8,0),"")</f>
        <v>845</v>
      </c>
      <c r="S136">
        <f>IFERROR(VLOOKUP($A136,[5]库存使用数据!$A:$K,11,0),"")</f>
        <v>245</v>
      </c>
      <c r="T136">
        <f>IFERROR(VLOOKUP($A136,[5]库存使用数据!$A:$C,3,0),"")</f>
        <v>1</v>
      </c>
      <c r="U136">
        <f>IFERROR(VLOOKUP($A136,[5]库存使用数据!$A:$F,6,0),"")</f>
        <v>1</v>
      </c>
      <c r="V136">
        <f>IFERROR(VLOOKUP($A136,[5]库存使用数据!$A:$I,9,0),"")</f>
        <v>4</v>
      </c>
      <c r="W136">
        <f>IFERROR(VLOOKUP($A136,[5]库存使用数据!$A:$L,12,0),"")</f>
        <v>2</v>
      </c>
      <c r="X136" s="23">
        <f t="shared" si="43"/>
        <v>0.00434782608695652</v>
      </c>
      <c r="Y136" s="23">
        <f t="shared" si="44"/>
        <v>0.00120627261761158</v>
      </c>
      <c r="Z136" s="23">
        <f t="shared" si="45"/>
        <v>0.00473372781065089</v>
      </c>
      <c r="AA136" s="23">
        <f t="shared" si="46"/>
        <v>0.00816326530612245</v>
      </c>
      <c r="AB136">
        <f>IFERROR(VLOOKUP($A136,[5]库存使用数据!$A:$D,4,0),"")</f>
        <v>0.23</v>
      </c>
      <c r="AC136">
        <f>IFERROR(VLOOKUP($A136,[5]库存使用数据!$A:$G,7,0),"")</f>
        <v>0.29</v>
      </c>
      <c r="AD136">
        <f>IFERROR(VLOOKUP($A136,[5]库存使用数据!$A:$J,10,0),"")</f>
        <v>1.08</v>
      </c>
      <c r="AE136">
        <f>IFERROR(VLOOKUP($A136,[5]库存使用数据!$A:$M,13,0),"")</f>
        <v>0.75</v>
      </c>
      <c r="AF136" s="23" t="str">
        <f t="shared" si="47"/>
        <v>无销量广告费为0.23</v>
      </c>
      <c r="AG136" s="23">
        <f t="shared" si="48"/>
        <v>0.0183776932826362</v>
      </c>
      <c r="AH136" s="23" t="str">
        <f t="shared" si="49"/>
        <v>无销量广告费为1.08</v>
      </c>
      <c r="AI136" s="23" t="str">
        <f t="shared" si="50"/>
        <v>无销量广告费为0.75</v>
      </c>
      <c r="AJ136">
        <f>IFERROR(VLOOKUP($B136,[1]库存报告使用数据!$A$1:$B$65536,2,0),0)</f>
        <v>7</v>
      </c>
      <c r="AK136">
        <f>IFERROR(VLOOKUP($B136,[1]库存报告使用数据!$A$1:$C$65536,3,0),0)</f>
        <v>4</v>
      </c>
      <c r="AL136">
        <f>IFERROR(VLOOKUP($B136,[1]库存报告使用数据!$A$1:$D$65536,4,0),0)</f>
        <v>4</v>
      </c>
      <c r="AM136">
        <f>IFERROR(VLOOKUP($B136,[1]库存报告使用数据!$A$1:$E$65536,5,0),0)</f>
        <v>1</v>
      </c>
      <c r="AN136" s="23">
        <f t="shared" si="51"/>
        <v>0</v>
      </c>
      <c r="AO136" s="23">
        <f t="shared" si="52"/>
        <v>0.5</v>
      </c>
      <c r="AP136" s="23">
        <f t="shared" si="53"/>
        <v>0</v>
      </c>
      <c r="AQ136" s="23">
        <f t="shared" si="54"/>
        <v>0</v>
      </c>
      <c r="AR136" s="38">
        <f t="shared" si="39"/>
        <v>0</v>
      </c>
      <c r="AS136" s="38">
        <f t="shared" si="40"/>
        <v>0</v>
      </c>
      <c r="AT136" s="38">
        <f t="shared" si="41"/>
        <v>41</v>
      </c>
      <c r="AU136" s="33" t="str">
        <f t="shared" si="42"/>
        <v>库存为41</v>
      </c>
      <c r="AV136" s="39" t="str">
        <f>IFERROR(时间!$B$4+AU136,"上周无销量")</f>
        <v>上周无销量</v>
      </c>
    </row>
    <row r="137" spans="1:48">
      <c r="A137" s="35" t="s">
        <v>182</v>
      </c>
      <c r="B137" t="str">
        <f>VLOOKUP(A137,'[2]sku-asin（子）'!$A:$B,2,0)</f>
        <v>B074QQ5S79</v>
      </c>
      <c r="C137" t="str">
        <f>VLOOKUP(A137,'[2]子sku-父sku'!$A:$B,2,0)</f>
        <v>N263Y</v>
      </c>
      <c r="D137" s="33">
        <f>IFERROR(VLOOKUP(A137,[3]库存报告使用数据处理!$A:$C,3,0),0)</f>
        <v>1</v>
      </c>
      <c r="E137" s="33">
        <f>IFERROR(VLOOKUP(A137,[3]库存报告使用数据处理!$A:$D,4,0),0)</f>
        <v>1</v>
      </c>
      <c r="F137" s="33">
        <f>IFERROR(VLOOKUP(A137,[3]库存报告使用数据处理!$A:$E,5,0),0)</f>
        <v>0</v>
      </c>
      <c r="G137" s="33">
        <f>IFERROR(VLOOKUP(A137,[3]库存报告使用数据处理!$A:$F,6,0),0)</f>
        <v>0</v>
      </c>
      <c r="H137" s="34">
        <f>IFERROR(VLOOKUP(A137,[3]库存报告使用数据处理!$A:$G,7,0),0)</f>
        <v>7.97</v>
      </c>
      <c r="I137">
        <f>IFERROR(VLOOKUP(A137,[4]数据处理!$A:$B,2,0),0)</f>
        <v>46</v>
      </c>
      <c r="J137" s="36">
        <f>IFERROR(VLOOKUP(A137,[4]数据处理!$A:$D,4,0),0)</f>
        <v>0</v>
      </c>
      <c r="K137" s="36">
        <f>IFERROR(VLOOKUP(A137,[4]数据处理!$A:$E,5,0),0)</f>
        <v>0</v>
      </c>
      <c r="L137" s="36">
        <f>IFERROR(VLOOKUP(A137,[4]数据处理!$A:$G,7,0),0)</f>
        <v>0</v>
      </c>
      <c r="M137">
        <f t="shared" si="38"/>
        <v>46</v>
      </c>
      <c r="N137">
        <f>IFERROR(VLOOKUP(A137,[4]数据处理!$A:$C,3,0),0)</f>
        <v>0</v>
      </c>
      <c r="O137">
        <f>IFERROR(VLOOKUP($A137,[4]数据处理!$A:$N,14,0),0)</f>
        <v>46</v>
      </c>
      <c r="P137">
        <f>IFERROR(VLOOKUP($A137,[5]库存使用数据!$A:$B,2,0),"")</f>
        <v>528</v>
      </c>
      <c r="Q137">
        <f>IFERROR(VLOOKUP($A137,[5]库存使用数据!$A:$E,5,0),"")</f>
        <v>406</v>
      </c>
      <c r="R137">
        <f>IFERROR(VLOOKUP($A137,[5]库存使用数据!$A:$H,8,0),"")</f>
        <v>181</v>
      </c>
      <c r="S137">
        <f>IFERROR(VLOOKUP($A137,[5]库存使用数据!$A:$K,11,0),"")</f>
        <v>149</v>
      </c>
      <c r="T137">
        <f>IFERROR(VLOOKUP($A137,[5]库存使用数据!$A:$C,3,0),"")</f>
        <v>1</v>
      </c>
      <c r="U137">
        <f>IFERROR(VLOOKUP($A137,[5]库存使用数据!$A:$F,6,0),"")</f>
        <v>1</v>
      </c>
      <c r="V137">
        <f>IFERROR(VLOOKUP($A137,[5]库存使用数据!$A:$I,9,0),"")</f>
        <v>0</v>
      </c>
      <c r="W137">
        <f>IFERROR(VLOOKUP($A137,[5]库存使用数据!$A:$L,12,0),"")</f>
        <v>1</v>
      </c>
      <c r="X137" s="23">
        <f t="shared" si="43"/>
        <v>0.00189393939393939</v>
      </c>
      <c r="Y137" s="23">
        <f t="shared" si="44"/>
        <v>0.00246305418719212</v>
      </c>
      <c r="Z137" s="23">
        <f t="shared" si="45"/>
        <v>0</v>
      </c>
      <c r="AA137" s="23">
        <f t="shared" si="46"/>
        <v>0.00671140939597315</v>
      </c>
      <c r="AB137">
        <f>IFERROR(VLOOKUP($A137,[5]库存使用数据!$A:$D,4,0),"")</f>
        <v>0.27</v>
      </c>
      <c r="AC137">
        <f>IFERROR(VLOOKUP($A137,[5]库存使用数据!$A:$G,7,0),"")</f>
        <v>0.3</v>
      </c>
      <c r="AD137">
        <f>IFERROR(VLOOKUP($A137,[5]库存使用数据!$A:$J,10,0),"")</f>
        <v>0</v>
      </c>
      <c r="AE137">
        <f>IFERROR(VLOOKUP($A137,[5]库存使用数据!$A:$M,13,0),"")</f>
        <v>0.44</v>
      </c>
      <c r="AF137" s="23">
        <f t="shared" si="47"/>
        <v>0.0338770388958595</v>
      </c>
      <c r="AG137" s="23">
        <f t="shared" si="48"/>
        <v>0.0376411543287327</v>
      </c>
      <c r="AH137" s="23" t="str">
        <f t="shared" si="49"/>
        <v/>
      </c>
      <c r="AI137" s="23" t="str">
        <f t="shared" si="50"/>
        <v>无销量广告费为0.44</v>
      </c>
      <c r="AJ137">
        <f>IFERROR(VLOOKUP($B137,[1]库存报告使用数据!$A$1:$B$65536,2,0),0)</f>
        <v>2</v>
      </c>
      <c r="AK137">
        <f>IFERROR(VLOOKUP($B137,[1]库存报告使用数据!$A$1:$C$65536,3,0),0)</f>
        <v>4</v>
      </c>
      <c r="AL137">
        <f>IFERROR(VLOOKUP($B137,[1]库存报告使用数据!$A$1:$D$65536,4,0),0)</f>
        <v>1</v>
      </c>
      <c r="AM137">
        <f>IFERROR(VLOOKUP($B137,[1]库存报告使用数据!$A$1:$E$65536,5,0),0)</f>
        <v>2</v>
      </c>
      <c r="AN137" s="23">
        <f t="shared" si="51"/>
        <v>0.5</v>
      </c>
      <c r="AO137" s="23">
        <f t="shared" si="52"/>
        <v>0.25</v>
      </c>
      <c r="AP137" s="23">
        <f t="shared" si="53"/>
        <v>0</v>
      </c>
      <c r="AQ137" s="23">
        <f t="shared" si="54"/>
        <v>0</v>
      </c>
      <c r="AR137" s="38">
        <f t="shared" si="39"/>
        <v>0.142857142857143</v>
      </c>
      <c r="AS137" s="38">
        <f t="shared" si="40"/>
        <v>8.57142857142857</v>
      </c>
      <c r="AT137" s="38">
        <f t="shared" si="41"/>
        <v>37.4285714285714</v>
      </c>
      <c r="AU137" s="33">
        <f t="shared" si="42"/>
        <v>322</v>
      </c>
      <c r="AV137" s="39">
        <f>IFERROR(时间!$B$4+AU137,"上周无销量")</f>
        <v>43612</v>
      </c>
    </row>
    <row r="138" spans="1:48">
      <c r="A138" s="35" t="s">
        <v>183</v>
      </c>
      <c r="B138" t="str">
        <f>VLOOKUP(A138,'[2]sku-asin（子）'!$A:$B,2,0)</f>
        <v>B074QGD61W</v>
      </c>
      <c r="C138" t="str">
        <f>VLOOKUP(A138,'[2]子sku-父sku'!$A:$B,2,0)</f>
        <v>N2716Y</v>
      </c>
      <c r="D138" s="33">
        <f>IFERROR(VLOOKUP(A138,[3]库存报告使用数据处理!$A:$C,3,0),0)</f>
        <v>0</v>
      </c>
      <c r="E138" s="33">
        <f>IFERROR(VLOOKUP(A138,[3]库存报告使用数据处理!$A:$D,4,0),0)</f>
        <v>0</v>
      </c>
      <c r="F138" s="33">
        <f>IFERROR(VLOOKUP(A138,[3]库存报告使用数据处理!$A:$E,5,0),0)</f>
        <v>0</v>
      </c>
      <c r="G138" s="33">
        <f>IFERROR(VLOOKUP(A138,[3]库存报告使用数据处理!$A:$F,6,0),0)</f>
        <v>1</v>
      </c>
      <c r="H138" s="34">
        <f>IFERROR(VLOOKUP(A138,[3]库存报告使用数据处理!$A:$G,7,0),0)</f>
        <v>7.99</v>
      </c>
      <c r="I138">
        <f>IFERROR(VLOOKUP(A138,[4]数据处理!$A:$B,2,0),0)</f>
        <v>47</v>
      </c>
      <c r="J138" s="36">
        <f>IFERROR(VLOOKUP(A138,[4]数据处理!$A:$D,4,0),0)</f>
        <v>0</v>
      </c>
      <c r="K138" s="36">
        <f>IFERROR(VLOOKUP(A138,[4]数据处理!$A:$E,5,0),0)</f>
        <v>0</v>
      </c>
      <c r="L138" s="36">
        <f>IFERROR(VLOOKUP(A138,[4]数据处理!$A:$G,7,0),0)</f>
        <v>0</v>
      </c>
      <c r="M138">
        <f t="shared" si="38"/>
        <v>47</v>
      </c>
      <c r="N138">
        <f>IFERROR(VLOOKUP(A138,[4]数据处理!$A:$C,3,0),0)</f>
        <v>0</v>
      </c>
      <c r="O138">
        <f>IFERROR(VLOOKUP($A138,[4]数据处理!$A:$N,14,0),0)</f>
        <v>46</v>
      </c>
      <c r="P138">
        <f>IFERROR(VLOOKUP($A138,[5]库存使用数据!$A:$B,2,0),"")</f>
        <v>126</v>
      </c>
      <c r="Q138">
        <f>IFERROR(VLOOKUP($A138,[5]库存使用数据!$A:$E,5,0),"")</f>
        <v>116</v>
      </c>
      <c r="R138">
        <f>IFERROR(VLOOKUP($A138,[5]库存使用数据!$A:$H,8,0),"")</f>
        <v>123</v>
      </c>
      <c r="S138">
        <f>IFERROR(VLOOKUP($A138,[5]库存使用数据!$A:$K,11,0),"")</f>
        <v>1001</v>
      </c>
      <c r="T138">
        <f>IFERROR(VLOOKUP($A138,[5]库存使用数据!$A:$C,3,0),"")</f>
        <v>1</v>
      </c>
      <c r="U138">
        <f>IFERROR(VLOOKUP($A138,[5]库存使用数据!$A:$F,6,0),"")</f>
        <v>1</v>
      </c>
      <c r="V138">
        <f>IFERROR(VLOOKUP($A138,[5]库存使用数据!$A:$I,9,0),"")</f>
        <v>1</v>
      </c>
      <c r="W138">
        <f>IFERROR(VLOOKUP($A138,[5]库存使用数据!$A:$L,12,0),"")</f>
        <v>3</v>
      </c>
      <c r="X138" s="23">
        <f t="shared" si="43"/>
        <v>0.00793650793650794</v>
      </c>
      <c r="Y138" s="23">
        <f t="shared" si="44"/>
        <v>0.00862068965517241</v>
      </c>
      <c r="Z138" s="23">
        <f t="shared" si="45"/>
        <v>0.00813008130081301</v>
      </c>
      <c r="AA138" s="23">
        <f t="shared" si="46"/>
        <v>0.002997002997003</v>
      </c>
      <c r="AB138">
        <f>IFERROR(VLOOKUP($A138,[5]库存使用数据!$A:$D,4,0),"")</f>
        <v>0.26</v>
      </c>
      <c r="AC138">
        <f>IFERROR(VLOOKUP($A138,[5]库存使用数据!$A:$G,7,0),"")</f>
        <v>0.13</v>
      </c>
      <c r="AD138">
        <f>IFERROR(VLOOKUP($A138,[5]库存使用数据!$A:$J,10,0),"")</f>
        <v>0.29</v>
      </c>
      <c r="AE138">
        <f>IFERROR(VLOOKUP($A138,[5]库存使用数据!$A:$M,13,0),"")</f>
        <v>0.47</v>
      </c>
      <c r="AF138" s="23" t="str">
        <f t="shared" si="47"/>
        <v>无销量广告费为0.26</v>
      </c>
      <c r="AG138" s="23" t="str">
        <f t="shared" si="48"/>
        <v>无销量广告费为0.13</v>
      </c>
      <c r="AH138" s="23" t="str">
        <f t="shared" si="49"/>
        <v>无销量广告费为0.29</v>
      </c>
      <c r="AI138" s="23">
        <f t="shared" si="50"/>
        <v>0.0588235294117647</v>
      </c>
      <c r="AJ138">
        <f>IFERROR(VLOOKUP($B138,[1]库存报告使用数据!$A$1:$B$65536,2,0),0)</f>
        <v>3</v>
      </c>
      <c r="AK138">
        <f>IFERROR(VLOOKUP($B138,[1]库存报告使用数据!$A$1:$C$65536,3,0),0)</f>
        <v>3</v>
      </c>
      <c r="AL138">
        <f>IFERROR(VLOOKUP($B138,[1]库存报告使用数据!$A$1:$D$65536,4,0),0)</f>
        <v>1</v>
      </c>
      <c r="AM138">
        <f>IFERROR(VLOOKUP($B138,[1]库存报告使用数据!$A$1:$E$65536,5,0),0)</f>
        <v>4</v>
      </c>
      <c r="AN138" s="23">
        <f t="shared" si="51"/>
        <v>0</v>
      </c>
      <c r="AO138" s="23">
        <f t="shared" si="52"/>
        <v>0</v>
      </c>
      <c r="AP138" s="23">
        <f t="shared" si="53"/>
        <v>0</v>
      </c>
      <c r="AQ138" s="23">
        <f t="shared" si="54"/>
        <v>0.25</v>
      </c>
      <c r="AR138" s="38">
        <f t="shared" si="39"/>
        <v>0</v>
      </c>
      <c r="AS138" s="38">
        <f t="shared" si="40"/>
        <v>0</v>
      </c>
      <c r="AT138" s="38">
        <f t="shared" si="41"/>
        <v>47</v>
      </c>
      <c r="AU138" s="33" t="str">
        <f t="shared" si="42"/>
        <v>库存为47</v>
      </c>
      <c r="AV138" s="39" t="str">
        <f>IFERROR(时间!$B$4+AU138,"上周无销量")</f>
        <v>上周无销量</v>
      </c>
    </row>
    <row r="139" spans="1:48">
      <c r="A139" s="35" t="s">
        <v>184</v>
      </c>
      <c r="B139" t="str">
        <f>VLOOKUP(A139,'[2]sku-asin（子）'!$A:$B,2,0)</f>
        <v>B074QFDH8R</v>
      </c>
      <c r="C139" t="str">
        <f>VLOOKUP(A139,'[2]子sku-父sku'!$A:$B,2,0)</f>
        <v>N2716Y</v>
      </c>
      <c r="D139" s="33">
        <f>IFERROR(VLOOKUP(A139,[3]库存报告使用数据处理!$A:$C,3,0),0)</f>
        <v>2</v>
      </c>
      <c r="E139" s="33">
        <f>IFERROR(VLOOKUP(A139,[3]库存报告使用数据处理!$A:$D,4,0),0)</f>
        <v>3</v>
      </c>
      <c r="F139" s="33">
        <f>IFERROR(VLOOKUP(A139,[3]库存报告使用数据处理!$A:$E,5,0),0)</f>
        <v>1</v>
      </c>
      <c r="G139" s="33">
        <f>IFERROR(VLOOKUP(A139,[3]库存报告使用数据处理!$A:$F,6,0),0)</f>
        <v>0</v>
      </c>
      <c r="H139" s="34">
        <f>IFERROR(VLOOKUP(A139,[3]库存报告使用数据处理!$A:$G,7,0),0)</f>
        <v>5.41</v>
      </c>
      <c r="I139">
        <f>IFERROR(VLOOKUP(A139,[4]数据处理!$A:$B,2,0),0)</f>
        <v>37</v>
      </c>
      <c r="J139" s="36">
        <f>IFERROR(VLOOKUP(A139,[4]数据处理!$A:$D,4,0),0)</f>
        <v>0</v>
      </c>
      <c r="K139" s="36">
        <f>IFERROR(VLOOKUP(A139,[4]数据处理!$A:$E,5,0),0)</f>
        <v>0</v>
      </c>
      <c r="L139" s="36">
        <f>IFERROR(VLOOKUP(A139,[4]数据处理!$A:$G,7,0),0)</f>
        <v>0</v>
      </c>
      <c r="M139">
        <f t="shared" si="38"/>
        <v>37</v>
      </c>
      <c r="N139">
        <f>IFERROR(VLOOKUP(A139,[4]数据处理!$A:$C,3,0),0)</f>
        <v>0</v>
      </c>
      <c r="O139">
        <f>IFERROR(VLOOKUP($A139,[4]数据处理!$A:$N,14,0),0)</f>
        <v>36</v>
      </c>
      <c r="P139">
        <f>IFERROR(VLOOKUP($A139,[5]库存使用数据!$A:$B,2,0),"")</f>
        <v>1733</v>
      </c>
      <c r="Q139">
        <f>IFERROR(VLOOKUP($A139,[5]库存使用数据!$A:$E,5,0),"")</f>
        <v>2240</v>
      </c>
      <c r="R139">
        <f>IFERROR(VLOOKUP($A139,[5]库存使用数据!$A:$H,8,0),"")</f>
        <v>1185</v>
      </c>
      <c r="S139">
        <f>IFERROR(VLOOKUP($A139,[5]库存使用数据!$A:$K,11,0),"")</f>
        <v>685</v>
      </c>
      <c r="T139">
        <f>IFERROR(VLOOKUP($A139,[5]库存使用数据!$A:$C,3,0),"")</f>
        <v>5</v>
      </c>
      <c r="U139">
        <f>IFERROR(VLOOKUP($A139,[5]库存使用数据!$A:$F,6,0),"")</f>
        <v>4</v>
      </c>
      <c r="V139">
        <f>IFERROR(VLOOKUP($A139,[5]库存使用数据!$A:$I,9,0),"")</f>
        <v>4</v>
      </c>
      <c r="W139">
        <f>IFERROR(VLOOKUP($A139,[5]库存使用数据!$A:$L,12,0),"")</f>
        <v>0</v>
      </c>
      <c r="X139" s="23">
        <f t="shared" si="43"/>
        <v>0.00288517022504328</v>
      </c>
      <c r="Y139" s="23">
        <f t="shared" si="44"/>
        <v>0.00178571428571429</v>
      </c>
      <c r="Z139" s="23">
        <f t="shared" si="45"/>
        <v>0.00337552742616034</v>
      </c>
      <c r="AA139" s="23">
        <f t="shared" si="46"/>
        <v>0</v>
      </c>
      <c r="AB139">
        <f>IFERROR(VLOOKUP($A139,[5]库存使用数据!$A:$D,4,0),"")</f>
        <v>1.31</v>
      </c>
      <c r="AC139">
        <f>IFERROR(VLOOKUP($A139,[5]库存使用数据!$A:$G,7,0),"")</f>
        <v>1.63</v>
      </c>
      <c r="AD139">
        <f>IFERROR(VLOOKUP($A139,[5]库存使用数据!$A:$J,10,0),"")</f>
        <v>1.81</v>
      </c>
      <c r="AE139">
        <f>IFERROR(VLOOKUP($A139,[5]库存使用数据!$A:$M,13,0),"")</f>
        <v>0</v>
      </c>
      <c r="AF139" s="23">
        <f t="shared" si="47"/>
        <v>0.121072088724584</v>
      </c>
      <c r="AG139" s="23">
        <f t="shared" si="48"/>
        <v>0.100431300061614</v>
      </c>
      <c r="AH139" s="23">
        <f t="shared" si="49"/>
        <v>0.33456561922366</v>
      </c>
      <c r="AI139" s="23" t="str">
        <f t="shared" si="50"/>
        <v/>
      </c>
      <c r="AJ139">
        <f>IFERROR(VLOOKUP($B139,[1]库存报告使用数据!$A$1:$B$65536,2,0),0)</f>
        <v>9</v>
      </c>
      <c r="AK139">
        <f>IFERROR(VLOOKUP($B139,[1]库存报告使用数据!$A$1:$C$65536,3,0),0)</f>
        <v>7</v>
      </c>
      <c r="AL139">
        <f>IFERROR(VLOOKUP($B139,[1]库存报告使用数据!$A$1:$D$65536,4,0),0)</f>
        <v>3</v>
      </c>
      <c r="AM139">
        <f>IFERROR(VLOOKUP($B139,[1]库存报告使用数据!$A$1:$E$65536,5,0),0)</f>
        <v>2</v>
      </c>
      <c r="AN139" s="23">
        <f t="shared" si="51"/>
        <v>0.222222222222222</v>
      </c>
      <c r="AO139" s="23">
        <f t="shared" si="52"/>
        <v>0.428571428571429</v>
      </c>
      <c r="AP139" s="23">
        <f t="shared" si="53"/>
        <v>0.333333333333333</v>
      </c>
      <c r="AQ139" s="23">
        <f t="shared" si="54"/>
        <v>0</v>
      </c>
      <c r="AR139" s="38">
        <f t="shared" si="39"/>
        <v>0.285714285714286</v>
      </c>
      <c r="AS139" s="38">
        <f t="shared" si="40"/>
        <v>17.1428571428571</v>
      </c>
      <c r="AT139" s="38">
        <f t="shared" si="41"/>
        <v>19.8571428571429</v>
      </c>
      <c r="AU139" s="33">
        <f t="shared" si="42"/>
        <v>129</v>
      </c>
      <c r="AV139" s="39">
        <f>IFERROR(时间!$B$4+AU139,"上周无销量")</f>
        <v>43419</v>
      </c>
    </row>
    <row r="140" spans="1:48">
      <c r="A140" s="35" t="s">
        <v>185</v>
      </c>
      <c r="B140" t="str">
        <f>VLOOKUP(A140,'[2]sku-asin（子）'!$A:$B,2,0)</f>
        <v>B074QCYQ9L</v>
      </c>
      <c r="C140" t="str">
        <f>VLOOKUP(A140,'[2]子sku-父sku'!$A:$B,2,0)</f>
        <v>N2716Y</v>
      </c>
      <c r="D140" s="33">
        <f>IFERROR(VLOOKUP(A140,[3]库存报告使用数据处理!$A:$C,3,0),0)</f>
        <v>0</v>
      </c>
      <c r="E140" s="33">
        <f>IFERROR(VLOOKUP(A140,[3]库存报告使用数据处理!$A:$D,4,0),0)</f>
        <v>0</v>
      </c>
      <c r="F140" s="33">
        <f>IFERROR(VLOOKUP(A140,[3]库存报告使用数据处理!$A:$E,5,0),0)</f>
        <v>0</v>
      </c>
      <c r="G140" s="33">
        <f>IFERROR(VLOOKUP(A140,[3]库存报告使用数据处理!$A:$F,6,0),0)</f>
        <v>1</v>
      </c>
      <c r="H140" s="34">
        <f>IFERROR(VLOOKUP(A140,[3]库存报告使用数据处理!$A:$G,7,0),0)</f>
        <v>9.99</v>
      </c>
      <c r="I140">
        <f>IFERROR(VLOOKUP(A140,[4]数据处理!$A:$B,2,0),0)</f>
        <v>44</v>
      </c>
      <c r="J140" s="36">
        <f>IFERROR(VLOOKUP(A140,[4]数据处理!$A:$D,4,0),0)</f>
        <v>0</v>
      </c>
      <c r="K140" s="36">
        <f>IFERROR(VLOOKUP(A140,[4]数据处理!$A:$E,5,0),0)</f>
        <v>0</v>
      </c>
      <c r="L140" s="36">
        <f>IFERROR(VLOOKUP(A140,[4]数据处理!$A:$G,7,0),0)</f>
        <v>0</v>
      </c>
      <c r="M140">
        <f t="shared" si="38"/>
        <v>44</v>
      </c>
      <c r="N140">
        <f>IFERROR(VLOOKUP(A140,[4]数据处理!$A:$C,3,0),0)</f>
        <v>0</v>
      </c>
      <c r="O140">
        <f>IFERROR(VLOOKUP($A140,[4]数据处理!$A:$N,14,0),0)</f>
        <v>44</v>
      </c>
      <c r="P140">
        <f>IFERROR(VLOOKUP($A140,[5]库存使用数据!$A:$B,2,0),"")</f>
        <v>173</v>
      </c>
      <c r="Q140">
        <f>IFERROR(VLOOKUP($A140,[5]库存使用数据!$A:$E,5,0),"")</f>
        <v>136</v>
      </c>
      <c r="R140">
        <f>IFERROR(VLOOKUP($A140,[5]库存使用数据!$A:$H,8,0),"")</f>
        <v>189</v>
      </c>
      <c r="S140">
        <f>IFERROR(VLOOKUP($A140,[5]库存使用数据!$A:$K,11,0),"")</f>
        <v>144</v>
      </c>
      <c r="T140">
        <f>IFERROR(VLOOKUP($A140,[5]库存使用数据!$A:$C,3,0),"")</f>
        <v>0</v>
      </c>
      <c r="U140">
        <f>IFERROR(VLOOKUP($A140,[5]库存使用数据!$A:$F,6,0),"")</f>
        <v>1</v>
      </c>
      <c r="V140">
        <f>IFERROR(VLOOKUP($A140,[5]库存使用数据!$A:$I,9,0),"")</f>
        <v>1</v>
      </c>
      <c r="W140">
        <f>IFERROR(VLOOKUP($A140,[5]库存使用数据!$A:$L,12,0),"")</f>
        <v>1</v>
      </c>
      <c r="X140" s="23">
        <f t="shared" si="43"/>
        <v>0</v>
      </c>
      <c r="Y140" s="23">
        <f t="shared" si="44"/>
        <v>0.00735294117647059</v>
      </c>
      <c r="Z140" s="23">
        <f t="shared" si="45"/>
        <v>0.00529100529100529</v>
      </c>
      <c r="AA140" s="23">
        <f t="shared" si="46"/>
        <v>0.00694444444444444</v>
      </c>
      <c r="AB140">
        <f>IFERROR(VLOOKUP($A140,[5]库存使用数据!$A:$D,4,0),"")</f>
        <v>0</v>
      </c>
      <c r="AC140">
        <f>IFERROR(VLOOKUP($A140,[5]库存使用数据!$A:$G,7,0),"")</f>
        <v>0.7</v>
      </c>
      <c r="AD140">
        <f>IFERROR(VLOOKUP($A140,[5]库存使用数据!$A:$J,10,0),"")</f>
        <v>0.31</v>
      </c>
      <c r="AE140">
        <f>IFERROR(VLOOKUP($A140,[5]库存使用数据!$A:$M,13,0),"")</f>
        <v>0.45</v>
      </c>
      <c r="AF140" s="23" t="str">
        <f t="shared" si="47"/>
        <v/>
      </c>
      <c r="AG140" s="23" t="str">
        <f t="shared" si="48"/>
        <v>无销量广告费为0.7</v>
      </c>
      <c r="AH140" s="23" t="str">
        <f t="shared" si="49"/>
        <v>无销量广告费为0.31</v>
      </c>
      <c r="AI140" s="23">
        <f t="shared" si="50"/>
        <v>0.045045045045045</v>
      </c>
      <c r="AJ140">
        <f>IFERROR(VLOOKUP($B140,[1]库存报告使用数据!$A$1:$B$65536,2,0),0)</f>
        <v>2</v>
      </c>
      <c r="AK140">
        <f>IFERROR(VLOOKUP($B140,[1]库存报告使用数据!$A$1:$C$65536,3,0),0)</f>
        <v>9</v>
      </c>
      <c r="AL140">
        <f>IFERROR(VLOOKUP($B140,[1]库存报告使用数据!$A$1:$D$65536,4,0),0)</f>
        <v>1</v>
      </c>
      <c r="AM140">
        <f>IFERROR(VLOOKUP($B140,[1]库存报告使用数据!$A$1:$E$65536,5,0),0)</f>
        <v>1</v>
      </c>
      <c r="AN140" s="23">
        <f t="shared" si="51"/>
        <v>0</v>
      </c>
      <c r="AO140" s="23">
        <f t="shared" si="52"/>
        <v>0</v>
      </c>
      <c r="AP140" s="23">
        <f t="shared" si="53"/>
        <v>0</v>
      </c>
      <c r="AQ140" s="23">
        <f t="shared" si="54"/>
        <v>1</v>
      </c>
      <c r="AR140" s="38">
        <f t="shared" si="39"/>
        <v>0</v>
      </c>
      <c r="AS140" s="38">
        <f t="shared" si="40"/>
        <v>0</v>
      </c>
      <c r="AT140" s="38">
        <f t="shared" si="41"/>
        <v>44</v>
      </c>
      <c r="AU140" s="33" t="str">
        <f t="shared" si="42"/>
        <v>库存为44</v>
      </c>
      <c r="AV140" s="39" t="str">
        <f>IFERROR(时间!$B$4+AU140,"上周无销量")</f>
        <v>上周无销量</v>
      </c>
    </row>
    <row r="141" spans="1:48">
      <c r="A141" s="35" t="s">
        <v>186</v>
      </c>
      <c r="B141" t="str">
        <f>VLOOKUP(A141,'[2]sku-asin（子）'!$A:$B,2,0)</f>
        <v>B074QDS9ZN</v>
      </c>
      <c r="C141" t="str">
        <f>VLOOKUP(A141,'[2]子sku-父sku'!$A:$B,2,0)</f>
        <v>N2716Y</v>
      </c>
      <c r="D141" s="33">
        <f>IFERROR(VLOOKUP(A141,[3]库存报告使用数据处理!$A:$C,3,0),0)</f>
        <v>0</v>
      </c>
      <c r="E141" s="33">
        <f>IFERROR(VLOOKUP(A141,[3]库存报告使用数据处理!$A:$D,4,0),0)</f>
        <v>1</v>
      </c>
      <c r="F141" s="33">
        <f>IFERROR(VLOOKUP(A141,[3]库存报告使用数据处理!$A:$E,5,0),0)</f>
        <v>1</v>
      </c>
      <c r="G141" s="33">
        <f>IFERROR(VLOOKUP(A141,[3]库存报告使用数据处理!$A:$F,6,0),0)</f>
        <v>1</v>
      </c>
      <c r="H141" s="34">
        <f>IFERROR(VLOOKUP(A141,[3]库存报告使用数据处理!$A:$G,7,0),0)</f>
        <v>9.99</v>
      </c>
      <c r="I141">
        <f>IFERROR(VLOOKUP(A141,[4]数据处理!$A:$B,2,0),0)</f>
        <v>33</v>
      </c>
      <c r="J141" s="36">
        <f>IFERROR(VLOOKUP(A141,[4]数据处理!$A:$D,4,0),0)</f>
        <v>0</v>
      </c>
      <c r="K141" s="36">
        <f>IFERROR(VLOOKUP(A141,[4]数据处理!$A:$E,5,0),0)</f>
        <v>0</v>
      </c>
      <c r="L141" s="36">
        <f>IFERROR(VLOOKUP(A141,[4]数据处理!$A:$G,7,0),0)</f>
        <v>0</v>
      </c>
      <c r="M141">
        <f t="shared" si="38"/>
        <v>33</v>
      </c>
      <c r="N141">
        <f>IFERROR(VLOOKUP(A141,[4]数据处理!$A:$C,3,0),0)</f>
        <v>0</v>
      </c>
      <c r="O141">
        <f>IFERROR(VLOOKUP($A141,[4]数据处理!$A:$N,14,0),0)</f>
        <v>30</v>
      </c>
      <c r="P141">
        <f>IFERROR(VLOOKUP($A141,[5]库存使用数据!$A:$B,2,0),"")</f>
        <v>1116</v>
      </c>
      <c r="Q141">
        <f>IFERROR(VLOOKUP($A141,[5]库存使用数据!$A:$E,5,0),"")</f>
        <v>1190</v>
      </c>
      <c r="R141">
        <f>IFERROR(VLOOKUP($A141,[5]库存使用数据!$A:$H,8,0),"")</f>
        <v>172</v>
      </c>
      <c r="S141">
        <f>IFERROR(VLOOKUP($A141,[5]库存使用数据!$A:$K,11,0),"")</f>
        <v>814</v>
      </c>
      <c r="T141">
        <f>IFERROR(VLOOKUP($A141,[5]库存使用数据!$A:$C,3,0),"")</f>
        <v>5</v>
      </c>
      <c r="U141">
        <f>IFERROR(VLOOKUP($A141,[5]库存使用数据!$A:$F,6,0),"")</f>
        <v>2</v>
      </c>
      <c r="V141">
        <f>IFERROR(VLOOKUP($A141,[5]库存使用数据!$A:$I,9,0),"")</f>
        <v>0</v>
      </c>
      <c r="W141">
        <f>IFERROR(VLOOKUP($A141,[5]库存使用数据!$A:$L,12,0),"")</f>
        <v>4</v>
      </c>
      <c r="X141" s="23">
        <f t="shared" si="43"/>
        <v>0.00448028673835125</v>
      </c>
      <c r="Y141" s="23">
        <f t="shared" si="44"/>
        <v>0.00168067226890756</v>
      </c>
      <c r="Z141" s="23">
        <f t="shared" si="45"/>
        <v>0</v>
      </c>
      <c r="AA141" s="23">
        <f t="shared" si="46"/>
        <v>0.00491400491400491</v>
      </c>
      <c r="AB141">
        <f>IFERROR(VLOOKUP($A141,[5]库存使用数据!$A:$D,4,0),"")</f>
        <v>2.31</v>
      </c>
      <c r="AC141">
        <f>IFERROR(VLOOKUP($A141,[5]库存使用数据!$A:$G,7,0),"")</f>
        <v>0.85</v>
      </c>
      <c r="AD141">
        <f>IFERROR(VLOOKUP($A141,[5]库存使用数据!$A:$J,10,0),"")</f>
        <v>0</v>
      </c>
      <c r="AE141">
        <f>IFERROR(VLOOKUP($A141,[5]库存使用数据!$A:$M,13,0),"")</f>
        <v>1.19</v>
      </c>
      <c r="AF141" s="23" t="str">
        <f t="shared" si="47"/>
        <v>无销量广告费为2.31</v>
      </c>
      <c r="AG141" s="23">
        <f t="shared" si="48"/>
        <v>0.0850850850850851</v>
      </c>
      <c r="AH141" s="23" t="str">
        <f t="shared" si="49"/>
        <v/>
      </c>
      <c r="AI141" s="23">
        <f t="shared" si="50"/>
        <v>0.119119119119119</v>
      </c>
      <c r="AJ141">
        <f>IFERROR(VLOOKUP($B141,[1]库存报告使用数据!$A$1:$B$65536,2,0),0)</f>
        <v>4</v>
      </c>
      <c r="AK141">
        <f>IFERROR(VLOOKUP($B141,[1]库存报告使用数据!$A$1:$C$65536,3,0),0)</f>
        <v>5</v>
      </c>
      <c r="AL141">
        <f>IFERROR(VLOOKUP($B141,[1]库存报告使用数据!$A$1:$D$65536,4,0),0)</f>
        <v>3</v>
      </c>
      <c r="AM141">
        <f>IFERROR(VLOOKUP($B141,[1]库存报告使用数据!$A$1:$E$65536,5,0),0)</f>
        <v>3</v>
      </c>
      <c r="AN141" s="23">
        <f t="shared" si="51"/>
        <v>0</v>
      </c>
      <c r="AO141" s="23">
        <f t="shared" si="52"/>
        <v>0.2</v>
      </c>
      <c r="AP141" s="23">
        <f t="shared" si="53"/>
        <v>0.333333333333333</v>
      </c>
      <c r="AQ141" s="23">
        <f t="shared" si="54"/>
        <v>0.333333333333333</v>
      </c>
      <c r="AR141" s="38">
        <f t="shared" si="39"/>
        <v>0</v>
      </c>
      <c r="AS141" s="38">
        <f t="shared" si="40"/>
        <v>0</v>
      </c>
      <c r="AT141" s="38">
        <f t="shared" si="41"/>
        <v>33</v>
      </c>
      <c r="AU141" s="33" t="str">
        <f t="shared" si="42"/>
        <v>库存为33</v>
      </c>
      <c r="AV141" s="39" t="str">
        <f>IFERROR(时间!$B$4+AU141,"上周无销量")</f>
        <v>上周无销量</v>
      </c>
    </row>
    <row r="142" spans="1:48">
      <c r="A142" s="35" t="s">
        <v>187</v>
      </c>
      <c r="B142" t="str">
        <f>VLOOKUP(A142,'[2]sku-asin（子）'!$A:$B,2,0)</f>
        <v>B074QGLLQN</v>
      </c>
      <c r="C142" t="str">
        <f>VLOOKUP(A142,'[2]子sku-父sku'!$A:$B,2,0)</f>
        <v>N2716Y</v>
      </c>
      <c r="D142" s="33">
        <f>IFERROR(VLOOKUP(A142,[3]库存报告使用数据处理!$A:$C,3,0),0)</f>
        <v>1</v>
      </c>
      <c r="E142" s="33">
        <f>IFERROR(VLOOKUP(A142,[3]库存报告使用数据处理!$A:$D,4,0),0)</f>
        <v>3</v>
      </c>
      <c r="F142" s="33">
        <f>IFERROR(VLOOKUP(A142,[3]库存报告使用数据处理!$A:$E,5,0),0)</f>
        <v>0</v>
      </c>
      <c r="G142" s="33">
        <f>IFERROR(VLOOKUP(A142,[3]库存报告使用数据处理!$A:$F,6,0),0)</f>
        <v>1</v>
      </c>
      <c r="H142" s="34">
        <f>IFERROR(VLOOKUP(A142,[3]库存报告使用数据处理!$A:$G,7,0),0)</f>
        <v>9.99</v>
      </c>
      <c r="I142">
        <f>IFERROR(VLOOKUP(A142,[4]数据处理!$A:$B,2,0),0)</f>
        <v>28</v>
      </c>
      <c r="J142" s="36">
        <f>IFERROR(VLOOKUP(A142,[4]数据处理!$A:$D,4,0),0)</f>
        <v>0</v>
      </c>
      <c r="K142" s="36">
        <f>IFERROR(VLOOKUP(A142,[4]数据处理!$A:$E,5,0),0)</f>
        <v>0</v>
      </c>
      <c r="L142" s="36">
        <f>IFERROR(VLOOKUP(A142,[4]数据处理!$A:$G,7,0),0)</f>
        <v>1</v>
      </c>
      <c r="M142">
        <f t="shared" si="38"/>
        <v>29</v>
      </c>
      <c r="N142">
        <f>IFERROR(VLOOKUP(A142,[4]数据处理!$A:$C,3,0),0)</f>
        <v>0</v>
      </c>
      <c r="O142">
        <f>IFERROR(VLOOKUP($A142,[4]数据处理!$A:$N,14,0),0)</f>
        <v>26</v>
      </c>
      <c r="P142">
        <f>IFERROR(VLOOKUP($A142,[5]库存使用数据!$A:$B,2,0),"")</f>
        <v>122</v>
      </c>
      <c r="Q142">
        <f>IFERROR(VLOOKUP($A142,[5]库存使用数据!$A:$E,5,0),"")</f>
        <v>107</v>
      </c>
      <c r="R142">
        <f>IFERROR(VLOOKUP($A142,[5]库存使用数据!$A:$H,8,0),"")</f>
        <v>200</v>
      </c>
      <c r="S142">
        <f>IFERROR(VLOOKUP($A142,[5]库存使用数据!$A:$K,11,0),"")</f>
        <v>493</v>
      </c>
      <c r="T142">
        <f>IFERROR(VLOOKUP($A142,[5]库存使用数据!$A:$C,3,0),"")</f>
        <v>0</v>
      </c>
      <c r="U142">
        <f>IFERROR(VLOOKUP($A142,[5]库存使用数据!$A:$F,6,0),"")</f>
        <v>0</v>
      </c>
      <c r="V142">
        <f>IFERROR(VLOOKUP($A142,[5]库存使用数据!$A:$I,9,0),"")</f>
        <v>0</v>
      </c>
      <c r="W142">
        <f>IFERROR(VLOOKUP($A142,[5]库存使用数据!$A:$L,12,0),"")</f>
        <v>0</v>
      </c>
      <c r="X142" s="23">
        <f t="shared" si="43"/>
        <v>0</v>
      </c>
      <c r="Y142" s="23">
        <f t="shared" si="44"/>
        <v>0</v>
      </c>
      <c r="Z142" s="23">
        <f t="shared" si="45"/>
        <v>0</v>
      </c>
      <c r="AA142" s="23">
        <f t="shared" si="46"/>
        <v>0</v>
      </c>
      <c r="AB142">
        <f>IFERROR(VLOOKUP($A142,[5]库存使用数据!$A:$D,4,0),"")</f>
        <v>0</v>
      </c>
      <c r="AC142">
        <f>IFERROR(VLOOKUP($A142,[5]库存使用数据!$A:$G,7,0),"")</f>
        <v>0</v>
      </c>
      <c r="AD142">
        <f>IFERROR(VLOOKUP($A142,[5]库存使用数据!$A:$J,10,0),"")</f>
        <v>0</v>
      </c>
      <c r="AE142">
        <f>IFERROR(VLOOKUP($A142,[5]库存使用数据!$A:$M,13,0),"")</f>
        <v>0</v>
      </c>
      <c r="AF142" s="23" t="str">
        <f t="shared" si="47"/>
        <v/>
      </c>
      <c r="AG142" s="23" t="str">
        <f t="shared" si="48"/>
        <v/>
      </c>
      <c r="AH142" s="23" t="str">
        <f t="shared" si="49"/>
        <v/>
      </c>
      <c r="AI142" s="23" t="str">
        <f t="shared" si="50"/>
        <v/>
      </c>
      <c r="AJ142">
        <f>IFERROR(VLOOKUP($B142,[1]库存报告使用数据!$A$1:$B$65536,2,0),0)</f>
        <v>4</v>
      </c>
      <c r="AK142">
        <f>IFERROR(VLOOKUP($B142,[1]库存报告使用数据!$A$1:$C$65536,3,0),0)</f>
        <v>3</v>
      </c>
      <c r="AL142">
        <f>IFERROR(VLOOKUP($B142,[1]库存报告使用数据!$A$1:$D$65536,4,0),0)</f>
        <v>5</v>
      </c>
      <c r="AM142">
        <f>IFERROR(VLOOKUP($B142,[1]库存报告使用数据!$A$1:$E$65536,5,0),0)</f>
        <v>3</v>
      </c>
      <c r="AN142" s="23">
        <f t="shared" si="51"/>
        <v>0.25</v>
      </c>
      <c r="AO142" s="23">
        <f t="shared" si="52"/>
        <v>1</v>
      </c>
      <c r="AP142" s="23">
        <f t="shared" si="53"/>
        <v>0</v>
      </c>
      <c r="AQ142" s="23">
        <f t="shared" si="54"/>
        <v>0.333333333333333</v>
      </c>
      <c r="AR142" s="38">
        <f t="shared" si="39"/>
        <v>0.142857142857143</v>
      </c>
      <c r="AS142" s="38">
        <f t="shared" si="40"/>
        <v>8.57142857142857</v>
      </c>
      <c r="AT142" s="38">
        <f t="shared" si="41"/>
        <v>20.4285714285714</v>
      </c>
      <c r="AU142" s="33">
        <f t="shared" si="42"/>
        <v>203</v>
      </c>
      <c r="AV142" s="39">
        <f>IFERROR(时间!$B$4+AU142,"上周无销量")</f>
        <v>43493</v>
      </c>
    </row>
    <row r="143" spans="1:48">
      <c r="A143" s="35" t="s">
        <v>188</v>
      </c>
      <c r="B143" t="str">
        <f>VLOOKUP(A143,'[2]sku-asin（子）'!$A:$B,2,0)</f>
        <v>B074QG3P8G</v>
      </c>
      <c r="C143" t="str">
        <f>VLOOKUP(A143,'[2]子sku-父sku'!$A:$B,2,0)</f>
        <v>N2716Y</v>
      </c>
      <c r="D143" s="33">
        <f>IFERROR(VLOOKUP(A143,[3]库存报告使用数据处理!$A:$C,3,0),0)</f>
        <v>1</v>
      </c>
      <c r="E143" s="33">
        <f>IFERROR(VLOOKUP(A143,[3]库存报告使用数据处理!$A:$D,4,0),0)</f>
        <v>0</v>
      </c>
      <c r="F143" s="33">
        <f>IFERROR(VLOOKUP(A143,[3]库存报告使用数据处理!$A:$E,5,0),0)</f>
        <v>0</v>
      </c>
      <c r="G143" s="33">
        <f>IFERROR(VLOOKUP(A143,[3]库存报告使用数据处理!$A:$F,6,0),0)</f>
        <v>0</v>
      </c>
      <c r="H143" s="34">
        <f>IFERROR(VLOOKUP(A143,[3]库存报告使用数据处理!$A:$G,7,0),0)</f>
        <v>9.99</v>
      </c>
      <c r="I143">
        <f>IFERROR(VLOOKUP(A143,[4]数据处理!$A:$B,2,0),0)</f>
        <v>35</v>
      </c>
      <c r="J143" s="36">
        <f>IFERROR(VLOOKUP(A143,[4]数据处理!$A:$D,4,0),0)</f>
        <v>0</v>
      </c>
      <c r="K143" s="36">
        <f>IFERROR(VLOOKUP(A143,[4]数据处理!$A:$E,5,0),0)</f>
        <v>0</v>
      </c>
      <c r="L143" s="36">
        <f>IFERROR(VLOOKUP(A143,[4]数据处理!$A:$G,7,0),0)</f>
        <v>0</v>
      </c>
      <c r="M143">
        <f t="shared" si="38"/>
        <v>35</v>
      </c>
      <c r="N143">
        <f>IFERROR(VLOOKUP(A143,[4]数据处理!$A:$C,3,0),0)</f>
        <v>0</v>
      </c>
      <c r="O143">
        <f>IFERROR(VLOOKUP($A143,[4]数据处理!$A:$N,14,0),0)</f>
        <v>34</v>
      </c>
      <c r="P143">
        <f>IFERROR(VLOOKUP($A143,[5]库存使用数据!$A:$B,2,0),"")</f>
        <v>234</v>
      </c>
      <c r="Q143">
        <f>IFERROR(VLOOKUP($A143,[5]库存使用数据!$A:$E,5,0),"")</f>
        <v>221</v>
      </c>
      <c r="R143">
        <f>IFERROR(VLOOKUP($A143,[5]库存使用数据!$A:$H,8,0),"")</f>
        <v>274</v>
      </c>
      <c r="S143">
        <f>IFERROR(VLOOKUP($A143,[5]库存使用数据!$A:$K,11,0),"")</f>
        <v>85</v>
      </c>
      <c r="T143">
        <f>IFERROR(VLOOKUP($A143,[5]库存使用数据!$A:$C,3,0),"")</f>
        <v>3</v>
      </c>
      <c r="U143">
        <f>IFERROR(VLOOKUP($A143,[5]库存使用数据!$A:$F,6,0),"")</f>
        <v>1</v>
      </c>
      <c r="V143">
        <f>IFERROR(VLOOKUP($A143,[5]库存使用数据!$A:$I,9,0),"")</f>
        <v>2</v>
      </c>
      <c r="W143">
        <f>IFERROR(VLOOKUP($A143,[5]库存使用数据!$A:$L,12,0),"")</f>
        <v>0</v>
      </c>
      <c r="X143" s="23">
        <f t="shared" si="43"/>
        <v>0.0128205128205128</v>
      </c>
      <c r="Y143" s="23">
        <f t="shared" si="44"/>
        <v>0.00452488687782805</v>
      </c>
      <c r="Z143" s="23">
        <f t="shared" si="45"/>
        <v>0.0072992700729927</v>
      </c>
      <c r="AA143" s="23">
        <f t="shared" si="46"/>
        <v>0</v>
      </c>
      <c r="AB143">
        <f>IFERROR(VLOOKUP($A143,[5]库存使用数据!$A:$D,4,0),"")</f>
        <v>1.24</v>
      </c>
      <c r="AC143">
        <f>IFERROR(VLOOKUP($A143,[5]库存使用数据!$A:$G,7,0),"")</f>
        <v>0.29</v>
      </c>
      <c r="AD143">
        <f>IFERROR(VLOOKUP($A143,[5]库存使用数据!$A:$J,10,0),"")</f>
        <v>0.56</v>
      </c>
      <c r="AE143">
        <f>IFERROR(VLOOKUP($A143,[5]库存使用数据!$A:$M,13,0),"")</f>
        <v>0</v>
      </c>
      <c r="AF143" s="23">
        <f t="shared" si="47"/>
        <v>0.124124124124124</v>
      </c>
      <c r="AG143" s="23" t="str">
        <f t="shared" si="48"/>
        <v>无销量广告费为0.29</v>
      </c>
      <c r="AH143" s="23" t="str">
        <f t="shared" si="49"/>
        <v>无销量广告费为0.56</v>
      </c>
      <c r="AI143" s="23" t="str">
        <f t="shared" si="50"/>
        <v/>
      </c>
      <c r="AJ143">
        <f>IFERROR(VLOOKUP($B143,[1]库存报告使用数据!$A$1:$B$65536,2,0),0)</f>
        <v>3</v>
      </c>
      <c r="AK143">
        <f>IFERROR(VLOOKUP($B143,[1]库存报告使用数据!$A$1:$C$65536,3,0),0)</f>
        <v>6</v>
      </c>
      <c r="AL143">
        <f>IFERROR(VLOOKUP($B143,[1]库存报告使用数据!$A$1:$D$65536,4,0),0)</f>
        <v>2</v>
      </c>
      <c r="AM143">
        <f>IFERROR(VLOOKUP($B143,[1]库存报告使用数据!$A$1:$E$65536,5,0),0)</f>
        <v>3</v>
      </c>
      <c r="AN143" s="23">
        <f t="shared" si="51"/>
        <v>0.333333333333333</v>
      </c>
      <c r="AO143" s="23">
        <f t="shared" si="52"/>
        <v>0</v>
      </c>
      <c r="AP143" s="23">
        <f t="shared" si="53"/>
        <v>0</v>
      </c>
      <c r="AQ143" s="23">
        <f t="shared" si="54"/>
        <v>0</v>
      </c>
      <c r="AR143" s="38">
        <f t="shared" si="39"/>
        <v>0.142857142857143</v>
      </c>
      <c r="AS143" s="38">
        <f t="shared" si="40"/>
        <v>8.57142857142857</v>
      </c>
      <c r="AT143" s="38">
        <f t="shared" si="41"/>
        <v>26.4285714285714</v>
      </c>
      <c r="AU143" s="33">
        <f t="shared" si="42"/>
        <v>245</v>
      </c>
      <c r="AV143" s="39">
        <f>IFERROR(时间!$B$4+AU143,"上周无销量")</f>
        <v>43535</v>
      </c>
    </row>
    <row r="144" spans="1:48">
      <c r="A144" s="35" t="s">
        <v>189</v>
      </c>
      <c r="B144" t="str">
        <f>VLOOKUP(A144,'[2]sku-asin（子）'!$A:$B,2,0)</f>
        <v>B074QCGCJC</v>
      </c>
      <c r="C144" t="str">
        <f>VLOOKUP(A144,'[2]子sku-父sku'!$A:$B,2,0)</f>
        <v>N2716Y</v>
      </c>
      <c r="D144" s="33">
        <f>IFERROR(VLOOKUP(A144,[3]库存报告使用数据处理!$A:$C,3,0),0)</f>
        <v>0</v>
      </c>
      <c r="E144" s="33">
        <f>IFERROR(VLOOKUP(A144,[3]库存报告使用数据处理!$A:$D,4,0),0)</f>
        <v>1</v>
      </c>
      <c r="F144" s="33">
        <f>IFERROR(VLOOKUP(A144,[3]库存报告使用数据处理!$A:$E,5,0),0)</f>
        <v>0</v>
      </c>
      <c r="G144" s="33">
        <f>IFERROR(VLOOKUP(A144,[3]库存报告使用数据处理!$A:$F,6,0),0)</f>
        <v>0</v>
      </c>
      <c r="H144" s="34">
        <f>IFERROR(VLOOKUP(A144,[3]库存报告使用数据处理!$A:$G,7,0),0)</f>
        <v>9.99</v>
      </c>
      <c r="I144">
        <f>IFERROR(VLOOKUP(A144,[4]数据处理!$A:$B,2,0),0)</f>
        <v>36</v>
      </c>
      <c r="J144" s="36">
        <f>IFERROR(VLOOKUP(A144,[4]数据处理!$A:$D,4,0),0)</f>
        <v>0</v>
      </c>
      <c r="K144" s="36">
        <f>IFERROR(VLOOKUP(A144,[4]数据处理!$A:$E,5,0),0)</f>
        <v>0</v>
      </c>
      <c r="L144" s="36">
        <f>IFERROR(VLOOKUP(A144,[4]数据处理!$A:$G,7,0),0)</f>
        <v>0</v>
      </c>
      <c r="M144">
        <f t="shared" si="38"/>
        <v>36</v>
      </c>
      <c r="N144">
        <f>IFERROR(VLOOKUP(A144,[4]数据处理!$A:$C,3,0),0)</f>
        <v>0</v>
      </c>
      <c r="O144">
        <f>IFERROR(VLOOKUP($A144,[4]数据处理!$A:$N,14,0),0)</f>
        <v>34</v>
      </c>
      <c r="P144">
        <f>IFERROR(VLOOKUP($A144,[5]库存使用数据!$A:$B,2,0),"")</f>
        <v>169</v>
      </c>
      <c r="Q144">
        <f>IFERROR(VLOOKUP($A144,[5]库存使用数据!$A:$E,5,0),"")</f>
        <v>125</v>
      </c>
      <c r="R144">
        <f>IFERROR(VLOOKUP($A144,[5]库存使用数据!$A:$H,8,0),"")</f>
        <v>56</v>
      </c>
      <c r="S144">
        <f>IFERROR(VLOOKUP($A144,[5]库存使用数据!$A:$K,11,0),"")</f>
        <v>16</v>
      </c>
      <c r="T144">
        <f>IFERROR(VLOOKUP($A144,[5]库存使用数据!$A:$C,3,0),"")</f>
        <v>1</v>
      </c>
      <c r="U144">
        <f>IFERROR(VLOOKUP($A144,[5]库存使用数据!$A:$F,6,0),"")</f>
        <v>1</v>
      </c>
      <c r="V144">
        <f>IFERROR(VLOOKUP($A144,[5]库存使用数据!$A:$I,9,0),"")</f>
        <v>1</v>
      </c>
      <c r="W144">
        <f>IFERROR(VLOOKUP($A144,[5]库存使用数据!$A:$L,12,0),"")</f>
        <v>0</v>
      </c>
      <c r="X144" s="23">
        <f t="shared" si="43"/>
        <v>0.00591715976331361</v>
      </c>
      <c r="Y144" s="23">
        <f t="shared" si="44"/>
        <v>0.008</v>
      </c>
      <c r="Z144" s="23">
        <f t="shared" si="45"/>
        <v>0.0178571428571429</v>
      </c>
      <c r="AA144" s="23">
        <f t="shared" si="46"/>
        <v>0</v>
      </c>
      <c r="AB144">
        <f>IFERROR(VLOOKUP($A144,[5]库存使用数据!$A:$D,4,0),"")</f>
        <v>0.27</v>
      </c>
      <c r="AC144">
        <f>IFERROR(VLOOKUP($A144,[5]库存使用数据!$A:$G,7,0),"")</f>
        <v>0.18</v>
      </c>
      <c r="AD144">
        <f>IFERROR(VLOOKUP($A144,[5]库存使用数据!$A:$J,10,0),"")</f>
        <v>0.13</v>
      </c>
      <c r="AE144">
        <f>IFERROR(VLOOKUP($A144,[5]库存使用数据!$A:$M,13,0),"")</f>
        <v>0</v>
      </c>
      <c r="AF144" s="23" t="str">
        <f t="shared" si="47"/>
        <v>无销量广告费为0.27</v>
      </c>
      <c r="AG144" s="23">
        <f t="shared" si="48"/>
        <v>0.018018018018018</v>
      </c>
      <c r="AH144" s="23" t="str">
        <f t="shared" si="49"/>
        <v>无销量广告费为0.13</v>
      </c>
      <c r="AI144" s="23" t="str">
        <f t="shared" si="50"/>
        <v/>
      </c>
      <c r="AJ144">
        <f>IFERROR(VLOOKUP($B144,[1]库存报告使用数据!$A$1:$B$65536,2,0),0)</f>
        <v>3</v>
      </c>
      <c r="AK144">
        <f>IFERROR(VLOOKUP($B144,[1]库存报告使用数据!$A$1:$C$65536,3,0),0)</f>
        <v>6</v>
      </c>
      <c r="AL144">
        <f>IFERROR(VLOOKUP($B144,[1]库存报告使用数据!$A$1:$D$65536,4,0),0)</f>
        <v>1</v>
      </c>
      <c r="AM144">
        <f>IFERROR(VLOOKUP($B144,[1]库存报告使用数据!$A$1:$E$65536,5,0),0)</f>
        <v>3</v>
      </c>
      <c r="AN144" s="23">
        <f t="shared" si="51"/>
        <v>0</v>
      </c>
      <c r="AO144" s="23">
        <f t="shared" si="52"/>
        <v>0.166666666666667</v>
      </c>
      <c r="AP144" s="23">
        <f t="shared" si="53"/>
        <v>0</v>
      </c>
      <c r="AQ144" s="23">
        <f t="shared" si="54"/>
        <v>0</v>
      </c>
      <c r="AR144" s="38">
        <f t="shared" si="39"/>
        <v>0</v>
      </c>
      <c r="AS144" s="38">
        <f t="shared" si="40"/>
        <v>0</v>
      </c>
      <c r="AT144" s="38">
        <f t="shared" si="41"/>
        <v>36</v>
      </c>
      <c r="AU144" s="33" t="str">
        <f t="shared" si="42"/>
        <v>库存为36</v>
      </c>
      <c r="AV144" s="39" t="str">
        <f>IFERROR(时间!$B$4+AU144,"上周无销量")</f>
        <v>上周无销量</v>
      </c>
    </row>
    <row r="145" spans="1:48">
      <c r="A145" s="35" t="s">
        <v>190</v>
      </c>
      <c r="B145" t="str">
        <f>VLOOKUP(A145,'[2]sku-asin（子）'!$A:$B,2,0)</f>
        <v>B074QDSYXY</v>
      </c>
      <c r="C145" t="str">
        <f>VLOOKUP(A145,'[2]子sku-父sku'!$A:$B,2,0)</f>
        <v>N2716Y</v>
      </c>
      <c r="D145" s="33">
        <f>IFERROR(VLOOKUP(A145,[3]库存报告使用数据处理!$A:$C,3,0),0)</f>
        <v>0</v>
      </c>
      <c r="E145" s="33">
        <f>IFERROR(VLOOKUP(A145,[3]库存报告使用数据处理!$A:$D,4,0),0)</f>
        <v>0</v>
      </c>
      <c r="F145" s="33">
        <f>IFERROR(VLOOKUP(A145,[3]库存报告使用数据处理!$A:$E,5,0),0)</f>
        <v>1</v>
      </c>
      <c r="G145" s="33">
        <f>IFERROR(VLOOKUP(A145,[3]库存报告使用数据处理!$A:$F,6,0),0)</f>
        <v>0</v>
      </c>
      <c r="H145" s="34">
        <f>IFERROR(VLOOKUP(A145,[3]库存报告使用数据处理!$A:$G,7,0),0)</f>
        <v>8.53</v>
      </c>
      <c r="I145">
        <f>IFERROR(VLOOKUP(A145,[4]数据处理!$A:$B,2,0),0)</f>
        <v>34</v>
      </c>
      <c r="J145" s="36">
        <f>IFERROR(VLOOKUP(A145,[4]数据处理!$A:$D,4,0),0)</f>
        <v>0</v>
      </c>
      <c r="K145" s="36">
        <f>IFERROR(VLOOKUP(A145,[4]数据处理!$A:$E,5,0),0)</f>
        <v>0</v>
      </c>
      <c r="L145" s="36">
        <f>IFERROR(VLOOKUP(A145,[4]数据处理!$A:$G,7,0),0)</f>
        <v>0</v>
      </c>
      <c r="M145">
        <f t="shared" si="38"/>
        <v>34</v>
      </c>
      <c r="N145">
        <f>IFERROR(VLOOKUP(A145,[4]数据处理!$A:$C,3,0),0)</f>
        <v>0</v>
      </c>
      <c r="O145">
        <f>IFERROR(VLOOKUP($A145,[4]数据处理!$A:$N,14,0),0)</f>
        <v>32</v>
      </c>
      <c r="P145">
        <f>IFERROR(VLOOKUP($A145,[5]库存使用数据!$A:$B,2,0),"")</f>
        <v>130</v>
      </c>
      <c r="Q145">
        <f>IFERROR(VLOOKUP($A145,[5]库存使用数据!$A:$E,5,0),"")</f>
        <v>73</v>
      </c>
      <c r="R145">
        <f>IFERROR(VLOOKUP($A145,[5]库存使用数据!$A:$H,8,0),"")</f>
        <v>93</v>
      </c>
      <c r="S145">
        <f>IFERROR(VLOOKUP($A145,[5]库存使用数据!$A:$K,11,0),"")</f>
        <v>42</v>
      </c>
      <c r="T145">
        <f>IFERROR(VLOOKUP($A145,[5]库存使用数据!$A:$C,3,0),"")</f>
        <v>1</v>
      </c>
      <c r="U145">
        <f>IFERROR(VLOOKUP($A145,[5]库存使用数据!$A:$F,6,0),"")</f>
        <v>0</v>
      </c>
      <c r="V145">
        <f>IFERROR(VLOOKUP($A145,[5]库存使用数据!$A:$I,9,0),"")</f>
        <v>2</v>
      </c>
      <c r="W145">
        <f>IFERROR(VLOOKUP($A145,[5]库存使用数据!$A:$L,12,0),"")</f>
        <v>0</v>
      </c>
      <c r="X145" s="23">
        <f t="shared" si="43"/>
        <v>0.00769230769230769</v>
      </c>
      <c r="Y145" s="23">
        <f t="shared" si="44"/>
        <v>0</v>
      </c>
      <c r="Z145" s="23">
        <f t="shared" si="45"/>
        <v>0.021505376344086</v>
      </c>
      <c r="AA145" s="23">
        <f t="shared" si="46"/>
        <v>0</v>
      </c>
      <c r="AB145">
        <f>IFERROR(VLOOKUP($A145,[5]库存使用数据!$A:$D,4,0),"")</f>
        <v>0.41</v>
      </c>
      <c r="AC145">
        <f>IFERROR(VLOOKUP($A145,[5]库存使用数据!$A:$G,7,0),"")</f>
        <v>0</v>
      </c>
      <c r="AD145">
        <f>IFERROR(VLOOKUP($A145,[5]库存使用数据!$A:$J,10,0),"")</f>
        <v>0.79</v>
      </c>
      <c r="AE145">
        <f>IFERROR(VLOOKUP($A145,[5]库存使用数据!$A:$M,13,0),"")</f>
        <v>0</v>
      </c>
      <c r="AF145" s="23" t="str">
        <f t="shared" si="47"/>
        <v>无销量广告费为0.41</v>
      </c>
      <c r="AG145" s="23" t="str">
        <f t="shared" si="48"/>
        <v/>
      </c>
      <c r="AH145" s="23">
        <f t="shared" si="49"/>
        <v>0.0926143024618992</v>
      </c>
      <c r="AI145" s="23" t="str">
        <f t="shared" si="50"/>
        <v/>
      </c>
      <c r="AJ145">
        <f>IFERROR(VLOOKUP($B145,[1]库存报告使用数据!$A$1:$B$65536,2,0),0)</f>
        <v>6</v>
      </c>
      <c r="AK145">
        <f>IFERROR(VLOOKUP($B145,[1]库存报告使用数据!$A$1:$C$65536,3,0),0)</f>
        <v>3</v>
      </c>
      <c r="AL145">
        <f>IFERROR(VLOOKUP($B145,[1]库存报告使用数据!$A$1:$D$65536,4,0),0)</f>
        <v>4</v>
      </c>
      <c r="AM145">
        <f>IFERROR(VLOOKUP($B145,[1]库存报告使用数据!$A$1:$E$65536,5,0),0)</f>
        <v>1</v>
      </c>
      <c r="AN145" s="23">
        <f t="shared" si="51"/>
        <v>0</v>
      </c>
      <c r="AO145" s="23">
        <f t="shared" si="52"/>
        <v>0</v>
      </c>
      <c r="AP145" s="23">
        <f t="shared" si="53"/>
        <v>0.25</v>
      </c>
      <c r="AQ145" s="23">
        <f t="shared" si="54"/>
        <v>0</v>
      </c>
      <c r="AR145" s="38">
        <f t="shared" si="39"/>
        <v>0</v>
      </c>
      <c r="AS145" s="38">
        <f t="shared" si="40"/>
        <v>0</v>
      </c>
      <c r="AT145" s="38">
        <f t="shared" si="41"/>
        <v>34</v>
      </c>
      <c r="AU145" s="33" t="str">
        <f t="shared" si="42"/>
        <v>库存为34</v>
      </c>
      <c r="AV145" s="39" t="str">
        <f>IFERROR(时间!$B$4+AU145,"上周无销量")</f>
        <v>上周无销量</v>
      </c>
    </row>
    <row r="146" spans="1:48">
      <c r="A146" s="35" t="s">
        <v>191</v>
      </c>
      <c r="B146" t="str">
        <f>VLOOKUP(A146,'[2]sku-asin（子）'!$A:$B,2,0)</f>
        <v>B074Q9RQFH</v>
      </c>
      <c r="C146" t="str">
        <f>VLOOKUP(A146,'[2]子sku-父sku'!$A:$B,2,0)</f>
        <v>N2716Y</v>
      </c>
      <c r="D146" s="33">
        <f>IFERROR(VLOOKUP(A146,[3]库存报告使用数据处理!$A:$C,3,0),0)</f>
        <v>0</v>
      </c>
      <c r="E146" s="33">
        <f>IFERROR(VLOOKUP(A146,[3]库存报告使用数据处理!$A:$D,4,0),0)</f>
        <v>0</v>
      </c>
      <c r="F146" s="33">
        <f>IFERROR(VLOOKUP(A146,[3]库存报告使用数据处理!$A:$E,5,0),0)</f>
        <v>1</v>
      </c>
      <c r="G146" s="33">
        <f>IFERROR(VLOOKUP(A146,[3]库存报告使用数据处理!$A:$F,6,0),0)</f>
        <v>0</v>
      </c>
      <c r="H146" s="34">
        <f>IFERROR(VLOOKUP(A146,[3]库存报告使用数据处理!$A:$G,7,0),0)</f>
        <v>7.46</v>
      </c>
      <c r="I146">
        <f>IFERROR(VLOOKUP(A146,[4]数据处理!$A:$B,2,0),0)</f>
        <v>34</v>
      </c>
      <c r="J146" s="36">
        <f>IFERROR(VLOOKUP(A146,[4]数据处理!$A:$D,4,0),0)</f>
        <v>0</v>
      </c>
      <c r="K146" s="36">
        <f>IFERROR(VLOOKUP(A146,[4]数据处理!$A:$E,5,0),0)</f>
        <v>0</v>
      </c>
      <c r="L146" s="36">
        <f>IFERROR(VLOOKUP(A146,[4]数据处理!$A:$G,7,0),0)</f>
        <v>0</v>
      </c>
      <c r="M146">
        <f t="shared" si="38"/>
        <v>34</v>
      </c>
      <c r="N146">
        <f>IFERROR(VLOOKUP(A146,[4]数据处理!$A:$C,3,0),0)</f>
        <v>0</v>
      </c>
      <c r="O146">
        <f>IFERROR(VLOOKUP($A146,[4]数据处理!$A:$N,14,0),0)</f>
        <v>32</v>
      </c>
      <c r="P146">
        <f>IFERROR(VLOOKUP($A146,[5]库存使用数据!$A:$B,2,0),"")</f>
        <v>26</v>
      </c>
      <c r="Q146">
        <f>IFERROR(VLOOKUP($A146,[5]库存使用数据!$A:$E,5,0),"")</f>
        <v>32</v>
      </c>
      <c r="R146">
        <f>IFERROR(VLOOKUP($A146,[5]库存使用数据!$A:$H,8,0),"")</f>
        <v>102</v>
      </c>
      <c r="S146">
        <f>IFERROR(VLOOKUP($A146,[5]库存使用数据!$A:$K,11,0),"")</f>
        <v>4728</v>
      </c>
      <c r="T146">
        <f>IFERROR(VLOOKUP($A146,[5]库存使用数据!$A:$C,3,0),"")</f>
        <v>0</v>
      </c>
      <c r="U146">
        <f>IFERROR(VLOOKUP($A146,[5]库存使用数据!$A:$F,6,0),"")</f>
        <v>0</v>
      </c>
      <c r="V146">
        <f>IFERROR(VLOOKUP($A146,[5]库存使用数据!$A:$I,9,0),"")</f>
        <v>0</v>
      </c>
      <c r="W146">
        <f>IFERROR(VLOOKUP($A146,[5]库存使用数据!$A:$L,12,0),"")</f>
        <v>3</v>
      </c>
      <c r="X146" s="23">
        <f t="shared" si="43"/>
        <v>0</v>
      </c>
      <c r="Y146" s="23">
        <f t="shared" si="44"/>
        <v>0</v>
      </c>
      <c r="Z146" s="23">
        <f t="shared" si="45"/>
        <v>0</v>
      </c>
      <c r="AA146" s="23">
        <f t="shared" si="46"/>
        <v>0.000634517766497462</v>
      </c>
      <c r="AB146">
        <f>IFERROR(VLOOKUP($A146,[5]库存使用数据!$A:$D,4,0),"")</f>
        <v>0</v>
      </c>
      <c r="AC146">
        <f>IFERROR(VLOOKUP($A146,[5]库存使用数据!$A:$G,7,0),"")</f>
        <v>0</v>
      </c>
      <c r="AD146">
        <f>IFERROR(VLOOKUP($A146,[5]库存使用数据!$A:$J,10,0),"")</f>
        <v>0</v>
      </c>
      <c r="AE146">
        <f>IFERROR(VLOOKUP($A146,[5]库存使用数据!$A:$M,13,0),"")</f>
        <v>1.31</v>
      </c>
      <c r="AF146" s="23" t="str">
        <f t="shared" si="47"/>
        <v/>
      </c>
      <c r="AG146" s="23" t="str">
        <f t="shared" si="48"/>
        <v/>
      </c>
      <c r="AH146" s="23" t="str">
        <f t="shared" si="49"/>
        <v/>
      </c>
      <c r="AI146" s="23" t="str">
        <f t="shared" si="50"/>
        <v>无销量广告费为1.31</v>
      </c>
      <c r="AJ146">
        <f>IFERROR(VLOOKUP($B146,[1]库存报告使用数据!$A$1:$B$65536,2,0),0)</f>
        <v>2</v>
      </c>
      <c r="AK146">
        <f>IFERROR(VLOOKUP($B146,[1]库存报告使用数据!$A$1:$C$65536,3,0),0)</f>
        <v>3</v>
      </c>
      <c r="AL146">
        <f>IFERROR(VLOOKUP($B146,[1]库存报告使用数据!$A$1:$D$65536,4,0),0)</f>
        <v>1</v>
      </c>
      <c r="AM146">
        <f>IFERROR(VLOOKUP($B146,[1]库存报告使用数据!$A$1:$E$65536,5,0),0)</f>
        <v>2</v>
      </c>
      <c r="AN146" s="23">
        <f t="shared" si="51"/>
        <v>0</v>
      </c>
      <c r="AO146" s="23">
        <f t="shared" si="52"/>
        <v>0</v>
      </c>
      <c r="AP146" s="23">
        <f t="shared" si="53"/>
        <v>1</v>
      </c>
      <c r="AQ146" s="23">
        <f t="shared" si="54"/>
        <v>0</v>
      </c>
      <c r="AR146" s="38">
        <f t="shared" si="39"/>
        <v>0</v>
      </c>
      <c r="AS146" s="38">
        <f t="shared" si="40"/>
        <v>0</v>
      </c>
      <c r="AT146" s="38">
        <f t="shared" si="41"/>
        <v>34</v>
      </c>
      <c r="AU146" s="33" t="str">
        <f t="shared" si="42"/>
        <v>库存为34</v>
      </c>
      <c r="AV146" s="39" t="str">
        <f>IFERROR(时间!$B$4+AU146,"上周无销量")</f>
        <v>上周无销量</v>
      </c>
    </row>
    <row r="147" spans="1:48">
      <c r="A147" s="35" t="s">
        <v>192</v>
      </c>
      <c r="B147" t="str">
        <f>VLOOKUP(A147,'[2]sku-asin（子）'!$A:$B,2,0)</f>
        <v>B074CXLQVY</v>
      </c>
      <c r="C147" t="str">
        <f>VLOOKUP(A147,'[2]子sku-父sku'!$A:$B,2,0)</f>
        <v>N299Y</v>
      </c>
      <c r="D147" s="33">
        <f>IFERROR(VLOOKUP(A147,[3]库存报告使用数据处理!$A:$C,3,0),0)</f>
        <v>0</v>
      </c>
      <c r="E147" s="33">
        <f>IFERROR(VLOOKUP(A147,[3]库存报告使用数据处理!$A:$D,4,0),0)</f>
        <v>1</v>
      </c>
      <c r="F147" s="33">
        <f>IFERROR(VLOOKUP(A147,[3]库存报告使用数据处理!$A:$E,5,0),0)</f>
        <v>1</v>
      </c>
      <c r="G147" s="33">
        <f>IFERROR(VLOOKUP(A147,[3]库存报告使用数据处理!$A:$F,6,0),0)</f>
        <v>0</v>
      </c>
      <c r="H147" s="34">
        <f>IFERROR(VLOOKUP(A147,[3]库存报告使用数据处理!$A:$G,7,0),0)</f>
        <v>13.9</v>
      </c>
      <c r="I147">
        <f>IFERROR(VLOOKUP(A147,[4]数据处理!$A:$B,2,0),0)</f>
        <v>6</v>
      </c>
      <c r="J147" s="36">
        <f>IFERROR(VLOOKUP(A147,[4]数据处理!$A:$D,4,0),0)</f>
        <v>0</v>
      </c>
      <c r="K147" s="36">
        <f>IFERROR(VLOOKUP(A147,[4]数据处理!$A:$E,5,0),0)</f>
        <v>0</v>
      </c>
      <c r="L147" s="36">
        <f>IFERROR(VLOOKUP(A147,[4]数据处理!$A:$G,7,0),0)</f>
        <v>0</v>
      </c>
      <c r="M147">
        <f t="shared" si="38"/>
        <v>6</v>
      </c>
      <c r="N147">
        <f>IFERROR(VLOOKUP(A147,[4]数据处理!$A:$C,3,0),0)</f>
        <v>0</v>
      </c>
      <c r="O147">
        <f>IFERROR(VLOOKUP($A147,[4]数据处理!$A:$N,14,0),0)</f>
        <v>6</v>
      </c>
      <c r="P147">
        <f>IFERROR(VLOOKUP($A147,[5]库存使用数据!$A:$B,2,0),"")</f>
        <v>91</v>
      </c>
      <c r="Q147">
        <f>IFERROR(VLOOKUP($A147,[5]库存使用数据!$A:$E,5,0),"")</f>
        <v>80</v>
      </c>
      <c r="R147">
        <f>IFERROR(VLOOKUP($A147,[5]库存使用数据!$A:$H,8,0),"")</f>
        <v>87</v>
      </c>
      <c r="S147">
        <f>IFERROR(VLOOKUP($A147,[5]库存使用数据!$A:$K,11,0),"")</f>
        <v>73</v>
      </c>
      <c r="T147">
        <f>IFERROR(VLOOKUP($A147,[5]库存使用数据!$A:$C,3,0),"")</f>
        <v>0</v>
      </c>
      <c r="U147">
        <f>IFERROR(VLOOKUP($A147,[5]库存使用数据!$A:$F,6,0),"")</f>
        <v>1</v>
      </c>
      <c r="V147">
        <f>IFERROR(VLOOKUP($A147,[5]库存使用数据!$A:$I,9,0),"")</f>
        <v>0</v>
      </c>
      <c r="W147">
        <f>IFERROR(VLOOKUP($A147,[5]库存使用数据!$A:$L,12,0),"")</f>
        <v>1</v>
      </c>
      <c r="X147" s="23">
        <f t="shared" si="43"/>
        <v>0</v>
      </c>
      <c r="Y147" s="23">
        <f t="shared" si="44"/>
        <v>0.0125</v>
      </c>
      <c r="Z147" s="23">
        <f t="shared" si="45"/>
        <v>0</v>
      </c>
      <c r="AA147" s="23">
        <f t="shared" si="46"/>
        <v>0.0136986301369863</v>
      </c>
      <c r="AB147">
        <f>IFERROR(VLOOKUP($A147,[5]库存使用数据!$A:$D,4,0),"")</f>
        <v>0</v>
      </c>
      <c r="AC147">
        <f>IFERROR(VLOOKUP($A147,[5]库存使用数据!$A:$G,7,0),"")</f>
        <v>0.17</v>
      </c>
      <c r="AD147">
        <f>IFERROR(VLOOKUP($A147,[5]库存使用数据!$A:$J,10,0),"")</f>
        <v>0</v>
      </c>
      <c r="AE147">
        <f>IFERROR(VLOOKUP($A147,[5]库存使用数据!$A:$M,13,0),"")</f>
        <v>0.51</v>
      </c>
      <c r="AF147" s="23" t="str">
        <f t="shared" si="47"/>
        <v/>
      </c>
      <c r="AG147" s="23">
        <f t="shared" si="48"/>
        <v>0.0122302158273381</v>
      </c>
      <c r="AH147" s="23" t="str">
        <f t="shared" si="49"/>
        <v/>
      </c>
      <c r="AI147" s="23" t="str">
        <f t="shared" si="50"/>
        <v>无销量广告费为0.51</v>
      </c>
      <c r="AJ147">
        <f>IFERROR(VLOOKUP($B147,[1]库存报告使用数据!$A$1:$B$65536,2,0),0)</f>
        <v>0</v>
      </c>
      <c r="AK147">
        <f>IFERROR(VLOOKUP($B147,[1]库存报告使用数据!$A$1:$C$65536,3,0),0)</f>
        <v>10</v>
      </c>
      <c r="AL147">
        <f>IFERROR(VLOOKUP($B147,[1]库存报告使用数据!$A$1:$D$65536,4,0),0)</f>
        <v>2</v>
      </c>
      <c r="AM147">
        <f>IFERROR(VLOOKUP($B147,[1]库存报告使用数据!$A$1:$E$65536,5,0),0)</f>
        <v>1</v>
      </c>
      <c r="AN147" s="23" t="str">
        <f t="shared" si="51"/>
        <v/>
      </c>
      <c r="AO147" s="23">
        <f t="shared" si="52"/>
        <v>0.1</v>
      </c>
      <c r="AP147" s="23">
        <f t="shared" si="53"/>
        <v>0.5</v>
      </c>
      <c r="AQ147" s="23">
        <f t="shared" si="54"/>
        <v>0</v>
      </c>
      <c r="AR147" s="38">
        <f t="shared" si="39"/>
        <v>0</v>
      </c>
      <c r="AS147" s="38">
        <f t="shared" si="40"/>
        <v>0</v>
      </c>
      <c r="AT147" s="38">
        <f t="shared" si="41"/>
        <v>6</v>
      </c>
      <c r="AU147" s="33" t="str">
        <f t="shared" si="42"/>
        <v>库存为6</v>
      </c>
      <c r="AV147" s="39" t="str">
        <f>IFERROR(时间!$B$4+AU147,"上周无销量")</f>
        <v>上周无销量</v>
      </c>
    </row>
    <row r="148" spans="1:48">
      <c r="A148" s="35" t="s">
        <v>193</v>
      </c>
      <c r="B148" t="str">
        <f>VLOOKUP(A148,'[2]sku-asin（子）'!$A:$B,2,0)</f>
        <v>B074CX8YMH</v>
      </c>
      <c r="C148" t="str">
        <f>VLOOKUP(A148,'[2]子sku-父sku'!$A:$B,2,0)</f>
        <v>N299Y</v>
      </c>
      <c r="D148" s="33">
        <f>IFERROR(VLOOKUP(A148,[3]库存报告使用数据处理!$A:$C,3,0),0)</f>
        <v>0</v>
      </c>
      <c r="E148" s="33">
        <f>IFERROR(VLOOKUP(A148,[3]库存报告使用数据处理!$A:$D,4,0),0)</f>
        <v>0</v>
      </c>
      <c r="F148" s="33">
        <f>IFERROR(VLOOKUP(A148,[3]库存报告使用数据处理!$A:$E,5,0),0)</f>
        <v>0</v>
      </c>
      <c r="G148" s="33">
        <f>IFERROR(VLOOKUP(A148,[3]库存报告使用数据处理!$A:$F,6,0),0)</f>
        <v>0</v>
      </c>
      <c r="H148" s="34">
        <f>IFERROR(VLOOKUP(A148,[3]库存报告使用数据处理!$A:$G,7,0),0)</f>
        <v>0</v>
      </c>
      <c r="I148">
        <f>IFERROR(VLOOKUP(A148,[4]数据处理!$A:$B,2,0),0)</f>
        <v>3</v>
      </c>
      <c r="J148" s="36">
        <f>IFERROR(VLOOKUP(A148,[4]数据处理!$A:$D,4,0),0)</f>
        <v>0</v>
      </c>
      <c r="K148" s="36">
        <f>IFERROR(VLOOKUP(A148,[4]数据处理!$A:$E,5,0),0)</f>
        <v>0</v>
      </c>
      <c r="L148" s="36">
        <f>IFERROR(VLOOKUP(A148,[4]数据处理!$A:$G,7,0),0)</f>
        <v>0</v>
      </c>
      <c r="M148">
        <f t="shared" si="38"/>
        <v>3</v>
      </c>
      <c r="N148">
        <f>IFERROR(VLOOKUP(A148,[4]数据处理!$A:$C,3,0),0)</f>
        <v>0</v>
      </c>
      <c r="O148">
        <f>IFERROR(VLOOKUP($A148,[4]数据处理!$A:$N,14,0),0)</f>
        <v>3</v>
      </c>
      <c r="P148">
        <f>IFERROR(VLOOKUP($A148,[5]库存使用数据!$A:$B,2,0),"")</f>
        <v>54</v>
      </c>
      <c r="Q148">
        <f>IFERROR(VLOOKUP($A148,[5]库存使用数据!$A:$E,5,0),"")</f>
        <v>49</v>
      </c>
      <c r="R148">
        <f>IFERROR(VLOOKUP($A148,[5]库存使用数据!$A:$H,8,0),"")</f>
        <v>20</v>
      </c>
      <c r="S148">
        <f>IFERROR(VLOOKUP($A148,[5]库存使用数据!$A:$K,11,0),"")</f>
        <v>22</v>
      </c>
      <c r="T148">
        <f>IFERROR(VLOOKUP($A148,[5]库存使用数据!$A:$C,3,0),"")</f>
        <v>0</v>
      </c>
      <c r="U148">
        <f>IFERROR(VLOOKUP($A148,[5]库存使用数据!$A:$F,6,0),"")</f>
        <v>0</v>
      </c>
      <c r="V148">
        <f>IFERROR(VLOOKUP($A148,[5]库存使用数据!$A:$I,9,0),"")</f>
        <v>0</v>
      </c>
      <c r="W148">
        <f>IFERROR(VLOOKUP($A148,[5]库存使用数据!$A:$L,12,0),"")</f>
        <v>0</v>
      </c>
      <c r="X148" s="23">
        <f t="shared" si="43"/>
        <v>0</v>
      </c>
      <c r="Y148" s="23">
        <f t="shared" si="44"/>
        <v>0</v>
      </c>
      <c r="Z148" s="23">
        <f t="shared" si="45"/>
        <v>0</v>
      </c>
      <c r="AA148" s="23">
        <f t="shared" si="46"/>
        <v>0</v>
      </c>
      <c r="AB148">
        <f>IFERROR(VLOOKUP($A148,[5]库存使用数据!$A:$D,4,0),"")</f>
        <v>0</v>
      </c>
      <c r="AC148">
        <f>IFERROR(VLOOKUP($A148,[5]库存使用数据!$A:$G,7,0),"")</f>
        <v>0</v>
      </c>
      <c r="AD148">
        <f>IFERROR(VLOOKUP($A148,[5]库存使用数据!$A:$J,10,0),"")</f>
        <v>0</v>
      </c>
      <c r="AE148">
        <f>IFERROR(VLOOKUP($A148,[5]库存使用数据!$A:$M,13,0),"")</f>
        <v>0</v>
      </c>
      <c r="AF148" s="23" t="str">
        <f t="shared" si="47"/>
        <v/>
      </c>
      <c r="AG148" s="23" t="str">
        <f t="shared" si="48"/>
        <v/>
      </c>
      <c r="AH148" s="23" t="str">
        <f t="shared" si="49"/>
        <v/>
      </c>
      <c r="AI148" s="23" t="str">
        <f t="shared" si="50"/>
        <v/>
      </c>
      <c r="AJ148">
        <f>IFERROR(VLOOKUP($B148,[1]库存报告使用数据!$A$1:$B$65536,2,0),0)</f>
        <v>0</v>
      </c>
      <c r="AK148">
        <f>IFERROR(VLOOKUP($B148,[1]库存报告使用数据!$A$1:$C$65536,3,0),0)</f>
        <v>5</v>
      </c>
      <c r="AL148">
        <f>IFERROR(VLOOKUP($B148,[1]库存报告使用数据!$A$1:$D$65536,4,0),0)</f>
        <v>1</v>
      </c>
      <c r="AM148">
        <f>IFERROR(VLOOKUP($B148,[1]库存报告使用数据!$A$1:$E$65536,5,0),0)</f>
        <v>0</v>
      </c>
      <c r="AN148" s="23" t="str">
        <f t="shared" si="51"/>
        <v/>
      </c>
      <c r="AO148" s="23">
        <f t="shared" si="52"/>
        <v>0</v>
      </c>
      <c r="AP148" s="23">
        <f t="shared" si="53"/>
        <v>0</v>
      </c>
      <c r="AQ148" s="23" t="str">
        <f t="shared" si="54"/>
        <v/>
      </c>
      <c r="AR148" s="38">
        <f t="shared" si="39"/>
        <v>0</v>
      </c>
      <c r="AS148" s="38">
        <f t="shared" si="40"/>
        <v>0</v>
      </c>
      <c r="AT148" s="38">
        <f t="shared" si="41"/>
        <v>3</v>
      </c>
      <c r="AU148" s="33" t="str">
        <f t="shared" si="42"/>
        <v>库存为3</v>
      </c>
      <c r="AV148" s="39" t="str">
        <f>IFERROR(时间!$B$4+AU148,"上周无销量")</f>
        <v>上周无销量</v>
      </c>
    </row>
    <row r="149" spans="1:48">
      <c r="A149" s="35" t="s">
        <v>194</v>
      </c>
      <c r="B149" t="str">
        <f>VLOOKUP(A149,'[2]sku-asin（子）'!$A:$B,2,0)</f>
        <v>B074CX9229</v>
      </c>
      <c r="C149" t="str">
        <f>VLOOKUP(A149,'[2]子sku-父sku'!$A:$B,2,0)</f>
        <v>N31459Y</v>
      </c>
      <c r="D149" s="33">
        <f>IFERROR(VLOOKUP(A149,[3]库存报告使用数据处理!$A:$C,3,0),0)</f>
        <v>0</v>
      </c>
      <c r="E149" s="33">
        <f>IFERROR(VLOOKUP(A149,[3]库存报告使用数据处理!$A:$D,4,0),0)</f>
        <v>0</v>
      </c>
      <c r="F149" s="33">
        <f>IFERROR(VLOOKUP(A149,[3]库存报告使用数据处理!$A:$E,5,0),0)</f>
        <v>0</v>
      </c>
      <c r="G149" s="33">
        <f>IFERROR(VLOOKUP(A149,[3]库存报告使用数据处理!$A:$F,6,0),0)</f>
        <v>0</v>
      </c>
      <c r="H149" s="34">
        <f>IFERROR(VLOOKUP(A149,[3]库存报告使用数据处理!$A:$G,7,0),0)</f>
        <v>0</v>
      </c>
      <c r="I149">
        <f>IFERROR(VLOOKUP(A149,[4]数据处理!$A:$B,2,0),0)</f>
        <v>1</v>
      </c>
      <c r="J149" s="36">
        <f>IFERROR(VLOOKUP(A149,[4]数据处理!$A:$D,4,0),0)</f>
        <v>0</v>
      </c>
      <c r="K149" s="36">
        <f>IFERROR(VLOOKUP(A149,[4]数据处理!$A:$E,5,0),0)</f>
        <v>0</v>
      </c>
      <c r="L149" s="36">
        <f>IFERROR(VLOOKUP(A149,[4]数据处理!$A:$G,7,0),0)</f>
        <v>0</v>
      </c>
      <c r="M149">
        <f t="shared" si="38"/>
        <v>1</v>
      </c>
      <c r="N149">
        <f>IFERROR(VLOOKUP(A149,[4]数据处理!$A:$C,3,0),0)</f>
        <v>0</v>
      </c>
      <c r="O149">
        <f>IFERROR(VLOOKUP($A149,[4]数据处理!$A:$N,14,0),0)</f>
        <v>1</v>
      </c>
      <c r="P149" t="str">
        <f>IFERROR(VLOOKUP($A149,[5]库存使用数据!$A:$B,2,0),"")</f>
        <v/>
      </c>
      <c r="Q149" t="str">
        <f>IFERROR(VLOOKUP($A149,[5]库存使用数据!$A:$E,5,0),"")</f>
        <v/>
      </c>
      <c r="R149" t="str">
        <f>IFERROR(VLOOKUP($A149,[5]库存使用数据!$A:$H,8,0),"")</f>
        <v/>
      </c>
      <c r="S149" t="str">
        <f>IFERROR(VLOOKUP($A149,[5]库存使用数据!$A:$K,11,0),"")</f>
        <v/>
      </c>
      <c r="T149" t="str">
        <f>IFERROR(VLOOKUP($A149,[5]库存使用数据!$A:$C,3,0),"")</f>
        <v/>
      </c>
      <c r="U149" t="str">
        <f>IFERROR(VLOOKUP($A149,[5]库存使用数据!$A:$F,6,0),"")</f>
        <v/>
      </c>
      <c r="V149" t="str">
        <f>IFERROR(VLOOKUP($A149,[5]库存使用数据!$A:$I,9,0),"")</f>
        <v/>
      </c>
      <c r="W149" t="str">
        <f>IFERROR(VLOOKUP($A149,[5]库存使用数据!$A:$L,12,0),"")</f>
        <v/>
      </c>
      <c r="X149" s="23" t="str">
        <f t="shared" si="43"/>
        <v/>
      </c>
      <c r="Y149" s="23" t="str">
        <f t="shared" si="44"/>
        <v/>
      </c>
      <c r="Z149" s="23" t="str">
        <f t="shared" si="45"/>
        <v/>
      </c>
      <c r="AA149" s="23" t="str">
        <f t="shared" si="46"/>
        <v/>
      </c>
      <c r="AB149" t="str">
        <f>IFERROR(VLOOKUP($A149,[5]库存使用数据!$A:$D,4,0),"")</f>
        <v/>
      </c>
      <c r="AC149" t="str">
        <f>IFERROR(VLOOKUP($A149,[5]库存使用数据!$A:$G,7,0),"")</f>
        <v/>
      </c>
      <c r="AD149" t="str">
        <f>IFERROR(VLOOKUP($A149,[5]库存使用数据!$A:$J,10,0),"")</f>
        <v/>
      </c>
      <c r="AE149" t="str">
        <f>IFERROR(VLOOKUP($A149,[5]库存使用数据!$A:$M,13,0),"")</f>
        <v/>
      </c>
      <c r="AF149" s="23" t="str">
        <f t="shared" si="47"/>
        <v/>
      </c>
      <c r="AG149" s="23" t="str">
        <f t="shared" si="48"/>
        <v/>
      </c>
      <c r="AH149" s="23" t="str">
        <f t="shared" si="49"/>
        <v/>
      </c>
      <c r="AI149" s="23" t="str">
        <f t="shared" si="50"/>
        <v/>
      </c>
      <c r="AJ149">
        <f>IFERROR(VLOOKUP($B149,[1]库存报告使用数据!$A$1:$B$65536,2,0),0)</f>
        <v>0</v>
      </c>
      <c r="AK149">
        <f>IFERROR(VLOOKUP($B149,[1]库存报告使用数据!$A$1:$C$65536,3,0),0)</f>
        <v>3</v>
      </c>
      <c r="AL149">
        <f>IFERROR(VLOOKUP($B149,[1]库存报告使用数据!$A$1:$D$65536,4,0),0)</f>
        <v>0</v>
      </c>
      <c r="AM149">
        <f>IFERROR(VLOOKUP($B149,[1]库存报告使用数据!$A$1:$E$65536,5,0),0)</f>
        <v>0</v>
      </c>
      <c r="AN149" s="23" t="str">
        <f t="shared" si="51"/>
        <v/>
      </c>
      <c r="AO149" s="23">
        <f t="shared" si="52"/>
        <v>0</v>
      </c>
      <c r="AP149" s="23" t="str">
        <f t="shared" si="53"/>
        <v/>
      </c>
      <c r="AQ149" s="23" t="str">
        <f t="shared" si="54"/>
        <v/>
      </c>
      <c r="AR149" s="38">
        <f t="shared" si="39"/>
        <v>0</v>
      </c>
      <c r="AS149" s="38">
        <f t="shared" si="40"/>
        <v>0</v>
      </c>
      <c r="AT149" s="38">
        <f t="shared" si="41"/>
        <v>1</v>
      </c>
      <c r="AU149" s="33" t="str">
        <f t="shared" si="42"/>
        <v>库存为1</v>
      </c>
      <c r="AV149" s="39" t="str">
        <f>IFERROR(时间!$B$4+AU149,"上周无销量")</f>
        <v>上周无销量</v>
      </c>
    </row>
    <row r="150" spans="1:48">
      <c r="A150" s="35" t="s">
        <v>195</v>
      </c>
      <c r="B150" t="str">
        <f>VLOOKUP(A150,'[2]sku-asin（子）'!$A:$B,2,0)</f>
        <v>B074CX7NWQ</v>
      </c>
      <c r="C150" t="str">
        <f>VLOOKUP(A150,'[2]子sku-父sku'!$A:$B,2,0)</f>
        <v>N31459Y</v>
      </c>
      <c r="D150" s="33">
        <f>IFERROR(VLOOKUP(A150,[3]库存报告使用数据处理!$A:$C,3,0),0)</f>
        <v>0</v>
      </c>
      <c r="E150" s="33">
        <f>IFERROR(VLOOKUP(A150,[3]库存报告使用数据处理!$A:$D,4,0),0)</f>
        <v>0</v>
      </c>
      <c r="F150" s="33">
        <f>IFERROR(VLOOKUP(A150,[3]库存报告使用数据处理!$A:$E,5,0),0)</f>
        <v>0</v>
      </c>
      <c r="G150" s="33">
        <f>IFERROR(VLOOKUP(A150,[3]库存报告使用数据处理!$A:$F,6,0),0)</f>
        <v>0</v>
      </c>
      <c r="H150" s="34">
        <f>IFERROR(VLOOKUP(A150,[3]库存报告使用数据处理!$A:$G,7,0),0)</f>
        <v>0</v>
      </c>
      <c r="I150">
        <f>IFERROR(VLOOKUP(A150,[4]数据处理!$A:$B,2,0),0)</f>
        <v>10</v>
      </c>
      <c r="J150" s="36">
        <f>IFERROR(VLOOKUP(A150,[4]数据处理!$A:$D,4,0),0)</f>
        <v>0</v>
      </c>
      <c r="K150" s="36">
        <f>IFERROR(VLOOKUP(A150,[4]数据处理!$A:$E,5,0),0)</f>
        <v>0</v>
      </c>
      <c r="L150" s="36">
        <f>IFERROR(VLOOKUP(A150,[4]数据处理!$A:$G,7,0),0)</f>
        <v>0</v>
      </c>
      <c r="M150">
        <f t="shared" si="38"/>
        <v>10</v>
      </c>
      <c r="N150">
        <f>IFERROR(VLOOKUP(A150,[4]数据处理!$A:$C,3,0),0)</f>
        <v>0</v>
      </c>
      <c r="O150">
        <f>IFERROR(VLOOKUP($A150,[4]数据处理!$A:$N,14,0),0)</f>
        <v>10</v>
      </c>
      <c r="P150">
        <f>IFERROR(VLOOKUP($A150,[5]库存使用数据!$A:$B,2,0),"")</f>
        <v>210</v>
      </c>
      <c r="Q150">
        <f>IFERROR(VLOOKUP($A150,[5]库存使用数据!$A:$E,5,0),"")</f>
        <v>156</v>
      </c>
      <c r="R150">
        <f>IFERROR(VLOOKUP($A150,[5]库存使用数据!$A:$H,8,0),"")</f>
        <v>154</v>
      </c>
      <c r="S150">
        <f>IFERROR(VLOOKUP($A150,[5]库存使用数据!$A:$K,11,0),"")</f>
        <v>74</v>
      </c>
      <c r="T150">
        <f>IFERROR(VLOOKUP($A150,[5]库存使用数据!$A:$C,3,0),"")</f>
        <v>2</v>
      </c>
      <c r="U150">
        <f>IFERROR(VLOOKUP($A150,[5]库存使用数据!$A:$F,6,0),"")</f>
        <v>2</v>
      </c>
      <c r="V150">
        <f>IFERROR(VLOOKUP($A150,[5]库存使用数据!$A:$I,9,0),"")</f>
        <v>0</v>
      </c>
      <c r="W150">
        <f>IFERROR(VLOOKUP($A150,[5]库存使用数据!$A:$L,12,0),"")</f>
        <v>0</v>
      </c>
      <c r="X150" s="23">
        <f t="shared" si="43"/>
        <v>0.00952380952380952</v>
      </c>
      <c r="Y150" s="23">
        <f t="shared" si="44"/>
        <v>0.0128205128205128</v>
      </c>
      <c r="Z150" s="23">
        <f t="shared" si="45"/>
        <v>0</v>
      </c>
      <c r="AA150" s="23">
        <f t="shared" si="46"/>
        <v>0</v>
      </c>
      <c r="AB150">
        <f>IFERROR(VLOOKUP($A150,[5]库存使用数据!$A:$D,4,0),"")</f>
        <v>0.92</v>
      </c>
      <c r="AC150">
        <f>IFERROR(VLOOKUP($A150,[5]库存使用数据!$A:$G,7,0),"")</f>
        <v>0.12</v>
      </c>
      <c r="AD150">
        <f>IFERROR(VLOOKUP($A150,[5]库存使用数据!$A:$J,10,0),"")</f>
        <v>0</v>
      </c>
      <c r="AE150">
        <f>IFERROR(VLOOKUP($A150,[5]库存使用数据!$A:$M,13,0),"")</f>
        <v>0</v>
      </c>
      <c r="AF150" s="23" t="str">
        <f t="shared" si="47"/>
        <v>无销量广告费为0.92</v>
      </c>
      <c r="AG150" s="23" t="str">
        <f t="shared" si="48"/>
        <v>无销量广告费为0.12</v>
      </c>
      <c r="AH150" s="23" t="str">
        <f t="shared" si="49"/>
        <v/>
      </c>
      <c r="AI150" s="23" t="str">
        <f t="shared" si="50"/>
        <v/>
      </c>
      <c r="AJ150">
        <f>IFERROR(VLOOKUP($B150,[1]库存报告使用数据!$A$1:$B$65536,2,0),0)</f>
        <v>3</v>
      </c>
      <c r="AK150">
        <f>IFERROR(VLOOKUP($B150,[1]库存报告使用数据!$A$1:$C$65536,3,0),0)</f>
        <v>6</v>
      </c>
      <c r="AL150">
        <f>IFERROR(VLOOKUP($B150,[1]库存报告使用数据!$A$1:$D$65536,4,0),0)</f>
        <v>2</v>
      </c>
      <c r="AM150">
        <f>IFERROR(VLOOKUP($B150,[1]库存报告使用数据!$A$1:$E$65536,5,0),0)</f>
        <v>0</v>
      </c>
      <c r="AN150" s="23">
        <f t="shared" si="51"/>
        <v>0</v>
      </c>
      <c r="AO150" s="23">
        <f t="shared" si="52"/>
        <v>0</v>
      </c>
      <c r="AP150" s="23">
        <f t="shared" si="53"/>
        <v>0</v>
      </c>
      <c r="AQ150" s="23" t="str">
        <f t="shared" si="54"/>
        <v/>
      </c>
      <c r="AR150" s="38">
        <f t="shared" si="39"/>
        <v>0</v>
      </c>
      <c r="AS150" s="38">
        <f t="shared" si="40"/>
        <v>0</v>
      </c>
      <c r="AT150" s="38">
        <f t="shared" si="41"/>
        <v>10</v>
      </c>
      <c r="AU150" s="33" t="str">
        <f t="shared" si="42"/>
        <v>库存为10</v>
      </c>
      <c r="AV150" s="39" t="str">
        <f>IFERROR(时间!$B$4+AU150,"上周无销量")</f>
        <v>上周无销量</v>
      </c>
    </row>
    <row r="151" spans="1:48">
      <c r="A151" s="35" t="s">
        <v>196</v>
      </c>
      <c r="B151" t="str">
        <f>VLOOKUP(A151,'[2]sku-asin（子）'!$A:$B,2,0)</f>
        <v>B074CXNWMZ</v>
      </c>
      <c r="C151" t="str">
        <f>VLOOKUP(A151,'[2]子sku-父sku'!$A:$B,2,0)</f>
        <v>N31459Y</v>
      </c>
      <c r="D151" s="33">
        <f>IFERROR(VLOOKUP(A151,[3]库存报告使用数据处理!$A:$C,3,0),0)</f>
        <v>2</v>
      </c>
      <c r="E151" s="33">
        <f>IFERROR(VLOOKUP(A151,[3]库存报告使用数据处理!$A:$D,4,0),0)</f>
        <v>1</v>
      </c>
      <c r="F151" s="33">
        <f>IFERROR(VLOOKUP(A151,[3]库存报告使用数据处理!$A:$E,5,0),0)</f>
        <v>0</v>
      </c>
      <c r="G151" s="33">
        <f>IFERROR(VLOOKUP(A151,[3]库存报告使用数据处理!$A:$F,6,0),0)</f>
        <v>0</v>
      </c>
      <c r="H151" s="34">
        <f>IFERROR(VLOOKUP(A151,[3]库存报告使用数据处理!$A:$G,7,0),0)</f>
        <v>13.9</v>
      </c>
      <c r="I151">
        <f>IFERROR(VLOOKUP(A151,[4]数据处理!$A:$B,2,0),0)</f>
        <v>12</v>
      </c>
      <c r="J151" s="36">
        <f>IFERROR(VLOOKUP(A151,[4]数据处理!$A:$D,4,0),0)</f>
        <v>0</v>
      </c>
      <c r="K151" s="36">
        <f>IFERROR(VLOOKUP(A151,[4]数据处理!$A:$E,5,0),0)</f>
        <v>0</v>
      </c>
      <c r="L151" s="36">
        <f>IFERROR(VLOOKUP(A151,[4]数据处理!$A:$G,7,0),0)</f>
        <v>0</v>
      </c>
      <c r="M151">
        <f t="shared" si="38"/>
        <v>12</v>
      </c>
      <c r="N151">
        <f>IFERROR(VLOOKUP(A151,[4]数据处理!$A:$C,3,0),0)</f>
        <v>0</v>
      </c>
      <c r="O151">
        <f>IFERROR(VLOOKUP($A151,[4]数据处理!$A:$N,14,0),0)</f>
        <v>12</v>
      </c>
      <c r="P151">
        <f>IFERROR(VLOOKUP($A151,[5]库存使用数据!$A:$B,2,0),"")</f>
        <v>1145</v>
      </c>
      <c r="Q151">
        <f>IFERROR(VLOOKUP($A151,[5]库存使用数据!$A:$E,5,0),"")</f>
        <v>1229</v>
      </c>
      <c r="R151">
        <f>IFERROR(VLOOKUP($A151,[5]库存使用数据!$A:$H,8,0),"")</f>
        <v>744</v>
      </c>
      <c r="S151">
        <f>IFERROR(VLOOKUP($A151,[5]库存使用数据!$A:$K,11,0),"")</f>
        <v>761</v>
      </c>
      <c r="T151">
        <f>IFERROR(VLOOKUP($A151,[5]库存使用数据!$A:$C,3,0),"")</f>
        <v>5</v>
      </c>
      <c r="U151">
        <f>IFERROR(VLOOKUP($A151,[5]库存使用数据!$A:$F,6,0),"")</f>
        <v>7</v>
      </c>
      <c r="V151">
        <f>IFERROR(VLOOKUP($A151,[5]库存使用数据!$A:$I,9,0),"")</f>
        <v>3</v>
      </c>
      <c r="W151">
        <f>IFERROR(VLOOKUP($A151,[5]库存使用数据!$A:$L,12,0),"")</f>
        <v>2</v>
      </c>
      <c r="X151" s="23">
        <f t="shared" si="43"/>
        <v>0.00436681222707424</v>
      </c>
      <c r="Y151" s="23">
        <f t="shared" si="44"/>
        <v>0.00569568755085435</v>
      </c>
      <c r="Z151" s="23">
        <f t="shared" si="45"/>
        <v>0.00403225806451613</v>
      </c>
      <c r="AA151" s="23">
        <f t="shared" si="46"/>
        <v>0.0026281208935611</v>
      </c>
      <c r="AB151">
        <f>IFERROR(VLOOKUP($A151,[5]库存使用数据!$A:$D,4,0),"")</f>
        <v>1.96</v>
      </c>
      <c r="AC151">
        <f>IFERROR(VLOOKUP($A151,[5]库存使用数据!$A:$G,7,0),"")</f>
        <v>3.42</v>
      </c>
      <c r="AD151">
        <f>IFERROR(VLOOKUP($A151,[5]库存使用数据!$A:$J,10,0),"")</f>
        <v>1.16</v>
      </c>
      <c r="AE151">
        <f>IFERROR(VLOOKUP($A151,[5]库存使用数据!$A:$M,13,0),"")</f>
        <v>0.84</v>
      </c>
      <c r="AF151" s="23">
        <f t="shared" si="47"/>
        <v>0.0705035971223022</v>
      </c>
      <c r="AG151" s="23">
        <f t="shared" si="48"/>
        <v>0.246043165467626</v>
      </c>
      <c r="AH151" s="23" t="str">
        <f t="shared" si="49"/>
        <v>无销量广告费为1.16</v>
      </c>
      <c r="AI151" s="23" t="str">
        <f t="shared" si="50"/>
        <v>无销量广告费为0.84</v>
      </c>
      <c r="AJ151">
        <f>IFERROR(VLOOKUP($B151,[1]库存报告使用数据!$A$1:$B$65536,2,0),0)</f>
        <v>4</v>
      </c>
      <c r="AK151">
        <f>IFERROR(VLOOKUP($B151,[1]库存报告使用数据!$A$1:$C$65536,3,0),0)</f>
        <v>3</v>
      </c>
      <c r="AL151">
        <f>IFERROR(VLOOKUP($B151,[1]库存报告使用数据!$A$1:$D$65536,4,0),0)</f>
        <v>1</v>
      </c>
      <c r="AM151">
        <f>IFERROR(VLOOKUP($B151,[1]库存报告使用数据!$A$1:$E$65536,5,0),0)</f>
        <v>6</v>
      </c>
      <c r="AN151" s="23">
        <f t="shared" si="51"/>
        <v>0.5</v>
      </c>
      <c r="AO151" s="23">
        <f t="shared" si="52"/>
        <v>0.333333333333333</v>
      </c>
      <c r="AP151" s="23">
        <f t="shared" si="53"/>
        <v>0</v>
      </c>
      <c r="AQ151" s="23">
        <f t="shared" si="54"/>
        <v>0</v>
      </c>
      <c r="AR151" s="38">
        <f t="shared" si="39"/>
        <v>0.285714285714286</v>
      </c>
      <c r="AS151" s="38">
        <f t="shared" si="40"/>
        <v>17.1428571428571</v>
      </c>
      <c r="AT151" s="38">
        <f t="shared" si="41"/>
        <v>-5.14285714285714</v>
      </c>
      <c r="AU151" s="33">
        <f t="shared" si="42"/>
        <v>42</v>
      </c>
      <c r="AV151" s="39">
        <f>IFERROR(时间!$B$4+AU151,"上周无销量")</f>
        <v>43332</v>
      </c>
    </row>
    <row r="152" spans="1:48">
      <c r="A152" s="35" t="s">
        <v>197</v>
      </c>
      <c r="B152" t="str">
        <f>VLOOKUP(A152,'[2]sku-asin（子）'!$A:$B,2,0)</f>
        <v>B074CXBB31</v>
      </c>
      <c r="C152" t="str">
        <f>VLOOKUP(A152,'[2]子sku-父sku'!$A:$B,2,0)</f>
        <v>N31459Y</v>
      </c>
      <c r="D152" s="33">
        <f>IFERROR(VLOOKUP(A152,[3]库存报告使用数据处理!$A:$C,3,0),0)</f>
        <v>1</v>
      </c>
      <c r="E152" s="33">
        <f>IFERROR(VLOOKUP(A152,[3]库存报告使用数据处理!$A:$D,4,0),0)</f>
        <v>2</v>
      </c>
      <c r="F152" s="33">
        <f>IFERROR(VLOOKUP(A152,[3]库存报告使用数据处理!$A:$E,5,0),0)</f>
        <v>0</v>
      </c>
      <c r="G152" s="33">
        <f>IFERROR(VLOOKUP(A152,[3]库存报告使用数据处理!$A:$F,6,0),0)</f>
        <v>1</v>
      </c>
      <c r="H152" s="34">
        <f>IFERROR(VLOOKUP(A152,[3]库存报告使用数据处理!$A:$G,7,0),0)</f>
        <v>10.425</v>
      </c>
      <c r="I152">
        <f>IFERROR(VLOOKUP(A152,[4]数据处理!$A:$B,2,0),0)</f>
        <v>0</v>
      </c>
      <c r="J152" s="36">
        <f>IFERROR(VLOOKUP(A152,[4]数据处理!$A:$D,4,0),0)</f>
        <v>0</v>
      </c>
      <c r="K152" s="36">
        <f>IFERROR(VLOOKUP(A152,[4]数据处理!$A:$E,5,0),0)</f>
        <v>0</v>
      </c>
      <c r="L152" s="36">
        <f>IFERROR(VLOOKUP(A152,[4]数据处理!$A:$G,7,0),0)</f>
        <v>0</v>
      </c>
      <c r="M152">
        <f t="shared" si="38"/>
        <v>0</v>
      </c>
      <c r="N152">
        <f>IFERROR(VLOOKUP(A152,[4]数据处理!$A:$C,3,0),0)</f>
        <v>0</v>
      </c>
      <c r="O152">
        <f>IFERROR(VLOOKUP($A152,[4]数据处理!$A:$N,14,0),0)</f>
        <v>0</v>
      </c>
      <c r="P152">
        <f>IFERROR(VLOOKUP($A152,[5]库存使用数据!$A:$B,2,0),"")</f>
        <v>0</v>
      </c>
      <c r="Q152">
        <f>IFERROR(VLOOKUP($A152,[5]库存使用数据!$A:$E,5,0),"")</f>
        <v>19</v>
      </c>
      <c r="R152">
        <f>IFERROR(VLOOKUP($A152,[5]库存使用数据!$A:$H,8,0),"")</f>
        <v>106</v>
      </c>
      <c r="S152">
        <f>IFERROR(VLOOKUP($A152,[5]库存使用数据!$A:$K,11,0),"")</f>
        <v>33</v>
      </c>
      <c r="T152">
        <f>IFERROR(VLOOKUP($A152,[5]库存使用数据!$A:$C,3,0),"")</f>
        <v>0</v>
      </c>
      <c r="U152">
        <f>IFERROR(VLOOKUP($A152,[5]库存使用数据!$A:$F,6,0),"")</f>
        <v>0</v>
      </c>
      <c r="V152">
        <f>IFERROR(VLOOKUP($A152,[5]库存使用数据!$A:$I,9,0),"")</f>
        <v>0</v>
      </c>
      <c r="W152">
        <f>IFERROR(VLOOKUP($A152,[5]库存使用数据!$A:$L,12,0),"")</f>
        <v>2</v>
      </c>
      <c r="X152" s="23" t="str">
        <f t="shared" si="43"/>
        <v/>
      </c>
      <c r="Y152" s="23">
        <f t="shared" si="44"/>
        <v>0</v>
      </c>
      <c r="Z152" s="23">
        <f t="shared" si="45"/>
        <v>0</v>
      </c>
      <c r="AA152" s="23">
        <f t="shared" si="46"/>
        <v>0.0606060606060606</v>
      </c>
      <c r="AB152">
        <f>IFERROR(VLOOKUP($A152,[5]库存使用数据!$A:$D,4,0),"")</f>
        <v>0</v>
      </c>
      <c r="AC152">
        <f>IFERROR(VLOOKUP($A152,[5]库存使用数据!$A:$G,7,0),"")</f>
        <v>0</v>
      </c>
      <c r="AD152">
        <f>IFERROR(VLOOKUP($A152,[5]库存使用数据!$A:$J,10,0),"")</f>
        <v>0</v>
      </c>
      <c r="AE152">
        <f>IFERROR(VLOOKUP($A152,[5]库存使用数据!$A:$M,13,0),"")</f>
        <v>1.1</v>
      </c>
      <c r="AF152" s="23" t="str">
        <f t="shared" si="47"/>
        <v/>
      </c>
      <c r="AG152" s="23" t="str">
        <f t="shared" si="48"/>
        <v/>
      </c>
      <c r="AH152" s="23" t="str">
        <f t="shared" si="49"/>
        <v/>
      </c>
      <c r="AI152" s="23">
        <f t="shared" si="50"/>
        <v>0.105515587529976</v>
      </c>
      <c r="AJ152">
        <f>IFERROR(VLOOKUP($B152,[1]库存报告使用数据!$A$1:$B$65536,2,0),0)</f>
        <v>0</v>
      </c>
      <c r="AK152">
        <f>IFERROR(VLOOKUP($B152,[1]库存报告使用数据!$A$1:$C$65536,3,0),0)</f>
        <v>0</v>
      </c>
      <c r="AL152">
        <f>IFERROR(VLOOKUP($B152,[1]库存报告使用数据!$A$1:$D$65536,4,0),0)</f>
        <v>4</v>
      </c>
      <c r="AM152">
        <f>IFERROR(VLOOKUP($B152,[1]库存报告使用数据!$A$1:$E$65536,5,0),0)</f>
        <v>10</v>
      </c>
      <c r="AN152" s="23" t="str">
        <f t="shared" si="51"/>
        <v/>
      </c>
      <c r="AO152" s="23" t="str">
        <f t="shared" si="52"/>
        <v/>
      </c>
      <c r="AP152" s="23">
        <f t="shared" si="53"/>
        <v>0</v>
      </c>
      <c r="AQ152" s="23">
        <f t="shared" si="54"/>
        <v>0.1</v>
      </c>
      <c r="AR152" s="38">
        <f t="shared" si="39"/>
        <v>0.142857142857143</v>
      </c>
      <c r="AS152" s="38">
        <f t="shared" si="40"/>
        <v>8.57142857142857</v>
      </c>
      <c r="AT152" s="38">
        <f t="shared" si="41"/>
        <v>-8.57142857142857</v>
      </c>
      <c r="AU152" s="33">
        <f t="shared" si="42"/>
        <v>0</v>
      </c>
      <c r="AV152" s="39">
        <f>IFERROR(时间!$B$4+AU152,"上周无销量")</f>
        <v>43290</v>
      </c>
    </row>
    <row r="153" spans="1:48">
      <c r="A153" s="35" t="s">
        <v>198</v>
      </c>
      <c r="B153" t="str">
        <f>VLOOKUP(A153,'[2]sku-asin（子）'!$A:$B,2,0)</f>
        <v>B074CWRDHL</v>
      </c>
      <c r="C153" t="str">
        <f>VLOOKUP(A153,'[2]子sku-父sku'!$A:$B,2,0)</f>
        <v>N31459Y</v>
      </c>
      <c r="D153" s="33">
        <f>IFERROR(VLOOKUP(A153,[3]库存报告使用数据处理!$A:$C,3,0),0)</f>
        <v>0</v>
      </c>
      <c r="E153" s="33">
        <f>IFERROR(VLOOKUP(A153,[3]库存报告使用数据处理!$A:$D,4,0),0)</f>
        <v>0</v>
      </c>
      <c r="F153" s="33">
        <f>IFERROR(VLOOKUP(A153,[3]库存报告使用数据处理!$A:$E,5,0),0)</f>
        <v>0</v>
      </c>
      <c r="G153" s="33">
        <f>IFERROR(VLOOKUP(A153,[3]库存报告使用数据处理!$A:$F,6,0),0)</f>
        <v>0</v>
      </c>
      <c r="H153" s="34">
        <f>IFERROR(VLOOKUP(A153,[3]库存报告使用数据处理!$A:$G,7,0),0)</f>
        <v>0</v>
      </c>
      <c r="I153">
        <f>IFERROR(VLOOKUP(A153,[4]数据处理!$A:$B,2,0),0)</f>
        <v>2</v>
      </c>
      <c r="J153" s="36">
        <f>IFERROR(VLOOKUP(A153,[4]数据处理!$A:$D,4,0),0)</f>
        <v>0</v>
      </c>
      <c r="K153" s="36">
        <f>IFERROR(VLOOKUP(A153,[4]数据处理!$A:$E,5,0),0)</f>
        <v>0</v>
      </c>
      <c r="L153" s="36">
        <f>IFERROR(VLOOKUP(A153,[4]数据处理!$A:$G,7,0),0)</f>
        <v>0</v>
      </c>
      <c r="M153">
        <f t="shared" si="38"/>
        <v>2</v>
      </c>
      <c r="N153">
        <f>IFERROR(VLOOKUP(A153,[4]数据处理!$A:$C,3,0),0)</f>
        <v>0</v>
      </c>
      <c r="O153">
        <f>IFERROR(VLOOKUP($A153,[4]数据处理!$A:$N,14,0),0)</f>
        <v>2</v>
      </c>
      <c r="P153">
        <f>IFERROR(VLOOKUP($A153,[5]库存使用数据!$A:$B,2,0),"")</f>
        <v>82</v>
      </c>
      <c r="Q153">
        <f>IFERROR(VLOOKUP($A153,[5]库存使用数据!$A:$E,5,0),"")</f>
        <v>720</v>
      </c>
      <c r="R153">
        <f>IFERROR(VLOOKUP($A153,[5]库存使用数据!$A:$H,8,0),"")</f>
        <v>1676</v>
      </c>
      <c r="S153">
        <f>IFERROR(VLOOKUP($A153,[5]库存使用数据!$A:$K,11,0),"")</f>
        <v>52</v>
      </c>
      <c r="T153">
        <f>IFERROR(VLOOKUP($A153,[5]库存使用数据!$A:$C,3,0),"")</f>
        <v>0</v>
      </c>
      <c r="U153">
        <f>IFERROR(VLOOKUP($A153,[5]库存使用数据!$A:$F,6,0),"")</f>
        <v>0</v>
      </c>
      <c r="V153">
        <f>IFERROR(VLOOKUP($A153,[5]库存使用数据!$A:$I,9,0),"")</f>
        <v>2</v>
      </c>
      <c r="W153">
        <f>IFERROR(VLOOKUP($A153,[5]库存使用数据!$A:$L,12,0),"")</f>
        <v>0</v>
      </c>
      <c r="X153" s="23">
        <f t="shared" si="43"/>
        <v>0</v>
      </c>
      <c r="Y153" s="23">
        <f t="shared" si="44"/>
        <v>0</v>
      </c>
      <c r="Z153" s="23">
        <f t="shared" si="45"/>
        <v>0.00119331742243437</v>
      </c>
      <c r="AA153" s="23">
        <f t="shared" si="46"/>
        <v>0</v>
      </c>
      <c r="AB153">
        <f>IFERROR(VLOOKUP($A153,[5]库存使用数据!$A:$D,4,0),"")</f>
        <v>0</v>
      </c>
      <c r="AC153">
        <f>IFERROR(VLOOKUP($A153,[5]库存使用数据!$A:$G,7,0),"")</f>
        <v>0</v>
      </c>
      <c r="AD153">
        <f>IFERROR(VLOOKUP($A153,[5]库存使用数据!$A:$J,10,0),"")</f>
        <v>0.94</v>
      </c>
      <c r="AE153">
        <f>IFERROR(VLOOKUP($A153,[5]库存使用数据!$A:$M,13,0),"")</f>
        <v>0</v>
      </c>
      <c r="AF153" s="23" t="str">
        <f t="shared" si="47"/>
        <v/>
      </c>
      <c r="AG153" s="23" t="str">
        <f t="shared" si="48"/>
        <v/>
      </c>
      <c r="AH153" s="23" t="str">
        <f t="shared" si="49"/>
        <v>无销量广告费为0.94</v>
      </c>
      <c r="AI153" s="23" t="str">
        <f t="shared" si="50"/>
        <v/>
      </c>
      <c r="AJ153">
        <f>IFERROR(VLOOKUP($B153,[1]库存报告使用数据!$A$1:$B$65536,2,0),0)</f>
        <v>10</v>
      </c>
      <c r="AK153">
        <f>IFERROR(VLOOKUP($B153,[1]库存报告使用数据!$A$1:$C$65536,3,0),0)</f>
        <v>11</v>
      </c>
      <c r="AL153">
        <f>IFERROR(VLOOKUP($B153,[1]库存报告使用数据!$A$1:$D$65536,4,0),0)</f>
        <v>5</v>
      </c>
      <c r="AM153">
        <f>IFERROR(VLOOKUP($B153,[1]库存报告使用数据!$A$1:$E$65536,5,0),0)</f>
        <v>2</v>
      </c>
      <c r="AN153" s="23">
        <f t="shared" si="51"/>
        <v>0</v>
      </c>
      <c r="AO153" s="23">
        <f t="shared" si="52"/>
        <v>0</v>
      </c>
      <c r="AP153" s="23">
        <f t="shared" si="53"/>
        <v>0</v>
      </c>
      <c r="AQ153" s="23">
        <f t="shared" si="54"/>
        <v>0</v>
      </c>
      <c r="AR153" s="38">
        <f t="shared" si="39"/>
        <v>0</v>
      </c>
      <c r="AS153" s="38">
        <f t="shared" si="40"/>
        <v>0</v>
      </c>
      <c r="AT153" s="38">
        <f t="shared" si="41"/>
        <v>2</v>
      </c>
      <c r="AU153" s="33" t="str">
        <f t="shared" si="42"/>
        <v>库存为2</v>
      </c>
      <c r="AV153" s="39" t="str">
        <f>IFERROR(时间!$B$4+AU153,"上周无销量")</f>
        <v>上周无销量</v>
      </c>
    </row>
    <row r="154" spans="1:48">
      <c r="A154" s="35" t="s">
        <v>199</v>
      </c>
      <c r="B154" t="str">
        <f>VLOOKUP(A154,'[2]sku-asin（子）'!$A:$B,2,0)</f>
        <v>B074CXR8YG</v>
      </c>
      <c r="C154" t="str">
        <f>VLOOKUP(A154,'[2]子sku-父sku'!$A:$B,2,0)</f>
        <v>N31459Y</v>
      </c>
      <c r="D154" s="33">
        <f>IFERROR(VLOOKUP(A154,[3]库存报告使用数据处理!$A:$C,3,0),0)</f>
        <v>0</v>
      </c>
      <c r="E154" s="33">
        <f>IFERROR(VLOOKUP(A154,[3]库存报告使用数据处理!$A:$D,4,0),0)</f>
        <v>0</v>
      </c>
      <c r="F154" s="33">
        <f>IFERROR(VLOOKUP(A154,[3]库存报告使用数据处理!$A:$E,5,0),0)</f>
        <v>0</v>
      </c>
      <c r="G154" s="33">
        <f>IFERROR(VLOOKUP(A154,[3]库存报告使用数据处理!$A:$F,6,0),0)</f>
        <v>0</v>
      </c>
      <c r="H154" s="34">
        <f>IFERROR(VLOOKUP(A154,[3]库存报告使用数据处理!$A:$G,7,0),0)</f>
        <v>0</v>
      </c>
      <c r="I154">
        <f>IFERROR(VLOOKUP(A154,[4]数据处理!$A:$B,2,0),0)</f>
        <v>4</v>
      </c>
      <c r="J154" s="36">
        <f>IFERROR(VLOOKUP(A154,[4]数据处理!$A:$D,4,0),0)</f>
        <v>0</v>
      </c>
      <c r="K154" s="36">
        <f>IFERROR(VLOOKUP(A154,[4]数据处理!$A:$E,5,0),0)</f>
        <v>0</v>
      </c>
      <c r="L154" s="36">
        <f>IFERROR(VLOOKUP(A154,[4]数据处理!$A:$G,7,0),0)</f>
        <v>0</v>
      </c>
      <c r="M154">
        <f t="shared" si="38"/>
        <v>4</v>
      </c>
      <c r="N154">
        <f>IFERROR(VLOOKUP(A154,[4]数据处理!$A:$C,3,0),0)</f>
        <v>0</v>
      </c>
      <c r="O154">
        <f>IFERROR(VLOOKUP($A154,[4]数据处理!$A:$N,14,0),0)</f>
        <v>4</v>
      </c>
      <c r="P154">
        <f>IFERROR(VLOOKUP($A154,[5]库存使用数据!$A:$B,2,0),"")</f>
        <v>132</v>
      </c>
      <c r="Q154">
        <f>IFERROR(VLOOKUP($A154,[5]库存使用数据!$A:$E,5,0),"")</f>
        <v>83</v>
      </c>
      <c r="R154">
        <f>IFERROR(VLOOKUP($A154,[5]库存使用数据!$A:$H,8,0),"")</f>
        <v>19</v>
      </c>
      <c r="S154">
        <f>IFERROR(VLOOKUP($A154,[5]库存使用数据!$A:$K,11,0),"")</f>
        <v>22</v>
      </c>
      <c r="T154">
        <f>IFERROR(VLOOKUP($A154,[5]库存使用数据!$A:$C,3,0),"")</f>
        <v>3</v>
      </c>
      <c r="U154">
        <f>IFERROR(VLOOKUP($A154,[5]库存使用数据!$A:$F,6,0),"")</f>
        <v>3</v>
      </c>
      <c r="V154">
        <f>IFERROR(VLOOKUP($A154,[5]库存使用数据!$A:$I,9,0),"")</f>
        <v>0</v>
      </c>
      <c r="W154">
        <f>IFERROR(VLOOKUP($A154,[5]库存使用数据!$A:$L,12,0),"")</f>
        <v>0</v>
      </c>
      <c r="X154" s="23">
        <f t="shared" si="43"/>
        <v>0.0227272727272727</v>
      </c>
      <c r="Y154" s="23">
        <f t="shared" si="44"/>
        <v>0.036144578313253</v>
      </c>
      <c r="Z154" s="23">
        <f t="shared" si="45"/>
        <v>0</v>
      </c>
      <c r="AA154" s="23">
        <f t="shared" si="46"/>
        <v>0</v>
      </c>
      <c r="AB154">
        <f>IFERROR(VLOOKUP($A154,[5]库存使用数据!$A:$D,4,0),"")</f>
        <v>1.54</v>
      </c>
      <c r="AC154">
        <f>IFERROR(VLOOKUP($A154,[5]库存使用数据!$A:$G,7,0),"")</f>
        <v>1.6</v>
      </c>
      <c r="AD154">
        <f>IFERROR(VLOOKUP($A154,[5]库存使用数据!$A:$J,10,0),"")</f>
        <v>0</v>
      </c>
      <c r="AE154">
        <f>IFERROR(VLOOKUP($A154,[5]库存使用数据!$A:$M,13,0),"")</f>
        <v>0</v>
      </c>
      <c r="AF154" s="23" t="str">
        <f t="shared" si="47"/>
        <v>无销量广告费为1.54</v>
      </c>
      <c r="AG154" s="23" t="str">
        <f t="shared" si="48"/>
        <v>无销量广告费为1.6</v>
      </c>
      <c r="AH154" s="23" t="str">
        <f t="shared" si="49"/>
        <v/>
      </c>
      <c r="AI154" s="23" t="str">
        <f t="shared" si="50"/>
        <v/>
      </c>
      <c r="AJ154">
        <f>IFERROR(VLOOKUP($B154,[1]库存报告使用数据!$A$1:$B$65536,2,0),0)</f>
        <v>4</v>
      </c>
      <c r="AK154">
        <f>IFERROR(VLOOKUP($B154,[1]库存报告使用数据!$A$1:$C$65536,3,0),0)</f>
        <v>3</v>
      </c>
      <c r="AL154">
        <f>IFERROR(VLOOKUP($B154,[1]库存报告使用数据!$A$1:$D$65536,4,0),0)</f>
        <v>2</v>
      </c>
      <c r="AM154">
        <f>IFERROR(VLOOKUP($B154,[1]库存报告使用数据!$A$1:$E$65536,5,0),0)</f>
        <v>0</v>
      </c>
      <c r="AN154" s="23">
        <f t="shared" si="51"/>
        <v>0</v>
      </c>
      <c r="AO154" s="23">
        <f t="shared" si="52"/>
        <v>0</v>
      </c>
      <c r="AP154" s="23">
        <f t="shared" si="53"/>
        <v>0</v>
      </c>
      <c r="AQ154" s="23" t="str">
        <f t="shared" si="54"/>
        <v/>
      </c>
      <c r="AR154" s="38">
        <f t="shared" si="39"/>
        <v>0</v>
      </c>
      <c r="AS154" s="38">
        <f t="shared" si="40"/>
        <v>0</v>
      </c>
      <c r="AT154" s="38">
        <f t="shared" si="41"/>
        <v>4</v>
      </c>
      <c r="AU154" s="33" t="str">
        <f t="shared" si="42"/>
        <v>库存为4</v>
      </c>
      <c r="AV154" s="39" t="str">
        <f>IFERROR(时间!$B$4+AU154,"上周无销量")</f>
        <v>上周无销量</v>
      </c>
    </row>
    <row r="155" spans="1:48">
      <c r="A155" s="35" t="s">
        <v>200</v>
      </c>
      <c r="B155" t="str">
        <f>VLOOKUP(A155,'[2]sku-asin（子）'!$A:$B,2,0)</f>
        <v>B074CXK4TV</v>
      </c>
      <c r="C155" t="str">
        <f>VLOOKUP(A155,'[2]子sku-父sku'!$A:$B,2,0)</f>
        <v>N31459Y</v>
      </c>
      <c r="D155" s="33">
        <f>IFERROR(VLOOKUP(A155,[3]库存报告使用数据处理!$A:$C,3,0),0)</f>
        <v>0</v>
      </c>
      <c r="E155" s="33">
        <f>IFERROR(VLOOKUP(A155,[3]库存报告使用数据处理!$A:$D,4,0),0)</f>
        <v>0</v>
      </c>
      <c r="F155" s="33">
        <f>IFERROR(VLOOKUP(A155,[3]库存报告使用数据处理!$A:$E,5,0),0)</f>
        <v>0</v>
      </c>
      <c r="G155" s="33">
        <f>IFERROR(VLOOKUP(A155,[3]库存报告使用数据处理!$A:$F,6,0),0)</f>
        <v>0</v>
      </c>
      <c r="H155" s="34">
        <f>IFERROR(VLOOKUP(A155,[3]库存报告使用数据处理!$A:$G,7,0),0)</f>
        <v>0</v>
      </c>
      <c r="I155">
        <f>IFERROR(VLOOKUP(A155,[4]数据处理!$A:$B,2,0),0)</f>
        <v>4</v>
      </c>
      <c r="J155" s="36">
        <f>IFERROR(VLOOKUP(A155,[4]数据处理!$A:$D,4,0),0)</f>
        <v>0</v>
      </c>
      <c r="K155" s="36">
        <f>IFERROR(VLOOKUP(A155,[4]数据处理!$A:$E,5,0),0)</f>
        <v>0</v>
      </c>
      <c r="L155" s="36">
        <f>IFERROR(VLOOKUP(A155,[4]数据处理!$A:$G,7,0),0)</f>
        <v>0</v>
      </c>
      <c r="M155">
        <f t="shared" si="38"/>
        <v>4</v>
      </c>
      <c r="N155">
        <f>IFERROR(VLOOKUP(A155,[4]数据处理!$A:$C,3,0),0)</f>
        <v>0</v>
      </c>
      <c r="O155">
        <f>IFERROR(VLOOKUP($A155,[4]数据处理!$A:$N,14,0),0)</f>
        <v>4</v>
      </c>
      <c r="P155">
        <f>IFERROR(VLOOKUP($A155,[5]库存使用数据!$A:$B,2,0),"")</f>
        <v>33</v>
      </c>
      <c r="Q155">
        <f>IFERROR(VLOOKUP($A155,[5]库存使用数据!$A:$E,5,0),"")</f>
        <v>27</v>
      </c>
      <c r="R155">
        <f>IFERROR(VLOOKUP($A155,[5]库存使用数据!$A:$H,8,0),"")</f>
        <v>9</v>
      </c>
      <c r="S155">
        <f>IFERROR(VLOOKUP($A155,[5]库存使用数据!$A:$K,11,0),"")</f>
        <v>9</v>
      </c>
      <c r="T155">
        <f>IFERROR(VLOOKUP($A155,[5]库存使用数据!$A:$C,3,0),"")</f>
        <v>0</v>
      </c>
      <c r="U155">
        <f>IFERROR(VLOOKUP($A155,[5]库存使用数据!$A:$F,6,0),"")</f>
        <v>0</v>
      </c>
      <c r="V155">
        <f>IFERROR(VLOOKUP($A155,[5]库存使用数据!$A:$I,9,0),"")</f>
        <v>0</v>
      </c>
      <c r="W155">
        <f>IFERROR(VLOOKUP($A155,[5]库存使用数据!$A:$L,12,0),"")</f>
        <v>0</v>
      </c>
      <c r="X155" s="23">
        <f t="shared" si="43"/>
        <v>0</v>
      </c>
      <c r="Y155" s="23">
        <f t="shared" si="44"/>
        <v>0</v>
      </c>
      <c r="Z155" s="23">
        <f t="shared" si="45"/>
        <v>0</v>
      </c>
      <c r="AA155" s="23">
        <f t="shared" si="46"/>
        <v>0</v>
      </c>
      <c r="AB155">
        <f>IFERROR(VLOOKUP($A155,[5]库存使用数据!$A:$D,4,0),"")</f>
        <v>0</v>
      </c>
      <c r="AC155">
        <f>IFERROR(VLOOKUP($A155,[5]库存使用数据!$A:$G,7,0),"")</f>
        <v>0</v>
      </c>
      <c r="AD155">
        <f>IFERROR(VLOOKUP($A155,[5]库存使用数据!$A:$J,10,0),"")</f>
        <v>0</v>
      </c>
      <c r="AE155">
        <f>IFERROR(VLOOKUP($A155,[5]库存使用数据!$A:$M,13,0),"")</f>
        <v>0</v>
      </c>
      <c r="AF155" s="23" t="str">
        <f t="shared" si="47"/>
        <v/>
      </c>
      <c r="AG155" s="23" t="str">
        <f t="shared" si="48"/>
        <v/>
      </c>
      <c r="AH155" s="23" t="str">
        <f t="shared" si="49"/>
        <v/>
      </c>
      <c r="AI155" s="23" t="str">
        <f t="shared" si="50"/>
        <v/>
      </c>
      <c r="AJ155">
        <f>IFERROR(VLOOKUP($B155,[1]库存报告使用数据!$A$1:$B$65536,2,0),0)</f>
        <v>1</v>
      </c>
      <c r="AK155">
        <f>IFERROR(VLOOKUP($B155,[1]库存报告使用数据!$A$1:$C$65536,3,0),0)</f>
        <v>4</v>
      </c>
      <c r="AL155">
        <f>IFERROR(VLOOKUP($B155,[1]库存报告使用数据!$A$1:$D$65536,4,0),0)</f>
        <v>2</v>
      </c>
      <c r="AM155">
        <f>IFERROR(VLOOKUP($B155,[1]库存报告使用数据!$A$1:$E$65536,5,0),0)</f>
        <v>0</v>
      </c>
      <c r="AN155" s="23">
        <f t="shared" si="51"/>
        <v>0</v>
      </c>
      <c r="AO155" s="23">
        <f t="shared" si="52"/>
        <v>0</v>
      </c>
      <c r="AP155" s="23">
        <f t="shared" si="53"/>
        <v>0</v>
      </c>
      <c r="AQ155" s="23" t="str">
        <f t="shared" si="54"/>
        <v/>
      </c>
      <c r="AR155" s="38">
        <f t="shared" si="39"/>
        <v>0</v>
      </c>
      <c r="AS155" s="38">
        <f t="shared" si="40"/>
        <v>0</v>
      </c>
      <c r="AT155" s="38">
        <f t="shared" si="41"/>
        <v>4</v>
      </c>
      <c r="AU155" s="33" t="str">
        <f t="shared" si="42"/>
        <v>库存为4</v>
      </c>
      <c r="AV155" s="39" t="str">
        <f>IFERROR(时间!$B$4+AU155,"上周无销量")</f>
        <v>上周无销量</v>
      </c>
    </row>
    <row r="156" spans="1:48">
      <c r="A156" s="35" t="s">
        <v>201</v>
      </c>
      <c r="B156" t="str">
        <f>VLOOKUP(A156,'[2]sku-asin（子）'!$A:$B,2,0)</f>
        <v>B074CX73CM</v>
      </c>
      <c r="C156" t="str">
        <f>VLOOKUP(A156,'[2]子sku-父sku'!$A:$B,2,0)</f>
        <v>N31459Y</v>
      </c>
      <c r="D156" s="33">
        <f>IFERROR(VLOOKUP(A156,[3]库存报告使用数据处理!$A:$C,3,0),0)</f>
        <v>0</v>
      </c>
      <c r="E156" s="33">
        <f>IFERROR(VLOOKUP(A156,[3]库存报告使用数据处理!$A:$D,4,0),0)</f>
        <v>0</v>
      </c>
      <c r="F156" s="33">
        <f>IFERROR(VLOOKUP(A156,[3]库存报告使用数据处理!$A:$E,5,0),0)</f>
        <v>0</v>
      </c>
      <c r="G156" s="33">
        <f>IFERROR(VLOOKUP(A156,[3]库存报告使用数据处理!$A:$F,6,0),0)</f>
        <v>0</v>
      </c>
      <c r="H156" s="34">
        <f>IFERROR(VLOOKUP(A156,[3]库存报告使用数据处理!$A:$G,7,0),0)</f>
        <v>0</v>
      </c>
      <c r="I156">
        <f>IFERROR(VLOOKUP(A156,[4]数据处理!$A:$B,2,0),0)</f>
        <v>5</v>
      </c>
      <c r="J156" s="36">
        <f>IFERROR(VLOOKUP(A156,[4]数据处理!$A:$D,4,0),0)</f>
        <v>0</v>
      </c>
      <c r="K156" s="36">
        <f>IFERROR(VLOOKUP(A156,[4]数据处理!$A:$E,5,0),0)</f>
        <v>0</v>
      </c>
      <c r="L156" s="36">
        <f>IFERROR(VLOOKUP(A156,[4]数据处理!$A:$G,7,0),0)</f>
        <v>0</v>
      </c>
      <c r="M156">
        <f t="shared" si="38"/>
        <v>5</v>
      </c>
      <c r="N156">
        <f>IFERROR(VLOOKUP(A156,[4]数据处理!$A:$C,3,0),0)</f>
        <v>0</v>
      </c>
      <c r="O156">
        <f>IFERROR(VLOOKUP($A156,[4]数据处理!$A:$N,14,0),0)</f>
        <v>5</v>
      </c>
      <c r="P156">
        <f>IFERROR(VLOOKUP($A156,[5]库存使用数据!$A:$B,2,0),"")</f>
        <v>2636</v>
      </c>
      <c r="Q156">
        <f>IFERROR(VLOOKUP($A156,[5]库存使用数据!$A:$E,5,0),"")</f>
        <v>1932</v>
      </c>
      <c r="R156">
        <f>IFERROR(VLOOKUP($A156,[5]库存使用数据!$A:$H,8,0),"")</f>
        <v>1213</v>
      </c>
      <c r="S156">
        <f>IFERROR(VLOOKUP($A156,[5]库存使用数据!$A:$K,11,0),"")</f>
        <v>1383</v>
      </c>
      <c r="T156">
        <f>IFERROR(VLOOKUP($A156,[5]库存使用数据!$A:$C,3,0),"")</f>
        <v>15</v>
      </c>
      <c r="U156">
        <f>IFERROR(VLOOKUP($A156,[5]库存使用数据!$A:$F,6,0),"")</f>
        <v>12</v>
      </c>
      <c r="V156">
        <f>IFERROR(VLOOKUP($A156,[5]库存使用数据!$A:$I,9,0),"")</f>
        <v>7</v>
      </c>
      <c r="W156">
        <f>IFERROR(VLOOKUP($A156,[5]库存使用数据!$A:$L,12,0),"")</f>
        <v>6</v>
      </c>
      <c r="X156" s="23">
        <f t="shared" si="43"/>
        <v>0.00569044006069803</v>
      </c>
      <c r="Y156" s="23">
        <f t="shared" si="44"/>
        <v>0.0062111801242236</v>
      </c>
      <c r="Z156" s="23">
        <f t="shared" si="45"/>
        <v>0.00577081615828524</v>
      </c>
      <c r="AA156" s="23">
        <f t="shared" si="46"/>
        <v>0.00433839479392625</v>
      </c>
      <c r="AB156">
        <f>IFERROR(VLOOKUP($A156,[5]库存使用数据!$A:$D,4,0),"")</f>
        <v>4.95</v>
      </c>
      <c r="AC156">
        <f>IFERROR(VLOOKUP($A156,[5]库存使用数据!$A:$G,7,0),"")</f>
        <v>2.73</v>
      </c>
      <c r="AD156">
        <f>IFERROR(VLOOKUP($A156,[5]库存使用数据!$A:$J,10,0),"")</f>
        <v>2.11</v>
      </c>
      <c r="AE156">
        <f>IFERROR(VLOOKUP($A156,[5]库存使用数据!$A:$M,13,0),"")</f>
        <v>1.55</v>
      </c>
      <c r="AF156" s="23" t="str">
        <f t="shared" si="47"/>
        <v>无销量广告费为4.95</v>
      </c>
      <c r="AG156" s="23" t="str">
        <f t="shared" si="48"/>
        <v>无销量广告费为2.73</v>
      </c>
      <c r="AH156" s="23" t="str">
        <f t="shared" si="49"/>
        <v>无销量广告费为2.11</v>
      </c>
      <c r="AI156" s="23" t="str">
        <f t="shared" si="50"/>
        <v>无销量广告费为1.55</v>
      </c>
      <c r="AJ156">
        <f>IFERROR(VLOOKUP($B156,[1]库存报告使用数据!$A$1:$B$65536,2,0),0)</f>
        <v>4</v>
      </c>
      <c r="AK156">
        <f>IFERROR(VLOOKUP($B156,[1]库存报告使用数据!$A$1:$C$65536,3,0),0)</f>
        <v>6</v>
      </c>
      <c r="AL156">
        <f>IFERROR(VLOOKUP($B156,[1]库存报告使用数据!$A$1:$D$65536,4,0),0)</f>
        <v>4</v>
      </c>
      <c r="AM156">
        <f>IFERROR(VLOOKUP($B156,[1]库存报告使用数据!$A$1:$E$65536,5,0),0)</f>
        <v>4</v>
      </c>
      <c r="AN156" s="23">
        <f t="shared" si="51"/>
        <v>0</v>
      </c>
      <c r="AO156" s="23">
        <f t="shared" si="52"/>
        <v>0</v>
      </c>
      <c r="AP156" s="23">
        <f t="shared" si="53"/>
        <v>0</v>
      </c>
      <c r="AQ156" s="23">
        <f t="shared" si="54"/>
        <v>0</v>
      </c>
      <c r="AR156" s="38">
        <f t="shared" si="39"/>
        <v>0</v>
      </c>
      <c r="AS156" s="38">
        <f t="shared" si="40"/>
        <v>0</v>
      </c>
      <c r="AT156" s="38">
        <f t="shared" si="41"/>
        <v>5</v>
      </c>
      <c r="AU156" s="33" t="str">
        <f t="shared" si="42"/>
        <v>库存为5</v>
      </c>
      <c r="AV156" s="39" t="str">
        <f>IFERROR(时间!$B$4+AU156,"上周无销量")</f>
        <v>上周无销量</v>
      </c>
    </row>
    <row r="157" spans="1:48">
      <c r="A157" s="35" t="s">
        <v>202</v>
      </c>
      <c r="B157" t="str">
        <f>VLOOKUP(A157,'[2]sku-asin（子）'!$A:$B,2,0)</f>
        <v>B074CXPPQM</v>
      </c>
      <c r="C157" t="str">
        <f>VLOOKUP(A157,'[2]子sku-父sku'!$A:$B,2,0)</f>
        <v>N31459Y</v>
      </c>
      <c r="D157" s="33">
        <f>IFERROR(VLOOKUP(A157,[3]库存报告使用数据处理!$A:$C,3,0),0)</f>
        <v>0</v>
      </c>
      <c r="E157" s="33">
        <f>IFERROR(VLOOKUP(A157,[3]库存报告使用数据处理!$A:$D,4,0),0)</f>
        <v>0</v>
      </c>
      <c r="F157" s="33">
        <f>IFERROR(VLOOKUP(A157,[3]库存报告使用数据处理!$A:$E,5,0),0)</f>
        <v>0</v>
      </c>
      <c r="G157" s="33">
        <f>IFERROR(VLOOKUP(A157,[3]库存报告使用数据处理!$A:$F,6,0),0)</f>
        <v>0</v>
      </c>
      <c r="H157" s="34">
        <f>IFERROR(VLOOKUP(A157,[3]库存报告使用数据处理!$A:$G,7,0),0)</f>
        <v>0</v>
      </c>
      <c r="I157">
        <f>IFERROR(VLOOKUP(A157,[4]数据处理!$A:$B,2,0),0)</f>
        <v>12</v>
      </c>
      <c r="J157" s="36">
        <f>IFERROR(VLOOKUP(A157,[4]数据处理!$A:$D,4,0),0)</f>
        <v>0</v>
      </c>
      <c r="K157" s="36">
        <f>IFERROR(VLOOKUP(A157,[4]数据处理!$A:$E,5,0),0)</f>
        <v>0</v>
      </c>
      <c r="L157" s="36">
        <f>IFERROR(VLOOKUP(A157,[4]数据处理!$A:$G,7,0),0)</f>
        <v>0</v>
      </c>
      <c r="M157">
        <f t="shared" si="38"/>
        <v>12</v>
      </c>
      <c r="N157">
        <f>IFERROR(VLOOKUP(A157,[4]数据处理!$A:$C,3,0),0)</f>
        <v>0</v>
      </c>
      <c r="O157">
        <f>IFERROR(VLOOKUP($A157,[4]数据处理!$A:$N,14,0),0)</f>
        <v>11</v>
      </c>
      <c r="P157">
        <f>IFERROR(VLOOKUP($A157,[5]库存使用数据!$A:$B,2,0),"")</f>
        <v>37</v>
      </c>
      <c r="Q157">
        <f>IFERROR(VLOOKUP($A157,[5]库存使用数据!$A:$E,5,0),"")</f>
        <v>34</v>
      </c>
      <c r="R157">
        <f>IFERROR(VLOOKUP($A157,[5]库存使用数据!$A:$H,8,0),"")</f>
        <v>18</v>
      </c>
      <c r="S157">
        <f>IFERROR(VLOOKUP($A157,[5]库存使用数据!$A:$K,11,0),"")</f>
        <v>23</v>
      </c>
      <c r="T157">
        <f>IFERROR(VLOOKUP($A157,[5]库存使用数据!$A:$C,3,0),"")</f>
        <v>0</v>
      </c>
      <c r="U157">
        <f>IFERROR(VLOOKUP($A157,[5]库存使用数据!$A:$F,6,0),"")</f>
        <v>0</v>
      </c>
      <c r="V157">
        <f>IFERROR(VLOOKUP($A157,[5]库存使用数据!$A:$I,9,0),"")</f>
        <v>0</v>
      </c>
      <c r="W157">
        <f>IFERROR(VLOOKUP($A157,[5]库存使用数据!$A:$L,12,0),"")</f>
        <v>0</v>
      </c>
      <c r="X157" s="23">
        <f t="shared" si="43"/>
        <v>0</v>
      </c>
      <c r="Y157" s="23">
        <f t="shared" si="44"/>
        <v>0</v>
      </c>
      <c r="Z157" s="23">
        <f t="shared" si="45"/>
        <v>0</v>
      </c>
      <c r="AA157" s="23">
        <f t="shared" si="46"/>
        <v>0</v>
      </c>
      <c r="AB157">
        <f>IFERROR(VLOOKUP($A157,[5]库存使用数据!$A:$D,4,0),"")</f>
        <v>0</v>
      </c>
      <c r="AC157">
        <f>IFERROR(VLOOKUP($A157,[5]库存使用数据!$A:$G,7,0),"")</f>
        <v>0</v>
      </c>
      <c r="AD157">
        <f>IFERROR(VLOOKUP($A157,[5]库存使用数据!$A:$J,10,0),"")</f>
        <v>0</v>
      </c>
      <c r="AE157">
        <f>IFERROR(VLOOKUP($A157,[5]库存使用数据!$A:$M,13,0),"")</f>
        <v>0</v>
      </c>
      <c r="AF157" s="23" t="str">
        <f t="shared" si="47"/>
        <v/>
      </c>
      <c r="AG157" s="23" t="str">
        <f t="shared" si="48"/>
        <v/>
      </c>
      <c r="AH157" s="23" t="str">
        <f t="shared" si="49"/>
        <v/>
      </c>
      <c r="AI157" s="23" t="str">
        <f t="shared" si="50"/>
        <v/>
      </c>
      <c r="AJ157">
        <f>IFERROR(VLOOKUP($B157,[1]库存报告使用数据!$A$1:$B$65536,2,0),0)</f>
        <v>2</v>
      </c>
      <c r="AK157">
        <f>IFERROR(VLOOKUP($B157,[1]库存报告使用数据!$A$1:$C$65536,3,0),0)</f>
        <v>4</v>
      </c>
      <c r="AL157">
        <f>IFERROR(VLOOKUP($B157,[1]库存报告使用数据!$A$1:$D$65536,4,0),0)</f>
        <v>1</v>
      </c>
      <c r="AM157">
        <f>IFERROR(VLOOKUP($B157,[1]库存报告使用数据!$A$1:$E$65536,5,0),0)</f>
        <v>1</v>
      </c>
      <c r="AN157" s="23">
        <f t="shared" si="51"/>
        <v>0</v>
      </c>
      <c r="AO157" s="23">
        <f t="shared" si="52"/>
        <v>0</v>
      </c>
      <c r="AP157" s="23">
        <f t="shared" si="53"/>
        <v>0</v>
      </c>
      <c r="AQ157" s="23">
        <f t="shared" si="54"/>
        <v>0</v>
      </c>
      <c r="AR157" s="38">
        <f t="shared" si="39"/>
        <v>0</v>
      </c>
      <c r="AS157" s="38">
        <f t="shared" si="40"/>
        <v>0</v>
      </c>
      <c r="AT157" s="38">
        <f t="shared" si="41"/>
        <v>12</v>
      </c>
      <c r="AU157" s="33" t="str">
        <f t="shared" si="42"/>
        <v>库存为12</v>
      </c>
      <c r="AV157" s="39" t="str">
        <f>IFERROR(时间!$B$4+AU157,"上周无销量")</f>
        <v>上周无销量</v>
      </c>
    </row>
    <row r="158" spans="1:48">
      <c r="A158" s="35" t="s">
        <v>203</v>
      </c>
      <c r="B158" t="str">
        <f>VLOOKUP(A158,'[2]sku-asin（子）'!$A:$B,2,0)</f>
        <v>B074CXK6RZ</v>
      </c>
      <c r="C158" t="str">
        <f>VLOOKUP(A158,'[2]子sku-父sku'!$A:$B,2,0)</f>
        <v>N31459Y</v>
      </c>
      <c r="D158" s="33">
        <f>IFERROR(VLOOKUP(A158,[3]库存报告使用数据处理!$A:$C,3,0),0)</f>
        <v>0</v>
      </c>
      <c r="E158" s="33">
        <f>IFERROR(VLOOKUP(A158,[3]库存报告使用数据处理!$A:$D,4,0),0)</f>
        <v>0</v>
      </c>
      <c r="F158" s="33">
        <f>IFERROR(VLOOKUP(A158,[3]库存报告使用数据处理!$A:$E,5,0),0)</f>
        <v>0</v>
      </c>
      <c r="G158" s="33">
        <f>IFERROR(VLOOKUP(A158,[3]库存报告使用数据处理!$A:$F,6,0),0)</f>
        <v>2</v>
      </c>
      <c r="H158" s="34">
        <f>IFERROR(VLOOKUP(A158,[3]库存报告使用数据处理!$A:$G,7,0),0)</f>
        <v>13.9</v>
      </c>
      <c r="I158">
        <f>IFERROR(VLOOKUP(A158,[4]数据处理!$A:$B,2,0),0)</f>
        <v>1</v>
      </c>
      <c r="J158" s="36">
        <f>IFERROR(VLOOKUP(A158,[4]数据处理!$A:$D,4,0),0)</f>
        <v>0</v>
      </c>
      <c r="K158" s="36">
        <f>IFERROR(VLOOKUP(A158,[4]数据处理!$A:$E,5,0),0)</f>
        <v>0</v>
      </c>
      <c r="L158" s="36">
        <f>IFERROR(VLOOKUP(A158,[4]数据处理!$A:$G,7,0),0)</f>
        <v>0</v>
      </c>
      <c r="M158">
        <f t="shared" si="38"/>
        <v>1</v>
      </c>
      <c r="N158">
        <f>IFERROR(VLOOKUP(A158,[4]数据处理!$A:$C,3,0),0)</f>
        <v>0</v>
      </c>
      <c r="O158">
        <f>IFERROR(VLOOKUP($A158,[4]数据处理!$A:$N,14,0),0)</f>
        <v>1</v>
      </c>
      <c r="P158">
        <f>IFERROR(VLOOKUP($A158,[5]库存使用数据!$A:$B,2,0),"")</f>
        <v>46</v>
      </c>
      <c r="Q158">
        <f>IFERROR(VLOOKUP($A158,[5]库存使用数据!$A:$E,5,0),"")</f>
        <v>55</v>
      </c>
      <c r="R158">
        <f>IFERROR(VLOOKUP($A158,[5]库存使用数据!$A:$H,8,0),"")</f>
        <v>52</v>
      </c>
      <c r="S158">
        <f>IFERROR(VLOOKUP($A158,[5]库存使用数据!$A:$K,11,0),"")</f>
        <v>25</v>
      </c>
      <c r="T158">
        <f>IFERROR(VLOOKUP($A158,[5]库存使用数据!$A:$C,3,0),"")</f>
        <v>0</v>
      </c>
      <c r="U158">
        <f>IFERROR(VLOOKUP($A158,[5]库存使用数据!$A:$F,6,0),"")</f>
        <v>2</v>
      </c>
      <c r="V158">
        <f>IFERROR(VLOOKUP($A158,[5]库存使用数据!$A:$I,9,0),"")</f>
        <v>1</v>
      </c>
      <c r="W158">
        <f>IFERROR(VLOOKUP($A158,[5]库存使用数据!$A:$L,12,0),"")</f>
        <v>0</v>
      </c>
      <c r="X158" s="23">
        <f t="shared" si="43"/>
        <v>0</v>
      </c>
      <c r="Y158" s="23">
        <f t="shared" si="44"/>
        <v>0.0363636363636364</v>
      </c>
      <c r="Z158" s="23">
        <f t="shared" si="45"/>
        <v>0.0192307692307692</v>
      </c>
      <c r="AA158" s="23">
        <f t="shared" si="46"/>
        <v>0</v>
      </c>
      <c r="AB158">
        <f>IFERROR(VLOOKUP($A158,[5]库存使用数据!$A:$D,4,0),"")</f>
        <v>0</v>
      </c>
      <c r="AC158">
        <f>IFERROR(VLOOKUP($A158,[5]库存使用数据!$A:$G,7,0),"")</f>
        <v>1.06</v>
      </c>
      <c r="AD158">
        <f>IFERROR(VLOOKUP($A158,[5]库存使用数据!$A:$J,10,0),"")</f>
        <v>0.69</v>
      </c>
      <c r="AE158">
        <f>IFERROR(VLOOKUP($A158,[5]库存使用数据!$A:$M,13,0),"")</f>
        <v>0</v>
      </c>
      <c r="AF158" s="23" t="str">
        <f t="shared" si="47"/>
        <v/>
      </c>
      <c r="AG158" s="23" t="str">
        <f t="shared" si="48"/>
        <v>无销量广告费为1.06</v>
      </c>
      <c r="AH158" s="23" t="str">
        <f t="shared" si="49"/>
        <v>无销量广告费为0.69</v>
      </c>
      <c r="AI158" s="23" t="str">
        <f t="shared" si="50"/>
        <v/>
      </c>
      <c r="AJ158">
        <f>IFERROR(VLOOKUP($B158,[1]库存报告使用数据!$A$1:$B$65536,2,0),0)</f>
        <v>1</v>
      </c>
      <c r="AK158">
        <f>IFERROR(VLOOKUP($B158,[1]库存报告使用数据!$A$1:$C$65536,3,0),0)</f>
        <v>5</v>
      </c>
      <c r="AL158">
        <f>IFERROR(VLOOKUP($B158,[1]库存报告使用数据!$A$1:$D$65536,4,0),0)</f>
        <v>3</v>
      </c>
      <c r="AM158">
        <f>IFERROR(VLOOKUP($B158,[1]库存报告使用数据!$A$1:$E$65536,5,0),0)</f>
        <v>2</v>
      </c>
      <c r="AN158" s="23">
        <f t="shared" si="51"/>
        <v>0</v>
      </c>
      <c r="AO158" s="23">
        <f t="shared" si="52"/>
        <v>0</v>
      </c>
      <c r="AP158" s="23">
        <f t="shared" si="53"/>
        <v>0</v>
      </c>
      <c r="AQ158" s="23">
        <f t="shared" si="54"/>
        <v>1</v>
      </c>
      <c r="AR158" s="38">
        <f t="shared" si="39"/>
        <v>0</v>
      </c>
      <c r="AS158" s="38">
        <f t="shared" si="40"/>
        <v>0</v>
      </c>
      <c r="AT158" s="38">
        <f t="shared" si="41"/>
        <v>1</v>
      </c>
      <c r="AU158" s="33" t="str">
        <f t="shared" si="42"/>
        <v>库存为1</v>
      </c>
      <c r="AV158" s="39" t="str">
        <f>IFERROR(时间!$B$4+AU158,"上周无销量")</f>
        <v>上周无销量</v>
      </c>
    </row>
    <row r="159" spans="1:48">
      <c r="A159" s="35" t="s">
        <v>204</v>
      </c>
      <c r="B159" t="str">
        <f>VLOOKUP(A159,'[2]sku-asin（子）'!$A:$B,2,0)</f>
        <v>B074CXP24Y</v>
      </c>
      <c r="C159" t="str">
        <f>VLOOKUP(A159,'[2]子sku-父sku'!$A:$B,2,0)</f>
        <v>N31459Y</v>
      </c>
      <c r="D159" s="33">
        <f>IFERROR(VLOOKUP(A159,[3]库存报告使用数据处理!$A:$C,3,0),0)</f>
        <v>0</v>
      </c>
      <c r="E159" s="33">
        <f>IFERROR(VLOOKUP(A159,[3]库存报告使用数据处理!$A:$D,4,0),0)</f>
        <v>1</v>
      </c>
      <c r="F159" s="33">
        <f>IFERROR(VLOOKUP(A159,[3]库存报告使用数据处理!$A:$E,5,0),0)</f>
        <v>0</v>
      </c>
      <c r="G159" s="33">
        <f>IFERROR(VLOOKUP(A159,[3]库存报告使用数据处理!$A:$F,6,0),0)</f>
        <v>0</v>
      </c>
      <c r="H159" s="34">
        <f>IFERROR(VLOOKUP(A159,[3]库存报告使用数据处理!$A:$G,7,0),0)</f>
        <v>13.9</v>
      </c>
      <c r="I159">
        <f>IFERROR(VLOOKUP(A159,[4]数据处理!$A:$B,2,0),0)</f>
        <v>8</v>
      </c>
      <c r="J159" s="36">
        <f>IFERROR(VLOOKUP(A159,[4]数据处理!$A:$D,4,0),0)</f>
        <v>0</v>
      </c>
      <c r="K159" s="36">
        <f>IFERROR(VLOOKUP(A159,[4]数据处理!$A:$E,5,0),0)</f>
        <v>0</v>
      </c>
      <c r="L159" s="36">
        <f>IFERROR(VLOOKUP(A159,[4]数据处理!$A:$G,7,0),0)</f>
        <v>0</v>
      </c>
      <c r="M159">
        <f t="shared" si="38"/>
        <v>8</v>
      </c>
      <c r="N159">
        <f>IFERROR(VLOOKUP(A159,[4]数据处理!$A:$C,3,0),0)</f>
        <v>0</v>
      </c>
      <c r="O159">
        <f>IFERROR(VLOOKUP($A159,[4]数据处理!$A:$N,14,0),0)</f>
        <v>8</v>
      </c>
      <c r="P159">
        <f>IFERROR(VLOOKUP($A159,[5]库存使用数据!$A:$B,2,0),"")</f>
        <v>16</v>
      </c>
      <c r="Q159">
        <f>IFERROR(VLOOKUP($A159,[5]库存使用数据!$A:$E,5,0),"")</f>
        <v>18</v>
      </c>
      <c r="R159">
        <f>IFERROR(VLOOKUP($A159,[5]库存使用数据!$A:$H,8,0),"")</f>
        <v>38</v>
      </c>
      <c r="S159">
        <f>IFERROR(VLOOKUP($A159,[5]库存使用数据!$A:$K,11,0),"")</f>
        <v>27</v>
      </c>
      <c r="T159">
        <f>IFERROR(VLOOKUP($A159,[5]库存使用数据!$A:$C,3,0),"")</f>
        <v>0</v>
      </c>
      <c r="U159">
        <f>IFERROR(VLOOKUP($A159,[5]库存使用数据!$A:$F,6,0),"")</f>
        <v>1</v>
      </c>
      <c r="V159">
        <f>IFERROR(VLOOKUP($A159,[5]库存使用数据!$A:$I,9,0),"")</f>
        <v>2</v>
      </c>
      <c r="W159">
        <f>IFERROR(VLOOKUP($A159,[5]库存使用数据!$A:$L,12,0),"")</f>
        <v>2</v>
      </c>
      <c r="X159" s="23">
        <f t="shared" si="43"/>
        <v>0</v>
      </c>
      <c r="Y159" s="23">
        <f t="shared" si="44"/>
        <v>0.0555555555555556</v>
      </c>
      <c r="Z159" s="23">
        <f t="shared" si="45"/>
        <v>0.0526315789473684</v>
      </c>
      <c r="AA159" s="23">
        <f t="shared" si="46"/>
        <v>0.0740740740740741</v>
      </c>
      <c r="AB159">
        <f>IFERROR(VLOOKUP($A159,[5]库存使用数据!$A:$D,4,0),"")</f>
        <v>0</v>
      </c>
      <c r="AC159">
        <f>IFERROR(VLOOKUP($A159,[5]库存使用数据!$A:$G,7,0),"")</f>
        <v>0.02</v>
      </c>
      <c r="AD159">
        <f>IFERROR(VLOOKUP($A159,[5]库存使用数据!$A:$J,10,0),"")</f>
        <v>0.3</v>
      </c>
      <c r="AE159">
        <f>IFERROR(VLOOKUP($A159,[5]库存使用数据!$A:$M,13,0),"")</f>
        <v>0.04</v>
      </c>
      <c r="AF159" s="23" t="str">
        <f t="shared" si="47"/>
        <v/>
      </c>
      <c r="AG159" s="23">
        <f t="shared" si="48"/>
        <v>0.00143884892086331</v>
      </c>
      <c r="AH159" s="23" t="str">
        <f t="shared" si="49"/>
        <v>无销量广告费为0.3</v>
      </c>
      <c r="AI159" s="23" t="str">
        <f t="shared" si="50"/>
        <v>无销量广告费为0.04</v>
      </c>
      <c r="AJ159">
        <f>IFERROR(VLOOKUP($B159,[1]库存报告使用数据!$A$1:$B$65536,2,0),0)</f>
        <v>1</v>
      </c>
      <c r="AK159">
        <f>IFERROR(VLOOKUP($B159,[1]库存报告使用数据!$A$1:$C$65536,3,0),0)</f>
        <v>3</v>
      </c>
      <c r="AL159">
        <f>IFERROR(VLOOKUP($B159,[1]库存报告使用数据!$A$1:$D$65536,4,0),0)</f>
        <v>1</v>
      </c>
      <c r="AM159">
        <f>IFERROR(VLOOKUP($B159,[1]库存报告使用数据!$A$1:$E$65536,5,0),0)</f>
        <v>0</v>
      </c>
      <c r="AN159" s="23">
        <f t="shared" si="51"/>
        <v>0</v>
      </c>
      <c r="AO159" s="23">
        <f t="shared" si="52"/>
        <v>0.333333333333333</v>
      </c>
      <c r="AP159" s="23">
        <f t="shared" si="53"/>
        <v>0</v>
      </c>
      <c r="AQ159" s="23" t="str">
        <f t="shared" si="54"/>
        <v/>
      </c>
      <c r="AR159" s="38">
        <f t="shared" si="39"/>
        <v>0</v>
      </c>
      <c r="AS159" s="38">
        <f t="shared" si="40"/>
        <v>0</v>
      </c>
      <c r="AT159" s="38">
        <f t="shared" si="41"/>
        <v>8</v>
      </c>
      <c r="AU159" s="33" t="str">
        <f t="shared" si="42"/>
        <v>库存为8</v>
      </c>
      <c r="AV159" s="39" t="str">
        <f>IFERROR(时间!$B$4+AU159,"上周无销量")</f>
        <v>上周无销量</v>
      </c>
    </row>
    <row r="160" spans="1:48">
      <c r="A160" s="35" t="s">
        <v>205</v>
      </c>
      <c r="B160" t="str">
        <f>VLOOKUP(A160,'[2]sku-asin（子）'!$A:$B,2,0)</f>
        <v>B074CXNBPV</v>
      </c>
      <c r="C160" t="str">
        <f>VLOOKUP(A160,'[2]子sku-父sku'!$A:$B,2,0)</f>
        <v>N31459Y</v>
      </c>
      <c r="D160" s="33">
        <f>IFERROR(VLOOKUP(A160,[3]库存报告使用数据处理!$A:$C,3,0),0)</f>
        <v>0</v>
      </c>
      <c r="E160" s="33">
        <f>IFERROR(VLOOKUP(A160,[3]库存报告使用数据处理!$A:$D,4,0),0)</f>
        <v>0</v>
      </c>
      <c r="F160" s="33">
        <f>IFERROR(VLOOKUP(A160,[3]库存报告使用数据处理!$A:$E,5,0),0)</f>
        <v>1</v>
      </c>
      <c r="G160" s="33">
        <f>IFERROR(VLOOKUP(A160,[3]库存报告使用数据处理!$A:$F,6,0),0)</f>
        <v>0</v>
      </c>
      <c r="H160" s="34">
        <f>IFERROR(VLOOKUP(A160,[3]库存报告使用数据处理!$A:$G,7,0),0)</f>
        <v>13.9</v>
      </c>
      <c r="I160">
        <f>IFERROR(VLOOKUP(A160,[4]数据处理!$A:$B,2,0),0)</f>
        <v>0</v>
      </c>
      <c r="J160" s="36">
        <f>IFERROR(VLOOKUP(A160,[4]数据处理!$A:$D,4,0),0)</f>
        <v>0</v>
      </c>
      <c r="K160" s="36">
        <f>IFERROR(VLOOKUP(A160,[4]数据处理!$A:$E,5,0),0)</f>
        <v>0</v>
      </c>
      <c r="L160" s="36">
        <f>IFERROR(VLOOKUP(A160,[4]数据处理!$A:$G,7,0),0)</f>
        <v>0</v>
      </c>
      <c r="M160">
        <f t="shared" si="38"/>
        <v>0</v>
      </c>
      <c r="N160">
        <f>IFERROR(VLOOKUP(A160,[4]数据处理!$A:$C,3,0),0)</f>
        <v>0</v>
      </c>
      <c r="O160">
        <f>IFERROR(VLOOKUP($A160,[4]数据处理!$A:$N,14,0),0)</f>
        <v>0</v>
      </c>
      <c r="P160">
        <f>IFERROR(VLOOKUP($A160,[5]库存使用数据!$A:$B,2,0),"")</f>
        <v>0</v>
      </c>
      <c r="Q160">
        <f>IFERROR(VLOOKUP($A160,[5]库存使用数据!$A:$E,5,0),"")</f>
        <v>0</v>
      </c>
      <c r="R160">
        <f>IFERROR(VLOOKUP($A160,[5]库存使用数据!$A:$H,8,0),"")</f>
        <v>50</v>
      </c>
      <c r="S160">
        <f>IFERROR(VLOOKUP($A160,[5]库存使用数据!$A:$K,11,0),"")</f>
        <v>51</v>
      </c>
      <c r="T160">
        <f>IFERROR(VLOOKUP($A160,[5]库存使用数据!$A:$C,3,0),"")</f>
        <v>0</v>
      </c>
      <c r="U160">
        <f>IFERROR(VLOOKUP($A160,[5]库存使用数据!$A:$F,6,0),"")</f>
        <v>0</v>
      </c>
      <c r="V160">
        <f>IFERROR(VLOOKUP($A160,[5]库存使用数据!$A:$I,9,0),"")</f>
        <v>0</v>
      </c>
      <c r="W160">
        <f>IFERROR(VLOOKUP($A160,[5]库存使用数据!$A:$L,12,0),"")</f>
        <v>4</v>
      </c>
      <c r="X160" s="23" t="str">
        <f t="shared" si="43"/>
        <v/>
      </c>
      <c r="Y160" s="23" t="str">
        <f t="shared" si="44"/>
        <v/>
      </c>
      <c r="Z160" s="23">
        <f t="shared" si="45"/>
        <v>0</v>
      </c>
      <c r="AA160" s="23">
        <f t="shared" si="46"/>
        <v>0.0784313725490196</v>
      </c>
      <c r="AB160">
        <f>IFERROR(VLOOKUP($A160,[5]库存使用数据!$A:$D,4,0),"")</f>
        <v>0</v>
      </c>
      <c r="AC160">
        <f>IFERROR(VLOOKUP($A160,[5]库存使用数据!$A:$G,7,0),"")</f>
        <v>0</v>
      </c>
      <c r="AD160">
        <f>IFERROR(VLOOKUP($A160,[5]库存使用数据!$A:$J,10,0),"")</f>
        <v>0</v>
      </c>
      <c r="AE160">
        <f>IFERROR(VLOOKUP($A160,[5]库存使用数据!$A:$M,13,0),"")</f>
        <v>2.07</v>
      </c>
      <c r="AF160" s="23" t="str">
        <f t="shared" si="47"/>
        <v/>
      </c>
      <c r="AG160" s="23" t="str">
        <f t="shared" si="48"/>
        <v/>
      </c>
      <c r="AH160" s="23" t="str">
        <f t="shared" si="49"/>
        <v/>
      </c>
      <c r="AI160" s="23" t="str">
        <f t="shared" si="50"/>
        <v>无销量广告费为2.07</v>
      </c>
      <c r="AJ160">
        <f>IFERROR(VLOOKUP($B160,[1]库存报告使用数据!$A$1:$B$65536,2,0),0)</f>
        <v>0</v>
      </c>
      <c r="AK160">
        <f>IFERROR(VLOOKUP($B160,[1]库存报告使用数据!$A$1:$C$65536,3,0),0)</f>
        <v>0</v>
      </c>
      <c r="AL160">
        <f>IFERROR(VLOOKUP($B160,[1]库存报告使用数据!$A$1:$D$65536,4,0),0)</f>
        <v>0</v>
      </c>
      <c r="AM160">
        <f>IFERROR(VLOOKUP($B160,[1]库存报告使用数据!$A$1:$E$65536,5,0),0)</f>
        <v>2</v>
      </c>
      <c r="AN160" s="23" t="str">
        <f t="shared" si="51"/>
        <v/>
      </c>
      <c r="AO160" s="23" t="str">
        <f t="shared" si="52"/>
        <v/>
      </c>
      <c r="AP160" s="23" t="str">
        <f t="shared" si="53"/>
        <v/>
      </c>
      <c r="AQ160" s="23">
        <f t="shared" si="54"/>
        <v>0</v>
      </c>
      <c r="AR160" s="38">
        <f t="shared" si="39"/>
        <v>0</v>
      </c>
      <c r="AS160" s="38">
        <f t="shared" si="40"/>
        <v>0</v>
      </c>
      <c r="AT160" s="38">
        <f t="shared" si="41"/>
        <v>0</v>
      </c>
      <c r="AU160" s="33" t="str">
        <f t="shared" si="42"/>
        <v>库存为0</v>
      </c>
      <c r="AV160" s="39" t="str">
        <f>IFERROR(时间!$B$4+AU160,"上周无销量")</f>
        <v>上周无销量</v>
      </c>
    </row>
    <row r="161" spans="1:48">
      <c r="A161" s="35" t="s">
        <v>206</v>
      </c>
      <c r="B161" t="str">
        <f>VLOOKUP(A161,'[2]sku-asin（子）'!$A:$B,2,0)</f>
        <v>B074CWTLXY</v>
      </c>
      <c r="C161" t="str">
        <f>VLOOKUP(A161,'[2]子sku-父sku'!$A:$B,2,0)</f>
        <v>N31459Y</v>
      </c>
      <c r="D161" s="33">
        <f>IFERROR(VLOOKUP(A161,[3]库存报告使用数据处理!$A:$C,3,0),0)</f>
        <v>0</v>
      </c>
      <c r="E161" s="33">
        <f>IFERROR(VLOOKUP(A161,[3]库存报告使用数据处理!$A:$D,4,0),0)</f>
        <v>0</v>
      </c>
      <c r="F161" s="33">
        <f>IFERROR(VLOOKUP(A161,[3]库存报告使用数据处理!$A:$E,5,0),0)</f>
        <v>1</v>
      </c>
      <c r="G161" s="33">
        <f>IFERROR(VLOOKUP(A161,[3]库存报告使用数据处理!$A:$F,6,0),0)</f>
        <v>0</v>
      </c>
      <c r="H161" s="34">
        <f>IFERROR(VLOOKUP(A161,[3]库存报告使用数据处理!$A:$G,7,0),0)</f>
        <v>13.9</v>
      </c>
      <c r="I161">
        <f>IFERROR(VLOOKUP(A161,[4]数据处理!$A:$B,2,0),0)</f>
        <v>0</v>
      </c>
      <c r="J161" s="36">
        <f>IFERROR(VLOOKUP(A161,[4]数据处理!$A:$D,4,0),0)</f>
        <v>0</v>
      </c>
      <c r="K161" s="36">
        <f>IFERROR(VLOOKUP(A161,[4]数据处理!$A:$E,5,0),0)</f>
        <v>0</v>
      </c>
      <c r="L161" s="36">
        <f>IFERROR(VLOOKUP(A161,[4]数据处理!$A:$G,7,0),0)</f>
        <v>0</v>
      </c>
      <c r="M161">
        <f t="shared" si="38"/>
        <v>0</v>
      </c>
      <c r="N161">
        <f>IFERROR(VLOOKUP(A161,[4]数据处理!$A:$C,3,0),0)</f>
        <v>0</v>
      </c>
      <c r="O161">
        <f>IFERROR(VLOOKUP($A161,[4]数据处理!$A:$N,14,0),0)</f>
        <v>0</v>
      </c>
      <c r="P161">
        <f>IFERROR(VLOOKUP($A161,[5]库存使用数据!$A:$B,2,0),"")</f>
        <v>0</v>
      </c>
      <c r="Q161">
        <f>IFERROR(VLOOKUP($A161,[5]库存使用数据!$A:$E,5,0),"")</f>
        <v>0</v>
      </c>
      <c r="R161">
        <f>IFERROR(VLOOKUP($A161,[5]库存使用数据!$A:$H,8,0),"")</f>
        <v>9</v>
      </c>
      <c r="S161">
        <f>IFERROR(VLOOKUP($A161,[5]库存使用数据!$A:$K,11,0),"")</f>
        <v>75</v>
      </c>
      <c r="T161">
        <f>IFERROR(VLOOKUP($A161,[5]库存使用数据!$A:$C,3,0),"")</f>
        <v>0</v>
      </c>
      <c r="U161">
        <f>IFERROR(VLOOKUP($A161,[5]库存使用数据!$A:$F,6,0),"")</f>
        <v>0</v>
      </c>
      <c r="V161">
        <f>IFERROR(VLOOKUP($A161,[5]库存使用数据!$A:$I,9,0),"")</f>
        <v>0</v>
      </c>
      <c r="W161">
        <f>IFERROR(VLOOKUP($A161,[5]库存使用数据!$A:$L,12,0),"")</f>
        <v>1</v>
      </c>
      <c r="X161" s="23" t="str">
        <f t="shared" si="43"/>
        <v/>
      </c>
      <c r="Y161" s="23" t="str">
        <f t="shared" si="44"/>
        <v/>
      </c>
      <c r="Z161" s="23">
        <f t="shared" si="45"/>
        <v>0</v>
      </c>
      <c r="AA161" s="23">
        <f t="shared" si="46"/>
        <v>0.0133333333333333</v>
      </c>
      <c r="AB161">
        <f>IFERROR(VLOOKUP($A161,[5]库存使用数据!$A:$D,4,0),"")</f>
        <v>0</v>
      </c>
      <c r="AC161">
        <f>IFERROR(VLOOKUP($A161,[5]库存使用数据!$A:$G,7,0),"")</f>
        <v>0</v>
      </c>
      <c r="AD161">
        <f>IFERROR(VLOOKUP($A161,[5]库存使用数据!$A:$J,10,0),"")</f>
        <v>0</v>
      </c>
      <c r="AE161">
        <f>IFERROR(VLOOKUP($A161,[5]库存使用数据!$A:$M,13,0),"")</f>
        <v>0.52</v>
      </c>
      <c r="AF161" s="23" t="str">
        <f t="shared" si="47"/>
        <v/>
      </c>
      <c r="AG161" s="23" t="str">
        <f t="shared" si="48"/>
        <v/>
      </c>
      <c r="AH161" s="23" t="str">
        <f t="shared" si="49"/>
        <v/>
      </c>
      <c r="AI161" s="23" t="str">
        <f t="shared" si="50"/>
        <v>无销量广告费为0.52</v>
      </c>
      <c r="AJ161">
        <f>IFERROR(VLOOKUP($B161,[1]库存报告使用数据!$A$1:$B$65536,2,0),0)</f>
        <v>0</v>
      </c>
      <c r="AK161">
        <f>IFERROR(VLOOKUP($B161,[1]库存报告使用数据!$A$1:$C$65536,3,0),0)</f>
        <v>0</v>
      </c>
      <c r="AL161">
        <f>IFERROR(VLOOKUP($B161,[1]库存报告使用数据!$A$1:$D$65536,4,0),0)</f>
        <v>0</v>
      </c>
      <c r="AM161">
        <f>IFERROR(VLOOKUP($B161,[1]库存报告使用数据!$A$1:$E$65536,5,0),0)</f>
        <v>2</v>
      </c>
      <c r="AN161" s="23" t="str">
        <f t="shared" si="51"/>
        <v/>
      </c>
      <c r="AO161" s="23" t="str">
        <f t="shared" si="52"/>
        <v/>
      </c>
      <c r="AP161" s="23" t="str">
        <f t="shared" si="53"/>
        <v/>
      </c>
      <c r="AQ161" s="23">
        <f t="shared" si="54"/>
        <v>0</v>
      </c>
      <c r="AR161" s="38">
        <f t="shared" si="39"/>
        <v>0</v>
      </c>
      <c r="AS161" s="38">
        <f t="shared" si="40"/>
        <v>0</v>
      </c>
      <c r="AT161" s="38">
        <f t="shared" si="41"/>
        <v>0</v>
      </c>
      <c r="AU161" s="33" t="str">
        <f t="shared" si="42"/>
        <v>库存为0</v>
      </c>
      <c r="AV161" s="39" t="str">
        <f>IFERROR(时间!$B$4+AU161,"上周无销量")</f>
        <v>上周无销量</v>
      </c>
    </row>
    <row r="162" spans="1:48">
      <c r="A162" s="35" t="s">
        <v>207</v>
      </c>
      <c r="B162" t="str">
        <f>VLOOKUP(A162,'[2]sku-asin（子）'!$A:$B,2,0)</f>
        <v>B074CX7218</v>
      </c>
      <c r="C162" t="str">
        <f>VLOOKUP(A162,'[2]子sku-父sku'!$A:$B,2,0)</f>
        <v>N31459Y</v>
      </c>
      <c r="D162" s="33">
        <f>IFERROR(VLOOKUP(A162,[3]库存报告使用数据处理!$A:$C,3,0),0)</f>
        <v>0</v>
      </c>
      <c r="E162" s="33">
        <f>IFERROR(VLOOKUP(A162,[3]库存报告使用数据处理!$A:$D,4,0),0)</f>
        <v>0</v>
      </c>
      <c r="F162" s="33">
        <f>IFERROR(VLOOKUP(A162,[3]库存报告使用数据处理!$A:$E,5,0),0)</f>
        <v>0</v>
      </c>
      <c r="G162" s="33">
        <f>IFERROR(VLOOKUP(A162,[3]库存报告使用数据处理!$A:$F,6,0),0)</f>
        <v>0</v>
      </c>
      <c r="H162" s="34">
        <f>IFERROR(VLOOKUP(A162,[3]库存报告使用数据处理!$A:$G,7,0),0)</f>
        <v>0</v>
      </c>
      <c r="I162">
        <f>IFERROR(VLOOKUP(A162,[4]数据处理!$A:$B,2,0),0)</f>
        <v>2</v>
      </c>
      <c r="J162" s="36">
        <f>IFERROR(VLOOKUP(A162,[4]数据处理!$A:$D,4,0),0)</f>
        <v>0</v>
      </c>
      <c r="K162" s="36">
        <f>IFERROR(VLOOKUP(A162,[4]数据处理!$A:$E,5,0),0)</f>
        <v>0</v>
      </c>
      <c r="L162" s="36">
        <f>IFERROR(VLOOKUP(A162,[4]数据处理!$A:$G,7,0),0)</f>
        <v>0</v>
      </c>
      <c r="M162">
        <f t="shared" si="38"/>
        <v>2</v>
      </c>
      <c r="N162">
        <f>IFERROR(VLOOKUP(A162,[4]数据处理!$A:$C,3,0),0)</f>
        <v>0</v>
      </c>
      <c r="O162">
        <f>IFERROR(VLOOKUP($A162,[4]数据处理!$A:$N,14,0),0)</f>
        <v>2</v>
      </c>
      <c r="P162">
        <f>IFERROR(VLOOKUP($A162,[5]库存使用数据!$A:$B,2,0),"")</f>
        <v>3594</v>
      </c>
      <c r="Q162">
        <f>IFERROR(VLOOKUP($A162,[5]库存使用数据!$A:$E,5,0),"")</f>
        <v>3207</v>
      </c>
      <c r="R162">
        <f>IFERROR(VLOOKUP($A162,[5]库存使用数据!$A:$H,8,0),"")</f>
        <v>3112</v>
      </c>
      <c r="S162">
        <f>IFERROR(VLOOKUP($A162,[5]库存使用数据!$A:$K,11,0),"")</f>
        <v>2221</v>
      </c>
      <c r="T162">
        <f>IFERROR(VLOOKUP($A162,[5]库存使用数据!$A:$C,3,0),"")</f>
        <v>17</v>
      </c>
      <c r="U162">
        <f>IFERROR(VLOOKUP($A162,[5]库存使用数据!$A:$F,6,0),"")</f>
        <v>12</v>
      </c>
      <c r="V162">
        <f>IFERROR(VLOOKUP($A162,[5]库存使用数据!$A:$I,9,0),"")</f>
        <v>14</v>
      </c>
      <c r="W162">
        <f>IFERROR(VLOOKUP($A162,[5]库存使用数据!$A:$L,12,0),"")</f>
        <v>6</v>
      </c>
      <c r="X162" s="23">
        <f t="shared" si="43"/>
        <v>0.00473010573177518</v>
      </c>
      <c r="Y162" s="23">
        <f t="shared" si="44"/>
        <v>0.00374181478016838</v>
      </c>
      <c r="Z162" s="23">
        <f t="shared" si="45"/>
        <v>0.0044987146529563</v>
      </c>
      <c r="AA162" s="23">
        <f t="shared" si="46"/>
        <v>0.00270148581719946</v>
      </c>
      <c r="AB162">
        <f>IFERROR(VLOOKUP($A162,[5]库存使用数据!$A:$D,4,0),"")</f>
        <v>6.08</v>
      </c>
      <c r="AC162">
        <f>IFERROR(VLOOKUP($A162,[5]库存使用数据!$A:$G,7,0),"")</f>
        <v>4.53</v>
      </c>
      <c r="AD162">
        <f>IFERROR(VLOOKUP($A162,[5]库存使用数据!$A:$J,10,0),"")</f>
        <v>4.15</v>
      </c>
      <c r="AE162">
        <f>IFERROR(VLOOKUP($A162,[5]库存使用数据!$A:$M,13,0),"")</f>
        <v>2.58</v>
      </c>
      <c r="AF162" s="23" t="str">
        <f t="shared" si="47"/>
        <v>无销量广告费为6.08</v>
      </c>
      <c r="AG162" s="23" t="str">
        <f t="shared" si="48"/>
        <v>无销量广告费为4.53</v>
      </c>
      <c r="AH162" s="23" t="str">
        <f t="shared" si="49"/>
        <v>无销量广告费为4.15</v>
      </c>
      <c r="AI162" s="23" t="str">
        <f t="shared" si="50"/>
        <v>无销量广告费为2.58</v>
      </c>
      <c r="AJ162">
        <f>IFERROR(VLOOKUP($B162,[1]库存报告使用数据!$A$1:$B$65536,2,0),0)</f>
        <v>13</v>
      </c>
      <c r="AK162">
        <f>IFERROR(VLOOKUP($B162,[1]库存报告使用数据!$A$1:$C$65536,3,0),0)</f>
        <v>5</v>
      </c>
      <c r="AL162">
        <f>IFERROR(VLOOKUP($B162,[1]库存报告使用数据!$A$1:$D$65536,4,0),0)</f>
        <v>5</v>
      </c>
      <c r="AM162">
        <f>IFERROR(VLOOKUP($B162,[1]库存报告使用数据!$A$1:$E$65536,5,0),0)</f>
        <v>4</v>
      </c>
      <c r="AN162" s="23">
        <f t="shared" si="51"/>
        <v>0</v>
      </c>
      <c r="AO162" s="23">
        <f t="shared" si="52"/>
        <v>0</v>
      </c>
      <c r="AP162" s="23">
        <f t="shared" si="53"/>
        <v>0</v>
      </c>
      <c r="AQ162" s="23">
        <f t="shared" si="54"/>
        <v>0</v>
      </c>
      <c r="AR162" s="38">
        <f t="shared" si="39"/>
        <v>0</v>
      </c>
      <c r="AS162" s="38">
        <f t="shared" si="40"/>
        <v>0</v>
      </c>
      <c r="AT162" s="38">
        <f t="shared" si="41"/>
        <v>2</v>
      </c>
      <c r="AU162" s="33" t="str">
        <f t="shared" si="42"/>
        <v>库存为2</v>
      </c>
      <c r="AV162" s="39" t="str">
        <f>IFERROR(时间!$B$4+AU162,"上周无销量")</f>
        <v>上周无销量</v>
      </c>
    </row>
    <row r="163" spans="1:48">
      <c r="A163" s="35" t="s">
        <v>208</v>
      </c>
      <c r="B163" t="str">
        <f>VLOOKUP(A163,'[2]sku-asin（子）'!$A:$B,2,0)</f>
        <v>B074CXMS2N</v>
      </c>
      <c r="C163" t="str">
        <f>VLOOKUP(A163,'[2]子sku-父sku'!$A:$B,2,0)</f>
        <v>N31459Y</v>
      </c>
      <c r="D163" s="33">
        <f>IFERROR(VLOOKUP(A163,[3]库存报告使用数据处理!$A:$C,3,0),0)</f>
        <v>0</v>
      </c>
      <c r="E163" s="33">
        <f>IFERROR(VLOOKUP(A163,[3]库存报告使用数据处理!$A:$D,4,0),0)</f>
        <v>1</v>
      </c>
      <c r="F163" s="33">
        <f>IFERROR(VLOOKUP(A163,[3]库存报告使用数据处理!$A:$E,5,0),0)</f>
        <v>1</v>
      </c>
      <c r="G163" s="33">
        <f>IFERROR(VLOOKUP(A163,[3]库存报告使用数据处理!$A:$F,6,0),0)</f>
        <v>0</v>
      </c>
      <c r="H163" s="34">
        <f>IFERROR(VLOOKUP(A163,[3]库存报告使用数据处理!$A:$G,7,0),0)</f>
        <v>13.9</v>
      </c>
      <c r="I163">
        <f>IFERROR(VLOOKUP(A163,[4]数据处理!$A:$B,2,0),0)</f>
        <v>0</v>
      </c>
      <c r="J163" s="36">
        <f>IFERROR(VLOOKUP(A163,[4]数据处理!$A:$D,4,0),0)</f>
        <v>0</v>
      </c>
      <c r="K163" s="36">
        <f>IFERROR(VLOOKUP(A163,[4]数据处理!$A:$E,5,0),0)</f>
        <v>0</v>
      </c>
      <c r="L163" s="36">
        <f>IFERROR(VLOOKUP(A163,[4]数据处理!$A:$G,7,0),0)</f>
        <v>0</v>
      </c>
      <c r="M163">
        <f t="shared" si="38"/>
        <v>0</v>
      </c>
      <c r="N163">
        <f>IFERROR(VLOOKUP(A163,[4]数据处理!$A:$C,3,0),0)</f>
        <v>0</v>
      </c>
      <c r="O163">
        <f>IFERROR(VLOOKUP($A163,[4]数据处理!$A:$N,14,0),0)</f>
        <v>0</v>
      </c>
      <c r="P163">
        <f>IFERROR(VLOOKUP($A163,[5]库存使用数据!$A:$B,2,0),"")</f>
        <v>0</v>
      </c>
      <c r="Q163">
        <f>IFERROR(VLOOKUP($A163,[5]库存使用数据!$A:$E,5,0),"")</f>
        <v>38</v>
      </c>
      <c r="R163">
        <f>IFERROR(VLOOKUP($A163,[5]库存使用数据!$A:$H,8,0),"")</f>
        <v>107</v>
      </c>
      <c r="S163">
        <f>IFERROR(VLOOKUP($A163,[5]库存使用数据!$A:$K,11,0),"")</f>
        <v>72</v>
      </c>
      <c r="T163">
        <f>IFERROR(VLOOKUP($A163,[5]库存使用数据!$A:$C,3,0),"")</f>
        <v>0</v>
      </c>
      <c r="U163">
        <f>IFERROR(VLOOKUP($A163,[5]库存使用数据!$A:$F,6,0),"")</f>
        <v>1</v>
      </c>
      <c r="V163">
        <f>IFERROR(VLOOKUP($A163,[5]库存使用数据!$A:$I,9,0),"")</f>
        <v>1</v>
      </c>
      <c r="W163">
        <f>IFERROR(VLOOKUP($A163,[5]库存使用数据!$A:$L,12,0),"")</f>
        <v>0</v>
      </c>
      <c r="X163" s="23" t="str">
        <f t="shared" si="43"/>
        <v/>
      </c>
      <c r="Y163" s="23">
        <f t="shared" si="44"/>
        <v>0.0263157894736842</v>
      </c>
      <c r="Z163" s="23">
        <f t="shared" si="45"/>
        <v>0.00934579439252336</v>
      </c>
      <c r="AA163" s="23">
        <f t="shared" si="46"/>
        <v>0</v>
      </c>
      <c r="AB163">
        <f>IFERROR(VLOOKUP($A163,[5]库存使用数据!$A:$D,4,0),"")</f>
        <v>0</v>
      </c>
      <c r="AC163">
        <f>IFERROR(VLOOKUP($A163,[5]库存使用数据!$A:$G,7,0),"")</f>
        <v>0.51</v>
      </c>
      <c r="AD163">
        <f>IFERROR(VLOOKUP($A163,[5]库存使用数据!$A:$J,10,0),"")</f>
        <v>0.69</v>
      </c>
      <c r="AE163">
        <f>IFERROR(VLOOKUP($A163,[5]库存使用数据!$A:$M,13,0),"")</f>
        <v>0</v>
      </c>
      <c r="AF163" s="23" t="str">
        <f t="shared" si="47"/>
        <v/>
      </c>
      <c r="AG163" s="23">
        <f t="shared" si="48"/>
        <v>0.0366906474820144</v>
      </c>
      <c r="AH163" s="23">
        <f t="shared" si="49"/>
        <v>0.0496402877697842</v>
      </c>
      <c r="AI163" s="23" t="str">
        <f t="shared" si="50"/>
        <v/>
      </c>
      <c r="AJ163">
        <f>IFERROR(VLOOKUP($B163,[1]库存报告使用数据!$A$1:$B$65536,2,0),0)</f>
        <v>0</v>
      </c>
      <c r="AK163">
        <f>IFERROR(VLOOKUP($B163,[1]库存报告使用数据!$A$1:$C$65536,3,0),0)</f>
        <v>2</v>
      </c>
      <c r="AL163">
        <f>IFERROR(VLOOKUP($B163,[1]库存报告使用数据!$A$1:$D$65536,4,0),0)</f>
        <v>3</v>
      </c>
      <c r="AM163">
        <f>IFERROR(VLOOKUP($B163,[1]库存报告使用数据!$A$1:$E$65536,5,0),0)</f>
        <v>1</v>
      </c>
      <c r="AN163" s="23" t="str">
        <f t="shared" si="51"/>
        <v/>
      </c>
      <c r="AO163" s="23">
        <f t="shared" si="52"/>
        <v>0.5</v>
      </c>
      <c r="AP163" s="23">
        <f t="shared" si="53"/>
        <v>0.333333333333333</v>
      </c>
      <c r="AQ163" s="23">
        <f t="shared" si="54"/>
        <v>0</v>
      </c>
      <c r="AR163" s="38">
        <f t="shared" si="39"/>
        <v>0</v>
      </c>
      <c r="AS163" s="38">
        <f t="shared" si="40"/>
        <v>0</v>
      </c>
      <c r="AT163" s="38">
        <f t="shared" si="41"/>
        <v>0</v>
      </c>
      <c r="AU163" s="33" t="str">
        <f t="shared" si="42"/>
        <v>库存为0</v>
      </c>
      <c r="AV163" s="39" t="str">
        <f>IFERROR(时间!$B$4+AU163,"上周无销量")</f>
        <v>上周无销量</v>
      </c>
    </row>
    <row r="164" spans="1:48">
      <c r="A164" s="35" t="s">
        <v>209</v>
      </c>
      <c r="B164" t="str">
        <f>VLOOKUP(A164,'[2]sku-asin（子）'!$A:$B,2,0)</f>
        <v>B074CW3HDD</v>
      </c>
      <c r="C164" t="str">
        <f>VLOOKUP(A164,'[2]子sku-父sku'!$A:$B,2,0)</f>
        <v>N3818-2Y</v>
      </c>
      <c r="D164" s="33">
        <f>IFERROR(VLOOKUP(A164,[3]库存报告使用数据处理!$A:$C,3,0),0)</f>
        <v>0</v>
      </c>
      <c r="E164" s="33">
        <f>IFERROR(VLOOKUP(A164,[3]库存报告使用数据处理!$A:$D,4,0),0)</f>
        <v>1</v>
      </c>
      <c r="F164" s="33">
        <f>IFERROR(VLOOKUP(A164,[3]库存报告使用数据处理!$A:$E,5,0),0)</f>
        <v>0</v>
      </c>
      <c r="G164" s="33">
        <f>IFERROR(VLOOKUP(A164,[3]库存报告使用数据处理!$A:$F,6,0),0)</f>
        <v>0</v>
      </c>
      <c r="H164" s="34">
        <f>IFERROR(VLOOKUP(A164,[3]库存报告使用数据处理!$A:$G,7,0),0)</f>
        <v>9.21</v>
      </c>
      <c r="I164">
        <f>IFERROR(VLOOKUP(A164,[4]数据处理!$A:$B,2,0),0)</f>
        <v>34</v>
      </c>
      <c r="J164" s="36">
        <f>IFERROR(VLOOKUP(A164,[4]数据处理!$A:$D,4,0),0)</f>
        <v>0</v>
      </c>
      <c r="K164" s="36">
        <f>IFERROR(VLOOKUP(A164,[4]数据处理!$A:$E,5,0),0)</f>
        <v>0</v>
      </c>
      <c r="L164" s="36">
        <f>IFERROR(VLOOKUP(A164,[4]数据处理!$A:$G,7,0),0)</f>
        <v>0</v>
      </c>
      <c r="M164">
        <f t="shared" si="38"/>
        <v>34</v>
      </c>
      <c r="N164">
        <f>IFERROR(VLOOKUP(A164,[4]数据处理!$A:$C,3,0),0)</f>
        <v>0</v>
      </c>
      <c r="O164">
        <f>IFERROR(VLOOKUP($A164,[4]数据处理!$A:$N,14,0),0)</f>
        <v>34</v>
      </c>
      <c r="P164">
        <f>IFERROR(VLOOKUP($A164,[5]库存使用数据!$A:$B,2,0),"")</f>
        <v>535</v>
      </c>
      <c r="Q164">
        <f>IFERROR(VLOOKUP($A164,[5]库存使用数据!$A:$E,5,0),"")</f>
        <v>556</v>
      </c>
      <c r="R164">
        <f>IFERROR(VLOOKUP($A164,[5]库存使用数据!$A:$H,8,0),"")</f>
        <v>516</v>
      </c>
      <c r="S164">
        <f>IFERROR(VLOOKUP($A164,[5]库存使用数据!$A:$K,11,0),"")</f>
        <v>861</v>
      </c>
      <c r="T164">
        <f>IFERROR(VLOOKUP($A164,[5]库存使用数据!$A:$C,3,0),"")</f>
        <v>6</v>
      </c>
      <c r="U164">
        <f>IFERROR(VLOOKUP($A164,[5]库存使用数据!$A:$F,6,0),"")</f>
        <v>1</v>
      </c>
      <c r="V164">
        <f>IFERROR(VLOOKUP($A164,[5]库存使用数据!$A:$I,9,0),"")</f>
        <v>5</v>
      </c>
      <c r="W164">
        <f>IFERROR(VLOOKUP($A164,[5]库存使用数据!$A:$L,12,0),"")</f>
        <v>5</v>
      </c>
      <c r="X164" s="23">
        <f t="shared" si="43"/>
        <v>0.011214953271028</v>
      </c>
      <c r="Y164" s="23">
        <f t="shared" si="44"/>
        <v>0.00179856115107914</v>
      </c>
      <c r="Z164" s="23">
        <f t="shared" si="45"/>
        <v>0.00968992248062015</v>
      </c>
      <c r="AA164" s="23">
        <f t="shared" si="46"/>
        <v>0.00580720092915215</v>
      </c>
      <c r="AB164">
        <f>IFERROR(VLOOKUP($A164,[5]库存使用数据!$A:$D,4,0),"")</f>
        <v>2.54</v>
      </c>
      <c r="AC164">
        <f>IFERROR(VLOOKUP($A164,[5]库存使用数据!$A:$G,7,0),"")</f>
        <v>0.41</v>
      </c>
      <c r="AD164">
        <f>IFERROR(VLOOKUP($A164,[5]库存使用数据!$A:$J,10,0),"")</f>
        <v>2.17</v>
      </c>
      <c r="AE164">
        <f>IFERROR(VLOOKUP($A164,[5]库存使用数据!$A:$M,13,0),"")</f>
        <v>1.96</v>
      </c>
      <c r="AF164" s="23" t="str">
        <f t="shared" si="47"/>
        <v>无销量广告费为2.54</v>
      </c>
      <c r="AG164" s="23">
        <f t="shared" si="48"/>
        <v>0.0445168295331162</v>
      </c>
      <c r="AH164" s="23" t="str">
        <f t="shared" si="49"/>
        <v>无销量广告费为2.17</v>
      </c>
      <c r="AI164" s="23" t="str">
        <f t="shared" si="50"/>
        <v>无销量广告费为1.96</v>
      </c>
      <c r="AJ164">
        <f>IFERROR(VLOOKUP($B164,[1]库存报告使用数据!$A$1:$B$65536,2,0),0)</f>
        <v>2</v>
      </c>
      <c r="AK164">
        <f>IFERROR(VLOOKUP($B164,[1]库存报告使用数据!$A$1:$C$65536,3,0),0)</f>
        <v>10</v>
      </c>
      <c r="AL164">
        <f>IFERROR(VLOOKUP($B164,[1]库存报告使用数据!$A$1:$D$65536,4,0),0)</f>
        <v>3</v>
      </c>
      <c r="AM164">
        <f>IFERROR(VLOOKUP($B164,[1]库存报告使用数据!$A$1:$E$65536,5,0),0)</f>
        <v>2</v>
      </c>
      <c r="AN164" s="23">
        <f t="shared" si="51"/>
        <v>0</v>
      </c>
      <c r="AO164" s="23">
        <f t="shared" si="52"/>
        <v>0.1</v>
      </c>
      <c r="AP164" s="23">
        <f t="shared" si="53"/>
        <v>0</v>
      </c>
      <c r="AQ164" s="23">
        <f t="shared" si="54"/>
        <v>0</v>
      </c>
      <c r="AR164" s="38">
        <f t="shared" si="39"/>
        <v>0</v>
      </c>
      <c r="AS164" s="38">
        <f t="shared" si="40"/>
        <v>0</v>
      </c>
      <c r="AT164" s="38">
        <f t="shared" si="41"/>
        <v>34</v>
      </c>
      <c r="AU164" s="33" t="str">
        <f t="shared" si="42"/>
        <v>库存为34</v>
      </c>
      <c r="AV164" s="39" t="str">
        <f>IFERROR(时间!$B$4+AU164,"上周无销量")</f>
        <v>上周无销量</v>
      </c>
    </row>
    <row r="165" spans="1:48">
      <c r="A165" s="35" t="s">
        <v>210</v>
      </c>
      <c r="B165" t="str">
        <f>VLOOKUP(A165,'[2]sku-asin（子）'!$A:$B,2,0)</f>
        <v>B074CW3JWV</v>
      </c>
      <c r="C165" t="str">
        <f>VLOOKUP(A165,'[2]子sku-父sku'!$A:$B,2,0)</f>
        <v>N3818-2Y</v>
      </c>
      <c r="D165" s="33">
        <f>IFERROR(VLOOKUP(A165,[3]库存报告使用数据处理!$A:$C,3,0),0)</f>
        <v>0</v>
      </c>
      <c r="E165" s="33">
        <f>IFERROR(VLOOKUP(A165,[3]库存报告使用数据处理!$A:$D,4,0),0)</f>
        <v>0</v>
      </c>
      <c r="F165" s="33">
        <f>IFERROR(VLOOKUP(A165,[3]库存报告使用数据处理!$A:$E,5,0),0)</f>
        <v>0</v>
      </c>
      <c r="G165" s="33">
        <f>IFERROR(VLOOKUP(A165,[3]库存报告使用数据处理!$A:$F,6,0),0)</f>
        <v>0</v>
      </c>
      <c r="H165" s="34">
        <f>IFERROR(VLOOKUP(A165,[3]库存报告使用数据处理!$A:$G,7,0),0)</f>
        <v>0</v>
      </c>
      <c r="I165">
        <f>IFERROR(VLOOKUP(A165,[4]数据处理!$A:$B,2,0),0)</f>
        <v>22</v>
      </c>
      <c r="J165" s="36">
        <f>IFERROR(VLOOKUP(A165,[4]数据处理!$A:$D,4,0),0)</f>
        <v>0</v>
      </c>
      <c r="K165" s="36">
        <f>IFERROR(VLOOKUP(A165,[4]数据处理!$A:$E,5,0),0)</f>
        <v>0</v>
      </c>
      <c r="L165" s="36">
        <f>IFERROR(VLOOKUP(A165,[4]数据处理!$A:$G,7,0),0)</f>
        <v>0</v>
      </c>
      <c r="M165">
        <f t="shared" si="38"/>
        <v>22</v>
      </c>
      <c r="N165">
        <f>IFERROR(VLOOKUP(A165,[4]数据处理!$A:$C,3,0),0)</f>
        <v>0</v>
      </c>
      <c r="O165">
        <f>IFERROR(VLOOKUP($A165,[4]数据处理!$A:$N,14,0),0)</f>
        <v>22</v>
      </c>
      <c r="P165">
        <f>IFERROR(VLOOKUP($A165,[5]库存使用数据!$A:$B,2,0),"")</f>
        <v>91</v>
      </c>
      <c r="Q165">
        <f>IFERROR(VLOOKUP($A165,[5]库存使用数据!$A:$E,5,0),"")</f>
        <v>170</v>
      </c>
      <c r="R165">
        <f>IFERROR(VLOOKUP($A165,[5]库存使用数据!$A:$H,8,0),"")</f>
        <v>113</v>
      </c>
      <c r="S165">
        <f>IFERROR(VLOOKUP($A165,[5]库存使用数据!$A:$K,11,0),"")</f>
        <v>71</v>
      </c>
      <c r="T165">
        <f>IFERROR(VLOOKUP($A165,[5]库存使用数据!$A:$C,3,0),"")</f>
        <v>0</v>
      </c>
      <c r="U165">
        <f>IFERROR(VLOOKUP($A165,[5]库存使用数据!$A:$F,6,0),"")</f>
        <v>2</v>
      </c>
      <c r="V165">
        <f>IFERROR(VLOOKUP($A165,[5]库存使用数据!$A:$I,9,0),"")</f>
        <v>0</v>
      </c>
      <c r="W165">
        <f>IFERROR(VLOOKUP($A165,[5]库存使用数据!$A:$L,12,0),"")</f>
        <v>0</v>
      </c>
      <c r="X165" s="23">
        <f t="shared" si="43"/>
        <v>0</v>
      </c>
      <c r="Y165" s="23">
        <f t="shared" si="44"/>
        <v>0.0117647058823529</v>
      </c>
      <c r="Z165" s="23">
        <f t="shared" si="45"/>
        <v>0</v>
      </c>
      <c r="AA165" s="23">
        <f t="shared" si="46"/>
        <v>0</v>
      </c>
      <c r="AB165">
        <f>IFERROR(VLOOKUP($A165,[5]库存使用数据!$A:$D,4,0),"")</f>
        <v>0</v>
      </c>
      <c r="AC165">
        <f>IFERROR(VLOOKUP($A165,[5]库存使用数据!$A:$G,7,0),"")</f>
        <v>0.54</v>
      </c>
      <c r="AD165">
        <f>IFERROR(VLOOKUP($A165,[5]库存使用数据!$A:$J,10,0),"")</f>
        <v>0</v>
      </c>
      <c r="AE165">
        <f>IFERROR(VLOOKUP($A165,[5]库存使用数据!$A:$M,13,0),"")</f>
        <v>0</v>
      </c>
      <c r="AF165" s="23" t="str">
        <f t="shared" si="47"/>
        <v/>
      </c>
      <c r="AG165" s="23" t="str">
        <f t="shared" si="48"/>
        <v>无销量广告费为0.54</v>
      </c>
      <c r="AH165" s="23" t="str">
        <f t="shared" si="49"/>
        <v/>
      </c>
      <c r="AI165" s="23" t="str">
        <f t="shared" si="50"/>
        <v/>
      </c>
      <c r="AJ165">
        <f>IFERROR(VLOOKUP($B165,[1]库存报告使用数据!$A$1:$B$65536,2,0),0)</f>
        <v>1</v>
      </c>
      <c r="AK165">
        <f>IFERROR(VLOOKUP($B165,[1]库存报告使用数据!$A$1:$C$65536,3,0),0)</f>
        <v>5</v>
      </c>
      <c r="AL165">
        <f>IFERROR(VLOOKUP($B165,[1]库存报告使用数据!$A$1:$D$65536,4,0),0)</f>
        <v>3</v>
      </c>
      <c r="AM165">
        <f>IFERROR(VLOOKUP($B165,[1]库存报告使用数据!$A$1:$E$65536,5,0),0)</f>
        <v>4</v>
      </c>
      <c r="AN165" s="23">
        <f t="shared" si="51"/>
        <v>0</v>
      </c>
      <c r="AO165" s="23">
        <f t="shared" si="52"/>
        <v>0</v>
      </c>
      <c r="AP165" s="23">
        <f t="shared" si="53"/>
        <v>0</v>
      </c>
      <c r="AQ165" s="23">
        <f t="shared" si="54"/>
        <v>0</v>
      </c>
      <c r="AR165" s="38">
        <f t="shared" si="39"/>
        <v>0</v>
      </c>
      <c r="AS165" s="38">
        <f t="shared" si="40"/>
        <v>0</v>
      </c>
      <c r="AT165" s="38">
        <f t="shared" si="41"/>
        <v>22</v>
      </c>
      <c r="AU165" s="33" t="str">
        <f t="shared" si="42"/>
        <v>库存为22</v>
      </c>
      <c r="AV165" s="39" t="str">
        <f>IFERROR(时间!$B$4+AU165,"上周无销量")</f>
        <v>上周无销量</v>
      </c>
    </row>
    <row r="166" spans="1:48">
      <c r="A166" s="35" t="s">
        <v>211</v>
      </c>
      <c r="B166" t="str">
        <f>VLOOKUP(A166,'[2]sku-asin（子）'!$A:$B,2,0)</f>
        <v>B074CW4J9M</v>
      </c>
      <c r="C166" t="str">
        <f>VLOOKUP(A166,'[2]子sku-父sku'!$A:$B,2,0)</f>
        <v>N3818-2Y</v>
      </c>
      <c r="D166" s="33">
        <f>IFERROR(VLOOKUP(A166,[3]库存报告使用数据处理!$A:$C,3,0),0)</f>
        <v>0</v>
      </c>
      <c r="E166" s="33">
        <f>IFERROR(VLOOKUP(A166,[3]库存报告使用数据处理!$A:$D,4,0),0)</f>
        <v>0</v>
      </c>
      <c r="F166" s="33">
        <f>IFERROR(VLOOKUP(A166,[3]库存报告使用数据处理!$A:$E,5,0),0)</f>
        <v>0</v>
      </c>
      <c r="G166" s="33">
        <f>IFERROR(VLOOKUP(A166,[3]库存报告使用数据处理!$A:$F,6,0),0)</f>
        <v>0</v>
      </c>
      <c r="H166" s="34">
        <f>IFERROR(VLOOKUP(A166,[3]库存报告使用数据处理!$A:$G,7,0),0)</f>
        <v>0</v>
      </c>
      <c r="I166">
        <f>IFERROR(VLOOKUP(A166,[4]数据处理!$A:$B,2,0),0)</f>
        <v>48</v>
      </c>
      <c r="J166" s="36">
        <f>IFERROR(VLOOKUP(A166,[4]数据处理!$A:$D,4,0),0)</f>
        <v>0</v>
      </c>
      <c r="K166" s="36">
        <f>IFERROR(VLOOKUP(A166,[4]数据处理!$A:$E,5,0),0)</f>
        <v>0</v>
      </c>
      <c r="L166" s="36">
        <f>IFERROR(VLOOKUP(A166,[4]数据处理!$A:$G,7,0),0)</f>
        <v>0</v>
      </c>
      <c r="M166">
        <f t="shared" si="38"/>
        <v>48</v>
      </c>
      <c r="N166">
        <f>IFERROR(VLOOKUP(A166,[4]数据处理!$A:$C,3,0),0)</f>
        <v>0</v>
      </c>
      <c r="O166">
        <f>IFERROR(VLOOKUP($A166,[4]数据处理!$A:$N,14,0),0)</f>
        <v>48</v>
      </c>
      <c r="P166">
        <f>IFERROR(VLOOKUP($A166,[5]库存使用数据!$A:$B,2,0),"")</f>
        <v>200</v>
      </c>
      <c r="Q166">
        <f>IFERROR(VLOOKUP($A166,[5]库存使用数据!$A:$E,5,0),"")</f>
        <v>214</v>
      </c>
      <c r="R166">
        <f>IFERROR(VLOOKUP($A166,[5]库存使用数据!$A:$H,8,0),"")</f>
        <v>109</v>
      </c>
      <c r="S166">
        <f>IFERROR(VLOOKUP($A166,[5]库存使用数据!$A:$K,11,0),"")</f>
        <v>113</v>
      </c>
      <c r="T166">
        <f>IFERROR(VLOOKUP($A166,[5]库存使用数据!$A:$C,3,0),"")</f>
        <v>0</v>
      </c>
      <c r="U166">
        <f>IFERROR(VLOOKUP($A166,[5]库存使用数据!$A:$F,6,0),"")</f>
        <v>0</v>
      </c>
      <c r="V166">
        <f>IFERROR(VLOOKUP($A166,[5]库存使用数据!$A:$I,9,0),"")</f>
        <v>1</v>
      </c>
      <c r="W166">
        <f>IFERROR(VLOOKUP($A166,[5]库存使用数据!$A:$L,12,0),"")</f>
        <v>1</v>
      </c>
      <c r="X166" s="23">
        <f t="shared" si="43"/>
        <v>0</v>
      </c>
      <c r="Y166" s="23">
        <f t="shared" si="44"/>
        <v>0</v>
      </c>
      <c r="Z166" s="23">
        <f t="shared" si="45"/>
        <v>0.00917431192660551</v>
      </c>
      <c r="AA166" s="23">
        <f t="shared" si="46"/>
        <v>0.00884955752212389</v>
      </c>
      <c r="AB166">
        <f>IFERROR(VLOOKUP($A166,[5]库存使用数据!$A:$D,4,0),"")</f>
        <v>0</v>
      </c>
      <c r="AC166">
        <f>IFERROR(VLOOKUP($A166,[5]库存使用数据!$A:$G,7,0),"")</f>
        <v>0</v>
      </c>
      <c r="AD166">
        <f>IFERROR(VLOOKUP($A166,[5]库存使用数据!$A:$J,10,0),"")</f>
        <v>0.69</v>
      </c>
      <c r="AE166">
        <f>IFERROR(VLOOKUP($A166,[5]库存使用数据!$A:$M,13,0),"")</f>
        <v>0.74</v>
      </c>
      <c r="AF166" s="23" t="str">
        <f t="shared" si="47"/>
        <v/>
      </c>
      <c r="AG166" s="23" t="str">
        <f t="shared" si="48"/>
        <v/>
      </c>
      <c r="AH166" s="23" t="str">
        <f t="shared" si="49"/>
        <v>无销量广告费为0.69</v>
      </c>
      <c r="AI166" s="23" t="str">
        <f t="shared" si="50"/>
        <v>无销量广告费为0.74</v>
      </c>
      <c r="AJ166">
        <f>IFERROR(VLOOKUP($B166,[1]库存报告使用数据!$A$1:$B$65536,2,0),0)</f>
        <v>5</v>
      </c>
      <c r="AK166">
        <f>IFERROR(VLOOKUP($B166,[1]库存报告使用数据!$A$1:$C$65536,3,0),0)</f>
        <v>5</v>
      </c>
      <c r="AL166">
        <f>IFERROR(VLOOKUP($B166,[1]库存报告使用数据!$A$1:$D$65536,4,0),0)</f>
        <v>1</v>
      </c>
      <c r="AM166">
        <f>IFERROR(VLOOKUP($B166,[1]库存报告使用数据!$A$1:$E$65536,5,0),0)</f>
        <v>2</v>
      </c>
      <c r="AN166" s="23">
        <f t="shared" si="51"/>
        <v>0</v>
      </c>
      <c r="AO166" s="23">
        <f t="shared" si="52"/>
        <v>0</v>
      </c>
      <c r="AP166" s="23">
        <f t="shared" si="53"/>
        <v>0</v>
      </c>
      <c r="AQ166" s="23">
        <f t="shared" si="54"/>
        <v>0</v>
      </c>
      <c r="AR166" s="38">
        <f t="shared" si="39"/>
        <v>0</v>
      </c>
      <c r="AS166" s="38">
        <f t="shared" si="40"/>
        <v>0</v>
      </c>
      <c r="AT166" s="38">
        <f t="shared" si="41"/>
        <v>48</v>
      </c>
      <c r="AU166" s="33" t="str">
        <f t="shared" si="42"/>
        <v>库存为48</v>
      </c>
      <c r="AV166" s="39" t="str">
        <f>IFERROR(时间!$B$4+AU166,"上周无销量")</f>
        <v>上周无销量</v>
      </c>
    </row>
    <row r="167" spans="1:48">
      <c r="A167" s="35" t="s">
        <v>212</v>
      </c>
      <c r="B167" t="str">
        <f>VLOOKUP(A167,'[2]sku-asin（子）'!$A:$B,2,0)</f>
        <v>B074CWWB41</v>
      </c>
      <c r="C167" t="str">
        <f>VLOOKUP(A167,'[2]子sku-父sku'!$A:$B,2,0)</f>
        <v>N3818-2Y</v>
      </c>
      <c r="D167" s="33">
        <f>IFERROR(VLOOKUP(A167,[3]库存报告使用数据处理!$A:$C,3,0),0)</f>
        <v>0</v>
      </c>
      <c r="E167" s="33">
        <f>IFERROR(VLOOKUP(A167,[3]库存报告使用数据处理!$A:$D,4,0),0)</f>
        <v>1</v>
      </c>
      <c r="F167" s="33">
        <f>IFERROR(VLOOKUP(A167,[3]库存报告使用数据处理!$A:$E,5,0),0)</f>
        <v>1</v>
      </c>
      <c r="G167" s="33">
        <f>IFERROR(VLOOKUP(A167,[3]库存报告使用数据处理!$A:$F,6,0),0)</f>
        <v>0</v>
      </c>
      <c r="H167" s="34">
        <f>IFERROR(VLOOKUP(A167,[3]库存报告使用数据处理!$A:$G,7,0),0)</f>
        <v>8.86</v>
      </c>
      <c r="I167">
        <f>IFERROR(VLOOKUP(A167,[4]数据处理!$A:$B,2,0),0)</f>
        <v>41</v>
      </c>
      <c r="J167" s="36">
        <f>IFERROR(VLOOKUP(A167,[4]数据处理!$A:$D,4,0),0)</f>
        <v>0</v>
      </c>
      <c r="K167" s="36">
        <f>IFERROR(VLOOKUP(A167,[4]数据处理!$A:$E,5,0),0)</f>
        <v>0</v>
      </c>
      <c r="L167" s="36">
        <f>IFERROR(VLOOKUP(A167,[4]数据处理!$A:$G,7,0),0)</f>
        <v>0</v>
      </c>
      <c r="M167">
        <f t="shared" si="38"/>
        <v>41</v>
      </c>
      <c r="N167">
        <f>IFERROR(VLOOKUP(A167,[4]数据处理!$A:$C,3,0),0)</f>
        <v>0</v>
      </c>
      <c r="O167">
        <f>IFERROR(VLOOKUP($A167,[4]数据处理!$A:$N,14,0),0)</f>
        <v>41</v>
      </c>
      <c r="P167">
        <f>IFERROR(VLOOKUP($A167,[5]库存使用数据!$A:$B,2,0),"")</f>
        <v>275</v>
      </c>
      <c r="Q167">
        <f>IFERROR(VLOOKUP($A167,[5]库存使用数据!$A:$E,5,0),"")</f>
        <v>348</v>
      </c>
      <c r="R167">
        <f>IFERROR(VLOOKUP($A167,[5]库存使用数据!$A:$H,8,0),"")</f>
        <v>395</v>
      </c>
      <c r="S167">
        <f>IFERROR(VLOOKUP($A167,[5]库存使用数据!$A:$K,11,0),"")</f>
        <v>660</v>
      </c>
      <c r="T167">
        <f>IFERROR(VLOOKUP($A167,[5]库存使用数据!$A:$C,3,0),"")</f>
        <v>2</v>
      </c>
      <c r="U167">
        <f>IFERROR(VLOOKUP($A167,[5]库存使用数据!$A:$F,6,0),"")</f>
        <v>1</v>
      </c>
      <c r="V167">
        <f>IFERROR(VLOOKUP($A167,[5]库存使用数据!$A:$I,9,0),"")</f>
        <v>3</v>
      </c>
      <c r="W167">
        <f>IFERROR(VLOOKUP($A167,[5]库存使用数据!$A:$L,12,0),"")</f>
        <v>2</v>
      </c>
      <c r="X167" s="23">
        <f t="shared" si="43"/>
        <v>0.00727272727272727</v>
      </c>
      <c r="Y167" s="23">
        <f t="shared" si="44"/>
        <v>0.0028735632183908</v>
      </c>
      <c r="Z167" s="23">
        <f t="shared" si="45"/>
        <v>0.00759493670886076</v>
      </c>
      <c r="AA167" s="23">
        <f t="shared" si="46"/>
        <v>0.00303030303030303</v>
      </c>
      <c r="AB167">
        <f>IFERROR(VLOOKUP($A167,[5]库存使用数据!$A:$D,4,0),"")</f>
        <v>0.54</v>
      </c>
      <c r="AC167">
        <f>IFERROR(VLOOKUP($A167,[5]库存使用数据!$A:$G,7,0),"")</f>
        <v>0.7</v>
      </c>
      <c r="AD167">
        <f>IFERROR(VLOOKUP($A167,[5]库存使用数据!$A:$J,10,0),"")</f>
        <v>1.57</v>
      </c>
      <c r="AE167">
        <f>IFERROR(VLOOKUP($A167,[5]库存使用数据!$A:$M,13,0),"")</f>
        <v>0.9</v>
      </c>
      <c r="AF167" s="23" t="str">
        <f t="shared" si="47"/>
        <v>无销量广告费为0.54</v>
      </c>
      <c r="AG167" s="23">
        <f t="shared" si="48"/>
        <v>0.0790067720090293</v>
      </c>
      <c r="AH167" s="23">
        <f t="shared" si="49"/>
        <v>0.177200902934537</v>
      </c>
      <c r="AI167" s="23" t="str">
        <f t="shared" si="50"/>
        <v>无销量广告费为0.9</v>
      </c>
      <c r="AJ167">
        <f>IFERROR(VLOOKUP($B167,[1]库存报告使用数据!$A$1:$B$65536,2,0),0)</f>
        <v>2</v>
      </c>
      <c r="AK167">
        <f>IFERROR(VLOOKUP($B167,[1]库存报告使用数据!$A$1:$C$65536,3,0),0)</f>
        <v>5</v>
      </c>
      <c r="AL167">
        <f>IFERROR(VLOOKUP($B167,[1]库存报告使用数据!$A$1:$D$65536,4,0),0)</f>
        <v>1</v>
      </c>
      <c r="AM167">
        <f>IFERROR(VLOOKUP($B167,[1]库存报告使用数据!$A$1:$E$65536,5,0),0)</f>
        <v>0</v>
      </c>
      <c r="AN167" s="23">
        <f t="shared" si="51"/>
        <v>0</v>
      </c>
      <c r="AO167" s="23">
        <f t="shared" si="52"/>
        <v>0.2</v>
      </c>
      <c r="AP167" s="23">
        <f t="shared" si="53"/>
        <v>1</v>
      </c>
      <c r="AQ167" s="23" t="str">
        <f t="shared" si="54"/>
        <v/>
      </c>
      <c r="AR167" s="38">
        <f t="shared" si="39"/>
        <v>0</v>
      </c>
      <c r="AS167" s="38">
        <f t="shared" si="40"/>
        <v>0</v>
      </c>
      <c r="AT167" s="38">
        <f t="shared" si="41"/>
        <v>41</v>
      </c>
      <c r="AU167" s="33" t="str">
        <f t="shared" si="42"/>
        <v>库存为41</v>
      </c>
      <c r="AV167" s="39" t="str">
        <f>IFERROR(时间!$B$4+AU167,"上周无销量")</f>
        <v>上周无销量</v>
      </c>
    </row>
    <row r="168" spans="1:48">
      <c r="A168" s="35" t="s">
        <v>213</v>
      </c>
      <c r="B168" t="str">
        <f>VLOOKUP(A168,'[2]sku-asin（子）'!$A:$B,2,0)</f>
        <v>B074CWG2B2</v>
      </c>
      <c r="C168" t="str">
        <f>VLOOKUP(A168,'[2]子sku-父sku'!$A:$B,2,0)</f>
        <v>N3818-2Y</v>
      </c>
      <c r="D168" s="33">
        <f>IFERROR(VLOOKUP(A168,[3]库存报告使用数据处理!$A:$C,3,0),0)</f>
        <v>0</v>
      </c>
      <c r="E168" s="33">
        <f>IFERROR(VLOOKUP(A168,[3]库存报告使用数据处理!$A:$D,4,0),0)</f>
        <v>0</v>
      </c>
      <c r="F168" s="33">
        <f>IFERROR(VLOOKUP(A168,[3]库存报告使用数据处理!$A:$E,5,0),0)</f>
        <v>0</v>
      </c>
      <c r="G168" s="33">
        <f>IFERROR(VLOOKUP(A168,[3]库存报告使用数据处理!$A:$F,6,0),0)</f>
        <v>0</v>
      </c>
      <c r="H168" s="34">
        <f>IFERROR(VLOOKUP(A168,[3]库存报告使用数据处理!$A:$G,7,0),0)</f>
        <v>0</v>
      </c>
      <c r="I168">
        <f>IFERROR(VLOOKUP(A168,[4]数据处理!$A:$B,2,0),0)</f>
        <v>45</v>
      </c>
      <c r="J168" s="36">
        <f>IFERROR(VLOOKUP(A168,[4]数据处理!$A:$D,4,0),0)</f>
        <v>0</v>
      </c>
      <c r="K168" s="36">
        <f>IFERROR(VLOOKUP(A168,[4]数据处理!$A:$E,5,0),0)</f>
        <v>0</v>
      </c>
      <c r="L168" s="36">
        <f>IFERROR(VLOOKUP(A168,[4]数据处理!$A:$G,7,0),0)</f>
        <v>0</v>
      </c>
      <c r="M168">
        <f t="shared" si="38"/>
        <v>45</v>
      </c>
      <c r="N168">
        <f>IFERROR(VLOOKUP(A168,[4]数据处理!$A:$C,3,0),0)</f>
        <v>0</v>
      </c>
      <c r="O168">
        <f>IFERROR(VLOOKUP($A168,[4]数据处理!$A:$N,14,0),0)</f>
        <v>45</v>
      </c>
      <c r="P168">
        <f>IFERROR(VLOOKUP($A168,[5]库存使用数据!$A:$B,2,0),"")</f>
        <v>134</v>
      </c>
      <c r="Q168">
        <f>IFERROR(VLOOKUP($A168,[5]库存使用数据!$A:$E,5,0),"")</f>
        <v>252</v>
      </c>
      <c r="R168">
        <f>IFERROR(VLOOKUP($A168,[5]库存使用数据!$A:$H,8,0),"")</f>
        <v>1363</v>
      </c>
      <c r="S168">
        <f>IFERROR(VLOOKUP($A168,[5]库存使用数据!$A:$K,11,0),"")</f>
        <v>364</v>
      </c>
      <c r="T168">
        <f>IFERROR(VLOOKUP($A168,[5]库存使用数据!$A:$C,3,0),"")</f>
        <v>0</v>
      </c>
      <c r="U168">
        <f>IFERROR(VLOOKUP($A168,[5]库存使用数据!$A:$F,6,0),"")</f>
        <v>1</v>
      </c>
      <c r="V168">
        <f>IFERROR(VLOOKUP($A168,[5]库存使用数据!$A:$I,9,0),"")</f>
        <v>2</v>
      </c>
      <c r="W168">
        <f>IFERROR(VLOOKUP($A168,[5]库存使用数据!$A:$L,12,0),"")</f>
        <v>2</v>
      </c>
      <c r="X168" s="23">
        <f t="shared" si="43"/>
        <v>0</v>
      </c>
      <c r="Y168" s="23">
        <f t="shared" si="44"/>
        <v>0.00396825396825397</v>
      </c>
      <c r="Z168" s="23">
        <f t="shared" si="45"/>
        <v>0.00146735143066764</v>
      </c>
      <c r="AA168" s="23">
        <f t="shared" si="46"/>
        <v>0.00549450549450549</v>
      </c>
      <c r="AB168">
        <f>IFERROR(VLOOKUP($A168,[5]库存使用数据!$A:$D,4,0),"")</f>
        <v>0</v>
      </c>
      <c r="AC168">
        <f>IFERROR(VLOOKUP($A168,[5]库存使用数据!$A:$G,7,0),"")</f>
        <v>0.52</v>
      </c>
      <c r="AD168">
        <f>IFERROR(VLOOKUP($A168,[5]库存使用数据!$A:$J,10,0),"")</f>
        <v>1.14</v>
      </c>
      <c r="AE168">
        <f>IFERROR(VLOOKUP($A168,[5]库存使用数据!$A:$M,13,0),"")</f>
        <v>0.93</v>
      </c>
      <c r="AF168" s="23" t="str">
        <f t="shared" si="47"/>
        <v/>
      </c>
      <c r="AG168" s="23" t="str">
        <f t="shared" si="48"/>
        <v>无销量广告费为0.52</v>
      </c>
      <c r="AH168" s="23" t="str">
        <f t="shared" si="49"/>
        <v>无销量广告费为1.14</v>
      </c>
      <c r="AI168" s="23" t="str">
        <f t="shared" si="50"/>
        <v>无销量广告费为0.93</v>
      </c>
      <c r="AJ168">
        <f>IFERROR(VLOOKUP($B168,[1]库存报告使用数据!$A$1:$B$65536,2,0),0)</f>
        <v>1</v>
      </c>
      <c r="AK168">
        <f>IFERROR(VLOOKUP($B168,[1]库存报告使用数据!$A$1:$C$65536,3,0),0)</f>
        <v>3</v>
      </c>
      <c r="AL168">
        <f>IFERROR(VLOOKUP($B168,[1]库存报告使用数据!$A$1:$D$65536,4,0),0)</f>
        <v>4</v>
      </c>
      <c r="AM168">
        <f>IFERROR(VLOOKUP($B168,[1]库存报告使用数据!$A$1:$E$65536,5,0),0)</f>
        <v>1</v>
      </c>
      <c r="AN168" s="23">
        <f t="shared" si="51"/>
        <v>0</v>
      </c>
      <c r="AO168" s="23">
        <f t="shared" si="52"/>
        <v>0</v>
      </c>
      <c r="AP168" s="23">
        <f t="shared" si="53"/>
        <v>0</v>
      </c>
      <c r="AQ168" s="23">
        <f t="shared" si="54"/>
        <v>0</v>
      </c>
      <c r="AR168" s="38">
        <f t="shared" si="39"/>
        <v>0</v>
      </c>
      <c r="AS168" s="38">
        <f t="shared" si="40"/>
        <v>0</v>
      </c>
      <c r="AT168" s="38">
        <f t="shared" si="41"/>
        <v>45</v>
      </c>
      <c r="AU168" s="33" t="str">
        <f t="shared" si="42"/>
        <v>库存为45</v>
      </c>
      <c r="AV168" s="39" t="str">
        <f>IFERROR(时间!$B$4+AU168,"上周无销量")</f>
        <v>上周无销量</v>
      </c>
    </row>
    <row r="169" spans="1:48">
      <c r="A169" s="35" t="s">
        <v>214</v>
      </c>
      <c r="B169" t="str">
        <f>VLOOKUP(A169,'[2]sku-asin（子）'!$A:$B,2,0)</f>
        <v>B074JVMQRW</v>
      </c>
      <c r="C169" t="str">
        <f>VLOOKUP(A169,'[2]子sku-父sku'!$A:$B,2,0)</f>
        <v>N5100Y</v>
      </c>
      <c r="D169" s="33">
        <f>IFERROR(VLOOKUP(A169,[3]库存报告使用数据处理!$A:$C,3,0),0)</f>
        <v>0</v>
      </c>
      <c r="E169" s="33">
        <f>IFERROR(VLOOKUP(A169,[3]库存报告使用数据处理!$A:$D,4,0),0)</f>
        <v>2</v>
      </c>
      <c r="F169" s="33">
        <f>IFERROR(VLOOKUP(A169,[3]库存报告使用数据处理!$A:$E,5,0),0)</f>
        <v>0</v>
      </c>
      <c r="G169" s="33">
        <f>IFERROR(VLOOKUP(A169,[3]库存报告使用数据处理!$A:$F,6,0),0)</f>
        <v>0</v>
      </c>
      <c r="H169" s="34">
        <f>IFERROR(VLOOKUP(A169,[3]库存报告使用数据处理!$A:$G,7,0),0)</f>
        <v>11.45</v>
      </c>
      <c r="I169">
        <f>IFERROR(VLOOKUP(A169,[4]数据处理!$A:$B,2,0),0)</f>
        <v>54</v>
      </c>
      <c r="J169" s="36">
        <f>IFERROR(VLOOKUP(A169,[4]数据处理!$A:$D,4,0),0)</f>
        <v>0</v>
      </c>
      <c r="K169" s="36">
        <f>IFERROR(VLOOKUP(A169,[4]数据处理!$A:$E,5,0),0)</f>
        <v>0</v>
      </c>
      <c r="L169" s="36">
        <f>IFERROR(VLOOKUP(A169,[4]数据处理!$A:$G,7,0),0)</f>
        <v>0</v>
      </c>
      <c r="M169">
        <f t="shared" si="38"/>
        <v>54</v>
      </c>
      <c r="N169">
        <f>IFERROR(VLOOKUP(A169,[4]数据处理!$A:$C,3,0),0)</f>
        <v>0</v>
      </c>
      <c r="O169">
        <f>IFERROR(VLOOKUP($A169,[4]数据处理!$A:$N,14,0),0)</f>
        <v>54</v>
      </c>
      <c r="P169">
        <f>IFERROR(VLOOKUP($A169,[5]库存使用数据!$A:$B,2,0),"")</f>
        <v>563</v>
      </c>
      <c r="Q169">
        <f>IFERROR(VLOOKUP($A169,[5]库存使用数据!$A:$E,5,0),"")</f>
        <v>669</v>
      </c>
      <c r="R169">
        <f>IFERROR(VLOOKUP($A169,[5]库存使用数据!$A:$H,8,0),"")</f>
        <v>550</v>
      </c>
      <c r="S169">
        <f>IFERROR(VLOOKUP($A169,[5]库存使用数据!$A:$K,11,0),"")</f>
        <v>391</v>
      </c>
      <c r="T169">
        <f>IFERROR(VLOOKUP($A169,[5]库存使用数据!$A:$C,3,0),"")</f>
        <v>0</v>
      </c>
      <c r="U169">
        <f>IFERROR(VLOOKUP($A169,[5]库存使用数据!$A:$F,6,0),"")</f>
        <v>4</v>
      </c>
      <c r="V169">
        <f>IFERROR(VLOOKUP($A169,[5]库存使用数据!$A:$I,9,0),"")</f>
        <v>3</v>
      </c>
      <c r="W169">
        <f>IFERROR(VLOOKUP($A169,[5]库存使用数据!$A:$L,12,0),"")</f>
        <v>0</v>
      </c>
      <c r="X169" s="23">
        <f t="shared" si="43"/>
        <v>0</v>
      </c>
      <c r="Y169" s="23">
        <f t="shared" si="44"/>
        <v>0.00597907324364723</v>
      </c>
      <c r="Z169" s="23">
        <f t="shared" si="45"/>
        <v>0.00545454545454545</v>
      </c>
      <c r="AA169" s="23">
        <f t="shared" si="46"/>
        <v>0</v>
      </c>
      <c r="AB169">
        <f>IFERROR(VLOOKUP($A169,[5]库存使用数据!$A:$D,4,0),"")</f>
        <v>0</v>
      </c>
      <c r="AC169">
        <f>IFERROR(VLOOKUP($A169,[5]库存使用数据!$A:$G,7,0),"")</f>
        <v>1.78</v>
      </c>
      <c r="AD169">
        <f>IFERROR(VLOOKUP($A169,[5]库存使用数据!$A:$J,10,0),"")</f>
        <v>1.09</v>
      </c>
      <c r="AE169">
        <f>IFERROR(VLOOKUP($A169,[5]库存使用数据!$A:$M,13,0),"")</f>
        <v>0</v>
      </c>
      <c r="AF169" s="23" t="str">
        <f t="shared" si="47"/>
        <v/>
      </c>
      <c r="AG169" s="23">
        <f t="shared" si="48"/>
        <v>0.0777292576419214</v>
      </c>
      <c r="AH169" s="23" t="str">
        <f t="shared" si="49"/>
        <v>无销量广告费为1.09</v>
      </c>
      <c r="AI169" s="23" t="str">
        <f t="shared" si="50"/>
        <v/>
      </c>
      <c r="AJ169">
        <f>IFERROR(VLOOKUP($B169,[1]库存报告使用数据!$A$1:$B$65536,2,0),0)</f>
        <v>3</v>
      </c>
      <c r="AK169">
        <f>IFERROR(VLOOKUP($B169,[1]库存报告使用数据!$A$1:$C$65536,3,0),0)</f>
        <v>7</v>
      </c>
      <c r="AL169">
        <f>IFERROR(VLOOKUP($B169,[1]库存报告使用数据!$A$1:$D$65536,4,0),0)</f>
        <v>3</v>
      </c>
      <c r="AM169">
        <f>IFERROR(VLOOKUP($B169,[1]库存报告使用数据!$A$1:$E$65536,5,0),0)</f>
        <v>1</v>
      </c>
      <c r="AN169" s="23">
        <f t="shared" si="51"/>
        <v>0</v>
      </c>
      <c r="AO169" s="23">
        <f t="shared" si="52"/>
        <v>0.285714285714286</v>
      </c>
      <c r="AP169" s="23">
        <f t="shared" si="53"/>
        <v>0</v>
      </c>
      <c r="AQ169" s="23">
        <f t="shared" si="54"/>
        <v>0</v>
      </c>
      <c r="AR169" s="38">
        <f t="shared" si="39"/>
        <v>0</v>
      </c>
      <c r="AS169" s="38">
        <f t="shared" si="40"/>
        <v>0</v>
      </c>
      <c r="AT169" s="38">
        <f t="shared" si="41"/>
        <v>54</v>
      </c>
      <c r="AU169" s="33" t="str">
        <f t="shared" si="42"/>
        <v>库存为54</v>
      </c>
      <c r="AV169" s="39" t="str">
        <f>IFERROR(时间!$B$4+AU169,"上周无销量")</f>
        <v>上周无销量</v>
      </c>
    </row>
    <row r="170" spans="1:48">
      <c r="A170" s="35" t="s">
        <v>215</v>
      </c>
      <c r="B170" t="str">
        <f>VLOOKUP(A170,'[2]sku-asin（子）'!$A:$B,2,0)</f>
        <v>B074K4DJJR</v>
      </c>
      <c r="C170" t="str">
        <f>VLOOKUP(A170,'[2]子sku-父sku'!$A:$B,2,0)</f>
        <v>N5100Y</v>
      </c>
      <c r="D170" s="33">
        <f>IFERROR(VLOOKUP(A170,[3]库存报告使用数据处理!$A:$C,3,0),0)</f>
        <v>0</v>
      </c>
      <c r="E170" s="33">
        <f>IFERROR(VLOOKUP(A170,[3]库存报告使用数据处理!$A:$D,4,0),0)</f>
        <v>0</v>
      </c>
      <c r="F170" s="33">
        <f>IFERROR(VLOOKUP(A170,[3]库存报告使用数据处理!$A:$E,5,0),0)</f>
        <v>0</v>
      </c>
      <c r="G170" s="33">
        <f>IFERROR(VLOOKUP(A170,[3]库存报告使用数据处理!$A:$F,6,0),0)</f>
        <v>0</v>
      </c>
      <c r="H170" s="34">
        <f>IFERROR(VLOOKUP(A170,[3]库存报告使用数据处理!$A:$G,7,0),0)</f>
        <v>0</v>
      </c>
      <c r="I170">
        <f>IFERROR(VLOOKUP(A170,[4]数据处理!$A:$B,2,0),0)</f>
        <v>26</v>
      </c>
      <c r="J170" s="36">
        <f>IFERROR(VLOOKUP(A170,[4]数据处理!$A:$D,4,0),0)</f>
        <v>0</v>
      </c>
      <c r="K170" s="36">
        <f>IFERROR(VLOOKUP(A170,[4]数据处理!$A:$E,5,0),0)</f>
        <v>0</v>
      </c>
      <c r="L170" s="36">
        <f>IFERROR(VLOOKUP(A170,[4]数据处理!$A:$G,7,0),0)</f>
        <v>0</v>
      </c>
      <c r="M170">
        <f t="shared" si="38"/>
        <v>26</v>
      </c>
      <c r="N170">
        <f>IFERROR(VLOOKUP(A170,[4]数据处理!$A:$C,3,0),0)</f>
        <v>0</v>
      </c>
      <c r="O170">
        <f>IFERROR(VLOOKUP($A170,[4]数据处理!$A:$N,14,0),0)</f>
        <v>26</v>
      </c>
      <c r="P170">
        <f>IFERROR(VLOOKUP($A170,[5]库存使用数据!$A:$B,2,0),"")</f>
        <v>41</v>
      </c>
      <c r="Q170">
        <f>IFERROR(VLOOKUP($A170,[5]库存使用数据!$A:$E,5,0),"")</f>
        <v>18</v>
      </c>
      <c r="R170">
        <f>IFERROR(VLOOKUP($A170,[5]库存使用数据!$A:$H,8,0),"")</f>
        <v>25</v>
      </c>
      <c r="S170">
        <f>IFERROR(VLOOKUP($A170,[5]库存使用数据!$A:$K,11,0),"")</f>
        <v>16</v>
      </c>
      <c r="T170">
        <f>IFERROR(VLOOKUP($A170,[5]库存使用数据!$A:$C,3,0),"")</f>
        <v>0</v>
      </c>
      <c r="U170">
        <f>IFERROR(VLOOKUP($A170,[5]库存使用数据!$A:$F,6,0),"")</f>
        <v>0</v>
      </c>
      <c r="V170">
        <f>IFERROR(VLOOKUP($A170,[5]库存使用数据!$A:$I,9,0),"")</f>
        <v>0</v>
      </c>
      <c r="W170">
        <f>IFERROR(VLOOKUP($A170,[5]库存使用数据!$A:$L,12,0),"")</f>
        <v>0</v>
      </c>
      <c r="X170" s="23">
        <f t="shared" si="43"/>
        <v>0</v>
      </c>
      <c r="Y170" s="23">
        <f t="shared" si="44"/>
        <v>0</v>
      </c>
      <c r="Z170" s="23">
        <f t="shared" si="45"/>
        <v>0</v>
      </c>
      <c r="AA170" s="23">
        <f t="shared" si="46"/>
        <v>0</v>
      </c>
      <c r="AB170">
        <f>IFERROR(VLOOKUP($A170,[5]库存使用数据!$A:$D,4,0),"")</f>
        <v>0</v>
      </c>
      <c r="AC170">
        <f>IFERROR(VLOOKUP($A170,[5]库存使用数据!$A:$G,7,0),"")</f>
        <v>0</v>
      </c>
      <c r="AD170">
        <f>IFERROR(VLOOKUP($A170,[5]库存使用数据!$A:$J,10,0),"")</f>
        <v>0</v>
      </c>
      <c r="AE170">
        <f>IFERROR(VLOOKUP($A170,[5]库存使用数据!$A:$M,13,0),"")</f>
        <v>0</v>
      </c>
      <c r="AF170" s="23" t="str">
        <f t="shared" si="47"/>
        <v/>
      </c>
      <c r="AG170" s="23" t="str">
        <f t="shared" si="48"/>
        <v/>
      </c>
      <c r="AH170" s="23" t="str">
        <f t="shared" si="49"/>
        <v/>
      </c>
      <c r="AI170" s="23" t="str">
        <f t="shared" si="50"/>
        <v/>
      </c>
      <c r="AJ170">
        <f>IFERROR(VLOOKUP($B170,[1]库存报告使用数据!$A$1:$B$65536,2,0),0)</f>
        <v>3</v>
      </c>
      <c r="AK170">
        <f>IFERROR(VLOOKUP($B170,[1]库存报告使用数据!$A$1:$C$65536,3,0),0)</f>
        <v>3</v>
      </c>
      <c r="AL170">
        <f>IFERROR(VLOOKUP($B170,[1]库存报告使用数据!$A$1:$D$65536,4,0),0)</f>
        <v>2</v>
      </c>
      <c r="AM170">
        <f>IFERROR(VLOOKUP($B170,[1]库存报告使用数据!$A$1:$E$65536,5,0),0)</f>
        <v>0</v>
      </c>
      <c r="AN170" s="23">
        <f t="shared" si="51"/>
        <v>0</v>
      </c>
      <c r="AO170" s="23">
        <f t="shared" si="52"/>
        <v>0</v>
      </c>
      <c r="AP170" s="23">
        <f t="shared" si="53"/>
        <v>0</v>
      </c>
      <c r="AQ170" s="23" t="str">
        <f t="shared" si="54"/>
        <v/>
      </c>
      <c r="AR170" s="38">
        <f t="shared" si="39"/>
        <v>0</v>
      </c>
      <c r="AS170" s="38">
        <f t="shared" si="40"/>
        <v>0</v>
      </c>
      <c r="AT170" s="38">
        <f t="shared" si="41"/>
        <v>26</v>
      </c>
      <c r="AU170" s="33" t="str">
        <f t="shared" si="42"/>
        <v>库存为26</v>
      </c>
      <c r="AV170" s="39" t="str">
        <f>IFERROR(时间!$B$4+AU170,"上周无销量")</f>
        <v>上周无销量</v>
      </c>
    </row>
    <row r="171" spans="1:48">
      <c r="A171" s="35" t="s">
        <v>216</v>
      </c>
      <c r="B171" t="str">
        <f>VLOOKUP(A171,'[2]sku-asin（子）'!$A:$B,2,0)</f>
        <v>B074JW998T</v>
      </c>
      <c r="C171" t="str">
        <f>VLOOKUP(A171,'[2]子sku-父sku'!$A:$B,2,0)</f>
        <v>N531Y</v>
      </c>
      <c r="D171" s="33">
        <f>IFERROR(VLOOKUP(A171,[3]库存报告使用数据处理!$A:$C,3,0),0)</f>
        <v>0</v>
      </c>
      <c r="E171" s="33">
        <f>IFERROR(VLOOKUP(A171,[3]库存报告使用数据处理!$A:$D,4,0),0)</f>
        <v>0</v>
      </c>
      <c r="F171" s="33">
        <f>IFERROR(VLOOKUP(A171,[3]库存报告使用数据处理!$A:$E,5,0),0)</f>
        <v>0</v>
      </c>
      <c r="G171" s="33">
        <f>IFERROR(VLOOKUP(A171,[3]库存报告使用数据处理!$A:$F,6,0),0)</f>
        <v>0</v>
      </c>
      <c r="H171" s="34">
        <f>IFERROR(VLOOKUP(A171,[3]库存报告使用数据处理!$A:$G,7,0),0)</f>
        <v>0</v>
      </c>
      <c r="I171">
        <f>IFERROR(VLOOKUP(A171,[4]数据处理!$A:$B,2,0),0)</f>
        <v>28</v>
      </c>
      <c r="J171" s="36">
        <f>IFERROR(VLOOKUP(A171,[4]数据处理!$A:$D,4,0),0)</f>
        <v>0</v>
      </c>
      <c r="K171" s="36">
        <f>IFERROR(VLOOKUP(A171,[4]数据处理!$A:$E,5,0),0)</f>
        <v>0</v>
      </c>
      <c r="L171" s="36">
        <f>IFERROR(VLOOKUP(A171,[4]数据处理!$A:$G,7,0),0)</f>
        <v>0</v>
      </c>
      <c r="M171">
        <f t="shared" si="38"/>
        <v>28</v>
      </c>
      <c r="N171">
        <f>IFERROR(VLOOKUP(A171,[4]数据处理!$A:$C,3,0),0)</f>
        <v>0</v>
      </c>
      <c r="O171">
        <f>IFERROR(VLOOKUP($A171,[4]数据处理!$A:$N,14,0),0)</f>
        <v>28</v>
      </c>
      <c r="P171">
        <f>IFERROR(VLOOKUP($A171,[5]库存使用数据!$A:$B,2,0),"")</f>
        <v>209</v>
      </c>
      <c r="Q171">
        <f>IFERROR(VLOOKUP($A171,[5]库存使用数据!$A:$E,5,0),"")</f>
        <v>331</v>
      </c>
      <c r="R171">
        <f>IFERROR(VLOOKUP($A171,[5]库存使用数据!$A:$H,8,0),"")</f>
        <v>389</v>
      </c>
      <c r="S171">
        <f>IFERROR(VLOOKUP($A171,[5]库存使用数据!$A:$K,11,0),"")</f>
        <v>222</v>
      </c>
      <c r="T171">
        <f>IFERROR(VLOOKUP($A171,[5]库存使用数据!$A:$C,3,0),"")</f>
        <v>0</v>
      </c>
      <c r="U171">
        <f>IFERROR(VLOOKUP($A171,[5]库存使用数据!$A:$F,6,0),"")</f>
        <v>1</v>
      </c>
      <c r="V171">
        <f>IFERROR(VLOOKUP($A171,[5]库存使用数据!$A:$I,9,0),"")</f>
        <v>1</v>
      </c>
      <c r="W171">
        <f>IFERROR(VLOOKUP($A171,[5]库存使用数据!$A:$L,12,0),"")</f>
        <v>1</v>
      </c>
      <c r="X171" s="23">
        <f t="shared" si="43"/>
        <v>0</v>
      </c>
      <c r="Y171" s="23">
        <f t="shared" si="44"/>
        <v>0.00302114803625378</v>
      </c>
      <c r="Z171" s="23">
        <f t="shared" si="45"/>
        <v>0.0025706940874036</v>
      </c>
      <c r="AA171" s="23">
        <f t="shared" si="46"/>
        <v>0.0045045045045045</v>
      </c>
      <c r="AB171">
        <f>IFERROR(VLOOKUP($A171,[5]库存使用数据!$A:$D,4,0),"")</f>
        <v>0</v>
      </c>
      <c r="AC171">
        <f>IFERROR(VLOOKUP($A171,[5]库存使用数据!$A:$G,7,0),"")</f>
        <v>0.31</v>
      </c>
      <c r="AD171">
        <f>IFERROR(VLOOKUP($A171,[5]库存使用数据!$A:$J,10,0),"")</f>
        <v>0.21</v>
      </c>
      <c r="AE171">
        <f>IFERROR(VLOOKUP($A171,[5]库存使用数据!$A:$M,13,0),"")</f>
        <v>0.26</v>
      </c>
      <c r="AF171" s="23" t="str">
        <f t="shared" si="47"/>
        <v/>
      </c>
      <c r="AG171" s="23" t="str">
        <f t="shared" si="48"/>
        <v>无销量广告费为0.31</v>
      </c>
      <c r="AH171" s="23" t="str">
        <f t="shared" si="49"/>
        <v>无销量广告费为0.21</v>
      </c>
      <c r="AI171" s="23" t="str">
        <f t="shared" si="50"/>
        <v>无销量广告费为0.26</v>
      </c>
      <c r="AJ171">
        <f>IFERROR(VLOOKUP($B171,[1]库存报告使用数据!$A$1:$B$65536,2,0),0)</f>
        <v>4</v>
      </c>
      <c r="AK171">
        <f>IFERROR(VLOOKUP($B171,[1]库存报告使用数据!$A$1:$C$65536,3,0),0)</f>
        <v>2</v>
      </c>
      <c r="AL171">
        <f>IFERROR(VLOOKUP($B171,[1]库存报告使用数据!$A$1:$D$65536,4,0),0)</f>
        <v>5</v>
      </c>
      <c r="AM171">
        <f>IFERROR(VLOOKUP($B171,[1]库存报告使用数据!$A$1:$E$65536,5,0),0)</f>
        <v>1</v>
      </c>
      <c r="AN171" s="23">
        <f t="shared" si="51"/>
        <v>0</v>
      </c>
      <c r="AO171" s="23">
        <f t="shared" si="52"/>
        <v>0</v>
      </c>
      <c r="AP171" s="23">
        <f t="shared" si="53"/>
        <v>0</v>
      </c>
      <c r="AQ171" s="23">
        <f t="shared" si="54"/>
        <v>0</v>
      </c>
      <c r="AR171" s="38">
        <f t="shared" si="39"/>
        <v>0</v>
      </c>
      <c r="AS171" s="38">
        <f t="shared" si="40"/>
        <v>0</v>
      </c>
      <c r="AT171" s="38">
        <f t="shared" si="41"/>
        <v>28</v>
      </c>
      <c r="AU171" s="33" t="str">
        <f t="shared" si="42"/>
        <v>库存为28</v>
      </c>
      <c r="AV171" s="39" t="str">
        <f>IFERROR(时间!$B$4+AU171,"上周无销量")</f>
        <v>上周无销量</v>
      </c>
    </row>
    <row r="172" spans="1:48">
      <c r="A172" s="35" t="s">
        <v>217</v>
      </c>
      <c r="B172" t="str">
        <f>VLOOKUP(A172,'[2]sku-asin（子）'!$A:$B,2,0)</f>
        <v>B074K2QJ5H</v>
      </c>
      <c r="C172" t="str">
        <f>VLOOKUP(A172,'[2]子sku-父sku'!$A:$B,2,0)</f>
        <v>N531Y</v>
      </c>
      <c r="D172" s="33">
        <f>IFERROR(VLOOKUP(A172,[3]库存报告使用数据处理!$A:$C,3,0),0)</f>
        <v>0</v>
      </c>
      <c r="E172" s="33">
        <f>IFERROR(VLOOKUP(A172,[3]库存报告使用数据处理!$A:$D,4,0),0)</f>
        <v>0</v>
      </c>
      <c r="F172" s="33">
        <f>IFERROR(VLOOKUP(A172,[3]库存报告使用数据处理!$A:$E,5,0),0)</f>
        <v>0</v>
      </c>
      <c r="G172" s="33">
        <f>IFERROR(VLOOKUP(A172,[3]库存报告使用数据处理!$A:$F,6,0),0)</f>
        <v>0</v>
      </c>
      <c r="H172" s="34">
        <f>IFERROR(VLOOKUP(A172,[3]库存报告使用数据处理!$A:$G,7,0),0)</f>
        <v>0</v>
      </c>
      <c r="I172">
        <f>IFERROR(VLOOKUP(A172,[4]数据处理!$A:$B,2,0),0)</f>
        <v>27</v>
      </c>
      <c r="J172" s="36">
        <f>IFERROR(VLOOKUP(A172,[4]数据处理!$A:$D,4,0),0)</f>
        <v>0</v>
      </c>
      <c r="K172" s="36">
        <f>IFERROR(VLOOKUP(A172,[4]数据处理!$A:$E,5,0),0)</f>
        <v>0</v>
      </c>
      <c r="L172" s="36">
        <f>IFERROR(VLOOKUP(A172,[4]数据处理!$A:$G,7,0),0)</f>
        <v>0</v>
      </c>
      <c r="M172">
        <f t="shared" si="38"/>
        <v>27</v>
      </c>
      <c r="N172">
        <f>IFERROR(VLOOKUP(A172,[4]数据处理!$A:$C,3,0),0)</f>
        <v>0</v>
      </c>
      <c r="O172">
        <f>IFERROR(VLOOKUP($A172,[4]数据处理!$A:$N,14,0),0)</f>
        <v>27</v>
      </c>
      <c r="P172">
        <f>IFERROR(VLOOKUP($A172,[5]库存使用数据!$A:$B,2,0),"")</f>
        <v>208</v>
      </c>
      <c r="Q172">
        <f>IFERROR(VLOOKUP($A172,[5]库存使用数据!$A:$E,5,0),"")</f>
        <v>95</v>
      </c>
      <c r="R172">
        <f>IFERROR(VLOOKUP($A172,[5]库存使用数据!$A:$H,8,0),"")</f>
        <v>39</v>
      </c>
      <c r="S172">
        <f>IFERROR(VLOOKUP($A172,[5]库存使用数据!$A:$K,11,0),"")</f>
        <v>36</v>
      </c>
      <c r="T172">
        <f>IFERROR(VLOOKUP($A172,[5]库存使用数据!$A:$C,3,0),"")</f>
        <v>0</v>
      </c>
      <c r="U172">
        <f>IFERROR(VLOOKUP($A172,[5]库存使用数据!$A:$F,6,0),"")</f>
        <v>1</v>
      </c>
      <c r="V172">
        <f>IFERROR(VLOOKUP($A172,[5]库存使用数据!$A:$I,9,0),"")</f>
        <v>1</v>
      </c>
      <c r="W172">
        <f>IFERROR(VLOOKUP($A172,[5]库存使用数据!$A:$L,12,0),"")</f>
        <v>1</v>
      </c>
      <c r="X172" s="23">
        <f t="shared" si="43"/>
        <v>0</v>
      </c>
      <c r="Y172" s="23">
        <f t="shared" si="44"/>
        <v>0.0105263157894737</v>
      </c>
      <c r="Z172" s="23">
        <f t="shared" si="45"/>
        <v>0.0256410256410256</v>
      </c>
      <c r="AA172" s="23">
        <f t="shared" si="46"/>
        <v>0.0277777777777778</v>
      </c>
      <c r="AB172">
        <f>IFERROR(VLOOKUP($A172,[5]库存使用数据!$A:$D,4,0),"")</f>
        <v>0</v>
      </c>
      <c r="AC172">
        <f>IFERROR(VLOOKUP($A172,[5]库存使用数据!$A:$G,7,0),"")</f>
        <v>0.29</v>
      </c>
      <c r="AD172">
        <f>IFERROR(VLOOKUP($A172,[5]库存使用数据!$A:$J,10,0),"")</f>
        <v>0.4</v>
      </c>
      <c r="AE172">
        <f>IFERROR(VLOOKUP($A172,[5]库存使用数据!$A:$M,13,0),"")</f>
        <v>0.37</v>
      </c>
      <c r="AF172" s="23" t="str">
        <f t="shared" si="47"/>
        <v/>
      </c>
      <c r="AG172" s="23" t="str">
        <f t="shared" si="48"/>
        <v>无销量广告费为0.29</v>
      </c>
      <c r="AH172" s="23" t="str">
        <f t="shared" si="49"/>
        <v>无销量广告费为0.4</v>
      </c>
      <c r="AI172" s="23" t="str">
        <f t="shared" si="50"/>
        <v>无销量广告费为0.37</v>
      </c>
      <c r="AJ172">
        <f>IFERROR(VLOOKUP($B172,[1]库存报告使用数据!$A$1:$B$65536,2,0),0)</f>
        <v>4</v>
      </c>
      <c r="AK172">
        <f>IFERROR(VLOOKUP($B172,[1]库存报告使用数据!$A$1:$C$65536,3,0),0)</f>
        <v>2</v>
      </c>
      <c r="AL172">
        <f>IFERROR(VLOOKUP($B172,[1]库存报告使用数据!$A$1:$D$65536,4,0),0)</f>
        <v>1</v>
      </c>
      <c r="AM172">
        <f>IFERROR(VLOOKUP($B172,[1]库存报告使用数据!$A$1:$E$65536,5,0),0)</f>
        <v>2</v>
      </c>
      <c r="AN172" s="23">
        <f t="shared" si="51"/>
        <v>0</v>
      </c>
      <c r="AO172" s="23">
        <f t="shared" si="52"/>
        <v>0</v>
      </c>
      <c r="AP172" s="23">
        <f t="shared" si="53"/>
        <v>0</v>
      </c>
      <c r="AQ172" s="23">
        <f t="shared" si="54"/>
        <v>0</v>
      </c>
      <c r="AR172" s="38">
        <f t="shared" si="39"/>
        <v>0</v>
      </c>
      <c r="AS172" s="38">
        <f t="shared" si="40"/>
        <v>0</v>
      </c>
      <c r="AT172" s="38">
        <f t="shared" si="41"/>
        <v>27</v>
      </c>
      <c r="AU172" s="33" t="str">
        <f t="shared" si="42"/>
        <v>库存为27</v>
      </c>
      <c r="AV172" s="39" t="str">
        <f>IFERROR(时间!$B$4+AU172,"上周无销量")</f>
        <v>上周无销量</v>
      </c>
    </row>
    <row r="173" spans="1:48">
      <c r="A173" s="35" t="s">
        <v>218</v>
      </c>
      <c r="B173" t="str">
        <f>VLOOKUP(A173,'[2]sku-asin（子）'!$A:$B,2,0)</f>
        <v>B074K4DJKF</v>
      </c>
      <c r="C173" t="str">
        <f>VLOOKUP(A173,'[2]子sku-父sku'!$A:$B,2,0)</f>
        <v>N531Y</v>
      </c>
      <c r="D173" s="33">
        <f>IFERROR(VLOOKUP(A173,[3]库存报告使用数据处理!$A:$C,3,0),0)</f>
        <v>1</v>
      </c>
      <c r="E173" s="33">
        <f>IFERROR(VLOOKUP(A173,[3]库存报告使用数据处理!$A:$D,4,0),0)</f>
        <v>0</v>
      </c>
      <c r="F173" s="33">
        <f>IFERROR(VLOOKUP(A173,[3]库存报告使用数据处理!$A:$E,5,0),0)</f>
        <v>0</v>
      </c>
      <c r="G173" s="33">
        <f>IFERROR(VLOOKUP(A173,[3]库存报告使用数据处理!$A:$F,6,0),0)</f>
        <v>0</v>
      </c>
      <c r="H173" s="34">
        <f>IFERROR(VLOOKUP(A173,[3]库存报告使用数据处理!$A:$G,7,0),0)</f>
        <v>10.39</v>
      </c>
      <c r="I173">
        <f>IFERROR(VLOOKUP(A173,[4]数据处理!$A:$B,2,0),0)</f>
        <v>27</v>
      </c>
      <c r="J173" s="36">
        <f>IFERROR(VLOOKUP(A173,[4]数据处理!$A:$D,4,0),0)</f>
        <v>0</v>
      </c>
      <c r="K173" s="36">
        <f>IFERROR(VLOOKUP(A173,[4]数据处理!$A:$E,5,0),0)</f>
        <v>0</v>
      </c>
      <c r="L173" s="36">
        <f>IFERROR(VLOOKUP(A173,[4]数据处理!$A:$G,7,0),0)</f>
        <v>0</v>
      </c>
      <c r="M173">
        <f t="shared" si="38"/>
        <v>27</v>
      </c>
      <c r="N173">
        <f>IFERROR(VLOOKUP(A173,[4]数据处理!$A:$C,3,0),0)</f>
        <v>0</v>
      </c>
      <c r="O173">
        <f>IFERROR(VLOOKUP($A173,[4]数据处理!$A:$N,14,0),0)</f>
        <v>27</v>
      </c>
      <c r="P173">
        <f>IFERROR(VLOOKUP($A173,[5]库存使用数据!$A:$B,2,0),"")</f>
        <v>2</v>
      </c>
      <c r="Q173">
        <f>IFERROR(VLOOKUP($A173,[5]库存使用数据!$A:$E,5,0),"")</f>
        <v>6</v>
      </c>
      <c r="R173">
        <f>IFERROR(VLOOKUP($A173,[5]库存使用数据!$A:$H,8,0),"")</f>
        <v>10</v>
      </c>
      <c r="S173">
        <f>IFERROR(VLOOKUP($A173,[5]库存使用数据!$A:$K,11,0),"")</f>
        <v>3</v>
      </c>
      <c r="T173">
        <f>IFERROR(VLOOKUP($A173,[5]库存使用数据!$A:$C,3,0),"")</f>
        <v>0</v>
      </c>
      <c r="U173">
        <f>IFERROR(VLOOKUP($A173,[5]库存使用数据!$A:$F,6,0),"")</f>
        <v>0</v>
      </c>
      <c r="V173">
        <f>IFERROR(VLOOKUP($A173,[5]库存使用数据!$A:$I,9,0),"")</f>
        <v>0</v>
      </c>
      <c r="W173">
        <f>IFERROR(VLOOKUP($A173,[5]库存使用数据!$A:$L,12,0),"")</f>
        <v>0</v>
      </c>
      <c r="X173" s="23">
        <f t="shared" si="43"/>
        <v>0</v>
      </c>
      <c r="Y173" s="23">
        <f t="shared" si="44"/>
        <v>0</v>
      </c>
      <c r="Z173" s="23">
        <f t="shared" si="45"/>
        <v>0</v>
      </c>
      <c r="AA173" s="23">
        <f t="shared" si="46"/>
        <v>0</v>
      </c>
      <c r="AB173">
        <f>IFERROR(VLOOKUP($A173,[5]库存使用数据!$A:$D,4,0),"")</f>
        <v>0</v>
      </c>
      <c r="AC173">
        <f>IFERROR(VLOOKUP($A173,[5]库存使用数据!$A:$G,7,0),"")</f>
        <v>0</v>
      </c>
      <c r="AD173">
        <f>IFERROR(VLOOKUP($A173,[5]库存使用数据!$A:$J,10,0),"")</f>
        <v>0</v>
      </c>
      <c r="AE173">
        <f>IFERROR(VLOOKUP($A173,[5]库存使用数据!$A:$M,13,0),"")</f>
        <v>0</v>
      </c>
      <c r="AF173" s="23" t="str">
        <f t="shared" si="47"/>
        <v/>
      </c>
      <c r="AG173" s="23" t="str">
        <f t="shared" si="48"/>
        <v/>
      </c>
      <c r="AH173" s="23" t="str">
        <f t="shared" si="49"/>
        <v/>
      </c>
      <c r="AI173" s="23" t="str">
        <f t="shared" si="50"/>
        <v/>
      </c>
      <c r="AJ173">
        <f>IFERROR(VLOOKUP($B173,[1]库存报告使用数据!$A$1:$B$65536,2,0),0)</f>
        <v>3</v>
      </c>
      <c r="AK173">
        <f>IFERROR(VLOOKUP($B173,[1]库存报告使用数据!$A$1:$C$65536,3,0),0)</f>
        <v>4</v>
      </c>
      <c r="AL173">
        <f>IFERROR(VLOOKUP($B173,[1]库存报告使用数据!$A$1:$D$65536,4,0),0)</f>
        <v>0</v>
      </c>
      <c r="AM173">
        <f>IFERROR(VLOOKUP($B173,[1]库存报告使用数据!$A$1:$E$65536,5,0),0)</f>
        <v>1</v>
      </c>
      <c r="AN173" s="23">
        <f t="shared" si="51"/>
        <v>0.333333333333333</v>
      </c>
      <c r="AO173" s="23">
        <f t="shared" si="52"/>
        <v>0</v>
      </c>
      <c r="AP173" s="23" t="str">
        <f t="shared" si="53"/>
        <v/>
      </c>
      <c r="AQ173" s="23">
        <f t="shared" si="54"/>
        <v>0</v>
      </c>
      <c r="AR173" s="38">
        <f t="shared" si="39"/>
        <v>0.142857142857143</v>
      </c>
      <c r="AS173" s="38">
        <f t="shared" si="40"/>
        <v>8.57142857142857</v>
      </c>
      <c r="AT173" s="38">
        <f t="shared" si="41"/>
        <v>18.4285714285714</v>
      </c>
      <c r="AU173" s="33">
        <f t="shared" si="42"/>
        <v>189</v>
      </c>
      <c r="AV173" s="39">
        <f>IFERROR(时间!$B$4+AU173,"上周无销量")</f>
        <v>43479</v>
      </c>
    </row>
    <row r="174" spans="1:48">
      <c r="A174" s="35" t="s">
        <v>219</v>
      </c>
      <c r="B174" t="str">
        <f>VLOOKUP(A174,'[2]sku-asin（子）'!$A:$B,2,0)</f>
        <v>B074JYYM5F</v>
      </c>
      <c r="C174" t="str">
        <f>VLOOKUP(A174,'[2]子sku-父sku'!$A:$B,2,0)</f>
        <v>N531Y</v>
      </c>
      <c r="D174" s="33">
        <f>IFERROR(VLOOKUP(A174,[3]库存报告使用数据处理!$A:$C,3,0),0)</f>
        <v>0</v>
      </c>
      <c r="E174" s="33">
        <f>IFERROR(VLOOKUP(A174,[3]库存报告使用数据处理!$A:$D,4,0),0)</f>
        <v>0</v>
      </c>
      <c r="F174" s="33">
        <f>IFERROR(VLOOKUP(A174,[3]库存报告使用数据处理!$A:$E,5,0),0)</f>
        <v>0</v>
      </c>
      <c r="G174" s="33">
        <f>IFERROR(VLOOKUP(A174,[3]库存报告使用数据处理!$A:$F,6,0),0)</f>
        <v>0</v>
      </c>
      <c r="H174" s="34">
        <f>IFERROR(VLOOKUP(A174,[3]库存报告使用数据处理!$A:$G,7,0),0)</f>
        <v>0</v>
      </c>
      <c r="I174">
        <f>IFERROR(VLOOKUP(A174,[4]数据处理!$A:$B,2,0),0)</f>
        <v>26</v>
      </c>
      <c r="J174" s="36">
        <f>IFERROR(VLOOKUP(A174,[4]数据处理!$A:$D,4,0),0)</f>
        <v>0</v>
      </c>
      <c r="K174" s="36">
        <f>IFERROR(VLOOKUP(A174,[4]数据处理!$A:$E,5,0),0)</f>
        <v>0</v>
      </c>
      <c r="L174" s="36">
        <f>IFERROR(VLOOKUP(A174,[4]数据处理!$A:$G,7,0),0)</f>
        <v>0</v>
      </c>
      <c r="M174">
        <f t="shared" si="38"/>
        <v>26</v>
      </c>
      <c r="N174">
        <f>IFERROR(VLOOKUP(A174,[4]数据处理!$A:$C,3,0),0)</f>
        <v>0</v>
      </c>
      <c r="O174">
        <f>IFERROR(VLOOKUP($A174,[4]数据处理!$A:$N,14,0),0)</f>
        <v>26</v>
      </c>
      <c r="P174">
        <f>IFERROR(VLOOKUP($A174,[5]库存使用数据!$A:$B,2,0),"")</f>
        <v>5</v>
      </c>
      <c r="Q174">
        <f>IFERROR(VLOOKUP($A174,[5]库存使用数据!$A:$E,5,0),"")</f>
        <v>6</v>
      </c>
      <c r="R174">
        <f>IFERROR(VLOOKUP($A174,[5]库存使用数据!$A:$H,8,0),"")</f>
        <v>9</v>
      </c>
      <c r="S174">
        <f>IFERROR(VLOOKUP($A174,[5]库存使用数据!$A:$K,11,0),"")</f>
        <v>14</v>
      </c>
      <c r="T174">
        <f>IFERROR(VLOOKUP($A174,[5]库存使用数据!$A:$C,3,0),"")</f>
        <v>0</v>
      </c>
      <c r="U174">
        <f>IFERROR(VLOOKUP($A174,[5]库存使用数据!$A:$F,6,0),"")</f>
        <v>0</v>
      </c>
      <c r="V174">
        <f>IFERROR(VLOOKUP($A174,[5]库存使用数据!$A:$I,9,0),"")</f>
        <v>0</v>
      </c>
      <c r="W174">
        <f>IFERROR(VLOOKUP($A174,[5]库存使用数据!$A:$L,12,0),"")</f>
        <v>0</v>
      </c>
      <c r="X174" s="23">
        <f t="shared" si="43"/>
        <v>0</v>
      </c>
      <c r="Y174" s="23">
        <f t="shared" si="44"/>
        <v>0</v>
      </c>
      <c r="Z174" s="23">
        <f t="shared" si="45"/>
        <v>0</v>
      </c>
      <c r="AA174" s="23">
        <f t="shared" si="46"/>
        <v>0</v>
      </c>
      <c r="AB174">
        <f>IFERROR(VLOOKUP($A174,[5]库存使用数据!$A:$D,4,0),"")</f>
        <v>0</v>
      </c>
      <c r="AC174">
        <f>IFERROR(VLOOKUP($A174,[5]库存使用数据!$A:$G,7,0),"")</f>
        <v>0</v>
      </c>
      <c r="AD174">
        <f>IFERROR(VLOOKUP($A174,[5]库存使用数据!$A:$J,10,0),"")</f>
        <v>0</v>
      </c>
      <c r="AE174">
        <f>IFERROR(VLOOKUP($A174,[5]库存使用数据!$A:$M,13,0),"")</f>
        <v>0</v>
      </c>
      <c r="AF174" s="23" t="str">
        <f t="shared" si="47"/>
        <v/>
      </c>
      <c r="AG174" s="23" t="str">
        <f t="shared" si="48"/>
        <v/>
      </c>
      <c r="AH174" s="23" t="str">
        <f t="shared" si="49"/>
        <v/>
      </c>
      <c r="AI174" s="23" t="str">
        <f t="shared" si="50"/>
        <v/>
      </c>
      <c r="AJ174">
        <f>IFERROR(VLOOKUP($B174,[1]库存报告使用数据!$A$1:$B$65536,2,0),0)</f>
        <v>3</v>
      </c>
      <c r="AK174">
        <f>IFERROR(VLOOKUP($B174,[1]库存报告使用数据!$A$1:$C$65536,3,0),0)</f>
        <v>2</v>
      </c>
      <c r="AL174">
        <f>IFERROR(VLOOKUP($B174,[1]库存报告使用数据!$A$1:$D$65536,4,0),0)</f>
        <v>1</v>
      </c>
      <c r="AM174">
        <f>IFERROR(VLOOKUP($B174,[1]库存报告使用数据!$A$1:$E$65536,5,0),0)</f>
        <v>0</v>
      </c>
      <c r="AN174" s="23">
        <f t="shared" si="51"/>
        <v>0</v>
      </c>
      <c r="AO174" s="23">
        <f t="shared" si="52"/>
        <v>0</v>
      </c>
      <c r="AP174" s="23">
        <f t="shared" si="53"/>
        <v>0</v>
      </c>
      <c r="AQ174" s="23" t="str">
        <f t="shared" si="54"/>
        <v/>
      </c>
      <c r="AR174" s="38">
        <f t="shared" si="39"/>
        <v>0</v>
      </c>
      <c r="AS174" s="38">
        <f t="shared" si="40"/>
        <v>0</v>
      </c>
      <c r="AT174" s="38">
        <f t="shared" si="41"/>
        <v>26</v>
      </c>
      <c r="AU174" s="33" t="str">
        <f t="shared" si="42"/>
        <v>库存为26</v>
      </c>
      <c r="AV174" s="39" t="str">
        <f>IFERROR(时间!$B$4+AU174,"上周无销量")</f>
        <v>上周无销量</v>
      </c>
    </row>
    <row r="175" spans="1:48">
      <c r="A175" s="35" t="s">
        <v>220</v>
      </c>
      <c r="B175" t="str">
        <f>VLOOKUP(A175,'[2]sku-asin（子）'!$A:$B,2,0)</f>
        <v>B074K4K838</v>
      </c>
      <c r="C175" t="str">
        <f>VLOOKUP(A175,'[2]子sku-父sku'!$A:$B,2,0)</f>
        <v>N531Y</v>
      </c>
      <c r="D175" s="33">
        <f>IFERROR(VLOOKUP(A175,[3]库存报告使用数据处理!$A:$C,3,0),0)</f>
        <v>0</v>
      </c>
      <c r="E175" s="33">
        <f>IFERROR(VLOOKUP(A175,[3]库存报告使用数据处理!$A:$D,4,0),0)</f>
        <v>0</v>
      </c>
      <c r="F175" s="33">
        <f>IFERROR(VLOOKUP(A175,[3]库存报告使用数据处理!$A:$E,5,0),0)</f>
        <v>1</v>
      </c>
      <c r="G175" s="33">
        <f>IFERROR(VLOOKUP(A175,[3]库存报告使用数据处理!$A:$F,6,0),0)</f>
        <v>0</v>
      </c>
      <c r="H175" s="34">
        <f>IFERROR(VLOOKUP(A175,[3]库存报告使用数据处理!$A:$G,7,0),0)</f>
        <v>10.39</v>
      </c>
      <c r="I175">
        <f>IFERROR(VLOOKUP(A175,[4]数据处理!$A:$B,2,0),0)</f>
        <v>28</v>
      </c>
      <c r="J175" s="36">
        <f>IFERROR(VLOOKUP(A175,[4]数据处理!$A:$D,4,0),0)</f>
        <v>0</v>
      </c>
      <c r="K175" s="36">
        <f>IFERROR(VLOOKUP(A175,[4]数据处理!$A:$E,5,0),0)</f>
        <v>0</v>
      </c>
      <c r="L175" s="36">
        <f>IFERROR(VLOOKUP(A175,[4]数据处理!$A:$G,7,0),0)</f>
        <v>0</v>
      </c>
      <c r="M175">
        <f t="shared" si="38"/>
        <v>28</v>
      </c>
      <c r="N175">
        <f>IFERROR(VLOOKUP(A175,[4]数据处理!$A:$C,3,0),0)</f>
        <v>0</v>
      </c>
      <c r="O175">
        <f>IFERROR(VLOOKUP($A175,[4]数据处理!$A:$N,14,0),0)</f>
        <v>28</v>
      </c>
      <c r="P175">
        <f>IFERROR(VLOOKUP($A175,[5]库存使用数据!$A:$B,2,0),"")</f>
        <v>1765</v>
      </c>
      <c r="Q175">
        <f>IFERROR(VLOOKUP($A175,[5]库存使用数据!$A:$E,5,0),"")</f>
        <v>1406</v>
      </c>
      <c r="R175">
        <f>IFERROR(VLOOKUP($A175,[5]库存使用数据!$A:$H,8,0),"")</f>
        <v>973</v>
      </c>
      <c r="S175">
        <f>IFERROR(VLOOKUP($A175,[5]库存使用数据!$A:$K,11,0),"")</f>
        <v>713</v>
      </c>
      <c r="T175">
        <f>IFERROR(VLOOKUP($A175,[5]库存使用数据!$A:$C,3,0),"")</f>
        <v>3</v>
      </c>
      <c r="U175">
        <f>IFERROR(VLOOKUP($A175,[5]库存使用数据!$A:$F,6,0),"")</f>
        <v>3</v>
      </c>
      <c r="V175">
        <f>IFERROR(VLOOKUP($A175,[5]库存使用数据!$A:$I,9,0),"")</f>
        <v>4</v>
      </c>
      <c r="W175">
        <f>IFERROR(VLOOKUP($A175,[5]库存使用数据!$A:$L,12,0),"")</f>
        <v>3</v>
      </c>
      <c r="X175" s="23">
        <f t="shared" si="43"/>
        <v>0.00169971671388102</v>
      </c>
      <c r="Y175" s="23">
        <f t="shared" si="44"/>
        <v>0.00213371266002845</v>
      </c>
      <c r="Z175" s="23">
        <f t="shared" si="45"/>
        <v>0.00411099691675231</v>
      </c>
      <c r="AA175" s="23">
        <f t="shared" si="46"/>
        <v>0.00420757363253857</v>
      </c>
      <c r="AB175">
        <f>IFERROR(VLOOKUP($A175,[5]库存使用数据!$A:$D,4,0),"")</f>
        <v>0.75</v>
      </c>
      <c r="AC175">
        <f>IFERROR(VLOOKUP($A175,[5]库存使用数据!$A:$G,7,0),"")</f>
        <v>0.92</v>
      </c>
      <c r="AD175">
        <f>IFERROR(VLOOKUP($A175,[5]库存使用数据!$A:$J,10,0),"")</f>
        <v>1.1</v>
      </c>
      <c r="AE175">
        <f>IFERROR(VLOOKUP($A175,[5]库存使用数据!$A:$M,13,0),"")</f>
        <v>0.85</v>
      </c>
      <c r="AF175" s="23" t="str">
        <f t="shared" si="47"/>
        <v>无销量广告费为0.75</v>
      </c>
      <c r="AG175" s="23" t="str">
        <f t="shared" si="48"/>
        <v>无销量广告费为0.92</v>
      </c>
      <c r="AH175" s="23">
        <f t="shared" si="49"/>
        <v>0.105871029836381</v>
      </c>
      <c r="AI175" s="23" t="str">
        <f t="shared" si="50"/>
        <v>无销量广告费为0.85</v>
      </c>
      <c r="AJ175">
        <f>IFERROR(VLOOKUP($B175,[1]库存报告使用数据!$A$1:$B$65536,2,0),0)</f>
        <v>4</v>
      </c>
      <c r="AK175">
        <f>IFERROR(VLOOKUP($B175,[1]库存报告使用数据!$A$1:$C$65536,3,0),0)</f>
        <v>4</v>
      </c>
      <c r="AL175">
        <f>IFERROR(VLOOKUP($B175,[1]库存报告使用数据!$A$1:$D$65536,4,0),0)</f>
        <v>4</v>
      </c>
      <c r="AM175">
        <f>IFERROR(VLOOKUP($B175,[1]库存报告使用数据!$A$1:$E$65536,5,0),0)</f>
        <v>5</v>
      </c>
      <c r="AN175" s="23">
        <f t="shared" si="51"/>
        <v>0</v>
      </c>
      <c r="AO175" s="23">
        <f t="shared" si="52"/>
        <v>0</v>
      </c>
      <c r="AP175" s="23">
        <f t="shared" si="53"/>
        <v>0.25</v>
      </c>
      <c r="AQ175" s="23">
        <f t="shared" si="54"/>
        <v>0</v>
      </c>
      <c r="AR175" s="38">
        <f t="shared" si="39"/>
        <v>0</v>
      </c>
      <c r="AS175" s="38">
        <f t="shared" si="40"/>
        <v>0</v>
      </c>
      <c r="AT175" s="38">
        <f t="shared" si="41"/>
        <v>28</v>
      </c>
      <c r="AU175" s="33" t="str">
        <f t="shared" si="42"/>
        <v>库存为28</v>
      </c>
      <c r="AV175" s="39" t="str">
        <f>IFERROR(时间!$B$4+AU175,"上周无销量")</f>
        <v>上周无销量</v>
      </c>
    </row>
    <row r="176" spans="1:48">
      <c r="A176" s="35" t="s">
        <v>221</v>
      </c>
      <c r="B176" t="str">
        <f>VLOOKUP(A176,'[2]sku-asin（子）'!$A:$B,2,0)</f>
        <v>B074K24HL3</v>
      </c>
      <c r="C176" t="str">
        <f>VLOOKUP(A176,'[2]子sku-父sku'!$A:$B,2,0)</f>
        <v>N531Y</v>
      </c>
      <c r="D176" s="33">
        <f>IFERROR(VLOOKUP(A176,[3]库存报告使用数据处理!$A:$C,3,0),0)</f>
        <v>0</v>
      </c>
      <c r="E176" s="33">
        <f>IFERROR(VLOOKUP(A176,[3]库存报告使用数据处理!$A:$D,4,0),0)</f>
        <v>0</v>
      </c>
      <c r="F176" s="33">
        <f>IFERROR(VLOOKUP(A176,[3]库存报告使用数据处理!$A:$E,5,0),0)</f>
        <v>0</v>
      </c>
      <c r="G176" s="33">
        <f>IFERROR(VLOOKUP(A176,[3]库存报告使用数据处理!$A:$F,6,0),0)</f>
        <v>0</v>
      </c>
      <c r="H176" s="34">
        <f>IFERROR(VLOOKUP(A176,[3]库存报告使用数据处理!$A:$G,7,0),0)</f>
        <v>0</v>
      </c>
      <c r="I176">
        <f>IFERROR(VLOOKUP(A176,[4]数据处理!$A:$B,2,0),0)</f>
        <v>28</v>
      </c>
      <c r="J176" s="36">
        <f>IFERROR(VLOOKUP(A176,[4]数据处理!$A:$D,4,0),0)</f>
        <v>0</v>
      </c>
      <c r="K176" s="36">
        <f>IFERROR(VLOOKUP(A176,[4]数据处理!$A:$E,5,0),0)</f>
        <v>0</v>
      </c>
      <c r="L176" s="36">
        <f>IFERROR(VLOOKUP(A176,[4]数据处理!$A:$G,7,0),0)</f>
        <v>0</v>
      </c>
      <c r="M176">
        <f t="shared" si="38"/>
        <v>28</v>
      </c>
      <c r="N176">
        <f>IFERROR(VLOOKUP(A176,[4]数据处理!$A:$C,3,0),0)</f>
        <v>0</v>
      </c>
      <c r="O176">
        <f>IFERROR(VLOOKUP($A176,[4]数据处理!$A:$N,14,0),0)</f>
        <v>28</v>
      </c>
      <c r="P176">
        <f>IFERROR(VLOOKUP($A176,[5]库存使用数据!$A:$B,2,0),"")</f>
        <v>10</v>
      </c>
      <c r="Q176">
        <f>IFERROR(VLOOKUP($A176,[5]库存使用数据!$A:$E,5,0),"")</f>
        <v>9</v>
      </c>
      <c r="R176">
        <f>IFERROR(VLOOKUP($A176,[5]库存使用数据!$A:$H,8,0),"")</f>
        <v>28</v>
      </c>
      <c r="S176">
        <f>IFERROR(VLOOKUP($A176,[5]库存使用数据!$A:$K,11,0),"")</f>
        <v>28</v>
      </c>
      <c r="T176">
        <f>IFERROR(VLOOKUP($A176,[5]库存使用数据!$A:$C,3,0),"")</f>
        <v>0</v>
      </c>
      <c r="U176">
        <f>IFERROR(VLOOKUP($A176,[5]库存使用数据!$A:$F,6,0),"")</f>
        <v>0</v>
      </c>
      <c r="V176">
        <f>IFERROR(VLOOKUP($A176,[5]库存使用数据!$A:$I,9,0),"")</f>
        <v>1</v>
      </c>
      <c r="W176">
        <f>IFERROR(VLOOKUP($A176,[5]库存使用数据!$A:$L,12,0),"")</f>
        <v>0</v>
      </c>
      <c r="X176" s="23">
        <f t="shared" si="43"/>
        <v>0</v>
      </c>
      <c r="Y176" s="23">
        <f t="shared" si="44"/>
        <v>0</v>
      </c>
      <c r="Z176" s="23">
        <f t="shared" si="45"/>
        <v>0.0357142857142857</v>
      </c>
      <c r="AA176" s="23">
        <f t="shared" si="46"/>
        <v>0</v>
      </c>
      <c r="AB176">
        <f>IFERROR(VLOOKUP($A176,[5]库存使用数据!$A:$D,4,0),"")</f>
        <v>0</v>
      </c>
      <c r="AC176">
        <f>IFERROR(VLOOKUP($A176,[5]库存使用数据!$A:$G,7,0),"")</f>
        <v>0</v>
      </c>
      <c r="AD176">
        <f>IFERROR(VLOOKUP($A176,[5]库存使用数据!$A:$J,10,0),"")</f>
        <v>0.14</v>
      </c>
      <c r="AE176">
        <f>IFERROR(VLOOKUP($A176,[5]库存使用数据!$A:$M,13,0),"")</f>
        <v>0</v>
      </c>
      <c r="AF176" s="23" t="str">
        <f t="shared" si="47"/>
        <v/>
      </c>
      <c r="AG176" s="23" t="str">
        <f t="shared" si="48"/>
        <v/>
      </c>
      <c r="AH176" s="23" t="str">
        <f t="shared" si="49"/>
        <v>无销量广告费为0.14</v>
      </c>
      <c r="AI176" s="23" t="str">
        <f t="shared" si="50"/>
        <v/>
      </c>
      <c r="AJ176">
        <f>IFERROR(VLOOKUP($B176,[1]库存报告使用数据!$A$1:$B$65536,2,0),0)</f>
        <v>3</v>
      </c>
      <c r="AK176">
        <f>IFERROR(VLOOKUP($B176,[1]库存报告使用数据!$A$1:$C$65536,3,0),0)</f>
        <v>1</v>
      </c>
      <c r="AL176">
        <f>IFERROR(VLOOKUP($B176,[1]库存报告使用数据!$A$1:$D$65536,4,0),0)</f>
        <v>1</v>
      </c>
      <c r="AM176">
        <f>IFERROR(VLOOKUP($B176,[1]库存报告使用数据!$A$1:$E$65536,5,0),0)</f>
        <v>2</v>
      </c>
      <c r="AN176" s="23">
        <f t="shared" si="51"/>
        <v>0</v>
      </c>
      <c r="AO176" s="23">
        <f t="shared" si="52"/>
        <v>0</v>
      </c>
      <c r="AP176" s="23">
        <f t="shared" si="53"/>
        <v>0</v>
      </c>
      <c r="AQ176" s="23">
        <f t="shared" si="54"/>
        <v>0</v>
      </c>
      <c r="AR176" s="38">
        <f t="shared" si="39"/>
        <v>0</v>
      </c>
      <c r="AS176" s="38">
        <f t="shared" si="40"/>
        <v>0</v>
      </c>
      <c r="AT176" s="38">
        <f t="shared" si="41"/>
        <v>28</v>
      </c>
      <c r="AU176" s="33" t="str">
        <f t="shared" si="42"/>
        <v>库存为28</v>
      </c>
      <c r="AV176" s="39" t="str">
        <f>IFERROR(时间!$B$4+AU176,"上周无销量")</f>
        <v>上周无销量</v>
      </c>
    </row>
    <row r="177" spans="1:48">
      <c r="A177" s="35" t="s">
        <v>222</v>
      </c>
      <c r="B177" t="str">
        <f>VLOOKUP(A177,'[2]sku-asin（子）'!$A:$B,2,0)</f>
        <v>B074JXQX4Z</v>
      </c>
      <c r="C177" t="str">
        <f>VLOOKUP(A177,'[2]子sku-父sku'!$A:$B,2,0)</f>
        <v>N531Y</v>
      </c>
      <c r="D177" s="33">
        <f>IFERROR(VLOOKUP(A177,[3]库存报告使用数据处理!$A:$C,3,0),0)</f>
        <v>0</v>
      </c>
      <c r="E177" s="33">
        <f>IFERROR(VLOOKUP(A177,[3]库存报告使用数据处理!$A:$D,4,0),0)</f>
        <v>0</v>
      </c>
      <c r="F177" s="33">
        <f>IFERROR(VLOOKUP(A177,[3]库存报告使用数据处理!$A:$E,5,0),0)</f>
        <v>0</v>
      </c>
      <c r="G177" s="33">
        <f>IFERROR(VLOOKUP(A177,[3]库存报告使用数据处理!$A:$F,6,0),0)</f>
        <v>0</v>
      </c>
      <c r="H177" s="34">
        <f>IFERROR(VLOOKUP(A177,[3]库存报告使用数据处理!$A:$G,7,0),0)</f>
        <v>0</v>
      </c>
      <c r="I177">
        <f>IFERROR(VLOOKUP(A177,[4]数据处理!$A:$B,2,0),0)</f>
        <v>26</v>
      </c>
      <c r="J177" s="36">
        <f>IFERROR(VLOOKUP(A177,[4]数据处理!$A:$D,4,0),0)</f>
        <v>0</v>
      </c>
      <c r="K177" s="36">
        <f>IFERROR(VLOOKUP(A177,[4]数据处理!$A:$E,5,0),0)</f>
        <v>0</v>
      </c>
      <c r="L177" s="36">
        <f>IFERROR(VLOOKUP(A177,[4]数据处理!$A:$G,7,0),0)</f>
        <v>0</v>
      </c>
      <c r="M177">
        <f t="shared" si="38"/>
        <v>26</v>
      </c>
      <c r="N177">
        <f>IFERROR(VLOOKUP(A177,[4]数据处理!$A:$C,3,0),0)</f>
        <v>0</v>
      </c>
      <c r="O177">
        <f>IFERROR(VLOOKUP($A177,[4]数据处理!$A:$N,14,0),0)</f>
        <v>26</v>
      </c>
      <c r="P177">
        <f>IFERROR(VLOOKUP($A177,[5]库存使用数据!$A:$B,2,0),"")</f>
        <v>9</v>
      </c>
      <c r="Q177">
        <f>IFERROR(VLOOKUP($A177,[5]库存使用数据!$A:$E,5,0),"")</f>
        <v>5</v>
      </c>
      <c r="R177">
        <f>IFERROR(VLOOKUP($A177,[5]库存使用数据!$A:$H,8,0),"")</f>
        <v>10</v>
      </c>
      <c r="S177">
        <f>IFERROR(VLOOKUP($A177,[5]库存使用数据!$A:$K,11,0),"")</f>
        <v>10</v>
      </c>
      <c r="T177">
        <f>IFERROR(VLOOKUP($A177,[5]库存使用数据!$A:$C,3,0),"")</f>
        <v>0</v>
      </c>
      <c r="U177">
        <f>IFERROR(VLOOKUP($A177,[5]库存使用数据!$A:$F,6,0),"")</f>
        <v>0</v>
      </c>
      <c r="V177">
        <f>IFERROR(VLOOKUP($A177,[5]库存使用数据!$A:$I,9,0),"")</f>
        <v>0</v>
      </c>
      <c r="W177">
        <f>IFERROR(VLOOKUP($A177,[5]库存使用数据!$A:$L,12,0),"")</f>
        <v>0</v>
      </c>
      <c r="X177" s="23">
        <f t="shared" si="43"/>
        <v>0</v>
      </c>
      <c r="Y177" s="23">
        <f t="shared" si="44"/>
        <v>0</v>
      </c>
      <c r="Z177" s="23">
        <f t="shared" si="45"/>
        <v>0</v>
      </c>
      <c r="AA177" s="23">
        <f t="shared" si="46"/>
        <v>0</v>
      </c>
      <c r="AB177">
        <f>IFERROR(VLOOKUP($A177,[5]库存使用数据!$A:$D,4,0),"")</f>
        <v>0</v>
      </c>
      <c r="AC177">
        <f>IFERROR(VLOOKUP($A177,[5]库存使用数据!$A:$G,7,0),"")</f>
        <v>0</v>
      </c>
      <c r="AD177">
        <f>IFERROR(VLOOKUP($A177,[5]库存使用数据!$A:$J,10,0),"")</f>
        <v>0</v>
      </c>
      <c r="AE177">
        <f>IFERROR(VLOOKUP($A177,[5]库存使用数据!$A:$M,13,0),"")</f>
        <v>0</v>
      </c>
      <c r="AF177" s="23" t="str">
        <f t="shared" si="47"/>
        <v/>
      </c>
      <c r="AG177" s="23" t="str">
        <f t="shared" si="48"/>
        <v/>
      </c>
      <c r="AH177" s="23" t="str">
        <f t="shared" si="49"/>
        <v/>
      </c>
      <c r="AI177" s="23" t="str">
        <f t="shared" si="50"/>
        <v/>
      </c>
      <c r="AJ177">
        <f>IFERROR(VLOOKUP($B177,[1]库存报告使用数据!$A$1:$B$65536,2,0),0)</f>
        <v>4</v>
      </c>
      <c r="AK177">
        <f>IFERROR(VLOOKUP($B177,[1]库存报告使用数据!$A$1:$C$65536,3,0),0)</f>
        <v>5</v>
      </c>
      <c r="AL177">
        <f>IFERROR(VLOOKUP($B177,[1]库存报告使用数据!$A$1:$D$65536,4,0),0)</f>
        <v>0</v>
      </c>
      <c r="AM177">
        <f>IFERROR(VLOOKUP($B177,[1]库存报告使用数据!$A$1:$E$65536,5,0),0)</f>
        <v>0</v>
      </c>
      <c r="AN177" s="23">
        <f t="shared" si="51"/>
        <v>0</v>
      </c>
      <c r="AO177" s="23">
        <f t="shared" si="52"/>
        <v>0</v>
      </c>
      <c r="AP177" s="23" t="str">
        <f t="shared" si="53"/>
        <v/>
      </c>
      <c r="AQ177" s="23" t="str">
        <f t="shared" si="54"/>
        <v/>
      </c>
      <c r="AR177" s="38">
        <f t="shared" si="39"/>
        <v>0</v>
      </c>
      <c r="AS177" s="38">
        <f t="shared" si="40"/>
        <v>0</v>
      </c>
      <c r="AT177" s="38">
        <f t="shared" si="41"/>
        <v>26</v>
      </c>
      <c r="AU177" s="33" t="str">
        <f t="shared" si="42"/>
        <v>库存为26</v>
      </c>
      <c r="AV177" s="39" t="str">
        <f>IFERROR(时间!$B$4+AU177,"上周无销量")</f>
        <v>上周无销量</v>
      </c>
    </row>
    <row r="178" spans="1:48">
      <c r="A178" s="35" t="s">
        <v>223</v>
      </c>
      <c r="B178" t="str">
        <f>VLOOKUP(A178,'[2]sku-asin（子）'!$A:$B,2,0)</f>
        <v>B074JXFM38</v>
      </c>
      <c r="C178" t="str">
        <f>VLOOKUP(A178,'[2]子sku-父sku'!$A:$B,2,0)</f>
        <v>N531Y</v>
      </c>
      <c r="D178" s="33">
        <f>IFERROR(VLOOKUP(A178,[3]库存报告使用数据处理!$A:$C,3,0),0)</f>
        <v>0</v>
      </c>
      <c r="E178" s="33">
        <f>IFERROR(VLOOKUP(A178,[3]库存报告使用数据处理!$A:$D,4,0),0)</f>
        <v>0</v>
      </c>
      <c r="F178" s="33">
        <f>IFERROR(VLOOKUP(A178,[3]库存报告使用数据处理!$A:$E,5,0),0)</f>
        <v>0</v>
      </c>
      <c r="G178" s="33">
        <f>IFERROR(VLOOKUP(A178,[3]库存报告使用数据处理!$A:$F,6,0),0)</f>
        <v>0</v>
      </c>
      <c r="H178" s="34">
        <f>IFERROR(VLOOKUP(A178,[3]库存报告使用数据处理!$A:$G,7,0),0)</f>
        <v>0</v>
      </c>
      <c r="I178">
        <f>IFERROR(VLOOKUP(A178,[4]数据处理!$A:$B,2,0),0)</f>
        <v>30</v>
      </c>
      <c r="J178" s="36">
        <f>IFERROR(VLOOKUP(A178,[4]数据处理!$A:$D,4,0),0)</f>
        <v>0</v>
      </c>
      <c r="K178" s="36">
        <f>IFERROR(VLOOKUP(A178,[4]数据处理!$A:$E,5,0),0)</f>
        <v>0</v>
      </c>
      <c r="L178" s="36">
        <f>IFERROR(VLOOKUP(A178,[4]数据处理!$A:$G,7,0),0)</f>
        <v>0</v>
      </c>
      <c r="M178">
        <f t="shared" si="38"/>
        <v>30</v>
      </c>
      <c r="N178">
        <f>IFERROR(VLOOKUP(A178,[4]数据处理!$A:$C,3,0),0)</f>
        <v>0</v>
      </c>
      <c r="O178">
        <f>IFERROR(VLOOKUP($A178,[4]数据处理!$A:$N,14,0),0)</f>
        <v>30</v>
      </c>
      <c r="P178">
        <f>IFERROR(VLOOKUP($A178,[5]库存使用数据!$A:$B,2,0),"")</f>
        <v>91</v>
      </c>
      <c r="Q178">
        <f>IFERROR(VLOOKUP($A178,[5]库存使用数据!$A:$E,5,0),"")</f>
        <v>84</v>
      </c>
      <c r="R178">
        <f>IFERROR(VLOOKUP($A178,[5]库存使用数据!$A:$H,8,0),"")</f>
        <v>122</v>
      </c>
      <c r="S178">
        <f>IFERROR(VLOOKUP($A178,[5]库存使用数据!$A:$K,11,0),"")</f>
        <v>199</v>
      </c>
      <c r="T178">
        <f>IFERROR(VLOOKUP($A178,[5]库存使用数据!$A:$C,3,0),"")</f>
        <v>0</v>
      </c>
      <c r="U178">
        <f>IFERROR(VLOOKUP($A178,[5]库存使用数据!$A:$F,6,0),"")</f>
        <v>1</v>
      </c>
      <c r="V178">
        <f>IFERROR(VLOOKUP($A178,[5]库存使用数据!$A:$I,9,0),"")</f>
        <v>1</v>
      </c>
      <c r="W178">
        <f>IFERROR(VLOOKUP($A178,[5]库存使用数据!$A:$L,12,0),"")</f>
        <v>0</v>
      </c>
      <c r="X178" s="23">
        <f t="shared" si="43"/>
        <v>0</v>
      </c>
      <c r="Y178" s="23">
        <f t="shared" si="44"/>
        <v>0.0119047619047619</v>
      </c>
      <c r="Z178" s="23">
        <f t="shared" si="45"/>
        <v>0.00819672131147541</v>
      </c>
      <c r="AA178" s="23">
        <f t="shared" si="46"/>
        <v>0</v>
      </c>
      <c r="AB178">
        <f>IFERROR(VLOOKUP($A178,[5]库存使用数据!$A:$D,4,0),"")</f>
        <v>0</v>
      </c>
      <c r="AC178">
        <f>IFERROR(VLOOKUP($A178,[5]库存使用数据!$A:$G,7,0),"")</f>
        <v>0.31</v>
      </c>
      <c r="AD178">
        <f>IFERROR(VLOOKUP($A178,[5]库存使用数据!$A:$J,10,0),"")</f>
        <v>0.41</v>
      </c>
      <c r="AE178">
        <f>IFERROR(VLOOKUP($A178,[5]库存使用数据!$A:$M,13,0),"")</f>
        <v>0</v>
      </c>
      <c r="AF178" s="23" t="str">
        <f t="shared" si="47"/>
        <v/>
      </c>
      <c r="AG178" s="23" t="str">
        <f t="shared" si="48"/>
        <v>无销量广告费为0.31</v>
      </c>
      <c r="AH178" s="23" t="str">
        <f t="shared" si="49"/>
        <v>无销量广告费为0.41</v>
      </c>
      <c r="AI178" s="23" t="str">
        <f t="shared" si="50"/>
        <v/>
      </c>
      <c r="AJ178">
        <f>IFERROR(VLOOKUP($B178,[1]库存报告使用数据!$A$1:$B$65536,2,0),0)</f>
        <v>4</v>
      </c>
      <c r="AK178">
        <f>IFERROR(VLOOKUP($B178,[1]库存报告使用数据!$A$1:$C$65536,3,0),0)</f>
        <v>4</v>
      </c>
      <c r="AL178">
        <f>IFERROR(VLOOKUP($B178,[1]库存报告使用数据!$A$1:$D$65536,4,0),0)</f>
        <v>1</v>
      </c>
      <c r="AM178">
        <f>IFERROR(VLOOKUP($B178,[1]库存报告使用数据!$A$1:$E$65536,5,0),0)</f>
        <v>0</v>
      </c>
      <c r="AN178" s="23">
        <f t="shared" si="51"/>
        <v>0</v>
      </c>
      <c r="AO178" s="23">
        <f t="shared" si="52"/>
        <v>0</v>
      </c>
      <c r="AP178" s="23">
        <f t="shared" si="53"/>
        <v>0</v>
      </c>
      <c r="AQ178" s="23" t="str">
        <f t="shared" si="54"/>
        <v/>
      </c>
      <c r="AR178" s="38">
        <f t="shared" si="39"/>
        <v>0</v>
      </c>
      <c r="AS178" s="38">
        <f t="shared" si="40"/>
        <v>0</v>
      </c>
      <c r="AT178" s="38">
        <f t="shared" si="41"/>
        <v>30</v>
      </c>
      <c r="AU178" s="33" t="str">
        <f t="shared" si="42"/>
        <v>库存为30</v>
      </c>
      <c r="AV178" s="39" t="str">
        <f>IFERROR(时间!$B$4+AU178,"上周无销量")</f>
        <v>上周无销量</v>
      </c>
    </row>
    <row r="179" spans="1:48">
      <c r="A179" s="35" t="s">
        <v>224</v>
      </c>
      <c r="B179" t="str">
        <f>VLOOKUP(A179,'[2]sku-asin（子）'!$A:$B,2,0)</f>
        <v>B074JZ1THP</v>
      </c>
      <c r="C179" t="str">
        <f>VLOOKUP(A179,'[2]子sku-父sku'!$A:$B,2,0)</f>
        <v>N531Y</v>
      </c>
      <c r="D179" s="33">
        <f>IFERROR(VLOOKUP(A179,[3]库存报告使用数据处理!$A:$C,3,0),0)</f>
        <v>0</v>
      </c>
      <c r="E179" s="33">
        <f>IFERROR(VLOOKUP(A179,[3]库存报告使用数据处理!$A:$D,4,0),0)</f>
        <v>0</v>
      </c>
      <c r="F179" s="33">
        <f>IFERROR(VLOOKUP(A179,[3]库存报告使用数据处理!$A:$E,5,0),0)</f>
        <v>0</v>
      </c>
      <c r="G179" s="33">
        <f>IFERROR(VLOOKUP(A179,[3]库存报告使用数据处理!$A:$F,6,0),0)</f>
        <v>0</v>
      </c>
      <c r="H179" s="34">
        <f>IFERROR(VLOOKUP(A179,[3]库存报告使用数据处理!$A:$G,7,0),0)</f>
        <v>0</v>
      </c>
      <c r="I179">
        <f>IFERROR(VLOOKUP(A179,[4]数据处理!$A:$B,2,0),0)</f>
        <v>27</v>
      </c>
      <c r="J179" s="36">
        <f>IFERROR(VLOOKUP(A179,[4]数据处理!$A:$D,4,0),0)</f>
        <v>0</v>
      </c>
      <c r="K179" s="36">
        <f>IFERROR(VLOOKUP(A179,[4]数据处理!$A:$E,5,0),0)</f>
        <v>0</v>
      </c>
      <c r="L179" s="36">
        <f>IFERROR(VLOOKUP(A179,[4]数据处理!$A:$G,7,0),0)</f>
        <v>0</v>
      </c>
      <c r="M179">
        <f t="shared" si="38"/>
        <v>27</v>
      </c>
      <c r="N179">
        <f>IFERROR(VLOOKUP(A179,[4]数据处理!$A:$C,3,0),0)</f>
        <v>0</v>
      </c>
      <c r="O179">
        <f>IFERROR(VLOOKUP($A179,[4]数据处理!$A:$N,14,0),0)</f>
        <v>27</v>
      </c>
      <c r="P179">
        <f>IFERROR(VLOOKUP($A179,[5]库存使用数据!$A:$B,2,0),"")</f>
        <v>2577</v>
      </c>
      <c r="Q179">
        <f>IFERROR(VLOOKUP($A179,[5]库存使用数据!$A:$E,5,0),"")</f>
        <v>2024</v>
      </c>
      <c r="R179">
        <f>IFERROR(VLOOKUP($A179,[5]库存使用数据!$A:$H,8,0),"")</f>
        <v>831</v>
      </c>
      <c r="S179">
        <f>IFERROR(VLOOKUP($A179,[5]库存使用数据!$A:$K,11,0),"")</f>
        <v>772</v>
      </c>
      <c r="T179">
        <f>IFERROR(VLOOKUP($A179,[5]库存使用数据!$A:$C,3,0),"")</f>
        <v>21</v>
      </c>
      <c r="U179">
        <f>IFERROR(VLOOKUP($A179,[5]库存使用数据!$A:$F,6,0),"")</f>
        <v>20</v>
      </c>
      <c r="V179">
        <f>IFERROR(VLOOKUP($A179,[5]库存使用数据!$A:$I,9,0),"")</f>
        <v>2</v>
      </c>
      <c r="W179">
        <f>IFERROR(VLOOKUP($A179,[5]库存使用数据!$A:$L,12,0),"")</f>
        <v>7</v>
      </c>
      <c r="X179" s="23">
        <f t="shared" si="43"/>
        <v>0.00814901047729918</v>
      </c>
      <c r="Y179" s="23">
        <f t="shared" si="44"/>
        <v>0.00988142292490119</v>
      </c>
      <c r="Z179" s="23">
        <f t="shared" si="45"/>
        <v>0.00240673886883273</v>
      </c>
      <c r="AA179" s="23">
        <f t="shared" si="46"/>
        <v>0.00906735751295337</v>
      </c>
      <c r="AB179">
        <f>IFERROR(VLOOKUP($A179,[5]库存使用数据!$A:$D,4,0),"")</f>
        <v>3.65</v>
      </c>
      <c r="AC179">
        <f>IFERROR(VLOOKUP($A179,[5]库存使用数据!$A:$G,7,0),"")</f>
        <v>4.21</v>
      </c>
      <c r="AD179">
        <f>IFERROR(VLOOKUP($A179,[5]库存使用数据!$A:$J,10,0),"")</f>
        <v>0.8</v>
      </c>
      <c r="AE179">
        <f>IFERROR(VLOOKUP($A179,[5]库存使用数据!$A:$M,13,0),"")</f>
        <v>2.34</v>
      </c>
      <c r="AF179" s="23" t="str">
        <f t="shared" si="47"/>
        <v>无销量广告费为3.65</v>
      </c>
      <c r="AG179" s="23" t="str">
        <f t="shared" si="48"/>
        <v>无销量广告费为4.21</v>
      </c>
      <c r="AH179" s="23" t="str">
        <f t="shared" si="49"/>
        <v>无销量广告费为0.8</v>
      </c>
      <c r="AI179" s="23" t="str">
        <f t="shared" si="50"/>
        <v>无销量广告费为2.34</v>
      </c>
      <c r="AJ179">
        <f>IFERROR(VLOOKUP($B179,[1]库存报告使用数据!$A$1:$B$65536,2,0),0)</f>
        <v>7</v>
      </c>
      <c r="AK179">
        <f>IFERROR(VLOOKUP($B179,[1]库存报告使用数据!$A$1:$C$65536,3,0),0)</f>
        <v>13</v>
      </c>
      <c r="AL179">
        <f>IFERROR(VLOOKUP($B179,[1]库存报告使用数据!$A$1:$D$65536,4,0),0)</f>
        <v>2</v>
      </c>
      <c r="AM179">
        <f>IFERROR(VLOOKUP($B179,[1]库存报告使用数据!$A$1:$E$65536,5,0),0)</f>
        <v>4</v>
      </c>
      <c r="AN179" s="23">
        <f t="shared" si="51"/>
        <v>0</v>
      </c>
      <c r="AO179" s="23">
        <f t="shared" si="52"/>
        <v>0</v>
      </c>
      <c r="AP179" s="23">
        <f t="shared" si="53"/>
        <v>0</v>
      </c>
      <c r="AQ179" s="23">
        <f t="shared" si="54"/>
        <v>0</v>
      </c>
      <c r="AR179" s="38">
        <f t="shared" si="39"/>
        <v>0</v>
      </c>
      <c r="AS179" s="38">
        <f t="shared" si="40"/>
        <v>0</v>
      </c>
      <c r="AT179" s="38">
        <f t="shared" si="41"/>
        <v>27</v>
      </c>
      <c r="AU179" s="33" t="str">
        <f t="shared" si="42"/>
        <v>库存为27</v>
      </c>
      <c r="AV179" s="39" t="str">
        <f>IFERROR(时间!$B$4+AU179,"上周无销量")</f>
        <v>上周无销量</v>
      </c>
    </row>
    <row r="180" spans="1:48">
      <c r="A180" s="35" t="s">
        <v>225</v>
      </c>
      <c r="B180" t="str">
        <f>VLOOKUP(A180,'[2]sku-asin（子）'!$A:$B,2,0)</f>
        <v>B074K3VJ4G</v>
      </c>
      <c r="C180" t="str">
        <f>VLOOKUP(A180,'[2]子sku-父sku'!$A:$B,2,0)</f>
        <v>N531Y</v>
      </c>
      <c r="D180" s="33">
        <f>IFERROR(VLOOKUP(A180,[3]库存报告使用数据处理!$A:$C,3,0),0)</f>
        <v>0</v>
      </c>
      <c r="E180" s="33">
        <f>IFERROR(VLOOKUP(A180,[3]库存报告使用数据处理!$A:$D,4,0),0)</f>
        <v>0</v>
      </c>
      <c r="F180" s="33">
        <f>IFERROR(VLOOKUP(A180,[3]库存报告使用数据处理!$A:$E,5,0),0)</f>
        <v>0</v>
      </c>
      <c r="G180" s="33">
        <f>IFERROR(VLOOKUP(A180,[3]库存报告使用数据处理!$A:$F,6,0),0)</f>
        <v>0</v>
      </c>
      <c r="H180" s="34">
        <f>IFERROR(VLOOKUP(A180,[3]库存报告使用数据处理!$A:$G,7,0),0)</f>
        <v>0</v>
      </c>
      <c r="I180">
        <f>IFERROR(VLOOKUP(A180,[4]数据处理!$A:$B,2,0),0)</f>
        <v>28</v>
      </c>
      <c r="J180" s="36">
        <f>IFERROR(VLOOKUP(A180,[4]数据处理!$A:$D,4,0),0)</f>
        <v>0</v>
      </c>
      <c r="K180" s="36">
        <f>IFERROR(VLOOKUP(A180,[4]数据处理!$A:$E,5,0),0)</f>
        <v>0</v>
      </c>
      <c r="L180" s="36">
        <f>IFERROR(VLOOKUP(A180,[4]数据处理!$A:$G,7,0),0)</f>
        <v>0</v>
      </c>
      <c r="M180">
        <f t="shared" si="38"/>
        <v>28</v>
      </c>
      <c r="N180">
        <f>IFERROR(VLOOKUP(A180,[4]数据处理!$A:$C,3,0),0)</f>
        <v>0</v>
      </c>
      <c r="O180">
        <f>IFERROR(VLOOKUP($A180,[4]数据处理!$A:$N,14,0),0)</f>
        <v>27</v>
      </c>
      <c r="P180">
        <f>IFERROR(VLOOKUP($A180,[5]库存使用数据!$A:$B,2,0),"")</f>
        <v>28</v>
      </c>
      <c r="Q180">
        <f>IFERROR(VLOOKUP($A180,[5]库存使用数据!$A:$E,5,0),"")</f>
        <v>38</v>
      </c>
      <c r="R180">
        <f>IFERROR(VLOOKUP($A180,[5]库存使用数据!$A:$H,8,0),"")</f>
        <v>29</v>
      </c>
      <c r="S180">
        <f>IFERROR(VLOOKUP($A180,[5]库存使用数据!$A:$K,11,0),"")</f>
        <v>19</v>
      </c>
      <c r="T180">
        <f>IFERROR(VLOOKUP($A180,[5]库存使用数据!$A:$C,3,0),"")</f>
        <v>1</v>
      </c>
      <c r="U180">
        <f>IFERROR(VLOOKUP($A180,[5]库存使用数据!$A:$F,6,0),"")</f>
        <v>3</v>
      </c>
      <c r="V180">
        <f>IFERROR(VLOOKUP($A180,[5]库存使用数据!$A:$I,9,0),"")</f>
        <v>0</v>
      </c>
      <c r="W180">
        <f>IFERROR(VLOOKUP($A180,[5]库存使用数据!$A:$L,12,0),"")</f>
        <v>1</v>
      </c>
      <c r="X180" s="23">
        <f t="shared" si="43"/>
        <v>0.0357142857142857</v>
      </c>
      <c r="Y180" s="23">
        <f t="shared" si="44"/>
        <v>0.0789473684210526</v>
      </c>
      <c r="Z180" s="23">
        <f t="shared" si="45"/>
        <v>0</v>
      </c>
      <c r="AA180" s="23">
        <f t="shared" si="46"/>
        <v>0.0526315789473684</v>
      </c>
      <c r="AB180">
        <f>IFERROR(VLOOKUP($A180,[5]库存使用数据!$A:$D,4,0),"")</f>
        <v>0.19</v>
      </c>
      <c r="AC180">
        <f>IFERROR(VLOOKUP($A180,[5]库存使用数据!$A:$G,7,0),"")</f>
        <v>0.93</v>
      </c>
      <c r="AD180">
        <f>IFERROR(VLOOKUP($A180,[5]库存使用数据!$A:$J,10,0),"")</f>
        <v>0</v>
      </c>
      <c r="AE180">
        <f>IFERROR(VLOOKUP($A180,[5]库存使用数据!$A:$M,13,0),"")</f>
        <v>0.6</v>
      </c>
      <c r="AF180" s="23" t="str">
        <f t="shared" si="47"/>
        <v>无销量广告费为0.19</v>
      </c>
      <c r="AG180" s="23" t="str">
        <f t="shared" si="48"/>
        <v>无销量广告费为0.93</v>
      </c>
      <c r="AH180" s="23" t="str">
        <f t="shared" si="49"/>
        <v/>
      </c>
      <c r="AI180" s="23" t="str">
        <f t="shared" si="50"/>
        <v>无销量广告费为0.6</v>
      </c>
      <c r="AJ180">
        <f>IFERROR(VLOOKUP($B180,[1]库存报告使用数据!$A$1:$B$65536,2,0),0)</f>
        <v>3</v>
      </c>
      <c r="AK180">
        <f>IFERROR(VLOOKUP($B180,[1]库存报告使用数据!$A$1:$C$65536,3,0),0)</f>
        <v>2</v>
      </c>
      <c r="AL180">
        <f>IFERROR(VLOOKUP($B180,[1]库存报告使用数据!$A$1:$D$65536,4,0),0)</f>
        <v>2</v>
      </c>
      <c r="AM180">
        <f>IFERROR(VLOOKUP($B180,[1]库存报告使用数据!$A$1:$E$65536,5,0),0)</f>
        <v>1</v>
      </c>
      <c r="AN180" s="23">
        <f t="shared" si="51"/>
        <v>0</v>
      </c>
      <c r="AO180" s="23">
        <f t="shared" si="52"/>
        <v>0</v>
      </c>
      <c r="AP180" s="23">
        <f t="shared" si="53"/>
        <v>0</v>
      </c>
      <c r="AQ180" s="23">
        <f t="shared" si="54"/>
        <v>0</v>
      </c>
      <c r="AR180" s="38">
        <f t="shared" si="39"/>
        <v>0</v>
      </c>
      <c r="AS180" s="38">
        <f t="shared" si="40"/>
        <v>0</v>
      </c>
      <c r="AT180" s="38">
        <f t="shared" si="41"/>
        <v>28</v>
      </c>
      <c r="AU180" s="33" t="str">
        <f t="shared" si="42"/>
        <v>库存为28</v>
      </c>
      <c r="AV180" s="39" t="str">
        <f>IFERROR(时间!$B$4+AU180,"上周无销量")</f>
        <v>上周无销量</v>
      </c>
    </row>
    <row r="181" spans="1:48">
      <c r="A181" s="35" t="s">
        <v>226</v>
      </c>
      <c r="B181" t="str">
        <f>VLOOKUP(A181,'[2]sku-asin（子）'!$A:$B,2,0)</f>
        <v>B074K53FDK</v>
      </c>
      <c r="C181" t="str">
        <f>VLOOKUP(A181,'[2]子sku-父sku'!$A:$B,2,0)</f>
        <v>N531Y</v>
      </c>
      <c r="D181" s="33">
        <f>IFERROR(VLOOKUP(A181,[3]库存报告使用数据处理!$A:$C,3,0),0)</f>
        <v>0</v>
      </c>
      <c r="E181" s="33">
        <f>IFERROR(VLOOKUP(A181,[3]库存报告使用数据处理!$A:$D,4,0),0)</f>
        <v>0</v>
      </c>
      <c r="F181" s="33">
        <f>IFERROR(VLOOKUP(A181,[3]库存报告使用数据处理!$A:$E,5,0),0)</f>
        <v>0</v>
      </c>
      <c r="G181" s="33">
        <f>IFERROR(VLOOKUP(A181,[3]库存报告使用数据处理!$A:$F,6,0),0)</f>
        <v>0</v>
      </c>
      <c r="H181" s="34">
        <f>IFERROR(VLOOKUP(A181,[3]库存报告使用数据处理!$A:$G,7,0),0)</f>
        <v>0</v>
      </c>
      <c r="I181">
        <f>IFERROR(VLOOKUP(A181,[4]数据处理!$A:$B,2,0),0)</f>
        <v>29</v>
      </c>
      <c r="J181" s="36">
        <f>IFERROR(VLOOKUP(A181,[4]数据处理!$A:$D,4,0),0)</f>
        <v>0</v>
      </c>
      <c r="K181" s="36">
        <f>IFERROR(VLOOKUP(A181,[4]数据处理!$A:$E,5,0),0)</f>
        <v>0</v>
      </c>
      <c r="L181" s="36">
        <f>IFERROR(VLOOKUP(A181,[4]数据处理!$A:$G,7,0),0)</f>
        <v>0</v>
      </c>
      <c r="M181">
        <f t="shared" si="38"/>
        <v>29</v>
      </c>
      <c r="N181">
        <f>IFERROR(VLOOKUP(A181,[4]数据处理!$A:$C,3,0),0)</f>
        <v>0</v>
      </c>
      <c r="O181">
        <f>IFERROR(VLOOKUP($A181,[4]数据处理!$A:$N,14,0),0)</f>
        <v>29</v>
      </c>
      <c r="P181">
        <f>IFERROR(VLOOKUP($A181,[5]库存使用数据!$A:$B,2,0),"")</f>
        <v>6</v>
      </c>
      <c r="Q181">
        <f>IFERROR(VLOOKUP($A181,[5]库存使用数据!$A:$E,5,0),"")</f>
        <v>11</v>
      </c>
      <c r="R181">
        <f>IFERROR(VLOOKUP($A181,[5]库存使用数据!$A:$H,8,0),"")</f>
        <v>16</v>
      </c>
      <c r="S181">
        <f>IFERROR(VLOOKUP($A181,[5]库存使用数据!$A:$K,11,0),"")</f>
        <v>19</v>
      </c>
      <c r="T181">
        <f>IFERROR(VLOOKUP($A181,[5]库存使用数据!$A:$C,3,0),"")</f>
        <v>0</v>
      </c>
      <c r="U181">
        <f>IFERROR(VLOOKUP($A181,[5]库存使用数据!$A:$F,6,0),"")</f>
        <v>0</v>
      </c>
      <c r="V181">
        <f>IFERROR(VLOOKUP($A181,[5]库存使用数据!$A:$I,9,0),"")</f>
        <v>1</v>
      </c>
      <c r="W181">
        <f>IFERROR(VLOOKUP($A181,[5]库存使用数据!$A:$L,12,0),"")</f>
        <v>0</v>
      </c>
      <c r="X181" s="23">
        <f t="shared" si="43"/>
        <v>0</v>
      </c>
      <c r="Y181" s="23">
        <f t="shared" si="44"/>
        <v>0</v>
      </c>
      <c r="Z181" s="23">
        <f t="shared" si="45"/>
        <v>0.0625</v>
      </c>
      <c r="AA181" s="23">
        <f t="shared" si="46"/>
        <v>0</v>
      </c>
      <c r="AB181">
        <f>IFERROR(VLOOKUP($A181,[5]库存使用数据!$A:$D,4,0),"")</f>
        <v>0</v>
      </c>
      <c r="AC181">
        <f>IFERROR(VLOOKUP($A181,[5]库存使用数据!$A:$G,7,0),"")</f>
        <v>0</v>
      </c>
      <c r="AD181">
        <f>IFERROR(VLOOKUP($A181,[5]库存使用数据!$A:$J,10,0),"")</f>
        <v>0.39</v>
      </c>
      <c r="AE181">
        <f>IFERROR(VLOOKUP($A181,[5]库存使用数据!$A:$M,13,0),"")</f>
        <v>0</v>
      </c>
      <c r="AF181" s="23" t="str">
        <f t="shared" si="47"/>
        <v/>
      </c>
      <c r="AG181" s="23" t="str">
        <f t="shared" si="48"/>
        <v/>
      </c>
      <c r="AH181" s="23" t="str">
        <f t="shared" si="49"/>
        <v>无销量广告费为0.39</v>
      </c>
      <c r="AI181" s="23" t="str">
        <f t="shared" si="50"/>
        <v/>
      </c>
      <c r="AJ181">
        <f>IFERROR(VLOOKUP($B181,[1]库存报告使用数据!$A$1:$B$65536,2,0),0)</f>
        <v>2</v>
      </c>
      <c r="AK181">
        <f>IFERROR(VLOOKUP($B181,[1]库存报告使用数据!$A$1:$C$65536,3,0),0)</f>
        <v>3</v>
      </c>
      <c r="AL181">
        <f>IFERROR(VLOOKUP($B181,[1]库存报告使用数据!$A$1:$D$65536,4,0),0)</f>
        <v>1</v>
      </c>
      <c r="AM181">
        <f>IFERROR(VLOOKUP($B181,[1]库存报告使用数据!$A$1:$E$65536,5,0),0)</f>
        <v>1</v>
      </c>
      <c r="AN181" s="23">
        <f t="shared" si="51"/>
        <v>0</v>
      </c>
      <c r="AO181" s="23">
        <f t="shared" si="52"/>
        <v>0</v>
      </c>
      <c r="AP181" s="23">
        <f t="shared" si="53"/>
        <v>0</v>
      </c>
      <c r="AQ181" s="23">
        <f t="shared" si="54"/>
        <v>0</v>
      </c>
      <c r="AR181" s="38">
        <f t="shared" si="39"/>
        <v>0</v>
      </c>
      <c r="AS181" s="38">
        <f t="shared" si="40"/>
        <v>0</v>
      </c>
      <c r="AT181" s="38">
        <f t="shared" si="41"/>
        <v>29</v>
      </c>
      <c r="AU181" s="33" t="str">
        <f t="shared" si="42"/>
        <v>库存为29</v>
      </c>
      <c r="AV181" s="39" t="str">
        <f>IFERROR(时间!$B$4+AU181,"上周无销量")</f>
        <v>上周无销量</v>
      </c>
    </row>
    <row r="182" spans="1:48">
      <c r="A182" s="35" t="s">
        <v>227</v>
      </c>
      <c r="B182" t="str">
        <f>VLOOKUP(A182,'[2]sku-asin（子）'!$A:$B,2,0)</f>
        <v>B074JXHFTJ</v>
      </c>
      <c r="C182" t="str">
        <f>VLOOKUP(A182,'[2]子sku-父sku'!$A:$B,2,0)</f>
        <v>N531Y</v>
      </c>
      <c r="D182" s="33">
        <f>IFERROR(VLOOKUP(A182,[3]库存报告使用数据处理!$A:$C,3,0),0)</f>
        <v>0</v>
      </c>
      <c r="E182" s="33">
        <f>IFERROR(VLOOKUP(A182,[3]库存报告使用数据处理!$A:$D,4,0),0)</f>
        <v>0</v>
      </c>
      <c r="F182" s="33">
        <f>IFERROR(VLOOKUP(A182,[3]库存报告使用数据处理!$A:$E,5,0),0)</f>
        <v>0</v>
      </c>
      <c r="G182" s="33">
        <f>IFERROR(VLOOKUP(A182,[3]库存报告使用数据处理!$A:$F,6,0),0)</f>
        <v>0</v>
      </c>
      <c r="H182" s="34">
        <f>IFERROR(VLOOKUP(A182,[3]库存报告使用数据处理!$A:$G,7,0),0)</f>
        <v>0</v>
      </c>
      <c r="I182">
        <f>IFERROR(VLOOKUP(A182,[4]数据处理!$A:$B,2,0),0)</f>
        <v>27</v>
      </c>
      <c r="J182" s="36">
        <f>IFERROR(VLOOKUP(A182,[4]数据处理!$A:$D,4,0),0)</f>
        <v>0</v>
      </c>
      <c r="K182" s="36">
        <f>IFERROR(VLOOKUP(A182,[4]数据处理!$A:$E,5,0),0)</f>
        <v>0</v>
      </c>
      <c r="L182" s="36">
        <f>IFERROR(VLOOKUP(A182,[4]数据处理!$A:$G,7,0),0)</f>
        <v>0</v>
      </c>
      <c r="M182">
        <f t="shared" si="38"/>
        <v>27</v>
      </c>
      <c r="N182">
        <f>IFERROR(VLOOKUP(A182,[4]数据处理!$A:$C,3,0),0)</f>
        <v>0</v>
      </c>
      <c r="O182">
        <f>IFERROR(VLOOKUP($A182,[4]数据处理!$A:$N,14,0),0)</f>
        <v>27</v>
      </c>
      <c r="P182">
        <f>IFERROR(VLOOKUP($A182,[5]库存使用数据!$A:$B,2,0),"")</f>
        <v>0</v>
      </c>
      <c r="Q182">
        <f>IFERROR(VLOOKUP($A182,[5]库存使用数据!$A:$E,5,0),"")</f>
        <v>1</v>
      </c>
      <c r="R182">
        <f>IFERROR(VLOOKUP($A182,[5]库存使用数据!$A:$H,8,0),"")</f>
        <v>0</v>
      </c>
      <c r="S182">
        <f>IFERROR(VLOOKUP($A182,[5]库存使用数据!$A:$K,11,0),"")</f>
        <v>1</v>
      </c>
      <c r="T182">
        <f>IFERROR(VLOOKUP($A182,[5]库存使用数据!$A:$C,3,0),"")</f>
        <v>0</v>
      </c>
      <c r="U182">
        <f>IFERROR(VLOOKUP($A182,[5]库存使用数据!$A:$F,6,0),"")</f>
        <v>0</v>
      </c>
      <c r="V182">
        <f>IFERROR(VLOOKUP($A182,[5]库存使用数据!$A:$I,9,0),"")</f>
        <v>0</v>
      </c>
      <c r="W182">
        <f>IFERROR(VLOOKUP($A182,[5]库存使用数据!$A:$L,12,0),"")</f>
        <v>0</v>
      </c>
      <c r="X182" s="23" t="str">
        <f t="shared" si="43"/>
        <v/>
      </c>
      <c r="Y182" s="23">
        <f t="shared" si="44"/>
        <v>0</v>
      </c>
      <c r="Z182" s="23" t="str">
        <f t="shared" si="45"/>
        <v/>
      </c>
      <c r="AA182" s="23">
        <f t="shared" si="46"/>
        <v>0</v>
      </c>
      <c r="AB182">
        <f>IFERROR(VLOOKUP($A182,[5]库存使用数据!$A:$D,4,0),"")</f>
        <v>0</v>
      </c>
      <c r="AC182">
        <f>IFERROR(VLOOKUP($A182,[5]库存使用数据!$A:$G,7,0),"")</f>
        <v>0</v>
      </c>
      <c r="AD182">
        <f>IFERROR(VLOOKUP($A182,[5]库存使用数据!$A:$J,10,0),"")</f>
        <v>0</v>
      </c>
      <c r="AE182">
        <f>IFERROR(VLOOKUP($A182,[5]库存使用数据!$A:$M,13,0),"")</f>
        <v>0</v>
      </c>
      <c r="AF182" s="23" t="str">
        <f t="shared" si="47"/>
        <v/>
      </c>
      <c r="AG182" s="23" t="str">
        <f t="shared" si="48"/>
        <v/>
      </c>
      <c r="AH182" s="23" t="str">
        <f t="shared" si="49"/>
        <v/>
      </c>
      <c r="AI182" s="23" t="str">
        <f t="shared" si="50"/>
        <v/>
      </c>
      <c r="AJ182">
        <f>IFERROR(VLOOKUP($B182,[1]库存报告使用数据!$A$1:$B$65536,2,0),0)</f>
        <v>4</v>
      </c>
      <c r="AK182">
        <f>IFERROR(VLOOKUP($B182,[1]库存报告使用数据!$A$1:$C$65536,3,0),0)</f>
        <v>4</v>
      </c>
      <c r="AL182">
        <f>IFERROR(VLOOKUP($B182,[1]库存报告使用数据!$A$1:$D$65536,4,0),0)</f>
        <v>3</v>
      </c>
      <c r="AM182">
        <f>IFERROR(VLOOKUP($B182,[1]库存报告使用数据!$A$1:$E$65536,5,0),0)</f>
        <v>0</v>
      </c>
      <c r="AN182" s="23">
        <f t="shared" si="51"/>
        <v>0</v>
      </c>
      <c r="AO182" s="23">
        <f t="shared" si="52"/>
        <v>0</v>
      </c>
      <c r="AP182" s="23">
        <f t="shared" si="53"/>
        <v>0</v>
      </c>
      <c r="AQ182" s="23" t="str">
        <f t="shared" si="54"/>
        <v/>
      </c>
      <c r="AR182" s="38">
        <f t="shared" si="39"/>
        <v>0</v>
      </c>
      <c r="AS182" s="38">
        <f t="shared" si="40"/>
        <v>0</v>
      </c>
      <c r="AT182" s="38">
        <f t="shared" si="41"/>
        <v>27</v>
      </c>
      <c r="AU182" s="33" t="str">
        <f t="shared" si="42"/>
        <v>库存为27</v>
      </c>
      <c r="AV182" s="39" t="str">
        <f>IFERROR(时间!$B$4+AU182,"上周无销量")</f>
        <v>上周无销量</v>
      </c>
    </row>
    <row r="183" spans="1:48">
      <c r="A183" s="35" t="s">
        <v>228</v>
      </c>
      <c r="B183" t="str">
        <f>VLOOKUP(A183,'[2]sku-asin（子）'!$A:$B,2,0)</f>
        <v>B074JY1RXB</v>
      </c>
      <c r="C183" t="str">
        <f>VLOOKUP(A183,'[2]子sku-父sku'!$A:$B,2,0)</f>
        <v>N531Y</v>
      </c>
      <c r="D183" s="33">
        <f>IFERROR(VLOOKUP(A183,[3]库存报告使用数据处理!$A:$C,3,0),0)</f>
        <v>0</v>
      </c>
      <c r="E183" s="33">
        <f>IFERROR(VLOOKUP(A183,[3]库存报告使用数据处理!$A:$D,4,0),0)</f>
        <v>0</v>
      </c>
      <c r="F183" s="33">
        <f>IFERROR(VLOOKUP(A183,[3]库存报告使用数据处理!$A:$E,5,0),0)</f>
        <v>0</v>
      </c>
      <c r="G183" s="33">
        <f>IFERROR(VLOOKUP(A183,[3]库存报告使用数据处理!$A:$F,6,0),0)</f>
        <v>0</v>
      </c>
      <c r="H183" s="34">
        <f>IFERROR(VLOOKUP(A183,[3]库存报告使用数据处理!$A:$G,7,0),0)</f>
        <v>0</v>
      </c>
      <c r="I183">
        <f>IFERROR(VLOOKUP(A183,[4]数据处理!$A:$B,2,0),0)</f>
        <v>28</v>
      </c>
      <c r="J183" s="36">
        <f>IFERROR(VLOOKUP(A183,[4]数据处理!$A:$D,4,0),0)</f>
        <v>0</v>
      </c>
      <c r="K183" s="36">
        <f>IFERROR(VLOOKUP(A183,[4]数据处理!$A:$E,5,0),0)</f>
        <v>0</v>
      </c>
      <c r="L183" s="36">
        <f>IFERROR(VLOOKUP(A183,[4]数据处理!$A:$G,7,0),0)</f>
        <v>0</v>
      </c>
      <c r="M183">
        <f t="shared" si="38"/>
        <v>28</v>
      </c>
      <c r="N183">
        <f>IFERROR(VLOOKUP(A183,[4]数据处理!$A:$C,3,0),0)</f>
        <v>0</v>
      </c>
      <c r="O183">
        <f>IFERROR(VLOOKUP($A183,[4]数据处理!$A:$N,14,0),0)</f>
        <v>28</v>
      </c>
      <c r="P183">
        <f>IFERROR(VLOOKUP($A183,[5]库存使用数据!$A:$B,2,0),"")</f>
        <v>1</v>
      </c>
      <c r="Q183">
        <f>IFERROR(VLOOKUP($A183,[5]库存使用数据!$A:$E,5,0),"")</f>
        <v>2</v>
      </c>
      <c r="R183">
        <f>IFERROR(VLOOKUP($A183,[5]库存使用数据!$A:$H,8,0),"")</f>
        <v>0</v>
      </c>
      <c r="S183">
        <f>IFERROR(VLOOKUP($A183,[5]库存使用数据!$A:$K,11,0),"")</f>
        <v>2</v>
      </c>
      <c r="T183">
        <f>IFERROR(VLOOKUP($A183,[5]库存使用数据!$A:$C,3,0),"")</f>
        <v>0</v>
      </c>
      <c r="U183">
        <f>IFERROR(VLOOKUP($A183,[5]库存使用数据!$A:$F,6,0),"")</f>
        <v>0</v>
      </c>
      <c r="V183">
        <f>IFERROR(VLOOKUP($A183,[5]库存使用数据!$A:$I,9,0),"")</f>
        <v>0</v>
      </c>
      <c r="W183">
        <f>IFERROR(VLOOKUP($A183,[5]库存使用数据!$A:$L,12,0),"")</f>
        <v>0</v>
      </c>
      <c r="X183" s="23">
        <f t="shared" si="43"/>
        <v>0</v>
      </c>
      <c r="Y183" s="23">
        <f t="shared" si="44"/>
        <v>0</v>
      </c>
      <c r="Z183" s="23" t="str">
        <f t="shared" si="45"/>
        <v/>
      </c>
      <c r="AA183" s="23">
        <f t="shared" si="46"/>
        <v>0</v>
      </c>
      <c r="AB183">
        <f>IFERROR(VLOOKUP($A183,[5]库存使用数据!$A:$D,4,0),"")</f>
        <v>0</v>
      </c>
      <c r="AC183">
        <f>IFERROR(VLOOKUP($A183,[5]库存使用数据!$A:$G,7,0),"")</f>
        <v>0</v>
      </c>
      <c r="AD183">
        <f>IFERROR(VLOOKUP($A183,[5]库存使用数据!$A:$J,10,0),"")</f>
        <v>0</v>
      </c>
      <c r="AE183">
        <f>IFERROR(VLOOKUP($A183,[5]库存使用数据!$A:$M,13,0),"")</f>
        <v>0</v>
      </c>
      <c r="AF183" s="23" t="str">
        <f t="shared" si="47"/>
        <v/>
      </c>
      <c r="AG183" s="23" t="str">
        <f t="shared" si="48"/>
        <v/>
      </c>
      <c r="AH183" s="23" t="str">
        <f t="shared" si="49"/>
        <v/>
      </c>
      <c r="AI183" s="23" t="str">
        <f t="shared" si="50"/>
        <v/>
      </c>
      <c r="AJ183">
        <f>IFERROR(VLOOKUP($B183,[1]库存报告使用数据!$A$1:$B$65536,2,0),0)</f>
        <v>2</v>
      </c>
      <c r="AK183">
        <f>IFERROR(VLOOKUP($B183,[1]库存报告使用数据!$A$1:$C$65536,3,0),0)</f>
        <v>3</v>
      </c>
      <c r="AL183">
        <f>IFERROR(VLOOKUP($B183,[1]库存报告使用数据!$A$1:$D$65536,4,0),0)</f>
        <v>1</v>
      </c>
      <c r="AM183">
        <f>IFERROR(VLOOKUP($B183,[1]库存报告使用数据!$A$1:$E$65536,5,0),0)</f>
        <v>0</v>
      </c>
      <c r="AN183" s="23">
        <f t="shared" si="51"/>
        <v>0</v>
      </c>
      <c r="AO183" s="23">
        <f t="shared" si="52"/>
        <v>0</v>
      </c>
      <c r="AP183" s="23">
        <f t="shared" si="53"/>
        <v>0</v>
      </c>
      <c r="AQ183" s="23" t="str">
        <f t="shared" si="54"/>
        <v/>
      </c>
      <c r="AR183" s="38">
        <f t="shared" si="39"/>
        <v>0</v>
      </c>
      <c r="AS183" s="38">
        <f t="shared" si="40"/>
        <v>0</v>
      </c>
      <c r="AT183" s="38">
        <f t="shared" si="41"/>
        <v>28</v>
      </c>
      <c r="AU183" s="33" t="str">
        <f t="shared" si="42"/>
        <v>库存为28</v>
      </c>
      <c r="AV183" s="39" t="str">
        <f>IFERROR(时间!$B$4+AU183,"上周无销量")</f>
        <v>上周无销量</v>
      </c>
    </row>
    <row r="184" spans="1:48">
      <c r="A184" s="35" t="s">
        <v>229</v>
      </c>
      <c r="B184" t="str">
        <f>VLOOKUP(A184,'[2]sku-asin（子）'!$A:$B,2,0)</f>
        <v>B074K2VQNZ</v>
      </c>
      <c r="C184" t="str">
        <f>VLOOKUP(A184,'[2]子sku-父sku'!$A:$B,2,0)</f>
        <v>N531Y</v>
      </c>
      <c r="D184" s="33">
        <f>IFERROR(VLOOKUP(A184,[3]库存报告使用数据处理!$A:$C,3,0),0)</f>
        <v>0</v>
      </c>
      <c r="E184" s="33">
        <f>IFERROR(VLOOKUP(A184,[3]库存报告使用数据处理!$A:$D,4,0),0)</f>
        <v>0</v>
      </c>
      <c r="F184" s="33">
        <f>IFERROR(VLOOKUP(A184,[3]库存报告使用数据处理!$A:$E,5,0),0)</f>
        <v>0</v>
      </c>
      <c r="G184" s="33">
        <f>IFERROR(VLOOKUP(A184,[3]库存报告使用数据处理!$A:$F,6,0),0)</f>
        <v>0</v>
      </c>
      <c r="H184" s="34">
        <f>IFERROR(VLOOKUP(A184,[3]库存报告使用数据处理!$A:$G,7,0),0)</f>
        <v>0</v>
      </c>
      <c r="I184">
        <f>IFERROR(VLOOKUP(A184,[4]数据处理!$A:$B,2,0),0)</f>
        <v>30</v>
      </c>
      <c r="J184" s="36">
        <f>IFERROR(VLOOKUP(A184,[4]数据处理!$A:$D,4,0),0)</f>
        <v>0</v>
      </c>
      <c r="K184" s="36">
        <f>IFERROR(VLOOKUP(A184,[4]数据处理!$A:$E,5,0),0)</f>
        <v>0</v>
      </c>
      <c r="L184" s="36">
        <f>IFERROR(VLOOKUP(A184,[4]数据处理!$A:$G,7,0),0)</f>
        <v>0</v>
      </c>
      <c r="M184">
        <f t="shared" si="38"/>
        <v>30</v>
      </c>
      <c r="N184">
        <f>IFERROR(VLOOKUP(A184,[4]数据处理!$A:$C,3,0),0)</f>
        <v>0</v>
      </c>
      <c r="O184">
        <f>IFERROR(VLOOKUP($A184,[4]数据处理!$A:$N,14,0),0)</f>
        <v>30</v>
      </c>
      <c r="P184">
        <f>IFERROR(VLOOKUP($A184,[5]库存使用数据!$A:$B,2,0),"")</f>
        <v>271</v>
      </c>
      <c r="Q184">
        <f>IFERROR(VLOOKUP($A184,[5]库存使用数据!$A:$E,5,0),"")</f>
        <v>365</v>
      </c>
      <c r="R184">
        <f>IFERROR(VLOOKUP($A184,[5]库存使用数据!$A:$H,8,0),"")</f>
        <v>270</v>
      </c>
      <c r="S184">
        <f>IFERROR(VLOOKUP($A184,[5]库存使用数据!$A:$K,11,0),"")</f>
        <v>150</v>
      </c>
      <c r="T184">
        <f>IFERROR(VLOOKUP($A184,[5]库存使用数据!$A:$C,3,0),"")</f>
        <v>0</v>
      </c>
      <c r="U184">
        <f>IFERROR(VLOOKUP($A184,[5]库存使用数据!$A:$F,6,0),"")</f>
        <v>1</v>
      </c>
      <c r="V184">
        <f>IFERROR(VLOOKUP($A184,[5]库存使用数据!$A:$I,9,0),"")</f>
        <v>2</v>
      </c>
      <c r="W184">
        <f>IFERROR(VLOOKUP($A184,[5]库存使用数据!$A:$L,12,0),"")</f>
        <v>4</v>
      </c>
      <c r="X184" s="23">
        <f t="shared" si="43"/>
        <v>0</v>
      </c>
      <c r="Y184" s="23">
        <f t="shared" si="44"/>
        <v>0.00273972602739726</v>
      </c>
      <c r="Z184" s="23">
        <f t="shared" si="45"/>
        <v>0.00740740740740741</v>
      </c>
      <c r="AA184" s="23">
        <f t="shared" si="46"/>
        <v>0.0266666666666667</v>
      </c>
      <c r="AB184">
        <f>IFERROR(VLOOKUP($A184,[5]库存使用数据!$A:$D,4,0),"")</f>
        <v>0</v>
      </c>
      <c r="AC184">
        <f>IFERROR(VLOOKUP($A184,[5]库存使用数据!$A:$G,7,0),"")</f>
        <v>0.6</v>
      </c>
      <c r="AD184">
        <f>IFERROR(VLOOKUP($A184,[5]库存使用数据!$A:$J,10,0),"")</f>
        <v>1</v>
      </c>
      <c r="AE184">
        <f>IFERROR(VLOOKUP($A184,[5]库存使用数据!$A:$M,13,0),"")</f>
        <v>0.79</v>
      </c>
      <c r="AF184" s="23" t="str">
        <f t="shared" si="47"/>
        <v/>
      </c>
      <c r="AG184" s="23" t="str">
        <f t="shared" si="48"/>
        <v>无销量广告费为0.6</v>
      </c>
      <c r="AH184" s="23" t="str">
        <f t="shared" si="49"/>
        <v>无销量广告费为1</v>
      </c>
      <c r="AI184" s="23" t="str">
        <f t="shared" si="50"/>
        <v>无销量广告费为0.79</v>
      </c>
      <c r="AJ184">
        <f>IFERROR(VLOOKUP($B184,[1]库存报告使用数据!$A$1:$B$65536,2,0),0)</f>
        <v>4</v>
      </c>
      <c r="AK184">
        <f>IFERROR(VLOOKUP($B184,[1]库存报告使用数据!$A$1:$C$65536,3,0),0)</f>
        <v>3</v>
      </c>
      <c r="AL184">
        <f>IFERROR(VLOOKUP($B184,[1]库存报告使用数据!$A$1:$D$65536,4,0),0)</f>
        <v>4</v>
      </c>
      <c r="AM184">
        <f>IFERROR(VLOOKUP($B184,[1]库存报告使用数据!$A$1:$E$65536,5,0),0)</f>
        <v>3</v>
      </c>
      <c r="AN184" s="23">
        <f t="shared" si="51"/>
        <v>0</v>
      </c>
      <c r="AO184" s="23">
        <f t="shared" si="52"/>
        <v>0</v>
      </c>
      <c r="AP184" s="23">
        <f t="shared" si="53"/>
        <v>0</v>
      </c>
      <c r="AQ184" s="23">
        <f t="shared" si="54"/>
        <v>0</v>
      </c>
      <c r="AR184" s="38">
        <f t="shared" si="39"/>
        <v>0</v>
      </c>
      <c r="AS184" s="38">
        <f t="shared" si="40"/>
        <v>0</v>
      </c>
      <c r="AT184" s="38">
        <f t="shared" si="41"/>
        <v>30</v>
      </c>
      <c r="AU184" s="33" t="str">
        <f t="shared" si="42"/>
        <v>库存为30</v>
      </c>
      <c r="AV184" s="39" t="str">
        <f>IFERROR(时间!$B$4+AU184,"上周无销量")</f>
        <v>上周无销量</v>
      </c>
    </row>
    <row r="185" spans="1:48">
      <c r="A185" s="35" t="s">
        <v>230</v>
      </c>
      <c r="B185" t="str">
        <f>VLOOKUP(A185,'[2]sku-asin（子）'!$A:$B,2,0)</f>
        <v>B074JXZYR5</v>
      </c>
      <c r="C185" t="str">
        <f>VLOOKUP(A185,'[2]子sku-父sku'!$A:$B,2,0)</f>
        <v>N531Y</v>
      </c>
      <c r="D185" s="33">
        <f>IFERROR(VLOOKUP(A185,[3]库存报告使用数据处理!$A:$C,3,0),0)</f>
        <v>0</v>
      </c>
      <c r="E185" s="33">
        <f>IFERROR(VLOOKUP(A185,[3]库存报告使用数据处理!$A:$D,4,0),0)</f>
        <v>0</v>
      </c>
      <c r="F185" s="33">
        <f>IFERROR(VLOOKUP(A185,[3]库存报告使用数据处理!$A:$E,5,0),0)</f>
        <v>0</v>
      </c>
      <c r="G185" s="33">
        <f>IFERROR(VLOOKUP(A185,[3]库存报告使用数据处理!$A:$F,6,0),0)</f>
        <v>0</v>
      </c>
      <c r="H185" s="34">
        <f>IFERROR(VLOOKUP(A185,[3]库存报告使用数据处理!$A:$G,7,0),0)</f>
        <v>0</v>
      </c>
      <c r="I185">
        <f>IFERROR(VLOOKUP(A185,[4]数据处理!$A:$B,2,0),0)</f>
        <v>28</v>
      </c>
      <c r="J185" s="36">
        <f>IFERROR(VLOOKUP(A185,[4]数据处理!$A:$D,4,0),0)</f>
        <v>0</v>
      </c>
      <c r="K185" s="36">
        <f>IFERROR(VLOOKUP(A185,[4]数据处理!$A:$E,5,0),0)</f>
        <v>0</v>
      </c>
      <c r="L185" s="36">
        <f>IFERROR(VLOOKUP(A185,[4]数据处理!$A:$G,7,0),0)</f>
        <v>0</v>
      </c>
      <c r="M185">
        <f t="shared" si="38"/>
        <v>28</v>
      </c>
      <c r="N185">
        <f>IFERROR(VLOOKUP(A185,[4]数据处理!$A:$C,3,0),0)</f>
        <v>0</v>
      </c>
      <c r="O185">
        <f>IFERROR(VLOOKUP($A185,[4]数据处理!$A:$N,14,0),0)</f>
        <v>28</v>
      </c>
      <c r="P185">
        <f>IFERROR(VLOOKUP($A185,[5]库存使用数据!$A:$B,2,0),"")</f>
        <v>30</v>
      </c>
      <c r="Q185">
        <f>IFERROR(VLOOKUP($A185,[5]库存使用数据!$A:$E,5,0),"")</f>
        <v>16</v>
      </c>
      <c r="R185">
        <f>IFERROR(VLOOKUP($A185,[5]库存使用数据!$A:$H,8,0),"")</f>
        <v>22</v>
      </c>
      <c r="S185">
        <f>IFERROR(VLOOKUP($A185,[5]库存使用数据!$A:$K,11,0),"")</f>
        <v>26</v>
      </c>
      <c r="T185">
        <f>IFERROR(VLOOKUP($A185,[5]库存使用数据!$A:$C,3,0),"")</f>
        <v>0</v>
      </c>
      <c r="U185">
        <f>IFERROR(VLOOKUP($A185,[5]库存使用数据!$A:$F,6,0),"")</f>
        <v>0</v>
      </c>
      <c r="V185">
        <f>IFERROR(VLOOKUP($A185,[5]库存使用数据!$A:$I,9,0),"")</f>
        <v>0</v>
      </c>
      <c r="W185">
        <f>IFERROR(VLOOKUP($A185,[5]库存使用数据!$A:$L,12,0),"")</f>
        <v>0</v>
      </c>
      <c r="X185" s="23">
        <f t="shared" si="43"/>
        <v>0</v>
      </c>
      <c r="Y185" s="23">
        <f t="shared" si="44"/>
        <v>0</v>
      </c>
      <c r="Z185" s="23">
        <f t="shared" si="45"/>
        <v>0</v>
      </c>
      <c r="AA185" s="23">
        <f t="shared" si="46"/>
        <v>0</v>
      </c>
      <c r="AB185">
        <f>IFERROR(VLOOKUP($A185,[5]库存使用数据!$A:$D,4,0),"")</f>
        <v>0</v>
      </c>
      <c r="AC185">
        <f>IFERROR(VLOOKUP($A185,[5]库存使用数据!$A:$G,7,0),"")</f>
        <v>0</v>
      </c>
      <c r="AD185">
        <f>IFERROR(VLOOKUP($A185,[5]库存使用数据!$A:$J,10,0),"")</f>
        <v>0</v>
      </c>
      <c r="AE185">
        <f>IFERROR(VLOOKUP($A185,[5]库存使用数据!$A:$M,13,0),"")</f>
        <v>0</v>
      </c>
      <c r="AF185" s="23" t="str">
        <f t="shared" si="47"/>
        <v/>
      </c>
      <c r="AG185" s="23" t="str">
        <f t="shared" si="48"/>
        <v/>
      </c>
      <c r="AH185" s="23" t="str">
        <f t="shared" si="49"/>
        <v/>
      </c>
      <c r="AI185" s="23" t="str">
        <f t="shared" si="50"/>
        <v/>
      </c>
      <c r="AJ185">
        <f>IFERROR(VLOOKUP($B185,[1]库存报告使用数据!$A$1:$B$65536,2,0),0)</f>
        <v>4</v>
      </c>
      <c r="AK185">
        <f>IFERROR(VLOOKUP($B185,[1]库存报告使用数据!$A$1:$C$65536,3,0),0)</f>
        <v>7</v>
      </c>
      <c r="AL185">
        <f>IFERROR(VLOOKUP($B185,[1]库存报告使用数据!$A$1:$D$65536,4,0),0)</f>
        <v>1</v>
      </c>
      <c r="AM185">
        <f>IFERROR(VLOOKUP($B185,[1]库存报告使用数据!$A$1:$E$65536,5,0),0)</f>
        <v>0</v>
      </c>
      <c r="AN185" s="23">
        <f t="shared" si="51"/>
        <v>0</v>
      </c>
      <c r="AO185" s="23">
        <f t="shared" si="52"/>
        <v>0</v>
      </c>
      <c r="AP185" s="23">
        <f t="shared" si="53"/>
        <v>0</v>
      </c>
      <c r="AQ185" s="23" t="str">
        <f t="shared" si="54"/>
        <v/>
      </c>
      <c r="AR185" s="38">
        <f t="shared" si="39"/>
        <v>0</v>
      </c>
      <c r="AS185" s="38">
        <f t="shared" si="40"/>
        <v>0</v>
      </c>
      <c r="AT185" s="38">
        <f t="shared" si="41"/>
        <v>28</v>
      </c>
      <c r="AU185" s="33" t="str">
        <f t="shared" si="42"/>
        <v>库存为28</v>
      </c>
      <c r="AV185" s="39" t="str">
        <f>IFERROR(时间!$B$4+AU185,"上周无销量")</f>
        <v>上周无销量</v>
      </c>
    </row>
    <row r="186" spans="1:48">
      <c r="A186" s="35" t="s">
        <v>231</v>
      </c>
      <c r="B186" t="str">
        <f>VLOOKUP(A186,'[2]sku-asin（子）'!$A:$B,2,0)</f>
        <v>B074JV1QKR</v>
      </c>
      <c r="C186" t="str">
        <f>VLOOKUP(A186,'[2]子sku-父sku'!$A:$B,2,0)</f>
        <v>N531Y</v>
      </c>
      <c r="D186" s="33">
        <f>IFERROR(VLOOKUP(A186,[3]库存报告使用数据处理!$A:$C,3,0),0)</f>
        <v>0</v>
      </c>
      <c r="E186" s="33">
        <f>IFERROR(VLOOKUP(A186,[3]库存报告使用数据处理!$A:$D,4,0),0)</f>
        <v>0</v>
      </c>
      <c r="F186" s="33">
        <f>IFERROR(VLOOKUP(A186,[3]库存报告使用数据处理!$A:$E,5,0),0)</f>
        <v>0</v>
      </c>
      <c r="G186" s="33">
        <f>IFERROR(VLOOKUP(A186,[3]库存报告使用数据处理!$A:$F,6,0),0)</f>
        <v>0</v>
      </c>
      <c r="H186" s="34">
        <f>IFERROR(VLOOKUP(A186,[3]库存报告使用数据处理!$A:$G,7,0),0)</f>
        <v>0</v>
      </c>
      <c r="I186">
        <f>IFERROR(VLOOKUP(A186,[4]数据处理!$A:$B,2,0),0)</f>
        <v>28</v>
      </c>
      <c r="J186" s="36">
        <f>IFERROR(VLOOKUP(A186,[4]数据处理!$A:$D,4,0),0)</f>
        <v>0</v>
      </c>
      <c r="K186" s="36">
        <f>IFERROR(VLOOKUP(A186,[4]数据处理!$A:$E,5,0),0)</f>
        <v>0</v>
      </c>
      <c r="L186" s="36">
        <f>IFERROR(VLOOKUP(A186,[4]数据处理!$A:$G,7,0),0)</f>
        <v>0</v>
      </c>
      <c r="M186">
        <f t="shared" si="38"/>
        <v>28</v>
      </c>
      <c r="N186">
        <f>IFERROR(VLOOKUP(A186,[4]数据处理!$A:$C,3,0),0)</f>
        <v>0</v>
      </c>
      <c r="O186">
        <f>IFERROR(VLOOKUP($A186,[4]数据处理!$A:$N,14,0),0)</f>
        <v>28</v>
      </c>
      <c r="P186">
        <f>IFERROR(VLOOKUP($A186,[5]库存使用数据!$A:$B,2,0),"")</f>
        <v>905</v>
      </c>
      <c r="Q186">
        <f>IFERROR(VLOOKUP($A186,[5]库存使用数据!$A:$E,5,0),"")</f>
        <v>778</v>
      </c>
      <c r="R186">
        <f>IFERROR(VLOOKUP($A186,[5]库存使用数据!$A:$H,8,0),"")</f>
        <v>486</v>
      </c>
      <c r="S186">
        <f>IFERROR(VLOOKUP($A186,[5]库存使用数据!$A:$K,11,0),"")</f>
        <v>320</v>
      </c>
      <c r="T186">
        <f>IFERROR(VLOOKUP($A186,[5]库存使用数据!$A:$C,3,0),"")</f>
        <v>12</v>
      </c>
      <c r="U186">
        <f>IFERROR(VLOOKUP($A186,[5]库存使用数据!$A:$F,6,0),"")</f>
        <v>2</v>
      </c>
      <c r="V186">
        <f>IFERROR(VLOOKUP($A186,[5]库存使用数据!$A:$I,9,0),"")</f>
        <v>5</v>
      </c>
      <c r="W186">
        <f>IFERROR(VLOOKUP($A186,[5]库存使用数据!$A:$L,12,0),"")</f>
        <v>3</v>
      </c>
      <c r="X186" s="23">
        <f t="shared" si="43"/>
        <v>0.0132596685082873</v>
      </c>
      <c r="Y186" s="23">
        <f t="shared" si="44"/>
        <v>0.0025706940874036</v>
      </c>
      <c r="Z186" s="23">
        <f t="shared" si="45"/>
        <v>0.0102880658436214</v>
      </c>
      <c r="AA186" s="23">
        <f t="shared" si="46"/>
        <v>0.009375</v>
      </c>
      <c r="AB186">
        <f>IFERROR(VLOOKUP($A186,[5]库存使用数据!$A:$D,4,0),"")</f>
        <v>3.29</v>
      </c>
      <c r="AC186">
        <f>IFERROR(VLOOKUP($A186,[5]库存使用数据!$A:$G,7,0),"")</f>
        <v>0.41</v>
      </c>
      <c r="AD186">
        <f>IFERROR(VLOOKUP($A186,[5]库存使用数据!$A:$J,10,0),"")</f>
        <v>1.27</v>
      </c>
      <c r="AE186">
        <f>IFERROR(VLOOKUP($A186,[5]库存使用数据!$A:$M,13,0),"")</f>
        <v>1.08</v>
      </c>
      <c r="AF186" s="23" t="str">
        <f t="shared" si="47"/>
        <v>无销量广告费为3.29</v>
      </c>
      <c r="AG186" s="23" t="str">
        <f t="shared" si="48"/>
        <v>无销量广告费为0.41</v>
      </c>
      <c r="AH186" s="23" t="str">
        <f t="shared" si="49"/>
        <v>无销量广告费为1.27</v>
      </c>
      <c r="AI186" s="23" t="str">
        <f t="shared" si="50"/>
        <v>无销量广告费为1.08</v>
      </c>
      <c r="AJ186">
        <f>IFERROR(VLOOKUP($B186,[1]库存报告使用数据!$A$1:$B$65536,2,0),0)</f>
        <v>8</v>
      </c>
      <c r="AK186">
        <f>IFERROR(VLOOKUP($B186,[1]库存报告使用数据!$A$1:$C$65536,3,0),0)</f>
        <v>0</v>
      </c>
      <c r="AL186">
        <f>IFERROR(VLOOKUP($B186,[1]库存报告使用数据!$A$1:$D$65536,4,0),0)</f>
        <v>3</v>
      </c>
      <c r="AM186">
        <f>IFERROR(VLOOKUP($B186,[1]库存报告使用数据!$A$1:$E$65536,5,0),0)</f>
        <v>0</v>
      </c>
      <c r="AN186" s="23">
        <f t="shared" si="51"/>
        <v>0</v>
      </c>
      <c r="AO186" s="23" t="str">
        <f t="shared" si="52"/>
        <v/>
      </c>
      <c r="AP186" s="23">
        <f t="shared" si="53"/>
        <v>0</v>
      </c>
      <c r="AQ186" s="23" t="str">
        <f t="shared" si="54"/>
        <v/>
      </c>
      <c r="AR186" s="38">
        <f t="shared" si="39"/>
        <v>0</v>
      </c>
      <c r="AS186" s="38">
        <f t="shared" si="40"/>
        <v>0</v>
      </c>
      <c r="AT186" s="38">
        <f t="shared" si="41"/>
        <v>28</v>
      </c>
      <c r="AU186" s="33" t="str">
        <f t="shared" si="42"/>
        <v>库存为28</v>
      </c>
      <c r="AV186" s="39" t="str">
        <f>IFERROR(时间!$B$4+AU186,"上周无销量")</f>
        <v>上周无销量</v>
      </c>
    </row>
    <row r="187" spans="1:48">
      <c r="A187" s="35" t="s">
        <v>232</v>
      </c>
      <c r="B187" t="str">
        <f>VLOOKUP(A187,'[2]sku-asin（子）'!$A:$B,2,0)</f>
        <v>B074JV1QKT</v>
      </c>
      <c r="C187" t="str">
        <f>VLOOKUP(A187,'[2]子sku-父sku'!$A:$B,2,0)</f>
        <v>N531Y</v>
      </c>
      <c r="D187" s="33">
        <f>IFERROR(VLOOKUP(A187,[3]库存报告使用数据处理!$A:$C,3,0),0)</f>
        <v>0</v>
      </c>
      <c r="E187" s="33">
        <f>IFERROR(VLOOKUP(A187,[3]库存报告使用数据处理!$A:$D,4,0),0)</f>
        <v>0</v>
      </c>
      <c r="F187" s="33">
        <f>IFERROR(VLOOKUP(A187,[3]库存报告使用数据处理!$A:$E,5,0),0)</f>
        <v>0</v>
      </c>
      <c r="G187" s="33">
        <f>IFERROR(VLOOKUP(A187,[3]库存报告使用数据处理!$A:$F,6,0),0)</f>
        <v>0</v>
      </c>
      <c r="H187" s="34">
        <f>IFERROR(VLOOKUP(A187,[3]库存报告使用数据处理!$A:$G,7,0),0)</f>
        <v>0</v>
      </c>
      <c r="I187">
        <f>IFERROR(VLOOKUP(A187,[4]数据处理!$A:$B,2,0),0)</f>
        <v>27</v>
      </c>
      <c r="J187" s="36">
        <f>IFERROR(VLOOKUP(A187,[4]数据处理!$A:$D,4,0),0)</f>
        <v>0</v>
      </c>
      <c r="K187" s="36">
        <f>IFERROR(VLOOKUP(A187,[4]数据处理!$A:$E,5,0),0)</f>
        <v>0</v>
      </c>
      <c r="L187" s="36">
        <f>IFERROR(VLOOKUP(A187,[4]数据处理!$A:$G,7,0),0)</f>
        <v>0</v>
      </c>
      <c r="M187">
        <f t="shared" si="38"/>
        <v>27</v>
      </c>
      <c r="N187">
        <f>IFERROR(VLOOKUP(A187,[4]数据处理!$A:$C,3,0),0)</f>
        <v>0</v>
      </c>
      <c r="O187">
        <f>IFERROR(VLOOKUP($A187,[4]数据处理!$A:$N,14,0),0)</f>
        <v>27</v>
      </c>
      <c r="P187">
        <f>IFERROR(VLOOKUP($A187,[5]库存使用数据!$A:$B,2,0),"")</f>
        <v>15</v>
      </c>
      <c r="Q187">
        <f>IFERROR(VLOOKUP($A187,[5]库存使用数据!$A:$E,5,0),"")</f>
        <v>5</v>
      </c>
      <c r="R187">
        <f>IFERROR(VLOOKUP($A187,[5]库存使用数据!$A:$H,8,0),"")</f>
        <v>4</v>
      </c>
      <c r="S187">
        <f>IFERROR(VLOOKUP($A187,[5]库存使用数据!$A:$K,11,0),"")</f>
        <v>4</v>
      </c>
      <c r="T187">
        <f>IFERROR(VLOOKUP($A187,[5]库存使用数据!$A:$C,3,0),"")</f>
        <v>0</v>
      </c>
      <c r="U187">
        <f>IFERROR(VLOOKUP($A187,[5]库存使用数据!$A:$F,6,0),"")</f>
        <v>0</v>
      </c>
      <c r="V187">
        <f>IFERROR(VLOOKUP($A187,[5]库存使用数据!$A:$I,9,0),"")</f>
        <v>0</v>
      </c>
      <c r="W187">
        <f>IFERROR(VLOOKUP($A187,[5]库存使用数据!$A:$L,12,0),"")</f>
        <v>0</v>
      </c>
      <c r="X187" s="23">
        <f t="shared" si="43"/>
        <v>0</v>
      </c>
      <c r="Y187" s="23">
        <f t="shared" si="44"/>
        <v>0</v>
      </c>
      <c r="Z187" s="23">
        <f t="shared" si="45"/>
        <v>0</v>
      </c>
      <c r="AA187" s="23">
        <f t="shared" si="46"/>
        <v>0</v>
      </c>
      <c r="AB187">
        <f>IFERROR(VLOOKUP($A187,[5]库存使用数据!$A:$D,4,0),"")</f>
        <v>0</v>
      </c>
      <c r="AC187">
        <f>IFERROR(VLOOKUP($A187,[5]库存使用数据!$A:$G,7,0),"")</f>
        <v>0</v>
      </c>
      <c r="AD187">
        <f>IFERROR(VLOOKUP($A187,[5]库存使用数据!$A:$J,10,0),"")</f>
        <v>0</v>
      </c>
      <c r="AE187">
        <f>IFERROR(VLOOKUP($A187,[5]库存使用数据!$A:$M,13,0),"")</f>
        <v>0</v>
      </c>
      <c r="AF187" s="23" t="str">
        <f t="shared" si="47"/>
        <v/>
      </c>
      <c r="AG187" s="23" t="str">
        <f t="shared" si="48"/>
        <v/>
      </c>
      <c r="AH187" s="23" t="str">
        <f t="shared" si="49"/>
        <v/>
      </c>
      <c r="AI187" s="23" t="str">
        <f t="shared" si="50"/>
        <v/>
      </c>
      <c r="AJ187">
        <f>IFERROR(VLOOKUP($B187,[1]库存报告使用数据!$A$1:$B$65536,2,0),0)</f>
        <v>5</v>
      </c>
      <c r="AK187">
        <f>IFERROR(VLOOKUP($B187,[1]库存报告使用数据!$A$1:$C$65536,3,0),0)</f>
        <v>2</v>
      </c>
      <c r="AL187">
        <f>IFERROR(VLOOKUP($B187,[1]库存报告使用数据!$A$1:$D$65536,4,0),0)</f>
        <v>4</v>
      </c>
      <c r="AM187">
        <f>IFERROR(VLOOKUP($B187,[1]库存报告使用数据!$A$1:$E$65536,5,0),0)</f>
        <v>1</v>
      </c>
      <c r="AN187" s="23">
        <f t="shared" si="51"/>
        <v>0</v>
      </c>
      <c r="AO187" s="23">
        <f t="shared" si="52"/>
        <v>0</v>
      </c>
      <c r="AP187" s="23">
        <f t="shared" si="53"/>
        <v>0</v>
      </c>
      <c r="AQ187" s="23">
        <f t="shared" si="54"/>
        <v>0</v>
      </c>
      <c r="AR187" s="38">
        <f t="shared" si="39"/>
        <v>0</v>
      </c>
      <c r="AS187" s="38">
        <f t="shared" si="40"/>
        <v>0</v>
      </c>
      <c r="AT187" s="38">
        <f t="shared" si="41"/>
        <v>27</v>
      </c>
      <c r="AU187" s="33" t="str">
        <f t="shared" si="42"/>
        <v>库存为27</v>
      </c>
      <c r="AV187" s="39" t="str">
        <f>IFERROR(时间!$B$4+AU187,"上周无销量")</f>
        <v>上周无销量</v>
      </c>
    </row>
    <row r="188" spans="1:48">
      <c r="A188" s="35" t="s">
        <v>233</v>
      </c>
      <c r="B188" t="str">
        <f>VLOOKUP(A188,'[2]sku-asin（子）'!$A:$B,2,0)</f>
        <v>B074DVW5HC</v>
      </c>
      <c r="C188" t="str">
        <f>VLOOKUP(A188,'[2]子sku-父sku'!$A:$B,2,0)</f>
        <v>N5330Y</v>
      </c>
      <c r="D188" s="33">
        <f>IFERROR(VLOOKUP(A188,[3]库存报告使用数据处理!$A:$C,3,0),0)</f>
        <v>0</v>
      </c>
      <c r="E188" s="33">
        <f>IFERROR(VLOOKUP(A188,[3]库存报告使用数据处理!$A:$D,4,0),0)</f>
        <v>0</v>
      </c>
      <c r="F188" s="33">
        <f>IFERROR(VLOOKUP(A188,[3]库存报告使用数据处理!$A:$E,5,0),0)</f>
        <v>0</v>
      </c>
      <c r="G188" s="33">
        <f>IFERROR(VLOOKUP(A188,[3]库存报告使用数据处理!$A:$F,6,0),0)</f>
        <v>0</v>
      </c>
      <c r="H188" s="34">
        <f>IFERROR(VLOOKUP(A188,[3]库存报告使用数据处理!$A:$G,7,0),0)</f>
        <v>0</v>
      </c>
      <c r="I188">
        <f>IFERROR(VLOOKUP(A188,[4]数据处理!$A:$B,2,0),0)</f>
        <v>3</v>
      </c>
      <c r="J188" s="36">
        <f>IFERROR(VLOOKUP(A188,[4]数据处理!$A:$D,4,0),0)</f>
        <v>0</v>
      </c>
      <c r="K188" s="36">
        <f>IFERROR(VLOOKUP(A188,[4]数据处理!$A:$E,5,0),0)</f>
        <v>0</v>
      </c>
      <c r="L188" s="36">
        <f>IFERROR(VLOOKUP(A188,[4]数据处理!$A:$G,7,0),0)</f>
        <v>0</v>
      </c>
      <c r="M188">
        <f t="shared" si="38"/>
        <v>3</v>
      </c>
      <c r="N188">
        <f>IFERROR(VLOOKUP(A188,[4]数据处理!$A:$C,3,0),0)</f>
        <v>0</v>
      </c>
      <c r="O188">
        <f>IFERROR(VLOOKUP($A188,[4]数据处理!$A:$N,14,0),0)</f>
        <v>3</v>
      </c>
      <c r="P188">
        <f>IFERROR(VLOOKUP($A188,[5]库存使用数据!$A:$B,2,0),"")</f>
        <v>23</v>
      </c>
      <c r="Q188">
        <f>IFERROR(VLOOKUP($A188,[5]库存使用数据!$A:$E,5,0),"")</f>
        <v>43</v>
      </c>
      <c r="R188">
        <f>IFERROR(VLOOKUP($A188,[5]库存使用数据!$A:$H,8,0),"")</f>
        <v>104</v>
      </c>
      <c r="S188">
        <f>IFERROR(VLOOKUP($A188,[5]库存使用数据!$A:$K,11,0),"")</f>
        <v>239</v>
      </c>
      <c r="T188">
        <f>IFERROR(VLOOKUP($A188,[5]库存使用数据!$A:$C,3,0),"")</f>
        <v>0</v>
      </c>
      <c r="U188">
        <f>IFERROR(VLOOKUP($A188,[5]库存使用数据!$A:$F,6,0),"")</f>
        <v>0</v>
      </c>
      <c r="V188">
        <f>IFERROR(VLOOKUP($A188,[5]库存使用数据!$A:$I,9,0),"")</f>
        <v>0</v>
      </c>
      <c r="W188">
        <f>IFERROR(VLOOKUP($A188,[5]库存使用数据!$A:$L,12,0),"")</f>
        <v>2</v>
      </c>
      <c r="X188" s="23">
        <f t="shared" si="43"/>
        <v>0</v>
      </c>
      <c r="Y188" s="23">
        <f t="shared" si="44"/>
        <v>0</v>
      </c>
      <c r="Z188" s="23">
        <f t="shared" si="45"/>
        <v>0</v>
      </c>
      <c r="AA188" s="23">
        <f t="shared" si="46"/>
        <v>0.00836820083682008</v>
      </c>
      <c r="AB188">
        <f>IFERROR(VLOOKUP($A188,[5]库存使用数据!$A:$D,4,0),"")</f>
        <v>0</v>
      </c>
      <c r="AC188">
        <f>IFERROR(VLOOKUP($A188,[5]库存使用数据!$A:$G,7,0),"")</f>
        <v>0</v>
      </c>
      <c r="AD188">
        <f>IFERROR(VLOOKUP($A188,[5]库存使用数据!$A:$J,10,0),"")</f>
        <v>0</v>
      </c>
      <c r="AE188">
        <f>IFERROR(VLOOKUP($A188,[5]库存使用数据!$A:$M,13,0),"")</f>
        <v>0.49</v>
      </c>
      <c r="AF188" s="23" t="str">
        <f t="shared" si="47"/>
        <v/>
      </c>
      <c r="AG188" s="23" t="str">
        <f t="shared" si="48"/>
        <v/>
      </c>
      <c r="AH188" s="23" t="str">
        <f t="shared" si="49"/>
        <v/>
      </c>
      <c r="AI188" s="23" t="str">
        <f t="shared" si="50"/>
        <v>无销量广告费为0.49</v>
      </c>
      <c r="AJ188">
        <f>IFERROR(VLOOKUP($B188,[1]库存报告使用数据!$A$1:$B$65536,2,0),0)</f>
        <v>1</v>
      </c>
      <c r="AK188">
        <f>IFERROR(VLOOKUP($B188,[1]库存报告使用数据!$A$1:$C$65536,3,0),0)</f>
        <v>1</v>
      </c>
      <c r="AL188">
        <f>IFERROR(VLOOKUP($B188,[1]库存报告使用数据!$A$1:$D$65536,4,0),0)</f>
        <v>0</v>
      </c>
      <c r="AM188">
        <f>IFERROR(VLOOKUP($B188,[1]库存报告使用数据!$A$1:$E$65536,5,0),0)</f>
        <v>0</v>
      </c>
      <c r="AN188" s="23">
        <f t="shared" si="51"/>
        <v>0</v>
      </c>
      <c r="AO188" s="23">
        <f t="shared" si="52"/>
        <v>0</v>
      </c>
      <c r="AP188" s="23" t="str">
        <f t="shared" si="53"/>
        <v/>
      </c>
      <c r="AQ188" s="23" t="str">
        <f t="shared" si="54"/>
        <v/>
      </c>
      <c r="AR188" s="38">
        <f t="shared" si="39"/>
        <v>0</v>
      </c>
      <c r="AS188" s="38">
        <f t="shared" si="40"/>
        <v>0</v>
      </c>
      <c r="AT188" s="38">
        <f t="shared" si="41"/>
        <v>3</v>
      </c>
      <c r="AU188" s="33" t="str">
        <f t="shared" si="42"/>
        <v>库存为3</v>
      </c>
      <c r="AV188" s="39" t="str">
        <f>IFERROR(时间!$B$4+AU188,"上周无销量")</f>
        <v>上周无销量</v>
      </c>
    </row>
    <row r="189" spans="1:48">
      <c r="A189" s="35" t="s">
        <v>234</v>
      </c>
      <c r="B189" t="str">
        <f>VLOOKUP(A189,'[2]sku-asin（子）'!$A:$B,2,0)</f>
        <v>B074FJ37K7</v>
      </c>
      <c r="C189" t="str">
        <f>VLOOKUP(A189,'[2]子sku-父sku'!$A:$B,2,0)</f>
        <v>N5330Y</v>
      </c>
      <c r="D189" s="33">
        <f>IFERROR(VLOOKUP(A189,[3]库存报告使用数据处理!$A:$C,3,0),0)</f>
        <v>0</v>
      </c>
      <c r="E189" s="33">
        <f>IFERROR(VLOOKUP(A189,[3]库存报告使用数据处理!$A:$D,4,0),0)</f>
        <v>0</v>
      </c>
      <c r="F189" s="33">
        <f>IFERROR(VLOOKUP(A189,[3]库存报告使用数据处理!$A:$E,5,0),0)</f>
        <v>0</v>
      </c>
      <c r="G189" s="33">
        <f>IFERROR(VLOOKUP(A189,[3]库存报告使用数据处理!$A:$F,6,0),0)</f>
        <v>0</v>
      </c>
      <c r="H189" s="34">
        <f>IFERROR(VLOOKUP(A189,[3]库存报告使用数据处理!$A:$G,7,0),0)</f>
        <v>0</v>
      </c>
      <c r="I189">
        <f>IFERROR(VLOOKUP(A189,[4]数据处理!$A:$B,2,0),0)</f>
        <v>3</v>
      </c>
      <c r="J189" s="36">
        <f>IFERROR(VLOOKUP(A189,[4]数据处理!$A:$D,4,0),0)</f>
        <v>0</v>
      </c>
      <c r="K189" s="36">
        <f>IFERROR(VLOOKUP(A189,[4]数据处理!$A:$E,5,0),0)</f>
        <v>0</v>
      </c>
      <c r="L189" s="36">
        <f>IFERROR(VLOOKUP(A189,[4]数据处理!$A:$G,7,0),0)</f>
        <v>0</v>
      </c>
      <c r="M189">
        <f t="shared" si="38"/>
        <v>3</v>
      </c>
      <c r="N189">
        <f>IFERROR(VLOOKUP(A189,[4]数据处理!$A:$C,3,0),0)</f>
        <v>0</v>
      </c>
      <c r="O189">
        <f>IFERROR(VLOOKUP($A189,[4]数据处理!$A:$N,14,0),0)</f>
        <v>3</v>
      </c>
      <c r="P189">
        <f>IFERROR(VLOOKUP($A189,[5]库存使用数据!$A:$B,2,0),"")</f>
        <v>548</v>
      </c>
      <c r="Q189">
        <f>IFERROR(VLOOKUP($A189,[5]库存使用数据!$A:$E,5,0),"")</f>
        <v>578</v>
      </c>
      <c r="R189">
        <f>IFERROR(VLOOKUP($A189,[5]库存使用数据!$A:$H,8,0),"")</f>
        <v>629</v>
      </c>
      <c r="S189">
        <f>IFERROR(VLOOKUP($A189,[5]库存使用数据!$A:$K,11,0),"")</f>
        <v>550</v>
      </c>
      <c r="T189">
        <f>IFERROR(VLOOKUP($A189,[5]库存使用数据!$A:$C,3,0),"")</f>
        <v>4</v>
      </c>
      <c r="U189">
        <f>IFERROR(VLOOKUP($A189,[5]库存使用数据!$A:$F,6,0),"")</f>
        <v>0</v>
      </c>
      <c r="V189">
        <f>IFERROR(VLOOKUP($A189,[5]库存使用数据!$A:$I,9,0),"")</f>
        <v>5</v>
      </c>
      <c r="W189">
        <f>IFERROR(VLOOKUP($A189,[5]库存使用数据!$A:$L,12,0),"")</f>
        <v>5</v>
      </c>
      <c r="X189" s="23">
        <f t="shared" si="43"/>
        <v>0.0072992700729927</v>
      </c>
      <c r="Y189" s="23">
        <f t="shared" si="44"/>
        <v>0</v>
      </c>
      <c r="Z189" s="23">
        <f t="shared" si="45"/>
        <v>0.00794912559618442</v>
      </c>
      <c r="AA189" s="23">
        <f t="shared" si="46"/>
        <v>0.00909090909090909</v>
      </c>
      <c r="AB189">
        <f>IFERROR(VLOOKUP($A189,[5]库存使用数据!$A:$D,4,0),"")</f>
        <v>1.33</v>
      </c>
      <c r="AC189">
        <f>IFERROR(VLOOKUP($A189,[5]库存使用数据!$A:$G,7,0),"")</f>
        <v>0</v>
      </c>
      <c r="AD189">
        <f>IFERROR(VLOOKUP($A189,[5]库存使用数据!$A:$J,10,0),"")</f>
        <v>1.26</v>
      </c>
      <c r="AE189">
        <f>IFERROR(VLOOKUP($A189,[5]库存使用数据!$A:$M,13,0),"")</f>
        <v>1.81</v>
      </c>
      <c r="AF189" s="23" t="str">
        <f t="shared" si="47"/>
        <v>无销量广告费为1.33</v>
      </c>
      <c r="AG189" s="23" t="str">
        <f t="shared" si="48"/>
        <v/>
      </c>
      <c r="AH189" s="23" t="str">
        <f t="shared" si="49"/>
        <v>无销量广告费为1.26</v>
      </c>
      <c r="AI189" s="23" t="str">
        <f t="shared" si="50"/>
        <v>无销量广告费为1.81</v>
      </c>
      <c r="AJ189">
        <f>IFERROR(VLOOKUP($B189,[1]库存报告使用数据!$A$1:$B$65536,2,0),0)</f>
        <v>1</v>
      </c>
      <c r="AK189">
        <f>IFERROR(VLOOKUP($B189,[1]库存报告使用数据!$A$1:$C$65536,3,0),0)</f>
        <v>1</v>
      </c>
      <c r="AL189">
        <f>IFERROR(VLOOKUP($B189,[1]库存报告使用数据!$A$1:$D$65536,4,0),0)</f>
        <v>1</v>
      </c>
      <c r="AM189">
        <f>IFERROR(VLOOKUP($B189,[1]库存报告使用数据!$A$1:$E$65536,5,0),0)</f>
        <v>1</v>
      </c>
      <c r="AN189" s="23">
        <f t="shared" si="51"/>
        <v>0</v>
      </c>
      <c r="AO189" s="23">
        <f t="shared" si="52"/>
        <v>0</v>
      </c>
      <c r="AP189" s="23">
        <f t="shared" si="53"/>
        <v>0</v>
      </c>
      <c r="AQ189" s="23">
        <f t="shared" si="54"/>
        <v>0</v>
      </c>
      <c r="AR189" s="38">
        <f t="shared" si="39"/>
        <v>0</v>
      </c>
      <c r="AS189" s="38">
        <f t="shared" si="40"/>
        <v>0</v>
      </c>
      <c r="AT189" s="38">
        <f t="shared" si="41"/>
        <v>3</v>
      </c>
      <c r="AU189" s="33" t="str">
        <f t="shared" si="42"/>
        <v>库存为3</v>
      </c>
      <c r="AV189" s="39" t="str">
        <f>IFERROR(时间!$B$4+AU189,"上周无销量")</f>
        <v>上周无销量</v>
      </c>
    </row>
    <row r="190" spans="1:48">
      <c r="A190" s="35" t="s">
        <v>235</v>
      </c>
      <c r="B190" t="str">
        <f>VLOOKUP(A190,'[2]sku-asin（子）'!$A:$B,2,0)</f>
        <v>B074DW168F</v>
      </c>
      <c r="C190" t="str">
        <f>VLOOKUP(A190,'[2]子sku-父sku'!$A:$B,2,0)</f>
        <v>N5330Y</v>
      </c>
      <c r="D190" s="33">
        <f>IFERROR(VLOOKUP(A190,[3]库存报告使用数据处理!$A:$C,3,0),0)</f>
        <v>0</v>
      </c>
      <c r="E190" s="33">
        <f>IFERROR(VLOOKUP(A190,[3]库存报告使用数据处理!$A:$D,4,0),0)</f>
        <v>0</v>
      </c>
      <c r="F190" s="33">
        <f>IFERROR(VLOOKUP(A190,[3]库存报告使用数据处理!$A:$E,5,0),0)</f>
        <v>0</v>
      </c>
      <c r="G190" s="33">
        <f>IFERROR(VLOOKUP(A190,[3]库存报告使用数据处理!$A:$F,6,0),0)</f>
        <v>0</v>
      </c>
      <c r="H190" s="34">
        <f>IFERROR(VLOOKUP(A190,[3]库存报告使用数据处理!$A:$G,7,0),0)</f>
        <v>0</v>
      </c>
      <c r="I190">
        <f>IFERROR(VLOOKUP(A190,[4]数据处理!$A:$B,2,0),0)</f>
        <v>3</v>
      </c>
      <c r="J190" s="36">
        <f>IFERROR(VLOOKUP(A190,[4]数据处理!$A:$D,4,0),0)</f>
        <v>0</v>
      </c>
      <c r="K190" s="36">
        <f>IFERROR(VLOOKUP(A190,[4]数据处理!$A:$E,5,0),0)</f>
        <v>0</v>
      </c>
      <c r="L190" s="36">
        <f>IFERROR(VLOOKUP(A190,[4]数据处理!$A:$G,7,0),0)</f>
        <v>0</v>
      </c>
      <c r="M190">
        <f t="shared" si="38"/>
        <v>3</v>
      </c>
      <c r="N190">
        <f>IFERROR(VLOOKUP(A190,[4]数据处理!$A:$C,3,0),0)</f>
        <v>0</v>
      </c>
      <c r="O190">
        <f>IFERROR(VLOOKUP($A190,[4]数据处理!$A:$N,14,0),0)</f>
        <v>3</v>
      </c>
      <c r="P190">
        <f>IFERROR(VLOOKUP($A190,[5]库存使用数据!$A:$B,2,0),"")</f>
        <v>12</v>
      </c>
      <c r="Q190">
        <f>IFERROR(VLOOKUP($A190,[5]库存使用数据!$A:$E,5,0),"")</f>
        <v>27</v>
      </c>
      <c r="R190">
        <f>IFERROR(VLOOKUP($A190,[5]库存使用数据!$A:$H,8,0),"")</f>
        <v>65</v>
      </c>
      <c r="S190">
        <f>IFERROR(VLOOKUP($A190,[5]库存使用数据!$A:$K,11,0),"")</f>
        <v>49</v>
      </c>
      <c r="T190">
        <f>IFERROR(VLOOKUP($A190,[5]库存使用数据!$A:$C,3,0),"")</f>
        <v>0</v>
      </c>
      <c r="U190">
        <f>IFERROR(VLOOKUP($A190,[5]库存使用数据!$A:$F,6,0),"")</f>
        <v>0</v>
      </c>
      <c r="V190">
        <f>IFERROR(VLOOKUP($A190,[5]库存使用数据!$A:$I,9,0),"")</f>
        <v>0</v>
      </c>
      <c r="W190">
        <f>IFERROR(VLOOKUP($A190,[5]库存使用数据!$A:$L,12,0),"")</f>
        <v>0</v>
      </c>
      <c r="X190" s="23">
        <f t="shared" si="43"/>
        <v>0</v>
      </c>
      <c r="Y190" s="23">
        <f t="shared" si="44"/>
        <v>0</v>
      </c>
      <c r="Z190" s="23">
        <f t="shared" si="45"/>
        <v>0</v>
      </c>
      <c r="AA190" s="23">
        <f t="shared" si="46"/>
        <v>0</v>
      </c>
      <c r="AB190">
        <f>IFERROR(VLOOKUP($A190,[5]库存使用数据!$A:$D,4,0),"")</f>
        <v>0</v>
      </c>
      <c r="AC190">
        <f>IFERROR(VLOOKUP($A190,[5]库存使用数据!$A:$G,7,0),"")</f>
        <v>0</v>
      </c>
      <c r="AD190">
        <f>IFERROR(VLOOKUP($A190,[5]库存使用数据!$A:$J,10,0),"")</f>
        <v>0</v>
      </c>
      <c r="AE190">
        <f>IFERROR(VLOOKUP($A190,[5]库存使用数据!$A:$M,13,0),"")</f>
        <v>0</v>
      </c>
      <c r="AF190" s="23" t="str">
        <f t="shared" si="47"/>
        <v/>
      </c>
      <c r="AG190" s="23" t="str">
        <f t="shared" si="48"/>
        <v/>
      </c>
      <c r="AH190" s="23" t="str">
        <f t="shared" si="49"/>
        <v/>
      </c>
      <c r="AI190" s="23" t="str">
        <f t="shared" si="50"/>
        <v/>
      </c>
      <c r="AJ190">
        <f>IFERROR(VLOOKUP($B190,[1]库存报告使用数据!$A$1:$B$65536,2,0),0)</f>
        <v>4</v>
      </c>
      <c r="AK190">
        <f>IFERROR(VLOOKUP($B190,[1]库存报告使用数据!$A$1:$C$65536,3,0),0)</f>
        <v>3</v>
      </c>
      <c r="AL190">
        <f>IFERROR(VLOOKUP($B190,[1]库存报告使用数据!$A$1:$D$65536,4,0),0)</f>
        <v>0</v>
      </c>
      <c r="AM190">
        <f>IFERROR(VLOOKUP($B190,[1]库存报告使用数据!$A$1:$E$65536,5,0),0)</f>
        <v>0</v>
      </c>
      <c r="AN190" s="23">
        <f t="shared" si="51"/>
        <v>0</v>
      </c>
      <c r="AO190" s="23">
        <f t="shared" si="52"/>
        <v>0</v>
      </c>
      <c r="AP190" s="23" t="str">
        <f t="shared" si="53"/>
        <v/>
      </c>
      <c r="AQ190" s="23" t="str">
        <f t="shared" si="54"/>
        <v/>
      </c>
      <c r="AR190" s="38">
        <f t="shared" si="39"/>
        <v>0</v>
      </c>
      <c r="AS190" s="38">
        <f t="shared" si="40"/>
        <v>0</v>
      </c>
      <c r="AT190" s="38">
        <f t="shared" si="41"/>
        <v>3</v>
      </c>
      <c r="AU190" s="33" t="str">
        <f t="shared" si="42"/>
        <v>库存为3</v>
      </c>
      <c r="AV190" s="39" t="str">
        <f>IFERROR(时间!$B$4+AU190,"上周无销量")</f>
        <v>上周无销量</v>
      </c>
    </row>
    <row r="191" spans="1:48">
      <c r="A191" s="35" t="s">
        <v>236</v>
      </c>
      <c r="B191" t="str">
        <f>VLOOKUP(A191,'[2]sku-asin（子）'!$A:$B,2,0)</f>
        <v>B074DW2BY6</v>
      </c>
      <c r="C191" t="str">
        <f>VLOOKUP(A191,'[2]子sku-父sku'!$A:$B,2,0)</f>
        <v>N583Y</v>
      </c>
      <c r="D191" s="33">
        <f>IFERROR(VLOOKUP(A191,[3]库存报告使用数据处理!$A:$C,3,0),0)</f>
        <v>0</v>
      </c>
      <c r="E191" s="33">
        <f>IFERROR(VLOOKUP(A191,[3]库存报告使用数据处理!$A:$D,4,0),0)</f>
        <v>0</v>
      </c>
      <c r="F191" s="33">
        <f>IFERROR(VLOOKUP(A191,[3]库存报告使用数据处理!$A:$E,5,0),0)</f>
        <v>0</v>
      </c>
      <c r="G191" s="33">
        <f>IFERROR(VLOOKUP(A191,[3]库存报告使用数据处理!$A:$F,6,0),0)</f>
        <v>0</v>
      </c>
      <c r="H191" s="34">
        <f>IFERROR(VLOOKUP(A191,[3]库存报告使用数据处理!$A:$G,7,0),0)</f>
        <v>0</v>
      </c>
      <c r="I191">
        <f>IFERROR(VLOOKUP(A191,[4]数据处理!$A:$B,2,0),0)</f>
        <v>3</v>
      </c>
      <c r="J191" s="36">
        <f>IFERROR(VLOOKUP(A191,[4]数据处理!$A:$D,4,0),0)</f>
        <v>0</v>
      </c>
      <c r="K191" s="36">
        <f>IFERROR(VLOOKUP(A191,[4]数据处理!$A:$E,5,0),0)</f>
        <v>0</v>
      </c>
      <c r="L191" s="36">
        <f>IFERROR(VLOOKUP(A191,[4]数据处理!$A:$G,7,0),0)</f>
        <v>0</v>
      </c>
      <c r="M191">
        <f t="shared" si="38"/>
        <v>3</v>
      </c>
      <c r="N191">
        <f>IFERROR(VLOOKUP(A191,[4]数据处理!$A:$C,3,0),0)</f>
        <v>0</v>
      </c>
      <c r="O191">
        <f>IFERROR(VLOOKUP($A191,[4]数据处理!$A:$N,14,0),0)</f>
        <v>3</v>
      </c>
      <c r="P191">
        <f>IFERROR(VLOOKUP($A191,[5]库存使用数据!$A:$B,2,0),"")</f>
        <v>4</v>
      </c>
      <c r="Q191">
        <f>IFERROR(VLOOKUP($A191,[5]库存使用数据!$A:$E,5,0),"")</f>
        <v>25</v>
      </c>
      <c r="R191">
        <f>IFERROR(VLOOKUP($A191,[5]库存使用数据!$A:$H,8,0),"")</f>
        <v>112</v>
      </c>
      <c r="S191">
        <f>IFERROR(VLOOKUP($A191,[5]库存使用数据!$A:$K,11,0),"")</f>
        <v>355</v>
      </c>
      <c r="T191">
        <f>IFERROR(VLOOKUP($A191,[5]库存使用数据!$A:$C,3,0),"")</f>
        <v>0</v>
      </c>
      <c r="U191">
        <f>IFERROR(VLOOKUP($A191,[5]库存使用数据!$A:$F,6,0),"")</f>
        <v>0</v>
      </c>
      <c r="V191">
        <f>IFERROR(VLOOKUP($A191,[5]库存使用数据!$A:$I,9,0),"")</f>
        <v>0</v>
      </c>
      <c r="W191">
        <f>IFERROR(VLOOKUP($A191,[5]库存使用数据!$A:$L,12,0),"")</f>
        <v>2</v>
      </c>
      <c r="X191" s="23">
        <f t="shared" si="43"/>
        <v>0</v>
      </c>
      <c r="Y191" s="23">
        <f t="shared" si="44"/>
        <v>0</v>
      </c>
      <c r="Z191" s="23">
        <f t="shared" si="45"/>
        <v>0</v>
      </c>
      <c r="AA191" s="23">
        <f t="shared" si="46"/>
        <v>0.00563380281690141</v>
      </c>
      <c r="AB191">
        <f>IFERROR(VLOOKUP($A191,[5]库存使用数据!$A:$D,4,0),"")</f>
        <v>0</v>
      </c>
      <c r="AC191">
        <f>IFERROR(VLOOKUP($A191,[5]库存使用数据!$A:$G,7,0),"")</f>
        <v>0</v>
      </c>
      <c r="AD191">
        <f>IFERROR(VLOOKUP($A191,[5]库存使用数据!$A:$J,10,0),"")</f>
        <v>0</v>
      </c>
      <c r="AE191">
        <f>IFERROR(VLOOKUP($A191,[5]库存使用数据!$A:$M,13,0),"")</f>
        <v>0.8</v>
      </c>
      <c r="AF191" s="23" t="str">
        <f t="shared" si="47"/>
        <v/>
      </c>
      <c r="AG191" s="23" t="str">
        <f t="shared" si="48"/>
        <v/>
      </c>
      <c r="AH191" s="23" t="str">
        <f t="shared" si="49"/>
        <v/>
      </c>
      <c r="AI191" s="23" t="str">
        <f t="shared" si="50"/>
        <v>无销量广告费为0.8</v>
      </c>
      <c r="AJ191">
        <f>IFERROR(VLOOKUP($B191,[1]库存报告使用数据!$A$1:$B$65536,2,0),0)</f>
        <v>1</v>
      </c>
      <c r="AK191">
        <f>IFERROR(VLOOKUP($B191,[1]库存报告使用数据!$A$1:$C$65536,3,0),0)</f>
        <v>2</v>
      </c>
      <c r="AL191">
        <f>IFERROR(VLOOKUP($B191,[1]库存报告使用数据!$A$1:$D$65536,4,0),0)</f>
        <v>0</v>
      </c>
      <c r="AM191">
        <f>IFERROR(VLOOKUP($B191,[1]库存报告使用数据!$A$1:$E$65536,5,0),0)</f>
        <v>0</v>
      </c>
      <c r="AN191" s="23">
        <f t="shared" si="51"/>
        <v>0</v>
      </c>
      <c r="AO191" s="23">
        <f t="shared" si="52"/>
        <v>0</v>
      </c>
      <c r="AP191" s="23" t="str">
        <f t="shared" si="53"/>
        <v/>
      </c>
      <c r="AQ191" s="23" t="str">
        <f t="shared" si="54"/>
        <v/>
      </c>
      <c r="AR191" s="38">
        <f t="shared" si="39"/>
        <v>0</v>
      </c>
      <c r="AS191" s="38">
        <f t="shared" si="40"/>
        <v>0</v>
      </c>
      <c r="AT191" s="38">
        <f t="shared" si="41"/>
        <v>3</v>
      </c>
      <c r="AU191" s="33" t="str">
        <f t="shared" si="42"/>
        <v>库存为3</v>
      </c>
      <c r="AV191" s="39" t="str">
        <f>IFERROR(时间!$B$4+AU191,"上周无销量")</f>
        <v>上周无销量</v>
      </c>
    </row>
    <row r="192" spans="1:48">
      <c r="A192" s="35" t="s">
        <v>237</v>
      </c>
      <c r="B192" t="str">
        <f>VLOOKUP(A192,'[2]sku-asin（子）'!$A:$B,2,0)</f>
        <v>B074DVY6FY</v>
      </c>
      <c r="C192" t="str">
        <f>VLOOKUP(A192,'[2]子sku-父sku'!$A:$B,2,0)</f>
        <v>N583Y</v>
      </c>
      <c r="D192" s="33">
        <f>IFERROR(VLOOKUP(A192,[3]库存报告使用数据处理!$A:$C,3,0),0)</f>
        <v>0</v>
      </c>
      <c r="E192" s="33">
        <f>IFERROR(VLOOKUP(A192,[3]库存报告使用数据处理!$A:$D,4,0),0)</f>
        <v>0</v>
      </c>
      <c r="F192" s="33">
        <f>IFERROR(VLOOKUP(A192,[3]库存报告使用数据处理!$A:$E,5,0),0)</f>
        <v>0</v>
      </c>
      <c r="G192" s="33">
        <f>IFERROR(VLOOKUP(A192,[3]库存报告使用数据处理!$A:$F,6,0),0)</f>
        <v>0</v>
      </c>
      <c r="H192" s="34">
        <f>IFERROR(VLOOKUP(A192,[3]库存报告使用数据处理!$A:$G,7,0),0)</f>
        <v>0</v>
      </c>
      <c r="I192">
        <f>IFERROR(VLOOKUP(A192,[4]数据处理!$A:$B,2,0),0)</f>
        <v>2</v>
      </c>
      <c r="J192" s="36">
        <f>IFERROR(VLOOKUP(A192,[4]数据处理!$A:$D,4,0),0)</f>
        <v>0</v>
      </c>
      <c r="K192" s="36">
        <f>IFERROR(VLOOKUP(A192,[4]数据处理!$A:$E,5,0),0)</f>
        <v>0</v>
      </c>
      <c r="L192" s="36">
        <f>IFERROR(VLOOKUP(A192,[4]数据处理!$A:$G,7,0),0)</f>
        <v>0</v>
      </c>
      <c r="M192">
        <f t="shared" si="38"/>
        <v>2</v>
      </c>
      <c r="N192">
        <f>IFERROR(VLOOKUP(A192,[4]数据处理!$A:$C,3,0),0)</f>
        <v>0</v>
      </c>
      <c r="O192">
        <f>IFERROR(VLOOKUP($A192,[4]数据处理!$A:$N,14,0),0)</f>
        <v>2</v>
      </c>
      <c r="P192">
        <f>IFERROR(VLOOKUP($A192,[5]库存使用数据!$A:$B,2,0),"")</f>
        <v>47</v>
      </c>
      <c r="Q192">
        <f>IFERROR(VLOOKUP($A192,[5]库存使用数据!$A:$E,5,0),"")</f>
        <v>101</v>
      </c>
      <c r="R192">
        <f>IFERROR(VLOOKUP($A192,[5]库存使用数据!$A:$H,8,0),"")</f>
        <v>298</v>
      </c>
      <c r="S192">
        <f>IFERROR(VLOOKUP($A192,[5]库存使用数据!$A:$K,11,0),"")</f>
        <v>421</v>
      </c>
      <c r="T192">
        <f>IFERROR(VLOOKUP($A192,[5]库存使用数据!$A:$C,3,0),"")</f>
        <v>0</v>
      </c>
      <c r="U192">
        <f>IFERROR(VLOOKUP($A192,[5]库存使用数据!$A:$F,6,0),"")</f>
        <v>0</v>
      </c>
      <c r="V192">
        <f>IFERROR(VLOOKUP($A192,[5]库存使用数据!$A:$I,9,0),"")</f>
        <v>1</v>
      </c>
      <c r="W192">
        <f>IFERROR(VLOOKUP($A192,[5]库存使用数据!$A:$L,12,0),"")</f>
        <v>1</v>
      </c>
      <c r="X192" s="23">
        <f t="shared" si="43"/>
        <v>0</v>
      </c>
      <c r="Y192" s="23">
        <f t="shared" si="44"/>
        <v>0</v>
      </c>
      <c r="Z192" s="23">
        <f t="shared" si="45"/>
        <v>0.00335570469798658</v>
      </c>
      <c r="AA192" s="23">
        <f t="shared" si="46"/>
        <v>0.00237529691211401</v>
      </c>
      <c r="AB192">
        <f>IFERROR(VLOOKUP($A192,[5]库存使用数据!$A:$D,4,0),"")</f>
        <v>0</v>
      </c>
      <c r="AC192">
        <f>IFERROR(VLOOKUP($A192,[5]库存使用数据!$A:$G,7,0),"")</f>
        <v>0</v>
      </c>
      <c r="AD192">
        <f>IFERROR(VLOOKUP($A192,[5]库存使用数据!$A:$J,10,0),"")</f>
        <v>0.13</v>
      </c>
      <c r="AE192">
        <f>IFERROR(VLOOKUP($A192,[5]库存使用数据!$A:$M,13,0),"")</f>
        <v>0.26</v>
      </c>
      <c r="AF192" s="23" t="str">
        <f t="shared" si="47"/>
        <v/>
      </c>
      <c r="AG192" s="23" t="str">
        <f t="shared" si="48"/>
        <v/>
      </c>
      <c r="AH192" s="23" t="str">
        <f t="shared" si="49"/>
        <v>无销量广告费为0.13</v>
      </c>
      <c r="AI192" s="23" t="str">
        <f t="shared" si="50"/>
        <v>无销量广告费为0.26</v>
      </c>
      <c r="AJ192">
        <f>IFERROR(VLOOKUP($B192,[1]库存报告使用数据!$A$1:$B$65536,2,0),0)</f>
        <v>1</v>
      </c>
      <c r="AK192">
        <f>IFERROR(VLOOKUP($B192,[1]库存报告使用数据!$A$1:$C$65536,3,0),0)</f>
        <v>2</v>
      </c>
      <c r="AL192">
        <f>IFERROR(VLOOKUP($B192,[1]库存报告使用数据!$A$1:$D$65536,4,0),0)</f>
        <v>0</v>
      </c>
      <c r="AM192">
        <f>IFERROR(VLOOKUP($B192,[1]库存报告使用数据!$A$1:$E$65536,5,0),0)</f>
        <v>0</v>
      </c>
      <c r="AN192" s="23">
        <f t="shared" si="51"/>
        <v>0</v>
      </c>
      <c r="AO192" s="23">
        <f t="shared" si="52"/>
        <v>0</v>
      </c>
      <c r="AP192" s="23" t="str">
        <f t="shared" si="53"/>
        <v/>
      </c>
      <c r="AQ192" s="23" t="str">
        <f t="shared" si="54"/>
        <v/>
      </c>
      <c r="AR192" s="38">
        <f t="shared" si="39"/>
        <v>0</v>
      </c>
      <c r="AS192" s="38">
        <f t="shared" si="40"/>
        <v>0</v>
      </c>
      <c r="AT192" s="38">
        <f t="shared" si="41"/>
        <v>2</v>
      </c>
      <c r="AU192" s="33" t="str">
        <f t="shared" si="42"/>
        <v>库存为2</v>
      </c>
      <c r="AV192" s="39" t="str">
        <f>IFERROR(时间!$B$4+AU192,"上周无销量")</f>
        <v>上周无销量</v>
      </c>
    </row>
    <row r="193" spans="1:48">
      <c r="A193" s="35" t="s">
        <v>238</v>
      </c>
      <c r="B193" t="str">
        <f>VLOOKUP(A193,'[2]sku-asin（子）'!$A:$B,2,0)</f>
        <v>B074FXCCGK</v>
      </c>
      <c r="C193" t="str">
        <f>VLOOKUP(A193,'[2]子sku-父sku'!$A:$B,2,0)</f>
        <v>N86162K</v>
      </c>
      <c r="D193" s="33">
        <f>IFERROR(VLOOKUP(A193,[3]库存报告使用数据处理!$A:$C,3,0),0)</f>
        <v>0</v>
      </c>
      <c r="E193" s="33">
        <f>IFERROR(VLOOKUP(A193,[3]库存报告使用数据处理!$A:$D,4,0),0)</f>
        <v>0</v>
      </c>
      <c r="F193" s="33">
        <f>IFERROR(VLOOKUP(A193,[3]库存报告使用数据处理!$A:$E,5,0),0)</f>
        <v>0</v>
      </c>
      <c r="G193" s="33">
        <f>IFERROR(VLOOKUP(A193,[3]库存报告使用数据处理!$A:$F,6,0),0)</f>
        <v>0</v>
      </c>
      <c r="H193" s="34">
        <f>IFERROR(VLOOKUP(A193,[3]库存报告使用数据处理!$A:$G,7,0),0)</f>
        <v>0</v>
      </c>
      <c r="I193">
        <f>IFERROR(VLOOKUP(A193,[4]数据处理!$A:$B,2,0),0)</f>
        <v>0</v>
      </c>
      <c r="J193" s="36">
        <f>IFERROR(VLOOKUP(A193,[4]数据处理!$A:$D,4,0),0)</f>
        <v>0</v>
      </c>
      <c r="K193" s="36">
        <f>IFERROR(VLOOKUP(A193,[4]数据处理!$A:$E,5,0),0)</f>
        <v>0</v>
      </c>
      <c r="L193" s="36">
        <f>IFERROR(VLOOKUP(A193,[4]数据处理!$A:$G,7,0),0)</f>
        <v>0</v>
      </c>
      <c r="M193">
        <f t="shared" si="38"/>
        <v>0</v>
      </c>
      <c r="N193">
        <f>IFERROR(VLOOKUP(A193,[4]数据处理!$A:$C,3,0),0)</f>
        <v>0</v>
      </c>
      <c r="O193">
        <f>IFERROR(VLOOKUP($A193,[4]数据处理!$A:$N,14,0),0)</f>
        <v>0</v>
      </c>
      <c r="P193" t="str">
        <f>IFERROR(VLOOKUP($A193,[5]库存使用数据!$A:$B,2,0),"")</f>
        <v/>
      </c>
      <c r="Q193" t="str">
        <f>IFERROR(VLOOKUP($A193,[5]库存使用数据!$A:$E,5,0),"")</f>
        <v/>
      </c>
      <c r="R193" t="str">
        <f>IFERROR(VLOOKUP($A193,[5]库存使用数据!$A:$H,8,0),"")</f>
        <v/>
      </c>
      <c r="S193" t="str">
        <f>IFERROR(VLOOKUP($A193,[5]库存使用数据!$A:$K,11,0),"")</f>
        <v/>
      </c>
      <c r="T193" t="str">
        <f>IFERROR(VLOOKUP($A193,[5]库存使用数据!$A:$C,3,0),"")</f>
        <v/>
      </c>
      <c r="U193" t="str">
        <f>IFERROR(VLOOKUP($A193,[5]库存使用数据!$A:$F,6,0),"")</f>
        <v/>
      </c>
      <c r="V193" t="str">
        <f>IFERROR(VLOOKUP($A193,[5]库存使用数据!$A:$I,9,0),"")</f>
        <v/>
      </c>
      <c r="W193" t="str">
        <f>IFERROR(VLOOKUP($A193,[5]库存使用数据!$A:$L,12,0),"")</f>
        <v/>
      </c>
      <c r="X193" s="23" t="str">
        <f t="shared" si="43"/>
        <v/>
      </c>
      <c r="Y193" s="23" t="str">
        <f t="shared" si="44"/>
        <v/>
      </c>
      <c r="Z193" s="23" t="str">
        <f t="shared" si="45"/>
        <v/>
      </c>
      <c r="AA193" s="23" t="str">
        <f t="shared" si="46"/>
        <v/>
      </c>
      <c r="AB193" t="str">
        <f>IFERROR(VLOOKUP($A193,[5]库存使用数据!$A:$D,4,0),"")</f>
        <v/>
      </c>
      <c r="AC193" t="str">
        <f>IFERROR(VLOOKUP($A193,[5]库存使用数据!$A:$G,7,0),"")</f>
        <v/>
      </c>
      <c r="AD193" t="str">
        <f>IFERROR(VLOOKUP($A193,[5]库存使用数据!$A:$J,10,0),"")</f>
        <v/>
      </c>
      <c r="AE193" t="str">
        <f>IFERROR(VLOOKUP($A193,[5]库存使用数据!$A:$M,13,0),"")</f>
        <v/>
      </c>
      <c r="AF193" s="23" t="str">
        <f t="shared" si="47"/>
        <v/>
      </c>
      <c r="AG193" s="23" t="str">
        <f t="shared" si="48"/>
        <v/>
      </c>
      <c r="AH193" s="23" t="str">
        <f t="shared" si="49"/>
        <v/>
      </c>
      <c r="AI193" s="23" t="str">
        <f t="shared" si="50"/>
        <v/>
      </c>
      <c r="AJ193">
        <f>IFERROR(VLOOKUP($B193,[1]库存报告使用数据!$A$1:$B$65536,2,0),0)</f>
        <v>0</v>
      </c>
      <c r="AK193">
        <f>IFERROR(VLOOKUP($B193,[1]库存报告使用数据!$A$1:$C$65536,3,0),0)</f>
        <v>0</v>
      </c>
      <c r="AL193">
        <f>IFERROR(VLOOKUP($B193,[1]库存报告使用数据!$A$1:$D$65536,4,0),0)</f>
        <v>0</v>
      </c>
      <c r="AM193">
        <f>IFERROR(VLOOKUP($B193,[1]库存报告使用数据!$A$1:$E$65536,5,0),0)</f>
        <v>0</v>
      </c>
      <c r="AN193" s="23" t="str">
        <f t="shared" si="51"/>
        <v/>
      </c>
      <c r="AO193" s="23" t="str">
        <f t="shared" si="52"/>
        <v/>
      </c>
      <c r="AP193" s="23" t="str">
        <f t="shared" si="53"/>
        <v/>
      </c>
      <c r="AQ193" s="23" t="str">
        <f t="shared" si="54"/>
        <v/>
      </c>
      <c r="AR193" s="38">
        <f t="shared" si="39"/>
        <v>0</v>
      </c>
      <c r="AS193" s="38">
        <f t="shared" si="40"/>
        <v>0</v>
      </c>
      <c r="AT193" s="38">
        <f t="shared" si="41"/>
        <v>0</v>
      </c>
      <c r="AU193" s="33" t="str">
        <f t="shared" si="42"/>
        <v>库存为0</v>
      </c>
      <c r="AV193" s="39" t="str">
        <f>IFERROR(时间!$B$4+AU193,"上周无销量")</f>
        <v>上周无销量</v>
      </c>
    </row>
    <row r="194" spans="1:48">
      <c r="A194" s="35" t="s">
        <v>239</v>
      </c>
      <c r="B194" t="str">
        <f>VLOOKUP(A194,'[2]sku-asin（子）'!$A:$B,2,0)</f>
        <v>B074FS9DHG</v>
      </c>
      <c r="C194" t="str">
        <f>VLOOKUP(A194,'[2]子sku-父sku'!$A:$B,2,0)</f>
        <v>N87232K</v>
      </c>
      <c r="D194" s="33">
        <f>IFERROR(VLOOKUP(A194,[3]库存报告使用数据处理!$A:$C,3,0),0)</f>
        <v>0</v>
      </c>
      <c r="E194" s="33">
        <f>IFERROR(VLOOKUP(A194,[3]库存报告使用数据处理!$A:$D,4,0),0)</f>
        <v>1</v>
      </c>
      <c r="F194" s="33">
        <f>IFERROR(VLOOKUP(A194,[3]库存报告使用数据处理!$A:$E,5,0),0)</f>
        <v>0</v>
      </c>
      <c r="G194" s="33">
        <f>IFERROR(VLOOKUP(A194,[3]库存报告使用数据处理!$A:$F,6,0),0)</f>
        <v>0</v>
      </c>
      <c r="H194" s="34">
        <f>IFERROR(VLOOKUP(A194,[3]库存报告使用数据处理!$A:$G,7,0),0)</f>
        <v>5.27</v>
      </c>
      <c r="I194">
        <f>IFERROR(VLOOKUP(A194,[4]数据处理!$A:$B,2,0),0)</f>
        <v>0</v>
      </c>
      <c r="J194" s="36">
        <f>IFERROR(VLOOKUP(A194,[4]数据处理!$A:$D,4,0),0)</f>
        <v>0</v>
      </c>
      <c r="K194" s="36">
        <f>IFERROR(VLOOKUP(A194,[4]数据处理!$A:$E,5,0),0)</f>
        <v>0</v>
      </c>
      <c r="L194" s="36">
        <f>IFERROR(VLOOKUP(A194,[4]数据处理!$A:$G,7,0),0)</f>
        <v>0</v>
      </c>
      <c r="M194">
        <f t="shared" si="38"/>
        <v>0</v>
      </c>
      <c r="N194">
        <f>IFERROR(VLOOKUP(A194,[4]数据处理!$A:$C,3,0),0)</f>
        <v>0</v>
      </c>
      <c r="O194">
        <f>IFERROR(VLOOKUP($A194,[4]数据处理!$A:$N,14,0),0)</f>
        <v>0</v>
      </c>
      <c r="P194" t="str">
        <f>IFERROR(VLOOKUP($A194,[5]库存使用数据!$A:$B,2,0),"")</f>
        <v/>
      </c>
      <c r="Q194" t="str">
        <f>IFERROR(VLOOKUP($A194,[5]库存使用数据!$A:$E,5,0),"")</f>
        <v/>
      </c>
      <c r="R194" t="str">
        <f>IFERROR(VLOOKUP($A194,[5]库存使用数据!$A:$H,8,0),"")</f>
        <v/>
      </c>
      <c r="S194" t="str">
        <f>IFERROR(VLOOKUP($A194,[5]库存使用数据!$A:$K,11,0),"")</f>
        <v/>
      </c>
      <c r="T194" t="str">
        <f>IFERROR(VLOOKUP($A194,[5]库存使用数据!$A:$C,3,0),"")</f>
        <v/>
      </c>
      <c r="U194" t="str">
        <f>IFERROR(VLOOKUP($A194,[5]库存使用数据!$A:$F,6,0),"")</f>
        <v/>
      </c>
      <c r="V194" t="str">
        <f>IFERROR(VLOOKUP($A194,[5]库存使用数据!$A:$I,9,0),"")</f>
        <v/>
      </c>
      <c r="W194" t="str">
        <f>IFERROR(VLOOKUP($A194,[5]库存使用数据!$A:$L,12,0),"")</f>
        <v/>
      </c>
      <c r="X194" s="23" t="str">
        <f t="shared" si="43"/>
        <v/>
      </c>
      <c r="Y194" s="23" t="str">
        <f t="shared" si="44"/>
        <v/>
      </c>
      <c r="Z194" s="23" t="str">
        <f t="shared" si="45"/>
        <v/>
      </c>
      <c r="AA194" s="23" t="str">
        <f t="shared" si="46"/>
        <v/>
      </c>
      <c r="AB194" t="str">
        <f>IFERROR(VLOOKUP($A194,[5]库存使用数据!$A:$D,4,0),"")</f>
        <v/>
      </c>
      <c r="AC194" t="str">
        <f>IFERROR(VLOOKUP($A194,[5]库存使用数据!$A:$G,7,0),"")</f>
        <v/>
      </c>
      <c r="AD194" t="str">
        <f>IFERROR(VLOOKUP($A194,[5]库存使用数据!$A:$J,10,0),"")</f>
        <v/>
      </c>
      <c r="AE194" t="str">
        <f>IFERROR(VLOOKUP($A194,[5]库存使用数据!$A:$M,13,0),"")</f>
        <v/>
      </c>
      <c r="AF194" s="23" t="str">
        <f t="shared" si="47"/>
        <v/>
      </c>
      <c r="AG194" s="23" t="str">
        <f t="shared" si="48"/>
        <v/>
      </c>
      <c r="AH194" s="23" t="str">
        <f t="shared" si="49"/>
        <v/>
      </c>
      <c r="AI194" s="23" t="str">
        <f t="shared" si="50"/>
        <v/>
      </c>
      <c r="AJ194">
        <f>IFERROR(VLOOKUP($B194,[1]库存报告使用数据!$A$1:$B$65536,2,0),0)</f>
        <v>0</v>
      </c>
      <c r="AK194">
        <f>IFERROR(VLOOKUP($B194,[1]库存报告使用数据!$A$1:$C$65536,3,0),0)</f>
        <v>1</v>
      </c>
      <c r="AL194">
        <f>IFERROR(VLOOKUP($B194,[1]库存报告使用数据!$A$1:$D$65536,4,0),0)</f>
        <v>0</v>
      </c>
      <c r="AM194">
        <f>IFERROR(VLOOKUP($B194,[1]库存报告使用数据!$A$1:$E$65536,5,0),0)</f>
        <v>1</v>
      </c>
      <c r="AN194" s="23" t="str">
        <f t="shared" si="51"/>
        <v/>
      </c>
      <c r="AO194" s="23">
        <f t="shared" si="52"/>
        <v>1</v>
      </c>
      <c r="AP194" s="23" t="str">
        <f t="shared" si="53"/>
        <v/>
      </c>
      <c r="AQ194" s="23">
        <f t="shared" si="54"/>
        <v>0</v>
      </c>
      <c r="AR194" s="38">
        <f t="shared" si="39"/>
        <v>0</v>
      </c>
      <c r="AS194" s="38">
        <f t="shared" si="40"/>
        <v>0</v>
      </c>
      <c r="AT194" s="38">
        <f t="shared" si="41"/>
        <v>0</v>
      </c>
      <c r="AU194" s="33" t="str">
        <f t="shared" si="42"/>
        <v>库存为0</v>
      </c>
      <c r="AV194" s="39" t="str">
        <f>IFERROR(时间!$B$4+AU194,"上周无销量")</f>
        <v>上周无销量</v>
      </c>
    </row>
    <row r="195" spans="1:48">
      <c r="A195" s="35" t="s">
        <v>240</v>
      </c>
      <c r="B195" t="str">
        <f>VLOOKUP(A195,'[2]sku-asin（子）'!$A:$B,2,0)</f>
        <v>B074FWGTNB</v>
      </c>
      <c r="C195" t="str">
        <f>VLOOKUP(A195,'[2]子sku-父sku'!$A:$B,2,0)</f>
        <v>N87232K</v>
      </c>
      <c r="D195" s="33">
        <f>IFERROR(VLOOKUP(A195,[3]库存报告使用数据处理!$A:$C,3,0),0)</f>
        <v>0</v>
      </c>
      <c r="E195" s="33">
        <f>IFERROR(VLOOKUP(A195,[3]库存报告使用数据处理!$A:$D,4,0),0)</f>
        <v>0</v>
      </c>
      <c r="F195" s="33">
        <f>IFERROR(VLOOKUP(A195,[3]库存报告使用数据处理!$A:$E,5,0),0)</f>
        <v>0</v>
      </c>
      <c r="G195" s="33">
        <f>IFERROR(VLOOKUP(A195,[3]库存报告使用数据处理!$A:$F,6,0),0)</f>
        <v>0</v>
      </c>
      <c r="H195" s="34">
        <f>IFERROR(VLOOKUP(A195,[3]库存报告使用数据处理!$A:$G,7,0),0)</f>
        <v>0</v>
      </c>
      <c r="I195">
        <f>IFERROR(VLOOKUP(A195,[4]数据处理!$A:$B,2,0),0)</f>
        <v>1</v>
      </c>
      <c r="J195" s="36">
        <f>IFERROR(VLOOKUP(A195,[4]数据处理!$A:$D,4,0),0)</f>
        <v>0</v>
      </c>
      <c r="K195" s="36">
        <f>IFERROR(VLOOKUP(A195,[4]数据处理!$A:$E,5,0),0)</f>
        <v>0</v>
      </c>
      <c r="L195" s="36">
        <f>IFERROR(VLOOKUP(A195,[4]数据处理!$A:$G,7,0),0)</f>
        <v>0</v>
      </c>
      <c r="M195">
        <f t="shared" si="38"/>
        <v>1</v>
      </c>
      <c r="N195">
        <f>IFERROR(VLOOKUP(A195,[4]数据处理!$A:$C,3,0),0)</f>
        <v>0</v>
      </c>
      <c r="O195">
        <f>IFERROR(VLOOKUP($A195,[4]数据处理!$A:$N,14,0),0)</f>
        <v>1</v>
      </c>
      <c r="P195" t="str">
        <f>IFERROR(VLOOKUP($A195,[5]库存使用数据!$A:$B,2,0),"")</f>
        <v/>
      </c>
      <c r="Q195" t="str">
        <f>IFERROR(VLOOKUP($A195,[5]库存使用数据!$A:$E,5,0),"")</f>
        <v/>
      </c>
      <c r="R195" t="str">
        <f>IFERROR(VLOOKUP($A195,[5]库存使用数据!$A:$H,8,0),"")</f>
        <v/>
      </c>
      <c r="S195" t="str">
        <f>IFERROR(VLOOKUP($A195,[5]库存使用数据!$A:$K,11,0),"")</f>
        <v/>
      </c>
      <c r="T195" t="str">
        <f>IFERROR(VLOOKUP($A195,[5]库存使用数据!$A:$C,3,0),"")</f>
        <v/>
      </c>
      <c r="U195" t="str">
        <f>IFERROR(VLOOKUP($A195,[5]库存使用数据!$A:$F,6,0),"")</f>
        <v/>
      </c>
      <c r="V195" t="str">
        <f>IFERROR(VLOOKUP($A195,[5]库存使用数据!$A:$I,9,0),"")</f>
        <v/>
      </c>
      <c r="W195" t="str">
        <f>IFERROR(VLOOKUP($A195,[5]库存使用数据!$A:$L,12,0),"")</f>
        <v/>
      </c>
      <c r="X195" s="23" t="str">
        <f t="shared" si="43"/>
        <v/>
      </c>
      <c r="Y195" s="23" t="str">
        <f t="shared" si="44"/>
        <v/>
      </c>
      <c r="Z195" s="23" t="str">
        <f t="shared" si="45"/>
        <v/>
      </c>
      <c r="AA195" s="23" t="str">
        <f t="shared" si="46"/>
        <v/>
      </c>
      <c r="AB195" t="str">
        <f>IFERROR(VLOOKUP($A195,[5]库存使用数据!$A:$D,4,0),"")</f>
        <v/>
      </c>
      <c r="AC195" t="str">
        <f>IFERROR(VLOOKUP($A195,[5]库存使用数据!$A:$G,7,0),"")</f>
        <v/>
      </c>
      <c r="AD195" t="str">
        <f>IFERROR(VLOOKUP($A195,[5]库存使用数据!$A:$J,10,0),"")</f>
        <v/>
      </c>
      <c r="AE195" t="str">
        <f>IFERROR(VLOOKUP($A195,[5]库存使用数据!$A:$M,13,0),"")</f>
        <v/>
      </c>
      <c r="AF195" s="23" t="str">
        <f t="shared" si="47"/>
        <v/>
      </c>
      <c r="AG195" s="23" t="str">
        <f t="shared" si="48"/>
        <v/>
      </c>
      <c r="AH195" s="23" t="str">
        <f t="shared" si="49"/>
        <v/>
      </c>
      <c r="AI195" s="23" t="str">
        <f t="shared" si="50"/>
        <v/>
      </c>
      <c r="AJ195">
        <f>IFERROR(VLOOKUP($B195,[1]库存报告使用数据!$A$1:$B$65536,2,0),0)</f>
        <v>2</v>
      </c>
      <c r="AK195">
        <f>IFERROR(VLOOKUP($B195,[1]库存报告使用数据!$A$1:$C$65536,3,0),0)</f>
        <v>1</v>
      </c>
      <c r="AL195">
        <f>IFERROR(VLOOKUP($B195,[1]库存报告使用数据!$A$1:$D$65536,4,0),0)</f>
        <v>1</v>
      </c>
      <c r="AM195">
        <f>IFERROR(VLOOKUP($B195,[1]库存报告使用数据!$A$1:$E$65536,5,0),0)</f>
        <v>0</v>
      </c>
      <c r="AN195" s="23">
        <f t="shared" si="51"/>
        <v>0</v>
      </c>
      <c r="AO195" s="23">
        <f t="shared" si="52"/>
        <v>0</v>
      </c>
      <c r="AP195" s="23">
        <f t="shared" si="53"/>
        <v>0</v>
      </c>
      <c r="AQ195" s="23" t="str">
        <f t="shared" si="54"/>
        <v/>
      </c>
      <c r="AR195" s="38">
        <f t="shared" si="39"/>
        <v>0</v>
      </c>
      <c r="AS195" s="38">
        <f t="shared" si="40"/>
        <v>0</v>
      </c>
      <c r="AT195" s="38">
        <f t="shared" si="41"/>
        <v>1</v>
      </c>
      <c r="AU195" s="33" t="str">
        <f t="shared" si="42"/>
        <v>库存为1</v>
      </c>
      <c r="AV195" s="39" t="str">
        <f>IFERROR(时间!$B$4+AU195,"上周无销量")</f>
        <v>上周无销量</v>
      </c>
    </row>
    <row r="196" spans="1:48">
      <c r="A196" s="35" t="s">
        <v>241</v>
      </c>
      <c r="B196" t="str">
        <f>VLOOKUP(A196,'[2]sku-asin（子）'!$A:$B,2,0)</f>
        <v>B074FX3HCW</v>
      </c>
      <c r="C196" t="str">
        <f>VLOOKUP(A196,'[2]子sku-父sku'!$A:$B,2,0)</f>
        <v>N87232K</v>
      </c>
      <c r="D196" s="33">
        <f>IFERROR(VLOOKUP(A196,[3]库存报告使用数据处理!$A:$C,3,0),0)</f>
        <v>0</v>
      </c>
      <c r="E196" s="33">
        <f>IFERROR(VLOOKUP(A196,[3]库存报告使用数据处理!$A:$D,4,0),0)</f>
        <v>0</v>
      </c>
      <c r="F196" s="33">
        <f>IFERROR(VLOOKUP(A196,[3]库存报告使用数据处理!$A:$E,5,0),0)</f>
        <v>0</v>
      </c>
      <c r="G196" s="33">
        <f>IFERROR(VLOOKUP(A196,[3]库存报告使用数据处理!$A:$F,6,0),0)</f>
        <v>0</v>
      </c>
      <c r="H196" s="34">
        <f>IFERROR(VLOOKUP(A196,[3]库存报告使用数据处理!$A:$G,7,0),0)</f>
        <v>0</v>
      </c>
      <c r="I196">
        <f>IFERROR(VLOOKUP(A196,[4]数据处理!$A:$B,2,0),0)</f>
        <v>1</v>
      </c>
      <c r="J196" s="36">
        <f>IFERROR(VLOOKUP(A196,[4]数据处理!$A:$D,4,0),0)</f>
        <v>0</v>
      </c>
      <c r="K196" s="36">
        <f>IFERROR(VLOOKUP(A196,[4]数据处理!$A:$E,5,0),0)</f>
        <v>0</v>
      </c>
      <c r="L196" s="36">
        <f>IFERROR(VLOOKUP(A196,[4]数据处理!$A:$G,7,0),0)</f>
        <v>0</v>
      </c>
      <c r="M196">
        <f t="shared" si="38"/>
        <v>1</v>
      </c>
      <c r="N196">
        <f>IFERROR(VLOOKUP(A196,[4]数据处理!$A:$C,3,0),0)</f>
        <v>0</v>
      </c>
      <c r="O196">
        <f>IFERROR(VLOOKUP($A196,[4]数据处理!$A:$N,14,0),0)</f>
        <v>1</v>
      </c>
      <c r="P196" t="str">
        <f>IFERROR(VLOOKUP($A196,[5]库存使用数据!$A:$B,2,0),"")</f>
        <v/>
      </c>
      <c r="Q196" t="str">
        <f>IFERROR(VLOOKUP($A196,[5]库存使用数据!$A:$E,5,0),"")</f>
        <v/>
      </c>
      <c r="R196" t="str">
        <f>IFERROR(VLOOKUP($A196,[5]库存使用数据!$A:$H,8,0),"")</f>
        <v/>
      </c>
      <c r="S196" t="str">
        <f>IFERROR(VLOOKUP($A196,[5]库存使用数据!$A:$K,11,0),"")</f>
        <v/>
      </c>
      <c r="T196" t="str">
        <f>IFERROR(VLOOKUP($A196,[5]库存使用数据!$A:$C,3,0),"")</f>
        <v/>
      </c>
      <c r="U196" t="str">
        <f>IFERROR(VLOOKUP($A196,[5]库存使用数据!$A:$F,6,0),"")</f>
        <v/>
      </c>
      <c r="V196" t="str">
        <f>IFERROR(VLOOKUP($A196,[5]库存使用数据!$A:$I,9,0),"")</f>
        <v/>
      </c>
      <c r="W196" t="str">
        <f>IFERROR(VLOOKUP($A196,[5]库存使用数据!$A:$L,12,0),"")</f>
        <v/>
      </c>
      <c r="X196" s="23" t="str">
        <f t="shared" si="43"/>
        <v/>
      </c>
      <c r="Y196" s="23" t="str">
        <f t="shared" si="44"/>
        <v/>
      </c>
      <c r="Z196" s="23" t="str">
        <f t="shared" si="45"/>
        <v/>
      </c>
      <c r="AA196" s="23" t="str">
        <f t="shared" si="46"/>
        <v/>
      </c>
      <c r="AB196" t="str">
        <f>IFERROR(VLOOKUP($A196,[5]库存使用数据!$A:$D,4,0),"")</f>
        <v/>
      </c>
      <c r="AC196" t="str">
        <f>IFERROR(VLOOKUP($A196,[5]库存使用数据!$A:$G,7,0),"")</f>
        <v/>
      </c>
      <c r="AD196" t="str">
        <f>IFERROR(VLOOKUP($A196,[5]库存使用数据!$A:$J,10,0),"")</f>
        <v/>
      </c>
      <c r="AE196" t="str">
        <f>IFERROR(VLOOKUP($A196,[5]库存使用数据!$A:$M,13,0),"")</f>
        <v/>
      </c>
      <c r="AF196" s="23" t="str">
        <f t="shared" si="47"/>
        <v/>
      </c>
      <c r="AG196" s="23" t="str">
        <f t="shared" si="48"/>
        <v/>
      </c>
      <c r="AH196" s="23" t="str">
        <f t="shared" si="49"/>
        <v/>
      </c>
      <c r="AI196" s="23" t="str">
        <f t="shared" si="50"/>
        <v/>
      </c>
      <c r="AJ196">
        <f>IFERROR(VLOOKUP($B196,[1]库存报告使用数据!$A$1:$B$65536,2,0),0)</f>
        <v>1</v>
      </c>
      <c r="AK196">
        <f>IFERROR(VLOOKUP($B196,[1]库存报告使用数据!$A$1:$C$65536,3,0),0)</f>
        <v>4</v>
      </c>
      <c r="AL196">
        <f>IFERROR(VLOOKUP($B196,[1]库存报告使用数据!$A$1:$D$65536,4,0),0)</f>
        <v>1</v>
      </c>
      <c r="AM196">
        <f>IFERROR(VLOOKUP($B196,[1]库存报告使用数据!$A$1:$E$65536,5,0),0)</f>
        <v>0</v>
      </c>
      <c r="AN196" s="23">
        <f t="shared" si="51"/>
        <v>0</v>
      </c>
      <c r="AO196" s="23">
        <f t="shared" si="52"/>
        <v>0</v>
      </c>
      <c r="AP196" s="23">
        <f t="shared" si="53"/>
        <v>0</v>
      </c>
      <c r="AQ196" s="23" t="str">
        <f t="shared" si="54"/>
        <v/>
      </c>
      <c r="AR196" s="38">
        <f t="shared" si="39"/>
        <v>0</v>
      </c>
      <c r="AS196" s="38">
        <f t="shared" si="40"/>
        <v>0</v>
      </c>
      <c r="AT196" s="38">
        <f t="shared" si="41"/>
        <v>1</v>
      </c>
      <c r="AU196" s="33" t="str">
        <f t="shared" si="42"/>
        <v>库存为1</v>
      </c>
      <c r="AV196" s="39" t="str">
        <f>IFERROR(时间!$B$4+AU196,"上周无销量")</f>
        <v>上周无销量</v>
      </c>
    </row>
    <row r="197" spans="1:48">
      <c r="A197" s="35" t="s">
        <v>242</v>
      </c>
      <c r="B197" t="str">
        <f>VLOOKUP(A197,'[2]sku-asin（子）'!$A:$B,2,0)</f>
        <v>B074FVZ2LG</v>
      </c>
      <c r="C197" t="str">
        <f>VLOOKUP(A197,'[2]子sku-父sku'!$A:$B,2,0)</f>
        <v>N87301K</v>
      </c>
      <c r="D197" s="33">
        <f>IFERROR(VLOOKUP(A197,[3]库存报告使用数据处理!$A:$C,3,0),0)</f>
        <v>0</v>
      </c>
      <c r="E197" s="33">
        <f>IFERROR(VLOOKUP(A197,[3]库存报告使用数据处理!$A:$D,4,0),0)</f>
        <v>0</v>
      </c>
      <c r="F197" s="33">
        <f>IFERROR(VLOOKUP(A197,[3]库存报告使用数据处理!$A:$E,5,0),0)</f>
        <v>0</v>
      </c>
      <c r="G197" s="33">
        <f>IFERROR(VLOOKUP(A197,[3]库存报告使用数据处理!$A:$F,6,0),0)</f>
        <v>0</v>
      </c>
      <c r="H197" s="34">
        <f>IFERROR(VLOOKUP(A197,[3]库存报告使用数据处理!$A:$G,7,0),0)</f>
        <v>0</v>
      </c>
      <c r="I197">
        <f>IFERROR(VLOOKUP(A197,[4]数据处理!$A:$B,2,0),0)</f>
        <v>1</v>
      </c>
      <c r="J197" s="36">
        <f>IFERROR(VLOOKUP(A197,[4]数据处理!$A:$D,4,0),0)</f>
        <v>0</v>
      </c>
      <c r="K197" s="36">
        <f>IFERROR(VLOOKUP(A197,[4]数据处理!$A:$E,5,0),0)</f>
        <v>0</v>
      </c>
      <c r="L197" s="36">
        <f>IFERROR(VLOOKUP(A197,[4]数据处理!$A:$G,7,0),0)</f>
        <v>0</v>
      </c>
      <c r="M197">
        <f t="shared" ref="M197:M260" si="55">SUM(I197:L197)</f>
        <v>1</v>
      </c>
      <c r="N197">
        <f>IFERROR(VLOOKUP(A197,[4]数据处理!$A:$C,3,0),0)</f>
        <v>0</v>
      </c>
      <c r="O197">
        <f>IFERROR(VLOOKUP($A197,[4]数据处理!$A:$N,14,0),0)</f>
        <v>1</v>
      </c>
      <c r="P197" t="str">
        <f>IFERROR(VLOOKUP($A197,[5]库存使用数据!$A:$B,2,0),"")</f>
        <v/>
      </c>
      <c r="Q197" t="str">
        <f>IFERROR(VLOOKUP($A197,[5]库存使用数据!$A:$E,5,0),"")</f>
        <v/>
      </c>
      <c r="R197" t="str">
        <f>IFERROR(VLOOKUP($A197,[5]库存使用数据!$A:$H,8,0),"")</f>
        <v/>
      </c>
      <c r="S197" t="str">
        <f>IFERROR(VLOOKUP($A197,[5]库存使用数据!$A:$K,11,0),"")</f>
        <v/>
      </c>
      <c r="T197" t="str">
        <f>IFERROR(VLOOKUP($A197,[5]库存使用数据!$A:$C,3,0),"")</f>
        <v/>
      </c>
      <c r="U197" t="str">
        <f>IFERROR(VLOOKUP($A197,[5]库存使用数据!$A:$F,6,0),"")</f>
        <v/>
      </c>
      <c r="V197" t="str">
        <f>IFERROR(VLOOKUP($A197,[5]库存使用数据!$A:$I,9,0),"")</f>
        <v/>
      </c>
      <c r="W197" t="str">
        <f>IFERROR(VLOOKUP($A197,[5]库存使用数据!$A:$L,12,0),"")</f>
        <v/>
      </c>
      <c r="X197" s="23" t="str">
        <f t="shared" si="43"/>
        <v/>
      </c>
      <c r="Y197" s="23" t="str">
        <f t="shared" si="44"/>
        <v/>
      </c>
      <c r="Z197" s="23" t="str">
        <f t="shared" si="45"/>
        <v/>
      </c>
      <c r="AA197" s="23" t="str">
        <f t="shared" si="46"/>
        <v/>
      </c>
      <c r="AB197" t="str">
        <f>IFERROR(VLOOKUP($A197,[5]库存使用数据!$A:$D,4,0),"")</f>
        <v/>
      </c>
      <c r="AC197" t="str">
        <f>IFERROR(VLOOKUP($A197,[5]库存使用数据!$A:$G,7,0),"")</f>
        <v/>
      </c>
      <c r="AD197" t="str">
        <f>IFERROR(VLOOKUP($A197,[5]库存使用数据!$A:$J,10,0),"")</f>
        <v/>
      </c>
      <c r="AE197" t="str">
        <f>IFERROR(VLOOKUP($A197,[5]库存使用数据!$A:$M,13,0),"")</f>
        <v/>
      </c>
      <c r="AF197" s="23" t="str">
        <f t="shared" si="47"/>
        <v/>
      </c>
      <c r="AG197" s="23" t="str">
        <f t="shared" si="48"/>
        <v/>
      </c>
      <c r="AH197" s="23" t="str">
        <f t="shared" si="49"/>
        <v/>
      </c>
      <c r="AI197" s="23" t="str">
        <f t="shared" si="50"/>
        <v/>
      </c>
      <c r="AJ197">
        <f>IFERROR(VLOOKUP($B197,[1]库存报告使用数据!$A$1:$B$65536,2,0),0)</f>
        <v>2</v>
      </c>
      <c r="AK197">
        <f>IFERROR(VLOOKUP($B197,[1]库存报告使用数据!$A$1:$C$65536,3,0),0)</f>
        <v>1</v>
      </c>
      <c r="AL197">
        <f>IFERROR(VLOOKUP($B197,[1]库存报告使用数据!$A$1:$D$65536,4,0),0)</f>
        <v>1</v>
      </c>
      <c r="AM197">
        <f>IFERROR(VLOOKUP($B197,[1]库存报告使用数据!$A$1:$E$65536,5,0),0)</f>
        <v>0</v>
      </c>
      <c r="AN197" s="23">
        <f t="shared" si="51"/>
        <v>0</v>
      </c>
      <c r="AO197" s="23">
        <f t="shared" si="52"/>
        <v>0</v>
      </c>
      <c r="AP197" s="23">
        <f t="shared" si="53"/>
        <v>0</v>
      </c>
      <c r="AQ197" s="23" t="str">
        <f t="shared" si="54"/>
        <v/>
      </c>
      <c r="AR197" s="38">
        <f t="shared" ref="AR197:AR260" si="56">IFERROR(D197/7,"")</f>
        <v>0</v>
      </c>
      <c r="AS197" s="38">
        <f t="shared" ref="AS197:AS260" si="57">IF(AR197="","上周无销量",60*AR197)</f>
        <v>0</v>
      </c>
      <c r="AT197" s="38">
        <f t="shared" ref="AT197:AT260" si="58">IF(AS197="上周无销量","上周无销量/总库存"&amp;M197,M197-AS197)</f>
        <v>1</v>
      </c>
      <c r="AU197" s="33" t="str">
        <f t="shared" ref="AU197:AU260" si="59">IF(AR197="","库存为"&amp;M197,IF(AS197=0,"库存为"&amp;M197,INT(M197/AR197)))</f>
        <v>库存为1</v>
      </c>
      <c r="AV197" s="39" t="str">
        <f>IFERROR(时间!$B$4+AU197,"上周无销量")</f>
        <v>上周无销量</v>
      </c>
    </row>
    <row r="198" spans="1:48">
      <c r="A198" s="35" t="s">
        <v>243</v>
      </c>
      <c r="B198" t="str">
        <f>VLOOKUP(A198,'[2]sku-asin（子）'!$A:$B,2,0)</f>
        <v>B074FSTDKH</v>
      </c>
      <c r="C198" t="str">
        <f>VLOOKUP(A198,'[2]子sku-父sku'!$A:$B,2,0)</f>
        <v>N87301K</v>
      </c>
      <c r="D198" s="33">
        <f>IFERROR(VLOOKUP(A198,[3]库存报告使用数据处理!$A:$C,3,0),0)</f>
        <v>0</v>
      </c>
      <c r="E198" s="33">
        <f>IFERROR(VLOOKUP(A198,[3]库存报告使用数据处理!$A:$D,4,0),0)</f>
        <v>0</v>
      </c>
      <c r="F198" s="33">
        <f>IFERROR(VLOOKUP(A198,[3]库存报告使用数据处理!$A:$E,5,0),0)</f>
        <v>0</v>
      </c>
      <c r="G198" s="33">
        <f>IFERROR(VLOOKUP(A198,[3]库存报告使用数据处理!$A:$F,6,0),0)</f>
        <v>0</v>
      </c>
      <c r="H198" s="34">
        <f>IFERROR(VLOOKUP(A198,[3]库存报告使用数据处理!$A:$G,7,0),0)</f>
        <v>0</v>
      </c>
      <c r="I198">
        <f>IFERROR(VLOOKUP(A198,[4]数据处理!$A:$B,2,0),0)</f>
        <v>2</v>
      </c>
      <c r="J198" s="36">
        <f>IFERROR(VLOOKUP(A198,[4]数据处理!$A:$D,4,0),0)</f>
        <v>0</v>
      </c>
      <c r="K198" s="36">
        <f>IFERROR(VLOOKUP(A198,[4]数据处理!$A:$E,5,0),0)</f>
        <v>0</v>
      </c>
      <c r="L198" s="36">
        <f>IFERROR(VLOOKUP(A198,[4]数据处理!$A:$G,7,0),0)</f>
        <v>0</v>
      </c>
      <c r="M198">
        <f t="shared" si="55"/>
        <v>2</v>
      </c>
      <c r="N198">
        <f>IFERROR(VLOOKUP(A198,[4]数据处理!$A:$C,3,0),0)</f>
        <v>0</v>
      </c>
      <c r="O198">
        <f>IFERROR(VLOOKUP($A198,[4]数据处理!$A:$N,14,0),0)</f>
        <v>2</v>
      </c>
      <c r="P198" t="str">
        <f>IFERROR(VLOOKUP($A198,[5]库存使用数据!$A:$B,2,0),"")</f>
        <v/>
      </c>
      <c r="Q198" t="str">
        <f>IFERROR(VLOOKUP($A198,[5]库存使用数据!$A:$E,5,0),"")</f>
        <v/>
      </c>
      <c r="R198" t="str">
        <f>IFERROR(VLOOKUP($A198,[5]库存使用数据!$A:$H,8,0),"")</f>
        <v/>
      </c>
      <c r="S198" t="str">
        <f>IFERROR(VLOOKUP($A198,[5]库存使用数据!$A:$K,11,0),"")</f>
        <v/>
      </c>
      <c r="T198" t="str">
        <f>IFERROR(VLOOKUP($A198,[5]库存使用数据!$A:$C,3,0),"")</f>
        <v/>
      </c>
      <c r="U198" t="str">
        <f>IFERROR(VLOOKUP($A198,[5]库存使用数据!$A:$F,6,0),"")</f>
        <v/>
      </c>
      <c r="V198" t="str">
        <f>IFERROR(VLOOKUP($A198,[5]库存使用数据!$A:$I,9,0),"")</f>
        <v/>
      </c>
      <c r="W198" t="str">
        <f>IFERROR(VLOOKUP($A198,[5]库存使用数据!$A:$L,12,0),"")</f>
        <v/>
      </c>
      <c r="X198" s="23" t="str">
        <f t="shared" ref="X198:X261" si="60">IFERROR(T198/P198,"")</f>
        <v/>
      </c>
      <c r="Y198" s="23" t="str">
        <f t="shared" ref="Y198:Y261" si="61">IFERROR(U198/Q198,"")</f>
        <v/>
      </c>
      <c r="Z198" s="23" t="str">
        <f t="shared" ref="Z198:Z261" si="62">IFERROR(V198/R198,"")</f>
        <v/>
      </c>
      <c r="AA198" s="23" t="str">
        <f t="shared" ref="AA198:AA261" si="63">IFERROR(W198/S198,"")</f>
        <v/>
      </c>
      <c r="AB198" t="str">
        <f>IFERROR(VLOOKUP($A198,[5]库存使用数据!$A:$D,4,0),"")</f>
        <v/>
      </c>
      <c r="AC198" t="str">
        <f>IFERROR(VLOOKUP($A198,[5]库存使用数据!$A:$G,7,0),"")</f>
        <v/>
      </c>
      <c r="AD198" t="str">
        <f>IFERROR(VLOOKUP($A198,[5]库存使用数据!$A:$J,10,0),"")</f>
        <v/>
      </c>
      <c r="AE198" t="str">
        <f>IFERROR(VLOOKUP($A198,[5]库存使用数据!$A:$M,13,0),"")</f>
        <v/>
      </c>
      <c r="AF198" s="23" t="str">
        <f t="shared" ref="AF198:AF261" si="64">IF(OR(AB198="",AB198=0),"",IF(AND(D198*$H198=0,AB198&gt;0),"无销量广告费为"&amp;AB198,AB198/(D198*$H198)))</f>
        <v/>
      </c>
      <c r="AG198" s="23" t="str">
        <f t="shared" ref="AG198:AG261" si="65">IF(OR(AC198="",AC198=0),"",IF(AND(E198*$H198=0,AC198&gt;0),"无销量广告费为"&amp;AC198,AC198/(E198*$H198)))</f>
        <v/>
      </c>
      <c r="AH198" s="23" t="str">
        <f t="shared" ref="AH198:AH261" si="66">IF(OR(AD198="",AD198=0),"",IF(AND(F198*$H198=0,AD198&gt;0),"无销量广告费为"&amp;AD198,AD198/(F198*$H198)))</f>
        <v/>
      </c>
      <c r="AI198" s="23" t="str">
        <f t="shared" ref="AI198:AI261" si="67">IF(OR(AE198="",AE198=0),"",IF(AND(G198*$H198=0,AE198&gt;0),"无销量广告费为"&amp;AE198,AE198/(G198*$H198)))</f>
        <v/>
      </c>
      <c r="AJ198">
        <f>IFERROR(VLOOKUP($B198,[1]库存报告使用数据!$A$1:$B$65536,2,0),0)</f>
        <v>2</v>
      </c>
      <c r="AK198">
        <f>IFERROR(VLOOKUP($B198,[1]库存报告使用数据!$A$1:$C$65536,3,0),0)</f>
        <v>1</v>
      </c>
      <c r="AL198">
        <f>IFERROR(VLOOKUP($B198,[1]库存报告使用数据!$A$1:$D$65536,4,0),0)</f>
        <v>1</v>
      </c>
      <c r="AM198">
        <f>IFERROR(VLOOKUP($B198,[1]库存报告使用数据!$A$1:$E$65536,5,0),0)</f>
        <v>0</v>
      </c>
      <c r="AN198" s="23">
        <f t="shared" ref="AN198:AN261" si="68">IFERROR(D198/AJ198,"")</f>
        <v>0</v>
      </c>
      <c r="AO198" s="23">
        <f t="shared" ref="AO198:AO261" si="69">IFERROR(E198/AK198,"")</f>
        <v>0</v>
      </c>
      <c r="AP198" s="23">
        <f t="shared" ref="AP198:AP261" si="70">IFERROR(F198/AL198,"")</f>
        <v>0</v>
      </c>
      <c r="AQ198" s="23" t="str">
        <f t="shared" ref="AQ198:AQ261" si="71">IFERROR(G198/AM198,"")</f>
        <v/>
      </c>
      <c r="AR198" s="38">
        <f t="shared" si="56"/>
        <v>0</v>
      </c>
      <c r="AS198" s="38">
        <f t="shared" si="57"/>
        <v>0</v>
      </c>
      <c r="AT198" s="38">
        <f t="shared" si="58"/>
        <v>2</v>
      </c>
      <c r="AU198" s="33" t="str">
        <f t="shared" si="59"/>
        <v>库存为2</v>
      </c>
      <c r="AV198" s="39" t="str">
        <f>IFERROR(时间!$B$4+AU198,"上周无销量")</f>
        <v>上周无销量</v>
      </c>
    </row>
    <row r="199" spans="1:48">
      <c r="A199" s="35" t="s">
        <v>244</v>
      </c>
      <c r="B199" t="str">
        <f>VLOOKUP(A199,'[2]sku-asin（子）'!$A:$B,2,0)</f>
        <v>B074FVVHPR</v>
      </c>
      <c r="C199" t="str">
        <f>VLOOKUP(A199,'[2]子sku-父sku'!$A:$B,2,0)</f>
        <v>N87301K</v>
      </c>
      <c r="D199" s="33">
        <f>IFERROR(VLOOKUP(A199,[3]库存报告使用数据处理!$A:$C,3,0),0)</f>
        <v>0</v>
      </c>
      <c r="E199" s="33">
        <f>IFERROR(VLOOKUP(A199,[3]库存报告使用数据处理!$A:$D,4,0),0)</f>
        <v>0</v>
      </c>
      <c r="F199" s="33">
        <f>IFERROR(VLOOKUP(A199,[3]库存报告使用数据处理!$A:$E,5,0),0)</f>
        <v>0</v>
      </c>
      <c r="G199" s="33">
        <f>IFERROR(VLOOKUP(A199,[3]库存报告使用数据处理!$A:$F,6,0),0)</f>
        <v>0</v>
      </c>
      <c r="H199" s="34">
        <f>IFERROR(VLOOKUP(A199,[3]库存报告使用数据处理!$A:$G,7,0),0)</f>
        <v>0</v>
      </c>
      <c r="I199">
        <f>IFERROR(VLOOKUP(A199,[4]数据处理!$A:$B,2,0),0)</f>
        <v>1</v>
      </c>
      <c r="J199" s="36">
        <f>IFERROR(VLOOKUP(A199,[4]数据处理!$A:$D,4,0),0)</f>
        <v>0</v>
      </c>
      <c r="K199" s="36">
        <f>IFERROR(VLOOKUP(A199,[4]数据处理!$A:$E,5,0),0)</f>
        <v>0</v>
      </c>
      <c r="L199" s="36">
        <f>IFERROR(VLOOKUP(A199,[4]数据处理!$A:$G,7,0),0)</f>
        <v>0</v>
      </c>
      <c r="M199">
        <f t="shared" si="55"/>
        <v>1</v>
      </c>
      <c r="N199">
        <f>IFERROR(VLOOKUP(A199,[4]数据处理!$A:$C,3,0),0)</f>
        <v>0</v>
      </c>
      <c r="O199">
        <f>IFERROR(VLOOKUP($A199,[4]数据处理!$A:$N,14,0),0)</f>
        <v>1</v>
      </c>
      <c r="P199" t="str">
        <f>IFERROR(VLOOKUP($A199,[5]库存使用数据!$A:$B,2,0),"")</f>
        <v/>
      </c>
      <c r="Q199" t="str">
        <f>IFERROR(VLOOKUP($A199,[5]库存使用数据!$A:$E,5,0),"")</f>
        <v/>
      </c>
      <c r="R199" t="str">
        <f>IFERROR(VLOOKUP($A199,[5]库存使用数据!$A:$H,8,0),"")</f>
        <v/>
      </c>
      <c r="S199" t="str">
        <f>IFERROR(VLOOKUP($A199,[5]库存使用数据!$A:$K,11,0),"")</f>
        <v/>
      </c>
      <c r="T199" t="str">
        <f>IFERROR(VLOOKUP($A199,[5]库存使用数据!$A:$C,3,0),"")</f>
        <v/>
      </c>
      <c r="U199" t="str">
        <f>IFERROR(VLOOKUP($A199,[5]库存使用数据!$A:$F,6,0),"")</f>
        <v/>
      </c>
      <c r="V199" t="str">
        <f>IFERROR(VLOOKUP($A199,[5]库存使用数据!$A:$I,9,0),"")</f>
        <v/>
      </c>
      <c r="W199" t="str">
        <f>IFERROR(VLOOKUP($A199,[5]库存使用数据!$A:$L,12,0),"")</f>
        <v/>
      </c>
      <c r="X199" s="23" t="str">
        <f t="shared" si="60"/>
        <v/>
      </c>
      <c r="Y199" s="23" t="str">
        <f t="shared" si="61"/>
        <v/>
      </c>
      <c r="Z199" s="23" t="str">
        <f t="shared" si="62"/>
        <v/>
      </c>
      <c r="AA199" s="23" t="str">
        <f t="shared" si="63"/>
        <v/>
      </c>
      <c r="AB199" t="str">
        <f>IFERROR(VLOOKUP($A199,[5]库存使用数据!$A:$D,4,0),"")</f>
        <v/>
      </c>
      <c r="AC199" t="str">
        <f>IFERROR(VLOOKUP($A199,[5]库存使用数据!$A:$G,7,0),"")</f>
        <v/>
      </c>
      <c r="AD199" t="str">
        <f>IFERROR(VLOOKUP($A199,[5]库存使用数据!$A:$J,10,0),"")</f>
        <v/>
      </c>
      <c r="AE199" t="str">
        <f>IFERROR(VLOOKUP($A199,[5]库存使用数据!$A:$M,13,0),"")</f>
        <v/>
      </c>
      <c r="AF199" s="23" t="str">
        <f t="shared" si="64"/>
        <v/>
      </c>
      <c r="AG199" s="23" t="str">
        <f t="shared" si="65"/>
        <v/>
      </c>
      <c r="AH199" s="23" t="str">
        <f t="shared" si="66"/>
        <v/>
      </c>
      <c r="AI199" s="23" t="str">
        <f t="shared" si="67"/>
        <v/>
      </c>
      <c r="AJ199">
        <f>IFERROR(VLOOKUP($B199,[1]库存报告使用数据!$A$1:$B$65536,2,0),0)</f>
        <v>4</v>
      </c>
      <c r="AK199">
        <f>IFERROR(VLOOKUP($B199,[1]库存报告使用数据!$A$1:$C$65536,3,0),0)</f>
        <v>2</v>
      </c>
      <c r="AL199">
        <f>IFERROR(VLOOKUP($B199,[1]库存报告使用数据!$A$1:$D$65536,4,0),0)</f>
        <v>1</v>
      </c>
      <c r="AM199">
        <f>IFERROR(VLOOKUP($B199,[1]库存报告使用数据!$A$1:$E$65536,5,0),0)</f>
        <v>1</v>
      </c>
      <c r="AN199" s="23">
        <f t="shared" si="68"/>
        <v>0</v>
      </c>
      <c r="AO199" s="23">
        <f t="shared" si="69"/>
        <v>0</v>
      </c>
      <c r="AP199" s="23">
        <f t="shared" si="70"/>
        <v>0</v>
      </c>
      <c r="AQ199" s="23">
        <f t="shared" si="71"/>
        <v>0</v>
      </c>
      <c r="AR199" s="38">
        <f t="shared" si="56"/>
        <v>0</v>
      </c>
      <c r="AS199" s="38">
        <f t="shared" si="57"/>
        <v>0</v>
      </c>
      <c r="AT199" s="38">
        <f t="shared" si="58"/>
        <v>1</v>
      </c>
      <c r="AU199" s="33" t="str">
        <f t="shared" si="59"/>
        <v>库存为1</v>
      </c>
      <c r="AV199" s="39" t="str">
        <f>IFERROR(时间!$B$4+AU199,"上周无销量")</f>
        <v>上周无销量</v>
      </c>
    </row>
    <row r="200" spans="1:48">
      <c r="A200" s="35" t="s">
        <v>245</v>
      </c>
      <c r="B200" t="str">
        <f>VLOOKUP(A200,'[2]sku-asin（子）'!$A:$B,2,0)</f>
        <v>B074FXMP5R</v>
      </c>
      <c r="C200" t="str">
        <f>VLOOKUP(A200,'[2]子sku-父sku'!$A:$B,2,0)</f>
        <v>N87301K</v>
      </c>
      <c r="D200" s="33">
        <f>IFERROR(VLOOKUP(A200,[3]库存报告使用数据处理!$A:$C,3,0),0)</f>
        <v>0</v>
      </c>
      <c r="E200" s="33">
        <f>IFERROR(VLOOKUP(A200,[3]库存报告使用数据处理!$A:$D,4,0),0)</f>
        <v>0</v>
      </c>
      <c r="F200" s="33">
        <f>IFERROR(VLOOKUP(A200,[3]库存报告使用数据处理!$A:$E,5,0),0)</f>
        <v>0</v>
      </c>
      <c r="G200" s="33">
        <f>IFERROR(VLOOKUP(A200,[3]库存报告使用数据处理!$A:$F,6,0),0)</f>
        <v>0</v>
      </c>
      <c r="H200" s="34">
        <f>IFERROR(VLOOKUP(A200,[3]库存报告使用数据处理!$A:$G,7,0),0)</f>
        <v>0</v>
      </c>
      <c r="I200">
        <f>IFERROR(VLOOKUP(A200,[4]数据处理!$A:$B,2,0),0)</f>
        <v>2</v>
      </c>
      <c r="J200" s="36">
        <f>IFERROR(VLOOKUP(A200,[4]数据处理!$A:$D,4,0),0)</f>
        <v>0</v>
      </c>
      <c r="K200" s="36">
        <f>IFERROR(VLOOKUP(A200,[4]数据处理!$A:$E,5,0),0)</f>
        <v>0</v>
      </c>
      <c r="L200" s="36">
        <f>IFERROR(VLOOKUP(A200,[4]数据处理!$A:$G,7,0),0)</f>
        <v>0</v>
      </c>
      <c r="M200">
        <f t="shared" si="55"/>
        <v>2</v>
      </c>
      <c r="N200">
        <f>IFERROR(VLOOKUP(A200,[4]数据处理!$A:$C,3,0),0)</f>
        <v>0</v>
      </c>
      <c r="O200">
        <f>IFERROR(VLOOKUP($A200,[4]数据处理!$A:$N,14,0),0)</f>
        <v>2</v>
      </c>
      <c r="P200" t="str">
        <f>IFERROR(VLOOKUP($A200,[5]库存使用数据!$A:$B,2,0),"")</f>
        <v/>
      </c>
      <c r="Q200" t="str">
        <f>IFERROR(VLOOKUP($A200,[5]库存使用数据!$A:$E,5,0),"")</f>
        <v/>
      </c>
      <c r="R200" t="str">
        <f>IFERROR(VLOOKUP($A200,[5]库存使用数据!$A:$H,8,0),"")</f>
        <v/>
      </c>
      <c r="S200" t="str">
        <f>IFERROR(VLOOKUP($A200,[5]库存使用数据!$A:$K,11,0),"")</f>
        <v/>
      </c>
      <c r="T200" t="str">
        <f>IFERROR(VLOOKUP($A200,[5]库存使用数据!$A:$C,3,0),"")</f>
        <v/>
      </c>
      <c r="U200" t="str">
        <f>IFERROR(VLOOKUP($A200,[5]库存使用数据!$A:$F,6,0),"")</f>
        <v/>
      </c>
      <c r="V200" t="str">
        <f>IFERROR(VLOOKUP($A200,[5]库存使用数据!$A:$I,9,0),"")</f>
        <v/>
      </c>
      <c r="W200" t="str">
        <f>IFERROR(VLOOKUP($A200,[5]库存使用数据!$A:$L,12,0),"")</f>
        <v/>
      </c>
      <c r="X200" s="23" t="str">
        <f t="shared" si="60"/>
        <v/>
      </c>
      <c r="Y200" s="23" t="str">
        <f t="shared" si="61"/>
        <v/>
      </c>
      <c r="Z200" s="23" t="str">
        <f t="shared" si="62"/>
        <v/>
      </c>
      <c r="AA200" s="23" t="str">
        <f t="shared" si="63"/>
        <v/>
      </c>
      <c r="AB200" t="str">
        <f>IFERROR(VLOOKUP($A200,[5]库存使用数据!$A:$D,4,0),"")</f>
        <v/>
      </c>
      <c r="AC200" t="str">
        <f>IFERROR(VLOOKUP($A200,[5]库存使用数据!$A:$G,7,0),"")</f>
        <v/>
      </c>
      <c r="AD200" t="str">
        <f>IFERROR(VLOOKUP($A200,[5]库存使用数据!$A:$J,10,0),"")</f>
        <v/>
      </c>
      <c r="AE200" t="str">
        <f>IFERROR(VLOOKUP($A200,[5]库存使用数据!$A:$M,13,0),"")</f>
        <v/>
      </c>
      <c r="AF200" s="23" t="str">
        <f t="shared" si="64"/>
        <v/>
      </c>
      <c r="AG200" s="23" t="str">
        <f t="shared" si="65"/>
        <v/>
      </c>
      <c r="AH200" s="23" t="str">
        <f t="shared" si="66"/>
        <v/>
      </c>
      <c r="AI200" s="23" t="str">
        <f t="shared" si="67"/>
        <v/>
      </c>
      <c r="AJ200">
        <f>IFERROR(VLOOKUP($B200,[1]库存报告使用数据!$A$1:$B$65536,2,0),0)</f>
        <v>0</v>
      </c>
      <c r="AK200">
        <f>IFERROR(VLOOKUP($B200,[1]库存报告使用数据!$A$1:$C$65536,3,0),0)</f>
        <v>2</v>
      </c>
      <c r="AL200">
        <f>IFERROR(VLOOKUP($B200,[1]库存报告使用数据!$A$1:$D$65536,4,0),0)</f>
        <v>3</v>
      </c>
      <c r="AM200">
        <f>IFERROR(VLOOKUP($B200,[1]库存报告使用数据!$A$1:$E$65536,5,0),0)</f>
        <v>2</v>
      </c>
      <c r="AN200" s="23" t="str">
        <f t="shared" si="68"/>
        <v/>
      </c>
      <c r="AO200" s="23">
        <f t="shared" si="69"/>
        <v>0</v>
      </c>
      <c r="AP200" s="23">
        <f t="shared" si="70"/>
        <v>0</v>
      </c>
      <c r="AQ200" s="23">
        <f t="shared" si="71"/>
        <v>0</v>
      </c>
      <c r="AR200" s="38">
        <f t="shared" si="56"/>
        <v>0</v>
      </c>
      <c r="AS200" s="38">
        <f t="shared" si="57"/>
        <v>0</v>
      </c>
      <c r="AT200" s="38">
        <f t="shared" si="58"/>
        <v>2</v>
      </c>
      <c r="AU200" s="33" t="str">
        <f t="shared" si="59"/>
        <v>库存为2</v>
      </c>
      <c r="AV200" s="39" t="str">
        <f>IFERROR(时间!$B$4+AU200,"上周无销量")</f>
        <v>上周无销量</v>
      </c>
    </row>
    <row r="201" spans="1:48">
      <c r="A201" s="35" t="s">
        <v>246</v>
      </c>
      <c r="B201" t="str">
        <f>VLOOKUP(A201,'[2]sku-asin（子）'!$A:$B,2,0)</f>
        <v>B074FWZFVP</v>
      </c>
      <c r="C201" t="str">
        <f>VLOOKUP(A201,'[2]子sku-父sku'!$A:$B,2,0)</f>
        <v>N87301K</v>
      </c>
      <c r="D201" s="33">
        <f>IFERROR(VLOOKUP(A201,[3]库存报告使用数据处理!$A:$C,3,0),0)</f>
        <v>0</v>
      </c>
      <c r="E201" s="33">
        <f>IFERROR(VLOOKUP(A201,[3]库存报告使用数据处理!$A:$D,4,0),0)</f>
        <v>0</v>
      </c>
      <c r="F201" s="33">
        <f>IFERROR(VLOOKUP(A201,[3]库存报告使用数据处理!$A:$E,5,0),0)</f>
        <v>0</v>
      </c>
      <c r="G201" s="33">
        <f>IFERROR(VLOOKUP(A201,[3]库存报告使用数据处理!$A:$F,6,0),0)</f>
        <v>0</v>
      </c>
      <c r="H201" s="34">
        <f>IFERROR(VLOOKUP(A201,[3]库存报告使用数据处理!$A:$G,7,0),0)</f>
        <v>0</v>
      </c>
      <c r="I201">
        <f>IFERROR(VLOOKUP(A201,[4]数据处理!$A:$B,2,0),0)</f>
        <v>0</v>
      </c>
      <c r="J201" s="36">
        <f>IFERROR(VLOOKUP(A201,[4]数据处理!$A:$D,4,0),0)</f>
        <v>0</v>
      </c>
      <c r="K201" s="36">
        <f>IFERROR(VLOOKUP(A201,[4]数据处理!$A:$E,5,0),0)</f>
        <v>0</v>
      </c>
      <c r="L201" s="36">
        <f>IFERROR(VLOOKUP(A201,[4]数据处理!$A:$G,7,0),0)</f>
        <v>0</v>
      </c>
      <c r="M201">
        <f t="shared" si="55"/>
        <v>0</v>
      </c>
      <c r="N201">
        <f>IFERROR(VLOOKUP(A201,[4]数据处理!$A:$C,3,0),0)</f>
        <v>0</v>
      </c>
      <c r="O201">
        <f>IFERROR(VLOOKUP($A201,[4]数据处理!$A:$N,14,0),0)</f>
        <v>0</v>
      </c>
      <c r="P201" t="str">
        <f>IFERROR(VLOOKUP($A201,[5]库存使用数据!$A:$B,2,0),"")</f>
        <v/>
      </c>
      <c r="Q201" t="str">
        <f>IFERROR(VLOOKUP($A201,[5]库存使用数据!$A:$E,5,0),"")</f>
        <v/>
      </c>
      <c r="R201" t="str">
        <f>IFERROR(VLOOKUP($A201,[5]库存使用数据!$A:$H,8,0),"")</f>
        <v/>
      </c>
      <c r="S201" t="str">
        <f>IFERROR(VLOOKUP($A201,[5]库存使用数据!$A:$K,11,0),"")</f>
        <v/>
      </c>
      <c r="T201" t="str">
        <f>IFERROR(VLOOKUP($A201,[5]库存使用数据!$A:$C,3,0),"")</f>
        <v/>
      </c>
      <c r="U201" t="str">
        <f>IFERROR(VLOOKUP($A201,[5]库存使用数据!$A:$F,6,0),"")</f>
        <v/>
      </c>
      <c r="V201" t="str">
        <f>IFERROR(VLOOKUP($A201,[5]库存使用数据!$A:$I,9,0),"")</f>
        <v/>
      </c>
      <c r="W201" t="str">
        <f>IFERROR(VLOOKUP($A201,[5]库存使用数据!$A:$L,12,0),"")</f>
        <v/>
      </c>
      <c r="X201" s="23" t="str">
        <f t="shared" si="60"/>
        <v/>
      </c>
      <c r="Y201" s="23" t="str">
        <f t="shared" si="61"/>
        <v/>
      </c>
      <c r="Z201" s="23" t="str">
        <f t="shared" si="62"/>
        <v/>
      </c>
      <c r="AA201" s="23" t="str">
        <f t="shared" si="63"/>
        <v/>
      </c>
      <c r="AB201" t="str">
        <f>IFERROR(VLOOKUP($A201,[5]库存使用数据!$A:$D,4,0),"")</f>
        <v/>
      </c>
      <c r="AC201" t="str">
        <f>IFERROR(VLOOKUP($A201,[5]库存使用数据!$A:$G,7,0),"")</f>
        <v/>
      </c>
      <c r="AD201" t="str">
        <f>IFERROR(VLOOKUP($A201,[5]库存使用数据!$A:$J,10,0),"")</f>
        <v/>
      </c>
      <c r="AE201" t="str">
        <f>IFERROR(VLOOKUP($A201,[5]库存使用数据!$A:$M,13,0),"")</f>
        <v/>
      </c>
      <c r="AF201" s="23" t="str">
        <f t="shared" si="64"/>
        <v/>
      </c>
      <c r="AG201" s="23" t="str">
        <f t="shared" si="65"/>
        <v/>
      </c>
      <c r="AH201" s="23" t="str">
        <f t="shared" si="66"/>
        <v/>
      </c>
      <c r="AI201" s="23" t="str">
        <f t="shared" si="67"/>
        <v/>
      </c>
      <c r="AJ201">
        <f>IFERROR(VLOOKUP($B201,[1]库存报告使用数据!$A$1:$B$65536,2,0),0)</f>
        <v>0</v>
      </c>
      <c r="AK201">
        <f>IFERROR(VLOOKUP($B201,[1]库存报告使用数据!$A$1:$C$65536,3,0),0)</f>
        <v>0</v>
      </c>
      <c r="AL201">
        <f>IFERROR(VLOOKUP($B201,[1]库存报告使用数据!$A$1:$D$65536,4,0),0)</f>
        <v>0</v>
      </c>
      <c r="AM201">
        <f>IFERROR(VLOOKUP($B201,[1]库存报告使用数据!$A$1:$E$65536,5,0),0)</f>
        <v>0</v>
      </c>
      <c r="AN201" s="23" t="str">
        <f t="shared" si="68"/>
        <v/>
      </c>
      <c r="AO201" s="23" t="str">
        <f t="shared" si="69"/>
        <v/>
      </c>
      <c r="AP201" s="23" t="str">
        <f t="shared" si="70"/>
        <v/>
      </c>
      <c r="AQ201" s="23" t="str">
        <f t="shared" si="71"/>
        <v/>
      </c>
      <c r="AR201" s="38">
        <f t="shared" si="56"/>
        <v>0</v>
      </c>
      <c r="AS201" s="38">
        <f t="shared" si="57"/>
        <v>0</v>
      </c>
      <c r="AT201" s="38">
        <f t="shared" si="58"/>
        <v>0</v>
      </c>
      <c r="AU201" s="33" t="str">
        <f t="shared" si="59"/>
        <v>库存为0</v>
      </c>
      <c r="AV201" s="39" t="str">
        <f>IFERROR(时间!$B$4+AU201,"上周无销量")</f>
        <v>上周无销量</v>
      </c>
    </row>
    <row r="202" spans="1:48">
      <c r="A202" s="35" t="s">
        <v>247</v>
      </c>
      <c r="B202" t="str">
        <f>VLOOKUP(A202,'[2]sku-asin（子）'!$A:$B,2,0)</f>
        <v>B074FWRY86</v>
      </c>
      <c r="C202" t="str">
        <f>VLOOKUP(A202,'[2]子sku-父sku'!$A:$B,2,0)</f>
        <v>N87301K</v>
      </c>
      <c r="D202" s="33">
        <f>IFERROR(VLOOKUP(A202,[3]库存报告使用数据处理!$A:$C,3,0),0)</f>
        <v>0</v>
      </c>
      <c r="E202" s="33">
        <f>IFERROR(VLOOKUP(A202,[3]库存报告使用数据处理!$A:$D,4,0),0)</f>
        <v>0</v>
      </c>
      <c r="F202" s="33">
        <f>IFERROR(VLOOKUP(A202,[3]库存报告使用数据处理!$A:$E,5,0),0)</f>
        <v>0</v>
      </c>
      <c r="G202" s="33">
        <f>IFERROR(VLOOKUP(A202,[3]库存报告使用数据处理!$A:$F,6,0),0)</f>
        <v>0</v>
      </c>
      <c r="H202" s="34">
        <f>IFERROR(VLOOKUP(A202,[3]库存报告使用数据处理!$A:$G,7,0),0)</f>
        <v>0</v>
      </c>
      <c r="I202">
        <f>IFERROR(VLOOKUP(A202,[4]数据处理!$A:$B,2,0),0)</f>
        <v>1</v>
      </c>
      <c r="J202" s="36">
        <f>IFERROR(VLOOKUP(A202,[4]数据处理!$A:$D,4,0),0)</f>
        <v>0</v>
      </c>
      <c r="K202" s="36">
        <f>IFERROR(VLOOKUP(A202,[4]数据处理!$A:$E,5,0),0)</f>
        <v>0</v>
      </c>
      <c r="L202" s="36">
        <f>IFERROR(VLOOKUP(A202,[4]数据处理!$A:$G,7,0),0)</f>
        <v>0</v>
      </c>
      <c r="M202">
        <f t="shared" si="55"/>
        <v>1</v>
      </c>
      <c r="N202">
        <f>IFERROR(VLOOKUP(A202,[4]数据处理!$A:$C,3,0),0)</f>
        <v>0</v>
      </c>
      <c r="O202">
        <f>IFERROR(VLOOKUP($A202,[4]数据处理!$A:$N,14,0),0)</f>
        <v>1</v>
      </c>
      <c r="P202" t="str">
        <f>IFERROR(VLOOKUP($A202,[5]库存使用数据!$A:$B,2,0),"")</f>
        <v/>
      </c>
      <c r="Q202" t="str">
        <f>IFERROR(VLOOKUP($A202,[5]库存使用数据!$A:$E,5,0),"")</f>
        <v/>
      </c>
      <c r="R202" t="str">
        <f>IFERROR(VLOOKUP($A202,[5]库存使用数据!$A:$H,8,0),"")</f>
        <v/>
      </c>
      <c r="S202" t="str">
        <f>IFERROR(VLOOKUP($A202,[5]库存使用数据!$A:$K,11,0),"")</f>
        <v/>
      </c>
      <c r="T202" t="str">
        <f>IFERROR(VLOOKUP($A202,[5]库存使用数据!$A:$C,3,0),"")</f>
        <v/>
      </c>
      <c r="U202" t="str">
        <f>IFERROR(VLOOKUP($A202,[5]库存使用数据!$A:$F,6,0),"")</f>
        <v/>
      </c>
      <c r="V202" t="str">
        <f>IFERROR(VLOOKUP($A202,[5]库存使用数据!$A:$I,9,0),"")</f>
        <v/>
      </c>
      <c r="W202" t="str">
        <f>IFERROR(VLOOKUP($A202,[5]库存使用数据!$A:$L,12,0),"")</f>
        <v/>
      </c>
      <c r="X202" s="23" t="str">
        <f t="shared" si="60"/>
        <v/>
      </c>
      <c r="Y202" s="23" t="str">
        <f t="shared" si="61"/>
        <v/>
      </c>
      <c r="Z202" s="23" t="str">
        <f t="shared" si="62"/>
        <v/>
      </c>
      <c r="AA202" s="23" t="str">
        <f t="shared" si="63"/>
        <v/>
      </c>
      <c r="AB202" t="str">
        <f>IFERROR(VLOOKUP($A202,[5]库存使用数据!$A:$D,4,0),"")</f>
        <v/>
      </c>
      <c r="AC202" t="str">
        <f>IFERROR(VLOOKUP($A202,[5]库存使用数据!$A:$G,7,0),"")</f>
        <v/>
      </c>
      <c r="AD202" t="str">
        <f>IFERROR(VLOOKUP($A202,[5]库存使用数据!$A:$J,10,0),"")</f>
        <v/>
      </c>
      <c r="AE202" t="str">
        <f>IFERROR(VLOOKUP($A202,[5]库存使用数据!$A:$M,13,0),"")</f>
        <v/>
      </c>
      <c r="AF202" s="23" t="str">
        <f t="shared" si="64"/>
        <v/>
      </c>
      <c r="AG202" s="23" t="str">
        <f t="shared" si="65"/>
        <v/>
      </c>
      <c r="AH202" s="23" t="str">
        <f t="shared" si="66"/>
        <v/>
      </c>
      <c r="AI202" s="23" t="str">
        <f t="shared" si="67"/>
        <v/>
      </c>
      <c r="AJ202">
        <f>IFERROR(VLOOKUP($B202,[1]库存报告使用数据!$A$1:$B$65536,2,0),0)</f>
        <v>1</v>
      </c>
      <c r="AK202">
        <f>IFERROR(VLOOKUP($B202,[1]库存报告使用数据!$A$1:$C$65536,3,0),0)</f>
        <v>1</v>
      </c>
      <c r="AL202">
        <f>IFERROR(VLOOKUP($B202,[1]库存报告使用数据!$A$1:$D$65536,4,0),0)</f>
        <v>2</v>
      </c>
      <c r="AM202">
        <f>IFERROR(VLOOKUP($B202,[1]库存报告使用数据!$A$1:$E$65536,5,0),0)</f>
        <v>0</v>
      </c>
      <c r="AN202" s="23">
        <f t="shared" si="68"/>
        <v>0</v>
      </c>
      <c r="AO202" s="23">
        <f t="shared" si="69"/>
        <v>0</v>
      </c>
      <c r="AP202" s="23">
        <f t="shared" si="70"/>
        <v>0</v>
      </c>
      <c r="AQ202" s="23" t="str">
        <f t="shared" si="71"/>
        <v/>
      </c>
      <c r="AR202" s="38">
        <f t="shared" si="56"/>
        <v>0</v>
      </c>
      <c r="AS202" s="38">
        <f t="shared" si="57"/>
        <v>0</v>
      </c>
      <c r="AT202" s="38">
        <f t="shared" si="58"/>
        <v>1</v>
      </c>
      <c r="AU202" s="33" t="str">
        <f t="shared" si="59"/>
        <v>库存为1</v>
      </c>
      <c r="AV202" s="39" t="str">
        <f>IFERROR(时间!$B$4+AU202,"上周无销量")</f>
        <v>上周无销量</v>
      </c>
    </row>
    <row r="203" spans="1:48">
      <c r="A203" s="35" t="s">
        <v>248</v>
      </c>
      <c r="B203" t="str">
        <f>VLOOKUP(A203,'[2]sku-asin（子）'!$A:$B,2,0)</f>
        <v>B074FVYSML</v>
      </c>
      <c r="C203" t="str">
        <f>VLOOKUP(A203,'[2]子sku-父sku'!$A:$B,2,0)</f>
        <v>N87301K</v>
      </c>
      <c r="D203" s="33">
        <f>IFERROR(VLOOKUP(A203,[3]库存报告使用数据处理!$A:$C,3,0),0)</f>
        <v>0</v>
      </c>
      <c r="E203" s="33">
        <f>IFERROR(VLOOKUP(A203,[3]库存报告使用数据处理!$A:$D,4,0),0)</f>
        <v>0</v>
      </c>
      <c r="F203" s="33">
        <f>IFERROR(VLOOKUP(A203,[3]库存报告使用数据处理!$A:$E,5,0),0)</f>
        <v>0</v>
      </c>
      <c r="G203" s="33">
        <f>IFERROR(VLOOKUP(A203,[3]库存报告使用数据处理!$A:$F,6,0),0)</f>
        <v>0</v>
      </c>
      <c r="H203" s="34">
        <f>IFERROR(VLOOKUP(A203,[3]库存报告使用数据处理!$A:$G,7,0),0)</f>
        <v>0</v>
      </c>
      <c r="I203">
        <f>IFERROR(VLOOKUP(A203,[4]数据处理!$A:$B,2,0),0)</f>
        <v>1</v>
      </c>
      <c r="J203" s="36">
        <f>IFERROR(VLOOKUP(A203,[4]数据处理!$A:$D,4,0),0)</f>
        <v>0</v>
      </c>
      <c r="K203" s="36">
        <f>IFERROR(VLOOKUP(A203,[4]数据处理!$A:$E,5,0),0)</f>
        <v>0</v>
      </c>
      <c r="L203" s="36">
        <f>IFERROR(VLOOKUP(A203,[4]数据处理!$A:$G,7,0),0)</f>
        <v>0</v>
      </c>
      <c r="M203">
        <f t="shared" si="55"/>
        <v>1</v>
      </c>
      <c r="N203">
        <f>IFERROR(VLOOKUP(A203,[4]数据处理!$A:$C,3,0),0)</f>
        <v>0</v>
      </c>
      <c r="O203">
        <f>IFERROR(VLOOKUP($A203,[4]数据处理!$A:$N,14,0),0)</f>
        <v>1</v>
      </c>
      <c r="P203" t="str">
        <f>IFERROR(VLOOKUP($A203,[5]库存使用数据!$A:$B,2,0),"")</f>
        <v/>
      </c>
      <c r="Q203" t="str">
        <f>IFERROR(VLOOKUP($A203,[5]库存使用数据!$A:$E,5,0),"")</f>
        <v/>
      </c>
      <c r="R203" t="str">
        <f>IFERROR(VLOOKUP($A203,[5]库存使用数据!$A:$H,8,0),"")</f>
        <v/>
      </c>
      <c r="S203" t="str">
        <f>IFERROR(VLOOKUP($A203,[5]库存使用数据!$A:$K,11,0),"")</f>
        <v/>
      </c>
      <c r="T203" t="str">
        <f>IFERROR(VLOOKUP($A203,[5]库存使用数据!$A:$C,3,0),"")</f>
        <v/>
      </c>
      <c r="U203" t="str">
        <f>IFERROR(VLOOKUP($A203,[5]库存使用数据!$A:$F,6,0),"")</f>
        <v/>
      </c>
      <c r="V203" t="str">
        <f>IFERROR(VLOOKUP($A203,[5]库存使用数据!$A:$I,9,0),"")</f>
        <v/>
      </c>
      <c r="W203" t="str">
        <f>IFERROR(VLOOKUP($A203,[5]库存使用数据!$A:$L,12,0),"")</f>
        <v/>
      </c>
      <c r="X203" s="23" t="str">
        <f t="shared" si="60"/>
        <v/>
      </c>
      <c r="Y203" s="23" t="str">
        <f t="shared" si="61"/>
        <v/>
      </c>
      <c r="Z203" s="23" t="str">
        <f t="shared" si="62"/>
        <v/>
      </c>
      <c r="AA203" s="23" t="str">
        <f t="shared" si="63"/>
        <v/>
      </c>
      <c r="AB203" t="str">
        <f>IFERROR(VLOOKUP($A203,[5]库存使用数据!$A:$D,4,0),"")</f>
        <v/>
      </c>
      <c r="AC203" t="str">
        <f>IFERROR(VLOOKUP($A203,[5]库存使用数据!$A:$G,7,0),"")</f>
        <v/>
      </c>
      <c r="AD203" t="str">
        <f>IFERROR(VLOOKUP($A203,[5]库存使用数据!$A:$J,10,0),"")</f>
        <v/>
      </c>
      <c r="AE203" t="str">
        <f>IFERROR(VLOOKUP($A203,[5]库存使用数据!$A:$M,13,0),"")</f>
        <v/>
      </c>
      <c r="AF203" s="23" t="str">
        <f t="shared" si="64"/>
        <v/>
      </c>
      <c r="AG203" s="23" t="str">
        <f t="shared" si="65"/>
        <v/>
      </c>
      <c r="AH203" s="23" t="str">
        <f t="shared" si="66"/>
        <v/>
      </c>
      <c r="AI203" s="23" t="str">
        <f t="shared" si="67"/>
        <v/>
      </c>
      <c r="AJ203">
        <f>IFERROR(VLOOKUP($B203,[1]库存报告使用数据!$A$1:$B$65536,2,0),0)</f>
        <v>3</v>
      </c>
      <c r="AK203">
        <f>IFERROR(VLOOKUP($B203,[1]库存报告使用数据!$A$1:$C$65536,3,0),0)</f>
        <v>1</v>
      </c>
      <c r="AL203">
        <f>IFERROR(VLOOKUP($B203,[1]库存报告使用数据!$A$1:$D$65536,4,0),0)</f>
        <v>1</v>
      </c>
      <c r="AM203">
        <f>IFERROR(VLOOKUP($B203,[1]库存报告使用数据!$A$1:$E$65536,5,0),0)</f>
        <v>0</v>
      </c>
      <c r="AN203" s="23">
        <f t="shared" si="68"/>
        <v>0</v>
      </c>
      <c r="AO203" s="23">
        <f t="shared" si="69"/>
        <v>0</v>
      </c>
      <c r="AP203" s="23">
        <f t="shared" si="70"/>
        <v>0</v>
      </c>
      <c r="AQ203" s="23" t="str">
        <f t="shared" si="71"/>
        <v/>
      </c>
      <c r="AR203" s="38">
        <f t="shared" si="56"/>
        <v>0</v>
      </c>
      <c r="AS203" s="38">
        <f t="shared" si="57"/>
        <v>0</v>
      </c>
      <c r="AT203" s="38">
        <f t="shared" si="58"/>
        <v>1</v>
      </c>
      <c r="AU203" s="33" t="str">
        <f t="shared" si="59"/>
        <v>库存为1</v>
      </c>
      <c r="AV203" s="39" t="str">
        <f>IFERROR(时间!$B$4+AU203,"上周无销量")</f>
        <v>上周无销量</v>
      </c>
    </row>
    <row r="204" spans="1:48">
      <c r="A204" s="35" t="s">
        <v>249</v>
      </c>
      <c r="B204" t="str">
        <f>VLOOKUP(A204,'[2]sku-asin（子）'!$A:$B,2,0)</f>
        <v>B074FSXB2H</v>
      </c>
      <c r="C204" t="str">
        <f>VLOOKUP(A204,'[2]子sku-父sku'!$A:$B,2,0)</f>
        <v>N87301K</v>
      </c>
      <c r="D204" s="33">
        <f>IFERROR(VLOOKUP(A204,[3]库存报告使用数据处理!$A:$C,3,0),0)</f>
        <v>0</v>
      </c>
      <c r="E204" s="33">
        <f>IFERROR(VLOOKUP(A204,[3]库存报告使用数据处理!$A:$D,4,0),0)</f>
        <v>0</v>
      </c>
      <c r="F204" s="33">
        <f>IFERROR(VLOOKUP(A204,[3]库存报告使用数据处理!$A:$E,5,0),0)</f>
        <v>0</v>
      </c>
      <c r="G204" s="33">
        <f>IFERROR(VLOOKUP(A204,[3]库存报告使用数据处理!$A:$F,6,0),0)</f>
        <v>0</v>
      </c>
      <c r="H204" s="34">
        <f>IFERROR(VLOOKUP(A204,[3]库存报告使用数据处理!$A:$G,7,0),0)</f>
        <v>0</v>
      </c>
      <c r="I204">
        <f>IFERROR(VLOOKUP(A204,[4]数据处理!$A:$B,2,0),0)</f>
        <v>2</v>
      </c>
      <c r="J204" s="36">
        <f>IFERROR(VLOOKUP(A204,[4]数据处理!$A:$D,4,0),0)</f>
        <v>0</v>
      </c>
      <c r="K204" s="36">
        <f>IFERROR(VLOOKUP(A204,[4]数据处理!$A:$E,5,0),0)</f>
        <v>0</v>
      </c>
      <c r="L204" s="36">
        <f>IFERROR(VLOOKUP(A204,[4]数据处理!$A:$G,7,0),0)</f>
        <v>0</v>
      </c>
      <c r="M204">
        <f t="shared" si="55"/>
        <v>2</v>
      </c>
      <c r="N204">
        <f>IFERROR(VLOOKUP(A204,[4]数据处理!$A:$C,3,0),0)</f>
        <v>0</v>
      </c>
      <c r="O204">
        <f>IFERROR(VLOOKUP($A204,[4]数据处理!$A:$N,14,0),0)</f>
        <v>2</v>
      </c>
      <c r="P204" t="str">
        <f>IFERROR(VLOOKUP($A204,[5]库存使用数据!$A:$B,2,0),"")</f>
        <v/>
      </c>
      <c r="Q204" t="str">
        <f>IFERROR(VLOOKUP($A204,[5]库存使用数据!$A:$E,5,0),"")</f>
        <v/>
      </c>
      <c r="R204" t="str">
        <f>IFERROR(VLOOKUP($A204,[5]库存使用数据!$A:$H,8,0),"")</f>
        <v/>
      </c>
      <c r="S204" t="str">
        <f>IFERROR(VLOOKUP($A204,[5]库存使用数据!$A:$K,11,0),"")</f>
        <v/>
      </c>
      <c r="T204" t="str">
        <f>IFERROR(VLOOKUP($A204,[5]库存使用数据!$A:$C,3,0),"")</f>
        <v/>
      </c>
      <c r="U204" t="str">
        <f>IFERROR(VLOOKUP($A204,[5]库存使用数据!$A:$F,6,0),"")</f>
        <v/>
      </c>
      <c r="V204" t="str">
        <f>IFERROR(VLOOKUP($A204,[5]库存使用数据!$A:$I,9,0),"")</f>
        <v/>
      </c>
      <c r="W204" t="str">
        <f>IFERROR(VLOOKUP($A204,[5]库存使用数据!$A:$L,12,0),"")</f>
        <v/>
      </c>
      <c r="X204" s="23" t="str">
        <f t="shared" si="60"/>
        <v/>
      </c>
      <c r="Y204" s="23" t="str">
        <f t="shared" si="61"/>
        <v/>
      </c>
      <c r="Z204" s="23" t="str">
        <f t="shared" si="62"/>
        <v/>
      </c>
      <c r="AA204" s="23" t="str">
        <f t="shared" si="63"/>
        <v/>
      </c>
      <c r="AB204" t="str">
        <f>IFERROR(VLOOKUP($A204,[5]库存使用数据!$A:$D,4,0),"")</f>
        <v/>
      </c>
      <c r="AC204" t="str">
        <f>IFERROR(VLOOKUP($A204,[5]库存使用数据!$A:$G,7,0),"")</f>
        <v/>
      </c>
      <c r="AD204" t="str">
        <f>IFERROR(VLOOKUP($A204,[5]库存使用数据!$A:$J,10,0),"")</f>
        <v/>
      </c>
      <c r="AE204" t="str">
        <f>IFERROR(VLOOKUP($A204,[5]库存使用数据!$A:$M,13,0),"")</f>
        <v/>
      </c>
      <c r="AF204" s="23" t="str">
        <f t="shared" si="64"/>
        <v/>
      </c>
      <c r="AG204" s="23" t="str">
        <f t="shared" si="65"/>
        <v/>
      </c>
      <c r="AH204" s="23" t="str">
        <f t="shared" si="66"/>
        <v/>
      </c>
      <c r="AI204" s="23" t="str">
        <f t="shared" si="67"/>
        <v/>
      </c>
      <c r="AJ204">
        <f>IFERROR(VLOOKUP($B204,[1]库存报告使用数据!$A$1:$B$65536,2,0),0)</f>
        <v>3</v>
      </c>
      <c r="AK204">
        <f>IFERROR(VLOOKUP($B204,[1]库存报告使用数据!$A$1:$C$65536,3,0),0)</f>
        <v>1</v>
      </c>
      <c r="AL204">
        <f>IFERROR(VLOOKUP($B204,[1]库存报告使用数据!$A$1:$D$65536,4,0),0)</f>
        <v>3</v>
      </c>
      <c r="AM204">
        <f>IFERROR(VLOOKUP($B204,[1]库存报告使用数据!$A$1:$E$65536,5,0),0)</f>
        <v>1</v>
      </c>
      <c r="AN204" s="23">
        <f t="shared" si="68"/>
        <v>0</v>
      </c>
      <c r="AO204" s="23">
        <f t="shared" si="69"/>
        <v>0</v>
      </c>
      <c r="AP204" s="23">
        <f t="shared" si="70"/>
        <v>0</v>
      </c>
      <c r="AQ204" s="23">
        <f t="shared" si="71"/>
        <v>0</v>
      </c>
      <c r="AR204" s="38">
        <f t="shared" si="56"/>
        <v>0</v>
      </c>
      <c r="AS204" s="38">
        <f t="shared" si="57"/>
        <v>0</v>
      </c>
      <c r="AT204" s="38">
        <f t="shared" si="58"/>
        <v>2</v>
      </c>
      <c r="AU204" s="33" t="str">
        <f t="shared" si="59"/>
        <v>库存为2</v>
      </c>
      <c r="AV204" s="39" t="str">
        <f>IFERROR(时间!$B$4+AU204,"上周无销量")</f>
        <v>上周无销量</v>
      </c>
    </row>
    <row r="205" spans="1:48">
      <c r="A205" s="35" t="s">
        <v>250</v>
      </c>
      <c r="B205" t="str">
        <f>VLOOKUP(A205,'[2]sku-asin（子）'!$A:$B,2,0)</f>
        <v>B074FTCSP4</v>
      </c>
      <c r="C205" t="str">
        <f>VLOOKUP(A205,'[2]子sku-父sku'!$A:$B,2,0)</f>
        <v>N87301K</v>
      </c>
      <c r="D205" s="33">
        <f>IFERROR(VLOOKUP(A205,[3]库存报告使用数据处理!$A:$C,3,0),0)</f>
        <v>0</v>
      </c>
      <c r="E205" s="33">
        <f>IFERROR(VLOOKUP(A205,[3]库存报告使用数据处理!$A:$D,4,0),0)</f>
        <v>0</v>
      </c>
      <c r="F205" s="33">
        <f>IFERROR(VLOOKUP(A205,[3]库存报告使用数据处理!$A:$E,5,0),0)</f>
        <v>0</v>
      </c>
      <c r="G205" s="33">
        <f>IFERROR(VLOOKUP(A205,[3]库存报告使用数据处理!$A:$F,6,0),0)</f>
        <v>0</v>
      </c>
      <c r="H205" s="34">
        <f>IFERROR(VLOOKUP(A205,[3]库存报告使用数据处理!$A:$G,7,0),0)</f>
        <v>0</v>
      </c>
      <c r="I205">
        <f>IFERROR(VLOOKUP(A205,[4]数据处理!$A:$B,2,0),0)</f>
        <v>1</v>
      </c>
      <c r="J205" s="36">
        <f>IFERROR(VLOOKUP(A205,[4]数据处理!$A:$D,4,0),0)</f>
        <v>0</v>
      </c>
      <c r="K205" s="36">
        <f>IFERROR(VLOOKUP(A205,[4]数据处理!$A:$E,5,0),0)</f>
        <v>0</v>
      </c>
      <c r="L205" s="36">
        <f>IFERROR(VLOOKUP(A205,[4]数据处理!$A:$G,7,0),0)</f>
        <v>0</v>
      </c>
      <c r="M205">
        <f t="shared" si="55"/>
        <v>1</v>
      </c>
      <c r="N205">
        <f>IFERROR(VLOOKUP(A205,[4]数据处理!$A:$C,3,0),0)</f>
        <v>0</v>
      </c>
      <c r="O205">
        <f>IFERROR(VLOOKUP($A205,[4]数据处理!$A:$N,14,0),0)</f>
        <v>1</v>
      </c>
      <c r="P205" t="str">
        <f>IFERROR(VLOOKUP($A205,[5]库存使用数据!$A:$B,2,0),"")</f>
        <v/>
      </c>
      <c r="Q205" t="str">
        <f>IFERROR(VLOOKUP($A205,[5]库存使用数据!$A:$E,5,0),"")</f>
        <v/>
      </c>
      <c r="R205" t="str">
        <f>IFERROR(VLOOKUP($A205,[5]库存使用数据!$A:$H,8,0),"")</f>
        <v/>
      </c>
      <c r="S205" t="str">
        <f>IFERROR(VLOOKUP($A205,[5]库存使用数据!$A:$K,11,0),"")</f>
        <v/>
      </c>
      <c r="T205" t="str">
        <f>IFERROR(VLOOKUP($A205,[5]库存使用数据!$A:$C,3,0),"")</f>
        <v/>
      </c>
      <c r="U205" t="str">
        <f>IFERROR(VLOOKUP($A205,[5]库存使用数据!$A:$F,6,0),"")</f>
        <v/>
      </c>
      <c r="V205" t="str">
        <f>IFERROR(VLOOKUP($A205,[5]库存使用数据!$A:$I,9,0),"")</f>
        <v/>
      </c>
      <c r="W205" t="str">
        <f>IFERROR(VLOOKUP($A205,[5]库存使用数据!$A:$L,12,0),"")</f>
        <v/>
      </c>
      <c r="X205" s="23" t="str">
        <f t="shared" si="60"/>
        <v/>
      </c>
      <c r="Y205" s="23" t="str">
        <f t="shared" si="61"/>
        <v/>
      </c>
      <c r="Z205" s="23" t="str">
        <f t="shared" si="62"/>
        <v/>
      </c>
      <c r="AA205" s="23" t="str">
        <f t="shared" si="63"/>
        <v/>
      </c>
      <c r="AB205" t="str">
        <f>IFERROR(VLOOKUP($A205,[5]库存使用数据!$A:$D,4,0),"")</f>
        <v/>
      </c>
      <c r="AC205" t="str">
        <f>IFERROR(VLOOKUP($A205,[5]库存使用数据!$A:$G,7,0),"")</f>
        <v/>
      </c>
      <c r="AD205" t="str">
        <f>IFERROR(VLOOKUP($A205,[5]库存使用数据!$A:$J,10,0),"")</f>
        <v/>
      </c>
      <c r="AE205" t="str">
        <f>IFERROR(VLOOKUP($A205,[5]库存使用数据!$A:$M,13,0),"")</f>
        <v/>
      </c>
      <c r="AF205" s="23" t="str">
        <f t="shared" si="64"/>
        <v/>
      </c>
      <c r="AG205" s="23" t="str">
        <f t="shared" si="65"/>
        <v/>
      </c>
      <c r="AH205" s="23" t="str">
        <f t="shared" si="66"/>
        <v/>
      </c>
      <c r="AI205" s="23" t="str">
        <f t="shared" si="67"/>
        <v/>
      </c>
      <c r="AJ205">
        <f>IFERROR(VLOOKUP($B205,[1]库存报告使用数据!$A$1:$B$65536,2,0),0)</f>
        <v>2</v>
      </c>
      <c r="AK205">
        <f>IFERROR(VLOOKUP($B205,[1]库存报告使用数据!$A$1:$C$65536,3,0),0)</f>
        <v>2</v>
      </c>
      <c r="AL205">
        <f>IFERROR(VLOOKUP($B205,[1]库存报告使用数据!$A$1:$D$65536,4,0),0)</f>
        <v>0</v>
      </c>
      <c r="AM205">
        <f>IFERROR(VLOOKUP($B205,[1]库存报告使用数据!$A$1:$E$65536,5,0),0)</f>
        <v>1</v>
      </c>
      <c r="AN205" s="23">
        <f t="shared" si="68"/>
        <v>0</v>
      </c>
      <c r="AO205" s="23">
        <f t="shared" si="69"/>
        <v>0</v>
      </c>
      <c r="AP205" s="23" t="str">
        <f t="shared" si="70"/>
        <v/>
      </c>
      <c r="AQ205" s="23">
        <f t="shared" si="71"/>
        <v>0</v>
      </c>
      <c r="AR205" s="38">
        <f t="shared" si="56"/>
        <v>0</v>
      </c>
      <c r="AS205" s="38">
        <f t="shared" si="57"/>
        <v>0</v>
      </c>
      <c r="AT205" s="38">
        <f t="shared" si="58"/>
        <v>1</v>
      </c>
      <c r="AU205" s="33" t="str">
        <f t="shared" si="59"/>
        <v>库存为1</v>
      </c>
      <c r="AV205" s="39" t="str">
        <f>IFERROR(时间!$B$4+AU205,"上周无销量")</f>
        <v>上周无销量</v>
      </c>
    </row>
    <row r="206" spans="1:48">
      <c r="A206" s="35" t="s">
        <v>251</v>
      </c>
      <c r="B206" t="str">
        <f>VLOOKUP(A206,'[2]sku-asin（子）'!$A:$B,2,0)</f>
        <v>B074FXLSHW</v>
      </c>
      <c r="C206" t="str">
        <f>VLOOKUP(A206,'[2]子sku-父sku'!$A:$B,2,0)</f>
        <v>N87301K</v>
      </c>
      <c r="D206" s="33">
        <f>IFERROR(VLOOKUP(A206,[3]库存报告使用数据处理!$A:$C,3,0),0)</f>
        <v>0</v>
      </c>
      <c r="E206" s="33">
        <f>IFERROR(VLOOKUP(A206,[3]库存报告使用数据处理!$A:$D,4,0),0)</f>
        <v>0</v>
      </c>
      <c r="F206" s="33">
        <f>IFERROR(VLOOKUP(A206,[3]库存报告使用数据处理!$A:$E,5,0),0)</f>
        <v>0</v>
      </c>
      <c r="G206" s="33">
        <f>IFERROR(VLOOKUP(A206,[3]库存报告使用数据处理!$A:$F,6,0),0)</f>
        <v>0</v>
      </c>
      <c r="H206" s="34">
        <f>IFERROR(VLOOKUP(A206,[3]库存报告使用数据处理!$A:$G,7,0),0)</f>
        <v>0</v>
      </c>
      <c r="I206">
        <f>IFERROR(VLOOKUP(A206,[4]数据处理!$A:$B,2,0),0)</f>
        <v>1</v>
      </c>
      <c r="J206" s="36">
        <f>IFERROR(VLOOKUP(A206,[4]数据处理!$A:$D,4,0),0)</f>
        <v>0</v>
      </c>
      <c r="K206" s="36">
        <f>IFERROR(VLOOKUP(A206,[4]数据处理!$A:$E,5,0),0)</f>
        <v>0</v>
      </c>
      <c r="L206" s="36">
        <f>IFERROR(VLOOKUP(A206,[4]数据处理!$A:$G,7,0),0)</f>
        <v>0</v>
      </c>
      <c r="M206">
        <f t="shared" si="55"/>
        <v>1</v>
      </c>
      <c r="N206">
        <f>IFERROR(VLOOKUP(A206,[4]数据处理!$A:$C,3,0),0)</f>
        <v>0</v>
      </c>
      <c r="O206">
        <f>IFERROR(VLOOKUP($A206,[4]数据处理!$A:$N,14,0),0)</f>
        <v>1</v>
      </c>
      <c r="P206" t="str">
        <f>IFERROR(VLOOKUP($A206,[5]库存使用数据!$A:$B,2,0),"")</f>
        <v/>
      </c>
      <c r="Q206" t="str">
        <f>IFERROR(VLOOKUP($A206,[5]库存使用数据!$A:$E,5,0),"")</f>
        <v/>
      </c>
      <c r="R206" t="str">
        <f>IFERROR(VLOOKUP($A206,[5]库存使用数据!$A:$H,8,0),"")</f>
        <v/>
      </c>
      <c r="S206" t="str">
        <f>IFERROR(VLOOKUP($A206,[5]库存使用数据!$A:$K,11,0),"")</f>
        <v/>
      </c>
      <c r="T206" t="str">
        <f>IFERROR(VLOOKUP($A206,[5]库存使用数据!$A:$C,3,0),"")</f>
        <v/>
      </c>
      <c r="U206" t="str">
        <f>IFERROR(VLOOKUP($A206,[5]库存使用数据!$A:$F,6,0),"")</f>
        <v/>
      </c>
      <c r="V206" t="str">
        <f>IFERROR(VLOOKUP($A206,[5]库存使用数据!$A:$I,9,0),"")</f>
        <v/>
      </c>
      <c r="W206" t="str">
        <f>IFERROR(VLOOKUP($A206,[5]库存使用数据!$A:$L,12,0),"")</f>
        <v/>
      </c>
      <c r="X206" s="23" t="str">
        <f t="shared" si="60"/>
        <v/>
      </c>
      <c r="Y206" s="23" t="str">
        <f t="shared" si="61"/>
        <v/>
      </c>
      <c r="Z206" s="23" t="str">
        <f t="shared" si="62"/>
        <v/>
      </c>
      <c r="AA206" s="23" t="str">
        <f t="shared" si="63"/>
        <v/>
      </c>
      <c r="AB206" t="str">
        <f>IFERROR(VLOOKUP($A206,[5]库存使用数据!$A:$D,4,0),"")</f>
        <v/>
      </c>
      <c r="AC206" t="str">
        <f>IFERROR(VLOOKUP($A206,[5]库存使用数据!$A:$G,7,0),"")</f>
        <v/>
      </c>
      <c r="AD206" t="str">
        <f>IFERROR(VLOOKUP($A206,[5]库存使用数据!$A:$J,10,0),"")</f>
        <v/>
      </c>
      <c r="AE206" t="str">
        <f>IFERROR(VLOOKUP($A206,[5]库存使用数据!$A:$M,13,0),"")</f>
        <v/>
      </c>
      <c r="AF206" s="23" t="str">
        <f t="shared" si="64"/>
        <v/>
      </c>
      <c r="AG206" s="23" t="str">
        <f t="shared" si="65"/>
        <v/>
      </c>
      <c r="AH206" s="23" t="str">
        <f t="shared" si="66"/>
        <v/>
      </c>
      <c r="AI206" s="23" t="str">
        <f t="shared" si="67"/>
        <v/>
      </c>
      <c r="AJ206">
        <f>IFERROR(VLOOKUP($B206,[1]库存报告使用数据!$A$1:$B$65536,2,0),0)</f>
        <v>0</v>
      </c>
      <c r="AK206">
        <f>IFERROR(VLOOKUP($B206,[1]库存报告使用数据!$A$1:$C$65536,3,0),0)</f>
        <v>1</v>
      </c>
      <c r="AL206">
        <f>IFERROR(VLOOKUP($B206,[1]库存报告使用数据!$A$1:$D$65536,4,0),0)</f>
        <v>3</v>
      </c>
      <c r="AM206">
        <f>IFERROR(VLOOKUP($B206,[1]库存报告使用数据!$A$1:$E$65536,5,0),0)</f>
        <v>2</v>
      </c>
      <c r="AN206" s="23" t="str">
        <f t="shared" si="68"/>
        <v/>
      </c>
      <c r="AO206" s="23">
        <f t="shared" si="69"/>
        <v>0</v>
      </c>
      <c r="AP206" s="23">
        <f t="shared" si="70"/>
        <v>0</v>
      </c>
      <c r="AQ206" s="23">
        <f t="shared" si="71"/>
        <v>0</v>
      </c>
      <c r="AR206" s="38">
        <f t="shared" si="56"/>
        <v>0</v>
      </c>
      <c r="AS206" s="38">
        <f t="shared" si="57"/>
        <v>0</v>
      </c>
      <c r="AT206" s="38">
        <f t="shared" si="58"/>
        <v>1</v>
      </c>
      <c r="AU206" s="33" t="str">
        <f t="shared" si="59"/>
        <v>库存为1</v>
      </c>
      <c r="AV206" s="39" t="str">
        <f>IFERROR(时间!$B$4+AU206,"上周无销量")</f>
        <v>上周无销量</v>
      </c>
    </row>
    <row r="207" spans="1:48">
      <c r="A207" s="35" t="s">
        <v>252</v>
      </c>
      <c r="B207" t="str">
        <f>VLOOKUP(A207,'[2]sku-asin（子）'!$A:$B,2,0)</f>
        <v>B074FTCSNQ</v>
      </c>
      <c r="C207" t="str">
        <f>VLOOKUP(A207,'[2]子sku-父sku'!$A:$B,2,0)</f>
        <v>N87301K</v>
      </c>
      <c r="D207" s="33">
        <f>IFERROR(VLOOKUP(A207,[3]库存报告使用数据处理!$A:$C,3,0),0)</f>
        <v>0</v>
      </c>
      <c r="E207" s="33">
        <f>IFERROR(VLOOKUP(A207,[3]库存报告使用数据处理!$A:$D,4,0),0)</f>
        <v>0</v>
      </c>
      <c r="F207" s="33">
        <f>IFERROR(VLOOKUP(A207,[3]库存报告使用数据处理!$A:$E,5,0),0)</f>
        <v>0</v>
      </c>
      <c r="G207" s="33">
        <f>IFERROR(VLOOKUP(A207,[3]库存报告使用数据处理!$A:$F,6,0),0)</f>
        <v>0</v>
      </c>
      <c r="H207" s="34">
        <f>IFERROR(VLOOKUP(A207,[3]库存报告使用数据处理!$A:$G,7,0),0)</f>
        <v>0</v>
      </c>
      <c r="I207">
        <f>IFERROR(VLOOKUP(A207,[4]数据处理!$A:$B,2,0),0)</f>
        <v>1</v>
      </c>
      <c r="J207" s="36">
        <f>IFERROR(VLOOKUP(A207,[4]数据处理!$A:$D,4,0),0)</f>
        <v>0</v>
      </c>
      <c r="K207" s="36">
        <f>IFERROR(VLOOKUP(A207,[4]数据处理!$A:$E,5,0),0)</f>
        <v>0</v>
      </c>
      <c r="L207" s="36">
        <f>IFERROR(VLOOKUP(A207,[4]数据处理!$A:$G,7,0),0)</f>
        <v>0</v>
      </c>
      <c r="M207">
        <f t="shared" si="55"/>
        <v>1</v>
      </c>
      <c r="N207">
        <f>IFERROR(VLOOKUP(A207,[4]数据处理!$A:$C,3,0),0)</f>
        <v>0</v>
      </c>
      <c r="O207">
        <f>IFERROR(VLOOKUP($A207,[4]数据处理!$A:$N,14,0),0)</f>
        <v>1</v>
      </c>
      <c r="P207" t="str">
        <f>IFERROR(VLOOKUP($A207,[5]库存使用数据!$A:$B,2,0),"")</f>
        <v/>
      </c>
      <c r="Q207" t="str">
        <f>IFERROR(VLOOKUP($A207,[5]库存使用数据!$A:$E,5,0),"")</f>
        <v/>
      </c>
      <c r="R207" t="str">
        <f>IFERROR(VLOOKUP($A207,[5]库存使用数据!$A:$H,8,0),"")</f>
        <v/>
      </c>
      <c r="S207" t="str">
        <f>IFERROR(VLOOKUP($A207,[5]库存使用数据!$A:$K,11,0),"")</f>
        <v/>
      </c>
      <c r="T207" t="str">
        <f>IFERROR(VLOOKUP($A207,[5]库存使用数据!$A:$C,3,0),"")</f>
        <v/>
      </c>
      <c r="U207" t="str">
        <f>IFERROR(VLOOKUP($A207,[5]库存使用数据!$A:$F,6,0),"")</f>
        <v/>
      </c>
      <c r="V207" t="str">
        <f>IFERROR(VLOOKUP($A207,[5]库存使用数据!$A:$I,9,0),"")</f>
        <v/>
      </c>
      <c r="W207" t="str">
        <f>IFERROR(VLOOKUP($A207,[5]库存使用数据!$A:$L,12,0),"")</f>
        <v/>
      </c>
      <c r="X207" s="23" t="str">
        <f t="shared" si="60"/>
        <v/>
      </c>
      <c r="Y207" s="23" t="str">
        <f t="shared" si="61"/>
        <v/>
      </c>
      <c r="Z207" s="23" t="str">
        <f t="shared" si="62"/>
        <v/>
      </c>
      <c r="AA207" s="23" t="str">
        <f t="shared" si="63"/>
        <v/>
      </c>
      <c r="AB207" t="str">
        <f>IFERROR(VLOOKUP($A207,[5]库存使用数据!$A:$D,4,0),"")</f>
        <v/>
      </c>
      <c r="AC207" t="str">
        <f>IFERROR(VLOOKUP($A207,[5]库存使用数据!$A:$G,7,0),"")</f>
        <v/>
      </c>
      <c r="AD207" t="str">
        <f>IFERROR(VLOOKUP($A207,[5]库存使用数据!$A:$J,10,0),"")</f>
        <v/>
      </c>
      <c r="AE207" t="str">
        <f>IFERROR(VLOOKUP($A207,[5]库存使用数据!$A:$M,13,0),"")</f>
        <v/>
      </c>
      <c r="AF207" s="23" t="str">
        <f t="shared" si="64"/>
        <v/>
      </c>
      <c r="AG207" s="23" t="str">
        <f t="shared" si="65"/>
        <v/>
      </c>
      <c r="AH207" s="23" t="str">
        <f t="shared" si="66"/>
        <v/>
      </c>
      <c r="AI207" s="23" t="str">
        <f t="shared" si="67"/>
        <v/>
      </c>
      <c r="AJ207">
        <f>IFERROR(VLOOKUP($B207,[1]库存报告使用数据!$A$1:$B$65536,2,0),0)</f>
        <v>2</v>
      </c>
      <c r="AK207">
        <f>IFERROR(VLOOKUP($B207,[1]库存报告使用数据!$A$1:$C$65536,3,0),0)</f>
        <v>0</v>
      </c>
      <c r="AL207">
        <f>IFERROR(VLOOKUP($B207,[1]库存报告使用数据!$A$1:$D$65536,4,0),0)</f>
        <v>2</v>
      </c>
      <c r="AM207">
        <f>IFERROR(VLOOKUP($B207,[1]库存报告使用数据!$A$1:$E$65536,5,0),0)</f>
        <v>1</v>
      </c>
      <c r="AN207" s="23">
        <f t="shared" si="68"/>
        <v>0</v>
      </c>
      <c r="AO207" s="23" t="str">
        <f t="shared" si="69"/>
        <v/>
      </c>
      <c r="AP207" s="23">
        <f t="shared" si="70"/>
        <v>0</v>
      </c>
      <c r="AQ207" s="23">
        <f t="shared" si="71"/>
        <v>0</v>
      </c>
      <c r="AR207" s="38">
        <f t="shared" si="56"/>
        <v>0</v>
      </c>
      <c r="AS207" s="38">
        <f t="shared" si="57"/>
        <v>0</v>
      </c>
      <c r="AT207" s="38">
        <f t="shared" si="58"/>
        <v>1</v>
      </c>
      <c r="AU207" s="33" t="str">
        <f t="shared" si="59"/>
        <v>库存为1</v>
      </c>
      <c r="AV207" s="39" t="str">
        <f>IFERROR(时间!$B$4+AU207,"上周无销量")</f>
        <v>上周无销量</v>
      </c>
    </row>
    <row r="208" spans="1:48">
      <c r="A208" s="35" t="s">
        <v>253</v>
      </c>
      <c r="B208" t="str">
        <f>VLOOKUP(A208,'[2]sku-asin（子）'!$A:$B,2,0)</f>
        <v>B074FZHXMJ</v>
      </c>
      <c r="C208" t="str">
        <f>VLOOKUP(A208,'[2]子sku-父sku'!$A:$B,2,0)</f>
        <v>N87301K</v>
      </c>
      <c r="D208" s="33">
        <f>IFERROR(VLOOKUP(A208,[3]库存报告使用数据处理!$A:$C,3,0),0)</f>
        <v>0</v>
      </c>
      <c r="E208" s="33">
        <f>IFERROR(VLOOKUP(A208,[3]库存报告使用数据处理!$A:$D,4,0),0)</f>
        <v>0</v>
      </c>
      <c r="F208" s="33">
        <f>IFERROR(VLOOKUP(A208,[3]库存报告使用数据处理!$A:$E,5,0),0)</f>
        <v>0</v>
      </c>
      <c r="G208" s="33">
        <f>IFERROR(VLOOKUP(A208,[3]库存报告使用数据处理!$A:$F,6,0),0)</f>
        <v>0</v>
      </c>
      <c r="H208" s="34">
        <f>IFERROR(VLOOKUP(A208,[3]库存报告使用数据处理!$A:$G,7,0),0)</f>
        <v>0</v>
      </c>
      <c r="I208">
        <f>IFERROR(VLOOKUP(A208,[4]数据处理!$A:$B,2,0),0)</f>
        <v>2</v>
      </c>
      <c r="J208" s="36">
        <f>IFERROR(VLOOKUP(A208,[4]数据处理!$A:$D,4,0),0)</f>
        <v>0</v>
      </c>
      <c r="K208" s="36">
        <f>IFERROR(VLOOKUP(A208,[4]数据处理!$A:$E,5,0),0)</f>
        <v>0</v>
      </c>
      <c r="L208" s="36">
        <f>IFERROR(VLOOKUP(A208,[4]数据处理!$A:$G,7,0),0)</f>
        <v>0</v>
      </c>
      <c r="M208">
        <f t="shared" si="55"/>
        <v>2</v>
      </c>
      <c r="N208">
        <f>IFERROR(VLOOKUP(A208,[4]数据处理!$A:$C,3,0),0)</f>
        <v>0</v>
      </c>
      <c r="O208">
        <f>IFERROR(VLOOKUP($A208,[4]数据处理!$A:$N,14,0),0)</f>
        <v>2</v>
      </c>
      <c r="P208" t="str">
        <f>IFERROR(VLOOKUP($A208,[5]库存使用数据!$A:$B,2,0),"")</f>
        <v/>
      </c>
      <c r="Q208" t="str">
        <f>IFERROR(VLOOKUP($A208,[5]库存使用数据!$A:$E,5,0),"")</f>
        <v/>
      </c>
      <c r="R208" t="str">
        <f>IFERROR(VLOOKUP($A208,[5]库存使用数据!$A:$H,8,0),"")</f>
        <v/>
      </c>
      <c r="S208" t="str">
        <f>IFERROR(VLOOKUP($A208,[5]库存使用数据!$A:$K,11,0),"")</f>
        <v/>
      </c>
      <c r="T208" t="str">
        <f>IFERROR(VLOOKUP($A208,[5]库存使用数据!$A:$C,3,0),"")</f>
        <v/>
      </c>
      <c r="U208" t="str">
        <f>IFERROR(VLOOKUP($A208,[5]库存使用数据!$A:$F,6,0),"")</f>
        <v/>
      </c>
      <c r="V208" t="str">
        <f>IFERROR(VLOOKUP($A208,[5]库存使用数据!$A:$I,9,0),"")</f>
        <v/>
      </c>
      <c r="W208" t="str">
        <f>IFERROR(VLOOKUP($A208,[5]库存使用数据!$A:$L,12,0),"")</f>
        <v/>
      </c>
      <c r="X208" s="23" t="str">
        <f t="shared" si="60"/>
        <v/>
      </c>
      <c r="Y208" s="23" t="str">
        <f t="shared" si="61"/>
        <v/>
      </c>
      <c r="Z208" s="23" t="str">
        <f t="shared" si="62"/>
        <v/>
      </c>
      <c r="AA208" s="23" t="str">
        <f t="shared" si="63"/>
        <v/>
      </c>
      <c r="AB208" t="str">
        <f>IFERROR(VLOOKUP($A208,[5]库存使用数据!$A:$D,4,0),"")</f>
        <v/>
      </c>
      <c r="AC208" t="str">
        <f>IFERROR(VLOOKUP($A208,[5]库存使用数据!$A:$G,7,0),"")</f>
        <v/>
      </c>
      <c r="AD208" t="str">
        <f>IFERROR(VLOOKUP($A208,[5]库存使用数据!$A:$J,10,0),"")</f>
        <v/>
      </c>
      <c r="AE208" t="str">
        <f>IFERROR(VLOOKUP($A208,[5]库存使用数据!$A:$M,13,0),"")</f>
        <v/>
      </c>
      <c r="AF208" s="23" t="str">
        <f t="shared" si="64"/>
        <v/>
      </c>
      <c r="AG208" s="23" t="str">
        <f t="shared" si="65"/>
        <v/>
      </c>
      <c r="AH208" s="23" t="str">
        <f t="shared" si="66"/>
        <v/>
      </c>
      <c r="AI208" s="23" t="str">
        <f t="shared" si="67"/>
        <v/>
      </c>
      <c r="AJ208">
        <f>IFERROR(VLOOKUP($B208,[1]库存报告使用数据!$A$1:$B$65536,2,0),0)</f>
        <v>1</v>
      </c>
      <c r="AK208">
        <f>IFERROR(VLOOKUP($B208,[1]库存报告使用数据!$A$1:$C$65536,3,0),0)</f>
        <v>2</v>
      </c>
      <c r="AL208">
        <f>IFERROR(VLOOKUP($B208,[1]库存报告使用数据!$A$1:$D$65536,4,0),0)</f>
        <v>1</v>
      </c>
      <c r="AM208">
        <f>IFERROR(VLOOKUP($B208,[1]库存报告使用数据!$A$1:$E$65536,5,0),0)</f>
        <v>0</v>
      </c>
      <c r="AN208" s="23">
        <f t="shared" si="68"/>
        <v>0</v>
      </c>
      <c r="AO208" s="23">
        <f t="shared" si="69"/>
        <v>0</v>
      </c>
      <c r="AP208" s="23">
        <f t="shared" si="70"/>
        <v>0</v>
      </c>
      <c r="AQ208" s="23" t="str">
        <f t="shared" si="71"/>
        <v/>
      </c>
      <c r="AR208" s="38">
        <f t="shared" si="56"/>
        <v>0</v>
      </c>
      <c r="AS208" s="38">
        <f t="shared" si="57"/>
        <v>0</v>
      </c>
      <c r="AT208" s="38">
        <f t="shared" si="58"/>
        <v>2</v>
      </c>
      <c r="AU208" s="33" t="str">
        <f t="shared" si="59"/>
        <v>库存为2</v>
      </c>
      <c r="AV208" s="39" t="str">
        <f>IFERROR(时间!$B$4+AU208,"上周无销量")</f>
        <v>上周无销量</v>
      </c>
    </row>
    <row r="209" spans="1:48">
      <c r="A209" s="35" t="s">
        <v>254</v>
      </c>
      <c r="B209" t="str">
        <f>VLOOKUP(A209,'[2]sku-asin（子）'!$A:$B,2,0)</f>
        <v>B074FTYZMD</v>
      </c>
      <c r="C209" t="str">
        <f>VLOOKUP(A209,'[2]子sku-父sku'!$A:$B,2,0)</f>
        <v>N87309K</v>
      </c>
      <c r="D209" s="33">
        <f>IFERROR(VLOOKUP(A209,[3]库存报告使用数据处理!$A:$C,3,0),0)</f>
        <v>0</v>
      </c>
      <c r="E209" s="33">
        <f>IFERROR(VLOOKUP(A209,[3]库存报告使用数据处理!$A:$D,4,0),0)</f>
        <v>0</v>
      </c>
      <c r="F209" s="33">
        <f>IFERROR(VLOOKUP(A209,[3]库存报告使用数据处理!$A:$E,5,0),0)</f>
        <v>0</v>
      </c>
      <c r="G209" s="33">
        <f>IFERROR(VLOOKUP(A209,[3]库存报告使用数据处理!$A:$F,6,0),0)</f>
        <v>0</v>
      </c>
      <c r="H209" s="34">
        <f>IFERROR(VLOOKUP(A209,[3]库存报告使用数据处理!$A:$G,7,0),0)</f>
        <v>0</v>
      </c>
      <c r="I209">
        <f>IFERROR(VLOOKUP(A209,[4]数据处理!$A:$B,2,0),0)</f>
        <v>1</v>
      </c>
      <c r="J209" s="36">
        <f>IFERROR(VLOOKUP(A209,[4]数据处理!$A:$D,4,0),0)</f>
        <v>0</v>
      </c>
      <c r="K209" s="36">
        <f>IFERROR(VLOOKUP(A209,[4]数据处理!$A:$E,5,0),0)</f>
        <v>0</v>
      </c>
      <c r="L209" s="36">
        <f>IFERROR(VLOOKUP(A209,[4]数据处理!$A:$G,7,0),0)</f>
        <v>0</v>
      </c>
      <c r="M209">
        <f t="shared" si="55"/>
        <v>1</v>
      </c>
      <c r="N209">
        <f>IFERROR(VLOOKUP(A209,[4]数据处理!$A:$C,3,0),0)</f>
        <v>0</v>
      </c>
      <c r="O209">
        <f>IFERROR(VLOOKUP($A209,[4]数据处理!$A:$N,14,0),0)</f>
        <v>1</v>
      </c>
      <c r="P209" t="str">
        <f>IFERROR(VLOOKUP($A209,[5]库存使用数据!$A:$B,2,0),"")</f>
        <v/>
      </c>
      <c r="Q209" t="str">
        <f>IFERROR(VLOOKUP($A209,[5]库存使用数据!$A:$E,5,0),"")</f>
        <v/>
      </c>
      <c r="R209" t="str">
        <f>IFERROR(VLOOKUP($A209,[5]库存使用数据!$A:$H,8,0),"")</f>
        <v/>
      </c>
      <c r="S209" t="str">
        <f>IFERROR(VLOOKUP($A209,[5]库存使用数据!$A:$K,11,0),"")</f>
        <v/>
      </c>
      <c r="T209" t="str">
        <f>IFERROR(VLOOKUP($A209,[5]库存使用数据!$A:$C,3,0),"")</f>
        <v/>
      </c>
      <c r="U209" t="str">
        <f>IFERROR(VLOOKUP($A209,[5]库存使用数据!$A:$F,6,0),"")</f>
        <v/>
      </c>
      <c r="V209" t="str">
        <f>IFERROR(VLOOKUP($A209,[5]库存使用数据!$A:$I,9,0),"")</f>
        <v/>
      </c>
      <c r="W209" t="str">
        <f>IFERROR(VLOOKUP($A209,[5]库存使用数据!$A:$L,12,0),"")</f>
        <v/>
      </c>
      <c r="X209" s="23" t="str">
        <f t="shared" si="60"/>
        <v/>
      </c>
      <c r="Y209" s="23" t="str">
        <f t="shared" si="61"/>
        <v/>
      </c>
      <c r="Z209" s="23" t="str">
        <f t="shared" si="62"/>
        <v/>
      </c>
      <c r="AA209" s="23" t="str">
        <f t="shared" si="63"/>
        <v/>
      </c>
      <c r="AB209" t="str">
        <f>IFERROR(VLOOKUP($A209,[5]库存使用数据!$A:$D,4,0),"")</f>
        <v/>
      </c>
      <c r="AC209" t="str">
        <f>IFERROR(VLOOKUP($A209,[5]库存使用数据!$A:$G,7,0),"")</f>
        <v/>
      </c>
      <c r="AD209" t="str">
        <f>IFERROR(VLOOKUP($A209,[5]库存使用数据!$A:$J,10,0),"")</f>
        <v/>
      </c>
      <c r="AE209" t="str">
        <f>IFERROR(VLOOKUP($A209,[5]库存使用数据!$A:$M,13,0),"")</f>
        <v/>
      </c>
      <c r="AF209" s="23" t="str">
        <f t="shared" si="64"/>
        <v/>
      </c>
      <c r="AG209" s="23" t="str">
        <f t="shared" si="65"/>
        <v/>
      </c>
      <c r="AH209" s="23" t="str">
        <f t="shared" si="66"/>
        <v/>
      </c>
      <c r="AI209" s="23" t="str">
        <f t="shared" si="67"/>
        <v/>
      </c>
      <c r="AJ209">
        <f>IFERROR(VLOOKUP($B209,[1]库存报告使用数据!$A$1:$B$65536,2,0),0)</f>
        <v>3</v>
      </c>
      <c r="AK209">
        <f>IFERROR(VLOOKUP($B209,[1]库存报告使用数据!$A$1:$C$65536,3,0),0)</f>
        <v>1</v>
      </c>
      <c r="AL209">
        <f>IFERROR(VLOOKUP($B209,[1]库存报告使用数据!$A$1:$D$65536,4,0),0)</f>
        <v>1</v>
      </c>
      <c r="AM209">
        <f>IFERROR(VLOOKUP($B209,[1]库存报告使用数据!$A$1:$E$65536,5,0),0)</f>
        <v>0</v>
      </c>
      <c r="AN209" s="23">
        <f t="shared" si="68"/>
        <v>0</v>
      </c>
      <c r="AO209" s="23">
        <f t="shared" si="69"/>
        <v>0</v>
      </c>
      <c r="AP209" s="23">
        <f t="shared" si="70"/>
        <v>0</v>
      </c>
      <c r="AQ209" s="23" t="str">
        <f t="shared" si="71"/>
        <v/>
      </c>
      <c r="AR209" s="38">
        <f t="shared" si="56"/>
        <v>0</v>
      </c>
      <c r="AS209" s="38">
        <f t="shared" si="57"/>
        <v>0</v>
      </c>
      <c r="AT209" s="38">
        <f t="shared" si="58"/>
        <v>1</v>
      </c>
      <c r="AU209" s="33" t="str">
        <f t="shared" si="59"/>
        <v>库存为1</v>
      </c>
      <c r="AV209" s="39" t="str">
        <f>IFERROR(时间!$B$4+AU209,"上周无销量")</f>
        <v>上周无销量</v>
      </c>
    </row>
    <row r="210" spans="1:48">
      <c r="A210" s="35" t="s">
        <v>255</v>
      </c>
      <c r="B210" t="str">
        <f>VLOOKUP(A210,'[2]sku-asin（子）'!$A:$B,2,0)</f>
        <v>B074FTCGDW</v>
      </c>
      <c r="C210" t="str">
        <f>VLOOKUP(A210,'[2]子sku-父sku'!$A:$B,2,0)</f>
        <v>N87309K</v>
      </c>
      <c r="D210" s="33">
        <f>IFERROR(VLOOKUP(A210,[3]库存报告使用数据处理!$A:$C,3,0),0)</f>
        <v>0</v>
      </c>
      <c r="E210" s="33">
        <f>IFERROR(VLOOKUP(A210,[3]库存报告使用数据处理!$A:$D,4,0),0)</f>
        <v>0</v>
      </c>
      <c r="F210" s="33">
        <f>IFERROR(VLOOKUP(A210,[3]库存报告使用数据处理!$A:$E,5,0),0)</f>
        <v>0</v>
      </c>
      <c r="G210" s="33">
        <f>IFERROR(VLOOKUP(A210,[3]库存报告使用数据处理!$A:$F,6,0),0)</f>
        <v>0</v>
      </c>
      <c r="H210" s="34">
        <f>IFERROR(VLOOKUP(A210,[3]库存报告使用数据处理!$A:$G,7,0),0)</f>
        <v>0</v>
      </c>
      <c r="I210">
        <f>IFERROR(VLOOKUP(A210,[4]数据处理!$A:$B,2,0),0)</f>
        <v>1</v>
      </c>
      <c r="J210" s="36">
        <f>IFERROR(VLOOKUP(A210,[4]数据处理!$A:$D,4,0),0)</f>
        <v>0</v>
      </c>
      <c r="K210" s="36">
        <f>IFERROR(VLOOKUP(A210,[4]数据处理!$A:$E,5,0),0)</f>
        <v>0</v>
      </c>
      <c r="L210" s="36">
        <f>IFERROR(VLOOKUP(A210,[4]数据处理!$A:$G,7,0),0)</f>
        <v>0</v>
      </c>
      <c r="M210">
        <f t="shared" si="55"/>
        <v>1</v>
      </c>
      <c r="N210">
        <f>IFERROR(VLOOKUP(A210,[4]数据处理!$A:$C,3,0),0)</f>
        <v>0</v>
      </c>
      <c r="O210">
        <f>IFERROR(VLOOKUP($A210,[4]数据处理!$A:$N,14,0),0)</f>
        <v>1</v>
      </c>
      <c r="P210" t="str">
        <f>IFERROR(VLOOKUP($A210,[5]库存使用数据!$A:$B,2,0),"")</f>
        <v/>
      </c>
      <c r="Q210" t="str">
        <f>IFERROR(VLOOKUP($A210,[5]库存使用数据!$A:$E,5,0),"")</f>
        <v/>
      </c>
      <c r="R210" t="str">
        <f>IFERROR(VLOOKUP($A210,[5]库存使用数据!$A:$H,8,0),"")</f>
        <v/>
      </c>
      <c r="S210" t="str">
        <f>IFERROR(VLOOKUP($A210,[5]库存使用数据!$A:$K,11,0),"")</f>
        <v/>
      </c>
      <c r="T210" t="str">
        <f>IFERROR(VLOOKUP($A210,[5]库存使用数据!$A:$C,3,0),"")</f>
        <v/>
      </c>
      <c r="U210" t="str">
        <f>IFERROR(VLOOKUP($A210,[5]库存使用数据!$A:$F,6,0),"")</f>
        <v/>
      </c>
      <c r="V210" t="str">
        <f>IFERROR(VLOOKUP($A210,[5]库存使用数据!$A:$I,9,0),"")</f>
        <v/>
      </c>
      <c r="W210" t="str">
        <f>IFERROR(VLOOKUP($A210,[5]库存使用数据!$A:$L,12,0),"")</f>
        <v/>
      </c>
      <c r="X210" s="23" t="str">
        <f t="shared" si="60"/>
        <v/>
      </c>
      <c r="Y210" s="23" t="str">
        <f t="shared" si="61"/>
        <v/>
      </c>
      <c r="Z210" s="23" t="str">
        <f t="shared" si="62"/>
        <v/>
      </c>
      <c r="AA210" s="23" t="str">
        <f t="shared" si="63"/>
        <v/>
      </c>
      <c r="AB210" t="str">
        <f>IFERROR(VLOOKUP($A210,[5]库存使用数据!$A:$D,4,0),"")</f>
        <v/>
      </c>
      <c r="AC210" t="str">
        <f>IFERROR(VLOOKUP($A210,[5]库存使用数据!$A:$G,7,0),"")</f>
        <v/>
      </c>
      <c r="AD210" t="str">
        <f>IFERROR(VLOOKUP($A210,[5]库存使用数据!$A:$J,10,0),"")</f>
        <v/>
      </c>
      <c r="AE210" t="str">
        <f>IFERROR(VLOOKUP($A210,[5]库存使用数据!$A:$M,13,0),"")</f>
        <v/>
      </c>
      <c r="AF210" s="23" t="str">
        <f t="shared" si="64"/>
        <v/>
      </c>
      <c r="AG210" s="23" t="str">
        <f t="shared" si="65"/>
        <v/>
      </c>
      <c r="AH210" s="23" t="str">
        <f t="shared" si="66"/>
        <v/>
      </c>
      <c r="AI210" s="23" t="str">
        <f t="shared" si="67"/>
        <v/>
      </c>
      <c r="AJ210">
        <f>IFERROR(VLOOKUP($B210,[1]库存报告使用数据!$A$1:$B$65536,2,0),0)</f>
        <v>2</v>
      </c>
      <c r="AK210">
        <f>IFERROR(VLOOKUP($B210,[1]库存报告使用数据!$A$1:$C$65536,3,0),0)</f>
        <v>1</v>
      </c>
      <c r="AL210">
        <f>IFERROR(VLOOKUP($B210,[1]库存报告使用数据!$A$1:$D$65536,4,0),0)</f>
        <v>0</v>
      </c>
      <c r="AM210">
        <f>IFERROR(VLOOKUP($B210,[1]库存报告使用数据!$A$1:$E$65536,5,0),0)</f>
        <v>2</v>
      </c>
      <c r="AN210" s="23">
        <f t="shared" si="68"/>
        <v>0</v>
      </c>
      <c r="AO210" s="23">
        <f t="shared" si="69"/>
        <v>0</v>
      </c>
      <c r="AP210" s="23" t="str">
        <f t="shared" si="70"/>
        <v/>
      </c>
      <c r="AQ210" s="23">
        <f t="shared" si="71"/>
        <v>0</v>
      </c>
      <c r="AR210" s="38">
        <f t="shared" si="56"/>
        <v>0</v>
      </c>
      <c r="AS210" s="38">
        <f t="shared" si="57"/>
        <v>0</v>
      </c>
      <c r="AT210" s="38">
        <f t="shared" si="58"/>
        <v>1</v>
      </c>
      <c r="AU210" s="33" t="str">
        <f t="shared" si="59"/>
        <v>库存为1</v>
      </c>
      <c r="AV210" s="39" t="str">
        <f>IFERROR(时间!$B$4+AU210,"上周无销量")</f>
        <v>上周无销量</v>
      </c>
    </row>
    <row r="211" spans="1:48">
      <c r="A211" s="35" t="s">
        <v>256</v>
      </c>
      <c r="B211" t="str">
        <f>VLOOKUP(A211,'[2]sku-asin（子）'!$A:$B,2,0)</f>
        <v>B074FV2QSZ</v>
      </c>
      <c r="C211" t="str">
        <f>VLOOKUP(A211,'[2]子sku-父sku'!$A:$B,2,0)</f>
        <v>N87309K</v>
      </c>
      <c r="D211" s="33">
        <f>IFERROR(VLOOKUP(A211,[3]库存报告使用数据处理!$A:$C,3,0),0)</f>
        <v>0</v>
      </c>
      <c r="E211" s="33">
        <f>IFERROR(VLOOKUP(A211,[3]库存报告使用数据处理!$A:$D,4,0),0)</f>
        <v>0</v>
      </c>
      <c r="F211" s="33">
        <f>IFERROR(VLOOKUP(A211,[3]库存报告使用数据处理!$A:$E,5,0),0)</f>
        <v>0</v>
      </c>
      <c r="G211" s="33">
        <f>IFERROR(VLOOKUP(A211,[3]库存报告使用数据处理!$A:$F,6,0),0)</f>
        <v>0</v>
      </c>
      <c r="H211" s="34">
        <f>IFERROR(VLOOKUP(A211,[3]库存报告使用数据处理!$A:$G,7,0),0)</f>
        <v>0</v>
      </c>
      <c r="I211">
        <f>IFERROR(VLOOKUP(A211,[4]数据处理!$A:$B,2,0),0)</f>
        <v>1</v>
      </c>
      <c r="J211" s="36">
        <f>IFERROR(VLOOKUP(A211,[4]数据处理!$A:$D,4,0),0)</f>
        <v>0</v>
      </c>
      <c r="K211" s="36">
        <f>IFERROR(VLOOKUP(A211,[4]数据处理!$A:$E,5,0),0)</f>
        <v>0</v>
      </c>
      <c r="L211" s="36">
        <f>IFERROR(VLOOKUP(A211,[4]数据处理!$A:$G,7,0),0)</f>
        <v>0</v>
      </c>
      <c r="M211">
        <f t="shared" si="55"/>
        <v>1</v>
      </c>
      <c r="N211">
        <f>IFERROR(VLOOKUP(A211,[4]数据处理!$A:$C,3,0),0)</f>
        <v>0</v>
      </c>
      <c r="O211">
        <f>IFERROR(VLOOKUP($A211,[4]数据处理!$A:$N,14,0),0)</f>
        <v>1</v>
      </c>
      <c r="P211" t="str">
        <f>IFERROR(VLOOKUP($A211,[5]库存使用数据!$A:$B,2,0),"")</f>
        <v/>
      </c>
      <c r="Q211" t="str">
        <f>IFERROR(VLOOKUP($A211,[5]库存使用数据!$A:$E,5,0),"")</f>
        <v/>
      </c>
      <c r="R211" t="str">
        <f>IFERROR(VLOOKUP($A211,[5]库存使用数据!$A:$H,8,0),"")</f>
        <v/>
      </c>
      <c r="S211" t="str">
        <f>IFERROR(VLOOKUP($A211,[5]库存使用数据!$A:$K,11,0),"")</f>
        <v/>
      </c>
      <c r="T211" t="str">
        <f>IFERROR(VLOOKUP($A211,[5]库存使用数据!$A:$C,3,0),"")</f>
        <v/>
      </c>
      <c r="U211" t="str">
        <f>IFERROR(VLOOKUP($A211,[5]库存使用数据!$A:$F,6,0),"")</f>
        <v/>
      </c>
      <c r="V211" t="str">
        <f>IFERROR(VLOOKUP($A211,[5]库存使用数据!$A:$I,9,0),"")</f>
        <v/>
      </c>
      <c r="W211" t="str">
        <f>IFERROR(VLOOKUP($A211,[5]库存使用数据!$A:$L,12,0),"")</f>
        <v/>
      </c>
      <c r="X211" s="23" t="str">
        <f t="shared" si="60"/>
        <v/>
      </c>
      <c r="Y211" s="23" t="str">
        <f t="shared" si="61"/>
        <v/>
      </c>
      <c r="Z211" s="23" t="str">
        <f t="shared" si="62"/>
        <v/>
      </c>
      <c r="AA211" s="23" t="str">
        <f t="shared" si="63"/>
        <v/>
      </c>
      <c r="AB211" t="str">
        <f>IFERROR(VLOOKUP($A211,[5]库存使用数据!$A:$D,4,0),"")</f>
        <v/>
      </c>
      <c r="AC211" t="str">
        <f>IFERROR(VLOOKUP($A211,[5]库存使用数据!$A:$G,7,0),"")</f>
        <v/>
      </c>
      <c r="AD211" t="str">
        <f>IFERROR(VLOOKUP($A211,[5]库存使用数据!$A:$J,10,0),"")</f>
        <v/>
      </c>
      <c r="AE211" t="str">
        <f>IFERROR(VLOOKUP($A211,[5]库存使用数据!$A:$M,13,0),"")</f>
        <v/>
      </c>
      <c r="AF211" s="23" t="str">
        <f t="shared" si="64"/>
        <v/>
      </c>
      <c r="AG211" s="23" t="str">
        <f t="shared" si="65"/>
        <v/>
      </c>
      <c r="AH211" s="23" t="str">
        <f t="shared" si="66"/>
        <v/>
      </c>
      <c r="AI211" s="23" t="str">
        <f t="shared" si="67"/>
        <v/>
      </c>
      <c r="AJ211">
        <f>IFERROR(VLOOKUP($B211,[1]库存报告使用数据!$A$1:$B$65536,2,0),0)</f>
        <v>2</v>
      </c>
      <c r="AK211">
        <f>IFERROR(VLOOKUP($B211,[1]库存报告使用数据!$A$1:$C$65536,3,0),0)</f>
        <v>3</v>
      </c>
      <c r="AL211">
        <f>IFERROR(VLOOKUP($B211,[1]库存报告使用数据!$A$1:$D$65536,4,0),0)</f>
        <v>2</v>
      </c>
      <c r="AM211">
        <f>IFERROR(VLOOKUP($B211,[1]库存报告使用数据!$A$1:$E$65536,5,0),0)</f>
        <v>2</v>
      </c>
      <c r="AN211" s="23">
        <f t="shared" si="68"/>
        <v>0</v>
      </c>
      <c r="AO211" s="23">
        <f t="shared" si="69"/>
        <v>0</v>
      </c>
      <c r="AP211" s="23">
        <f t="shared" si="70"/>
        <v>0</v>
      </c>
      <c r="AQ211" s="23">
        <f t="shared" si="71"/>
        <v>0</v>
      </c>
      <c r="AR211" s="38">
        <f t="shared" si="56"/>
        <v>0</v>
      </c>
      <c r="AS211" s="38">
        <f t="shared" si="57"/>
        <v>0</v>
      </c>
      <c r="AT211" s="38">
        <f t="shared" si="58"/>
        <v>1</v>
      </c>
      <c r="AU211" s="33" t="str">
        <f t="shared" si="59"/>
        <v>库存为1</v>
      </c>
      <c r="AV211" s="39" t="str">
        <f>IFERROR(时间!$B$4+AU211,"上周无销量")</f>
        <v>上周无销量</v>
      </c>
    </row>
    <row r="212" spans="1:48">
      <c r="A212" s="35" t="s">
        <v>257</v>
      </c>
      <c r="B212" t="str">
        <f>VLOOKUP(A212,'[2]sku-asin（子）'!$A:$B,2,0)</f>
        <v>B074FSYM6B</v>
      </c>
      <c r="C212" t="str">
        <f>VLOOKUP(A212,'[2]子sku-父sku'!$A:$B,2,0)</f>
        <v>N87318K</v>
      </c>
      <c r="D212" s="33">
        <f>IFERROR(VLOOKUP(A212,[3]库存报告使用数据处理!$A:$C,3,0),0)</f>
        <v>0</v>
      </c>
      <c r="E212" s="33">
        <f>IFERROR(VLOOKUP(A212,[3]库存报告使用数据处理!$A:$D,4,0),0)</f>
        <v>0</v>
      </c>
      <c r="F212" s="33">
        <f>IFERROR(VLOOKUP(A212,[3]库存报告使用数据处理!$A:$E,5,0),0)</f>
        <v>0</v>
      </c>
      <c r="G212" s="33">
        <f>IFERROR(VLOOKUP(A212,[3]库存报告使用数据处理!$A:$F,6,0),0)</f>
        <v>0</v>
      </c>
      <c r="H212" s="34">
        <f>IFERROR(VLOOKUP(A212,[3]库存报告使用数据处理!$A:$G,7,0),0)</f>
        <v>0</v>
      </c>
      <c r="I212">
        <f>IFERROR(VLOOKUP(A212,[4]数据处理!$A:$B,2,0),0)</f>
        <v>1</v>
      </c>
      <c r="J212" s="36">
        <f>IFERROR(VLOOKUP(A212,[4]数据处理!$A:$D,4,0),0)</f>
        <v>0</v>
      </c>
      <c r="K212" s="36">
        <f>IFERROR(VLOOKUP(A212,[4]数据处理!$A:$E,5,0),0)</f>
        <v>0</v>
      </c>
      <c r="L212" s="36">
        <f>IFERROR(VLOOKUP(A212,[4]数据处理!$A:$G,7,0),0)</f>
        <v>0</v>
      </c>
      <c r="M212">
        <f t="shared" si="55"/>
        <v>1</v>
      </c>
      <c r="N212">
        <f>IFERROR(VLOOKUP(A212,[4]数据处理!$A:$C,3,0),0)</f>
        <v>0</v>
      </c>
      <c r="O212">
        <f>IFERROR(VLOOKUP($A212,[4]数据处理!$A:$N,14,0),0)</f>
        <v>1</v>
      </c>
      <c r="P212" t="str">
        <f>IFERROR(VLOOKUP($A212,[5]库存使用数据!$A:$B,2,0),"")</f>
        <v/>
      </c>
      <c r="Q212" t="str">
        <f>IFERROR(VLOOKUP($A212,[5]库存使用数据!$A:$E,5,0),"")</f>
        <v/>
      </c>
      <c r="R212" t="str">
        <f>IFERROR(VLOOKUP($A212,[5]库存使用数据!$A:$H,8,0),"")</f>
        <v/>
      </c>
      <c r="S212" t="str">
        <f>IFERROR(VLOOKUP($A212,[5]库存使用数据!$A:$K,11,0),"")</f>
        <v/>
      </c>
      <c r="T212" t="str">
        <f>IFERROR(VLOOKUP($A212,[5]库存使用数据!$A:$C,3,0),"")</f>
        <v/>
      </c>
      <c r="U212" t="str">
        <f>IFERROR(VLOOKUP($A212,[5]库存使用数据!$A:$F,6,0),"")</f>
        <v/>
      </c>
      <c r="V212" t="str">
        <f>IFERROR(VLOOKUP($A212,[5]库存使用数据!$A:$I,9,0),"")</f>
        <v/>
      </c>
      <c r="W212" t="str">
        <f>IFERROR(VLOOKUP($A212,[5]库存使用数据!$A:$L,12,0),"")</f>
        <v/>
      </c>
      <c r="X212" s="23" t="str">
        <f t="shared" si="60"/>
        <v/>
      </c>
      <c r="Y212" s="23" t="str">
        <f t="shared" si="61"/>
        <v/>
      </c>
      <c r="Z212" s="23" t="str">
        <f t="shared" si="62"/>
        <v/>
      </c>
      <c r="AA212" s="23" t="str">
        <f t="shared" si="63"/>
        <v/>
      </c>
      <c r="AB212" t="str">
        <f>IFERROR(VLOOKUP($A212,[5]库存使用数据!$A:$D,4,0),"")</f>
        <v/>
      </c>
      <c r="AC212" t="str">
        <f>IFERROR(VLOOKUP($A212,[5]库存使用数据!$A:$G,7,0),"")</f>
        <v/>
      </c>
      <c r="AD212" t="str">
        <f>IFERROR(VLOOKUP($A212,[5]库存使用数据!$A:$J,10,0),"")</f>
        <v/>
      </c>
      <c r="AE212" t="str">
        <f>IFERROR(VLOOKUP($A212,[5]库存使用数据!$A:$M,13,0),"")</f>
        <v/>
      </c>
      <c r="AF212" s="23" t="str">
        <f t="shared" si="64"/>
        <v/>
      </c>
      <c r="AG212" s="23" t="str">
        <f t="shared" si="65"/>
        <v/>
      </c>
      <c r="AH212" s="23" t="str">
        <f t="shared" si="66"/>
        <v/>
      </c>
      <c r="AI212" s="23" t="str">
        <f t="shared" si="67"/>
        <v/>
      </c>
      <c r="AJ212">
        <f>IFERROR(VLOOKUP($B212,[1]库存报告使用数据!$A$1:$B$65536,2,0),0)</f>
        <v>0</v>
      </c>
      <c r="AK212">
        <f>IFERROR(VLOOKUP($B212,[1]库存报告使用数据!$A$1:$C$65536,3,0),0)</f>
        <v>0</v>
      </c>
      <c r="AL212">
        <f>IFERROR(VLOOKUP($B212,[1]库存报告使用数据!$A$1:$D$65536,4,0),0)</f>
        <v>0</v>
      </c>
      <c r="AM212">
        <f>IFERROR(VLOOKUP($B212,[1]库存报告使用数据!$A$1:$E$65536,5,0),0)</f>
        <v>0</v>
      </c>
      <c r="AN212" s="23" t="str">
        <f t="shared" si="68"/>
        <v/>
      </c>
      <c r="AO212" s="23" t="str">
        <f t="shared" si="69"/>
        <v/>
      </c>
      <c r="AP212" s="23" t="str">
        <f t="shared" si="70"/>
        <v/>
      </c>
      <c r="AQ212" s="23" t="str">
        <f t="shared" si="71"/>
        <v/>
      </c>
      <c r="AR212" s="38">
        <f t="shared" si="56"/>
        <v>0</v>
      </c>
      <c r="AS212" s="38">
        <f t="shared" si="57"/>
        <v>0</v>
      </c>
      <c r="AT212" s="38">
        <f t="shared" si="58"/>
        <v>1</v>
      </c>
      <c r="AU212" s="33" t="str">
        <f t="shared" si="59"/>
        <v>库存为1</v>
      </c>
      <c r="AV212" s="39" t="str">
        <f>IFERROR(时间!$B$4+AU212,"上周无销量")</f>
        <v>上周无销量</v>
      </c>
    </row>
    <row r="213" spans="1:48">
      <c r="A213" s="35" t="s">
        <v>258</v>
      </c>
      <c r="B213" t="str">
        <f>VLOOKUP(A213,'[2]sku-asin（子）'!$A:$B,2,0)</f>
        <v>B074FSVZ5H</v>
      </c>
      <c r="C213" t="str">
        <f>VLOOKUP(A213,'[2]子sku-父sku'!$A:$B,2,0)</f>
        <v>N87318K</v>
      </c>
      <c r="D213" s="33">
        <f>IFERROR(VLOOKUP(A213,[3]库存报告使用数据处理!$A:$C,3,0),0)</f>
        <v>0</v>
      </c>
      <c r="E213" s="33">
        <f>IFERROR(VLOOKUP(A213,[3]库存报告使用数据处理!$A:$D,4,0),0)</f>
        <v>0</v>
      </c>
      <c r="F213" s="33">
        <f>IFERROR(VLOOKUP(A213,[3]库存报告使用数据处理!$A:$E,5,0),0)</f>
        <v>0</v>
      </c>
      <c r="G213" s="33">
        <f>IFERROR(VLOOKUP(A213,[3]库存报告使用数据处理!$A:$F,6,0),0)</f>
        <v>0</v>
      </c>
      <c r="H213" s="34">
        <f>IFERROR(VLOOKUP(A213,[3]库存报告使用数据处理!$A:$G,7,0),0)</f>
        <v>0</v>
      </c>
      <c r="I213">
        <f>IFERROR(VLOOKUP(A213,[4]数据处理!$A:$B,2,0),0)</f>
        <v>1</v>
      </c>
      <c r="J213" s="36">
        <f>IFERROR(VLOOKUP(A213,[4]数据处理!$A:$D,4,0),0)</f>
        <v>0</v>
      </c>
      <c r="K213" s="36">
        <f>IFERROR(VLOOKUP(A213,[4]数据处理!$A:$E,5,0),0)</f>
        <v>0</v>
      </c>
      <c r="L213" s="36">
        <f>IFERROR(VLOOKUP(A213,[4]数据处理!$A:$G,7,0),0)</f>
        <v>0</v>
      </c>
      <c r="M213">
        <f t="shared" si="55"/>
        <v>1</v>
      </c>
      <c r="N213">
        <f>IFERROR(VLOOKUP(A213,[4]数据处理!$A:$C,3,0),0)</f>
        <v>0</v>
      </c>
      <c r="O213">
        <f>IFERROR(VLOOKUP($A213,[4]数据处理!$A:$N,14,0),0)</f>
        <v>1</v>
      </c>
      <c r="P213" t="str">
        <f>IFERROR(VLOOKUP($A213,[5]库存使用数据!$A:$B,2,0),"")</f>
        <v/>
      </c>
      <c r="Q213" t="str">
        <f>IFERROR(VLOOKUP($A213,[5]库存使用数据!$A:$E,5,0),"")</f>
        <v/>
      </c>
      <c r="R213" t="str">
        <f>IFERROR(VLOOKUP($A213,[5]库存使用数据!$A:$H,8,0),"")</f>
        <v/>
      </c>
      <c r="S213" t="str">
        <f>IFERROR(VLOOKUP($A213,[5]库存使用数据!$A:$K,11,0),"")</f>
        <v/>
      </c>
      <c r="T213" t="str">
        <f>IFERROR(VLOOKUP($A213,[5]库存使用数据!$A:$C,3,0),"")</f>
        <v/>
      </c>
      <c r="U213" t="str">
        <f>IFERROR(VLOOKUP($A213,[5]库存使用数据!$A:$F,6,0),"")</f>
        <v/>
      </c>
      <c r="V213" t="str">
        <f>IFERROR(VLOOKUP($A213,[5]库存使用数据!$A:$I,9,0),"")</f>
        <v/>
      </c>
      <c r="W213" t="str">
        <f>IFERROR(VLOOKUP($A213,[5]库存使用数据!$A:$L,12,0),"")</f>
        <v/>
      </c>
      <c r="X213" s="23" t="str">
        <f t="shared" si="60"/>
        <v/>
      </c>
      <c r="Y213" s="23" t="str">
        <f t="shared" si="61"/>
        <v/>
      </c>
      <c r="Z213" s="23" t="str">
        <f t="shared" si="62"/>
        <v/>
      </c>
      <c r="AA213" s="23" t="str">
        <f t="shared" si="63"/>
        <v/>
      </c>
      <c r="AB213" t="str">
        <f>IFERROR(VLOOKUP($A213,[5]库存使用数据!$A:$D,4,0),"")</f>
        <v/>
      </c>
      <c r="AC213" t="str">
        <f>IFERROR(VLOOKUP($A213,[5]库存使用数据!$A:$G,7,0),"")</f>
        <v/>
      </c>
      <c r="AD213" t="str">
        <f>IFERROR(VLOOKUP($A213,[5]库存使用数据!$A:$J,10,0),"")</f>
        <v/>
      </c>
      <c r="AE213" t="str">
        <f>IFERROR(VLOOKUP($A213,[5]库存使用数据!$A:$M,13,0),"")</f>
        <v/>
      </c>
      <c r="AF213" s="23" t="str">
        <f t="shared" si="64"/>
        <v/>
      </c>
      <c r="AG213" s="23" t="str">
        <f t="shared" si="65"/>
        <v/>
      </c>
      <c r="AH213" s="23" t="str">
        <f t="shared" si="66"/>
        <v/>
      </c>
      <c r="AI213" s="23" t="str">
        <f t="shared" si="67"/>
        <v/>
      </c>
      <c r="AJ213">
        <f>IFERROR(VLOOKUP($B213,[1]库存报告使用数据!$A$1:$B$65536,2,0),0)</f>
        <v>0</v>
      </c>
      <c r="AK213">
        <f>IFERROR(VLOOKUP($B213,[1]库存报告使用数据!$A$1:$C$65536,3,0),0)</f>
        <v>0</v>
      </c>
      <c r="AL213">
        <f>IFERROR(VLOOKUP($B213,[1]库存报告使用数据!$A$1:$D$65536,4,0),0)</f>
        <v>0</v>
      </c>
      <c r="AM213">
        <f>IFERROR(VLOOKUP($B213,[1]库存报告使用数据!$A$1:$E$65536,5,0),0)</f>
        <v>0</v>
      </c>
      <c r="AN213" s="23" t="str">
        <f t="shared" si="68"/>
        <v/>
      </c>
      <c r="AO213" s="23" t="str">
        <f t="shared" si="69"/>
        <v/>
      </c>
      <c r="AP213" s="23" t="str">
        <f t="shared" si="70"/>
        <v/>
      </c>
      <c r="AQ213" s="23" t="str">
        <f t="shared" si="71"/>
        <v/>
      </c>
      <c r="AR213" s="38">
        <f t="shared" si="56"/>
        <v>0</v>
      </c>
      <c r="AS213" s="38">
        <f t="shared" si="57"/>
        <v>0</v>
      </c>
      <c r="AT213" s="38">
        <f t="shared" si="58"/>
        <v>1</v>
      </c>
      <c r="AU213" s="33" t="str">
        <f t="shared" si="59"/>
        <v>库存为1</v>
      </c>
      <c r="AV213" s="39" t="str">
        <f>IFERROR(时间!$B$4+AU213,"上周无销量")</f>
        <v>上周无销量</v>
      </c>
    </row>
    <row r="214" spans="1:48">
      <c r="A214" s="35" t="s">
        <v>259</v>
      </c>
      <c r="B214" t="str">
        <f>VLOOKUP(A214,'[2]sku-asin（子）'!$A:$B,2,0)</f>
        <v>B074FQZXDS</v>
      </c>
      <c r="C214" t="str">
        <f>VLOOKUP(A214,'[2]子sku-父sku'!$A:$B,2,0)</f>
        <v>N87318K</v>
      </c>
      <c r="D214" s="33">
        <f>IFERROR(VLOOKUP(A214,[3]库存报告使用数据处理!$A:$C,3,0),0)</f>
        <v>0</v>
      </c>
      <c r="E214" s="33">
        <f>IFERROR(VLOOKUP(A214,[3]库存报告使用数据处理!$A:$D,4,0),0)</f>
        <v>0</v>
      </c>
      <c r="F214" s="33">
        <f>IFERROR(VLOOKUP(A214,[3]库存报告使用数据处理!$A:$E,5,0),0)</f>
        <v>0</v>
      </c>
      <c r="G214" s="33">
        <f>IFERROR(VLOOKUP(A214,[3]库存报告使用数据处理!$A:$F,6,0),0)</f>
        <v>0</v>
      </c>
      <c r="H214" s="34">
        <f>IFERROR(VLOOKUP(A214,[3]库存报告使用数据处理!$A:$G,7,0),0)</f>
        <v>0</v>
      </c>
      <c r="I214">
        <f>IFERROR(VLOOKUP(A214,[4]数据处理!$A:$B,2,0),0)</f>
        <v>1</v>
      </c>
      <c r="J214" s="36">
        <f>IFERROR(VLOOKUP(A214,[4]数据处理!$A:$D,4,0),0)</f>
        <v>0</v>
      </c>
      <c r="K214" s="36">
        <f>IFERROR(VLOOKUP(A214,[4]数据处理!$A:$E,5,0),0)</f>
        <v>0</v>
      </c>
      <c r="L214" s="36">
        <f>IFERROR(VLOOKUP(A214,[4]数据处理!$A:$G,7,0),0)</f>
        <v>0</v>
      </c>
      <c r="M214">
        <f t="shared" si="55"/>
        <v>1</v>
      </c>
      <c r="N214">
        <f>IFERROR(VLOOKUP(A214,[4]数据处理!$A:$C,3,0),0)</f>
        <v>0</v>
      </c>
      <c r="O214">
        <f>IFERROR(VLOOKUP($A214,[4]数据处理!$A:$N,14,0),0)</f>
        <v>1</v>
      </c>
      <c r="P214" t="str">
        <f>IFERROR(VLOOKUP($A214,[5]库存使用数据!$A:$B,2,0),"")</f>
        <v/>
      </c>
      <c r="Q214" t="str">
        <f>IFERROR(VLOOKUP($A214,[5]库存使用数据!$A:$E,5,0),"")</f>
        <v/>
      </c>
      <c r="R214" t="str">
        <f>IFERROR(VLOOKUP($A214,[5]库存使用数据!$A:$H,8,0),"")</f>
        <v/>
      </c>
      <c r="S214" t="str">
        <f>IFERROR(VLOOKUP($A214,[5]库存使用数据!$A:$K,11,0),"")</f>
        <v/>
      </c>
      <c r="T214" t="str">
        <f>IFERROR(VLOOKUP($A214,[5]库存使用数据!$A:$C,3,0),"")</f>
        <v/>
      </c>
      <c r="U214" t="str">
        <f>IFERROR(VLOOKUP($A214,[5]库存使用数据!$A:$F,6,0),"")</f>
        <v/>
      </c>
      <c r="V214" t="str">
        <f>IFERROR(VLOOKUP($A214,[5]库存使用数据!$A:$I,9,0),"")</f>
        <v/>
      </c>
      <c r="W214" t="str">
        <f>IFERROR(VLOOKUP($A214,[5]库存使用数据!$A:$L,12,0),"")</f>
        <v/>
      </c>
      <c r="X214" s="23" t="str">
        <f t="shared" si="60"/>
        <v/>
      </c>
      <c r="Y214" s="23" t="str">
        <f t="shared" si="61"/>
        <v/>
      </c>
      <c r="Z214" s="23" t="str">
        <f t="shared" si="62"/>
        <v/>
      </c>
      <c r="AA214" s="23" t="str">
        <f t="shared" si="63"/>
        <v/>
      </c>
      <c r="AB214" t="str">
        <f>IFERROR(VLOOKUP($A214,[5]库存使用数据!$A:$D,4,0),"")</f>
        <v/>
      </c>
      <c r="AC214" t="str">
        <f>IFERROR(VLOOKUP($A214,[5]库存使用数据!$A:$G,7,0),"")</f>
        <v/>
      </c>
      <c r="AD214" t="str">
        <f>IFERROR(VLOOKUP($A214,[5]库存使用数据!$A:$J,10,0),"")</f>
        <v/>
      </c>
      <c r="AE214" t="str">
        <f>IFERROR(VLOOKUP($A214,[5]库存使用数据!$A:$M,13,0),"")</f>
        <v/>
      </c>
      <c r="AF214" s="23" t="str">
        <f t="shared" si="64"/>
        <v/>
      </c>
      <c r="AG214" s="23" t="str">
        <f t="shared" si="65"/>
        <v/>
      </c>
      <c r="AH214" s="23" t="str">
        <f t="shared" si="66"/>
        <v/>
      </c>
      <c r="AI214" s="23" t="str">
        <f t="shared" si="67"/>
        <v/>
      </c>
      <c r="AJ214">
        <f>IFERROR(VLOOKUP($B214,[1]库存报告使用数据!$A$1:$B$65536,2,0),0)</f>
        <v>0</v>
      </c>
      <c r="AK214">
        <f>IFERROR(VLOOKUP($B214,[1]库存报告使用数据!$A$1:$C$65536,3,0),0)</f>
        <v>0</v>
      </c>
      <c r="AL214">
        <f>IFERROR(VLOOKUP($B214,[1]库存报告使用数据!$A$1:$D$65536,4,0),0)</f>
        <v>0</v>
      </c>
      <c r="AM214">
        <f>IFERROR(VLOOKUP($B214,[1]库存报告使用数据!$A$1:$E$65536,5,0),0)</f>
        <v>0</v>
      </c>
      <c r="AN214" s="23" t="str">
        <f t="shared" si="68"/>
        <v/>
      </c>
      <c r="AO214" s="23" t="str">
        <f t="shared" si="69"/>
        <v/>
      </c>
      <c r="AP214" s="23" t="str">
        <f t="shared" si="70"/>
        <v/>
      </c>
      <c r="AQ214" s="23" t="str">
        <f t="shared" si="71"/>
        <v/>
      </c>
      <c r="AR214" s="38">
        <f t="shared" si="56"/>
        <v>0</v>
      </c>
      <c r="AS214" s="38">
        <f t="shared" si="57"/>
        <v>0</v>
      </c>
      <c r="AT214" s="38">
        <f t="shared" si="58"/>
        <v>1</v>
      </c>
      <c r="AU214" s="33" t="str">
        <f t="shared" si="59"/>
        <v>库存为1</v>
      </c>
      <c r="AV214" s="39" t="str">
        <f>IFERROR(时间!$B$4+AU214,"上周无销量")</f>
        <v>上周无销量</v>
      </c>
    </row>
    <row r="215" spans="1:48">
      <c r="A215" s="35" t="s">
        <v>260</v>
      </c>
      <c r="B215" t="str">
        <f>VLOOKUP(A215,'[2]sku-asin（子）'!$A:$B,2,0)</f>
        <v>B074FSV4LS</v>
      </c>
      <c r="C215" t="str">
        <f>VLOOKUP(A215,'[2]子sku-父sku'!$A:$B,2,0)</f>
        <v>N87318K</v>
      </c>
      <c r="D215" s="33">
        <f>IFERROR(VLOOKUP(A215,[3]库存报告使用数据处理!$A:$C,3,0),0)</f>
        <v>0</v>
      </c>
      <c r="E215" s="33">
        <f>IFERROR(VLOOKUP(A215,[3]库存报告使用数据处理!$A:$D,4,0),0)</f>
        <v>0</v>
      </c>
      <c r="F215" s="33">
        <f>IFERROR(VLOOKUP(A215,[3]库存报告使用数据处理!$A:$E,5,0),0)</f>
        <v>0</v>
      </c>
      <c r="G215" s="33">
        <f>IFERROR(VLOOKUP(A215,[3]库存报告使用数据处理!$A:$F,6,0),0)</f>
        <v>0</v>
      </c>
      <c r="H215" s="34">
        <f>IFERROR(VLOOKUP(A215,[3]库存报告使用数据处理!$A:$G,7,0),0)</f>
        <v>0</v>
      </c>
      <c r="I215">
        <f>IFERROR(VLOOKUP(A215,[4]数据处理!$A:$B,2,0),0)</f>
        <v>1</v>
      </c>
      <c r="J215" s="36">
        <f>IFERROR(VLOOKUP(A215,[4]数据处理!$A:$D,4,0),0)</f>
        <v>0</v>
      </c>
      <c r="K215" s="36">
        <f>IFERROR(VLOOKUP(A215,[4]数据处理!$A:$E,5,0),0)</f>
        <v>0</v>
      </c>
      <c r="L215" s="36">
        <f>IFERROR(VLOOKUP(A215,[4]数据处理!$A:$G,7,0),0)</f>
        <v>0</v>
      </c>
      <c r="M215">
        <f t="shared" si="55"/>
        <v>1</v>
      </c>
      <c r="N215">
        <f>IFERROR(VLOOKUP(A215,[4]数据处理!$A:$C,3,0),0)</f>
        <v>0</v>
      </c>
      <c r="O215">
        <f>IFERROR(VLOOKUP($A215,[4]数据处理!$A:$N,14,0),0)</f>
        <v>1</v>
      </c>
      <c r="P215" t="str">
        <f>IFERROR(VLOOKUP($A215,[5]库存使用数据!$A:$B,2,0),"")</f>
        <v/>
      </c>
      <c r="Q215" t="str">
        <f>IFERROR(VLOOKUP($A215,[5]库存使用数据!$A:$E,5,0),"")</f>
        <v/>
      </c>
      <c r="R215" t="str">
        <f>IFERROR(VLOOKUP($A215,[5]库存使用数据!$A:$H,8,0),"")</f>
        <v/>
      </c>
      <c r="S215" t="str">
        <f>IFERROR(VLOOKUP($A215,[5]库存使用数据!$A:$K,11,0),"")</f>
        <v/>
      </c>
      <c r="T215" t="str">
        <f>IFERROR(VLOOKUP($A215,[5]库存使用数据!$A:$C,3,0),"")</f>
        <v/>
      </c>
      <c r="U215" t="str">
        <f>IFERROR(VLOOKUP($A215,[5]库存使用数据!$A:$F,6,0),"")</f>
        <v/>
      </c>
      <c r="V215" t="str">
        <f>IFERROR(VLOOKUP($A215,[5]库存使用数据!$A:$I,9,0),"")</f>
        <v/>
      </c>
      <c r="W215" t="str">
        <f>IFERROR(VLOOKUP($A215,[5]库存使用数据!$A:$L,12,0),"")</f>
        <v/>
      </c>
      <c r="X215" s="23" t="str">
        <f t="shared" si="60"/>
        <v/>
      </c>
      <c r="Y215" s="23" t="str">
        <f t="shared" si="61"/>
        <v/>
      </c>
      <c r="Z215" s="23" t="str">
        <f t="shared" si="62"/>
        <v/>
      </c>
      <c r="AA215" s="23" t="str">
        <f t="shared" si="63"/>
        <v/>
      </c>
      <c r="AB215" t="str">
        <f>IFERROR(VLOOKUP($A215,[5]库存使用数据!$A:$D,4,0),"")</f>
        <v/>
      </c>
      <c r="AC215" t="str">
        <f>IFERROR(VLOOKUP($A215,[5]库存使用数据!$A:$G,7,0),"")</f>
        <v/>
      </c>
      <c r="AD215" t="str">
        <f>IFERROR(VLOOKUP($A215,[5]库存使用数据!$A:$J,10,0),"")</f>
        <v/>
      </c>
      <c r="AE215" t="str">
        <f>IFERROR(VLOOKUP($A215,[5]库存使用数据!$A:$M,13,0),"")</f>
        <v/>
      </c>
      <c r="AF215" s="23" t="str">
        <f t="shared" si="64"/>
        <v/>
      </c>
      <c r="AG215" s="23" t="str">
        <f t="shared" si="65"/>
        <v/>
      </c>
      <c r="AH215" s="23" t="str">
        <f t="shared" si="66"/>
        <v/>
      </c>
      <c r="AI215" s="23" t="str">
        <f t="shared" si="67"/>
        <v/>
      </c>
      <c r="AJ215">
        <f>IFERROR(VLOOKUP($B215,[1]库存报告使用数据!$A$1:$B$65536,2,0),0)</f>
        <v>0</v>
      </c>
      <c r="AK215">
        <f>IFERROR(VLOOKUP($B215,[1]库存报告使用数据!$A$1:$C$65536,3,0),0)</f>
        <v>0</v>
      </c>
      <c r="AL215">
        <f>IFERROR(VLOOKUP($B215,[1]库存报告使用数据!$A$1:$D$65536,4,0),0)</f>
        <v>0</v>
      </c>
      <c r="AM215">
        <f>IFERROR(VLOOKUP($B215,[1]库存报告使用数据!$A$1:$E$65536,5,0),0)</f>
        <v>0</v>
      </c>
      <c r="AN215" s="23" t="str">
        <f t="shared" si="68"/>
        <v/>
      </c>
      <c r="AO215" s="23" t="str">
        <f t="shared" si="69"/>
        <v/>
      </c>
      <c r="AP215" s="23" t="str">
        <f t="shared" si="70"/>
        <v/>
      </c>
      <c r="AQ215" s="23" t="str">
        <f t="shared" si="71"/>
        <v/>
      </c>
      <c r="AR215" s="38">
        <f t="shared" si="56"/>
        <v>0</v>
      </c>
      <c r="AS215" s="38">
        <f t="shared" si="57"/>
        <v>0</v>
      </c>
      <c r="AT215" s="38">
        <f t="shared" si="58"/>
        <v>1</v>
      </c>
      <c r="AU215" s="33" t="str">
        <f t="shared" si="59"/>
        <v>库存为1</v>
      </c>
      <c r="AV215" s="39" t="str">
        <f>IFERROR(时间!$B$4+AU215,"上周无销量")</f>
        <v>上周无销量</v>
      </c>
    </row>
    <row r="216" spans="1:48">
      <c r="A216" s="35" t="s">
        <v>261</v>
      </c>
      <c r="B216" t="str">
        <f>VLOOKUP(A216,'[2]sku-asin（子）'!$A:$B,2,0)</f>
        <v>B074FWYPHZ</v>
      </c>
      <c r="C216" t="str">
        <f>VLOOKUP(A216,'[2]子sku-父sku'!$A:$B,2,0)</f>
        <v>N87318K</v>
      </c>
      <c r="D216" s="33">
        <f>IFERROR(VLOOKUP(A216,[3]库存报告使用数据处理!$A:$C,3,0),0)</f>
        <v>0</v>
      </c>
      <c r="E216" s="33">
        <f>IFERROR(VLOOKUP(A216,[3]库存报告使用数据处理!$A:$D,4,0),0)</f>
        <v>0</v>
      </c>
      <c r="F216" s="33">
        <f>IFERROR(VLOOKUP(A216,[3]库存报告使用数据处理!$A:$E,5,0),0)</f>
        <v>0</v>
      </c>
      <c r="G216" s="33">
        <f>IFERROR(VLOOKUP(A216,[3]库存报告使用数据处理!$A:$F,6,0),0)</f>
        <v>0</v>
      </c>
      <c r="H216" s="34">
        <f>IFERROR(VLOOKUP(A216,[3]库存报告使用数据处理!$A:$G,7,0),0)</f>
        <v>0</v>
      </c>
      <c r="I216">
        <f>IFERROR(VLOOKUP(A216,[4]数据处理!$A:$B,2,0),0)</f>
        <v>1</v>
      </c>
      <c r="J216" s="36">
        <f>IFERROR(VLOOKUP(A216,[4]数据处理!$A:$D,4,0),0)</f>
        <v>0</v>
      </c>
      <c r="K216" s="36">
        <f>IFERROR(VLOOKUP(A216,[4]数据处理!$A:$E,5,0),0)</f>
        <v>0</v>
      </c>
      <c r="L216" s="36">
        <f>IFERROR(VLOOKUP(A216,[4]数据处理!$A:$G,7,0),0)</f>
        <v>0</v>
      </c>
      <c r="M216">
        <f t="shared" si="55"/>
        <v>1</v>
      </c>
      <c r="N216">
        <f>IFERROR(VLOOKUP(A216,[4]数据处理!$A:$C,3,0),0)</f>
        <v>0</v>
      </c>
      <c r="O216">
        <f>IFERROR(VLOOKUP($A216,[4]数据处理!$A:$N,14,0),0)</f>
        <v>1</v>
      </c>
      <c r="P216" t="str">
        <f>IFERROR(VLOOKUP($A216,[5]库存使用数据!$A:$B,2,0),"")</f>
        <v/>
      </c>
      <c r="Q216" t="str">
        <f>IFERROR(VLOOKUP($A216,[5]库存使用数据!$A:$E,5,0),"")</f>
        <v/>
      </c>
      <c r="R216" t="str">
        <f>IFERROR(VLOOKUP($A216,[5]库存使用数据!$A:$H,8,0),"")</f>
        <v/>
      </c>
      <c r="S216" t="str">
        <f>IFERROR(VLOOKUP($A216,[5]库存使用数据!$A:$K,11,0),"")</f>
        <v/>
      </c>
      <c r="T216" t="str">
        <f>IFERROR(VLOOKUP($A216,[5]库存使用数据!$A:$C,3,0),"")</f>
        <v/>
      </c>
      <c r="U216" t="str">
        <f>IFERROR(VLOOKUP($A216,[5]库存使用数据!$A:$F,6,0),"")</f>
        <v/>
      </c>
      <c r="V216" t="str">
        <f>IFERROR(VLOOKUP($A216,[5]库存使用数据!$A:$I,9,0),"")</f>
        <v/>
      </c>
      <c r="W216" t="str">
        <f>IFERROR(VLOOKUP($A216,[5]库存使用数据!$A:$L,12,0),"")</f>
        <v/>
      </c>
      <c r="X216" s="23" t="str">
        <f t="shared" si="60"/>
        <v/>
      </c>
      <c r="Y216" s="23" t="str">
        <f t="shared" si="61"/>
        <v/>
      </c>
      <c r="Z216" s="23" t="str">
        <f t="shared" si="62"/>
        <v/>
      </c>
      <c r="AA216" s="23" t="str">
        <f t="shared" si="63"/>
        <v/>
      </c>
      <c r="AB216" t="str">
        <f>IFERROR(VLOOKUP($A216,[5]库存使用数据!$A:$D,4,0),"")</f>
        <v/>
      </c>
      <c r="AC216" t="str">
        <f>IFERROR(VLOOKUP($A216,[5]库存使用数据!$A:$G,7,0),"")</f>
        <v/>
      </c>
      <c r="AD216" t="str">
        <f>IFERROR(VLOOKUP($A216,[5]库存使用数据!$A:$J,10,0),"")</f>
        <v/>
      </c>
      <c r="AE216" t="str">
        <f>IFERROR(VLOOKUP($A216,[5]库存使用数据!$A:$M,13,0),"")</f>
        <v/>
      </c>
      <c r="AF216" s="23" t="str">
        <f t="shared" si="64"/>
        <v/>
      </c>
      <c r="AG216" s="23" t="str">
        <f t="shared" si="65"/>
        <v/>
      </c>
      <c r="AH216" s="23" t="str">
        <f t="shared" si="66"/>
        <v/>
      </c>
      <c r="AI216" s="23" t="str">
        <f t="shared" si="67"/>
        <v/>
      </c>
      <c r="AJ216">
        <f>IFERROR(VLOOKUP($B216,[1]库存报告使用数据!$A$1:$B$65536,2,0),0)</f>
        <v>0</v>
      </c>
      <c r="AK216">
        <f>IFERROR(VLOOKUP($B216,[1]库存报告使用数据!$A$1:$C$65536,3,0),0)</f>
        <v>0</v>
      </c>
      <c r="AL216">
        <f>IFERROR(VLOOKUP($B216,[1]库存报告使用数据!$A$1:$D$65536,4,0),0)</f>
        <v>0</v>
      </c>
      <c r="AM216">
        <f>IFERROR(VLOOKUP($B216,[1]库存报告使用数据!$A$1:$E$65536,5,0),0)</f>
        <v>0</v>
      </c>
      <c r="AN216" s="23" t="str">
        <f t="shared" si="68"/>
        <v/>
      </c>
      <c r="AO216" s="23" t="str">
        <f t="shared" si="69"/>
        <v/>
      </c>
      <c r="AP216" s="23" t="str">
        <f t="shared" si="70"/>
        <v/>
      </c>
      <c r="AQ216" s="23" t="str">
        <f t="shared" si="71"/>
        <v/>
      </c>
      <c r="AR216" s="38">
        <f t="shared" si="56"/>
        <v>0</v>
      </c>
      <c r="AS216" s="38">
        <f t="shared" si="57"/>
        <v>0</v>
      </c>
      <c r="AT216" s="38">
        <f t="shared" si="58"/>
        <v>1</v>
      </c>
      <c r="AU216" s="33" t="str">
        <f t="shared" si="59"/>
        <v>库存为1</v>
      </c>
      <c r="AV216" s="39" t="str">
        <f>IFERROR(时间!$B$4+AU216,"上周无销量")</f>
        <v>上周无销量</v>
      </c>
    </row>
    <row r="217" spans="1:48">
      <c r="A217" s="35" t="s">
        <v>262</v>
      </c>
      <c r="B217" t="str">
        <f>VLOOKUP(A217,'[2]sku-asin（子）'!$A:$B,2,0)</f>
        <v>B074FRG96Y</v>
      </c>
      <c r="C217" t="str">
        <f>VLOOKUP(A217,'[2]子sku-父sku'!$A:$B,2,0)</f>
        <v>N87318K</v>
      </c>
      <c r="D217" s="33">
        <f>IFERROR(VLOOKUP(A217,[3]库存报告使用数据处理!$A:$C,3,0),0)</f>
        <v>0</v>
      </c>
      <c r="E217" s="33">
        <f>IFERROR(VLOOKUP(A217,[3]库存报告使用数据处理!$A:$D,4,0),0)</f>
        <v>0</v>
      </c>
      <c r="F217" s="33">
        <f>IFERROR(VLOOKUP(A217,[3]库存报告使用数据处理!$A:$E,5,0),0)</f>
        <v>0</v>
      </c>
      <c r="G217" s="33">
        <f>IFERROR(VLOOKUP(A217,[3]库存报告使用数据处理!$A:$F,6,0),0)</f>
        <v>0</v>
      </c>
      <c r="H217" s="34">
        <f>IFERROR(VLOOKUP(A217,[3]库存报告使用数据处理!$A:$G,7,0),0)</f>
        <v>0</v>
      </c>
      <c r="I217">
        <f>IFERROR(VLOOKUP(A217,[4]数据处理!$A:$B,2,0),0)</f>
        <v>1</v>
      </c>
      <c r="J217" s="36">
        <f>IFERROR(VLOOKUP(A217,[4]数据处理!$A:$D,4,0),0)</f>
        <v>0</v>
      </c>
      <c r="K217" s="36">
        <f>IFERROR(VLOOKUP(A217,[4]数据处理!$A:$E,5,0),0)</f>
        <v>0</v>
      </c>
      <c r="L217" s="36">
        <f>IFERROR(VLOOKUP(A217,[4]数据处理!$A:$G,7,0),0)</f>
        <v>0</v>
      </c>
      <c r="M217">
        <f t="shared" si="55"/>
        <v>1</v>
      </c>
      <c r="N217">
        <f>IFERROR(VLOOKUP(A217,[4]数据处理!$A:$C,3,0),0)</f>
        <v>0</v>
      </c>
      <c r="O217">
        <f>IFERROR(VLOOKUP($A217,[4]数据处理!$A:$N,14,0),0)</f>
        <v>1</v>
      </c>
      <c r="P217" t="str">
        <f>IFERROR(VLOOKUP($A217,[5]库存使用数据!$A:$B,2,0),"")</f>
        <v/>
      </c>
      <c r="Q217" t="str">
        <f>IFERROR(VLOOKUP($A217,[5]库存使用数据!$A:$E,5,0),"")</f>
        <v/>
      </c>
      <c r="R217" t="str">
        <f>IFERROR(VLOOKUP($A217,[5]库存使用数据!$A:$H,8,0),"")</f>
        <v/>
      </c>
      <c r="S217" t="str">
        <f>IFERROR(VLOOKUP($A217,[5]库存使用数据!$A:$K,11,0),"")</f>
        <v/>
      </c>
      <c r="T217" t="str">
        <f>IFERROR(VLOOKUP($A217,[5]库存使用数据!$A:$C,3,0),"")</f>
        <v/>
      </c>
      <c r="U217" t="str">
        <f>IFERROR(VLOOKUP($A217,[5]库存使用数据!$A:$F,6,0),"")</f>
        <v/>
      </c>
      <c r="V217" t="str">
        <f>IFERROR(VLOOKUP($A217,[5]库存使用数据!$A:$I,9,0),"")</f>
        <v/>
      </c>
      <c r="W217" t="str">
        <f>IFERROR(VLOOKUP($A217,[5]库存使用数据!$A:$L,12,0),"")</f>
        <v/>
      </c>
      <c r="X217" s="23" t="str">
        <f t="shared" si="60"/>
        <v/>
      </c>
      <c r="Y217" s="23" t="str">
        <f t="shared" si="61"/>
        <v/>
      </c>
      <c r="Z217" s="23" t="str">
        <f t="shared" si="62"/>
        <v/>
      </c>
      <c r="AA217" s="23" t="str">
        <f t="shared" si="63"/>
        <v/>
      </c>
      <c r="AB217" t="str">
        <f>IFERROR(VLOOKUP($A217,[5]库存使用数据!$A:$D,4,0),"")</f>
        <v/>
      </c>
      <c r="AC217" t="str">
        <f>IFERROR(VLOOKUP($A217,[5]库存使用数据!$A:$G,7,0),"")</f>
        <v/>
      </c>
      <c r="AD217" t="str">
        <f>IFERROR(VLOOKUP($A217,[5]库存使用数据!$A:$J,10,0),"")</f>
        <v/>
      </c>
      <c r="AE217" t="str">
        <f>IFERROR(VLOOKUP($A217,[5]库存使用数据!$A:$M,13,0),"")</f>
        <v/>
      </c>
      <c r="AF217" s="23" t="str">
        <f t="shared" si="64"/>
        <v/>
      </c>
      <c r="AG217" s="23" t="str">
        <f t="shared" si="65"/>
        <v/>
      </c>
      <c r="AH217" s="23" t="str">
        <f t="shared" si="66"/>
        <v/>
      </c>
      <c r="AI217" s="23" t="str">
        <f t="shared" si="67"/>
        <v/>
      </c>
      <c r="AJ217">
        <f>IFERROR(VLOOKUP($B217,[1]库存报告使用数据!$A$1:$B$65536,2,0),0)</f>
        <v>0</v>
      </c>
      <c r="AK217">
        <f>IFERROR(VLOOKUP($B217,[1]库存报告使用数据!$A$1:$C$65536,3,0),0)</f>
        <v>0</v>
      </c>
      <c r="AL217">
        <f>IFERROR(VLOOKUP($B217,[1]库存报告使用数据!$A$1:$D$65536,4,0),0)</f>
        <v>0</v>
      </c>
      <c r="AM217">
        <f>IFERROR(VLOOKUP($B217,[1]库存报告使用数据!$A$1:$E$65536,5,0),0)</f>
        <v>0</v>
      </c>
      <c r="AN217" s="23" t="str">
        <f t="shared" si="68"/>
        <v/>
      </c>
      <c r="AO217" s="23" t="str">
        <f t="shared" si="69"/>
        <v/>
      </c>
      <c r="AP217" s="23" t="str">
        <f t="shared" si="70"/>
        <v/>
      </c>
      <c r="AQ217" s="23" t="str">
        <f t="shared" si="71"/>
        <v/>
      </c>
      <c r="AR217" s="38">
        <f t="shared" si="56"/>
        <v>0</v>
      </c>
      <c r="AS217" s="38">
        <f t="shared" si="57"/>
        <v>0</v>
      </c>
      <c r="AT217" s="38">
        <f t="shared" si="58"/>
        <v>1</v>
      </c>
      <c r="AU217" s="33" t="str">
        <f t="shared" si="59"/>
        <v>库存为1</v>
      </c>
      <c r="AV217" s="39" t="str">
        <f>IFERROR(时间!$B$4+AU217,"上周无销量")</f>
        <v>上周无销量</v>
      </c>
    </row>
    <row r="218" spans="1:48">
      <c r="A218" s="35" t="s">
        <v>263</v>
      </c>
      <c r="B218" t="str">
        <f>VLOOKUP(A218,'[2]sku-asin（子）'!$A:$B,2,0)</f>
        <v>B074FSHJB3</v>
      </c>
      <c r="C218" t="str">
        <f>VLOOKUP(A218,'[2]子sku-父sku'!$A:$B,2,0)</f>
        <v>N87318K</v>
      </c>
      <c r="D218" s="33">
        <f>IFERROR(VLOOKUP(A218,[3]库存报告使用数据处理!$A:$C,3,0),0)</f>
        <v>0</v>
      </c>
      <c r="E218" s="33">
        <f>IFERROR(VLOOKUP(A218,[3]库存报告使用数据处理!$A:$D,4,0),0)</f>
        <v>0</v>
      </c>
      <c r="F218" s="33">
        <f>IFERROR(VLOOKUP(A218,[3]库存报告使用数据处理!$A:$E,5,0),0)</f>
        <v>0</v>
      </c>
      <c r="G218" s="33">
        <f>IFERROR(VLOOKUP(A218,[3]库存报告使用数据处理!$A:$F,6,0),0)</f>
        <v>0</v>
      </c>
      <c r="H218" s="34">
        <f>IFERROR(VLOOKUP(A218,[3]库存报告使用数据处理!$A:$G,7,0),0)</f>
        <v>0</v>
      </c>
      <c r="I218">
        <f>IFERROR(VLOOKUP(A218,[4]数据处理!$A:$B,2,0),0)</f>
        <v>1</v>
      </c>
      <c r="J218" s="36">
        <f>IFERROR(VLOOKUP(A218,[4]数据处理!$A:$D,4,0),0)</f>
        <v>0</v>
      </c>
      <c r="K218" s="36">
        <f>IFERROR(VLOOKUP(A218,[4]数据处理!$A:$E,5,0),0)</f>
        <v>0</v>
      </c>
      <c r="L218" s="36">
        <f>IFERROR(VLOOKUP(A218,[4]数据处理!$A:$G,7,0),0)</f>
        <v>0</v>
      </c>
      <c r="M218">
        <f t="shared" si="55"/>
        <v>1</v>
      </c>
      <c r="N218">
        <f>IFERROR(VLOOKUP(A218,[4]数据处理!$A:$C,3,0),0)</f>
        <v>0</v>
      </c>
      <c r="O218">
        <f>IFERROR(VLOOKUP($A218,[4]数据处理!$A:$N,14,0),0)</f>
        <v>1</v>
      </c>
      <c r="P218" t="str">
        <f>IFERROR(VLOOKUP($A218,[5]库存使用数据!$A:$B,2,0),"")</f>
        <v/>
      </c>
      <c r="Q218" t="str">
        <f>IFERROR(VLOOKUP($A218,[5]库存使用数据!$A:$E,5,0),"")</f>
        <v/>
      </c>
      <c r="R218" t="str">
        <f>IFERROR(VLOOKUP($A218,[5]库存使用数据!$A:$H,8,0),"")</f>
        <v/>
      </c>
      <c r="S218" t="str">
        <f>IFERROR(VLOOKUP($A218,[5]库存使用数据!$A:$K,11,0),"")</f>
        <v/>
      </c>
      <c r="T218" t="str">
        <f>IFERROR(VLOOKUP($A218,[5]库存使用数据!$A:$C,3,0),"")</f>
        <v/>
      </c>
      <c r="U218" t="str">
        <f>IFERROR(VLOOKUP($A218,[5]库存使用数据!$A:$F,6,0),"")</f>
        <v/>
      </c>
      <c r="V218" t="str">
        <f>IFERROR(VLOOKUP($A218,[5]库存使用数据!$A:$I,9,0),"")</f>
        <v/>
      </c>
      <c r="W218" t="str">
        <f>IFERROR(VLOOKUP($A218,[5]库存使用数据!$A:$L,12,0),"")</f>
        <v/>
      </c>
      <c r="X218" s="23" t="str">
        <f t="shared" si="60"/>
        <v/>
      </c>
      <c r="Y218" s="23" t="str">
        <f t="shared" si="61"/>
        <v/>
      </c>
      <c r="Z218" s="23" t="str">
        <f t="shared" si="62"/>
        <v/>
      </c>
      <c r="AA218" s="23" t="str">
        <f t="shared" si="63"/>
        <v/>
      </c>
      <c r="AB218" t="str">
        <f>IFERROR(VLOOKUP($A218,[5]库存使用数据!$A:$D,4,0),"")</f>
        <v/>
      </c>
      <c r="AC218" t="str">
        <f>IFERROR(VLOOKUP($A218,[5]库存使用数据!$A:$G,7,0),"")</f>
        <v/>
      </c>
      <c r="AD218" t="str">
        <f>IFERROR(VLOOKUP($A218,[5]库存使用数据!$A:$J,10,0),"")</f>
        <v/>
      </c>
      <c r="AE218" t="str">
        <f>IFERROR(VLOOKUP($A218,[5]库存使用数据!$A:$M,13,0),"")</f>
        <v/>
      </c>
      <c r="AF218" s="23" t="str">
        <f t="shared" si="64"/>
        <v/>
      </c>
      <c r="AG218" s="23" t="str">
        <f t="shared" si="65"/>
        <v/>
      </c>
      <c r="AH218" s="23" t="str">
        <f t="shared" si="66"/>
        <v/>
      </c>
      <c r="AI218" s="23" t="str">
        <f t="shared" si="67"/>
        <v/>
      </c>
      <c r="AJ218">
        <f>IFERROR(VLOOKUP($B218,[1]库存报告使用数据!$A$1:$B$65536,2,0),0)</f>
        <v>0</v>
      </c>
      <c r="AK218">
        <f>IFERROR(VLOOKUP($B218,[1]库存报告使用数据!$A$1:$C$65536,3,0),0)</f>
        <v>0</v>
      </c>
      <c r="AL218">
        <f>IFERROR(VLOOKUP($B218,[1]库存报告使用数据!$A$1:$D$65536,4,0),0)</f>
        <v>0</v>
      </c>
      <c r="AM218">
        <f>IFERROR(VLOOKUP($B218,[1]库存报告使用数据!$A$1:$E$65536,5,0),0)</f>
        <v>0</v>
      </c>
      <c r="AN218" s="23" t="str">
        <f t="shared" si="68"/>
        <v/>
      </c>
      <c r="AO218" s="23" t="str">
        <f t="shared" si="69"/>
        <v/>
      </c>
      <c r="AP218" s="23" t="str">
        <f t="shared" si="70"/>
        <v/>
      </c>
      <c r="AQ218" s="23" t="str">
        <f t="shared" si="71"/>
        <v/>
      </c>
      <c r="AR218" s="38">
        <f t="shared" si="56"/>
        <v>0</v>
      </c>
      <c r="AS218" s="38">
        <f t="shared" si="57"/>
        <v>0</v>
      </c>
      <c r="AT218" s="38">
        <f t="shared" si="58"/>
        <v>1</v>
      </c>
      <c r="AU218" s="33" t="str">
        <f t="shared" si="59"/>
        <v>库存为1</v>
      </c>
      <c r="AV218" s="39" t="str">
        <f>IFERROR(时间!$B$4+AU218,"上周无销量")</f>
        <v>上周无销量</v>
      </c>
    </row>
    <row r="219" spans="1:48">
      <c r="A219" s="35" t="s">
        <v>264</v>
      </c>
      <c r="B219" t="str">
        <f>VLOOKUP(A219,'[2]sku-asin（子）'!$A:$B,2,0)</f>
        <v>B074FX6ZGT</v>
      </c>
      <c r="C219" t="str">
        <f>VLOOKUP(A219,'[2]子sku-父sku'!$A:$B,2,0)</f>
        <v>N87318K</v>
      </c>
      <c r="D219" s="33">
        <f>IFERROR(VLOOKUP(A219,[3]库存报告使用数据处理!$A:$C,3,0),0)</f>
        <v>0</v>
      </c>
      <c r="E219" s="33">
        <f>IFERROR(VLOOKUP(A219,[3]库存报告使用数据处理!$A:$D,4,0),0)</f>
        <v>0</v>
      </c>
      <c r="F219" s="33">
        <f>IFERROR(VLOOKUP(A219,[3]库存报告使用数据处理!$A:$E,5,0),0)</f>
        <v>0</v>
      </c>
      <c r="G219" s="33">
        <f>IFERROR(VLOOKUP(A219,[3]库存报告使用数据处理!$A:$F,6,0),0)</f>
        <v>0</v>
      </c>
      <c r="H219" s="34">
        <f>IFERROR(VLOOKUP(A219,[3]库存报告使用数据处理!$A:$G,7,0),0)</f>
        <v>0</v>
      </c>
      <c r="I219">
        <f>IFERROR(VLOOKUP(A219,[4]数据处理!$A:$B,2,0),0)</f>
        <v>1</v>
      </c>
      <c r="J219" s="36">
        <f>IFERROR(VLOOKUP(A219,[4]数据处理!$A:$D,4,0),0)</f>
        <v>0</v>
      </c>
      <c r="K219" s="36">
        <f>IFERROR(VLOOKUP(A219,[4]数据处理!$A:$E,5,0),0)</f>
        <v>0</v>
      </c>
      <c r="L219" s="36">
        <f>IFERROR(VLOOKUP(A219,[4]数据处理!$A:$G,7,0),0)</f>
        <v>0</v>
      </c>
      <c r="M219">
        <f t="shared" si="55"/>
        <v>1</v>
      </c>
      <c r="N219">
        <f>IFERROR(VLOOKUP(A219,[4]数据处理!$A:$C,3,0),0)</f>
        <v>0</v>
      </c>
      <c r="O219">
        <f>IFERROR(VLOOKUP($A219,[4]数据处理!$A:$N,14,0),0)</f>
        <v>1</v>
      </c>
      <c r="P219" t="str">
        <f>IFERROR(VLOOKUP($A219,[5]库存使用数据!$A:$B,2,0),"")</f>
        <v/>
      </c>
      <c r="Q219" t="str">
        <f>IFERROR(VLOOKUP($A219,[5]库存使用数据!$A:$E,5,0),"")</f>
        <v/>
      </c>
      <c r="R219" t="str">
        <f>IFERROR(VLOOKUP($A219,[5]库存使用数据!$A:$H,8,0),"")</f>
        <v/>
      </c>
      <c r="S219" t="str">
        <f>IFERROR(VLOOKUP($A219,[5]库存使用数据!$A:$K,11,0),"")</f>
        <v/>
      </c>
      <c r="T219" t="str">
        <f>IFERROR(VLOOKUP($A219,[5]库存使用数据!$A:$C,3,0),"")</f>
        <v/>
      </c>
      <c r="U219" t="str">
        <f>IFERROR(VLOOKUP($A219,[5]库存使用数据!$A:$F,6,0),"")</f>
        <v/>
      </c>
      <c r="V219" t="str">
        <f>IFERROR(VLOOKUP($A219,[5]库存使用数据!$A:$I,9,0),"")</f>
        <v/>
      </c>
      <c r="W219" t="str">
        <f>IFERROR(VLOOKUP($A219,[5]库存使用数据!$A:$L,12,0),"")</f>
        <v/>
      </c>
      <c r="X219" s="23" t="str">
        <f t="shared" si="60"/>
        <v/>
      </c>
      <c r="Y219" s="23" t="str">
        <f t="shared" si="61"/>
        <v/>
      </c>
      <c r="Z219" s="23" t="str">
        <f t="shared" si="62"/>
        <v/>
      </c>
      <c r="AA219" s="23" t="str">
        <f t="shared" si="63"/>
        <v/>
      </c>
      <c r="AB219" t="str">
        <f>IFERROR(VLOOKUP($A219,[5]库存使用数据!$A:$D,4,0),"")</f>
        <v/>
      </c>
      <c r="AC219" t="str">
        <f>IFERROR(VLOOKUP($A219,[5]库存使用数据!$A:$G,7,0),"")</f>
        <v/>
      </c>
      <c r="AD219" t="str">
        <f>IFERROR(VLOOKUP($A219,[5]库存使用数据!$A:$J,10,0),"")</f>
        <v/>
      </c>
      <c r="AE219" t="str">
        <f>IFERROR(VLOOKUP($A219,[5]库存使用数据!$A:$M,13,0),"")</f>
        <v/>
      </c>
      <c r="AF219" s="23" t="str">
        <f t="shared" si="64"/>
        <v/>
      </c>
      <c r="AG219" s="23" t="str">
        <f t="shared" si="65"/>
        <v/>
      </c>
      <c r="AH219" s="23" t="str">
        <f t="shared" si="66"/>
        <v/>
      </c>
      <c r="AI219" s="23" t="str">
        <f t="shared" si="67"/>
        <v/>
      </c>
      <c r="AJ219">
        <f>IFERROR(VLOOKUP($B219,[1]库存报告使用数据!$A$1:$B$65536,2,0),0)</f>
        <v>0</v>
      </c>
      <c r="AK219">
        <f>IFERROR(VLOOKUP($B219,[1]库存报告使用数据!$A$1:$C$65536,3,0),0)</f>
        <v>0</v>
      </c>
      <c r="AL219">
        <f>IFERROR(VLOOKUP($B219,[1]库存报告使用数据!$A$1:$D$65536,4,0),0)</f>
        <v>0</v>
      </c>
      <c r="AM219">
        <f>IFERROR(VLOOKUP($B219,[1]库存报告使用数据!$A$1:$E$65536,5,0),0)</f>
        <v>0</v>
      </c>
      <c r="AN219" s="23" t="str">
        <f t="shared" si="68"/>
        <v/>
      </c>
      <c r="AO219" s="23" t="str">
        <f t="shared" si="69"/>
        <v/>
      </c>
      <c r="AP219" s="23" t="str">
        <f t="shared" si="70"/>
        <v/>
      </c>
      <c r="AQ219" s="23" t="str">
        <f t="shared" si="71"/>
        <v/>
      </c>
      <c r="AR219" s="38">
        <f t="shared" si="56"/>
        <v>0</v>
      </c>
      <c r="AS219" s="38">
        <f t="shared" si="57"/>
        <v>0</v>
      </c>
      <c r="AT219" s="38">
        <f t="shared" si="58"/>
        <v>1</v>
      </c>
      <c r="AU219" s="33" t="str">
        <f t="shared" si="59"/>
        <v>库存为1</v>
      </c>
      <c r="AV219" s="39" t="str">
        <f>IFERROR(时间!$B$4+AU219,"上周无销量")</f>
        <v>上周无销量</v>
      </c>
    </row>
    <row r="220" spans="1:48">
      <c r="A220" s="35" t="s">
        <v>265</v>
      </c>
      <c r="B220" t="str">
        <f>VLOOKUP(A220,'[2]sku-asin（子）'!$A:$B,2,0)</f>
        <v>B074FTBSZV</v>
      </c>
      <c r="C220" t="str">
        <f>VLOOKUP(A220,'[2]子sku-父sku'!$A:$B,2,0)</f>
        <v>N87319K</v>
      </c>
      <c r="D220" s="33">
        <f>IFERROR(VLOOKUP(A220,[3]库存报告使用数据处理!$A:$C,3,0),0)</f>
        <v>0</v>
      </c>
      <c r="E220" s="33">
        <f>IFERROR(VLOOKUP(A220,[3]库存报告使用数据处理!$A:$D,4,0),0)</f>
        <v>0</v>
      </c>
      <c r="F220" s="33">
        <f>IFERROR(VLOOKUP(A220,[3]库存报告使用数据处理!$A:$E,5,0),0)</f>
        <v>0</v>
      </c>
      <c r="G220" s="33">
        <f>IFERROR(VLOOKUP(A220,[3]库存报告使用数据处理!$A:$F,6,0),0)</f>
        <v>0</v>
      </c>
      <c r="H220" s="34">
        <f>IFERROR(VLOOKUP(A220,[3]库存报告使用数据处理!$A:$G,7,0),0)</f>
        <v>0</v>
      </c>
      <c r="I220">
        <f>IFERROR(VLOOKUP(A220,[4]数据处理!$A:$B,2,0),0)</f>
        <v>2</v>
      </c>
      <c r="J220" s="36">
        <f>IFERROR(VLOOKUP(A220,[4]数据处理!$A:$D,4,0),0)</f>
        <v>0</v>
      </c>
      <c r="K220" s="36">
        <f>IFERROR(VLOOKUP(A220,[4]数据处理!$A:$E,5,0),0)</f>
        <v>0</v>
      </c>
      <c r="L220" s="36">
        <f>IFERROR(VLOOKUP(A220,[4]数据处理!$A:$G,7,0),0)</f>
        <v>0</v>
      </c>
      <c r="M220">
        <f t="shared" si="55"/>
        <v>2</v>
      </c>
      <c r="N220">
        <f>IFERROR(VLOOKUP(A220,[4]数据处理!$A:$C,3,0),0)</f>
        <v>0</v>
      </c>
      <c r="O220">
        <f>IFERROR(VLOOKUP($A220,[4]数据处理!$A:$N,14,0),0)</f>
        <v>2</v>
      </c>
      <c r="P220" t="str">
        <f>IFERROR(VLOOKUP($A220,[5]库存使用数据!$A:$B,2,0),"")</f>
        <v/>
      </c>
      <c r="Q220" t="str">
        <f>IFERROR(VLOOKUP($A220,[5]库存使用数据!$A:$E,5,0),"")</f>
        <v/>
      </c>
      <c r="R220" t="str">
        <f>IFERROR(VLOOKUP($A220,[5]库存使用数据!$A:$H,8,0),"")</f>
        <v/>
      </c>
      <c r="S220" t="str">
        <f>IFERROR(VLOOKUP($A220,[5]库存使用数据!$A:$K,11,0),"")</f>
        <v/>
      </c>
      <c r="T220" t="str">
        <f>IFERROR(VLOOKUP($A220,[5]库存使用数据!$A:$C,3,0),"")</f>
        <v/>
      </c>
      <c r="U220" t="str">
        <f>IFERROR(VLOOKUP($A220,[5]库存使用数据!$A:$F,6,0),"")</f>
        <v/>
      </c>
      <c r="V220" t="str">
        <f>IFERROR(VLOOKUP($A220,[5]库存使用数据!$A:$I,9,0),"")</f>
        <v/>
      </c>
      <c r="W220" t="str">
        <f>IFERROR(VLOOKUP($A220,[5]库存使用数据!$A:$L,12,0),"")</f>
        <v/>
      </c>
      <c r="X220" s="23" t="str">
        <f t="shared" si="60"/>
        <v/>
      </c>
      <c r="Y220" s="23" t="str">
        <f t="shared" si="61"/>
        <v/>
      </c>
      <c r="Z220" s="23" t="str">
        <f t="shared" si="62"/>
        <v/>
      </c>
      <c r="AA220" s="23" t="str">
        <f t="shared" si="63"/>
        <v/>
      </c>
      <c r="AB220" t="str">
        <f>IFERROR(VLOOKUP($A220,[5]库存使用数据!$A:$D,4,0),"")</f>
        <v/>
      </c>
      <c r="AC220" t="str">
        <f>IFERROR(VLOOKUP($A220,[5]库存使用数据!$A:$G,7,0),"")</f>
        <v/>
      </c>
      <c r="AD220" t="str">
        <f>IFERROR(VLOOKUP($A220,[5]库存使用数据!$A:$J,10,0),"")</f>
        <v/>
      </c>
      <c r="AE220" t="str">
        <f>IFERROR(VLOOKUP($A220,[5]库存使用数据!$A:$M,13,0),"")</f>
        <v/>
      </c>
      <c r="AF220" s="23" t="str">
        <f t="shared" si="64"/>
        <v/>
      </c>
      <c r="AG220" s="23" t="str">
        <f t="shared" si="65"/>
        <v/>
      </c>
      <c r="AH220" s="23" t="str">
        <f t="shared" si="66"/>
        <v/>
      </c>
      <c r="AI220" s="23" t="str">
        <f t="shared" si="67"/>
        <v/>
      </c>
      <c r="AJ220">
        <f>IFERROR(VLOOKUP($B220,[1]库存报告使用数据!$A$1:$B$65536,2,0),0)</f>
        <v>0</v>
      </c>
      <c r="AK220">
        <f>IFERROR(VLOOKUP($B220,[1]库存报告使用数据!$A$1:$C$65536,3,0),0)</f>
        <v>0</v>
      </c>
      <c r="AL220">
        <f>IFERROR(VLOOKUP($B220,[1]库存报告使用数据!$A$1:$D$65536,4,0),0)</f>
        <v>0</v>
      </c>
      <c r="AM220">
        <f>IFERROR(VLOOKUP($B220,[1]库存报告使用数据!$A$1:$E$65536,5,0),0)</f>
        <v>0</v>
      </c>
      <c r="AN220" s="23" t="str">
        <f t="shared" si="68"/>
        <v/>
      </c>
      <c r="AO220" s="23" t="str">
        <f t="shared" si="69"/>
        <v/>
      </c>
      <c r="AP220" s="23" t="str">
        <f t="shared" si="70"/>
        <v/>
      </c>
      <c r="AQ220" s="23" t="str">
        <f t="shared" si="71"/>
        <v/>
      </c>
      <c r="AR220" s="38">
        <f t="shared" si="56"/>
        <v>0</v>
      </c>
      <c r="AS220" s="38">
        <f t="shared" si="57"/>
        <v>0</v>
      </c>
      <c r="AT220" s="38">
        <f t="shared" si="58"/>
        <v>2</v>
      </c>
      <c r="AU220" s="33" t="str">
        <f t="shared" si="59"/>
        <v>库存为2</v>
      </c>
      <c r="AV220" s="39" t="str">
        <f>IFERROR(时间!$B$4+AU220,"上周无销量")</f>
        <v>上周无销量</v>
      </c>
    </row>
    <row r="221" spans="1:48">
      <c r="A221" s="35" t="s">
        <v>266</v>
      </c>
      <c r="B221" t="str">
        <f>VLOOKUP(A221,'[2]sku-asin（子）'!$A:$B,2,0)</f>
        <v>B074FSD3R1</v>
      </c>
      <c r="C221" t="str">
        <f>VLOOKUP(A221,'[2]子sku-父sku'!$A:$B,2,0)</f>
        <v>N87319K</v>
      </c>
      <c r="D221" s="33">
        <f>IFERROR(VLOOKUP(A221,[3]库存报告使用数据处理!$A:$C,3,0),0)</f>
        <v>0</v>
      </c>
      <c r="E221" s="33">
        <f>IFERROR(VLOOKUP(A221,[3]库存报告使用数据处理!$A:$D,4,0),0)</f>
        <v>1</v>
      </c>
      <c r="F221" s="33">
        <f>IFERROR(VLOOKUP(A221,[3]库存报告使用数据处理!$A:$E,5,0),0)</f>
        <v>0</v>
      </c>
      <c r="G221" s="33">
        <f>IFERROR(VLOOKUP(A221,[3]库存报告使用数据处理!$A:$F,6,0),0)</f>
        <v>0</v>
      </c>
      <c r="H221" s="34">
        <f>IFERROR(VLOOKUP(A221,[3]库存报告使用数据处理!$A:$G,7,0),0)</f>
        <v>4.45</v>
      </c>
      <c r="I221">
        <f>IFERROR(VLOOKUP(A221,[4]数据处理!$A:$B,2,0),0)</f>
        <v>0</v>
      </c>
      <c r="J221" s="36">
        <f>IFERROR(VLOOKUP(A221,[4]数据处理!$A:$D,4,0),0)</f>
        <v>0</v>
      </c>
      <c r="K221" s="36">
        <f>IFERROR(VLOOKUP(A221,[4]数据处理!$A:$E,5,0),0)</f>
        <v>0</v>
      </c>
      <c r="L221" s="36">
        <f>IFERROR(VLOOKUP(A221,[4]数据处理!$A:$G,7,0),0)</f>
        <v>0</v>
      </c>
      <c r="M221">
        <f t="shared" si="55"/>
        <v>0</v>
      </c>
      <c r="N221">
        <f>IFERROR(VLOOKUP(A221,[4]数据处理!$A:$C,3,0),0)</f>
        <v>0</v>
      </c>
      <c r="O221">
        <f>IFERROR(VLOOKUP($A221,[4]数据处理!$A:$N,14,0),0)</f>
        <v>0</v>
      </c>
      <c r="P221" t="str">
        <f>IFERROR(VLOOKUP($A221,[5]库存使用数据!$A:$B,2,0),"")</f>
        <v/>
      </c>
      <c r="Q221" t="str">
        <f>IFERROR(VLOOKUP($A221,[5]库存使用数据!$A:$E,5,0),"")</f>
        <v/>
      </c>
      <c r="R221" t="str">
        <f>IFERROR(VLOOKUP($A221,[5]库存使用数据!$A:$H,8,0),"")</f>
        <v/>
      </c>
      <c r="S221" t="str">
        <f>IFERROR(VLOOKUP($A221,[5]库存使用数据!$A:$K,11,0),"")</f>
        <v/>
      </c>
      <c r="T221" t="str">
        <f>IFERROR(VLOOKUP($A221,[5]库存使用数据!$A:$C,3,0),"")</f>
        <v/>
      </c>
      <c r="U221" t="str">
        <f>IFERROR(VLOOKUP($A221,[5]库存使用数据!$A:$F,6,0),"")</f>
        <v/>
      </c>
      <c r="V221" t="str">
        <f>IFERROR(VLOOKUP($A221,[5]库存使用数据!$A:$I,9,0),"")</f>
        <v/>
      </c>
      <c r="W221" t="str">
        <f>IFERROR(VLOOKUP($A221,[5]库存使用数据!$A:$L,12,0),"")</f>
        <v/>
      </c>
      <c r="X221" s="23" t="str">
        <f t="shared" si="60"/>
        <v/>
      </c>
      <c r="Y221" s="23" t="str">
        <f t="shared" si="61"/>
        <v/>
      </c>
      <c r="Z221" s="23" t="str">
        <f t="shared" si="62"/>
        <v/>
      </c>
      <c r="AA221" s="23" t="str">
        <f t="shared" si="63"/>
        <v/>
      </c>
      <c r="AB221" t="str">
        <f>IFERROR(VLOOKUP($A221,[5]库存使用数据!$A:$D,4,0),"")</f>
        <v/>
      </c>
      <c r="AC221" t="str">
        <f>IFERROR(VLOOKUP($A221,[5]库存使用数据!$A:$G,7,0),"")</f>
        <v/>
      </c>
      <c r="AD221" t="str">
        <f>IFERROR(VLOOKUP($A221,[5]库存使用数据!$A:$J,10,0),"")</f>
        <v/>
      </c>
      <c r="AE221" t="str">
        <f>IFERROR(VLOOKUP($A221,[5]库存使用数据!$A:$M,13,0),"")</f>
        <v/>
      </c>
      <c r="AF221" s="23" t="str">
        <f t="shared" si="64"/>
        <v/>
      </c>
      <c r="AG221" s="23" t="str">
        <f t="shared" si="65"/>
        <v/>
      </c>
      <c r="AH221" s="23" t="str">
        <f t="shared" si="66"/>
        <v/>
      </c>
      <c r="AI221" s="23" t="str">
        <f t="shared" si="67"/>
        <v/>
      </c>
      <c r="AJ221">
        <f>IFERROR(VLOOKUP($B221,[1]库存报告使用数据!$A$1:$B$65536,2,0),0)</f>
        <v>0</v>
      </c>
      <c r="AK221">
        <f>IFERROR(VLOOKUP($B221,[1]库存报告使用数据!$A$1:$C$65536,3,0),0)</f>
        <v>0</v>
      </c>
      <c r="AL221">
        <f>IFERROR(VLOOKUP($B221,[1]库存报告使用数据!$A$1:$D$65536,4,0),0)</f>
        <v>0</v>
      </c>
      <c r="AM221">
        <f>IFERROR(VLOOKUP($B221,[1]库存报告使用数据!$A$1:$E$65536,5,0),0)</f>
        <v>0</v>
      </c>
      <c r="AN221" s="23" t="str">
        <f t="shared" si="68"/>
        <v/>
      </c>
      <c r="AO221" s="23" t="str">
        <f t="shared" si="69"/>
        <v/>
      </c>
      <c r="AP221" s="23" t="str">
        <f t="shared" si="70"/>
        <v/>
      </c>
      <c r="AQ221" s="23" t="str">
        <f t="shared" si="71"/>
        <v/>
      </c>
      <c r="AR221" s="38">
        <f t="shared" si="56"/>
        <v>0</v>
      </c>
      <c r="AS221" s="38">
        <f t="shared" si="57"/>
        <v>0</v>
      </c>
      <c r="AT221" s="38">
        <f t="shared" si="58"/>
        <v>0</v>
      </c>
      <c r="AU221" s="33" t="str">
        <f t="shared" si="59"/>
        <v>库存为0</v>
      </c>
      <c r="AV221" s="39" t="str">
        <f>IFERROR(时间!$B$4+AU221,"上周无销量")</f>
        <v>上周无销量</v>
      </c>
    </row>
    <row r="222" spans="1:48">
      <c r="A222" s="35" t="s">
        <v>267</v>
      </c>
      <c r="B222" t="str">
        <f>VLOOKUP(A222,'[2]sku-asin（子）'!$A:$B,2,0)</f>
        <v>B074FYGSKY</v>
      </c>
      <c r="C222" t="str">
        <f>VLOOKUP(A222,'[2]子sku-父sku'!$A:$B,2,0)</f>
        <v>N87319K</v>
      </c>
      <c r="D222" s="33">
        <f>IFERROR(VLOOKUP(A222,[3]库存报告使用数据处理!$A:$C,3,0),0)</f>
        <v>0</v>
      </c>
      <c r="E222" s="33">
        <f>IFERROR(VLOOKUP(A222,[3]库存报告使用数据处理!$A:$D,4,0),0)</f>
        <v>0</v>
      </c>
      <c r="F222" s="33">
        <f>IFERROR(VLOOKUP(A222,[3]库存报告使用数据处理!$A:$E,5,0),0)</f>
        <v>0</v>
      </c>
      <c r="G222" s="33">
        <f>IFERROR(VLOOKUP(A222,[3]库存报告使用数据处理!$A:$F,6,0),0)</f>
        <v>0</v>
      </c>
      <c r="H222" s="34">
        <f>IFERROR(VLOOKUP(A222,[3]库存报告使用数据处理!$A:$G,7,0),0)</f>
        <v>0</v>
      </c>
      <c r="I222">
        <f>IFERROR(VLOOKUP(A222,[4]数据处理!$A:$B,2,0),0)</f>
        <v>2</v>
      </c>
      <c r="J222" s="36">
        <f>IFERROR(VLOOKUP(A222,[4]数据处理!$A:$D,4,0),0)</f>
        <v>0</v>
      </c>
      <c r="K222" s="36">
        <f>IFERROR(VLOOKUP(A222,[4]数据处理!$A:$E,5,0),0)</f>
        <v>0</v>
      </c>
      <c r="L222" s="36">
        <f>IFERROR(VLOOKUP(A222,[4]数据处理!$A:$G,7,0),0)</f>
        <v>0</v>
      </c>
      <c r="M222">
        <f t="shared" si="55"/>
        <v>2</v>
      </c>
      <c r="N222">
        <f>IFERROR(VLOOKUP(A222,[4]数据处理!$A:$C,3,0),0)</f>
        <v>0</v>
      </c>
      <c r="O222">
        <f>IFERROR(VLOOKUP($A222,[4]数据处理!$A:$N,14,0),0)</f>
        <v>2</v>
      </c>
      <c r="P222" t="str">
        <f>IFERROR(VLOOKUP($A222,[5]库存使用数据!$A:$B,2,0),"")</f>
        <v/>
      </c>
      <c r="Q222" t="str">
        <f>IFERROR(VLOOKUP($A222,[5]库存使用数据!$A:$E,5,0),"")</f>
        <v/>
      </c>
      <c r="R222" t="str">
        <f>IFERROR(VLOOKUP($A222,[5]库存使用数据!$A:$H,8,0),"")</f>
        <v/>
      </c>
      <c r="S222" t="str">
        <f>IFERROR(VLOOKUP($A222,[5]库存使用数据!$A:$K,11,0),"")</f>
        <v/>
      </c>
      <c r="T222" t="str">
        <f>IFERROR(VLOOKUP($A222,[5]库存使用数据!$A:$C,3,0),"")</f>
        <v/>
      </c>
      <c r="U222" t="str">
        <f>IFERROR(VLOOKUP($A222,[5]库存使用数据!$A:$F,6,0),"")</f>
        <v/>
      </c>
      <c r="V222" t="str">
        <f>IFERROR(VLOOKUP($A222,[5]库存使用数据!$A:$I,9,0),"")</f>
        <v/>
      </c>
      <c r="W222" t="str">
        <f>IFERROR(VLOOKUP($A222,[5]库存使用数据!$A:$L,12,0),"")</f>
        <v/>
      </c>
      <c r="X222" s="23" t="str">
        <f t="shared" si="60"/>
        <v/>
      </c>
      <c r="Y222" s="23" t="str">
        <f t="shared" si="61"/>
        <v/>
      </c>
      <c r="Z222" s="23" t="str">
        <f t="shared" si="62"/>
        <v/>
      </c>
      <c r="AA222" s="23" t="str">
        <f t="shared" si="63"/>
        <v/>
      </c>
      <c r="AB222" t="str">
        <f>IFERROR(VLOOKUP($A222,[5]库存使用数据!$A:$D,4,0),"")</f>
        <v/>
      </c>
      <c r="AC222" t="str">
        <f>IFERROR(VLOOKUP($A222,[5]库存使用数据!$A:$G,7,0),"")</f>
        <v/>
      </c>
      <c r="AD222" t="str">
        <f>IFERROR(VLOOKUP($A222,[5]库存使用数据!$A:$J,10,0),"")</f>
        <v/>
      </c>
      <c r="AE222" t="str">
        <f>IFERROR(VLOOKUP($A222,[5]库存使用数据!$A:$M,13,0),"")</f>
        <v/>
      </c>
      <c r="AF222" s="23" t="str">
        <f t="shared" si="64"/>
        <v/>
      </c>
      <c r="AG222" s="23" t="str">
        <f t="shared" si="65"/>
        <v/>
      </c>
      <c r="AH222" s="23" t="str">
        <f t="shared" si="66"/>
        <v/>
      </c>
      <c r="AI222" s="23" t="str">
        <f t="shared" si="67"/>
        <v/>
      </c>
      <c r="AJ222">
        <f>IFERROR(VLOOKUP($B222,[1]库存报告使用数据!$A$1:$B$65536,2,0),0)</f>
        <v>0</v>
      </c>
      <c r="AK222">
        <f>IFERROR(VLOOKUP($B222,[1]库存报告使用数据!$A$1:$C$65536,3,0),0)</f>
        <v>0</v>
      </c>
      <c r="AL222">
        <f>IFERROR(VLOOKUP($B222,[1]库存报告使用数据!$A$1:$D$65536,4,0),0)</f>
        <v>0</v>
      </c>
      <c r="AM222">
        <f>IFERROR(VLOOKUP($B222,[1]库存报告使用数据!$A$1:$E$65536,5,0),0)</f>
        <v>0</v>
      </c>
      <c r="AN222" s="23" t="str">
        <f t="shared" si="68"/>
        <v/>
      </c>
      <c r="AO222" s="23" t="str">
        <f t="shared" si="69"/>
        <v/>
      </c>
      <c r="AP222" s="23" t="str">
        <f t="shared" si="70"/>
        <v/>
      </c>
      <c r="AQ222" s="23" t="str">
        <f t="shared" si="71"/>
        <v/>
      </c>
      <c r="AR222" s="38">
        <f t="shared" si="56"/>
        <v>0</v>
      </c>
      <c r="AS222" s="38">
        <f t="shared" si="57"/>
        <v>0</v>
      </c>
      <c r="AT222" s="38">
        <f t="shared" si="58"/>
        <v>2</v>
      </c>
      <c r="AU222" s="33" t="str">
        <f t="shared" si="59"/>
        <v>库存为2</v>
      </c>
      <c r="AV222" s="39" t="str">
        <f>IFERROR(时间!$B$4+AU222,"上周无销量")</f>
        <v>上周无销量</v>
      </c>
    </row>
    <row r="223" spans="1:48">
      <c r="A223" s="35" t="s">
        <v>268</v>
      </c>
      <c r="B223" t="str">
        <f>VLOOKUP(A223,'[2]sku-asin（子）'!$A:$B,2,0)</f>
        <v>B074FZKWPJ</v>
      </c>
      <c r="C223" t="str">
        <f>VLOOKUP(A223,'[2]子sku-父sku'!$A:$B,2,0)</f>
        <v>N87319K</v>
      </c>
      <c r="D223" s="33">
        <f>IFERROR(VLOOKUP(A223,[3]库存报告使用数据处理!$A:$C,3,0),0)</f>
        <v>0</v>
      </c>
      <c r="E223" s="33">
        <f>IFERROR(VLOOKUP(A223,[3]库存报告使用数据处理!$A:$D,4,0),0)</f>
        <v>0</v>
      </c>
      <c r="F223" s="33">
        <f>IFERROR(VLOOKUP(A223,[3]库存报告使用数据处理!$A:$E,5,0),0)</f>
        <v>0</v>
      </c>
      <c r="G223" s="33">
        <f>IFERROR(VLOOKUP(A223,[3]库存报告使用数据处理!$A:$F,6,0),0)</f>
        <v>0</v>
      </c>
      <c r="H223" s="34">
        <f>IFERROR(VLOOKUP(A223,[3]库存报告使用数据处理!$A:$G,7,0),0)</f>
        <v>0</v>
      </c>
      <c r="I223">
        <f>IFERROR(VLOOKUP(A223,[4]数据处理!$A:$B,2,0),0)</f>
        <v>3</v>
      </c>
      <c r="J223" s="36">
        <f>IFERROR(VLOOKUP(A223,[4]数据处理!$A:$D,4,0),0)</f>
        <v>0</v>
      </c>
      <c r="K223" s="36">
        <f>IFERROR(VLOOKUP(A223,[4]数据处理!$A:$E,5,0),0)</f>
        <v>0</v>
      </c>
      <c r="L223" s="36">
        <f>IFERROR(VLOOKUP(A223,[4]数据处理!$A:$G,7,0),0)</f>
        <v>0</v>
      </c>
      <c r="M223">
        <f t="shared" si="55"/>
        <v>3</v>
      </c>
      <c r="N223">
        <f>IFERROR(VLOOKUP(A223,[4]数据处理!$A:$C,3,0),0)</f>
        <v>0</v>
      </c>
      <c r="O223">
        <f>IFERROR(VLOOKUP($A223,[4]数据处理!$A:$N,14,0),0)</f>
        <v>3</v>
      </c>
      <c r="P223">
        <f>IFERROR(VLOOKUP($A223,[5]库存使用数据!$A:$B,2,0),"")</f>
        <v>53</v>
      </c>
      <c r="Q223">
        <f>IFERROR(VLOOKUP($A223,[5]库存使用数据!$A:$E,5,0),"")</f>
        <v>51</v>
      </c>
      <c r="R223">
        <f>IFERROR(VLOOKUP($A223,[5]库存使用数据!$A:$H,8,0),"")</f>
        <v>49</v>
      </c>
      <c r="S223">
        <f>IFERROR(VLOOKUP($A223,[5]库存使用数据!$A:$K,11,0),"")</f>
        <v>28</v>
      </c>
      <c r="T223">
        <f>IFERROR(VLOOKUP($A223,[5]库存使用数据!$A:$C,3,0),"")</f>
        <v>0</v>
      </c>
      <c r="U223">
        <f>IFERROR(VLOOKUP($A223,[5]库存使用数据!$A:$F,6,0),"")</f>
        <v>1</v>
      </c>
      <c r="V223">
        <f>IFERROR(VLOOKUP($A223,[5]库存使用数据!$A:$I,9,0),"")</f>
        <v>0</v>
      </c>
      <c r="W223">
        <f>IFERROR(VLOOKUP($A223,[5]库存使用数据!$A:$L,12,0),"")</f>
        <v>0</v>
      </c>
      <c r="X223" s="23">
        <f t="shared" si="60"/>
        <v>0</v>
      </c>
      <c r="Y223" s="23">
        <f t="shared" si="61"/>
        <v>0.0196078431372549</v>
      </c>
      <c r="Z223" s="23">
        <f t="shared" si="62"/>
        <v>0</v>
      </c>
      <c r="AA223" s="23">
        <f t="shared" si="63"/>
        <v>0</v>
      </c>
      <c r="AB223">
        <f>IFERROR(VLOOKUP($A223,[5]库存使用数据!$A:$D,4,0),"")</f>
        <v>0</v>
      </c>
      <c r="AC223">
        <f>IFERROR(VLOOKUP($A223,[5]库存使用数据!$A:$G,7,0),"")</f>
        <v>0.41</v>
      </c>
      <c r="AD223">
        <f>IFERROR(VLOOKUP($A223,[5]库存使用数据!$A:$J,10,0),"")</f>
        <v>0</v>
      </c>
      <c r="AE223">
        <f>IFERROR(VLOOKUP($A223,[5]库存使用数据!$A:$M,13,0),"")</f>
        <v>0</v>
      </c>
      <c r="AF223" s="23" t="str">
        <f t="shared" si="64"/>
        <v/>
      </c>
      <c r="AG223" s="23" t="str">
        <f t="shared" si="65"/>
        <v>无销量广告费为0.41</v>
      </c>
      <c r="AH223" s="23" t="str">
        <f t="shared" si="66"/>
        <v/>
      </c>
      <c r="AI223" s="23" t="str">
        <f t="shared" si="67"/>
        <v/>
      </c>
      <c r="AJ223">
        <f>IFERROR(VLOOKUP($B223,[1]库存报告使用数据!$A$1:$B$65536,2,0),0)</f>
        <v>2</v>
      </c>
      <c r="AK223">
        <f>IFERROR(VLOOKUP($B223,[1]库存报告使用数据!$A$1:$C$65536,3,0),0)</f>
        <v>2</v>
      </c>
      <c r="AL223">
        <f>IFERROR(VLOOKUP($B223,[1]库存报告使用数据!$A$1:$D$65536,4,0),0)</f>
        <v>3</v>
      </c>
      <c r="AM223">
        <f>IFERROR(VLOOKUP($B223,[1]库存报告使用数据!$A$1:$E$65536,5,0),0)</f>
        <v>1</v>
      </c>
      <c r="AN223" s="23">
        <f t="shared" si="68"/>
        <v>0</v>
      </c>
      <c r="AO223" s="23">
        <f t="shared" si="69"/>
        <v>0</v>
      </c>
      <c r="AP223" s="23">
        <f t="shared" si="70"/>
        <v>0</v>
      </c>
      <c r="AQ223" s="23">
        <f t="shared" si="71"/>
        <v>0</v>
      </c>
      <c r="AR223" s="38">
        <f t="shared" si="56"/>
        <v>0</v>
      </c>
      <c r="AS223" s="38">
        <f t="shared" si="57"/>
        <v>0</v>
      </c>
      <c r="AT223" s="38">
        <f t="shared" si="58"/>
        <v>3</v>
      </c>
      <c r="AU223" s="33" t="str">
        <f t="shared" si="59"/>
        <v>库存为3</v>
      </c>
      <c r="AV223" s="39" t="str">
        <f>IFERROR(时间!$B$4+AU223,"上周无销量")</f>
        <v>上周无销量</v>
      </c>
    </row>
    <row r="224" spans="1:48">
      <c r="A224" s="35" t="s">
        <v>269</v>
      </c>
      <c r="B224" t="str">
        <f>VLOOKUP(A224,'[2]sku-asin（子）'!$A:$B,2,0)</f>
        <v>B074FRC3TW</v>
      </c>
      <c r="C224" t="str">
        <f>VLOOKUP(A224,'[2]子sku-父sku'!$A:$B,2,0)</f>
        <v>N87319K</v>
      </c>
      <c r="D224" s="33">
        <f>IFERROR(VLOOKUP(A224,[3]库存报告使用数据处理!$A:$C,3,0),0)</f>
        <v>0</v>
      </c>
      <c r="E224" s="33">
        <f>IFERROR(VLOOKUP(A224,[3]库存报告使用数据处理!$A:$D,4,0),0)</f>
        <v>0</v>
      </c>
      <c r="F224" s="33">
        <f>IFERROR(VLOOKUP(A224,[3]库存报告使用数据处理!$A:$E,5,0),0)</f>
        <v>0</v>
      </c>
      <c r="G224" s="33">
        <f>IFERROR(VLOOKUP(A224,[3]库存报告使用数据处理!$A:$F,6,0),0)</f>
        <v>0</v>
      </c>
      <c r="H224" s="34">
        <f>IFERROR(VLOOKUP(A224,[3]库存报告使用数据处理!$A:$G,7,0),0)</f>
        <v>0</v>
      </c>
      <c r="I224">
        <f>IFERROR(VLOOKUP(A224,[4]数据处理!$A:$B,2,0),0)</f>
        <v>3</v>
      </c>
      <c r="J224" s="36">
        <f>IFERROR(VLOOKUP(A224,[4]数据处理!$A:$D,4,0),0)</f>
        <v>0</v>
      </c>
      <c r="K224" s="36">
        <f>IFERROR(VLOOKUP(A224,[4]数据处理!$A:$E,5,0),0)</f>
        <v>0</v>
      </c>
      <c r="L224" s="36">
        <f>IFERROR(VLOOKUP(A224,[4]数据处理!$A:$G,7,0),0)</f>
        <v>0</v>
      </c>
      <c r="M224">
        <f t="shared" si="55"/>
        <v>3</v>
      </c>
      <c r="N224">
        <f>IFERROR(VLOOKUP(A224,[4]数据处理!$A:$C,3,0),0)</f>
        <v>0</v>
      </c>
      <c r="O224">
        <f>IFERROR(VLOOKUP($A224,[4]数据处理!$A:$N,14,0),0)</f>
        <v>2</v>
      </c>
      <c r="P224">
        <f>IFERROR(VLOOKUP($A224,[5]库存使用数据!$A:$B,2,0),"")</f>
        <v>360</v>
      </c>
      <c r="Q224">
        <f>IFERROR(VLOOKUP($A224,[5]库存使用数据!$A:$E,5,0),"")</f>
        <v>461</v>
      </c>
      <c r="R224">
        <f>IFERROR(VLOOKUP($A224,[5]库存使用数据!$A:$H,8,0),"")</f>
        <v>488</v>
      </c>
      <c r="S224">
        <f>IFERROR(VLOOKUP($A224,[5]库存使用数据!$A:$K,11,0),"")</f>
        <v>177</v>
      </c>
      <c r="T224">
        <f>IFERROR(VLOOKUP($A224,[5]库存使用数据!$A:$C,3,0),"")</f>
        <v>1</v>
      </c>
      <c r="U224">
        <f>IFERROR(VLOOKUP($A224,[5]库存使用数据!$A:$F,6,0),"")</f>
        <v>1</v>
      </c>
      <c r="V224">
        <f>IFERROR(VLOOKUP($A224,[5]库存使用数据!$A:$I,9,0),"")</f>
        <v>1</v>
      </c>
      <c r="W224">
        <f>IFERROR(VLOOKUP($A224,[5]库存使用数据!$A:$L,12,0),"")</f>
        <v>0</v>
      </c>
      <c r="X224" s="23">
        <f t="shared" si="60"/>
        <v>0.00277777777777778</v>
      </c>
      <c r="Y224" s="23">
        <f t="shared" si="61"/>
        <v>0.00216919739696312</v>
      </c>
      <c r="Z224" s="23">
        <f t="shared" si="62"/>
        <v>0.00204918032786885</v>
      </c>
      <c r="AA224" s="23">
        <f t="shared" si="63"/>
        <v>0</v>
      </c>
      <c r="AB224">
        <f>IFERROR(VLOOKUP($A224,[5]库存使用数据!$A:$D,4,0),"")</f>
        <v>0.23</v>
      </c>
      <c r="AC224">
        <f>IFERROR(VLOOKUP($A224,[5]库存使用数据!$A:$G,7,0),"")</f>
        <v>0.39</v>
      </c>
      <c r="AD224">
        <f>IFERROR(VLOOKUP($A224,[5]库存使用数据!$A:$J,10,0),"")</f>
        <v>0.27</v>
      </c>
      <c r="AE224">
        <f>IFERROR(VLOOKUP($A224,[5]库存使用数据!$A:$M,13,0),"")</f>
        <v>0</v>
      </c>
      <c r="AF224" s="23" t="str">
        <f t="shared" si="64"/>
        <v>无销量广告费为0.23</v>
      </c>
      <c r="AG224" s="23" t="str">
        <f t="shared" si="65"/>
        <v>无销量广告费为0.39</v>
      </c>
      <c r="AH224" s="23" t="str">
        <f t="shared" si="66"/>
        <v>无销量广告费为0.27</v>
      </c>
      <c r="AI224" s="23" t="str">
        <f t="shared" si="67"/>
        <v/>
      </c>
      <c r="AJ224">
        <f>IFERROR(VLOOKUP($B224,[1]库存报告使用数据!$A$1:$B$65536,2,0),0)</f>
        <v>1</v>
      </c>
      <c r="AK224">
        <f>IFERROR(VLOOKUP($B224,[1]库存报告使用数据!$A$1:$C$65536,3,0),0)</f>
        <v>2</v>
      </c>
      <c r="AL224">
        <f>IFERROR(VLOOKUP($B224,[1]库存报告使用数据!$A$1:$D$65536,4,0),0)</f>
        <v>1</v>
      </c>
      <c r="AM224">
        <f>IFERROR(VLOOKUP($B224,[1]库存报告使用数据!$A$1:$E$65536,5,0),0)</f>
        <v>0</v>
      </c>
      <c r="AN224" s="23">
        <f t="shared" si="68"/>
        <v>0</v>
      </c>
      <c r="AO224" s="23">
        <f t="shared" si="69"/>
        <v>0</v>
      </c>
      <c r="AP224" s="23">
        <f t="shared" si="70"/>
        <v>0</v>
      </c>
      <c r="AQ224" s="23" t="str">
        <f t="shared" si="71"/>
        <v/>
      </c>
      <c r="AR224" s="38">
        <f t="shared" si="56"/>
        <v>0</v>
      </c>
      <c r="AS224" s="38">
        <f t="shared" si="57"/>
        <v>0</v>
      </c>
      <c r="AT224" s="38">
        <f t="shared" si="58"/>
        <v>3</v>
      </c>
      <c r="AU224" s="33" t="str">
        <f t="shared" si="59"/>
        <v>库存为3</v>
      </c>
      <c r="AV224" s="39" t="str">
        <f>IFERROR(时间!$B$4+AU224,"上周无销量")</f>
        <v>上周无销量</v>
      </c>
    </row>
    <row r="225" spans="1:48">
      <c r="A225" s="35" t="s">
        <v>270</v>
      </c>
      <c r="B225" t="str">
        <f>VLOOKUP(A225,'[2]sku-asin（子）'!$A:$B,2,0)</f>
        <v>B074FTJ6WL</v>
      </c>
      <c r="C225" t="str">
        <f>VLOOKUP(A225,'[2]子sku-父sku'!$A:$B,2,0)</f>
        <v>N87319K</v>
      </c>
      <c r="D225" s="33">
        <f>IFERROR(VLOOKUP(A225,[3]库存报告使用数据处理!$A:$C,3,0),0)</f>
        <v>0</v>
      </c>
      <c r="E225" s="33">
        <f>IFERROR(VLOOKUP(A225,[3]库存报告使用数据处理!$A:$D,4,0),0)</f>
        <v>0</v>
      </c>
      <c r="F225" s="33">
        <f>IFERROR(VLOOKUP(A225,[3]库存报告使用数据处理!$A:$E,5,0),0)</f>
        <v>0</v>
      </c>
      <c r="G225" s="33">
        <f>IFERROR(VLOOKUP(A225,[3]库存报告使用数据处理!$A:$F,6,0),0)</f>
        <v>0</v>
      </c>
      <c r="H225" s="34">
        <f>IFERROR(VLOOKUP(A225,[3]库存报告使用数据处理!$A:$G,7,0),0)</f>
        <v>0</v>
      </c>
      <c r="I225">
        <f>IFERROR(VLOOKUP(A225,[4]数据处理!$A:$B,2,0),0)</f>
        <v>0</v>
      </c>
      <c r="J225" s="36">
        <f>IFERROR(VLOOKUP(A225,[4]数据处理!$A:$D,4,0),0)</f>
        <v>0</v>
      </c>
      <c r="K225" s="36">
        <f>IFERROR(VLOOKUP(A225,[4]数据处理!$A:$E,5,0),0)</f>
        <v>0</v>
      </c>
      <c r="L225" s="36">
        <f>IFERROR(VLOOKUP(A225,[4]数据处理!$A:$G,7,0),0)</f>
        <v>0</v>
      </c>
      <c r="M225">
        <f t="shared" si="55"/>
        <v>0</v>
      </c>
      <c r="N225">
        <f>IFERROR(VLOOKUP(A225,[4]数据处理!$A:$C,3,0),0)</f>
        <v>0</v>
      </c>
      <c r="O225">
        <f>IFERROR(VLOOKUP($A225,[4]数据处理!$A:$N,14,0),0)</f>
        <v>0</v>
      </c>
      <c r="P225" t="str">
        <f>IFERROR(VLOOKUP($A225,[5]库存使用数据!$A:$B,2,0),"")</f>
        <v/>
      </c>
      <c r="Q225" t="str">
        <f>IFERROR(VLOOKUP($A225,[5]库存使用数据!$A:$E,5,0),"")</f>
        <v/>
      </c>
      <c r="R225" t="str">
        <f>IFERROR(VLOOKUP($A225,[5]库存使用数据!$A:$H,8,0),"")</f>
        <v/>
      </c>
      <c r="S225" t="str">
        <f>IFERROR(VLOOKUP($A225,[5]库存使用数据!$A:$K,11,0),"")</f>
        <v/>
      </c>
      <c r="T225" t="str">
        <f>IFERROR(VLOOKUP($A225,[5]库存使用数据!$A:$C,3,0),"")</f>
        <v/>
      </c>
      <c r="U225" t="str">
        <f>IFERROR(VLOOKUP($A225,[5]库存使用数据!$A:$F,6,0),"")</f>
        <v/>
      </c>
      <c r="V225" t="str">
        <f>IFERROR(VLOOKUP($A225,[5]库存使用数据!$A:$I,9,0),"")</f>
        <v/>
      </c>
      <c r="W225" t="str">
        <f>IFERROR(VLOOKUP($A225,[5]库存使用数据!$A:$L,12,0),"")</f>
        <v/>
      </c>
      <c r="X225" s="23" t="str">
        <f t="shared" si="60"/>
        <v/>
      </c>
      <c r="Y225" s="23" t="str">
        <f t="shared" si="61"/>
        <v/>
      </c>
      <c r="Z225" s="23" t="str">
        <f t="shared" si="62"/>
        <v/>
      </c>
      <c r="AA225" s="23" t="str">
        <f t="shared" si="63"/>
        <v/>
      </c>
      <c r="AB225" t="str">
        <f>IFERROR(VLOOKUP($A225,[5]库存使用数据!$A:$D,4,0),"")</f>
        <v/>
      </c>
      <c r="AC225" t="str">
        <f>IFERROR(VLOOKUP($A225,[5]库存使用数据!$A:$G,7,0),"")</f>
        <v/>
      </c>
      <c r="AD225" t="str">
        <f>IFERROR(VLOOKUP($A225,[5]库存使用数据!$A:$J,10,0),"")</f>
        <v/>
      </c>
      <c r="AE225" t="str">
        <f>IFERROR(VLOOKUP($A225,[5]库存使用数据!$A:$M,13,0),"")</f>
        <v/>
      </c>
      <c r="AF225" s="23" t="str">
        <f t="shared" si="64"/>
        <v/>
      </c>
      <c r="AG225" s="23" t="str">
        <f t="shared" si="65"/>
        <v/>
      </c>
      <c r="AH225" s="23" t="str">
        <f t="shared" si="66"/>
        <v/>
      </c>
      <c r="AI225" s="23" t="str">
        <f t="shared" si="67"/>
        <v/>
      </c>
      <c r="AJ225">
        <f>IFERROR(VLOOKUP($B225,[1]库存报告使用数据!$A$1:$B$65536,2,0),0)</f>
        <v>0</v>
      </c>
      <c r="AK225">
        <f>IFERROR(VLOOKUP($B225,[1]库存报告使用数据!$A$1:$C$65536,3,0),0)</f>
        <v>0</v>
      </c>
      <c r="AL225">
        <f>IFERROR(VLOOKUP($B225,[1]库存报告使用数据!$A$1:$D$65536,4,0),0)</f>
        <v>0</v>
      </c>
      <c r="AM225">
        <f>IFERROR(VLOOKUP($B225,[1]库存报告使用数据!$A$1:$E$65536,5,0),0)</f>
        <v>0</v>
      </c>
      <c r="AN225" s="23" t="str">
        <f t="shared" si="68"/>
        <v/>
      </c>
      <c r="AO225" s="23" t="str">
        <f t="shared" si="69"/>
        <v/>
      </c>
      <c r="AP225" s="23" t="str">
        <f t="shared" si="70"/>
        <v/>
      </c>
      <c r="AQ225" s="23" t="str">
        <f t="shared" si="71"/>
        <v/>
      </c>
      <c r="AR225" s="38">
        <f t="shared" si="56"/>
        <v>0</v>
      </c>
      <c r="AS225" s="38">
        <f t="shared" si="57"/>
        <v>0</v>
      </c>
      <c r="AT225" s="38">
        <f t="shared" si="58"/>
        <v>0</v>
      </c>
      <c r="AU225" s="33" t="str">
        <f t="shared" si="59"/>
        <v>库存为0</v>
      </c>
      <c r="AV225" s="39" t="str">
        <f>IFERROR(时间!$B$4+AU225,"上周无销量")</f>
        <v>上周无销量</v>
      </c>
    </row>
    <row r="226" spans="1:48">
      <c r="A226" s="35" t="s">
        <v>271</v>
      </c>
      <c r="B226" t="str">
        <f>VLOOKUP(A226,'[2]sku-asin（子）'!$A:$B,2,0)</f>
        <v>B074FSCZT2</v>
      </c>
      <c r="C226" t="str">
        <f>VLOOKUP(A226,'[2]子sku-父sku'!$A:$B,2,0)</f>
        <v>N888Y</v>
      </c>
      <c r="D226" s="33">
        <f>IFERROR(VLOOKUP(A226,[3]库存报告使用数据处理!$A:$C,3,0),0)</f>
        <v>0</v>
      </c>
      <c r="E226" s="33">
        <f>IFERROR(VLOOKUP(A226,[3]库存报告使用数据处理!$A:$D,4,0),0)</f>
        <v>0</v>
      </c>
      <c r="F226" s="33">
        <f>IFERROR(VLOOKUP(A226,[3]库存报告使用数据处理!$A:$E,5,0),0)</f>
        <v>0</v>
      </c>
      <c r="G226" s="33">
        <f>IFERROR(VLOOKUP(A226,[3]库存报告使用数据处理!$A:$F,6,0),0)</f>
        <v>0</v>
      </c>
      <c r="H226" s="34">
        <f>IFERROR(VLOOKUP(A226,[3]库存报告使用数据处理!$A:$G,7,0),0)</f>
        <v>0</v>
      </c>
      <c r="I226">
        <f>IFERROR(VLOOKUP(A226,[4]数据处理!$A:$B,2,0),0)</f>
        <v>3</v>
      </c>
      <c r="J226" s="36">
        <f>IFERROR(VLOOKUP(A226,[4]数据处理!$A:$D,4,0),0)</f>
        <v>0</v>
      </c>
      <c r="K226" s="36">
        <f>IFERROR(VLOOKUP(A226,[4]数据处理!$A:$E,5,0),0)</f>
        <v>0</v>
      </c>
      <c r="L226" s="36">
        <f>IFERROR(VLOOKUP(A226,[4]数据处理!$A:$G,7,0),0)</f>
        <v>0</v>
      </c>
      <c r="M226">
        <f t="shared" si="55"/>
        <v>3</v>
      </c>
      <c r="N226">
        <f>IFERROR(VLOOKUP(A226,[4]数据处理!$A:$C,3,0),0)</f>
        <v>0</v>
      </c>
      <c r="O226">
        <f>IFERROR(VLOOKUP($A226,[4]数据处理!$A:$N,14,0),0)</f>
        <v>3</v>
      </c>
      <c r="P226">
        <f>IFERROR(VLOOKUP($A226,[5]库存使用数据!$A:$B,2,0),"")</f>
        <v>57</v>
      </c>
      <c r="Q226">
        <f>IFERROR(VLOOKUP($A226,[5]库存使用数据!$A:$E,5,0),"")</f>
        <v>124</v>
      </c>
      <c r="R226">
        <f>IFERROR(VLOOKUP($A226,[5]库存使用数据!$A:$H,8,0),"")</f>
        <v>761</v>
      </c>
      <c r="S226">
        <f>IFERROR(VLOOKUP($A226,[5]库存使用数据!$A:$K,11,0),"")</f>
        <v>766</v>
      </c>
      <c r="T226">
        <f>IFERROR(VLOOKUP($A226,[5]库存使用数据!$A:$C,3,0),"")</f>
        <v>1</v>
      </c>
      <c r="U226">
        <f>IFERROR(VLOOKUP($A226,[5]库存使用数据!$A:$F,6,0),"")</f>
        <v>0</v>
      </c>
      <c r="V226">
        <f>IFERROR(VLOOKUP($A226,[5]库存使用数据!$A:$I,9,0),"")</f>
        <v>3</v>
      </c>
      <c r="W226">
        <f>IFERROR(VLOOKUP($A226,[5]库存使用数据!$A:$L,12,0),"")</f>
        <v>2</v>
      </c>
      <c r="X226" s="23">
        <f t="shared" si="60"/>
        <v>0.0175438596491228</v>
      </c>
      <c r="Y226" s="23">
        <f t="shared" si="61"/>
        <v>0</v>
      </c>
      <c r="Z226" s="23">
        <f t="shared" si="62"/>
        <v>0.00394218134034166</v>
      </c>
      <c r="AA226" s="23">
        <f t="shared" si="63"/>
        <v>0.00261096605744125</v>
      </c>
      <c r="AB226">
        <f>IFERROR(VLOOKUP($A226,[5]库存使用数据!$A:$D,4,0),"")</f>
        <v>0.54</v>
      </c>
      <c r="AC226">
        <f>IFERROR(VLOOKUP($A226,[5]库存使用数据!$A:$G,7,0),"")</f>
        <v>0</v>
      </c>
      <c r="AD226">
        <f>IFERROR(VLOOKUP($A226,[5]库存使用数据!$A:$J,10,0),"")</f>
        <v>0.59</v>
      </c>
      <c r="AE226">
        <f>IFERROR(VLOOKUP($A226,[5]库存使用数据!$A:$M,13,0),"")</f>
        <v>0.96</v>
      </c>
      <c r="AF226" s="23" t="str">
        <f t="shared" si="64"/>
        <v>无销量广告费为0.54</v>
      </c>
      <c r="AG226" s="23" t="str">
        <f t="shared" si="65"/>
        <v/>
      </c>
      <c r="AH226" s="23" t="str">
        <f t="shared" si="66"/>
        <v>无销量广告费为0.59</v>
      </c>
      <c r="AI226" s="23" t="str">
        <f t="shared" si="67"/>
        <v>无销量广告费为0.96</v>
      </c>
      <c r="AJ226">
        <f>IFERROR(VLOOKUP($B226,[1]库存报告使用数据!$A$1:$B$65536,2,0),0)</f>
        <v>2</v>
      </c>
      <c r="AK226">
        <f>IFERROR(VLOOKUP($B226,[1]库存报告使用数据!$A$1:$C$65536,3,0),0)</f>
        <v>2</v>
      </c>
      <c r="AL226">
        <f>IFERROR(VLOOKUP($B226,[1]库存报告使用数据!$A$1:$D$65536,4,0),0)</f>
        <v>4</v>
      </c>
      <c r="AM226">
        <f>IFERROR(VLOOKUP($B226,[1]库存报告使用数据!$A$1:$E$65536,5,0),0)</f>
        <v>1</v>
      </c>
      <c r="AN226" s="23">
        <f t="shared" si="68"/>
        <v>0</v>
      </c>
      <c r="AO226" s="23">
        <f t="shared" si="69"/>
        <v>0</v>
      </c>
      <c r="AP226" s="23">
        <f t="shared" si="70"/>
        <v>0</v>
      </c>
      <c r="AQ226" s="23">
        <f t="shared" si="71"/>
        <v>0</v>
      </c>
      <c r="AR226" s="38">
        <f t="shared" si="56"/>
        <v>0</v>
      </c>
      <c r="AS226" s="38">
        <f t="shared" si="57"/>
        <v>0</v>
      </c>
      <c r="AT226" s="38">
        <f t="shared" si="58"/>
        <v>3</v>
      </c>
      <c r="AU226" s="33" t="str">
        <f t="shared" si="59"/>
        <v>库存为3</v>
      </c>
      <c r="AV226" s="39" t="str">
        <f>IFERROR(时间!$B$4+AU226,"上周无销量")</f>
        <v>上周无销量</v>
      </c>
    </row>
    <row r="227" spans="1:48">
      <c r="A227" s="35" t="s">
        <v>272</v>
      </c>
      <c r="B227" t="str">
        <f>VLOOKUP(A227,'[2]sku-asin（子）'!$A:$B,2,0)</f>
        <v>B074FTW5DS</v>
      </c>
      <c r="C227" t="str">
        <f>VLOOKUP(A227,'[2]子sku-父sku'!$A:$B,2,0)</f>
        <v>N888Y</v>
      </c>
      <c r="D227" s="33">
        <f>IFERROR(VLOOKUP(A227,[3]库存报告使用数据处理!$A:$C,3,0),0)</f>
        <v>0</v>
      </c>
      <c r="E227" s="33">
        <f>IFERROR(VLOOKUP(A227,[3]库存报告使用数据处理!$A:$D,4,0),0)</f>
        <v>0</v>
      </c>
      <c r="F227" s="33">
        <f>IFERROR(VLOOKUP(A227,[3]库存报告使用数据处理!$A:$E,5,0),0)</f>
        <v>0</v>
      </c>
      <c r="G227" s="33">
        <f>IFERROR(VLOOKUP(A227,[3]库存报告使用数据处理!$A:$F,6,0),0)</f>
        <v>0</v>
      </c>
      <c r="H227" s="34">
        <f>IFERROR(VLOOKUP(A227,[3]库存报告使用数据处理!$A:$G,7,0),0)</f>
        <v>0</v>
      </c>
      <c r="I227">
        <f>IFERROR(VLOOKUP(A227,[4]数据处理!$A:$B,2,0),0)</f>
        <v>2</v>
      </c>
      <c r="J227" s="36">
        <f>IFERROR(VLOOKUP(A227,[4]数据处理!$A:$D,4,0),0)</f>
        <v>0</v>
      </c>
      <c r="K227" s="36">
        <f>IFERROR(VLOOKUP(A227,[4]数据处理!$A:$E,5,0),0)</f>
        <v>0</v>
      </c>
      <c r="L227" s="36">
        <f>IFERROR(VLOOKUP(A227,[4]数据处理!$A:$G,7,0),0)</f>
        <v>0</v>
      </c>
      <c r="M227">
        <f t="shared" si="55"/>
        <v>2</v>
      </c>
      <c r="N227">
        <f>IFERROR(VLOOKUP(A227,[4]数据处理!$A:$C,3,0),0)</f>
        <v>0</v>
      </c>
      <c r="O227">
        <f>IFERROR(VLOOKUP($A227,[4]数据处理!$A:$N,14,0),0)</f>
        <v>2</v>
      </c>
      <c r="P227">
        <f>IFERROR(VLOOKUP($A227,[5]库存使用数据!$A:$B,2,0),"")</f>
        <v>80</v>
      </c>
      <c r="Q227">
        <f>IFERROR(VLOOKUP($A227,[5]库存使用数据!$A:$E,5,0),"")</f>
        <v>126</v>
      </c>
      <c r="R227">
        <f>IFERROR(VLOOKUP($A227,[5]库存使用数据!$A:$H,8,0),"")</f>
        <v>48</v>
      </c>
      <c r="S227">
        <f>IFERROR(VLOOKUP($A227,[5]库存使用数据!$A:$K,11,0),"")</f>
        <v>44</v>
      </c>
      <c r="T227">
        <f>IFERROR(VLOOKUP($A227,[5]库存使用数据!$A:$C,3,0),"")</f>
        <v>1</v>
      </c>
      <c r="U227">
        <f>IFERROR(VLOOKUP($A227,[5]库存使用数据!$A:$F,6,0),"")</f>
        <v>0</v>
      </c>
      <c r="V227">
        <f>IFERROR(VLOOKUP($A227,[5]库存使用数据!$A:$I,9,0),"")</f>
        <v>0</v>
      </c>
      <c r="W227">
        <f>IFERROR(VLOOKUP($A227,[5]库存使用数据!$A:$L,12,0),"")</f>
        <v>0</v>
      </c>
      <c r="X227" s="23">
        <f t="shared" si="60"/>
        <v>0.0125</v>
      </c>
      <c r="Y227" s="23">
        <f t="shared" si="61"/>
        <v>0</v>
      </c>
      <c r="Z227" s="23">
        <f t="shared" si="62"/>
        <v>0</v>
      </c>
      <c r="AA227" s="23">
        <f t="shared" si="63"/>
        <v>0</v>
      </c>
      <c r="AB227">
        <f>IFERROR(VLOOKUP($A227,[5]库存使用数据!$A:$D,4,0),"")</f>
        <v>0.34</v>
      </c>
      <c r="AC227">
        <f>IFERROR(VLOOKUP($A227,[5]库存使用数据!$A:$G,7,0),"")</f>
        <v>0</v>
      </c>
      <c r="AD227">
        <f>IFERROR(VLOOKUP($A227,[5]库存使用数据!$A:$J,10,0),"")</f>
        <v>0</v>
      </c>
      <c r="AE227">
        <f>IFERROR(VLOOKUP($A227,[5]库存使用数据!$A:$M,13,0),"")</f>
        <v>0</v>
      </c>
      <c r="AF227" s="23" t="str">
        <f t="shared" si="64"/>
        <v>无销量广告费为0.34</v>
      </c>
      <c r="AG227" s="23" t="str">
        <f t="shared" si="65"/>
        <v/>
      </c>
      <c r="AH227" s="23" t="str">
        <f t="shared" si="66"/>
        <v/>
      </c>
      <c r="AI227" s="23" t="str">
        <f t="shared" si="67"/>
        <v/>
      </c>
      <c r="AJ227">
        <f>IFERROR(VLOOKUP($B227,[1]库存报告使用数据!$A$1:$B$65536,2,0),0)</f>
        <v>2</v>
      </c>
      <c r="AK227">
        <f>IFERROR(VLOOKUP($B227,[1]库存报告使用数据!$A$1:$C$65536,3,0),0)</f>
        <v>0</v>
      </c>
      <c r="AL227">
        <f>IFERROR(VLOOKUP($B227,[1]库存报告使用数据!$A$1:$D$65536,4,0),0)</f>
        <v>1</v>
      </c>
      <c r="AM227">
        <f>IFERROR(VLOOKUP($B227,[1]库存报告使用数据!$A$1:$E$65536,5,0),0)</f>
        <v>2</v>
      </c>
      <c r="AN227" s="23">
        <f t="shared" si="68"/>
        <v>0</v>
      </c>
      <c r="AO227" s="23" t="str">
        <f t="shared" si="69"/>
        <v/>
      </c>
      <c r="AP227" s="23">
        <f t="shared" si="70"/>
        <v>0</v>
      </c>
      <c r="AQ227" s="23">
        <f t="shared" si="71"/>
        <v>0</v>
      </c>
      <c r="AR227" s="38">
        <f t="shared" si="56"/>
        <v>0</v>
      </c>
      <c r="AS227" s="38">
        <f t="shared" si="57"/>
        <v>0</v>
      </c>
      <c r="AT227" s="38">
        <f t="shared" si="58"/>
        <v>2</v>
      </c>
      <c r="AU227" s="33" t="str">
        <f t="shared" si="59"/>
        <v>库存为2</v>
      </c>
      <c r="AV227" s="39" t="str">
        <f>IFERROR(时间!$B$4+AU227,"上周无销量")</f>
        <v>上周无销量</v>
      </c>
    </row>
    <row r="228" spans="1:48">
      <c r="A228" s="35" t="s">
        <v>273</v>
      </c>
      <c r="B228" t="str">
        <f>VLOOKUP(A228,'[2]sku-asin（子）'!$A:$B,2,0)</f>
        <v>B074FRWKSK</v>
      </c>
      <c r="C228" t="str">
        <f>VLOOKUP(A228,'[2]子sku-父sku'!$A:$B,2,0)</f>
        <v>N888Y</v>
      </c>
      <c r="D228" s="33">
        <f>IFERROR(VLOOKUP(A228,[3]库存报告使用数据处理!$A:$C,3,0),0)</f>
        <v>0</v>
      </c>
      <c r="E228" s="33">
        <f>IFERROR(VLOOKUP(A228,[3]库存报告使用数据处理!$A:$D,4,0),0)</f>
        <v>0</v>
      </c>
      <c r="F228" s="33">
        <f>IFERROR(VLOOKUP(A228,[3]库存报告使用数据处理!$A:$E,5,0),0)</f>
        <v>0</v>
      </c>
      <c r="G228" s="33">
        <f>IFERROR(VLOOKUP(A228,[3]库存报告使用数据处理!$A:$F,6,0),0)</f>
        <v>0</v>
      </c>
      <c r="H228" s="34">
        <f>IFERROR(VLOOKUP(A228,[3]库存报告使用数据处理!$A:$G,7,0),0)</f>
        <v>0</v>
      </c>
      <c r="I228">
        <f>IFERROR(VLOOKUP(A228,[4]数据处理!$A:$B,2,0),0)</f>
        <v>3</v>
      </c>
      <c r="J228" s="36">
        <f>IFERROR(VLOOKUP(A228,[4]数据处理!$A:$D,4,0),0)</f>
        <v>0</v>
      </c>
      <c r="K228" s="36">
        <f>IFERROR(VLOOKUP(A228,[4]数据处理!$A:$E,5,0),0)</f>
        <v>0</v>
      </c>
      <c r="L228" s="36">
        <f>IFERROR(VLOOKUP(A228,[4]数据处理!$A:$G,7,0),0)</f>
        <v>0</v>
      </c>
      <c r="M228">
        <f t="shared" si="55"/>
        <v>3</v>
      </c>
      <c r="N228">
        <f>IFERROR(VLOOKUP(A228,[4]数据处理!$A:$C,3,0),0)</f>
        <v>0</v>
      </c>
      <c r="O228">
        <f>IFERROR(VLOOKUP($A228,[4]数据处理!$A:$N,14,0),0)</f>
        <v>3</v>
      </c>
      <c r="P228">
        <f>IFERROR(VLOOKUP($A228,[5]库存使用数据!$A:$B,2,0),"")</f>
        <v>403</v>
      </c>
      <c r="Q228">
        <f>IFERROR(VLOOKUP($A228,[5]库存使用数据!$A:$E,5,0),"")</f>
        <v>515</v>
      </c>
      <c r="R228">
        <f>IFERROR(VLOOKUP($A228,[5]库存使用数据!$A:$H,8,0),"")</f>
        <v>625</v>
      </c>
      <c r="S228">
        <f>IFERROR(VLOOKUP($A228,[5]库存使用数据!$A:$K,11,0),"")</f>
        <v>295</v>
      </c>
      <c r="T228">
        <f>IFERROR(VLOOKUP($A228,[5]库存使用数据!$A:$C,3,0),"")</f>
        <v>0</v>
      </c>
      <c r="U228">
        <f>IFERROR(VLOOKUP($A228,[5]库存使用数据!$A:$F,6,0),"")</f>
        <v>2</v>
      </c>
      <c r="V228">
        <f>IFERROR(VLOOKUP($A228,[5]库存使用数据!$A:$I,9,0),"")</f>
        <v>4</v>
      </c>
      <c r="W228">
        <f>IFERROR(VLOOKUP($A228,[5]库存使用数据!$A:$L,12,0),"")</f>
        <v>2</v>
      </c>
      <c r="X228" s="23">
        <f t="shared" si="60"/>
        <v>0</v>
      </c>
      <c r="Y228" s="23">
        <f t="shared" si="61"/>
        <v>0.00388349514563107</v>
      </c>
      <c r="Z228" s="23">
        <f t="shared" si="62"/>
        <v>0.0064</v>
      </c>
      <c r="AA228" s="23">
        <f t="shared" si="63"/>
        <v>0.00677966101694915</v>
      </c>
      <c r="AB228">
        <f>IFERROR(VLOOKUP($A228,[5]库存使用数据!$A:$D,4,0),"")</f>
        <v>0</v>
      </c>
      <c r="AC228">
        <f>IFERROR(VLOOKUP($A228,[5]库存使用数据!$A:$G,7,0),"")</f>
        <v>0.34</v>
      </c>
      <c r="AD228">
        <f>IFERROR(VLOOKUP($A228,[5]库存使用数据!$A:$J,10,0),"")</f>
        <v>0.88</v>
      </c>
      <c r="AE228">
        <f>IFERROR(VLOOKUP($A228,[5]库存使用数据!$A:$M,13,0),"")</f>
        <v>0.47</v>
      </c>
      <c r="AF228" s="23" t="str">
        <f t="shared" si="64"/>
        <v/>
      </c>
      <c r="AG228" s="23" t="str">
        <f t="shared" si="65"/>
        <v>无销量广告费为0.34</v>
      </c>
      <c r="AH228" s="23" t="str">
        <f t="shared" si="66"/>
        <v>无销量广告费为0.88</v>
      </c>
      <c r="AI228" s="23" t="str">
        <f t="shared" si="67"/>
        <v>无销量广告费为0.47</v>
      </c>
      <c r="AJ228">
        <f>IFERROR(VLOOKUP($B228,[1]库存报告使用数据!$A$1:$B$65536,2,0),0)</f>
        <v>1</v>
      </c>
      <c r="AK228">
        <f>IFERROR(VLOOKUP($B228,[1]库存报告使用数据!$A$1:$C$65536,3,0),0)</f>
        <v>2</v>
      </c>
      <c r="AL228">
        <f>IFERROR(VLOOKUP($B228,[1]库存报告使用数据!$A$1:$D$65536,4,0),0)</f>
        <v>0</v>
      </c>
      <c r="AM228">
        <f>IFERROR(VLOOKUP($B228,[1]库存报告使用数据!$A$1:$E$65536,5,0),0)</f>
        <v>2</v>
      </c>
      <c r="AN228" s="23">
        <f t="shared" si="68"/>
        <v>0</v>
      </c>
      <c r="AO228" s="23">
        <f t="shared" si="69"/>
        <v>0</v>
      </c>
      <c r="AP228" s="23" t="str">
        <f t="shared" si="70"/>
        <v/>
      </c>
      <c r="AQ228" s="23">
        <f t="shared" si="71"/>
        <v>0</v>
      </c>
      <c r="AR228" s="38">
        <f t="shared" si="56"/>
        <v>0</v>
      </c>
      <c r="AS228" s="38">
        <f t="shared" si="57"/>
        <v>0</v>
      </c>
      <c r="AT228" s="38">
        <f t="shared" si="58"/>
        <v>3</v>
      </c>
      <c r="AU228" s="33" t="str">
        <f t="shared" si="59"/>
        <v>库存为3</v>
      </c>
      <c r="AV228" s="39" t="str">
        <f>IFERROR(时间!$B$4+AU228,"上周无销量")</f>
        <v>上周无销量</v>
      </c>
    </row>
    <row r="229" spans="1:48">
      <c r="A229" s="35" t="s">
        <v>274</v>
      </c>
      <c r="B229" t="str">
        <f>VLOOKUP(A229,'[2]sku-asin（子）'!$A:$B,2,0)</f>
        <v>B074FX3ZFZ</v>
      </c>
      <c r="C229" t="str">
        <f>VLOOKUP(A229,'[2]子sku-父sku'!$A:$B,2,0)</f>
        <v>N888Y</v>
      </c>
      <c r="D229" s="33">
        <f>IFERROR(VLOOKUP(A229,[3]库存报告使用数据处理!$A:$C,3,0),0)</f>
        <v>0</v>
      </c>
      <c r="E229" s="33">
        <f>IFERROR(VLOOKUP(A229,[3]库存报告使用数据处理!$A:$D,4,0),0)</f>
        <v>0</v>
      </c>
      <c r="F229" s="33">
        <f>IFERROR(VLOOKUP(A229,[3]库存报告使用数据处理!$A:$E,5,0),0)</f>
        <v>0</v>
      </c>
      <c r="G229" s="33">
        <f>IFERROR(VLOOKUP(A229,[3]库存报告使用数据处理!$A:$F,6,0),0)</f>
        <v>0</v>
      </c>
      <c r="H229" s="34">
        <f>IFERROR(VLOOKUP(A229,[3]库存报告使用数据处理!$A:$G,7,0),0)</f>
        <v>0</v>
      </c>
      <c r="I229">
        <f>IFERROR(VLOOKUP(A229,[4]数据处理!$A:$B,2,0),0)</f>
        <v>3</v>
      </c>
      <c r="J229" s="36">
        <f>IFERROR(VLOOKUP(A229,[4]数据处理!$A:$D,4,0),0)</f>
        <v>0</v>
      </c>
      <c r="K229" s="36">
        <f>IFERROR(VLOOKUP(A229,[4]数据处理!$A:$E,5,0),0)</f>
        <v>0</v>
      </c>
      <c r="L229" s="36">
        <f>IFERROR(VLOOKUP(A229,[4]数据处理!$A:$G,7,0),0)</f>
        <v>0</v>
      </c>
      <c r="M229">
        <f t="shared" si="55"/>
        <v>3</v>
      </c>
      <c r="N229">
        <f>IFERROR(VLOOKUP(A229,[4]数据处理!$A:$C,3,0),0)</f>
        <v>0</v>
      </c>
      <c r="O229">
        <f>IFERROR(VLOOKUP($A229,[4]数据处理!$A:$N,14,0),0)</f>
        <v>3</v>
      </c>
      <c r="P229">
        <f>IFERROR(VLOOKUP($A229,[5]库存使用数据!$A:$B,2,0),"")</f>
        <v>1078</v>
      </c>
      <c r="Q229">
        <f>IFERROR(VLOOKUP($A229,[5]库存使用数据!$A:$E,5,0),"")</f>
        <v>779</v>
      </c>
      <c r="R229">
        <f>IFERROR(VLOOKUP($A229,[5]库存使用数据!$A:$H,8,0),"")</f>
        <v>52</v>
      </c>
      <c r="S229">
        <f>IFERROR(VLOOKUP($A229,[5]库存使用数据!$A:$K,11,0),"")</f>
        <v>32</v>
      </c>
      <c r="T229">
        <f>IFERROR(VLOOKUP($A229,[5]库存使用数据!$A:$C,3,0),"")</f>
        <v>1</v>
      </c>
      <c r="U229">
        <f>IFERROR(VLOOKUP($A229,[5]库存使用数据!$A:$F,6,0),"")</f>
        <v>3</v>
      </c>
      <c r="V229">
        <f>IFERROR(VLOOKUP($A229,[5]库存使用数据!$A:$I,9,0),"")</f>
        <v>1</v>
      </c>
      <c r="W229">
        <f>IFERROR(VLOOKUP($A229,[5]库存使用数据!$A:$L,12,0),"")</f>
        <v>0</v>
      </c>
      <c r="X229" s="23">
        <f t="shared" si="60"/>
        <v>0.000927643784786642</v>
      </c>
      <c r="Y229" s="23">
        <f t="shared" si="61"/>
        <v>0.00385109114249037</v>
      </c>
      <c r="Z229" s="23">
        <f t="shared" si="62"/>
        <v>0.0192307692307692</v>
      </c>
      <c r="AA229" s="23">
        <f t="shared" si="63"/>
        <v>0</v>
      </c>
      <c r="AB229">
        <f>IFERROR(VLOOKUP($A229,[5]库存使用数据!$A:$D,4,0),"")</f>
        <v>0.34</v>
      </c>
      <c r="AC229">
        <f>IFERROR(VLOOKUP($A229,[5]库存使用数据!$A:$G,7,0),"")</f>
        <v>1.05</v>
      </c>
      <c r="AD229">
        <f>IFERROR(VLOOKUP($A229,[5]库存使用数据!$A:$J,10,0),"")</f>
        <v>0.35</v>
      </c>
      <c r="AE229">
        <f>IFERROR(VLOOKUP($A229,[5]库存使用数据!$A:$M,13,0),"")</f>
        <v>0</v>
      </c>
      <c r="AF229" s="23" t="str">
        <f t="shared" si="64"/>
        <v>无销量广告费为0.34</v>
      </c>
      <c r="AG229" s="23" t="str">
        <f t="shared" si="65"/>
        <v>无销量广告费为1.05</v>
      </c>
      <c r="AH229" s="23" t="str">
        <f t="shared" si="66"/>
        <v>无销量广告费为0.35</v>
      </c>
      <c r="AI229" s="23" t="str">
        <f t="shared" si="67"/>
        <v/>
      </c>
      <c r="AJ229">
        <f>IFERROR(VLOOKUP($B229,[1]库存报告使用数据!$A$1:$B$65536,2,0),0)</f>
        <v>1</v>
      </c>
      <c r="AK229">
        <f>IFERROR(VLOOKUP($B229,[1]库存报告使用数据!$A$1:$C$65536,3,0),0)</f>
        <v>4</v>
      </c>
      <c r="AL229">
        <f>IFERROR(VLOOKUP($B229,[1]库存报告使用数据!$A$1:$D$65536,4,0),0)</f>
        <v>0</v>
      </c>
      <c r="AM229">
        <f>IFERROR(VLOOKUP($B229,[1]库存报告使用数据!$A$1:$E$65536,5,0),0)</f>
        <v>1</v>
      </c>
      <c r="AN229" s="23">
        <f t="shared" si="68"/>
        <v>0</v>
      </c>
      <c r="AO229" s="23">
        <f t="shared" si="69"/>
        <v>0</v>
      </c>
      <c r="AP229" s="23" t="str">
        <f t="shared" si="70"/>
        <v/>
      </c>
      <c r="AQ229" s="23">
        <f t="shared" si="71"/>
        <v>0</v>
      </c>
      <c r="AR229" s="38">
        <f t="shared" si="56"/>
        <v>0</v>
      </c>
      <c r="AS229" s="38">
        <f t="shared" si="57"/>
        <v>0</v>
      </c>
      <c r="AT229" s="38">
        <f t="shared" si="58"/>
        <v>3</v>
      </c>
      <c r="AU229" s="33" t="str">
        <f t="shared" si="59"/>
        <v>库存为3</v>
      </c>
      <c r="AV229" s="39" t="str">
        <f>IFERROR(时间!$B$4+AU229,"上周无销量")</f>
        <v>上周无销量</v>
      </c>
    </row>
    <row r="230" spans="1:48">
      <c r="A230" s="35" t="s">
        <v>275</v>
      </c>
      <c r="B230" t="str">
        <f>VLOOKUP(A230,'[2]sku-asin（子）'!$A:$B,2,0)</f>
        <v>B074FXLL7J</v>
      </c>
      <c r="C230" t="str">
        <f>VLOOKUP(A230,'[2]子sku-父sku'!$A:$B,2,0)</f>
        <v>N888Y</v>
      </c>
      <c r="D230" s="33">
        <f>IFERROR(VLOOKUP(A230,[3]库存报告使用数据处理!$A:$C,3,0),0)</f>
        <v>0</v>
      </c>
      <c r="E230" s="33">
        <f>IFERROR(VLOOKUP(A230,[3]库存报告使用数据处理!$A:$D,4,0),0)</f>
        <v>0</v>
      </c>
      <c r="F230" s="33">
        <f>IFERROR(VLOOKUP(A230,[3]库存报告使用数据处理!$A:$E,5,0),0)</f>
        <v>0</v>
      </c>
      <c r="G230" s="33">
        <f>IFERROR(VLOOKUP(A230,[3]库存报告使用数据处理!$A:$F,6,0),0)</f>
        <v>0</v>
      </c>
      <c r="H230" s="34">
        <f>IFERROR(VLOOKUP(A230,[3]库存报告使用数据处理!$A:$G,7,0),0)</f>
        <v>0</v>
      </c>
      <c r="I230">
        <f>IFERROR(VLOOKUP(A230,[4]数据处理!$A:$B,2,0),0)</f>
        <v>3</v>
      </c>
      <c r="J230" s="36">
        <f>IFERROR(VLOOKUP(A230,[4]数据处理!$A:$D,4,0),0)</f>
        <v>0</v>
      </c>
      <c r="K230" s="36">
        <f>IFERROR(VLOOKUP(A230,[4]数据处理!$A:$E,5,0),0)</f>
        <v>0</v>
      </c>
      <c r="L230" s="36">
        <f>IFERROR(VLOOKUP(A230,[4]数据处理!$A:$G,7,0),0)</f>
        <v>0</v>
      </c>
      <c r="M230">
        <f t="shared" si="55"/>
        <v>3</v>
      </c>
      <c r="N230">
        <f>IFERROR(VLOOKUP(A230,[4]数据处理!$A:$C,3,0),0)</f>
        <v>0</v>
      </c>
      <c r="O230">
        <f>IFERROR(VLOOKUP($A230,[4]数据处理!$A:$N,14,0),0)</f>
        <v>3</v>
      </c>
      <c r="P230">
        <f>IFERROR(VLOOKUP($A230,[5]库存使用数据!$A:$B,2,0),"")</f>
        <v>14</v>
      </c>
      <c r="Q230">
        <f>IFERROR(VLOOKUP($A230,[5]库存使用数据!$A:$E,5,0),"")</f>
        <v>14</v>
      </c>
      <c r="R230">
        <f>IFERROR(VLOOKUP($A230,[5]库存使用数据!$A:$H,8,0),"")</f>
        <v>12</v>
      </c>
      <c r="S230">
        <f>IFERROR(VLOOKUP($A230,[5]库存使用数据!$A:$K,11,0),"")</f>
        <v>7</v>
      </c>
      <c r="T230">
        <f>IFERROR(VLOOKUP($A230,[5]库存使用数据!$A:$C,3,0),"")</f>
        <v>0</v>
      </c>
      <c r="U230">
        <f>IFERROR(VLOOKUP($A230,[5]库存使用数据!$A:$F,6,0),"")</f>
        <v>0</v>
      </c>
      <c r="V230">
        <f>IFERROR(VLOOKUP($A230,[5]库存使用数据!$A:$I,9,0),"")</f>
        <v>0</v>
      </c>
      <c r="W230">
        <f>IFERROR(VLOOKUP($A230,[5]库存使用数据!$A:$L,12,0),"")</f>
        <v>0</v>
      </c>
      <c r="X230" s="23">
        <f t="shared" si="60"/>
        <v>0</v>
      </c>
      <c r="Y230" s="23">
        <f t="shared" si="61"/>
        <v>0</v>
      </c>
      <c r="Z230" s="23">
        <f t="shared" si="62"/>
        <v>0</v>
      </c>
      <c r="AA230" s="23">
        <f t="shared" si="63"/>
        <v>0</v>
      </c>
      <c r="AB230">
        <f>IFERROR(VLOOKUP($A230,[5]库存使用数据!$A:$D,4,0),"")</f>
        <v>0</v>
      </c>
      <c r="AC230">
        <f>IFERROR(VLOOKUP($A230,[5]库存使用数据!$A:$G,7,0),"")</f>
        <v>0</v>
      </c>
      <c r="AD230">
        <f>IFERROR(VLOOKUP($A230,[5]库存使用数据!$A:$J,10,0),"")</f>
        <v>0</v>
      </c>
      <c r="AE230">
        <f>IFERROR(VLOOKUP($A230,[5]库存使用数据!$A:$M,13,0),"")</f>
        <v>0</v>
      </c>
      <c r="AF230" s="23" t="str">
        <f t="shared" si="64"/>
        <v/>
      </c>
      <c r="AG230" s="23" t="str">
        <f t="shared" si="65"/>
        <v/>
      </c>
      <c r="AH230" s="23" t="str">
        <f t="shared" si="66"/>
        <v/>
      </c>
      <c r="AI230" s="23" t="str">
        <f t="shared" si="67"/>
        <v/>
      </c>
      <c r="AJ230">
        <f>IFERROR(VLOOKUP($B230,[1]库存报告使用数据!$A$1:$B$65536,2,0),0)</f>
        <v>1</v>
      </c>
      <c r="AK230">
        <f>IFERROR(VLOOKUP($B230,[1]库存报告使用数据!$A$1:$C$65536,3,0),0)</f>
        <v>2</v>
      </c>
      <c r="AL230">
        <f>IFERROR(VLOOKUP($B230,[1]库存报告使用数据!$A$1:$D$65536,4,0),0)</f>
        <v>2</v>
      </c>
      <c r="AM230">
        <f>IFERROR(VLOOKUP($B230,[1]库存报告使用数据!$A$1:$E$65536,5,0),0)</f>
        <v>2</v>
      </c>
      <c r="AN230" s="23">
        <f t="shared" si="68"/>
        <v>0</v>
      </c>
      <c r="AO230" s="23">
        <f t="shared" si="69"/>
        <v>0</v>
      </c>
      <c r="AP230" s="23">
        <f t="shared" si="70"/>
        <v>0</v>
      </c>
      <c r="AQ230" s="23">
        <f t="shared" si="71"/>
        <v>0</v>
      </c>
      <c r="AR230" s="38">
        <f t="shared" si="56"/>
        <v>0</v>
      </c>
      <c r="AS230" s="38">
        <f t="shared" si="57"/>
        <v>0</v>
      </c>
      <c r="AT230" s="38">
        <f t="shared" si="58"/>
        <v>3</v>
      </c>
      <c r="AU230" s="33" t="str">
        <f t="shared" si="59"/>
        <v>库存为3</v>
      </c>
      <c r="AV230" s="39" t="str">
        <f>IFERROR(时间!$B$4+AU230,"上周无销量")</f>
        <v>上周无销量</v>
      </c>
    </row>
    <row r="231" spans="1:48">
      <c r="A231" s="35" t="s">
        <v>276</v>
      </c>
      <c r="B231" t="str">
        <f>VLOOKUP(A231,'[2]sku-asin（子）'!$A:$B,2,0)</f>
        <v>B074FQWCTK</v>
      </c>
      <c r="C231" t="str">
        <f>VLOOKUP(A231,'[2]子sku-父sku'!$A:$B,2,0)</f>
        <v>N888Y</v>
      </c>
      <c r="D231" s="33">
        <f>IFERROR(VLOOKUP(A231,[3]库存报告使用数据处理!$A:$C,3,0),0)</f>
        <v>0</v>
      </c>
      <c r="E231" s="33">
        <f>IFERROR(VLOOKUP(A231,[3]库存报告使用数据处理!$A:$D,4,0),0)</f>
        <v>0</v>
      </c>
      <c r="F231" s="33">
        <f>IFERROR(VLOOKUP(A231,[3]库存报告使用数据处理!$A:$E,5,0),0)</f>
        <v>0</v>
      </c>
      <c r="G231" s="33">
        <f>IFERROR(VLOOKUP(A231,[3]库存报告使用数据处理!$A:$F,6,0),0)</f>
        <v>0</v>
      </c>
      <c r="H231" s="34">
        <f>IFERROR(VLOOKUP(A231,[3]库存报告使用数据处理!$A:$G,7,0),0)</f>
        <v>0</v>
      </c>
      <c r="I231">
        <f>IFERROR(VLOOKUP(A231,[4]数据处理!$A:$B,2,0),0)</f>
        <v>3</v>
      </c>
      <c r="J231" s="36">
        <f>IFERROR(VLOOKUP(A231,[4]数据处理!$A:$D,4,0),0)</f>
        <v>0</v>
      </c>
      <c r="K231" s="36">
        <f>IFERROR(VLOOKUP(A231,[4]数据处理!$A:$E,5,0),0)</f>
        <v>0</v>
      </c>
      <c r="L231" s="36">
        <f>IFERROR(VLOOKUP(A231,[4]数据处理!$A:$G,7,0),0)</f>
        <v>0</v>
      </c>
      <c r="M231">
        <f t="shared" si="55"/>
        <v>3</v>
      </c>
      <c r="N231">
        <f>IFERROR(VLOOKUP(A231,[4]数据处理!$A:$C,3,0),0)</f>
        <v>0</v>
      </c>
      <c r="O231">
        <f>IFERROR(VLOOKUP($A231,[4]数据处理!$A:$N,14,0),0)</f>
        <v>3</v>
      </c>
      <c r="P231">
        <f>IFERROR(VLOOKUP($A231,[5]库存使用数据!$A:$B,2,0),"")</f>
        <v>612</v>
      </c>
      <c r="Q231">
        <f>IFERROR(VLOOKUP($A231,[5]库存使用数据!$A:$E,5,0),"")</f>
        <v>534</v>
      </c>
      <c r="R231">
        <f>IFERROR(VLOOKUP($A231,[5]库存使用数据!$A:$H,8,0),"")</f>
        <v>574</v>
      </c>
      <c r="S231">
        <f>IFERROR(VLOOKUP($A231,[5]库存使用数据!$A:$K,11,0),"")</f>
        <v>832</v>
      </c>
      <c r="T231">
        <f>IFERROR(VLOOKUP($A231,[5]库存使用数据!$A:$C,3,0),"")</f>
        <v>1</v>
      </c>
      <c r="U231">
        <f>IFERROR(VLOOKUP($A231,[5]库存使用数据!$A:$F,6,0),"")</f>
        <v>2</v>
      </c>
      <c r="V231">
        <f>IFERROR(VLOOKUP($A231,[5]库存使用数据!$A:$I,9,0),"")</f>
        <v>3</v>
      </c>
      <c r="W231">
        <f>IFERROR(VLOOKUP($A231,[5]库存使用数据!$A:$L,12,0),"")</f>
        <v>1</v>
      </c>
      <c r="X231" s="23">
        <f t="shared" si="60"/>
        <v>0.00163398692810458</v>
      </c>
      <c r="Y231" s="23">
        <f t="shared" si="61"/>
        <v>0.00374531835205993</v>
      </c>
      <c r="Z231" s="23">
        <f t="shared" si="62"/>
        <v>0.00522648083623693</v>
      </c>
      <c r="AA231" s="23">
        <f t="shared" si="63"/>
        <v>0.00120192307692308</v>
      </c>
      <c r="AB231">
        <f>IFERROR(VLOOKUP($A231,[5]库存使用数据!$A:$D,4,0),"")</f>
        <v>0.34</v>
      </c>
      <c r="AC231">
        <f>IFERROR(VLOOKUP($A231,[5]库存使用数据!$A:$G,7,0),"")</f>
        <v>0.71</v>
      </c>
      <c r="AD231">
        <f>IFERROR(VLOOKUP($A231,[5]库存使用数据!$A:$J,10,0),"")</f>
        <v>1.11</v>
      </c>
      <c r="AE231">
        <f>IFERROR(VLOOKUP($A231,[5]库存使用数据!$A:$M,13,0),"")</f>
        <v>0.39</v>
      </c>
      <c r="AF231" s="23" t="str">
        <f t="shared" si="64"/>
        <v>无销量广告费为0.34</v>
      </c>
      <c r="AG231" s="23" t="str">
        <f t="shared" si="65"/>
        <v>无销量广告费为0.71</v>
      </c>
      <c r="AH231" s="23" t="str">
        <f t="shared" si="66"/>
        <v>无销量广告费为1.11</v>
      </c>
      <c r="AI231" s="23" t="str">
        <f t="shared" si="67"/>
        <v>无销量广告费为0.39</v>
      </c>
      <c r="AJ231">
        <f>IFERROR(VLOOKUP($B231,[1]库存报告使用数据!$A$1:$B$65536,2,0),0)</f>
        <v>3</v>
      </c>
      <c r="AK231">
        <f>IFERROR(VLOOKUP($B231,[1]库存报告使用数据!$A$1:$C$65536,3,0),0)</f>
        <v>1</v>
      </c>
      <c r="AL231">
        <f>IFERROR(VLOOKUP($B231,[1]库存报告使用数据!$A$1:$D$65536,4,0),0)</f>
        <v>2</v>
      </c>
      <c r="AM231">
        <f>IFERROR(VLOOKUP($B231,[1]库存报告使用数据!$A$1:$E$65536,5,0),0)</f>
        <v>2</v>
      </c>
      <c r="AN231" s="23">
        <f t="shared" si="68"/>
        <v>0</v>
      </c>
      <c r="AO231" s="23">
        <f t="shared" si="69"/>
        <v>0</v>
      </c>
      <c r="AP231" s="23">
        <f t="shared" si="70"/>
        <v>0</v>
      </c>
      <c r="AQ231" s="23">
        <f t="shared" si="71"/>
        <v>0</v>
      </c>
      <c r="AR231" s="38">
        <f t="shared" si="56"/>
        <v>0</v>
      </c>
      <c r="AS231" s="38">
        <f t="shared" si="57"/>
        <v>0</v>
      </c>
      <c r="AT231" s="38">
        <f t="shared" si="58"/>
        <v>3</v>
      </c>
      <c r="AU231" s="33" t="str">
        <f t="shared" si="59"/>
        <v>库存为3</v>
      </c>
      <c r="AV231" s="39" t="str">
        <f>IFERROR(时间!$B$4+AU231,"上周无销量")</f>
        <v>上周无销量</v>
      </c>
    </row>
    <row r="232" spans="1:48">
      <c r="A232" s="35" t="s">
        <v>277</v>
      </c>
      <c r="B232" t="str">
        <f>VLOOKUP(A232,'[2]sku-asin（子）'!$A:$B,2,0)</f>
        <v>B074FRX8XF</v>
      </c>
      <c r="C232" t="str">
        <f>VLOOKUP(A232,'[2]子sku-父sku'!$A:$B,2,0)</f>
        <v>N888Y</v>
      </c>
      <c r="D232" s="33">
        <f>IFERROR(VLOOKUP(A232,[3]库存报告使用数据处理!$A:$C,3,0),0)</f>
        <v>0</v>
      </c>
      <c r="E232" s="33">
        <f>IFERROR(VLOOKUP(A232,[3]库存报告使用数据处理!$A:$D,4,0),0)</f>
        <v>0</v>
      </c>
      <c r="F232" s="33">
        <f>IFERROR(VLOOKUP(A232,[3]库存报告使用数据处理!$A:$E,5,0),0)</f>
        <v>0</v>
      </c>
      <c r="G232" s="33">
        <f>IFERROR(VLOOKUP(A232,[3]库存报告使用数据处理!$A:$F,6,0),0)</f>
        <v>0</v>
      </c>
      <c r="H232" s="34">
        <f>IFERROR(VLOOKUP(A232,[3]库存报告使用数据处理!$A:$G,7,0),0)</f>
        <v>0</v>
      </c>
      <c r="I232">
        <f>IFERROR(VLOOKUP(A232,[4]数据处理!$A:$B,2,0),0)</f>
        <v>3</v>
      </c>
      <c r="J232" s="36">
        <f>IFERROR(VLOOKUP(A232,[4]数据处理!$A:$D,4,0),0)</f>
        <v>0</v>
      </c>
      <c r="K232" s="36">
        <f>IFERROR(VLOOKUP(A232,[4]数据处理!$A:$E,5,0),0)</f>
        <v>0</v>
      </c>
      <c r="L232" s="36">
        <f>IFERROR(VLOOKUP(A232,[4]数据处理!$A:$G,7,0),0)</f>
        <v>0</v>
      </c>
      <c r="M232">
        <f t="shared" si="55"/>
        <v>3</v>
      </c>
      <c r="N232">
        <f>IFERROR(VLOOKUP(A232,[4]数据处理!$A:$C,3,0),0)</f>
        <v>0</v>
      </c>
      <c r="O232">
        <f>IFERROR(VLOOKUP($A232,[4]数据处理!$A:$N,14,0),0)</f>
        <v>3</v>
      </c>
      <c r="P232">
        <f>IFERROR(VLOOKUP($A232,[5]库存使用数据!$A:$B,2,0),"")</f>
        <v>51</v>
      </c>
      <c r="Q232">
        <f>IFERROR(VLOOKUP($A232,[5]库存使用数据!$A:$E,5,0),"")</f>
        <v>80</v>
      </c>
      <c r="R232">
        <f>IFERROR(VLOOKUP($A232,[5]库存使用数据!$A:$H,8,0),"")</f>
        <v>33</v>
      </c>
      <c r="S232">
        <f>IFERROR(VLOOKUP($A232,[5]库存使用数据!$A:$K,11,0),"")</f>
        <v>30</v>
      </c>
      <c r="T232">
        <f>IFERROR(VLOOKUP($A232,[5]库存使用数据!$A:$C,3,0),"")</f>
        <v>0</v>
      </c>
      <c r="U232">
        <f>IFERROR(VLOOKUP($A232,[5]库存使用数据!$A:$F,6,0),"")</f>
        <v>0</v>
      </c>
      <c r="V232">
        <f>IFERROR(VLOOKUP($A232,[5]库存使用数据!$A:$I,9,0),"")</f>
        <v>0</v>
      </c>
      <c r="W232">
        <f>IFERROR(VLOOKUP($A232,[5]库存使用数据!$A:$L,12,0),"")</f>
        <v>0</v>
      </c>
      <c r="X232" s="23">
        <f t="shared" si="60"/>
        <v>0</v>
      </c>
      <c r="Y232" s="23">
        <f t="shared" si="61"/>
        <v>0</v>
      </c>
      <c r="Z232" s="23">
        <f t="shared" si="62"/>
        <v>0</v>
      </c>
      <c r="AA232" s="23">
        <f t="shared" si="63"/>
        <v>0</v>
      </c>
      <c r="AB232">
        <f>IFERROR(VLOOKUP($A232,[5]库存使用数据!$A:$D,4,0),"")</f>
        <v>0</v>
      </c>
      <c r="AC232">
        <f>IFERROR(VLOOKUP($A232,[5]库存使用数据!$A:$G,7,0),"")</f>
        <v>0</v>
      </c>
      <c r="AD232">
        <f>IFERROR(VLOOKUP($A232,[5]库存使用数据!$A:$J,10,0),"")</f>
        <v>0</v>
      </c>
      <c r="AE232">
        <f>IFERROR(VLOOKUP($A232,[5]库存使用数据!$A:$M,13,0),"")</f>
        <v>0</v>
      </c>
      <c r="AF232" s="23" t="str">
        <f t="shared" si="64"/>
        <v/>
      </c>
      <c r="AG232" s="23" t="str">
        <f t="shared" si="65"/>
        <v/>
      </c>
      <c r="AH232" s="23" t="str">
        <f t="shared" si="66"/>
        <v/>
      </c>
      <c r="AI232" s="23" t="str">
        <f t="shared" si="67"/>
        <v/>
      </c>
      <c r="AJ232">
        <f>IFERROR(VLOOKUP($B232,[1]库存报告使用数据!$A$1:$B$65536,2,0),0)</f>
        <v>1</v>
      </c>
      <c r="AK232">
        <f>IFERROR(VLOOKUP($B232,[1]库存报告使用数据!$A$1:$C$65536,3,0),0)</f>
        <v>0</v>
      </c>
      <c r="AL232">
        <f>IFERROR(VLOOKUP($B232,[1]库存报告使用数据!$A$1:$D$65536,4,0),0)</f>
        <v>0</v>
      </c>
      <c r="AM232">
        <f>IFERROR(VLOOKUP($B232,[1]库存报告使用数据!$A$1:$E$65536,5,0),0)</f>
        <v>2</v>
      </c>
      <c r="AN232" s="23">
        <f t="shared" si="68"/>
        <v>0</v>
      </c>
      <c r="AO232" s="23" t="str">
        <f t="shared" si="69"/>
        <v/>
      </c>
      <c r="AP232" s="23" t="str">
        <f t="shared" si="70"/>
        <v/>
      </c>
      <c r="AQ232" s="23">
        <f t="shared" si="71"/>
        <v>0</v>
      </c>
      <c r="AR232" s="38">
        <f t="shared" si="56"/>
        <v>0</v>
      </c>
      <c r="AS232" s="38">
        <f t="shared" si="57"/>
        <v>0</v>
      </c>
      <c r="AT232" s="38">
        <f t="shared" si="58"/>
        <v>3</v>
      </c>
      <c r="AU232" s="33" t="str">
        <f t="shared" si="59"/>
        <v>库存为3</v>
      </c>
      <c r="AV232" s="39" t="str">
        <f>IFERROR(时间!$B$4+AU232,"上周无销量")</f>
        <v>上周无销量</v>
      </c>
    </row>
    <row r="233" spans="1:48">
      <c r="A233" s="35" t="s">
        <v>278</v>
      </c>
      <c r="B233" t="str">
        <f>VLOOKUP(A233,'[2]sku-asin（子）'!$A:$B,2,0)</f>
        <v>B074FT4GVL</v>
      </c>
      <c r="C233" t="str">
        <f>VLOOKUP(A233,'[2]子sku-父sku'!$A:$B,2,0)</f>
        <v>N888Y</v>
      </c>
      <c r="D233" s="33">
        <f>IFERROR(VLOOKUP(A233,[3]库存报告使用数据处理!$A:$C,3,0),0)</f>
        <v>0</v>
      </c>
      <c r="E233" s="33">
        <f>IFERROR(VLOOKUP(A233,[3]库存报告使用数据处理!$A:$D,4,0),0)</f>
        <v>0</v>
      </c>
      <c r="F233" s="33">
        <f>IFERROR(VLOOKUP(A233,[3]库存报告使用数据处理!$A:$E,5,0),0)</f>
        <v>0</v>
      </c>
      <c r="G233" s="33">
        <f>IFERROR(VLOOKUP(A233,[3]库存报告使用数据处理!$A:$F,6,0),0)</f>
        <v>0</v>
      </c>
      <c r="H233" s="34">
        <f>IFERROR(VLOOKUP(A233,[3]库存报告使用数据处理!$A:$G,7,0),0)</f>
        <v>0</v>
      </c>
      <c r="I233">
        <f>IFERROR(VLOOKUP(A233,[4]数据处理!$A:$B,2,0),0)</f>
        <v>0</v>
      </c>
      <c r="J233" s="36">
        <f>IFERROR(VLOOKUP(A233,[4]数据处理!$A:$D,4,0),0)</f>
        <v>0</v>
      </c>
      <c r="K233" s="36">
        <f>IFERROR(VLOOKUP(A233,[4]数据处理!$A:$E,5,0),0)</f>
        <v>0</v>
      </c>
      <c r="L233" s="36">
        <f>IFERROR(VLOOKUP(A233,[4]数据处理!$A:$G,7,0),0)</f>
        <v>0</v>
      </c>
      <c r="M233">
        <f t="shared" si="55"/>
        <v>0</v>
      </c>
      <c r="N233">
        <f>IFERROR(VLOOKUP(A233,[4]数据处理!$A:$C,3,0),0)</f>
        <v>0</v>
      </c>
      <c r="O233">
        <f>IFERROR(VLOOKUP($A233,[4]数据处理!$A:$N,14,0),0)</f>
        <v>0</v>
      </c>
      <c r="P233" t="str">
        <f>IFERROR(VLOOKUP($A233,[5]库存使用数据!$A:$B,2,0),"")</f>
        <v/>
      </c>
      <c r="Q233" t="str">
        <f>IFERROR(VLOOKUP($A233,[5]库存使用数据!$A:$E,5,0),"")</f>
        <v/>
      </c>
      <c r="R233" t="str">
        <f>IFERROR(VLOOKUP($A233,[5]库存使用数据!$A:$H,8,0),"")</f>
        <v/>
      </c>
      <c r="S233" t="str">
        <f>IFERROR(VLOOKUP($A233,[5]库存使用数据!$A:$K,11,0),"")</f>
        <v/>
      </c>
      <c r="T233" t="str">
        <f>IFERROR(VLOOKUP($A233,[5]库存使用数据!$A:$C,3,0),"")</f>
        <v/>
      </c>
      <c r="U233" t="str">
        <f>IFERROR(VLOOKUP($A233,[5]库存使用数据!$A:$F,6,0),"")</f>
        <v/>
      </c>
      <c r="V233" t="str">
        <f>IFERROR(VLOOKUP($A233,[5]库存使用数据!$A:$I,9,0),"")</f>
        <v/>
      </c>
      <c r="W233" t="str">
        <f>IFERROR(VLOOKUP($A233,[5]库存使用数据!$A:$L,12,0),"")</f>
        <v/>
      </c>
      <c r="X233" s="23" t="str">
        <f t="shared" si="60"/>
        <v/>
      </c>
      <c r="Y233" s="23" t="str">
        <f t="shared" si="61"/>
        <v/>
      </c>
      <c r="Z233" s="23" t="str">
        <f t="shared" si="62"/>
        <v/>
      </c>
      <c r="AA233" s="23" t="str">
        <f t="shared" si="63"/>
        <v/>
      </c>
      <c r="AB233" t="str">
        <f>IFERROR(VLOOKUP($A233,[5]库存使用数据!$A:$D,4,0),"")</f>
        <v/>
      </c>
      <c r="AC233" t="str">
        <f>IFERROR(VLOOKUP($A233,[5]库存使用数据!$A:$G,7,0),"")</f>
        <v/>
      </c>
      <c r="AD233" t="str">
        <f>IFERROR(VLOOKUP($A233,[5]库存使用数据!$A:$J,10,0),"")</f>
        <v/>
      </c>
      <c r="AE233" t="str">
        <f>IFERROR(VLOOKUP($A233,[5]库存使用数据!$A:$M,13,0),"")</f>
        <v/>
      </c>
      <c r="AF233" s="23" t="str">
        <f t="shared" si="64"/>
        <v/>
      </c>
      <c r="AG233" s="23" t="str">
        <f t="shared" si="65"/>
        <v/>
      </c>
      <c r="AH233" s="23" t="str">
        <f t="shared" si="66"/>
        <v/>
      </c>
      <c r="AI233" s="23" t="str">
        <f t="shared" si="67"/>
        <v/>
      </c>
      <c r="AJ233">
        <f>IFERROR(VLOOKUP($B233,[1]库存报告使用数据!$A$1:$B$65536,2,0),0)</f>
        <v>0</v>
      </c>
      <c r="AK233">
        <f>IFERROR(VLOOKUP($B233,[1]库存报告使用数据!$A$1:$C$65536,3,0),0)</f>
        <v>0</v>
      </c>
      <c r="AL233">
        <f>IFERROR(VLOOKUP($B233,[1]库存报告使用数据!$A$1:$D$65536,4,0),0)</f>
        <v>0</v>
      </c>
      <c r="AM233">
        <f>IFERROR(VLOOKUP($B233,[1]库存报告使用数据!$A$1:$E$65536,5,0),0)</f>
        <v>0</v>
      </c>
      <c r="AN233" s="23" t="str">
        <f t="shared" si="68"/>
        <v/>
      </c>
      <c r="AO233" s="23" t="str">
        <f t="shared" si="69"/>
        <v/>
      </c>
      <c r="AP233" s="23" t="str">
        <f t="shared" si="70"/>
        <v/>
      </c>
      <c r="AQ233" s="23" t="str">
        <f t="shared" si="71"/>
        <v/>
      </c>
      <c r="AR233" s="38">
        <f t="shared" si="56"/>
        <v>0</v>
      </c>
      <c r="AS233" s="38">
        <f t="shared" si="57"/>
        <v>0</v>
      </c>
      <c r="AT233" s="38">
        <f t="shared" si="58"/>
        <v>0</v>
      </c>
      <c r="AU233" s="33" t="str">
        <f t="shared" si="59"/>
        <v>库存为0</v>
      </c>
      <c r="AV233" s="39" t="str">
        <f>IFERROR(时间!$B$4+AU233,"上周无销量")</f>
        <v>上周无销量</v>
      </c>
    </row>
    <row r="234" spans="1:48">
      <c r="A234" s="35" t="s">
        <v>279</v>
      </c>
      <c r="B234" t="str">
        <f>VLOOKUP(A234,'[2]sku-asin（子）'!$A:$B,2,0)</f>
        <v>B074FVKNXW</v>
      </c>
      <c r="C234" t="str">
        <f>VLOOKUP(A234,'[2]子sku-父sku'!$A:$B,2,0)</f>
        <v>N888Y</v>
      </c>
      <c r="D234" s="33">
        <f>IFERROR(VLOOKUP(A234,[3]库存报告使用数据处理!$A:$C,3,0),0)</f>
        <v>0</v>
      </c>
      <c r="E234" s="33">
        <f>IFERROR(VLOOKUP(A234,[3]库存报告使用数据处理!$A:$D,4,0),0)</f>
        <v>0</v>
      </c>
      <c r="F234" s="33">
        <f>IFERROR(VLOOKUP(A234,[3]库存报告使用数据处理!$A:$E,5,0),0)</f>
        <v>0</v>
      </c>
      <c r="G234" s="33">
        <f>IFERROR(VLOOKUP(A234,[3]库存报告使用数据处理!$A:$F,6,0),0)</f>
        <v>0</v>
      </c>
      <c r="H234" s="34">
        <f>IFERROR(VLOOKUP(A234,[3]库存报告使用数据处理!$A:$G,7,0),0)</f>
        <v>0</v>
      </c>
      <c r="I234">
        <f>IFERROR(VLOOKUP(A234,[4]数据处理!$A:$B,2,0),0)</f>
        <v>3</v>
      </c>
      <c r="J234" s="36">
        <f>IFERROR(VLOOKUP(A234,[4]数据处理!$A:$D,4,0),0)</f>
        <v>0</v>
      </c>
      <c r="K234" s="36">
        <f>IFERROR(VLOOKUP(A234,[4]数据处理!$A:$E,5,0),0)</f>
        <v>0</v>
      </c>
      <c r="L234" s="36">
        <f>IFERROR(VLOOKUP(A234,[4]数据处理!$A:$G,7,0),0)</f>
        <v>0</v>
      </c>
      <c r="M234">
        <f t="shared" si="55"/>
        <v>3</v>
      </c>
      <c r="N234">
        <f>IFERROR(VLOOKUP(A234,[4]数据处理!$A:$C,3,0),0)</f>
        <v>0</v>
      </c>
      <c r="O234">
        <f>IFERROR(VLOOKUP($A234,[4]数据处理!$A:$N,14,0),0)</f>
        <v>3</v>
      </c>
      <c r="P234">
        <f>IFERROR(VLOOKUP($A234,[5]库存使用数据!$A:$B,2,0),"")</f>
        <v>250</v>
      </c>
      <c r="Q234">
        <f>IFERROR(VLOOKUP($A234,[5]库存使用数据!$A:$E,5,0),"")</f>
        <v>210</v>
      </c>
      <c r="R234">
        <f>IFERROR(VLOOKUP($A234,[5]库存使用数据!$A:$H,8,0),"")</f>
        <v>291</v>
      </c>
      <c r="S234">
        <f>IFERROR(VLOOKUP($A234,[5]库存使用数据!$A:$K,11,0),"")</f>
        <v>264</v>
      </c>
      <c r="T234">
        <f>IFERROR(VLOOKUP($A234,[5]库存使用数据!$A:$C,3,0),"")</f>
        <v>1</v>
      </c>
      <c r="U234">
        <f>IFERROR(VLOOKUP($A234,[5]库存使用数据!$A:$F,6,0),"")</f>
        <v>0</v>
      </c>
      <c r="V234">
        <f>IFERROR(VLOOKUP($A234,[5]库存使用数据!$A:$I,9,0),"")</f>
        <v>1</v>
      </c>
      <c r="W234">
        <f>IFERROR(VLOOKUP($A234,[5]库存使用数据!$A:$L,12,0),"")</f>
        <v>2</v>
      </c>
      <c r="X234" s="23">
        <f t="shared" si="60"/>
        <v>0.004</v>
      </c>
      <c r="Y234" s="23">
        <f t="shared" si="61"/>
        <v>0</v>
      </c>
      <c r="Z234" s="23">
        <f t="shared" si="62"/>
        <v>0.00343642611683849</v>
      </c>
      <c r="AA234" s="23">
        <f t="shared" si="63"/>
        <v>0.00757575757575758</v>
      </c>
      <c r="AB234">
        <f>IFERROR(VLOOKUP($A234,[5]库存使用数据!$A:$D,4,0),"")</f>
        <v>0.08</v>
      </c>
      <c r="AC234">
        <f>IFERROR(VLOOKUP($A234,[5]库存使用数据!$A:$G,7,0),"")</f>
        <v>0</v>
      </c>
      <c r="AD234">
        <f>IFERROR(VLOOKUP($A234,[5]库存使用数据!$A:$J,10,0),"")</f>
        <v>0.21</v>
      </c>
      <c r="AE234">
        <f>IFERROR(VLOOKUP($A234,[5]库存使用数据!$A:$M,13,0),"")</f>
        <v>0.75</v>
      </c>
      <c r="AF234" s="23" t="str">
        <f t="shared" si="64"/>
        <v>无销量广告费为0.08</v>
      </c>
      <c r="AG234" s="23" t="str">
        <f t="shared" si="65"/>
        <v/>
      </c>
      <c r="AH234" s="23" t="str">
        <f t="shared" si="66"/>
        <v>无销量广告费为0.21</v>
      </c>
      <c r="AI234" s="23" t="str">
        <f t="shared" si="67"/>
        <v>无销量广告费为0.75</v>
      </c>
      <c r="AJ234">
        <f>IFERROR(VLOOKUP($B234,[1]库存报告使用数据!$A$1:$B$65536,2,0),0)</f>
        <v>4</v>
      </c>
      <c r="AK234">
        <f>IFERROR(VLOOKUP($B234,[1]库存报告使用数据!$A$1:$C$65536,3,0),0)</f>
        <v>2</v>
      </c>
      <c r="AL234">
        <f>IFERROR(VLOOKUP($B234,[1]库存报告使用数据!$A$1:$D$65536,4,0),0)</f>
        <v>0</v>
      </c>
      <c r="AM234">
        <f>IFERROR(VLOOKUP($B234,[1]库存报告使用数据!$A$1:$E$65536,5,0),0)</f>
        <v>2</v>
      </c>
      <c r="AN234" s="23">
        <f t="shared" si="68"/>
        <v>0</v>
      </c>
      <c r="AO234" s="23">
        <f t="shared" si="69"/>
        <v>0</v>
      </c>
      <c r="AP234" s="23" t="str">
        <f t="shared" si="70"/>
        <v/>
      </c>
      <c r="AQ234" s="23">
        <f t="shared" si="71"/>
        <v>0</v>
      </c>
      <c r="AR234" s="38">
        <f t="shared" si="56"/>
        <v>0</v>
      </c>
      <c r="AS234" s="38">
        <f t="shared" si="57"/>
        <v>0</v>
      </c>
      <c r="AT234" s="38">
        <f t="shared" si="58"/>
        <v>3</v>
      </c>
      <c r="AU234" s="33" t="str">
        <f t="shared" si="59"/>
        <v>库存为3</v>
      </c>
      <c r="AV234" s="39" t="str">
        <f>IFERROR(时间!$B$4+AU234,"上周无销量")</f>
        <v>上周无销量</v>
      </c>
    </row>
    <row r="235" spans="1:48">
      <c r="A235" s="35" t="s">
        <v>280</v>
      </c>
      <c r="B235" t="str">
        <f>VLOOKUP(A235,'[2]sku-asin（子）'!$A:$B,2,0)</f>
        <v>B074FNZXKK</v>
      </c>
      <c r="C235" t="str">
        <f>VLOOKUP(A235,'[2]子sku-父sku'!$A:$B,2,0)</f>
        <v>N89103K</v>
      </c>
      <c r="D235" s="33">
        <f>IFERROR(VLOOKUP(A235,[3]库存报告使用数据处理!$A:$C,3,0),0)</f>
        <v>0</v>
      </c>
      <c r="E235" s="33">
        <f>IFERROR(VLOOKUP(A235,[3]库存报告使用数据处理!$A:$D,4,0),0)</f>
        <v>0</v>
      </c>
      <c r="F235" s="33">
        <f>IFERROR(VLOOKUP(A235,[3]库存报告使用数据处理!$A:$E,5,0),0)</f>
        <v>0</v>
      </c>
      <c r="G235" s="33">
        <f>IFERROR(VLOOKUP(A235,[3]库存报告使用数据处理!$A:$F,6,0),0)</f>
        <v>0</v>
      </c>
      <c r="H235" s="34">
        <f>IFERROR(VLOOKUP(A235,[3]库存报告使用数据处理!$A:$G,7,0),0)</f>
        <v>0</v>
      </c>
      <c r="I235">
        <f>IFERROR(VLOOKUP(A235,[4]数据处理!$A:$B,2,0),0)</f>
        <v>0</v>
      </c>
      <c r="J235" s="36">
        <f>IFERROR(VLOOKUP(A235,[4]数据处理!$A:$D,4,0),0)</f>
        <v>0</v>
      </c>
      <c r="K235" s="36">
        <f>IFERROR(VLOOKUP(A235,[4]数据处理!$A:$E,5,0),0)</f>
        <v>0</v>
      </c>
      <c r="L235" s="36">
        <f>IFERROR(VLOOKUP(A235,[4]数据处理!$A:$G,7,0),0)</f>
        <v>0</v>
      </c>
      <c r="M235">
        <f t="shared" si="55"/>
        <v>0</v>
      </c>
      <c r="N235">
        <f>IFERROR(VLOOKUP(A235,[4]数据处理!$A:$C,3,0),0)</f>
        <v>0</v>
      </c>
      <c r="O235">
        <f>IFERROR(VLOOKUP($A235,[4]数据处理!$A:$N,14,0),0)</f>
        <v>0</v>
      </c>
      <c r="P235" t="str">
        <f>IFERROR(VLOOKUP($A235,[5]库存使用数据!$A:$B,2,0),"")</f>
        <v/>
      </c>
      <c r="Q235" t="str">
        <f>IFERROR(VLOOKUP($A235,[5]库存使用数据!$A:$E,5,0),"")</f>
        <v/>
      </c>
      <c r="R235" t="str">
        <f>IFERROR(VLOOKUP($A235,[5]库存使用数据!$A:$H,8,0),"")</f>
        <v/>
      </c>
      <c r="S235" t="str">
        <f>IFERROR(VLOOKUP($A235,[5]库存使用数据!$A:$K,11,0),"")</f>
        <v/>
      </c>
      <c r="T235" t="str">
        <f>IFERROR(VLOOKUP($A235,[5]库存使用数据!$A:$C,3,0),"")</f>
        <v/>
      </c>
      <c r="U235" t="str">
        <f>IFERROR(VLOOKUP($A235,[5]库存使用数据!$A:$F,6,0),"")</f>
        <v/>
      </c>
      <c r="V235" t="str">
        <f>IFERROR(VLOOKUP($A235,[5]库存使用数据!$A:$I,9,0),"")</f>
        <v/>
      </c>
      <c r="W235" t="str">
        <f>IFERROR(VLOOKUP($A235,[5]库存使用数据!$A:$L,12,0),"")</f>
        <v/>
      </c>
      <c r="X235" s="23" t="str">
        <f t="shared" si="60"/>
        <v/>
      </c>
      <c r="Y235" s="23" t="str">
        <f t="shared" si="61"/>
        <v/>
      </c>
      <c r="Z235" s="23" t="str">
        <f t="shared" si="62"/>
        <v/>
      </c>
      <c r="AA235" s="23" t="str">
        <f t="shared" si="63"/>
        <v/>
      </c>
      <c r="AB235" t="str">
        <f>IFERROR(VLOOKUP($A235,[5]库存使用数据!$A:$D,4,0),"")</f>
        <v/>
      </c>
      <c r="AC235" t="str">
        <f>IFERROR(VLOOKUP($A235,[5]库存使用数据!$A:$G,7,0),"")</f>
        <v/>
      </c>
      <c r="AD235" t="str">
        <f>IFERROR(VLOOKUP($A235,[5]库存使用数据!$A:$J,10,0),"")</f>
        <v/>
      </c>
      <c r="AE235" t="str">
        <f>IFERROR(VLOOKUP($A235,[5]库存使用数据!$A:$M,13,0),"")</f>
        <v/>
      </c>
      <c r="AF235" s="23" t="str">
        <f t="shared" si="64"/>
        <v/>
      </c>
      <c r="AG235" s="23" t="str">
        <f t="shared" si="65"/>
        <v/>
      </c>
      <c r="AH235" s="23" t="str">
        <f t="shared" si="66"/>
        <v/>
      </c>
      <c r="AI235" s="23" t="str">
        <f t="shared" si="67"/>
        <v/>
      </c>
      <c r="AJ235">
        <f>IFERROR(VLOOKUP($B235,[1]库存报告使用数据!$A$1:$B$65536,2,0),0)</f>
        <v>0</v>
      </c>
      <c r="AK235">
        <f>IFERROR(VLOOKUP($B235,[1]库存报告使用数据!$A$1:$C$65536,3,0),0)</f>
        <v>0</v>
      </c>
      <c r="AL235">
        <f>IFERROR(VLOOKUP($B235,[1]库存报告使用数据!$A$1:$D$65536,4,0),0)</f>
        <v>0</v>
      </c>
      <c r="AM235">
        <f>IFERROR(VLOOKUP($B235,[1]库存报告使用数据!$A$1:$E$65536,5,0),0)</f>
        <v>0</v>
      </c>
      <c r="AN235" s="23" t="str">
        <f t="shared" si="68"/>
        <v/>
      </c>
      <c r="AO235" s="23" t="str">
        <f t="shared" si="69"/>
        <v/>
      </c>
      <c r="AP235" s="23" t="str">
        <f t="shared" si="70"/>
        <v/>
      </c>
      <c r="AQ235" s="23" t="str">
        <f t="shared" si="71"/>
        <v/>
      </c>
      <c r="AR235" s="38">
        <f t="shared" si="56"/>
        <v>0</v>
      </c>
      <c r="AS235" s="38">
        <f t="shared" si="57"/>
        <v>0</v>
      </c>
      <c r="AT235" s="38">
        <f t="shared" si="58"/>
        <v>0</v>
      </c>
      <c r="AU235" s="33" t="str">
        <f t="shared" si="59"/>
        <v>库存为0</v>
      </c>
      <c r="AV235" s="39" t="str">
        <f>IFERROR(时间!$B$4+AU235,"上周无销量")</f>
        <v>上周无销量</v>
      </c>
    </row>
    <row r="236" spans="1:48">
      <c r="A236" s="35" t="s">
        <v>281</v>
      </c>
      <c r="B236" t="str">
        <f>VLOOKUP(A236,'[2]sku-asin（子）'!$A:$B,2,0)</f>
        <v>B074FXS3XL</v>
      </c>
      <c r="C236" t="str">
        <f>VLOOKUP(A236,'[2]子sku-父sku'!$A:$B,2,0)</f>
        <v>N89103K</v>
      </c>
      <c r="D236" s="33">
        <f>IFERROR(VLOOKUP(A236,[3]库存报告使用数据处理!$A:$C,3,0),0)</f>
        <v>0</v>
      </c>
      <c r="E236" s="33">
        <f>IFERROR(VLOOKUP(A236,[3]库存报告使用数据处理!$A:$D,4,0),0)</f>
        <v>0</v>
      </c>
      <c r="F236" s="33">
        <f>IFERROR(VLOOKUP(A236,[3]库存报告使用数据处理!$A:$E,5,0),0)</f>
        <v>0</v>
      </c>
      <c r="G236" s="33">
        <f>IFERROR(VLOOKUP(A236,[3]库存报告使用数据处理!$A:$F,6,0),0)</f>
        <v>0</v>
      </c>
      <c r="H236" s="34">
        <f>IFERROR(VLOOKUP(A236,[3]库存报告使用数据处理!$A:$G,7,0),0)</f>
        <v>0</v>
      </c>
      <c r="I236">
        <f>IFERROR(VLOOKUP(A236,[4]数据处理!$A:$B,2,0),0)</f>
        <v>0</v>
      </c>
      <c r="J236" s="36">
        <f>IFERROR(VLOOKUP(A236,[4]数据处理!$A:$D,4,0),0)</f>
        <v>0</v>
      </c>
      <c r="K236" s="36">
        <f>IFERROR(VLOOKUP(A236,[4]数据处理!$A:$E,5,0),0)</f>
        <v>0</v>
      </c>
      <c r="L236" s="36">
        <f>IFERROR(VLOOKUP(A236,[4]数据处理!$A:$G,7,0),0)</f>
        <v>0</v>
      </c>
      <c r="M236">
        <f t="shared" si="55"/>
        <v>0</v>
      </c>
      <c r="N236">
        <f>IFERROR(VLOOKUP(A236,[4]数据处理!$A:$C,3,0),0)</f>
        <v>0</v>
      </c>
      <c r="O236">
        <f>IFERROR(VLOOKUP($A236,[4]数据处理!$A:$N,14,0),0)</f>
        <v>0</v>
      </c>
      <c r="P236" t="str">
        <f>IFERROR(VLOOKUP($A236,[5]库存使用数据!$A:$B,2,0),"")</f>
        <v/>
      </c>
      <c r="Q236" t="str">
        <f>IFERROR(VLOOKUP($A236,[5]库存使用数据!$A:$E,5,0),"")</f>
        <v/>
      </c>
      <c r="R236" t="str">
        <f>IFERROR(VLOOKUP($A236,[5]库存使用数据!$A:$H,8,0),"")</f>
        <v/>
      </c>
      <c r="S236" t="str">
        <f>IFERROR(VLOOKUP($A236,[5]库存使用数据!$A:$K,11,0),"")</f>
        <v/>
      </c>
      <c r="T236" t="str">
        <f>IFERROR(VLOOKUP($A236,[5]库存使用数据!$A:$C,3,0),"")</f>
        <v/>
      </c>
      <c r="U236" t="str">
        <f>IFERROR(VLOOKUP($A236,[5]库存使用数据!$A:$F,6,0),"")</f>
        <v/>
      </c>
      <c r="V236" t="str">
        <f>IFERROR(VLOOKUP($A236,[5]库存使用数据!$A:$I,9,0),"")</f>
        <v/>
      </c>
      <c r="W236" t="str">
        <f>IFERROR(VLOOKUP($A236,[5]库存使用数据!$A:$L,12,0),"")</f>
        <v/>
      </c>
      <c r="X236" s="23" t="str">
        <f t="shared" si="60"/>
        <v/>
      </c>
      <c r="Y236" s="23" t="str">
        <f t="shared" si="61"/>
        <v/>
      </c>
      <c r="Z236" s="23" t="str">
        <f t="shared" si="62"/>
        <v/>
      </c>
      <c r="AA236" s="23" t="str">
        <f t="shared" si="63"/>
        <v/>
      </c>
      <c r="AB236" t="str">
        <f>IFERROR(VLOOKUP($A236,[5]库存使用数据!$A:$D,4,0),"")</f>
        <v/>
      </c>
      <c r="AC236" t="str">
        <f>IFERROR(VLOOKUP($A236,[5]库存使用数据!$A:$G,7,0),"")</f>
        <v/>
      </c>
      <c r="AD236" t="str">
        <f>IFERROR(VLOOKUP($A236,[5]库存使用数据!$A:$J,10,0),"")</f>
        <v/>
      </c>
      <c r="AE236" t="str">
        <f>IFERROR(VLOOKUP($A236,[5]库存使用数据!$A:$M,13,0),"")</f>
        <v/>
      </c>
      <c r="AF236" s="23" t="str">
        <f t="shared" si="64"/>
        <v/>
      </c>
      <c r="AG236" s="23" t="str">
        <f t="shared" si="65"/>
        <v/>
      </c>
      <c r="AH236" s="23" t="str">
        <f t="shared" si="66"/>
        <v/>
      </c>
      <c r="AI236" s="23" t="str">
        <f t="shared" si="67"/>
        <v/>
      </c>
      <c r="AJ236">
        <f>IFERROR(VLOOKUP($B236,[1]库存报告使用数据!$A$1:$B$65536,2,0),0)</f>
        <v>0</v>
      </c>
      <c r="AK236">
        <f>IFERROR(VLOOKUP($B236,[1]库存报告使用数据!$A$1:$C$65536,3,0),0)</f>
        <v>0</v>
      </c>
      <c r="AL236">
        <f>IFERROR(VLOOKUP($B236,[1]库存报告使用数据!$A$1:$D$65536,4,0),0)</f>
        <v>0</v>
      </c>
      <c r="AM236">
        <f>IFERROR(VLOOKUP($B236,[1]库存报告使用数据!$A$1:$E$65536,5,0),0)</f>
        <v>0</v>
      </c>
      <c r="AN236" s="23" t="str">
        <f t="shared" si="68"/>
        <v/>
      </c>
      <c r="AO236" s="23" t="str">
        <f t="shared" si="69"/>
        <v/>
      </c>
      <c r="AP236" s="23" t="str">
        <f t="shared" si="70"/>
        <v/>
      </c>
      <c r="AQ236" s="23" t="str">
        <f t="shared" si="71"/>
        <v/>
      </c>
      <c r="AR236" s="38">
        <f t="shared" si="56"/>
        <v>0</v>
      </c>
      <c r="AS236" s="38">
        <f t="shared" si="57"/>
        <v>0</v>
      </c>
      <c r="AT236" s="38">
        <f t="shared" si="58"/>
        <v>0</v>
      </c>
      <c r="AU236" s="33" t="str">
        <f t="shared" si="59"/>
        <v>库存为0</v>
      </c>
      <c r="AV236" s="39" t="str">
        <f>IFERROR(时间!$B$4+AU236,"上周无销量")</f>
        <v>上周无销量</v>
      </c>
    </row>
    <row r="237" spans="1:48">
      <c r="A237" s="35" t="s">
        <v>282</v>
      </c>
      <c r="B237" t="str">
        <f>VLOOKUP(A237,'[2]sku-asin（子）'!$A:$B,2,0)</f>
        <v>B074FYXKCH</v>
      </c>
      <c r="C237" t="str">
        <f>VLOOKUP(A237,'[2]子sku-父sku'!$A:$B,2,0)</f>
        <v>N89118K</v>
      </c>
      <c r="D237" s="33">
        <f>IFERROR(VLOOKUP(A237,[3]库存报告使用数据处理!$A:$C,3,0),0)</f>
        <v>0</v>
      </c>
      <c r="E237" s="33">
        <f>IFERROR(VLOOKUP(A237,[3]库存报告使用数据处理!$A:$D,4,0),0)</f>
        <v>0</v>
      </c>
      <c r="F237" s="33">
        <f>IFERROR(VLOOKUP(A237,[3]库存报告使用数据处理!$A:$E,5,0),0)</f>
        <v>0</v>
      </c>
      <c r="G237" s="33">
        <f>IFERROR(VLOOKUP(A237,[3]库存报告使用数据处理!$A:$F,6,0),0)</f>
        <v>0</v>
      </c>
      <c r="H237" s="34">
        <f>IFERROR(VLOOKUP(A237,[3]库存报告使用数据处理!$A:$G,7,0),0)</f>
        <v>0</v>
      </c>
      <c r="I237">
        <f>IFERROR(VLOOKUP(A237,[4]数据处理!$A:$B,2,0),0)</f>
        <v>0</v>
      </c>
      <c r="J237" s="36">
        <f>IFERROR(VLOOKUP(A237,[4]数据处理!$A:$D,4,0),0)</f>
        <v>0</v>
      </c>
      <c r="K237" s="36">
        <f>IFERROR(VLOOKUP(A237,[4]数据处理!$A:$E,5,0),0)</f>
        <v>0</v>
      </c>
      <c r="L237" s="36">
        <f>IFERROR(VLOOKUP(A237,[4]数据处理!$A:$G,7,0),0)</f>
        <v>0</v>
      </c>
      <c r="M237">
        <f t="shared" si="55"/>
        <v>0</v>
      </c>
      <c r="N237">
        <f>IFERROR(VLOOKUP(A237,[4]数据处理!$A:$C,3,0),0)</f>
        <v>0</v>
      </c>
      <c r="O237">
        <f>IFERROR(VLOOKUP($A237,[4]数据处理!$A:$N,14,0),0)</f>
        <v>0</v>
      </c>
      <c r="P237" t="str">
        <f>IFERROR(VLOOKUP($A237,[5]库存使用数据!$A:$B,2,0),"")</f>
        <v/>
      </c>
      <c r="Q237" t="str">
        <f>IFERROR(VLOOKUP($A237,[5]库存使用数据!$A:$E,5,0),"")</f>
        <v/>
      </c>
      <c r="R237" t="str">
        <f>IFERROR(VLOOKUP($A237,[5]库存使用数据!$A:$H,8,0),"")</f>
        <v/>
      </c>
      <c r="S237" t="str">
        <f>IFERROR(VLOOKUP($A237,[5]库存使用数据!$A:$K,11,0),"")</f>
        <v/>
      </c>
      <c r="T237" t="str">
        <f>IFERROR(VLOOKUP($A237,[5]库存使用数据!$A:$C,3,0),"")</f>
        <v/>
      </c>
      <c r="U237" t="str">
        <f>IFERROR(VLOOKUP($A237,[5]库存使用数据!$A:$F,6,0),"")</f>
        <v/>
      </c>
      <c r="V237" t="str">
        <f>IFERROR(VLOOKUP($A237,[5]库存使用数据!$A:$I,9,0),"")</f>
        <v/>
      </c>
      <c r="W237" t="str">
        <f>IFERROR(VLOOKUP($A237,[5]库存使用数据!$A:$L,12,0),"")</f>
        <v/>
      </c>
      <c r="X237" s="23" t="str">
        <f t="shared" si="60"/>
        <v/>
      </c>
      <c r="Y237" s="23" t="str">
        <f t="shared" si="61"/>
        <v/>
      </c>
      <c r="Z237" s="23" t="str">
        <f t="shared" si="62"/>
        <v/>
      </c>
      <c r="AA237" s="23" t="str">
        <f t="shared" si="63"/>
        <v/>
      </c>
      <c r="AB237" t="str">
        <f>IFERROR(VLOOKUP($A237,[5]库存使用数据!$A:$D,4,0),"")</f>
        <v/>
      </c>
      <c r="AC237" t="str">
        <f>IFERROR(VLOOKUP($A237,[5]库存使用数据!$A:$G,7,0),"")</f>
        <v/>
      </c>
      <c r="AD237" t="str">
        <f>IFERROR(VLOOKUP($A237,[5]库存使用数据!$A:$J,10,0),"")</f>
        <v/>
      </c>
      <c r="AE237" t="str">
        <f>IFERROR(VLOOKUP($A237,[5]库存使用数据!$A:$M,13,0),"")</f>
        <v/>
      </c>
      <c r="AF237" s="23" t="str">
        <f t="shared" si="64"/>
        <v/>
      </c>
      <c r="AG237" s="23" t="str">
        <f t="shared" si="65"/>
        <v/>
      </c>
      <c r="AH237" s="23" t="str">
        <f t="shared" si="66"/>
        <v/>
      </c>
      <c r="AI237" s="23" t="str">
        <f t="shared" si="67"/>
        <v/>
      </c>
      <c r="AJ237">
        <f>IFERROR(VLOOKUP($B237,[1]库存报告使用数据!$A$1:$B$65536,2,0),0)</f>
        <v>0</v>
      </c>
      <c r="AK237">
        <f>IFERROR(VLOOKUP($B237,[1]库存报告使用数据!$A$1:$C$65536,3,0),0)</f>
        <v>0</v>
      </c>
      <c r="AL237">
        <f>IFERROR(VLOOKUP($B237,[1]库存报告使用数据!$A$1:$D$65536,4,0),0)</f>
        <v>0</v>
      </c>
      <c r="AM237">
        <f>IFERROR(VLOOKUP($B237,[1]库存报告使用数据!$A$1:$E$65536,5,0),0)</f>
        <v>0</v>
      </c>
      <c r="AN237" s="23" t="str">
        <f t="shared" si="68"/>
        <v/>
      </c>
      <c r="AO237" s="23" t="str">
        <f t="shared" si="69"/>
        <v/>
      </c>
      <c r="AP237" s="23" t="str">
        <f t="shared" si="70"/>
        <v/>
      </c>
      <c r="AQ237" s="23" t="str">
        <f t="shared" si="71"/>
        <v/>
      </c>
      <c r="AR237" s="38">
        <f t="shared" si="56"/>
        <v>0</v>
      </c>
      <c r="AS237" s="38">
        <f t="shared" si="57"/>
        <v>0</v>
      </c>
      <c r="AT237" s="38">
        <f t="shared" si="58"/>
        <v>0</v>
      </c>
      <c r="AU237" s="33" t="str">
        <f t="shared" si="59"/>
        <v>库存为0</v>
      </c>
      <c r="AV237" s="39" t="str">
        <f>IFERROR(时间!$B$4+AU237,"上周无销量")</f>
        <v>上周无销量</v>
      </c>
    </row>
    <row r="238" spans="1:48">
      <c r="A238" s="35" t="s">
        <v>283</v>
      </c>
      <c r="B238" t="str">
        <f>VLOOKUP(A238,'[2]sku-asin（子）'!$A:$B,2,0)</f>
        <v>B074FR8NL9</v>
      </c>
      <c r="C238" t="str">
        <f>VLOOKUP(A238,'[2]子sku-父sku'!$A:$B,2,0)</f>
        <v>N89118K</v>
      </c>
      <c r="D238" s="33">
        <f>IFERROR(VLOOKUP(A238,[3]库存报告使用数据处理!$A:$C,3,0),0)</f>
        <v>0</v>
      </c>
      <c r="E238" s="33">
        <f>IFERROR(VLOOKUP(A238,[3]库存报告使用数据处理!$A:$D,4,0),0)</f>
        <v>0</v>
      </c>
      <c r="F238" s="33">
        <f>IFERROR(VLOOKUP(A238,[3]库存报告使用数据处理!$A:$E,5,0),0)</f>
        <v>0</v>
      </c>
      <c r="G238" s="33">
        <f>IFERROR(VLOOKUP(A238,[3]库存报告使用数据处理!$A:$F,6,0),0)</f>
        <v>0</v>
      </c>
      <c r="H238" s="34">
        <f>IFERROR(VLOOKUP(A238,[3]库存报告使用数据处理!$A:$G,7,0),0)</f>
        <v>0</v>
      </c>
      <c r="I238">
        <f>IFERROR(VLOOKUP(A238,[4]数据处理!$A:$B,2,0),0)</f>
        <v>1</v>
      </c>
      <c r="J238" s="36">
        <f>IFERROR(VLOOKUP(A238,[4]数据处理!$A:$D,4,0),0)</f>
        <v>0</v>
      </c>
      <c r="K238" s="36">
        <f>IFERROR(VLOOKUP(A238,[4]数据处理!$A:$E,5,0),0)</f>
        <v>0</v>
      </c>
      <c r="L238" s="36">
        <f>IFERROR(VLOOKUP(A238,[4]数据处理!$A:$G,7,0),0)</f>
        <v>0</v>
      </c>
      <c r="M238">
        <f t="shared" si="55"/>
        <v>1</v>
      </c>
      <c r="N238">
        <f>IFERROR(VLOOKUP(A238,[4]数据处理!$A:$C,3,0),0)</f>
        <v>0</v>
      </c>
      <c r="O238">
        <f>IFERROR(VLOOKUP($A238,[4]数据处理!$A:$N,14,0),0)</f>
        <v>1</v>
      </c>
      <c r="P238" t="str">
        <f>IFERROR(VLOOKUP($A238,[5]库存使用数据!$A:$B,2,0),"")</f>
        <v/>
      </c>
      <c r="Q238" t="str">
        <f>IFERROR(VLOOKUP($A238,[5]库存使用数据!$A:$E,5,0),"")</f>
        <v/>
      </c>
      <c r="R238" t="str">
        <f>IFERROR(VLOOKUP($A238,[5]库存使用数据!$A:$H,8,0),"")</f>
        <v/>
      </c>
      <c r="S238" t="str">
        <f>IFERROR(VLOOKUP($A238,[5]库存使用数据!$A:$K,11,0),"")</f>
        <v/>
      </c>
      <c r="T238" t="str">
        <f>IFERROR(VLOOKUP($A238,[5]库存使用数据!$A:$C,3,0),"")</f>
        <v/>
      </c>
      <c r="U238" t="str">
        <f>IFERROR(VLOOKUP($A238,[5]库存使用数据!$A:$F,6,0),"")</f>
        <v/>
      </c>
      <c r="V238" t="str">
        <f>IFERROR(VLOOKUP($A238,[5]库存使用数据!$A:$I,9,0),"")</f>
        <v/>
      </c>
      <c r="W238" t="str">
        <f>IFERROR(VLOOKUP($A238,[5]库存使用数据!$A:$L,12,0),"")</f>
        <v/>
      </c>
      <c r="X238" s="23" t="str">
        <f t="shared" si="60"/>
        <v/>
      </c>
      <c r="Y238" s="23" t="str">
        <f t="shared" si="61"/>
        <v/>
      </c>
      <c r="Z238" s="23" t="str">
        <f t="shared" si="62"/>
        <v/>
      </c>
      <c r="AA238" s="23" t="str">
        <f t="shared" si="63"/>
        <v/>
      </c>
      <c r="AB238" t="str">
        <f>IFERROR(VLOOKUP($A238,[5]库存使用数据!$A:$D,4,0),"")</f>
        <v/>
      </c>
      <c r="AC238" t="str">
        <f>IFERROR(VLOOKUP($A238,[5]库存使用数据!$A:$G,7,0),"")</f>
        <v/>
      </c>
      <c r="AD238" t="str">
        <f>IFERROR(VLOOKUP($A238,[5]库存使用数据!$A:$J,10,0),"")</f>
        <v/>
      </c>
      <c r="AE238" t="str">
        <f>IFERROR(VLOOKUP($A238,[5]库存使用数据!$A:$M,13,0),"")</f>
        <v/>
      </c>
      <c r="AF238" s="23" t="str">
        <f t="shared" si="64"/>
        <v/>
      </c>
      <c r="AG238" s="23" t="str">
        <f t="shared" si="65"/>
        <v/>
      </c>
      <c r="AH238" s="23" t="str">
        <f t="shared" si="66"/>
        <v/>
      </c>
      <c r="AI238" s="23" t="str">
        <f t="shared" si="67"/>
        <v/>
      </c>
      <c r="AJ238">
        <f>IFERROR(VLOOKUP($B238,[1]库存报告使用数据!$A$1:$B$65536,2,0),0)</f>
        <v>2</v>
      </c>
      <c r="AK238">
        <f>IFERROR(VLOOKUP($B238,[1]库存报告使用数据!$A$1:$C$65536,3,0),0)</f>
        <v>1</v>
      </c>
      <c r="AL238">
        <f>IFERROR(VLOOKUP($B238,[1]库存报告使用数据!$A$1:$D$65536,4,0),0)</f>
        <v>0</v>
      </c>
      <c r="AM238">
        <f>IFERROR(VLOOKUP($B238,[1]库存报告使用数据!$A$1:$E$65536,5,0),0)</f>
        <v>0</v>
      </c>
      <c r="AN238" s="23">
        <f t="shared" si="68"/>
        <v>0</v>
      </c>
      <c r="AO238" s="23">
        <f t="shared" si="69"/>
        <v>0</v>
      </c>
      <c r="AP238" s="23" t="str">
        <f t="shared" si="70"/>
        <v/>
      </c>
      <c r="AQ238" s="23" t="str">
        <f t="shared" si="71"/>
        <v/>
      </c>
      <c r="AR238" s="38">
        <f t="shared" si="56"/>
        <v>0</v>
      </c>
      <c r="AS238" s="38">
        <f t="shared" si="57"/>
        <v>0</v>
      </c>
      <c r="AT238" s="38">
        <f t="shared" si="58"/>
        <v>1</v>
      </c>
      <c r="AU238" s="33" t="str">
        <f t="shared" si="59"/>
        <v>库存为1</v>
      </c>
      <c r="AV238" s="39" t="str">
        <f>IFERROR(时间!$B$4+AU238,"上周无销量")</f>
        <v>上周无销量</v>
      </c>
    </row>
    <row r="239" spans="1:48">
      <c r="A239" s="35" t="s">
        <v>284</v>
      </c>
      <c r="B239" t="str">
        <f>VLOOKUP(A239,'[2]sku-asin（子）'!$A:$B,2,0)</f>
        <v>B074FT3DCL</v>
      </c>
      <c r="C239" t="str">
        <f>VLOOKUP(A239,'[2]子sku-父sku'!$A:$B,2,0)</f>
        <v>N89118K</v>
      </c>
      <c r="D239" s="33">
        <f>IFERROR(VLOOKUP(A239,[3]库存报告使用数据处理!$A:$C,3,0),0)</f>
        <v>0</v>
      </c>
      <c r="E239" s="33">
        <f>IFERROR(VLOOKUP(A239,[3]库存报告使用数据处理!$A:$D,4,0),0)</f>
        <v>0</v>
      </c>
      <c r="F239" s="33">
        <f>IFERROR(VLOOKUP(A239,[3]库存报告使用数据处理!$A:$E,5,0),0)</f>
        <v>0</v>
      </c>
      <c r="G239" s="33">
        <f>IFERROR(VLOOKUP(A239,[3]库存报告使用数据处理!$A:$F,6,0),0)</f>
        <v>0</v>
      </c>
      <c r="H239" s="34">
        <f>IFERROR(VLOOKUP(A239,[3]库存报告使用数据处理!$A:$G,7,0),0)</f>
        <v>0</v>
      </c>
      <c r="I239">
        <f>IFERROR(VLOOKUP(A239,[4]数据处理!$A:$B,2,0),0)</f>
        <v>1</v>
      </c>
      <c r="J239" s="36">
        <f>IFERROR(VLOOKUP(A239,[4]数据处理!$A:$D,4,0),0)</f>
        <v>0</v>
      </c>
      <c r="K239" s="36">
        <f>IFERROR(VLOOKUP(A239,[4]数据处理!$A:$E,5,0),0)</f>
        <v>0</v>
      </c>
      <c r="L239" s="36">
        <f>IFERROR(VLOOKUP(A239,[4]数据处理!$A:$G,7,0),0)</f>
        <v>0</v>
      </c>
      <c r="M239">
        <f t="shared" si="55"/>
        <v>1</v>
      </c>
      <c r="N239">
        <f>IFERROR(VLOOKUP(A239,[4]数据处理!$A:$C,3,0),0)</f>
        <v>0</v>
      </c>
      <c r="O239">
        <f>IFERROR(VLOOKUP($A239,[4]数据处理!$A:$N,14,0),0)</f>
        <v>1</v>
      </c>
      <c r="P239" t="str">
        <f>IFERROR(VLOOKUP($A239,[5]库存使用数据!$A:$B,2,0),"")</f>
        <v/>
      </c>
      <c r="Q239" t="str">
        <f>IFERROR(VLOOKUP($A239,[5]库存使用数据!$A:$E,5,0),"")</f>
        <v/>
      </c>
      <c r="R239" t="str">
        <f>IFERROR(VLOOKUP($A239,[5]库存使用数据!$A:$H,8,0),"")</f>
        <v/>
      </c>
      <c r="S239" t="str">
        <f>IFERROR(VLOOKUP($A239,[5]库存使用数据!$A:$K,11,0),"")</f>
        <v/>
      </c>
      <c r="T239" t="str">
        <f>IFERROR(VLOOKUP($A239,[5]库存使用数据!$A:$C,3,0),"")</f>
        <v/>
      </c>
      <c r="U239" t="str">
        <f>IFERROR(VLOOKUP($A239,[5]库存使用数据!$A:$F,6,0),"")</f>
        <v/>
      </c>
      <c r="V239" t="str">
        <f>IFERROR(VLOOKUP($A239,[5]库存使用数据!$A:$I,9,0),"")</f>
        <v/>
      </c>
      <c r="W239" t="str">
        <f>IFERROR(VLOOKUP($A239,[5]库存使用数据!$A:$L,12,0),"")</f>
        <v/>
      </c>
      <c r="X239" s="23" t="str">
        <f t="shared" si="60"/>
        <v/>
      </c>
      <c r="Y239" s="23" t="str">
        <f t="shared" si="61"/>
        <v/>
      </c>
      <c r="Z239" s="23" t="str">
        <f t="shared" si="62"/>
        <v/>
      </c>
      <c r="AA239" s="23" t="str">
        <f t="shared" si="63"/>
        <v/>
      </c>
      <c r="AB239" t="str">
        <f>IFERROR(VLOOKUP($A239,[5]库存使用数据!$A:$D,4,0),"")</f>
        <v/>
      </c>
      <c r="AC239" t="str">
        <f>IFERROR(VLOOKUP($A239,[5]库存使用数据!$A:$G,7,0),"")</f>
        <v/>
      </c>
      <c r="AD239" t="str">
        <f>IFERROR(VLOOKUP($A239,[5]库存使用数据!$A:$J,10,0),"")</f>
        <v/>
      </c>
      <c r="AE239" t="str">
        <f>IFERROR(VLOOKUP($A239,[5]库存使用数据!$A:$M,13,0),"")</f>
        <v/>
      </c>
      <c r="AF239" s="23" t="str">
        <f t="shared" si="64"/>
        <v/>
      </c>
      <c r="AG239" s="23" t="str">
        <f t="shared" si="65"/>
        <v/>
      </c>
      <c r="AH239" s="23" t="str">
        <f t="shared" si="66"/>
        <v/>
      </c>
      <c r="AI239" s="23" t="str">
        <f t="shared" si="67"/>
        <v/>
      </c>
      <c r="AJ239">
        <f>IFERROR(VLOOKUP($B239,[1]库存报告使用数据!$A$1:$B$65536,2,0),0)</f>
        <v>1</v>
      </c>
      <c r="AK239">
        <f>IFERROR(VLOOKUP($B239,[1]库存报告使用数据!$A$1:$C$65536,3,0),0)</f>
        <v>1</v>
      </c>
      <c r="AL239">
        <f>IFERROR(VLOOKUP($B239,[1]库存报告使用数据!$A$1:$D$65536,4,0),0)</f>
        <v>0</v>
      </c>
      <c r="AM239">
        <f>IFERROR(VLOOKUP($B239,[1]库存报告使用数据!$A$1:$E$65536,5,0),0)</f>
        <v>2</v>
      </c>
      <c r="AN239" s="23">
        <f t="shared" si="68"/>
        <v>0</v>
      </c>
      <c r="AO239" s="23">
        <f t="shared" si="69"/>
        <v>0</v>
      </c>
      <c r="AP239" s="23" t="str">
        <f t="shared" si="70"/>
        <v/>
      </c>
      <c r="AQ239" s="23">
        <f t="shared" si="71"/>
        <v>0</v>
      </c>
      <c r="AR239" s="38">
        <f t="shared" si="56"/>
        <v>0</v>
      </c>
      <c r="AS239" s="38">
        <f t="shared" si="57"/>
        <v>0</v>
      </c>
      <c r="AT239" s="38">
        <f t="shared" si="58"/>
        <v>1</v>
      </c>
      <c r="AU239" s="33" t="str">
        <f t="shared" si="59"/>
        <v>库存为1</v>
      </c>
      <c r="AV239" s="39" t="str">
        <f>IFERROR(时间!$B$4+AU239,"上周无销量")</f>
        <v>上周无销量</v>
      </c>
    </row>
    <row r="240" spans="1:48">
      <c r="A240" s="35" t="s">
        <v>285</v>
      </c>
      <c r="B240" t="str">
        <f>VLOOKUP(A240,'[2]sku-asin（子）'!$A:$B,2,0)</f>
        <v>B074FQ84QJ</v>
      </c>
      <c r="C240" t="str">
        <f>VLOOKUP(A240,'[2]子sku-父sku'!$A:$B,2,0)</f>
        <v>N89118K</v>
      </c>
      <c r="D240" s="33">
        <f>IFERROR(VLOOKUP(A240,[3]库存报告使用数据处理!$A:$C,3,0),0)</f>
        <v>0</v>
      </c>
      <c r="E240" s="33">
        <f>IFERROR(VLOOKUP(A240,[3]库存报告使用数据处理!$A:$D,4,0),0)</f>
        <v>0</v>
      </c>
      <c r="F240" s="33">
        <f>IFERROR(VLOOKUP(A240,[3]库存报告使用数据处理!$A:$E,5,0),0)</f>
        <v>0</v>
      </c>
      <c r="G240" s="33">
        <f>IFERROR(VLOOKUP(A240,[3]库存报告使用数据处理!$A:$F,6,0),0)</f>
        <v>0</v>
      </c>
      <c r="H240" s="34">
        <f>IFERROR(VLOOKUP(A240,[3]库存报告使用数据处理!$A:$G,7,0),0)</f>
        <v>0</v>
      </c>
      <c r="I240">
        <f>IFERROR(VLOOKUP(A240,[4]数据处理!$A:$B,2,0),0)</f>
        <v>1</v>
      </c>
      <c r="J240" s="36">
        <f>IFERROR(VLOOKUP(A240,[4]数据处理!$A:$D,4,0),0)</f>
        <v>0</v>
      </c>
      <c r="K240" s="36">
        <f>IFERROR(VLOOKUP(A240,[4]数据处理!$A:$E,5,0),0)</f>
        <v>0</v>
      </c>
      <c r="L240" s="36">
        <f>IFERROR(VLOOKUP(A240,[4]数据处理!$A:$G,7,0),0)</f>
        <v>0</v>
      </c>
      <c r="M240">
        <f t="shared" si="55"/>
        <v>1</v>
      </c>
      <c r="N240">
        <f>IFERROR(VLOOKUP(A240,[4]数据处理!$A:$C,3,0),0)</f>
        <v>0</v>
      </c>
      <c r="O240">
        <f>IFERROR(VLOOKUP($A240,[4]数据处理!$A:$N,14,0),0)</f>
        <v>1</v>
      </c>
      <c r="P240" t="str">
        <f>IFERROR(VLOOKUP($A240,[5]库存使用数据!$A:$B,2,0),"")</f>
        <v/>
      </c>
      <c r="Q240" t="str">
        <f>IFERROR(VLOOKUP($A240,[5]库存使用数据!$A:$E,5,0),"")</f>
        <v/>
      </c>
      <c r="R240" t="str">
        <f>IFERROR(VLOOKUP($A240,[5]库存使用数据!$A:$H,8,0),"")</f>
        <v/>
      </c>
      <c r="S240" t="str">
        <f>IFERROR(VLOOKUP($A240,[5]库存使用数据!$A:$K,11,0),"")</f>
        <v/>
      </c>
      <c r="T240" t="str">
        <f>IFERROR(VLOOKUP($A240,[5]库存使用数据!$A:$C,3,0),"")</f>
        <v/>
      </c>
      <c r="U240" t="str">
        <f>IFERROR(VLOOKUP($A240,[5]库存使用数据!$A:$F,6,0),"")</f>
        <v/>
      </c>
      <c r="V240" t="str">
        <f>IFERROR(VLOOKUP($A240,[5]库存使用数据!$A:$I,9,0),"")</f>
        <v/>
      </c>
      <c r="W240" t="str">
        <f>IFERROR(VLOOKUP($A240,[5]库存使用数据!$A:$L,12,0),"")</f>
        <v/>
      </c>
      <c r="X240" s="23" t="str">
        <f t="shared" si="60"/>
        <v/>
      </c>
      <c r="Y240" s="23" t="str">
        <f t="shared" si="61"/>
        <v/>
      </c>
      <c r="Z240" s="23" t="str">
        <f t="shared" si="62"/>
        <v/>
      </c>
      <c r="AA240" s="23" t="str">
        <f t="shared" si="63"/>
        <v/>
      </c>
      <c r="AB240" t="str">
        <f>IFERROR(VLOOKUP($A240,[5]库存使用数据!$A:$D,4,0),"")</f>
        <v/>
      </c>
      <c r="AC240" t="str">
        <f>IFERROR(VLOOKUP($A240,[5]库存使用数据!$A:$G,7,0),"")</f>
        <v/>
      </c>
      <c r="AD240" t="str">
        <f>IFERROR(VLOOKUP($A240,[5]库存使用数据!$A:$J,10,0),"")</f>
        <v/>
      </c>
      <c r="AE240" t="str">
        <f>IFERROR(VLOOKUP($A240,[5]库存使用数据!$A:$M,13,0),"")</f>
        <v/>
      </c>
      <c r="AF240" s="23" t="str">
        <f t="shared" si="64"/>
        <v/>
      </c>
      <c r="AG240" s="23" t="str">
        <f t="shared" si="65"/>
        <v/>
      </c>
      <c r="AH240" s="23" t="str">
        <f t="shared" si="66"/>
        <v/>
      </c>
      <c r="AI240" s="23" t="str">
        <f t="shared" si="67"/>
        <v/>
      </c>
      <c r="AJ240">
        <f>IFERROR(VLOOKUP($B240,[1]库存报告使用数据!$A$1:$B$65536,2,0),0)</f>
        <v>1</v>
      </c>
      <c r="AK240">
        <f>IFERROR(VLOOKUP($B240,[1]库存报告使用数据!$A$1:$C$65536,3,0),0)</f>
        <v>0</v>
      </c>
      <c r="AL240">
        <f>IFERROR(VLOOKUP($B240,[1]库存报告使用数据!$A$1:$D$65536,4,0),0)</f>
        <v>0</v>
      </c>
      <c r="AM240">
        <f>IFERROR(VLOOKUP($B240,[1]库存报告使用数据!$A$1:$E$65536,5,0),0)</f>
        <v>1</v>
      </c>
      <c r="AN240" s="23">
        <f t="shared" si="68"/>
        <v>0</v>
      </c>
      <c r="AO240" s="23" t="str">
        <f t="shared" si="69"/>
        <v/>
      </c>
      <c r="AP240" s="23" t="str">
        <f t="shared" si="70"/>
        <v/>
      </c>
      <c r="AQ240" s="23">
        <f t="shared" si="71"/>
        <v>0</v>
      </c>
      <c r="AR240" s="38">
        <f t="shared" si="56"/>
        <v>0</v>
      </c>
      <c r="AS240" s="38">
        <f t="shared" si="57"/>
        <v>0</v>
      </c>
      <c r="AT240" s="38">
        <f t="shared" si="58"/>
        <v>1</v>
      </c>
      <c r="AU240" s="33" t="str">
        <f t="shared" si="59"/>
        <v>库存为1</v>
      </c>
      <c r="AV240" s="39" t="str">
        <f>IFERROR(时间!$B$4+AU240,"上周无销量")</f>
        <v>上周无销量</v>
      </c>
    </row>
    <row r="241" spans="1:48">
      <c r="A241" s="35" t="s">
        <v>286</v>
      </c>
      <c r="B241" t="str">
        <f>VLOOKUP(A241,'[2]sku-asin（子）'!$A:$B,2,0)</f>
        <v>B074FT665V</v>
      </c>
      <c r="C241" t="str">
        <f>VLOOKUP(A241,'[2]子sku-父sku'!$A:$B,2,0)</f>
        <v>N89119K</v>
      </c>
      <c r="D241" s="33">
        <f>IFERROR(VLOOKUP(A241,[3]库存报告使用数据处理!$A:$C,3,0),0)</f>
        <v>0</v>
      </c>
      <c r="E241" s="33">
        <f>IFERROR(VLOOKUP(A241,[3]库存报告使用数据处理!$A:$D,4,0),0)</f>
        <v>0</v>
      </c>
      <c r="F241" s="33">
        <f>IFERROR(VLOOKUP(A241,[3]库存报告使用数据处理!$A:$E,5,0),0)</f>
        <v>0</v>
      </c>
      <c r="G241" s="33">
        <f>IFERROR(VLOOKUP(A241,[3]库存报告使用数据处理!$A:$F,6,0),0)</f>
        <v>0</v>
      </c>
      <c r="H241" s="34">
        <f>IFERROR(VLOOKUP(A241,[3]库存报告使用数据处理!$A:$G,7,0),0)</f>
        <v>0</v>
      </c>
      <c r="I241">
        <f>IFERROR(VLOOKUP(A241,[4]数据处理!$A:$B,2,0),0)</f>
        <v>1</v>
      </c>
      <c r="J241" s="36">
        <f>IFERROR(VLOOKUP(A241,[4]数据处理!$A:$D,4,0),0)</f>
        <v>0</v>
      </c>
      <c r="K241" s="36">
        <f>IFERROR(VLOOKUP(A241,[4]数据处理!$A:$E,5,0),0)</f>
        <v>0</v>
      </c>
      <c r="L241" s="36">
        <f>IFERROR(VLOOKUP(A241,[4]数据处理!$A:$G,7,0),0)</f>
        <v>0</v>
      </c>
      <c r="M241">
        <f t="shared" si="55"/>
        <v>1</v>
      </c>
      <c r="N241">
        <f>IFERROR(VLOOKUP(A241,[4]数据处理!$A:$C,3,0),0)</f>
        <v>0</v>
      </c>
      <c r="O241">
        <f>IFERROR(VLOOKUP($A241,[4]数据处理!$A:$N,14,0),0)</f>
        <v>1</v>
      </c>
      <c r="P241" t="str">
        <f>IFERROR(VLOOKUP($A241,[5]库存使用数据!$A:$B,2,0),"")</f>
        <v/>
      </c>
      <c r="Q241" t="str">
        <f>IFERROR(VLOOKUP($A241,[5]库存使用数据!$A:$E,5,0),"")</f>
        <v/>
      </c>
      <c r="R241" t="str">
        <f>IFERROR(VLOOKUP($A241,[5]库存使用数据!$A:$H,8,0),"")</f>
        <v/>
      </c>
      <c r="S241" t="str">
        <f>IFERROR(VLOOKUP($A241,[5]库存使用数据!$A:$K,11,0),"")</f>
        <v/>
      </c>
      <c r="T241" t="str">
        <f>IFERROR(VLOOKUP($A241,[5]库存使用数据!$A:$C,3,0),"")</f>
        <v/>
      </c>
      <c r="U241" t="str">
        <f>IFERROR(VLOOKUP($A241,[5]库存使用数据!$A:$F,6,0),"")</f>
        <v/>
      </c>
      <c r="V241" t="str">
        <f>IFERROR(VLOOKUP($A241,[5]库存使用数据!$A:$I,9,0),"")</f>
        <v/>
      </c>
      <c r="W241" t="str">
        <f>IFERROR(VLOOKUP($A241,[5]库存使用数据!$A:$L,12,0),"")</f>
        <v/>
      </c>
      <c r="X241" s="23" t="str">
        <f t="shared" si="60"/>
        <v/>
      </c>
      <c r="Y241" s="23" t="str">
        <f t="shared" si="61"/>
        <v/>
      </c>
      <c r="Z241" s="23" t="str">
        <f t="shared" si="62"/>
        <v/>
      </c>
      <c r="AA241" s="23" t="str">
        <f t="shared" si="63"/>
        <v/>
      </c>
      <c r="AB241" t="str">
        <f>IFERROR(VLOOKUP($A241,[5]库存使用数据!$A:$D,4,0),"")</f>
        <v/>
      </c>
      <c r="AC241" t="str">
        <f>IFERROR(VLOOKUP($A241,[5]库存使用数据!$A:$G,7,0),"")</f>
        <v/>
      </c>
      <c r="AD241" t="str">
        <f>IFERROR(VLOOKUP($A241,[5]库存使用数据!$A:$J,10,0),"")</f>
        <v/>
      </c>
      <c r="AE241" t="str">
        <f>IFERROR(VLOOKUP($A241,[5]库存使用数据!$A:$M,13,0),"")</f>
        <v/>
      </c>
      <c r="AF241" s="23" t="str">
        <f t="shared" si="64"/>
        <v/>
      </c>
      <c r="AG241" s="23" t="str">
        <f t="shared" si="65"/>
        <v/>
      </c>
      <c r="AH241" s="23" t="str">
        <f t="shared" si="66"/>
        <v/>
      </c>
      <c r="AI241" s="23" t="str">
        <f t="shared" si="67"/>
        <v/>
      </c>
      <c r="AJ241">
        <f>IFERROR(VLOOKUP($B241,[1]库存报告使用数据!$A$1:$B$65536,2,0),0)</f>
        <v>1</v>
      </c>
      <c r="AK241">
        <f>IFERROR(VLOOKUP($B241,[1]库存报告使用数据!$A$1:$C$65536,3,0),0)</f>
        <v>1</v>
      </c>
      <c r="AL241">
        <f>IFERROR(VLOOKUP($B241,[1]库存报告使用数据!$A$1:$D$65536,4,0),0)</f>
        <v>0</v>
      </c>
      <c r="AM241">
        <f>IFERROR(VLOOKUP($B241,[1]库存报告使用数据!$A$1:$E$65536,5,0),0)</f>
        <v>1</v>
      </c>
      <c r="AN241" s="23">
        <f t="shared" si="68"/>
        <v>0</v>
      </c>
      <c r="AO241" s="23">
        <f t="shared" si="69"/>
        <v>0</v>
      </c>
      <c r="AP241" s="23" t="str">
        <f t="shared" si="70"/>
        <v/>
      </c>
      <c r="AQ241" s="23">
        <f t="shared" si="71"/>
        <v>0</v>
      </c>
      <c r="AR241" s="38">
        <f t="shared" si="56"/>
        <v>0</v>
      </c>
      <c r="AS241" s="38">
        <f t="shared" si="57"/>
        <v>0</v>
      </c>
      <c r="AT241" s="38">
        <f t="shared" si="58"/>
        <v>1</v>
      </c>
      <c r="AU241" s="33" t="str">
        <f t="shared" si="59"/>
        <v>库存为1</v>
      </c>
      <c r="AV241" s="39" t="str">
        <f>IFERROR(时间!$B$4+AU241,"上周无销量")</f>
        <v>上周无销量</v>
      </c>
    </row>
    <row r="242" spans="1:48">
      <c r="A242" s="35" t="s">
        <v>287</v>
      </c>
      <c r="B242" t="str">
        <f>VLOOKUP(A242,'[2]sku-asin（子）'!$A:$B,2,0)</f>
        <v>B074FSW752</v>
      </c>
      <c r="C242" t="str">
        <f>VLOOKUP(A242,'[2]子sku-父sku'!$A:$B,2,0)</f>
        <v>N89119K</v>
      </c>
      <c r="D242" s="33">
        <f>IFERROR(VLOOKUP(A242,[3]库存报告使用数据处理!$A:$C,3,0),0)</f>
        <v>0</v>
      </c>
      <c r="E242" s="33">
        <f>IFERROR(VLOOKUP(A242,[3]库存报告使用数据处理!$A:$D,4,0),0)</f>
        <v>0</v>
      </c>
      <c r="F242" s="33">
        <f>IFERROR(VLOOKUP(A242,[3]库存报告使用数据处理!$A:$E,5,0),0)</f>
        <v>0</v>
      </c>
      <c r="G242" s="33">
        <f>IFERROR(VLOOKUP(A242,[3]库存报告使用数据处理!$A:$F,6,0),0)</f>
        <v>0</v>
      </c>
      <c r="H242" s="34">
        <f>IFERROR(VLOOKUP(A242,[3]库存报告使用数据处理!$A:$G,7,0),0)</f>
        <v>0</v>
      </c>
      <c r="I242">
        <f>IFERROR(VLOOKUP(A242,[4]数据处理!$A:$B,2,0),0)</f>
        <v>1</v>
      </c>
      <c r="J242" s="36">
        <f>IFERROR(VLOOKUP(A242,[4]数据处理!$A:$D,4,0),0)</f>
        <v>0</v>
      </c>
      <c r="K242" s="36">
        <f>IFERROR(VLOOKUP(A242,[4]数据处理!$A:$E,5,0),0)</f>
        <v>0</v>
      </c>
      <c r="L242" s="36">
        <f>IFERROR(VLOOKUP(A242,[4]数据处理!$A:$G,7,0),0)</f>
        <v>0</v>
      </c>
      <c r="M242">
        <f t="shared" si="55"/>
        <v>1</v>
      </c>
      <c r="N242">
        <f>IFERROR(VLOOKUP(A242,[4]数据处理!$A:$C,3,0),0)</f>
        <v>0</v>
      </c>
      <c r="O242">
        <f>IFERROR(VLOOKUP($A242,[4]数据处理!$A:$N,14,0),0)</f>
        <v>1</v>
      </c>
      <c r="P242" t="str">
        <f>IFERROR(VLOOKUP($A242,[5]库存使用数据!$A:$B,2,0),"")</f>
        <v/>
      </c>
      <c r="Q242" t="str">
        <f>IFERROR(VLOOKUP($A242,[5]库存使用数据!$A:$E,5,0),"")</f>
        <v/>
      </c>
      <c r="R242" t="str">
        <f>IFERROR(VLOOKUP($A242,[5]库存使用数据!$A:$H,8,0),"")</f>
        <v/>
      </c>
      <c r="S242" t="str">
        <f>IFERROR(VLOOKUP($A242,[5]库存使用数据!$A:$K,11,0),"")</f>
        <v/>
      </c>
      <c r="T242" t="str">
        <f>IFERROR(VLOOKUP($A242,[5]库存使用数据!$A:$C,3,0),"")</f>
        <v/>
      </c>
      <c r="U242" t="str">
        <f>IFERROR(VLOOKUP($A242,[5]库存使用数据!$A:$F,6,0),"")</f>
        <v/>
      </c>
      <c r="V242" t="str">
        <f>IFERROR(VLOOKUP($A242,[5]库存使用数据!$A:$I,9,0),"")</f>
        <v/>
      </c>
      <c r="W242" t="str">
        <f>IFERROR(VLOOKUP($A242,[5]库存使用数据!$A:$L,12,0),"")</f>
        <v/>
      </c>
      <c r="X242" s="23" t="str">
        <f t="shared" si="60"/>
        <v/>
      </c>
      <c r="Y242" s="23" t="str">
        <f t="shared" si="61"/>
        <v/>
      </c>
      <c r="Z242" s="23" t="str">
        <f t="shared" si="62"/>
        <v/>
      </c>
      <c r="AA242" s="23" t="str">
        <f t="shared" si="63"/>
        <v/>
      </c>
      <c r="AB242" t="str">
        <f>IFERROR(VLOOKUP($A242,[5]库存使用数据!$A:$D,4,0),"")</f>
        <v/>
      </c>
      <c r="AC242" t="str">
        <f>IFERROR(VLOOKUP($A242,[5]库存使用数据!$A:$G,7,0),"")</f>
        <v/>
      </c>
      <c r="AD242" t="str">
        <f>IFERROR(VLOOKUP($A242,[5]库存使用数据!$A:$J,10,0),"")</f>
        <v/>
      </c>
      <c r="AE242" t="str">
        <f>IFERROR(VLOOKUP($A242,[5]库存使用数据!$A:$M,13,0),"")</f>
        <v/>
      </c>
      <c r="AF242" s="23" t="str">
        <f t="shared" si="64"/>
        <v/>
      </c>
      <c r="AG242" s="23" t="str">
        <f t="shared" si="65"/>
        <v/>
      </c>
      <c r="AH242" s="23" t="str">
        <f t="shared" si="66"/>
        <v/>
      </c>
      <c r="AI242" s="23" t="str">
        <f t="shared" si="67"/>
        <v/>
      </c>
      <c r="AJ242">
        <f>IFERROR(VLOOKUP($B242,[1]库存报告使用数据!$A$1:$B$65536,2,0),0)</f>
        <v>4</v>
      </c>
      <c r="AK242">
        <f>IFERROR(VLOOKUP($B242,[1]库存报告使用数据!$A$1:$C$65536,3,0),0)</f>
        <v>1</v>
      </c>
      <c r="AL242">
        <f>IFERROR(VLOOKUP($B242,[1]库存报告使用数据!$A$1:$D$65536,4,0),0)</f>
        <v>1</v>
      </c>
      <c r="AM242">
        <f>IFERROR(VLOOKUP($B242,[1]库存报告使用数据!$A$1:$E$65536,5,0),0)</f>
        <v>1</v>
      </c>
      <c r="AN242" s="23">
        <f t="shared" si="68"/>
        <v>0</v>
      </c>
      <c r="AO242" s="23">
        <f t="shared" si="69"/>
        <v>0</v>
      </c>
      <c r="AP242" s="23">
        <f t="shared" si="70"/>
        <v>0</v>
      </c>
      <c r="AQ242" s="23">
        <f t="shared" si="71"/>
        <v>0</v>
      </c>
      <c r="AR242" s="38">
        <f t="shared" si="56"/>
        <v>0</v>
      </c>
      <c r="AS242" s="38">
        <f t="shared" si="57"/>
        <v>0</v>
      </c>
      <c r="AT242" s="38">
        <f t="shared" si="58"/>
        <v>1</v>
      </c>
      <c r="AU242" s="33" t="str">
        <f t="shared" si="59"/>
        <v>库存为1</v>
      </c>
      <c r="AV242" s="39" t="str">
        <f>IFERROR(时间!$B$4+AU242,"上周无销量")</f>
        <v>上周无销量</v>
      </c>
    </row>
    <row r="243" spans="1:48">
      <c r="A243" s="35" t="s">
        <v>288</v>
      </c>
      <c r="B243" t="str">
        <f>VLOOKUP(A243,'[2]sku-asin（子）'!$A:$B,2,0)</f>
        <v>B074FVGPRW</v>
      </c>
      <c r="C243" t="str">
        <f>VLOOKUP(A243,'[2]子sku-父sku'!$A:$B,2,0)</f>
        <v>N89119K</v>
      </c>
      <c r="D243" s="33">
        <f>IFERROR(VLOOKUP(A243,[3]库存报告使用数据处理!$A:$C,3,0),0)</f>
        <v>0</v>
      </c>
      <c r="E243" s="33">
        <f>IFERROR(VLOOKUP(A243,[3]库存报告使用数据处理!$A:$D,4,0),0)</f>
        <v>0</v>
      </c>
      <c r="F243" s="33">
        <f>IFERROR(VLOOKUP(A243,[3]库存报告使用数据处理!$A:$E,5,0),0)</f>
        <v>0</v>
      </c>
      <c r="G243" s="33">
        <f>IFERROR(VLOOKUP(A243,[3]库存报告使用数据处理!$A:$F,6,0),0)</f>
        <v>0</v>
      </c>
      <c r="H243" s="34">
        <f>IFERROR(VLOOKUP(A243,[3]库存报告使用数据处理!$A:$G,7,0),0)</f>
        <v>0</v>
      </c>
      <c r="I243">
        <f>IFERROR(VLOOKUP(A243,[4]数据处理!$A:$B,2,0),0)</f>
        <v>1</v>
      </c>
      <c r="J243" s="36">
        <f>IFERROR(VLOOKUP(A243,[4]数据处理!$A:$D,4,0),0)</f>
        <v>0</v>
      </c>
      <c r="K243" s="36">
        <f>IFERROR(VLOOKUP(A243,[4]数据处理!$A:$E,5,0),0)</f>
        <v>0</v>
      </c>
      <c r="L243" s="36">
        <f>IFERROR(VLOOKUP(A243,[4]数据处理!$A:$G,7,0),0)</f>
        <v>0</v>
      </c>
      <c r="M243">
        <f t="shared" si="55"/>
        <v>1</v>
      </c>
      <c r="N243">
        <f>IFERROR(VLOOKUP(A243,[4]数据处理!$A:$C,3,0),0)</f>
        <v>0</v>
      </c>
      <c r="O243">
        <f>IFERROR(VLOOKUP($A243,[4]数据处理!$A:$N,14,0),0)</f>
        <v>1</v>
      </c>
      <c r="P243" t="str">
        <f>IFERROR(VLOOKUP($A243,[5]库存使用数据!$A:$B,2,0),"")</f>
        <v/>
      </c>
      <c r="Q243" t="str">
        <f>IFERROR(VLOOKUP($A243,[5]库存使用数据!$A:$E,5,0),"")</f>
        <v/>
      </c>
      <c r="R243" t="str">
        <f>IFERROR(VLOOKUP($A243,[5]库存使用数据!$A:$H,8,0),"")</f>
        <v/>
      </c>
      <c r="S243" t="str">
        <f>IFERROR(VLOOKUP($A243,[5]库存使用数据!$A:$K,11,0),"")</f>
        <v/>
      </c>
      <c r="T243" t="str">
        <f>IFERROR(VLOOKUP($A243,[5]库存使用数据!$A:$C,3,0),"")</f>
        <v/>
      </c>
      <c r="U243" t="str">
        <f>IFERROR(VLOOKUP($A243,[5]库存使用数据!$A:$F,6,0),"")</f>
        <v/>
      </c>
      <c r="V243" t="str">
        <f>IFERROR(VLOOKUP($A243,[5]库存使用数据!$A:$I,9,0),"")</f>
        <v/>
      </c>
      <c r="W243" t="str">
        <f>IFERROR(VLOOKUP($A243,[5]库存使用数据!$A:$L,12,0),"")</f>
        <v/>
      </c>
      <c r="X243" s="23" t="str">
        <f t="shared" si="60"/>
        <v/>
      </c>
      <c r="Y243" s="23" t="str">
        <f t="shared" si="61"/>
        <v/>
      </c>
      <c r="Z243" s="23" t="str">
        <f t="shared" si="62"/>
        <v/>
      </c>
      <c r="AA243" s="23" t="str">
        <f t="shared" si="63"/>
        <v/>
      </c>
      <c r="AB243" t="str">
        <f>IFERROR(VLOOKUP($A243,[5]库存使用数据!$A:$D,4,0),"")</f>
        <v/>
      </c>
      <c r="AC243" t="str">
        <f>IFERROR(VLOOKUP($A243,[5]库存使用数据!$A:$G,7,0),"")</f>
        <v/>
      </c>
      <c r="AD243" t="str">
        <f>IFERROR(VLOOKUP($A243,[5]库存使用数据!$A:$J,10,0),"")</f>
        <v/>
      </c>
      <c r="AE243" t="str">
        <f>IFERROR(VLOOKUP($A243,[5]库存使用数据!$A:$M,13,0),"")</f>
        <v/>
      </c>
      <c r="AF243" s="23" t="str">
        <f t="shared" si="64"/>
        <v/>
      </c>
      <c r="AG243" s="23" t="str">
        <f t="shared" si="65"/>
        <v/>
      </c>
      <c r="AH243" s="23" t="str">
        <f t="shared" si="66"/>
        <v/>
      </c>
      <c r="AI243" s="23" t="str">
        <f t="shared" si="67"/>
        <v/>
      </c>
      <c r="AJ243">
        <f>IFERROR(VLOOKUP($B243,[1]库存报告使用数据!$A$1:$B$65536,2,0),0)</f>
        <v>2</v>
      </c>
      <c r="AK243">
        <f>IFERROR(VLOOKUP($B243,[1]库存报告使用数据!$A$1:$C$65536,3,0),0)</f>
        <v>2</v>
      </c>
      <c r="AL243">
        <f>IFERROR(VLOOKUP($B243,[1]库存报告使用数据!$A$1:$D$65536,4,0),0)</f>
        <v>0</v>
      </c>
      <c r="AM243">
        <f>IFERROR(VLOOKUP($B243,[1]库存报告使用数据!$A$1:$E$65536,5,0),0)</f>
        <v>2</v>
      </c>
      <c r="AN243" s="23">
        <f t="shared" si="68"/>
        <v>0</v>
      </c>
      <c r="AO243" s="23">
        <f t="shared" si="69"/>
        <v>0</v>
      </c>
      <c r="AP243" s="23" t="str">
        <f t="shared" si="70"/>
        <v/>
      </c>
      <c r="AQ243" s="23">
        <f t="shared" si="71"/>
        <v>0</v>
      </c>
      <c r="AR243" s="38">
        <f t="shared" si="56"/>
        <v>0</v>
      </c>
      <c r="AS243" s="38">
        <f t="shared" si="57"/>
        <v>0</v>
      </c>
      <c r="AT243" s="38">
        <f t="shared" si="58"/>
        <v>1</v>
      </c>
      <c r="AU243" s="33" t="str">
        <f t="shared" si="59"/>
        <v>库存为1</v>
      </c>
      <c r="AV243" s="39" t="str">
        <f>IFERROR(时间!$B$4+AU243,"上周无销量")</f>
        <v>上周无销量</v>
      </c>
    </row>
    <row r="244" spans="1:48">
      <c r="A244" s="35" t="s">
        <v>289</v>
      </c>
      <c r="B244" t="str">
        <f>VLOOKUP(A244,'[2]sku-asin（子）'!$A:$B,2,0)</f>
        <v>B074FYMTFF</v>
      </c>
      <c r="C244" t="str">
        <f>VLOOKUP(A244,'[2]子sku-父sku'!$A:$B,2,0)</f>
        <v>N89119K</v>
      </c>
      <c r="D244" s="33">
        <f>IFERROR(VLOOKUP(A244,[3]库存报告使用数据处理!$A:$C,3,0),0)</f>
        <v>0</v>
      </c>
      <c r="E244" s="33">
        <f>IFERROR(VLOOKUP(A244,[3]库存报告使用数据处理!$A:$D,4,0),0)</f>
        <v>0</v>
      </c>
      <c r="F244" s="33">
        <f>IFERROR(VLOOKUP(A244,[3]库存报告使用数据处理!$A:$E,5,0),0)</f>
        <v>0</v>
      </c>
      <c r="G244" s="33">
        <f>IFERROR(VLOOKUP(A244,[3]库存报告使用数据处理!$A:$F,6,0),0)</f>
        <v>0</v>
      </c>
      <c r="H244" s="34">
        <f>IFERROR(VLOOKUP(A244,[3]库存报告使用数据处理!$A:$G,7,0),0)</f>
        <v>0</v>
      </c>
      <c r="I244">
        <f>IFERROR(VLOOKUP(A244,[4]数据处理!$A:$B,2,0),0)</f>
        <v>1</v>
      </c>
      <c r="J244" s="36">
        <f>IFERROR(VLOOKUP(A244,[4]数据处理!$A:$D,4,0),0)</f>
        <v>0</v>
      </c>
      <c r="K244" s="36">
        <f>IFERROR(VLOOKUP(A244,[4]数据处理!$A:$E,5,0),0)</f>
        <v>0</v>
      </c>
      <c r="L244" s="36">
        <f>IFERROR(VLOOKUP(A244,[4]数据处理!$A:$G,7,0),0)</f>
        <v>0</v>
      </c>
      <c r="M244">
        <f t="shared" si="55"/>
        <v>1</v>
      </c>
      <c r="N244">
        <f>IFERROR(VLOOKUP(A244,[4]数据处理!$A:$C,3,0),0)</f>
        <v>0</v>
      </c>
      <c r="O244">
        <f>IFERROR(VLOOKUP($A244,[4]数据处理!$A:$N,14,0),0)</f>
        <v>1</v>
      </c>
      <c r="P244" t="str">
        <f>IFERROR(VLOOKUP($A244,[5]库存使用数据!$A:$B,2,0),"")</f>
        <v/>
      </c>
      <c r="Q244" t="str">
        <f>IFERROR(VLOOKUP($A244,[5]库存使用数据!$A:$E,5,0),"")</f>
        <v/>
      </c>
      <c r="R244" t="str">
        <f>IFERROR(VLOOKUP($A244,[5]库存使用数据!$A:$H,8,0),"")</f>
        <v/>
      </c>
      <c r="S244" t="str">
        <f>IFERROR(VLOOKUP($A244,[5]库存使用数据!$A:$K,11,0),"")</f>
        <v/>
      </c>
      <c r="T244" t="str">
        <f>IFERROR(VLOOKUP($A244,[5]库存使用数据!$A:$C,3,0),"")</f>
        <v/>
      </c>
      <c r="U244" t="str">
        <f>IFERROR(VLOOKUP($A244,[5]库存使用数据!$A:$F,6,0),"")</f>
        <v/>
      </c>
      <c r="V244" t="str">
        <f>IFERROR(VLOOKUP($A244,[5]库存使用数据!$A:$I,9,0),"")</f>
        <v/>
      </c>
      <c r="W244" t="str">
        <f>IFERROR(VLOOKUP($A244,[5]库存使用数据!$A:$L,12,0),"")</f>
        <v/>
      </c>
      <c r="X244" s="23" t="str">
        <f t="shared" si="60"/>
        <v/>
      </c>
      <c r="Y244" s="23" t="str">
        <f t="shared" si="61"/>
        <v/>
      </c>
      <c r="Z244" s="23" t="str">
        <f t="shared" si="62"/>
        <v/>
      </c>
      <c r="AA244" s="23" t="str">
        <f t="shared" si="63"/>
        <v/>
      </c>
      <c r="AB244" t="str">
        <f>IFERROR(VLOOKUP($A244,[5]库存使用数据!$A:$D,4,0),"")</f>
        <v/>
      </c>
      <c r="AC244" t="str">
        <f>IFERROR(VLOOKUP($A244,[5]库存使用数据!$A:$G,7,0),"")</f>
        <v/>
      </c>
      <c r="AD244" t="str">
        <f>IFERROR(VLOOKUP($A244,[5]库存使用数据!$A:$J,10,0),"")</f>
        <v/>
      </c>
      <c r="AE244" t="str">
        <f>IFERROR(VLOOKUP($A244,[5]库存使用数据!$A:$M,13,0),"")</f>
        <v/>
      </c>
      <c r="AF244" s="23" t="str">
        <f t="shared" si="64"/>
        <v/>
      </c>
      <c r="AG244" s="23" t="str">
        <f t="shared" si="65"/>
        <v/>
      </c>
      <c r="AH244" s="23" t="str">
        <f t="shared" si="66"/>
        <v/>
      </c>
      <c r="AI244" s="23" t="str">
        <f t="shared" si="67"/>
        <v/>
      </c>
      <c r="AJ244">
        <f>IFERROR(VLOOKUP($B244,[1]库存报告使用数据!$A$1:$B$65536,2,0),0)</f>
        <v>0</v>
      </c>
      <c r="AK244">
        <f>IFERROR(VLOOKUP($B244,[1]库存报告使用数据!$A$1:$C$65536,3,0),0)</f>
        <v>2</v>
      </c>
      <c r="AL244">
        <f>IFERROR(VLOOKUP($B244,[1]库存报告使用数据!$A$1:$D$65536,4,0),0)</f>
        <v>1</v>
      </c>
      <c r="AM244">
        <f>IFERROR(VLOOKUP($B244,[1]库存报告使用数据!$A$1:$E$65536,5,0),0)</f>
        <v>0</v>
      </c>
      <c r="AN244" s="23" t="str">
        <f t="shared" si="68"/>
        <v/>
      </c>
      <c r="AO244" s="23">
        <f t="shared" si="69"/>
        <v>0</v>
      </c>
      <c r="AP244" s="23">
        <f t="shared" si="70"/>
        <v>0</v>
      </c>
      <c r="AQ244" s="23" t="str">
        <f t="shared" si="71"/>
        <v/>
      </c>
      <c r="AR244" s="38">
        <f t="shared" si="56"/>
        <v>0</v>
      </c>
      <c r="AS244" s="38">
        <f t="shared" si="57"/>
        <v>0</v>
      </c>
      <c r="AT244" s="38">
        <f t="shared" si="58"/>
        <v>1</v>
      </c>
      <c r="AU244" s="33" t="str">
        <f t="shared" si="59"/>
        <v>库存为1</v>
      </c>
      <c r="AV244" s="39" t="str">
        <f>IFERROR(时间!$B$4+AU244,"上周无销量")</f>
        <v>上周无销量</v>
      </c>
    </row>
    <row r="245" spans="1:48">
      <c r="A245" s="35" t="s">
        <v>290</v>
      </c>
      <c r="B245" t="str">
        <f>VLOOKUP(A245,'[2]sku-asin（子）'!$A:$B,2,0)</f>
        <v>B074FWHSLT</v>
      </c>
      <c r="C245" t="str">
        <f>VLOOKUP(A245,'[2]子sku-父sku'!$A:$B,2,0)</f>
        <v>N89119K</v>
      </c>
      <c r="D245" s="33">
        <f>IFERROR(VLOOKUP(A245,[3]库存报告使用数据处理!$A:$C,3,0),0)</f>
        <v>0</v>
      </c>
      <c r="E245" s="33">
        <f>IFERROR(VLOOKUP(A245,[3]库存报告使用数据处理!$A:$D,4,0),0)</f>
        <v>0</v>
      </c>
      <c r="F245" s="33">
        <f>IFERROR(VLOOKUP(A245,[3]库存报告使用数据处理!$A:$E,5,0),0)</f>
        <v>0</v>
      </c>
      <c r="G245" s="33">
        <f>IFERROR(VLOOKUP(A245,[3]库存报告使用数据处理!$A:$F,6,0),0)</f>
        <v>0</v>
      </c>
      <c r="H245" s="34">
        <f>IFERROR(VLOOKUP(A245,[3]库存报告使用数据处理!$A:$G,7,0),0)</f>
        <v>0</v>
      </c>
      <c r="I245">
        <f>IFERROR(VLOOKUP(A245,[4]数据处理!$A:$B,2,0),0)</f>
        <v>0</v>
      </c>
      <c r="J245" s="36">
        <f>IFERROR(VLOOKUP(A245,[4]数据处理!$A:$D,4,0),0)</f>
        <v>0</v>
      </c>
      <c r="K245" s="36">
        <f>IFERROR(VLOOKUP(A245,[4]数据处理!$A:$E,5,0),0)</f>
        <v>0</v>
      </c>
      <c r="L245" s="36">
        <f>IFERROR(VLOOKUP(A245,[4]数据处理!$A:$G,7,0),0)</f>
        <v>0</v>
      </c>
      <c r="M245">
        <f t="shared" si="55"/>
        <v>0</v>
      </c>
      <c r="N245">
        <f>IFERROR(VLOOKUP(A245,[4]数据处理!$A:$C,3,0),0)</f>
        <v>0</v>
      </c>
      <c r="O245">
        <f>IFERROR(VLOOKUP($A245,[4]数据处理!$A:$N,14,0),0)</f>
        <v>0</v>
      </c>
      <c r="P245" t="str">
        <f>IFERROR(VLOOKUP($A245,[5]库存使用数据!$A:$B,2,0),"")</f>
        <v/>
      </c>
      <c r="Q245" t="str">
        <f>IFERROR(VLOOKUP($A245,[5]库存使用数据!$A:$E,5,0),"")</f>
        <v/>
      </c>
      <c r="R245" t="str">
        <f>IFERROR(VLOOKUP($A245,[5]库存使用数据!$A:$H,8,0),"")</f>
        <v/>
      </c>
      <c r="S245" t="str">
        <f>IFERROR(VLOOKUP($A245,[5]库存使用数据!$A:$K,11,0),"")</f>
        <v/>
      </c>
      <c r="T245" t="str">
        <f>IFERROR(VLOOKUP($A245,[5]库存使用数据!$A:$C,3,0),"")</f>
        <v/>
      </c>
      <c r="U245" t="str">
        <f>IFERROR(VLOOKUP($A245,[5]库存使用数据!$A:$F,6,0),"")</f>
        <v/>
      </c>
      <c r="V245" t="str">
        <f>IFERROR(VLOOKUP($A245,[5]库存使用数据!$A:$I,9,0),"")</f>
        <v/>
      </c>
      <c r="W245" t="str">
        <f>IFERROR(VLOOKUP($A245,[5]库存使用数据!$A:$L,12,0),"")</f>
        <v/>
      </c>
      <c r="X245" s="23" t="str">
        <f t="shared" si="60"/>
        <v/>
      </c>
      <c r="Y245" s="23" t="str">
        <f t="shared" si="61"/>
        <v/>
      </c>
      <c r="Z245" s="23" t="str">
        <f t="shared" si="62"/>
        <v/>
      </c>
      <c r="AA245" s="23" t="str">
        <f t="shared" si="63"/>
        <v/>
      </c>
      <c r="AB245" t="str">
        <f>IFERROR(VLOOKUP($A245,[5]库存使用数据!$A:$D,4,0),"")</f>
        <v/>
      </c>
      <c r="AC245" t="str">
        <f>IFERROR(VLOOKUP($A245,[5]库存使用数据!$A:$G,7,0),"")</f>
        <v/>
      </c>
      <c r="AD245" t="str">
        <f>IFERROR(VLOOKUP($A245,[5]库存使用数据!$A:$J,10,0),"")</f>
        <v/>
      </c>
      <c r="AE245" t="str">
        <f>IFERROR(VLOOKUP($A245,[5]库存使用数据!$A:$M,13,0),"")</f>
        <v/>
      </c>
      <c r="AF245" s="23" t="str">
        <f t="shared" si="64"/>
        <v/>
      </c>
      <c r="AG245" s="23" t="str">
        <f t="shared" si="65"/>
        <v/>
      </c>
      <c r="AH245" s="23" t="str">
        <f t="shared" si="66"/>
        <v/>
      </c>
      <c r="AI245" s="23" t="str">
        <f t="shared" si="67"/>
        <v/>
      </c>
      <c r="AJ245">
        <f>IFERROR(VLOOKUP($B245,[1]库存报告使用数据!$A$1:$B$65536,2,0),0)</f>
        <v>0</v>
      </c>
      <c r="AK245">
        <f>IFERROR(VLOOKUP($B245,[1]库存报告使用数据!$A$1:$C$65536,3,0),0)</f>
        <v>0</v>
      </c>
      <c r="AL245">
        <f>IFERROR(VLOOKUP($B245,[1]库存报告使用数据!$A$1:$D$65536,4,0),0)</f>
        <v>0</v>
      </c>
      <c r="AM245">
        <f>IFERROR(VLOOKUP($B245,[1]库存报告使用数据!$A$1:$E$65536,5,0),0)</f>
        <v>0</v>
      </c>
      <c r="AN245" s="23" t="str">
        <f t="shared" si="68"/>
        <v/>
      </c>
      <c r="AO245" s="23" t="str">
        <f t="shared" si="69"/>
        <v/>
      </c>
      <c r="AP245" s="23" t="str">
        <f t="shared" si="70"/>
        <v/>
      </c>
      <c r="AQ245" s="23" t="str">
        <f t="shared" si="71"/>
        <v/>
      </c>
      <c r="AR245" s="38">
        <f t="shared" si="56"/>
        <v>0</v>
      </c>
      <c r="AS245" s="38">
        <f t="shared" si="57"/>
        <v>0</v>
      </c>
      <c r="AT245" s="38">
        <f t="shared" si="58"/>
        <v>0</v>
      </c>
      <c r="AU245" s="33" t="str">
        <f t="shared" si="59"/>
        <v>库存为0</v>
      </c>
      <c r="AV245" s="39" t="str">
        <f>IFERROR(时间!$B$4+AU245,"上周无销量")</f>
        <v>上周无销量</v>
      </c>
    </row>
    <row r="246" spans="1:48">
      <c r="A246" s="35" t="s">
        <v>291</v>
      </c>
      <c r="B246" t="str">
        <f>VLOOKUP(A246,'[2]sku-asin（子）'!$A:$B,2,0)</f>
        <v>B074FWJYDS</v>
      </c>
      <c r="C246" t="str">
        <f>VLOOKUP(A246,'[2]子sku-父sku'!$A:$B,2,0)</f>
        <v>N89119K</v>
      </c>
      <c r="D246" s="33">
        <f>IFERROR(VLOOKUP(A246,[3]库存报告使用数据处理!$A:$C,3,0),0)</f>
        <v>0</v>
      </c>
      <c r="E246" s="33">
        <f>IFERROR(VLOOKUP(A246,[3]库存报告使用数据处理!$A:$D,4,0),0)</f>
        <v>0</v>
      </c>
      <c r="F246" s="33">
        <f>IFERROR(VLOOKUP(A246,[3]库存报告使用数据处理!$A:$E,5,0),0)</f>
        <v>0</v>
      </c>
      <c r="G246" s="33">
        <f>IFERROR(VLOOKUP(A246,[3]库存报告使用数据处理!$A:$F,6,0),0)</f>
        <v>0</v>
      </c>
      <c r="H246" s="34">
        <f>IFERROR(VLOOKUP(A246,[3]库存报告使用数据处理!$A:$G,7,0),0)</f>
        <v>0</v>
      </c>
      <c r="I246">
        <f>IFERROR(VLOOKUP(A246,[4]数据处理!$A:$B,2,0),0)</f>
        <v>1</v>
      </c>
      <c r="J246" s="36">
        <f>IFERROR(VLOOKUP(A246,[4]数据处理!$A:$D,4,0),0)</f>
        <v>0</v>
      </c>
      <c r="K246" s="36">
        <f>IFERROR(VLOOKUP(A246,[4]数据处理!$A:$E,5,0),0)</f>
        <v>0</v>
      </c>
      <c r="L246" s="36">
        <f>IFERROR(VLOOKUP(A246,[4]数据处理!$A:$G,7,0),0)</f>
        <v>0</v>
      </c>
      <c r="M246">
        <f t="shared" si="55"/>
        <v>1</v>
      </c>
      <c r="N246">
        <f>IFERROR(VLOOKUP(A246,[4]数据处理!$A:$C,3,0),0)</f>
        <v>0</v>
      </c>
      <c r="O246">
        <f>IFERROR(VLOOKUP($A246,[4]数据处理!$A:$N,14,0),0)</f>
        <v>1</v>
      </c>
      <c r="P246" t="str">
        <f>IFERROR(VLOOKUP($A246,[5]库存使用数据!$A:$B,2,0),"")</f>
        <v/>
      </c>
      <c r="Q246" t="str">
        <f>IFERROR(VLOOKUP($A246,[5]库存使用数据!$A:$E,5,0),"")</f>
        <v/>
      </c>
      <c r="R246" t="str">
        <f>IFERROR(VLOOKUP($A246,[5]库存使用数据!$A:$H,8,0),"")</f>
        <v/>
      </c>
      <c r="S246" t="str">
        <f>IFERROR(VLOOKUP($A246,[5]库存使用数据!$A:$K,11,0),"")</f>
        <v/>
      </c>
      <c r="T246" t="str">
        <f>IFERROR(VLOOKUP($A246,[5]库存使用数据!$A:$C,3,0),"")</f>
        <v/>
      </c>
      <c r="U246" t="str">
        <f>IFERROR(VLOOKUP($A246,[5]库存使用数据!$A:$F,6,0),"")</f>
        <v/>
      </c>
      <c r="V246" t="str">
        <f>IFERROR(VLOOKUP($A246,[5]库存使用数据!$A:$I,9,0),"")</f>
        <v/>
      </c>
      <c r="W246" t="str">
        <f>IFERROR(VLOOKUP($A246,[5]库存使用数据!$A:$L,12,0),"")</f>
        <v/>
      </c>
      <c r="X246" s="23" t="str">
        <f t="shared" si="60"/>
        <v/>
      </c>
      <c r="Y246" s="23" t="str">
        <f t="shared" si="61"/>
        <v/>
      </c>
      <c r="Z246" s="23" t="str">
        <f t="shared" si="62"/>
        <v/>
      </c>
      <c r="AA246" s="23" t="str">
        <f t="shared" si="63"/>
        <v/>
      </c>
      <c r="AB246" t="str">
        <f>IFERROR(VLOOKUP($A246,[5]库存使用数据!$A:$D,4,0),"")</f>
        <v/>
      </c>
      <c r="AC246" t="str">
        <f>IFERROR(VLOOKUP($A246,[5]库存使用数据!$A:$G,7,0),"")</f>
        <v/>
      </c>
      <c r="AD246" t="str">
        <f>IFERROR(VLOOKUP($A246,[5]库存使用数据!$A:$J,10,0),"")</f>
        <v/>
      </c>
      <c r="AE246" t="str">
        <f>IFERROR(VLOOKUP($A246,[5]库存使用数据!$A:$M,13,0),"")</f>
        <v/>
      </c>
      <c r="AF246" s="23" t="str">
        <f t="shared" si="64"/>
        <v/>
      </c>
      <c r="AG246" s="23" t="str">
        <f t="shared" si="65"/>
        <v/>
      </c>
      <c r="AH246" s="23" t="str">
        <f t="shared" si="66"/>
        <v/>
      </c>
      <c r="AI246" s="23" t="str">
        <f t="shared" si="67"/>
        <v/>
      </c>
      <c r="AJ246">
        <f>IFERROR(VLOOKUP($B246,[1]库存报告使用数据!$A$1:$B$65536,2,0),0)</f>
        <v>2</v>
      </c>
      <c r="AK246">
        <f>IFERROR(VLOOKUP($B246,[1]库存报告使用数据!$A$1:$C$65536,3,0),0)</f>
        <v>1</v>
      </c>
      <c r="AL246">
        <f>IFERROR(VLOOKUP($B246,[1]库存报告使用数据!$A$1:$D$65536,4,0),0)</f>
        <v>0</v>
      </c>
      <c r="AM246">
        <f>IFERROR(VLOOKUP($B246,[1]库存报告使用数据!$A$1:$E$65536,5,0),0)</f>
        <v>0</v>
      </c>
      <c r="AN246" s="23">
        <f t="shared" si="68"/>
        <v>0</v>
      </c>
      <c r="AO246" s="23">
        <f t="shared" si="69"/>
        <v>0</v>
      </c>
      <c r="AP246" s="23" t="str">
        <f t="shared" si="70"/>
        <v/>
      </c>
      <c r="AQ246" s="23" t="str">
        <f t="shared" si="71"/>
        <v/>
      </c>
      <c r="AR246" s="38">
        <f t="shared" si="56"/>
        <v>0</v>
      </c>
      <c r="AS246" s="38">
        <f t="shared" si="57"/>
        <v>0</v>
      </c>
      <c r="AT246" s="38">
        <f t="shared" si="58"/>
        <v>1</v>
      </c>
      <c r="AU246" s="33" t="str">
        <f t="shared" si="59"/>
        <v>库存为1</v>
      </c>
      <c r="AV246" s="39" t="str">
        <f>IFERROR(时间!$B$4+AU246,"上周无销量")</f>
        <v>上周无销量</v>
      </c>
    </row>
    <row r="247" spans="1:48">
      <c r="A247" s="35" t="s">
        <v>292</v>
      </c>
      <c r="B247" t="str">
        <f>VLOOKUP(A247,'[2]sku-asin（子）'!$A:$B,2,0)</f>
        <v>B074FSGM8N</v>
      </c>
      <c r="C247" t="str">
        <f>VLOOKUP(A247,'[2]子sku-父sku'!$A:$B,2,0)</f>
        <v>N89119K</v>
      </c>
      <c r="D247" s="33">
        <f>IFERROR(VLOOKUP(A247,[3]库存报告使用数据处理!$A:$C,3,0),0)</f>
        <v>0</v>
      </c>
      <c r="E247" s="33">
        <f>IFERROR(VLOOKUP(A247,[3]库存报告使用数据处理!$A:$D,4,0),0)</f>
        <v>0</v>
      </c>
      <c r="F247" s="33">
        <f>IFERROR(VLOOKUP(A247,[3]库存报告使用数据处理!$A:$E,5,0),0)</f>
        <v>0</v>
      </c>
      <c r="G247" s="33">
        <f>IFERROR(VLOOKUP(A247,[3]库存报告使用数据处理!$A:$F,6,0),0)</f>
        <v>0</v>
      </c>
      <c r="H247" s="34">
        <f>IFERROR(VLOOKUP(A247,[3]库存报告使用数据处理!$A:$G,7,0),0)</f>
        <v>0</v>
      </c>
      <c r="I247">
        <f>IFERROR(VLOOKUP(A247,[4]数据处理!$A:$B,2,0),0)</f>
        <v>1</v>
      </c>
      <c r="J247" s="36">
        <f>IFERROR(VLOOKUP(A247,[4]数据处理!$A:$D,4,0),0)</f>
        <v>0</v>
      </c>
      <c r="K247" s="36">
        <f>IFERROR(VLOOKUP(A247,[4]数据处理!$A:$E,5,0),0)</f>
        <v>0</v>
      </c>
      <c r="L247" s="36">
        <f>IFERROR(VLOOKUP(A247,[4]数据处理!$A:$G,7,0),0)</f>
        <v>0</v>
      </c>
      <c r="M247">
        <f t="shared" si="55"/>
        <v>1</v>
      </c>
      <c r="N247">
        <f>IFERROR(VLOOKUP(A247,[4]数据处理!$A:$C,3,0),0)</f>
        <v>0</v>
      </c>
      <c r="O247">
        <f>IFERROR(VLOOKUP($A247,[4]数据处理!$A:$N,14,0),0)</f>
        <v>1</v>
      </c>
      <c r="P247" t="str">
        <f>IFERROR(VLOOKUP($A247,[5]库存使用数据!$A:$B,2,0),"")</f>
        <v/>
      </c>
      <c r="Q247" t="str">
        <f>IFERROR(VLOOKUP($A247,[5]库存使用数据!$A:$E,5,0),"")</f>
        <v/>
      </c>
      <c r="R247" t="str">
        <f>IFERROR(VLOOKUP($A247,[5]库存使用数据!$A:$H,8,0),"")</f>
        <v/>
      </c>
      <c r="S247" t="str">
        <f>IFERROR(VLOOKUP($A247,[5]库存使用数据!$A:$K,11,0),"")</f>
        <v/>
      </c>
      <c r="T247" t="str">
        <f>IFERROR(VLOOKUP($A247,[5]库存使用数据!$A:$C,3,0),"")</f>
        <v/>
      </c>
      <c r="U247" t="str">
        <f>IFERROR(VLOOKUP($A247,[5]库存使用数据!$A:$F,6,0),"")</f>
        <v/>
      </c>
      <c r="V247" t="str">
        <f>IFERROR(VLOOKUP($A247,[5]库存使用数据!$A:$I,9,0),"")</f>
        <v/>
      </c>
      <c r="W247" t="str">
        <f>IFERROR(VLOOKUP($A247,[5]库存使用数据!$A:$L,12,0),"")</f>
        <v/>
      </c>
      <c r="X247" s="23" t="str">
        <f t="shared" si="60"/>
        <v/>
      </c>
      <c r="Y247" s="23" t="str">
        <f t="shared" si="61"/>
        <v/>
      </c>
      <c r="Z247" s="23" t="str">
        <f t="shared" si="62"/>
        <v/>
      </c>
      <c r="AA247" s="23" t="str">
        <f t="shared" si="63"/>
        <v/>
      </c>
      <c r="AB247" t="str">
        <f>IFERROR(VLOOKUP($A247,[5]库存使用数据!$A:$D,4,0),"")</f>
        <v/>
      </c>
      <c r="AC247" t="str">
        <f>IFERROR(VLOOKUP($A247,[5]库存使用数据!$A:$G,7,0),"")</f>
        <v/>
      </c>
      <c r="AD247" t="str">
        <f>IFERROR(VLOOKUP($A247,[5]库存使用数据!$A:$J,10,0),"")</f>
        <v/>
      </c>
      <c r="AE247" t="str">
        <f>IFERROR(VLOOKUP($A247,[5]库存使用数据!$A:$M,13,0),"")</f>
        <v/>
      </c>
      <c r="AF247" s="23" t="str">
        <f t="shared" si="64"/>
        <v/>
      </c>
      <c r="AG247" s="23" t="str">
        <f t="shared" si="65"/>
        <v/>
      </c>
      <c r="AH247" s="23" t="str">
        <f t="shared" si="66"/>
        <v/>
      </c>
      <c r="AI247" s="23" t="str">
        <f t="shared" si="67"/>
        <v/>
      </c>
      <c r="AJ247">
        <f>IFERROR(VLOOKUP($B247,[1]库存报告使用数据!$A$1:$B$65536,2,0),0)</f>
        <v>2</v>
      </c>
      <c r="AK247">
        <f>IFERROR(VLOOKUP($B247,[1]库存报告使用数据!$A$1:$C$65536,3,0),0)</f>
        <v>2</v>
      </c>
      <c r="AL247">
        <f>IFERROR(VLOOKUP($B247,[1]库存报告使用数据!$A$1:$D$65536,4,0),0)</f>
        <v>0</v>
      </c>
      <c r="AM247">
        <f>IFERROR(VLOOKUP($B247,[1]库存报告使用数据!$A$1:$E$65536,5,0),0)</f>
        <v>2</v>
      </c>
      <c r="AN247" s="23">
        <f t="shared" si="68"/>
        <v>0</v>
      </c>
      <c r="AO247" s="23">
        <f t="shared" si="69"/>
        <v>0</v>
      </c>
      <c r="AP247" s="23" t="str">
        <f t="shared" si="70"/>
        <v/>
      </c>
      <c r="AQ247" s="23">
        <f t="shared" si="71"/>
        <v>0</v>
      </c>
      <c r="AR247" s="38">
        <f t="shared" si="56"/>
        <v>0</v>
      </c>
      <c r="AS247" s="38">
        <f t="shared" si="57"/>
        <v>0</v>
      </c>
      <c r="AT247" s="38">
        <f t="shared" si="58"/>
        <v>1</v>
      </c>
      <c r="AU247" s="33" t="str">
        <f t="shared" si="59"/>
        <v>库存为1</v>
      </c>
      <c r="AV247" s="39" t="str">
        <f>IFERROR(时间!$B$4+AU247,"上周无销量")</f>
        <v>上周无销量</v>
      </c>
    </row>
    <row r="248" spans="1:48">
      <c r="A248" s="35" t="s">
        <v>293</v>
      </c>
      <c r="B248" t="str">
        <f>VLOOKUP(A248,'[2]sku-asin（子）'!$A:$B,2,0)</f>
        <v>B074FW1DYK</v>
      </c>
      <c r="C248" t="str">
        <f>VLOOKUP(A248,'[2]子sku-父sku'!$A:$B,2,0)</f>
        <v>N89119K</v>
      </c>
      <c r="D248" s="33">
        <f>IFERROR(VLOOKUP(A248,[3]库存报告使用数据处理!$A:$C,3,0),0)</f>
        <v>0</v>
      </c>
      <c r="E248" s="33">
        <f>IFERROR(VLOOKUP(A248,[3]库存报告使用数据处理!$A:$D,4,0),0)</f>
        <v>0</v>
      </c>
      <c r="F248" s="33">
        <f>IFERROR(VLOOKUP(A248,[3]库存报告使用数据处理!$A:$E,5,0),0)</f>
        <v>0</v>
      </c>
      <c r="G248" s="33">
        <f>IFERROR(VLOOKUP(A248,[3]库存报告使用数据处理!$A:$F,6,0),0)</f>
        <v>0</v>
      </c>
      <c r="H248" s="34">
        <f>IFERROR(VLOOKUP(A248,[3]库存报告使用数据处理!$A:$G,7,0),0)</f>
        <v>0</v>
      </c>
      <c r="I248">
        <f>IFERROR(VLOOKUP(A248,[4]数据处理!$A:$B,2,0),0)</f>
        <v>2</v>
      </c>
      <c r="J248" s="36">
        <f>IFERROR(VLOOKUP(A248,[4]数据处理!$A:$D,4,0),0)</f>
        <v>0</v>
      </c>
      <c r="K248" s="36">
        <f>IFERROR(VLOOKUP(A248,[4]数据处理!$A:$E,5,0),0)</f>
        <v>0</v>
      </c>
      <c r="L248" s="36">
        <f>IFERROR(VLOOKUP(A248,[4]数据处理!$A:$G,7,0),0)</f>
        <v>0</v>
      </c>
      <c r="M248">
        <f t="shared" si="55"/>
        <v>2</v>
      </c>
      <c r="N248">
        <f>IFERROR(VLOOKUP(A248,[4]数据处理!$A:$C,3,0),0)</f>
        <v>0</v>
      </c>
      <c r="O248">
        <f>IFERROR(VLOOKUP($A248,[4]数据处理!$A:$N,14,0),0)</f>
        <v>2</v>
      </c>
      <c r="P248" t="str">
        <f>IFERROR(VLOOKUP($A248,[5]库存使用数据!$A:$B,2,0),"")</f>
        <v/>
      </c>
      <c r="Q248" t="str">
        <f>IFERROR(VLOOKUP($A248,[5]库存使用数据!$A:$E,5,0),"")</f>
        <v/>
      </c>
      <c r="R248" t="str">
        <f>IFERROR(VLOOKUP($A248,[5]库存使用数据!$A:$H,8,0),"")</f>
        <v/>
      </c>
      <c r="S248" t="str">
        <f>IFERROR(VLOOKUP($A248,[5]库存使用数据!$A:$K,11,0),"")</f>
        <v/>
      </c>
      <c r="T248" t="str">
        <f>IFERROR(VLOOKUP($A248,[5]库存使用数据!$A:$C,3,0),"")</f>
        <v/>
      </c>
      <c r="U248" t="str">
        <f>IFERROR(VLOOKUP($A248,[5]库存使用数据!$A:$F,6,0),"")</f>
        <v/>
      </c>
      <c r="V248" t="str">
        <f>IFERROR(VLOOKUP($A248,[5]库存使用数据!$A:$I,9,0),"")</f>
        <v/>
      </c>
      <c r="W248" t="str">
        <f>IFERROR(VLOOKUP($A248,[5]库存使用数据!$A:$L,12,0),"")</f>
        <v/>
      </c>
      <c r="X248" s="23" t="str">
        <f t="shared" si="60"/>
        <v/>
      </c>
      <c r="Y248" s="23" t="str">
        <f t="shared" si="61"/>
        <v/>
      </c>
      <c r="Z248" s="23" t="str">
        <f t="shared" si="62"/>
        <v/>
      </c>
      <c r="AA248" s="23" t="str">
        <f t="shared" si="63"/>
        <v/>
      </c>
      <c r="AB248" t="str">
        <f>IFERROR(VLOOKUP($A248,[5]库存使用数据!$A:$D,4,0),"")</f>
        <v/>
      </c>
      <c r="AC248" t="str">
        <f>IFERROR(VLOOKUP($A248,[5]库存使用数据!$A:$G,7,0),"")</f>
        <v/>
      </c>
      <c r="AD248" t="str">
        <f>IFERROR(VLOOKUP($A248,[5]库存使用数据!$A:$J,10,0),"")</f>
        <v/>
      </c>
      <c r="AE248" t="str">
        <f>IFERROR(VLOOKUP($A248,[5]库存使用数据!$A:$M,13,0),"")</f>
        <v/>
      </c>
      <c r="AF248" s="23" t="str">
        <f t="shared" si="64"/>
        <v/>
      </c>
      <c r="AG248" s="23" t="str">
        <f t="shared" si="65"/>
        <v/>
      </c>
      <c r="AH248" s="23" t="str">
        <f t="shared" si="66"/>
        <v/>
      </c>
      <c r="AI248" s="23" t="str">
        <f t="shared" si="67"/>
        <v/>
      </c>
      <c r="AJ248">
        <f>IFERROR(VLOOKUP($B248,[1]库存报告使用数据!$A$1:$B$65536,2,0),0)</f>
        <v>3</v>
      </c>
      <c r="AK248">
        <f>IFERROR(VLOOKUP($B248,[1]库存报告使用数据!$A$1:$C$65536,3,0),0)</f>
        <v>2</v>
      </c>
      <c r="AL248">
        <f>IFERROR(VLOOKUP($B248,[1]库存报告使用数据!$A$1:$D$65536,4,0),0)</f>
        <v>1</v>
      </c>
      <c r="AM248">
        <f>IFERROR(VLOOKUP($B248,[1]库存报告使用数据!$A$1:$E$65536,5,0),0)</f>
        <v>1</v>
      </c>
      <c r="AN248" s="23">
        <f t="shared" si="68"/>
        <v>0</v>
      </c>
      <c r="AO248" s="23">
        <f t="shared" si="69"/>
        <v>0</v>
      </c>
      <c r="AP248" s="23">
        <f t="shared" si="70"/>
        <v>0</v>
      </c>
      <c r="AQ248" s="23">
        <f t="shared" si="71"/>
        <v>0</v>
      </c>
      <c r="AR248" s="38">
        <f t="shared" si="56"/>
        <v>0</v>
      </c>
      <c r="AS248" s="38">
        <f t="shared" si="57"/>
        <v>0</v>
      </c>
      <c r="AT248" s="38">
        <f t="shared" si="58"/>
        <v>2</v>
      </c>
      <c r="AU248" s="33" t="str">
        <f t="shared" si="59"/>
        <v>库存为2</v>
      </c>
      <c r="AV248" s="39" t="str">
        <f>IFERROR(时间!$B$4+AU248,"上周无销量")</f>
        <v>上周无销量</v>
      </c>
    </row>
    <row r="249" spans="1:48">
      <c r="A249" s="35" t="s">
        <v>294</v>
      </c>
      <c r="B249" t="str">
        <f>VLOOKUP(A249,'[2]sku-asin（子）'!$A:$B,2,0)</f>
        <v>B074FT3T2H</v>
      </c>
      <c r="C249" t="str">
        <f>VLOOKUP(A249,'[2]子sku-父sku'!$A:$B,2,0)</f>
        <v>N89119K</v>
      </c>
      <c r="D249" s="33">
        <f>IFERROR(VLOOKUP(A249,[3]库存报告使用数据处理!$A:$C,3,0),0)</f>
        <v>0</v>
      </c>
      <c r="E249" s="33">
        <f>IFERROR(VLOOKUP(A249,[3]库存报告使用数据处理!$A:$D,4,0),0)</f>
        <v>0</v>
      </c>
      <c r="F249" s="33">
        <f>IFERROR(VLOOKUP(A249,[3]库存报告使用数据处理!$A:$E,5,0),0)</f>
        <v>0</v>
      </c>
      <c r="G249" s="33">
        <f>IFERROR(VLOOKUP(A249,[3]库存报告使用数据处理!$A:$F,6,0),0)</f>
        <v>0</v>
      </c>
      <c r="H249" s="34">
        <f>IFERROR(VLOOKUP(A249,[3]库存报告使用数据处理!$A:$G,7,0),0)</f>
        <v>0</v>
      </c>
      <c r="I249">
        <f>IFERROR(VLOOKUP(A249,[4]数据处理!$A:$B,2,0),0)</f>
        <v>2</v>
      </c>
      <c r="J249" s="36">
        <f>IFERROR(VLOOKUP(A249,[4]数据处理!$A:$D,4,0),0)</f>
        <v>0</v>
      </c>
      <c r="K249" s="36">
        <f>IFERROR(VLOOKUP(A249,[4]数据处理!$A:$E,5,0),0)</f>
        <v>0</v>
      </c>
      <c r="L249" s="36">
        <f>IFERROR(VLOOKUP(A249,[4]数据处理!$A:$G,7,0),0)</f>
        <v>0</v>
      </c>
      <c r="M249">
        <f t="shared" si="55"/>
        <v>2</v>
      </c>
      <c r="N249">
        <f>IFERROR(VLOOKUP(A249,[4]数据处理!$A:$C,3,0),0)</f>
        <v>0</v>
      </c>
      <c r="O249">
        <f>IFERROR(VLOOKUP($A249,[4]数据处理!$A:$N,14,0),0)</f>
        <v>2</v>
      </c>
      <c r="P249" t="str">
        <f>IFERROR(VLOOKUP($A249,[5]库存使用数据!$A:$B,2,0),"")</f>
        <v/>
      </c>
      <c r="Q249" t="str">
        <f>IFERROR(VLOOKUP($A249,[5]库存使用数据!$A:$E,5,0),"")</f>
        <v/>
      </c>
      <c r="R249" t="str">
        <f>IFERROR(VLOOKUP($A249,[5]库存使用数据!$A:$H,8,0),"")</f>
        <v/>
      </c>
      <c r="S249" t="str">
        <f>IFERROR(VLOOKUP($A249,[5]库存使用数据!$A:$K,11,0),"")</f>
        <v/>
      </c>
      <c r="T249" t="str">
        <f>IFERROR(VLOOKUP($A249,[5]库存使用数据!$A:$C,3,0),"")</f>
        <v/>
      </c>
      <c r="U249" t="str">
        <f>IFERROR(VLOOKUP($A249,[5]库存使用数据!$A:$F,6,0),"")</f>
        <v/>
      </c>
      <c r="V249" t="str">
        <f>IFERROR(VLOOKUP($A249,[5]库存使用数据!$A:$I,9,0),"")</f>
        <v/>
      </c>
      <c r="W249" t="str">
        <f>IFERROR(VLOOKUP($A249,[5]库存使用数据!$A:$L,12,0),"")</f>
        <v/>
      </c>
      <c r="X249" s="23" t="str">
        <f t="shared" si="60"/>
        <v/>
      </c>
      <c r="Y249" s="23" t="str">
        <f t="shared" si="61"/>
        <v/>
      </c>
      <c r="Z249" s="23" t="str">
        <f t="shared" si="62"/>
        <v/>
      </c>
      <c r="AA249" s="23" t="str">
        <f t="shared" si="63"/>
        <v/>
      </c>
      <c r="AB249" t="str">
        <f>IFERROR(VLOOKUP($A249,[5]库存使用数据!$A:$D,4,0),"")</f>
        <v/>
      </c>
      <c r="AC249" t="str">
        <f>IFERROR(VLOOKUP($A249,[5]库存使用数据!$A:$G,7,0),"")</f>
        <v/>
      </c>
      <c r="AD249" t="str">
        <f>IFERROR(VLOOKUP($A249,[5]库存使用数据!$A:$J,10,0),"")</f>
        <v/>
      </c>
      <c r="AE249" t="str">
        <f>IFERROR(VLOOKUP($A249,[5]库存使用数据!$A:$M,13,0),"")</f>
        <v/>
      </c>
      <c r="AF249" s="23" t="str">
        <f t="shared" si="64"/>
        <v/>
      </c>
      <c r="AG249" s="23" t="str">
        <f t="shared" si="65"/>
        <v/>
      </c>
      <c r="AH249" s="23" t="str">
        <f t="shared" si="66"/>
        <v/>
      </c>
      <c r="AI249" s="23" t="str">
        <f t="shared" si="67"/>
        <v/>
      </c>
      <c r="AJ249">
        <f>IFERROR(VLOOKUP($B249,[1]库存报告使用数据!$A$1:$B$65536,2,0),0)</f>
        <v>1</v>
      </c>
      <c r="AK249">
        <f>IFERROR(VLOOKUP($B249,[1]库存报告使用数据!$A$1:$C$65536,3,0),0)</f>
        <v>1</v>
      </c>
      <c r="AL249">
        <f>IFERROR(VLOOKUP($B249,[1]库存报告使用数据!$A$1:$D$65536,4,0),0)</f>
        <v>1</v>
      </c>
      <c r="AM249">
        <f>IFERROR(VLOOKUP($B249,[1]库存报告使用数据!$A$1:$E$65536,5,0),0)</f>
        <v>0</v>
      </c>
      <c r="AN249" s="23">
        <f t="shared" si="68"/>
        <v>0</v>
      </c>
      <c r="AO249" s="23">
        <f t="shared" si="69"/>
        <v>0</v>
      </c>
      <c r="AP249" s="23">
        <f t="shared" si="70"/>
        <v>0</v>
      </c>
      <c r="AQ249" s="23" t="str">
        <f t="shared" si="71"/>
        <v/>
      </c>
      <c r="AR249" s="38">
        <f t="shared" si="56"/>
        <v>0</v>
      </c>
      <c r="AS249" s="38">
        <f t="shared" si="57"/>
        <v>0</v>
      </c>
      <c r="AT249" s="38">
        <f t="shared" si="58"/>
        <v>2</v>
      </c>
      <c r="AU249" s="33" t="str">
        <f t="shared" si="59"/>
        <v>库存为2</v>
      </c>
      <c r="AV249" s="39" t="str">
        <f>IFERROR(时间!$B$4+AU249,"上周无销量")</f>
        <v>上周无销量</v>
      </c>
    </row>
    <row r="250" spans="1:48">
      <c r="A250" s="35" t="s">
        <v>295</v>
      </c>
      <c r="B250" t="str">
        <f>VLOOKUP(A250,'[2]sku-asin（子）'!$A:$B,2,0)</f>
        <v>B074FWRNDY</v>
      </c>
      <c r="C250" t="str">
        <f>VLOOKUP(A250,'[2]子sku-父sku'!$A:$B,2,0)</f>
        <v>N89122K</v>
      </c>
      <c r="D250" s="33">
        <f>IFERROR(VLOOKUP(A250,[3]库存报告使用数据处理!$A:$C,3,0),0)</f>
        <v>0</v>
      </c>
      <c r="E250" s="33">
        <f>IFERROR(VLOOKUP(A250,[3]库存报告使用数据处理!$A:$D,4,0),0)</f>
        <v>0</v>
      </c>
      <c r="F250" s="33">
        <f>IFERROR(VLOOKUP(A250,[3]库存报告使用数据处理!$A:$E,5,0),0)</f>
        <v>0</v>
      </c>
      <c r="G250" s="33">
        <f>IFERROR(VLOOKUP(A250,[3]库存报告使用数据处理!$A:$F,6,0),0)</f>
        <v>0</v>
      </c>
      <c r="H250" s="34">
        <f>IFERROR(VLOOKUP(A250,[3]库存报告使用数据处理!$A:$G,7,0),0)</f>
        <v>0</v>
      </c>
      <c r="I250">
        <f>IFERROR(VLOOKUP(A250,[4]数据处理!$A:$B,2,0),0)</f>
        <v>2</v>
      </c>
      <c r="J250" s="36">
        <f>IFERROR(VLOOKUP(A250,[4]数据处理!$A:$D,4,0),0)</f>
        <v>0</v>
      </c>
      <c r="K250" s="36">
        <f>IFERROR(VLOOKUP(A250,[4]数据处理!$A:$E,5,0),0)</f>
        <v>0</v>
      </c>
      <c r="L250" s="36">
        <f>IFERROR(VLOOKUP(A250,[4]数据处理!$A:$G,7,0),0)</f>
        <v>0</v>
      </c>
      <c r="M250">
        <f t="shared" si="55"/>
        <v>2</v>
      </c>
      <c r="N250">
        <f>IFERROR(VLOOKUP(A250,[4]数据处理!$A:$C,3,0),0)</f>
        <v>0</v>
      </c>
      <c r="O250">
        <f>IFERROR(VLOOKUP($A250,[4]数据处理!$A:$N,14,0),0)</f>
        <v>2</v>
      </c>
      <c r="P250" t="str">
        <f>IFERROR(VLOOKUP($A250,[5]库存使用数据!$A:$B,2,0),"")</f>
        <v/>
      </c>
      <c r="Q250" t="str">
        <f>IFERROR(VLOOKUP($A250,[5]库存使用数据!$A:$E,5,0),"")</f>
        <v/>
      </c>
      <c r="R250" t="str">
        <f>IFERROR(VLOOKUP($A250,[5]库存使用数据!$A:$H,8,0),"")</f>
        <v/>
      </c>
      <c r="S250" t="str">
        <f>IFERROR(VLOOKUP($A250,[5]库存使用数据!$A:$K,11,0),"")</f>
        <v/>
      </c>
      <c r="T250" t="str">
        <f>IFERROR(VLOOKUP($A250,[5]库存使用数据!$A:$C,3,0),"")</f>
        <v/>
      </c>
      <c r="U250" t="str">
        <f>IFERROR(VLOOKUP($A250,[5]库存使用数据!$A:$F,6,0),"")</f>
        <v/>
      </c>
      <c r="V250" t="str">
        <f>IFERROR(VLOOKUP($A250,[5]库存使用数据!$A:$I,9,0),"")</f>
        <v/>
      </c>
      <c r="W250" t="str">
        <f>IFERROR(VLOOKUP($A250,[5]库存使用数据!$A:$L,12,0),"")</f>
        <v/>
      </c>
      <c r="X250" s="23" t="str">
        <f t="shared" si="60"/>
        <v/>
      </c>
      <c r="Y250" s="23" t="str">
        <f t="shared" si="61"/>
        <v/>
      </c>
      <c r="Z250" s="23" t="str">
        <f t="shared" si="62"/>
        <v/>
      </c>
      <c r="AA250" s="23" t="str">
        <f t="shared" si="63"/>
        <v/>
      </c>
      <c r="AB250" t="str">
        <f>IFERROR(VLOOKUP($A250,[5]库存使用数据!$A:$D,4,0),"")</f>
        <v/>
      </c>
      <c r="AC250" t="str">
        <f>IFERROR(VLOOKUP($A250,[5]库存使用数据!$A:$G,7,0),"")</f>
        <v/>
      </c>
      <c r="AD250" t="str">
        <f>IFERROR(VLOOKUP($A250,[5]库存使用数据!$A:$J,10,0),"")</f>
        <v/>
      </c>
      <c r="AE250" t="str">
        <f>IFERROR(VLOOKUP($A250,[5]库存使用数据!$A:$M,13,0),"")</f>
        <v/>
      </c>
      <c r="AF250" s="23" t="str">
        <f t="shared" si="64"/>
        <v/>
      </c>
      <c r="AG250" s="23" t="str">
        <f t="shared" si="65"/>
        <v/>
      </c>
      <c r="AH250" s="23" t="str">
        <f t="shared" si="66"/>
        <v/>
      </c>
      <c r="AI250" s="23" t="str">
        <f t="shared" si="67"/>
        <v/>
      </c>
      <c r="AJ250">
        <f>IFERROR(VLOOKUP($B250,[1]库存报告使用数据!$A$1:$B$65536,2,0),0)</f>
        <v>2</v>
      </c>
      <c r="AK250">
        <f>IFERROR(VLOOKUP($B250,[1]库存报告使用数据!$A$1:$C$65536,3,0),0)</f>
        <v>2</v>
      </c>
      <c r="AL250">
        <f>IFERROR(VLOOKUP($B250,[1]库存报告使用数据!$A$1:$D$65536,4,0),0)</f>
        <v>1</v>
      </c>
      <c r="AM250">
        <f>IFERROR(VLOOKUP($B250,[1]库存报告使用数据!$A$1:$E$65536,5,0),0)</f>
        <v>1</v>
      </c>
      <c r="AN250" s="23">
        <f t="shared" si="68"/>
        <v>0</v>
      </c>
      <c r="AO250" s="23">
        <f t="shared" si="69"/>
        <v>0</v>
      </c>
      <c r="AP250" s="23">
        <f t="shared" si="70"/>
        <v>0</v>
      </c>
      <c r="AQ250" s="23">
        <f t="shared" si="71"/>
        <v>0</v>
      </c>
      <c r="AR250" s="38">
        <f t="shared" si="56"/>
        <v>0</v>
      </c>
      <c r="AS250" s="38">
        <f t="shared" si="57"/>
        <v>0</v>
      </c>
      <c r="AT250" s="38">
        <f t="shared" si="58"/>
        <v>2</v>
      </c>
      <c r="AU250" s="33" t="str">
        <f t="shared" si="59"/>
        <v>库存为2</v>
      </c>
      <c r="AV250" s="39" t="str">
        <f>IFERROR(时间!$B$4+AU250,"上周无销量")</f>
        <v>上周无销量</v>
      </c>
    </row>
    <row r="251" spans="1:48">
      <c r="A251" s="35" t="s">
        <v>296</v>
      </c>
      <c r="B251" t="str">
        <f>VLOOKUP(A251,'[2]sku-asin（子）'!$A:$B,2,0)</f>
        <v>B074FVVYW2</v>
      </c>
      <c r="C251" t="str">
        <f>VLOOKUP(A251,'[2]子sku-父sku'!$A:$B,2,0)</f>
        <v>N89122K</v>
      </c>
      <c r="D251" s="33">
        <f>IFERROR(VLOOKUP(A251,[3]库存报告使用数据处理!$A:$C,3,0),0)</f>
        <v>0</v>
      </c>
      <c r="E251" s="33">
        <f>IFERROR(VLOOKUP(A251,[3]库存报告使用数据处理!$A:$D,4,0),0)</f>
        <v>0</v>
      </c>
      <c r="F251" s="33">
        <f>IFERROR(VLOOKUP(A251,[3]库存报告使用数据处理!$A:$E,5,0),0)</f>
        <v>0</v>
      </c>
      <c r="G251" s="33">
        <f>IFERROR(VLOOKUP(A251,[3]库存报告使用数据处理!$A:$F,6,0),0)</f>
        <v>0</v>
      </c>
      <c r="H251" s="34">
        <f>IFERROR(VLOOKUP(A251,[3]库存报告使用数据处理!$A:$G,7,0),0)</f>
        <v>0</v>
      </c>
      <c r="I251">
        <f>IFERROR(VLOOKUP(A251,[4]数据处理!$A:$B,2,0),0)</f>
        <v>2</v>
      </c>
      <c r="J251" s="36">
        <f>IFERROR(VLOOKUP(A251,[4]数据处理!$A:$D,4,0),0)</f>
        <v>0</v>
      </c>
      <c r="K251" s="36">
        <f>IFERROR(VLOOKUP(A251,[4]数据处理!$A:$E,5,0),0)</f>
        <v>0</v>
      </c>
      <c r="L251" s="36">
        <f>IFERROR(VLOOKUP(A251,[4]数据处理!$A:$G,7,0),0)</f>
        <v>0</v>
      </c>
      <c r="M251">
        <f t="shared" si="55"/>
        <v>2</v>
      </c>
      <c r="N251">
        <f>IFERROR(VLOOKUP(A251,[4]数据处理!$A:$C,3,0),0)</f>
        <v>0</v>
      </c>
      <c r="O251">
        <f>IFERROR(VLOOKUP($A251,[4]数据处理!$A:$N,14,0),0)</f>
        <v>2</v>
      </c>
      <c r="P251" t="str">
        <f>IFERROR(VLOOKUP($A251,[5]库存使用数据!$A:$B,2,0),"")</f>
        <v/>
      </c>
      <c r="Q251" t="str">
        <f>IFERROR(VLOOKUP($A251,[5]库存使用数据!$A:$E,5,0),"")</f>
        <v/>
      </c>
      <c r="R251" t="str">
        <f>IFERROR(VLOOKUP($A251,[5]库存使用数据!$A:$H,8,0),"")</f>
        <v/>
      </c>
      <c r="S251" t="str">
        <f>IFERROR(VLOOKUP($A251,[5]库存使用数据!$A:$K,11,0),"")</f>
        <v/>
      </c>
      <c r="T251" t="str">
        <f>IFERROR(VLOOKUP($A251,[5]库存使用数据!$A:$C,3,0),"")</f>
        <v/>
      </c>
      <c r="U251" t="str">
        <f>IFERROR(VLOOKUP($A251,[5]库存使用数据!$A:$F,6,0),"")</f>
        <v/>
      </c>
      <c r="V251" t="str">
        <f>IFERROR(VLOOKUP($A251,[5]库存使用数据!$A:$I,9,0),"")</f>
        <v/>
      </c>
      <c r="W251" t="str">
        <f>IFERROR(VLOOKUP($A251,[5]库存使用数据!$A:$L,12,0),"")</f>
        <v/>
      </c>
      <c r="X251" s="23" t="str">
        <f t="shared" si="60"/>
        <v/>
      </c>
      <c r="Y251" s="23" t="str">
        <f t="shared" si="61"/>
        <v/>
      </c>
      <c r="Z251" s="23" t="str">
        <f t="shared" si="62"/>
        <v/>
      </c>
      <c r="AA251" s="23" t="str">
        <f t="shared" si="63"/>
        <v/>
      </c>
      <c r="AB251" t="str">
        <f>IFERROR(VLOOKUP($A251,[5]库存使用数据!$A:$D,4,0),"")</f>
        <v/>
      </c>
      <c r="AC251" t="str">
        <f>IFERROR(VLOOKUP($A251,[5]库存使用数据!$A:$G,7,0),"")</f>
        <v/>
      </c>
      <c r="AD251" t="str">
        <f>IFERROR(VLOOKUP($A251,[5]库存使用数据!$A:$J,10,0),"")</f>
        <v/>
      </c>
      <c r="AE251" t="str">
        <f>IFERROR(VLOOKUP($A251,[5]库存使用数据!$A:$M,13,0),"")</f>
        <v/>
      </c>
      <c r="AF251" s="23" t="str">
        <f t="shared" si="64"/>
        <v/>
      </c>
      <c r="AG251" s="23" t="str">
        <f t="shared" si="65"/>
        <v/>
      </c>
      <c r="AH251" s="23" t="str">
        <f t="shared" si="66"/>
        <v/>
      </c>
      <c r="AI251" s="23" t="str">
        <f t="shared" si="67"/>
        <v/>
      </c>
      <c r="AJ251">
        <f>IFERROR(VLOOKUP($B251,[1]库存报告使用数据!$A$1:$B$65536,2,0),0)</f>
        <v>3</v>
      </c>
      <c r="AK251">
        <f>IFERROR(VLOOKUP($B251,[1]库存报告使用数据!$A$1:$C$65536,3,0),0)</f>
        <v>3</v>
      </c>
      <c r="AL251">
        <f>IFERROR(VLOOKUP($B251,[1]库存报告使用数据!$A$1:$D$65536,4,0),0)</f>
        <v>0</v>
      </c>
      <c r="AM251">
        <f>IFERROR(VLOOKUP($B251,[1]库存报告使用数据!$A$1:$E$65536,5,0),0)</f>
        <v>0</v>
      </c>
      <c r="AN251" s="23">
        <f t="shared" si="68"/>
        <v>0</v>
      </c>
      <c r="AO251" s="23">
        <f t="shared" si="69"/>
        <v>0</v>
      </c>
      <c r="AP251" s="23" t="str">
        <f t="shared" si="70"/>
        <v/>
      </c>
      <c r="AQ251" s="23" t="str">
        <f t="shared" si="71"/>
        <v/>
      </c>
      <c r="AR251" s="38">
        <f t="shared" si="56"/>
        <v>0</v>
      </c>
      <c r="AS251" s="38">
        <f t="shared" si="57"/>
        <v>0</v>
      </c>
      <c r="AT251" s="38">
        <f t="shared" si="58"/>
        <v>2</v>
      </c>
      <c r="AU251" s="33" t="str">
        <f t="shared" si="59"/>
        <v>库存为2</v>
      </c>
      <c r="AV251" s="39" t="str">
        <f>IFERROR(时间!$B$4+AU251,"上周无销量")</f>
        <v>上周无销量</v>
      </c>
    </row>
    <row r="252" spans="1:48">
      <c r="A252" s="35" t="s">
        <v>297</v>
      </c>
      <c r="B252" t="str">
        <f>VLOOKUP(A252,'[2]sku-asin（子）'!$A:$B,2,0)</f>
        <v>B074FW8FGF</v>
      </c>
      <c r="C252" t="str">
        <f>VLOOKUP(A252,'[2]子sku-父sku'!$A:$B,2,0)</f>
        <v>N89122K</v>
      </c>
      <c r="D252" s="33">
        <f>IFERROR(VLOOKUP(A252,[3]库存报告使用数据处理!$A:$C,3,0),0)</f>
        <v>0</v>
      </c>
      <c r="E252" s="33">
        <f>IFERROR(VLOOKUP(A252,[3]库存报告使用数据处理!$A:$D,4,0),0)</f>
        <v>0</v>
      </c>
      <c r="F252" s="33">
        <f>IFERROR(VLOOKUP(A252,[3]库存报告使用数据处理!$A:$E,5,0),0)</f>
        <v>0</v>
      </c>
      <c r="G252" s="33">
        <f>IFERROR(VLOOKUP(A252,[3]库存报告使用数据处理!$A:$F,6,0),0)</f>
        <v>0</v>
      </c>
      <c r="H252" s="34">
        <f>IFERROR(VLOOKUP(A252,[3]库存报告使用数据处理!$A:$G,7,0),0)</f>
        <v>0</v>
      </c>
      <c r="I252">
        <f>IFERROR(VLOOKUP(A252,[4]数据处理!$A:$B,2,0),0)</f>
        <v>2</v>
      </c>
      <c r="J252" s="36">
        <f>IFERROR(VLOOKUP(A252,[4]数据处理!$A:$D,4,0),0)</f>
        <v>0</v>
      </c>
      <c r="K252" s="36">
        <f>IFERROR(VLOOKUP(A252,[4]数据处理!$A:$E,5,0),0)</f>
        <v>0</v>
      </c>
      <c r="L252" s="36">
        <f>IFERROR(VLOOKUP(A252,[4]数据处理!$A:$G,7,0),0)</f>
        <v>0</v>
      </c>
      <c r="M252">
        <f t="shared" si="55"/>
        <v>2</v>
      </c>
      <c r="N252">
        <f>IFERROR(VLOOKUP(A252,[4]数据处理!$A:$C,3,0),0)</f>
        <v>0</v>
      </c>
      <c r="O252">
        <f>IFERROR(VLOOKUP($A252,[4]数据处理!$A:$N,14,0),0)</f>
        <v>2</v>
      </c>
      <c r="P252" t="str">
        <f>IFERROR(VLOOKUP($A252,[5]库存使用数据!$A:$B,2,0),"")</f>
        <v/>
      </c>
      <c r="Q252" t="str">
        <f>IFERROR(VLOOKUP($A252,[5]库存使用数据!$A:$E,5,0),"")</f>
        <v/>
      </c>
      <c r="R252" t="str">
        <f>IFERROR(VLOOKUP($A252,[5]库存使用数据!$A:$H,8,0),"")</f>
        <v/>
      </c>
      <c r="S252" t="str">
        <f>IFERROR(VLOOKUP($A252,[5]库存使用数据!$A:$K,11,0),"")</f>
        <v/>
      </c>
      <c r="T252" t="str">
        <f>IFERROR(VLOOKUP($A252,[5]库存使用数据!$A:$C,3,0),"")</f>
        <v/>
      </c>
      <c r="U252" t="str">
        <f>IFERROR(VLOOKUP($A252,[5]库存使用数据!$A:$F,6,0),"")</f>
        <v/>
      </c>
      <c r="V252" t="str">
        <f>IFERROR(VLOOKUP($A252,[5]库存使用数据!$A:$I,9,0),"")</f>
        <v/>
      </c>
      <c r="W252" t="str">
        <f>IFERROR(VLOOKUP($A252,[5]库存使用数据!$A:$L,12,0),"")</f>
        <v/>
      </c>
      <c r="X252" s="23" t="str">
        <f t="shared" si="60"/>
        <v/>
      </c>
      <c r="Y252" s="23" t="str">
        <f t="shared" si="61"/>
        <v/>
      </c>
      <c r="Z252" s="23" t="str">
        <f t="shared" si="62"/>
        <v/>
      </c>
      <c r="AA252" s="23" t="str">
        <f t="shared" si="63"/>
        <v/>
      </c>
      <c r="AB252" t="str">
        <f>IFERROR(VLOOKUP($A252,[5]库存使用数据!$A:$D,4,0),"")</f>
        <v/>
      </c>
      <c r="AC252" t="str">
        <f>IFERROR(VLOOKUP($A252,[5]库存使用数据!$A:$G,7,0),"")</f>
        <v/>
      </c>
      <c r="AD252" t="str">
        <f>IFERROR(VLOOKUP($A252,[5]库存使用数据!$A:$J,10,0),"")</f>
        <v/>
      </c>
      <c r="AE252" t="str">
        <f>IFERROR(VLOOKUP($A252,[5]库存使用数据!$A:$M,13,0),"")</f>
        <v/>
      </c>
      <c r="AF252" s="23" t="str">
        <f t="shared" si="64"/>
        <v/>
      </c>
      <c r="AG252" s="23" t="str">
        <f t="shared" si="65"/>
        <v/>
      </c>
      <c r="AH252" s="23" t="str">
        <f t="shared" si="66"/>
        <v/>
      </c>
      <c r="AI252" s="23" t="str">
        <f t="shared" si="67"/>
        <v/>
      </c>
      <c r="AJ252">
        <f>IFERROR(VLOOKUP($B252,[1]库存报告使用数据!$A$1:$B$65536,2,0),0)</f>
        <v>2</v>
      </c>
      <c r="AK252">
        <f>IFERROR(VLOOKUP($B252,[1]库存报告使用数据!$A$1:$C$65536,3,0),0)</f>
        <v>2</v>
      </c>
      <c r="AL252">
        <f>IFERROR(VLOOKUP($B252,[1]库存报告使用数据!$A$1:$D$65536,4,0),0)</f>
        <v>1</v>
      </c>
      <c r="AM252">
        <f>IFERROR(VLOOKUP($B252,[1]库存报告使用数据!$A$1:$E$65536,5,0),0)</f>
        <v>2</v>
      </c>
      <c r="AN252" s="23">
        <f t="shared" si="68"/>
        <v>0</v>
      </c>
      <c r="AO252" s="23">
        <f t="shared" si="69"/>
        <v>0</v>
      </c>
      <c r="AP252" s="23">
        <f t="shared" si="70"/>
        <v>0</v>
      </c>
      <c r="AQ252" s="23">
        <f t="shared" si="71"/>
        <v>0</v>
      </c>
      <c r="AR252" s="38">
        <f t="shared" si="56"/>
        <v>0</v>
      </c>
      <c r="AS252" s="38">
        <f t="shared" si="57"/>
        <v>0</v>
      </c>
      <c r="AT252" s="38">
        <f t="shared" si="58"/>
        <v>2</v>
      </c>
      <c r="AU252" s="33" t="str">
        <f t="shared" si="59"/>
        <v>库存为2</v>
      </c>
      <c r="AV252" s="39" t="str">
        <f>IFERROR(时间!$B$4+AU252,"上周无销量")</f>
        <v>上周无销量</v>
      </c>
    </row>
    <row r="253" spans="1:48">
      <c r="A253" s="35" t="s">
        <v>298</v>
      </c>
      <c r="B253" t="str">
        <f>VLOOKUP(A253,'[2]sku-asin（子）'!$A:$B,2,0)</f>
        <v>B074FYL2WF</v>
      </c>
      <c r="C253" t="str">
        <f>VLOOKUP(A253,'[2]子sku-父sku'!$A:$B,2,0)</f>
        <v>N89122K</v>
      </c>
      <c r="D253" s="33">
        <f>IFERROR(VLOOKUP(A253,[3]库存报告使用数据处理!$A:$C,3,0),0)</f>
        <v>0</v>
      </c>
      <c r="E253" s="33">
        <f>IFERROR(VLOOKUP(A253,[3]库存报告使用数据处理!$A:$D,4,0),0)</f>
        <v>0</v>
      </c>
      <c r="F253" s="33">
        <f>IFERROR(VLOOKUP(A253,[3]库存报告使用数据处理!$A:$E,5,0),0)</f>
        <v>0</v>
      </c>
      <c r="G253" s="33">
        <f>IFERROR(VLOOKUP(A253,[3]库存报告使用数据处理!$A:$F,6,0),0)</f>
        <v>0</v>
      </c>
      <c r="H253" s="34">
        <f>IFERROR(VLOOKUP(A253,[3]库存报告使用数据处理!$A:$G,7,0),0)</f>
        <v>0</v>
      </c>
      <c r="I253">
        <f>IFERROR(VLOOKUP(A253,[4]数据处理!$A:$B,2,0),0)</f>
        <v>2</v>
      </c>
      <c r="J253" s="36">
        <f>IFERROR(VLOOKUP(A253,[4]数据处理!$A:$D,4,0),0)</f>
        <v>0</v>
      </c>
      <c r="K253" s="36">
        <f>IFERROR(VLOOKUP(A253,[4]数据处理!$A:$E,5,0),0)</f>
        <v>0</v>
      </c>
      <c r="L253" s="36">
        <f>IFERROR(VLOOKUP(A253,[4]数据处理!$A:$G,7,0),0)</f>
        <v>0</v>
      </c>
      <c r="M253">
        <f t="shared" si="55"/>
        <v>2</v>
      </c>
      <c r="N253">
        <f>IFERROR(VLOOKUP(A253,[4]数据处理!$A:$C,3,0),0)</f>
        <v>0</v>
      </c>
      <c r="O253">
        <f>IFERROR(VLOOKUP($A253,[4]数据处理!$A:$N,14,0),0)</f>
        <v>2</v>
      </c>
      <c r="P253" t="str">
        <f>IFERROR(VLOOKUP($A253,[5]库存使用数据!$A:$B,2,0),"")</f>
        <v/>
      </c>
      <c r="Q253" t="str">
        <f>IFERROR(VLOOKUP($A253,[5]库存使用数据!$A:$E,5,0),"")</f>
        <v/>
      </c>
      <c r="R253" t="str">
        <f>IFERROR(VLOOKUP($A253,[5]库存使用数据!$A:$H,8,0),"")</f>
        <v/>
      </c>
      <c r="S253" t="str">
        <f>IFERROR(VLOOKUP($A253,[5]库存使用数据!$A:$K,11,0),"")</f>
        <v/>
      </c>
      <c r="T253" t="str">
        <f>IFERROR(VLOOKUP($A253,[5]库存使用数据!$A:$C,3,0),"")</f>
        <v/>
      </c>
      <c r="U253" t="str">
        <f>IFERROR(VLOOKUP($A253,[5]库存使用数据!$A:$F,6,0),"")</f>
        <v/>
      </c>
      <c r="V253" t="str">
        <f>IFERROR(VLOOKUP($A253,[5]库存使用数据!$A:$I,9,0),"")</f>
        <v/>
      </c>
      <c r="W253" t="str">
        <f>IFERROR(VLOOKUP($A253,[5]库存使用数据!$A:$L,12,0),"")</f>
        <v/>
      </c>
      <c r="X253" s="23" t="str">
        <f t="shared" si="60"/>
        <v/>
      </c>
      <c r="Y253" s="23" t="str">
        <f t="shared" si="61"/>
        <v/>
      </c>
      <c r="Z253" s="23" t="str">
        <f t="shared" si="62"/>
        <v/>
      </c>
      <c r="AA253" s="23" t="str">
        <f t="shared" si="63"/>
        <v/>
      </c>
      <c r="AB253" t="str">
        <f>IFERROR(VLOOKUP($A253,[5]库存使用数据!$A:$D,4,0),"")</f>
        <v/>
      </c>
      <c r="AC253" t="str">
        <f>IFERROR(VLOOKUP($A253,[5]库存使用数据!$A:$G,7,0),"")</f>
        <v/>
      </c>
      <c r="AD253" t="str">
        <f>IFERROR(VLOOKUP($A253,[5]库存使用数据!$A:$J,10,0),"")</f>
        <v/>
      </c>
      <c r="AE253" t="str">
        <f>IFERROR(VLOOKUP($A253,[5]库存使用数据!$A:$M,13,0),"")</f>
        <v/>
      </c>
      <c r="AF253" s="23" t="str">
        <f t="shared" si="64"/>
        <v/>
      </c>
      <c r="AG253" s="23" t="str">
        <f t="shared" si="65"/>
        <v/>
      </c>
      <c r="AH253" s="23" t="str">
        <f t="shared" si="66"/>
        <v/>
      </c>
      <c r="AI253" s="23" t="str">
        <f t="shared" si="67"/>
        <v/>
      </c>
      <c r="AJ253">
        <f>IFERROR(VLOOKUP($B253,[1]库存报告使用数据!$A$1:$B$65536,2,0),0)</f>
        <v>0</v>
      </c>
      <c r="AK253">
        <f>IFERROR(VLOOKUP($B253,[1]库存报告使用数据!$A$1:$C$65536,3,0),0)</f>
        <v>3</v>
      </c>
      <c r="AL253">
        <f>IFERROR(VLOOKUP($B253,[1]库存报告使用数据!$A$1:$D$65536,4,0),0)</f>
        <v>1</v>
      </c>
      <c r="AM253">
        <f>IFERROR(VLOOKUP($B253,[1]库存报告使用数据!$A$1:$E$65536,5,0),0)</f>
        <v>0</v>
      </c>
      <c r="AN253" s="23" t="str">
        <f t="shared" si="68"/>
        <v/>
      </c>
      <c r="AO253" s="23">
        <f t="shared" si="69"/>
        <v>0</v>
      </c>
      <c r="AP253" s="23">
        <f t="shared" si="70"/>
        <v>0</v>
      </c>
      <c r="AQ253" s="23" t="str">
        <f t="shared" si="71"/>
        <v/>
      </c>
      <c r="AR253" s="38">
        <f t="shared" si="56"/>
        <v>0</v>
      </c>
      <c r="AS253" s="38">
        <f t="shared" si="57"/>
        <v>0</v>
      </c>
      <c r="AT253" s="38">
        <f t="shared" si="58"/>
        <v>2</v>
      </c>
      <c r="AU253" s="33" t="str">
        <f t="shared" si="59"/>
        <v>库存为2</v>
      </c>
      <c r="AV253" s="39" t="str">
        <f>IFERROR(时间!$B$4+AU253,"上周无销量")</f>
        <v>上周无销量</v>
      </c>
    </row>
    <row r="254" spans="1:48">
      <c r="A254" s="35" t="s">
        <v>299</v>
      </c>
      <c r="B254" t="str">
        <f>VLOOKUP(A254,'[2]sku-asin（子）'!$A:$B,2,0)</f>
        <v>B074FWT3JN</v>
      </c>
      <c r="C254" t="str">
        <f>VLOOKUP(A254,'[2]子sku-父sku'!$A:$B,2,0)</f>
        <v>N89122K</v>
      </c>
      <c r="D254" s="33">
        <f>IFERROR(VLOOKUP(A254,[3]库存报告使用数据处理!$A:$C,3,0),0)</f>
        <v>0</v>
      </c>
      <c r="E254" s="33">
        <f>IFERROR(VLOOKUP(A254,[3]库存报告使用数据处理!$A:$D,4,0),0)</f>
        <v>0</v>
      </c>
      <c r="F254" s="33">
        <f>IFERROR(VLOOKUP(A254,[3]库存报告使用数据处理!$A:$E,5,0),0)</f>
        <v>0</v>
      </c>
      <c r="G254" s="33">
        <f>IFERROR(VLOOKUP(A254,[3]库存报告使用数据处理!$A:$F,6,0),0)</f>
        <v>0</v>
      </c>
      <c r="H254" s="34">
        <f>IFERROR(VLOOKUP(A254,[3]库存报告使用数据处理!$A:$G,7,0),0)</f>
        <v>0</v>
      </c>
      <c r="I254">
        <f>IFERROR(VLOOKUP(A254,[4]数据处理!$A:$B,2,0),0)</f>
        <v>1</v>
      </c>
      <c r="J254" s="36">
        <f>IFERROR(VLOOKUP(A254,[4]数据处理!$A:$D,4,0),0)</f>
        <v>0</v>
      </c>
      <c r="K254" s="36">
        <f>IFERROR(VLOOKUP(A254,[4]数据处理!$A:$E,5,0),0)</f>
        <v>0</v>
      </c>
      <c r="L254" s="36">
        <f>IFERROR(VLOOKUP(A254,[4]数据处理!$A:$G,7,0),0)</f>
        <v>0</v>
      </c>
      <c r="M254">
        <f t="shared" si="55"/>
        <v>1</v>
      </c>
      <c r="N254">
        <f>IFERROR(VLOOKUP(A254,[4]数据处理!$A:$C,3,0),0)</f>
        <v>0</v>
      </c>
      <c r="O254">
        <f>IFERROR(VLOOKUP($A254,[4]数据处理!$A:$N,14,0),0)</f>
        <v>1</v>
      </c>
      <c r="P254" t="str">
        <f>IFERROR(VLOOKUP($A254,[5]库存使用数据!$A:$B,2,0),"")</f>
        <v/>
      </c>
      <c r="Q254" t="str">
        <f>IFERROR(VLOOKUP($A254,[5]库存使用数据!$A:$E,5,0),"")</f>
        <v/>
      </c>
      <c r="R254" t="str">
        <f>IFERROR(VLOOKUP($A254,[5]库存使用数据!$A:$H,8,0),"")</f>
        <v/>
      </c>
      <c r="S254" t="str">
        <f>IFERROR(VLOOKUP($A254,[5]库存使用数据!$A:$K,11,0),"")</f>
        <v/>
      </c>
      <c r="T254" t="str">
        <f>IFERROR(VLOOKUP($A254,[5]库存使用数据!$A:$C,3,0),"")</f>
        <v/>
      </c>
      <c r="U254" t="str">
        <f>IFERROR(VLOOKUP($A254,[5]库存使用数据!$A:$F,6,0),"")</f>
        <v/>
      </c>
      <c r="V254" t="str">
        <f>IFERROR(VLOOKUP($A254,[5]库存使用数据!$A:$I,9,0),"")</f>
        <v/>
      </c>
      <c r="W254" t="str">
        <f>IFERROR(VLOOKUP($A254,[5]库存使用数据!$A:$L,12,0),"")</f>
        <v/>
      </c>
      <c r="X254" s="23" t="str">
        <f t="shared" si="60"/>
        <v/>
      </c>
      <c r="Y254" s="23" t="str">
        <f t="shared" si="61"/>
        <v/>
      </c>
      <c r="Z254" s="23" t="str">
        <f t="shared" si="62"/>
        <v/>
      </c>
      <c r="AA254" s="23" t="str">
        <f t="shared" si="63"/>
        <v/>
      </c>
      <c r="AB254" t="str">
        <f>IFERROR(VLOOKUP($A254,[5]库存使用数据!$A:$D,4,0),"")</f>
        <v/>
      </c>
      <c r="AC254" t="str">
        <f>IFERROR(VLOOKUP($A254,[5]库存使用数据!$A:$G,7,0),"")</f>
        <v/>
      </c>
      <c r="AD254" t="str">
        <f>IFERROR(VLOOKUP($A254,[5]库存使用数据!$A:$J,10,0),"")</f>
        <v/>
      </c>
      <c r="AE254" t="str">
        <f>IFERROR(VLOOKUP($A254,[5]库存使用数据!$A:$M,13,0),"")</f>
        <v/>
      </c>
      <c r="AF254" s="23" t="str">
        <f t="shared" si="64"/>
        <v/>
      </c>
      <c r="AG254" s="23" t="str">
        <f t="shared" si="65"/>
        <v/>
      </c>
      <c r="AH254" s="23" t="str">
        <f t="shared" si="66"/>
        <v/>
      </c>
      <c r="AI254" s="23" t="str">
        <f t="shared" si="67"/>
        <v/>
      </c>
      <c r="AJ254">
        <f>IFERROR(VLOOKUP($B254,[1]库存报告使用数据!$A$1:$B$65536,2,0),0)</f>
        <v>1</v>
      </c>
      <c r="AK254">
        <f>IFERROR(VLOOKUP($B254,[1]库存报告使用数据!$A$1:$C$65536,3,0),0)</f>
        <v>2</v>
      </c>
      <c r="AL254">
        <f>IFERROR(VLOOKUP($B254,[1]库存报告使用数据!$A$1:$D$65536,4,0),0)</f>
        <v>1</v>
      </c>
      <c r="AM254">
        <f>IFERROR(VLOOKUP($B254,[1]库存报告使用数据!$A$1:$E$65536,5,0),0)</f>
        <v>1</v>
      </c>
      <c r="AN254" s="23">
        <f t="shared" si="68"/>
        <v>0</v>
      </c>
      <c r="AO254" s="23">
        <f t="shared" si="69"/>
        <v>0</v>
      </c>
      <c r="AP254" s="23">
        <f t="shared" si="70"/>
        <v>0</v>
      </c>
      <c r="AQ254" s="23">
        <f t="shared" si="71"/>
        <v>0</v>
      </c>
      <c r="AR254" s="38">
        <f t="shared" si="56"/>
        <v>0</v>
      </c>
      <c r="AS254" s="38">
        <f t="shared" si="57"/>
        <v>0</v>
      </c>
      <c r="AT254" s="38">
        <f t="shared" si="58"/>
        <v>1</v>
      </c>
      <c r="AU254" s="33" t="str">
        <f t="shared" si="59"/>
        <v>库存为1</v>
      </c>
      <c r="AV254" s="39" t="str">
        <f>IFERROR(时间!$B$4+AU254,"上周无销量")</f>
        <v>上周无销量</v>
      </c>
    </row>
    <row r="255" spans="1:48">
      <c r="A255" s="35" t="s">
        <v>300</v>
      </c>
      <c r="B255" t="str">
        <f>VLOOKUP(A255,'[2]sku-asin（子）'!$A:$B,2,0)</f>
        <v>B074FXSQV1</v>
      </c>
      <c r="C255" t="str">
        <f>VLOOKUP(A255,'[2]子sku-父sku'!$A:$B,2,0)</f>
        <v>N89122K</v>
      </c>
      <c r="D255" s="33">
        <f>IFERROR(VLOOKUP(A255,[3]库存报告使用数据处理!$A:$C,3,0),0)</f>
        <v>0</v>
      </c>
      <c r="E255" s="33">
        <f>IFERROR(VLOOKUP(A255,[3]库存报告使用数据处理!$A:$D,4,0),0)</f>
        <v>0</v>
      </c>
      <c r="F255" s="33">
        <f>IFERROR(VLOOKUP(A255,[3]库存报告使用数据处理!$A:$E,5,0),0)</f>
        <v>0</v>
      </c>
      <c r="G255" s="33">
        <f>IFERROR(VLOOKUP(A255,[3]库存报告使用数据处理!$A:$F,6,0),0)</f>
        <v>0</v>
      </c>
      <c r="H255" s="34">
        <f>IFERROR(VLOOKUP(A255,[3]库存报告使用数据处理!$A:$G,7,0),0)</f>
        <v>0</v>
      </c>
      <c r="I255">
        <f>IFERROR(VLOOKUP(A255,[4]数据处理!$A:$B,2,0),0)</f>
        <v>1</v>
      </c>
      <c r="J255" s="36">
        <f>IFERROR(VLOOKUP(A255,[4]数据处理!$A:$D,4,0),0)</f>
        <v>0</v>
      </c>
      <c r="K255" s="36">
        <f>IFERROR(VLOOKUP(A255,[4]数据处理!$A:$E,5,0),0)</f>
        <v>0</v>
      </c>
      <c r="L255" s="36">
        <f>IFERROR(VLOOKUP(A255,[4]数据处理!$A:$G,7,0),0)</f>
        <v>0</v>
      </c>
      <c r="M255">
        <f t="shared" si="55"/>
        <v>1</v>
      </c>
      <c r="N255">
        <f>IFERROR(VLOOKUP(A255,[4]数据处理!$A:$C,3,0),0)</f>
        <v>0</v>
      </c>
      <c r="O255">
        <f>IFERROR(VLOOKUP($A255,[4]数据处理!$A:$N,14,0),0)</f>
        <v>1</v>
      </c>
      <c r="P255" t="str">
        <f>IFERROR(VLOOKUP($A255,[5]库存使用数据!$A:$B,2,0),"")</f>
        <v/>
      </c>
      <c r="Q255" t="str">
        <f>IFERROR(VLOOKUP($A255,[5]库存使用数据!$A:$E,5,0),"")</f>
        <v/>
      </c>
      <c r="R255" t="str">
        <f>IFERROR(VLOOKUP($A255,[5]库存使用数据!$A:$H,8,0),"")</f>
        <v/>
      </c>
      <c r="S255" t="str">
        <f>IFERROR(VLOOKUP($A255,[5]库存使用数据!$A:$K,11,0),"")</f>
        <v/>
      </c>
      <c r="T255" t="str">
        <f>IFERROR(VLOOKUP($A255,[5]库存使用数据!$A:$C,3,0),"")</f>
        <v/>
      </c>
      <c r="U255" t="str">
        <f>IFERROR(VLOOKUP($A255,[5]库存使用数据!$A:$F,6,0),"")</f>
        <v/>
      </c>
      <c r="V255" t="str">
        <f>IFERROR(VLOOKUP($A255,[5]库存使用数据!$A:$I,9,0),"")</f>
        <v/>
      </c>
      <c r="W255" t="str">
        <f>IFERROR(VLOOKUP($A255,[5]库存使用数据!$A:$L,12,0),"")</f>
        <v/>
      </c>
      <c r="X255" s="23" t="str">
        <f t="shared" si="60"/>
        <v/>
      </c>
      <c r="Y255" s="23" t="str">
        <f t="shared" si="61"/>
        <v/>
      </c>
      <c r="Z255" s="23" t="str">
        <f t="shared" si="62"/>
        <v/>
      </c>
      <c r="AA255" s="23" t="str">
        <f t="shared" si="63"/>
        <v/>
      </c>
      <c r="AB255" t="str">
        <f>IFERROR(VLOOKUP($A255,[5]库存使用数据!$A:$D,4,0),"")</f>
        <v/>
      </c>
      <c r="AC255" t="str">
        <f>IFERROR(VLOOKUP($A255,[5]库存使用数据!$A:$G,7,0),"")</f>
        <v/>
      </c>
      <c r="AD255" t="str">
        <f>IFERROR(VLOOKUP($A255,[5]库存使用数据!$A:$J,10,0),"")</f>
        <v/>
      </c>
      <c r="AE255" t="str">
        <f>IFERROR(VLOOKUP($A255,[5]库存使用数据!$A:$M,13,0),"")</f>
        <v/>
      </c>
      <c r="AF255" s="23" t="str">
        <f t="shared" si="64"/>
        <v/>
      </c>
      <c r="AG255" s="23" t="str">
        <f t="shared" si="65"/>
        <v/>
      </c>
      <c r="AH255" s="23" t="str">
        <f t="shared" si="66"/>
        <v/>
      </c>
      <c r="AI255" s="23" t="str">
        <f t="shared" si="67"/>
        <v/>
      </c>
      <c r="AJ255">
        <f>IFERROR(VLOOKUP($B255,[1]库存报告使用数据!$A$1:$B$65536,2,0),0)</f>
        <v>0</v>
      </c>
      <c r="AK255">
        <f>IFERROR(VLOOKUP($B255,[1]库存报告使用数据!$A$1:$C$65536,3,0),0)</f>
        <v>1</v>
      </c>
      <c r="AL255">
        <f>IFERROR(VLOOKUP($B255,[1]库存报告使用数据!$A$1:$D$65536,4,0),0)</f>
        <v>1</v>
      </c>
      <c r="AM255">
        <f>IFERROR(VLOOKUP($B255,[1]库存报告使用数据!$A$1:$E$65536,5,0),0)</f>
        <v>0</v>
      </c>
      <c r="AN255" s="23" t="str">
        <f t="shared" si="68"/>
        <v/>
      </c>
      <c r="AO255" s="23">
        <f t="shared" si="69"/>
        <v>0</v>
      </c>
      <c r="AP255" s="23">
        <f t="shared" si="70"/>
        <v>0</v>
      </c>
      <c r="AQ255" s="23" t="str">
        <f t="shared" si="71"/>
        <v/>
      </c>
      <c r="AR255" s="38">
        <f t="shared" si="56"/>
        <v>0</v>
      </c>
      <c r="AS255" s="38">
        <f t="shared" si="57"/>
        <v>0</v>
      </c>
      <c r="AT255" s="38">
        <f t="shared" si="58"/>
        <v>1</v>
      </c>
      <c r="AU255" s="33" t="str">
        <f t="shared" si="59"/>
        <v>库存为1</v>
      </c>
      <c r="AV255" s="39" t="str">
        <f>IFERROR(时间!$B$4+AU255,"上周无销量")</f>
        <v>上周无销量</v>
      </c>
    </row>
    <row r="256" spans="1:48">
      <c r="A256" s="35" t="s">
        <v>301</v>
      </c>
      <c r="B256" t="str">
        <f>VLOOKUP(A256,'[2]sku-asin（子）'!$A:$B,2,0)</f>
        <v>B074FT1X4P</v>
      </c>
      <c r="C256" t="str">
        <f>VLOOKUP(A256,'[2]子sku-父sku'!$A:$B,2,0)</f>
        <v>N89122K</v>
      </c>
      <c r="D256" s="33">
        <f>IFERROR(VLOOKUP(A256,[3]库存报告使用数据处理!$A:$C,3,0),0)</f>
        <v>0</v>
      </c>
      <c r="E256" s="33">
        <f>IFERROR(VLOOKUP(A256,[3]库存报告使用数据处理!$A:$D,4,0),0)</f>
        <v>0</v>
      </c>
      <c r="F256" s="33">
        <f>IFERROR(VLOOKUP(A256,[3]库存报告使用数据处理!$A:$E,5,0),0)</f>
        <v>0</v>
      </c>
      <c r="G256" s="33">
        <f>IFERROR(VLOOKUP(A256,[3]库存报告使用数据处理!$A:$F,6,0),0)</f>
        <v>0</v>
      </c>
      <c r="H256" s="34">
        <f>IFERROR(VLOOKUP(A256,[3]库存报告使用数据处理!$A:$G,7,0),0)</f>
        <v>0</v>
      </c>
      <c r="I256">
        <f>IFERROR(VLOOKUP(A256,[4]数据处理!$A:$B,2,0),0)</f>
        <v>2</v>
      </c>
      <c r="J256" s="36">
        <f>IFERROR(VLOOKUP(A256,[4]数据处理!$A:$D,4,0),0)</f>
        <v>0</v>
      </c>
      <c r="K256" s="36">
        <f>IFERROR(VLOOKUP(A256,[4]数据处理!$A:$E,5,0),0)</f>
        <v>0</v>
      </c>
      <c r="L256" s="36">
        <f>IFERROR(VLOOKUP(A256,[4]数据处理!$A:$G,7,0),0)</f>
        <v>0</v>
      </c>
      <c r="M256">
        <f t="shared" si="55"/>
        <v>2</v>
      </c>
      <c r="N256">
        <f>IFERROR(VLOOKUP(A256,[4]数据处理!$A:$C,3,0),0)</f>
        <v>0</v>
      </c>
      <c r="O256">
        <f>IFERROR(VLOOKUP($A256,[4]数据处理!$A:$N,14,0),0)</f>
        <v>2</v>
      </c>
      <c r="P256" t="str">
        <f>IFERROR(VLOOKUP($A256,[5]库存使用数据!$A:$B,2,0),"")</f>
        <v/>
      </c>
      <c r="Q256" t="str">
        <f>IFERROR(VLOOKUP($A256,[5]库存使用数据!$A:$E,5,0),"")</f>
        <v/>
      </c>
      <c r="R256" t="str">
        <f>IFERROR(VLOOKUP($A256,[5]库存使用数据!$A:$H,8,0),"")</f>
        <v/>
      </c>
      <c r="S256" t="str">
        <f>IFERROR(VLOOKUP($A256,[5]库存使用数据!$A:$K,11,0),"")</f>
        <v/>
      </c>
      <c r="T256" t="str">
        <f>IFERROR(VLOOKUP($A256,[5]库存使用数据!$A:$C,3,0),"")</f>
        <v/>
      </c>
      <c r="U256" t="str">
        <f>IFERROR(VLOOKUP($A256,[5]库存使用数据!$A:$F,6,0),"")</f>
        <v/>
      </c>
      <c r="V256" t="str">
        <f>IFERROR(VLOOKUP($A256,[5]库存使用数据!$A:$I,9,0),"")</f>
        <v/>
      </c>
      <c r="W256" t="str">
        <f>IFERROR(VLOOKUP($A256,[5]库存使用数据!$A:$L,12,0),"")</f>
        <v/>
      </c>
      <c r="X256" s="23" t="str">
        <f t="shared" si="60"/>
        <v/>
      </c>
      <c r="Y256" s="23" t="str">
        <f t="shared" si="61"/>
        <v/>
      </c>
      <c r="Z256" s="23" t="str">
        <f t="shared" si="62"/>
        <v/>
      </c>
      <c r="AA256" s="23" t="str">
        <f t="shared" si="63"/>
        <v/>
      </c>
      <c r="AB256" t="str">
        <f>IFERROR(VLOOKUP($A256,[5]库存使用数据!$A:$D,4,0),"")</f>
        <v/>
      </c>
      <c r="AC256" t="str">
        <f>IFERROR(VLOOKUP($A256,[5]库存使用数据!$A:$G,7,0),"")</f>
        <v/>
      </c>
      <c r="AD256" t="str">
        <f>IFERROR(VLOOKUP($A256,[5]库存使用数据!$A:$J,10,0),"")</f>
        <v/>
      </c>
      <c r="AE256" t="str">
        <f>IFERROR(VLOOKUP($A256,[5]库存使用数据!$A:$M,13,0),"")</f>
        <v/>
      </c>
      <c r="AF256" s="23" t="str">
        <f t="shared" si="64"/>
        <v/>
      </c>
      <c r="AG256" s="23" t="str">
        <f t="shared" si="65"/>
        <v/>
      </c>
      <c r="AH256" s="23" t="str">
        <f t="shared" si="66"/>
        <v/>
      </c>
      <c r="AI256" s="23" t="str">
        <f t="shared" si="67"/>
        <v/>
      </c>
      <c r="AJ256">
        <f>IFERROR(VLOOKUP($B256,[1]库存报告使用数据!$A$1:$B$65536,2,0),0)</f>
        <v>0</v>
      </c>
      <c r="AK256">
        <f>IFERROR(VLOOKUP($B256,[1]库存报告使用数据!$A$1:$C$65536,3,0),0)</f>
        <v>0</v>
      </c>
      <c r="AL256">
        <f>IFERROR(VLOOKUP($B256,[1]库存报告使用数据!$A$1:$D$65536,4,0),0)</f>
        <v>0</v>
      </c>
      <c r="AM256">
        <f>IFERROR(VLOOKUP($B256,[1]库存报告使用数据!$A$1:$E$65536,5,0),0)</f>
        <v>0</v>
      </c>
      <c r="AN256" s="23" t="str">
        <f t="shared" si="68"/>
        <v/>
      </c>
      <c r="AO256" s="23" t="str">
        <f t="shared" si="69"/>
        <v/>
      </c>
      <c r="AP256" s="23" t="str">
        <f t="shared" si="70"/>
        <v/>
      </c>
      <c r="AQ256" s="23" t="str">
        <f t="shared" si="71"/>
        <v/>
      </c>
      <c r="AR256" s="38">
        <f t="shared" si="56"/>
        <v>0</v>
      </c>
      <c r="AS256" s="38">
        <f t="shared" si="57"/>
        <v>0</v>
      </c>
      <c r="AT256" s="38">
        <f t="shared" si="58"/>
        <v>2</v>
      </c>
      <c r="AU256" s="33" t="str">
        <f t="shared" si="59"/>
        <v>库存为2</v>
      </c>
      <c r="AV256" s="39" t="str">
        <f>IFERROR(时间!$B$4+AU256,"上周无销量")</f>
        <v>上周无销量</v>
      </c>
    </row>
    <row r="257" spans="1:48">
      <c r="A257" s="35" t="s">
        <v>302</v>
      </c>
      <c r="B257" t="str">
        <f>VLOOKUP(A257,'[2]sku-asin（子）'!$A:$B,2,0)</f>
        <v>B074FVCMHJ</v>
      </c>
      <c r="C257" t="str">
        <f>VLOOKUP(A257,'[2]子sku-父sku'!$A:$B,2,0)</f>
        <v>N89122K</v>
      </c>
      <c r="D257" s="33">
        <f>IFERROR(VLOOKUP(A257,[3]库存报告使用数据处理!$A:$C,3,0),0)</f>
        <v>0</v>
      </c>
      <c r="E257" s="33">
        <f>IFERROR(VLOOKUP(A257,[3]库存报告使用数据处理!$A:$D,4,0),0)</f>
        <v>0</v>
      </c>
      <c r="F257" s="33">
        <f>IFERROR(VLOOKUP(A257,[3]库存报告使用数据处理!$A:$E,5,0),0)</f>
        <v>0</v>
      </c>
      <c r="G257" s="33">
        <f>IFERROR(VLOOKUP(A257,[3]库存报告使用数据处理!$A:$F,6,0),0)</f>
        <v>0</v>
      </c>
      <c r="H257" s="34">
        <f>IFERROR(VLOOKUP(A257,[3]库存报告使用数据处理!$A:$G,7,0),0)</f>
        <v>0</v>
      </c>
      <c r="I257">
        <f>IFERROR(VLOOKUP(A257,[4]数据处理!$A:$B,2,0),0)</f>
        <v>2</v>
      </c>
      <c r="J257" s="36">
        <f>IFERROR(VLOOKUP(A257,[4]数据处理!$A:$D,4,0),0)</f>
        <v>0</v>
      </c>
      <c r="K257" s="36">
        <f>IFERROR(VLOOKUP(A257,[4]数据处理!$A:$E,5,0),0)</f>
        <v>0</v>
      </c>
      <c r="L257" s="36">
        <f>IFERROR(VLOOKUP(A257,[4]数据处理!$A:$G,7,0),0)</f>
        <v>0</v>
      </c>
      <c r="M257">
        <f t="shared" si="55"/>
        <v>2</v>
      </c>
      <c r="N257">
        <f>IFERROR(VLOOKUP(A257,[4]数据处理!$A:$C,3,0),0)</f>
        <v>0</v>
      </c>
      <c r="O257">
        <f>IFERROR(VLOOKUP($A257,[4]数据处理!$A:$N,14,0),0)</f>
        <v>2</v>
      </c>
      <c r="P257" t="str">
        <f>IFERROR(VLOOKUP($A257,[5]库存使用数据!$A:$B,2,0),"")</f>
        <v/>
      </c>
      <c r="Q257" t="str">
        <f>IFERROR(VLOOKUP($A257,[5]库存使用数据!$A:$E,5,0),"")</f>
        <v/>
      </c>
      <c r="R257" t="str">
        <f>IFERROR(VLOOKUP($A257,[5]库存使用数据!$A:$H,8,0),"")</f>
        <v/>
      </c>
      <c r="S257" t="str">
        <f>IFERROR(VLOOKUP($A257,[5]库存使用数据!$A:$K,11,0),"")</f>
        <v/>
      </c>
      <c r="T257" t="str">
        <f>IFERROR(VLOOKUP($A257,[5]库存使用数据!$A:$C,3,0),"")</f>
        <v/>
      </c>
      <c r="U257" t="str">
        <f>IFERROR(VLOOKUP($A257,[5]库存使用数据!$A:$F,6,0),"")</f>
        <v/>
      </c>
      <c r="V257" t="str">
        <f>IFERROR(VLOOKUP($A257,[5]库存使用数据!$A:$I,9,0),"")</f>
        <v/>
      </c>
      <c r="W257" t="str">
        <f>IFERROR(VLOOKUP($A257,[5]库存使用数据!$A:$L,12,0),"")</f>
        <v/>
      </c>
      <c r="X257" s="23" t="str">
        <f t="shared" si="60"/>
        <v/>
      </c>
      <c r="Y257" s="23" t="str">
        <f t="shared" si="61"/>
        <v/>
      </c>
      <c r="Z257" s="23" t="str">
        <f t="shared" si="62"/>
        <v/>
      </c>
      <c r="AA257" s="23" t="str">
        <f t="shared" si="63"/>
        <v/>
      </c>
      <c r="AB257" t="str">
        <f>IFERROR(VLOOKUP($A257,[5]库存使用数据!$A:$D,4,0),"")</f>
        <v/>
      </c>
      <c r="AC257" t="str">
        <f>IFERROR(VLOOKUP($A257,[5]库存使用数据!$A:$G,7,0),"")</f>
        <v/>
      </c>
      <c r="AD257" t="str">
        <f>IFERROR(VLOOKUP($A257,[5]库存使用数据!$A:$J,10,0),"")</f>
        <v/>
      </c>
      <c r="AE257" t="str">
        <f>IFERROR(VLOOKUP($A257,[5]库存使用数据!$A:$M,13,0),"")</f>
        <v/>
      </c>
      <c r="AF257" s="23" t="str">
        <f t="shared" si="64"/>
        <v/>
      </c>
      <c r="AG257" s="23" t="str">
        <f t="shared" si="65"/>
        <v/>
      </c>
      <c r="AH257" s="23" t="str">
        <f t="shared" si="66"/>
        <v/>
      </c>
      <c r="AI257" s="23" t="str">
        <f t="shared" si="67"/>
        <v/>
      </c>
      <c r="AJ257">
        <f>IFERROR(VLOOKUP($B257,[1]库存报告使用数据!$A$1:$B$65536,2,0),0)</f>
        <v>2</v>
      </c>
      <c r="AK257">
        <f>IFERROR(VLOOKUP($B257,[1]库存报告使用数据!$A$1:$C$65536,3,0),0)</f>
        <v>2</v>
      </c>
      <c r="AL257">
        <f>IFERROR(VLOOKUP($B257,[1]库存报告使用数据!$A$1:$D$65536,4,0),0)</f>
        <v>1</v>
      </c>
      <c r="AM257">
        <f>IFERROR(VLOOKUP($B257,[1]库存报告使用数据!$A$1:$E$65536,5,0),0)</f>
        <v>2</v>
      </c>
      <c r="AN257" s="23">
        <f t="shared" si="68"/>
        <v>0</v>
      </c>
      <c r="AO257" s="23">
        <f t="shared" si="69"/>
        <v>0</v>
      </c>
      <c r="AP257" s="23">
        <f t="shared" si="70"/>
        <v>0</v>
      </c>
      <c r="AQ257" s="23">
        <f t="shared" si="71"/>
        <v>0</v>
      </c>
      <c r="AR257" s="38">
        <f t="shared" si="56"/>
        <v>0</v>
      </c>
      <c r="AS257" s="38">
        <f t="shared" si="57"/>
        <v>0</v>
      </c>
      <c r="AT257" s="38">
        <f t="shared" si="58"/>
        <v>2</v>
      </c>
      <c r="AU257" s="33" t="str">
        <f t="shared" si="59"/>
        <v>库存为2</v>
      </c>
      <c r="AV257" s="39" t="str">
        <f>IFERROR(时间!$B$4+AU257,"上周无销量")</f>
        <v>上周无销量</v>
      </c>
    </row>
    <row r="258" spans="1:48">
      <c r="A258" s="35" t="s">
        <v>303</v>
      </c>
      <c r="B258" t="str">
        <f>VLOOKUP(A258,'[2]sku-asin（子）'!$A:$B,2,0)</f>
        <v>B074FTB99W</v>
      </c>
      <c r="C258" t="str">
        <f>VLOOKUP(A258,'[2]子sku-父sku'!$A:$B,2,0)</f>
        <v>N89122K</v>
      </c>
      <c r="D258" s="33">
        <f>IFERROR(VLOOKUP(A258,[3]库存报告使用数据处理!$A:$C,3,0),0)</f>
        <v>0</v>
      </c>
      <c r="E258" s="33">
        <f>IFERROR(VLOOKUP(A258,[3]库存报告使用数据处理!$A:$D,4,0),0)</f>
        <v>0</v>
      </c>
      <c r="F258" s="33">
        <f>IFERROR(VLOOKUP(A258,[3]库存报告使用数据处理!$A:$E,5,0),0)</f>
        <v>0</v>
      </c>
      <c r="G258" s="33">
        <f>IFERROR(VLOOKUP(A258,[3]库存报告使用数据处理!$A:$F,6,0),0)</f>
        <v>0</v>
      </c>
      <c r="H258" s="34">
        <f>IFERROR(VLOOKUP(A258,[3]库存报告使用数据处理!$A:$G,7,0),0)</f>
        <v>0</v>
      </c>
      <c r="I258">
        <f>IFERROR(VLOOKUP(A258,[4]数据处理!$A:$B,2,0),0)</f>
        <v>2</v>
      </c>
      <c r="J258" s="36">
        <f>IFERROR(VLOOKUP(A258,[4]数据处理!$A:$D,4,0),0)</f>
        <v>0</v>
      </c>
      <c r="K258" s="36">
        <f>IFERROR(VLOOKUP(A258,[4]数据处理!$A:$E,5,0),0)</f>
        <v>0</v>
      </c>
      <c r="L258" s="36">
        <f>IFERROR(VLOOKUP(A258,[4]数据处理!$A:$G,7,0),0)</f>
        <v>0</v>
      </c>
      <c r="M258">
        <f t="shared" si="55"/>
        <v>2</v>
      </c>
      <c r="N258">
        <f>IFERROR(VLOOKUP(A258,[4]数据处理!$A:$C,3,0),0)</f>
        <v>0</v>
      </c>
      <c r="O258">
        <f>IFERROR(VLOOKUP($A258,[4]数据处理!$A:$N,14,0),0)</f>
        <v>2</v>
      </c>
      <c r="P258" t="str">
        <f>IFERROR(VLOOKUP($A258,[5]库存使用数据!$A:$B,2,0),"")</f>
        <v/>
      </c>
      <c r="Q258" t="str">
        <f>IFERROR(VLOOKUP($A258,[5]库存使用数据!$A:$E,5,0),"")</f>
        <v/>
      </c>
      <c r="R258" t="str">
        <f>IFERROR(VLOOKUP($A258,[5]库存使用数据!$A:$H,8,0),"")</f>
        <v/>
      </c>
      <c r="S258" t="str">
        <f>IFERROR(VLOOKUP($A258,[5]库存使用数据!$A:$K,11,0),"")</f>
        <v/>
      </c>
      <c r="T258" t="str">
        <f>IFERROR(VLOOKUP($A258,[5]库存使用数据!$A:$C,3,0),"")</f>
        <v/>
      </c>
      <c r="U258" t="str">
        <f>IFERROR(VLOOKUP($A258,[5]库存使用数据!$A:$F,6,0),"")</f>
        <v/>
      </c>
      <c r="V258" t="str">
        <f>IFERROR(VLOOKUP($A258,[5]库存使用数据!$A:$I,9,0),"")</f>
        <v/>
      </c>
      <c r="W258" t="str">
        <f>IFERROR(VLOOKUP($A258,[5]库存使用数据!$A:$L,12,0),"")</f>
        <v/>
      </c>
      <c r="X258" s="23" t="str">
        <f t="shared" si="60"/>
        <v/>
      </c>
      <c r="Y258" s="23" t="str">
        <f t="shared" si="61"/>
        <v/>
      </c>
      <c r="Z258" s="23" t="str">
        <f t="shared" si="62"/>
        <v/>
      </c>
      <c r="AA258" s="23" t="str">
        <f t="shared" si="63"/>
        <v/>
      </c>
      <c r="AB258" t="str">
        <f>IFERROR(VLOOKUP($A258,[5]库存使用数据!$A:$D,4,0),"")</f>
        <v/>
      </c>
      <c r="AC258" t="str">
        <f>IFERROR(VLOOKUP($A258,[5]库存使用数据!$A:$G,7,0),"")</f>
        <v/>
      </c>
      <c r="AD258" t="str">
        <f>IFERROR(VLOOKUP($A258,[5]库存使用数据!$A:$J,10,0),"")</f>
        <v/>
      </c>
      <c r="AE258" t="str">
        <f>IFERROR(VLOOKUP($A258,[5]库存使用数据!$A:$M,13,0),"")</f>
        <v/>
      </c>
      <c r="AF258" s="23" t="str">
        <f t="shared" si="64"/>
        <v/>
      </c>
      <c r="AG258" s="23" t="str">
        <f t="shared" si="65"/>
        <v/>
      </c>
      <c r="AH258" s="23" t="str">
        <f t="shared" si="66"/>
        <v/>
      </c>
      <c r="AI258" s="23" t="str">
        <f t="shared" si="67"/>
        <v/>
      </c>
      <c r="AJ258">
        <f>IFERROR(VLOOKUP($B258,[1]库存报告使用数据!$A$1:$B$65536,2,0),0)</f>
        <v>1</v>
      </c>
      <c r="AK258">
        <f>IFERROR(VLOOKUP($B258,[1]库存报告使用数据!$A$1:$C$65536,3,0),0)</f>
        <v>1</v>
      </c>
      <c r="AL258">
        <f>IFERROR(VLOOKUP($B258,[1]库存报告使用数据!$A$1:$D$65536,4,0),0)</f>
        <v>1</v>
      </c>
      <c r="AM258">
        <f>IFERROR(VLOOKUP($B258,[1]库存报告使用数据!$A$1:$E$65536,5,0),0)</f>
        <v>1</v>
      </c>
      <c r="AN258" s="23">
        <f t="shared" si="68"/>
        <v>0</v>
      </c>
      <c r="AO258" s="23">
        <f t="shared" si="69"/>
        <v>0</v>
      </c>
      <c r="AP258" s="23">
        <f t="shared" si="70"/>
        <v>0</v>
      </c>
      <c r="AQ258" s="23">
        <f t="shared" si="71"/>
        <v>0</v>
      </c>
      <c r="AR258" s="38">
        <f t="shared" si="56"/>
        <v>0</v>
      </c>
      <c r="AS258" s="38">
        <f t="shared" si="57"/>
        <v>0</v>
      </c>
      <c r="AT258" s="38">
        <f t="shared" si="58"/>
        <v>2</v>
      </c>
      <c r="AU258" s="33" t="str">
        <f t="shared" si="59"/>
        <v>库存为2</v>
      </c>
      <c r="AV258" s="39" t="str">
        <f>IFERROR(时间!$B$4+AU258,"上周无销量")</f>
        <v>上周无销量</v>
      </c>
    </row>
    <row r="259" spans="1:48">
      <c r="A259" s="35" t="s">
        <v>304</v>
      </c>
      <c r="B259" t="str">
        <f>VLOOKUP(A259,'[2]sku-asin（子）'!$A:$B,2,0)</f>
        <v>B074FW571Z</v>
      </c>
      <c r="C259" t="str">
        <f>VLOOKUP(A259,'[2]子sku-父sku'!$A:$B,2,0)</f>
        <v>N89122K</v>
      </c>
      <c r="D259" s="33">
        <f>IFERROR(VLOOKUP(A259,[3]库存报告使用数据处理!$A:$C,3,0),0)</f>
        <v>0</v>
      </c>
      <c r="E259" s="33">
        <f>IFERROR(VLOOKUP(A259,[3]库存报告使用数据处理!$A:$D,4,0),0)</f>
        <v>0</v>
      </c>
      <c r="F259" s="33">
        <f>IFERROR(VLOOKUP(A259,[3]库存报告使用数据处理!$A:$E,5,0),0)</f>
        <v>0</v>
      </c>
      <c r="G259" s="33">
        <f>IFERROR(VLOOKUP(A259,[3]库存报告使用数据处理!$A:$F,6,0),0)</f>
        <v>0</v>
      </c>
      <c r="H259" s="34">
        <f>IFERROR(VLOOKUP(A259,[3]库存报告使用数据处理!$A:$G,7,0),0)</f>
        <v>0</v>
      </c>
      <c r="I259">
        <f>IFERROR(VLOOKUP(A259,[4]数据处理!$A:$B,2,0),0)</f>
        <v>2</v>
      </c>
      <c r="J259" s="36">
        <f>IFERROR(VLOOKUP(A259,[4]数据处理!$A:$D,4,0),0)</f>
        <v>0</v>
      </c>
      <c r="K259" s="36">
        <f>IFERROR(VLOOKUP(A259,[4]数据处理!$A:$E,5,0),0)</f>
        <v>0</v>
      </c>
      <c r="L259" s="36">
        <f>IFERROR(VLOOKUP(A259,[4]数据处理!$A:$G,7,0),0)</f>
        <v>0</v>
      </c>
      <c r="M259">
        <f t="shared" si="55"/>
        <v>2</v>
      </c>
      <c r="N259">
        <f>IFERROR(VLOOKUP(A259,[4]数据处理!$A:$C,3,0),0)</f>
        <v>0</v>
      </c>
      <c r="O259">
        <f>IFERROR(VLOOKUP($A259,[4]数据处理!$A:$N,14,0),0)</f>
        <v>2</v>
      </c>
      <c r="P259" t="str">
        <f>IFERROR(VLOOKUP($A259,[5]库存使用数据!$A:$B,2,0),"")</f>
        <v/>
      </c>
      <c r="Q259" t="str">
        <f>IFERROR(VLOOKUP($A259,[5]库存使用数据!$A:$E,5,0),"")</f>
        <v/>
      </c>
      <c r="R259" t="str">
        <f>IFERROR(VLOOKUP($A259,[5]库存使用数据!$A:$H,8,0),"")</f>
        <v/>
      </c>
      <c r="S259" t="str">
        <f>IFERROR(VLOOKUP($A259,[5]库存使用数据!$A:$K,11,0),"")</f>
        <v/>
      </c>
      <c r="T259" t="str">
        <f>IFERROR(VLOOKUP($A259,[5]库存使用数据!$A:$C,3,0),"")</f>
        <v/>
      </c>
      <c r="U259" t="str">
        <f>IFERROR(VLOOKUP($A259,[5]库存使用数据!$A:$F,6,0),"")</f>
        <v/>
      </c>
      <c r="V259" t="str">
        <f>IFERROR(VLOOKUP($A259,[5]库存使用数据!$A:$I,9,0),"")</f>
        <v/>
      </c>
      <c r="W259" t="str">
        <f>IFERROR(VLOOKUP($A259,[5]库存使用数据!$A:$L,12,0),"")</f>
        <v/>
      </c>
      <c r="X259" s="23" t="str">
        <f t="shared" si="60"/>
        <v/>
      </c>
      <c r="Y259" s="23" t="str">
        <f t="shared" si="61"/>
        <v/>
      </c>
      <c r="Z259" s="23" t="str">
        <f t="shared" si="62"/>
        <v/>
      </c>
      <c r="AA259" s="23" t="str">
        <f t="shared" si="63"/>
        <v/>
      </c>
      <c r="AB259" t="str">
        <f>IFERROR(VLOOKUP($A259,[5]库存使用数据!$A:$D,4,0),"")</f>
        <v/>
      </c>
      <c r="AC259" t="str">
        <f>IFERROR(VLOOKUP($A259,[5]库存使用数据!$A:$G,7,0),"")</f>
        <v/>
      </c>
      <c r="AD259" t="str">
        <f>IFERROR(VLOOKUP($A259,[5]库存使用数据!$A:$J,10,0),"")</f>
        <v/>
      </c>
      <c r="AE259" t="str">
        <f>IFERROR(VLOOKUP($A259,[5]库存使用数据!$A:$M,13,0),"")</f>
        <v/>
      </c>
      <c r="AF259" s="23" t="str">
        <f t="shared" si="64"/>
        <v/>
      </c>
      <c r="AG259" s="23" t="str">
        <f t="shared" si="65"/>
        <v/>
      </c>
      <c r="AH259" s="23" t="str">
        <f t="shared" si="66"/>
        <v/>
      </c>
      <c r="AI259" s="23" t="str">
        <f t="shared" si="67"/>
        <v/>
      </c>
      <c r="AJ259">
        <f>IFERROR(VLOOKUP($B259,[1]库存报告使用数据!$A$1:$B$65536,2,0),0)</f>
        <v>3</v>
      </c>
      <c r="AK259">
        <f>IFERROR(VLOOKUP($B259,[1]库存报告使用数据!$A$1:$C$65536,3,0),0)</f>
        <v>1</v>
      </c>
      <c r="AL259">
        <f>IFERROR(VLOOKUP($B259,[1]库存报告使用数据!$A$1:$D$65536,4,0),0)</f>
        <v>0</v>
      </c>
      <c r="AM259">
        <f>IFERROR(VLOOKUP($B259,[1]库存报告使用数据!$A$1:$E$65536,5,0),0)</f>
        <v>2</v>
      </c>
      <c r="AN259" s="23">
        <f t="shared" si="68"/>
        <v>0</v>
      </c>
      <c r="AO259" s="23">
        <f t="shared" si="69"/>
        <v>0</v>
      </c>
      <c r="AP259" s="23" t="str">
        <f t="shared" si="70"/>
        <v/>
      </c>
      <c r="AQ259" s="23">
        <f t="shared" si="71"/>
        <v>0</v>
      </c>
      <c r="AR259" s="38">
        <f t="shared" si="56"/>
        <v>0</v>
      </c>
      <c r="AS259" s="38">
        <f t="shared" si="57"/>
        <v>0</v>
      </c>
      <c r="AT259" s="38">
        <f t="shared" si="58"/>
        <v>2</v>
      </c>
      <c r="AU259" s="33" t="str">
        <f t="shared" si="59"/>
        <v>库存为2</v>
      </c>
      <c r="AV259" s="39" t="str">
        <f>IFERROR(时间!$B$4+AU259,"上周无销量")</f>
        <v>上周无销量</v>
      </c>
    </row>
    <row r="260" spans="1:48">
      <c r="A260" s="35" t="s">
        <v>305</v>
      </c>
      <c r="B260" t="str">
        <f>VLOOKUP(A260,'[2]sku-asin（子）'!$A:$B,2,0)</f>
        <v>B074FXM33R</v>
      </c>
      <c r="C260" t="str">
        <f>VLOOKUP(A260,'[2]子sku-父sku'!$A:$B,2,0)</f>
        <v>N89122K</v>
      </c>
      <c r="D260" s="33">
        <f>IFERROR(VLOOKUP(A260,[3]库存报告使用数据处理!$A:$C,3,0),0)</f>
        <v>0</v>
      </c>
      <c r="E260" s="33">
        <f>IFERROR(VLOOKUP(A260,[3]库存报告使用数据处理!$A:$D,4,0),0)</f>
        <v>0</v>
      </c>
      <c r="F260" s="33">
        <f>IFERROR(VLOOKUP(A260,[3]库存报告使用数据处理!$A:$E,5,0),0)</f>
        <v>0</v>
      </c>
      <c r="G260" s="33">
        <f>IFERROR(VLOOKUP(A260,[3]库存报告使用数据处理!$A:$F,6,0),0)</f>
        <v>0</v>
      </c>
      <c r="H260" s="34">
        <f>IFERROR(VLOOKUP(A260,[3]库存报告使用数据处理!$A:$G,7,0),0)</f>
        <v>0</v>
      </c>
      <c r="I260">
        <f>IFERROR(VLOOKUP(A260,[4]数据处理!$A:$B,2,0),0)</f>
        <v>2</v>
      </c>
      <c r="J260" s="36">
        <f>IFERROR(VLOOKUP(A260,[4]数据处理!$A:$D,4,0),0)</f>
        <v>0</v>
      </c>
      <c r="K260" s="36">
        <f>IFERROR(VLOOKUP(A260,[4]数据处理!$A:$E,5,0),0)</f>
        <v>0</v>
      </c>
      <c r="L260" s="36">
        <f>IFERROR(VLOOKUP(A260,[4]数据处理!$A:$G,7,0),0)</f>
        <v>0</v>
      </c>
      <c r="M260">
        <f t="shared" si="55"/>
        <v>2</v>
      </c>
      <c r="N260">
        <f>IFERROR(VLOOKUP(A260,[4]数据处理!$A:$C,3,0),0)</f>
        <v>0</v>
      </c>
      <c r="O260">
        <f>IFERROR(VLOOKUP($A260,[4]数据处理!$A:$N,14,0),0)</f>
        <v>2</v>
      </c>
      <c r="P260" t="str">
        <f>IFERROR(VLOOKUP($A260,[5]库存使用数据!$A:$B,2,0),"")</f>
        <v/>
      </c>
      <c r="Q260" t="str">
        <f>IFERROR(VLOOKUP($A260,[5]库存使用数据!$A:$E,5,0),"")</f>
        <v/>
      </c>
      <c r="R260" t="str">
        <f>IFERROR(VLOOKUP($A260,[5]库存使用数据!$A:$H,8,0),"")</f>
        <v/>
      </c>
      <c r="S260" t="str">
        <f>IFERROR(VLOOKUP($A260,[5]库存使用数据!$A:$K,11,0),"")</f>
        <v/>
      </c>
      <c r="T260" t="str">
        <f>IFERROR(VLOOKUP($A260,[5]库存使用数据!$A:$C,3,0),"")</f>
        <v/>
      </c>
      <c r="U260" t="str">
        <f>IFERROR(VLOOKUP($A260,[5]库存使用数据!$A:$F,6,0),"")</f>
        <v/>
      </c>
      <c r="V260" t="str">
        <f>IFERROR(VLOOKUP($A260,[5]库存使用数据!$A:$I,9,0),"")</f>
        <v/>
      </c>
      <c r="W260" t="str">
        <f>IFERROR(VLOOKUP($A260,[5]库存使用数据!$A:$L,12,0),"")</f>
        <v/>
      </c>
      <c r="X260" s="23" t="str">
        <f t="shared" si="60"/>
        <v/>
      </c>
      <c r="Y260" s="23" t="str">
        <f t="shared" si="61"/>
        <v/>
      </c>
      <c r="Z260" s="23" t="str">
        <f t="shared" si="62"/>
        <v/>
      </c>
      <c r="AA260" s="23" t="str">
        <f t="shared" si="63"/>
        <v/>
      </c>
      <c r="AB260" t="str">
        <f>IFERROR(VLOOKUP($A260,[5]库存使用数据!$A:$D,4,0),"")</f>
        <v/>
      </c>
      <c r="AC260" t="str">
        <f>IFERROR(VLOOKUP($A260,[5]库存使用数据!$A:$G,7,0),"")</f>
        <v/>
      </c>
      <c r="AD260" t="str">
        <f>IFERROR(VLOOKUP($A260,[5]库存使用数据!$A:$J,10,0),"")</f>
        <v/>
      </c>
      <c r="AE260" t="str">
        <f>IFERROR(VLOOKUP($A260,[5]库存使用数据!$A:$M,13,0),"")</f>
        <v/>
      </c>
      <c r="AF260" s="23" t="str">
        <f t="shared" si="64"/>
        <v/>
      </c>
      <c r="AG260" s="23" t="str">
        <f t="shared" si="65"/>
        <v/>
      </c>
      <c r="AH260" s="23" t="str">
        <f t="shared" si="66"/>
        <v/>
      </c>
      <c r="AI260" s="23" t="str">
        <f t="shared" si="67"/>
        <v/>
      </c>
      <c r="AJ260">
        <f>IFERROR(VLOOKUP($B260,[1]库存报告使用数据!$A$1:$B$65536,2,0),0)</f>
        <v>1</v>
      </c>
      <c r="AK260">
        <f>IFERROR(VLOOKUP($B260,[1]库存报告使用数据!$A$1:$C$65536,3,0),0)</f>
        <v>2</v>
      </c>
      <c r="AL260">
        <f>IFERROR(VLOOKUP($B260,[1]库存报告使用数据!$A$1:$D$65536,4,0),0)</f>
        <v>0</v>
      </c>
      <c r="AM260">
        <f>IFERROR(VLOOKUP($B260,[1]库存报告使用数据!$A$1:$E$65536,5,0),0)</f>
        <v>1</v>
      </c>
      <c r="AN260" s="23">
        <f t="shared" si="68"/>
        <v>0</v>
      </c>
      <c r="AO260" s="23">
        <f t="shared" si="69"/>
        <v>0</v>
      </c>
      <c r="AP260" s="23" t="str">
        <f t="shared" si="70"/>
        <v/>
      </c>
      <c r="AQ260" s="23">
        <f t="shared" si="71"/>
        <v>0</v>
      </c>
      <c r="AR260" s="38">
        <f t="shared" si="56"/>
        <v>0</v>
      </c>
      <c r="AS260" s="38">
        <f t="shared" si="57"/>
        <v>0</v>
      </c>
      <c r="AT260" s="38">
        <f t="shared" si="58"/>
        <v>2</v>
      </c>
      <c r="AU260" s="33" t="str">
        <f t="shared" si="59"/>
        <v>库存为2</v>
      </c>
      <c r="AV260" s="39" t="str">
        <f>IFERROR(时间!$B$4+AU260,"上周无销量")</f>
        <v>上周无销量</v>
      </c>
    </row>
    <row r="261" spans="1:48">
      <c r="A261" s="35" t="s">
        <v>306</v>
      </c>
      <c r="B261" t="str">
        <f>VLOOKUP(A261,'[2]sku-asin（子）'!$A:$B,2,0)</f>
        <v>B074FXTKQH</v>
      </c>
      <c r="C261" t="str">
        <f>VLOOKUP(A261,'[2]子sku-父sku'!$A:$B,2,0)</f>
        <v>N89122K</v>
      </c>
      <c r="D261" s="33">
        <f>IFERROR(VLOOKUP(A261,[3]库存报告使用数据处理!$A:$C,3,0),0)</f>
        <v>0</v>
      </c>
      <c r="E261" s="33">
        <f>IFERROR(VLOOKUP(A261,[3]库存报告使用数据处理!$A:$D,4,0),0)</f>
        <v>0</v>
      </c>
      <c r="F261" s="33">
        <f>IFERROR(VLOOKUP(A261,[3]库存报告使用数据处理!$A:$E,5,0),0)</f>
        <v>0</v>
      </c>
      <c r="G261" s="33">
        <f>IFERROR(VLOOKUP(A261,[3]库存报告使用数据处理!$A:$F,6,0),0)</f>
        <v>0</v>
      </c>
      <c r="H261" s="34">
        <f>IFERROR(VLOOKUP(A261,[3]库存报告使用数据处理!$A:$G,7,0),0)</f>
        <v>0</v>
      </c>
      <c r="I261">
        <f>IFERROR(VLOOKUP(A261,[4]数据处理!$A:$B,2,0),0)</f>
        <v>2</v>
      </c>
      <c r="J261" s="36">
        <f>IFERROR(VLOOKUP(A261,[4]数据处理!$A:$D,4,0),0)</f>
        <v>0</v>
      </c>
      <c r="K261" s="36">
        <f>IFERROR(VLOOKUP(A261,[4]数据处理!$A:$E,5,0),0)</f>
        <v>0</v>
      </c>
      <c r="L261" s="36">
        <f>IFERROR(VLOOKUP(A261,[4]数据处理!$A:$G,7,0),0)</f>
        <v>0</v>
      </c>
      <c r="M261">
        <f t="shared" ref="M261:M324" si="72">SUM(I261:L261)</f>
        <v>2</v>
      </c>
      <c r="N261">
        <f>IFERROR(VLOOKUP(A261,[4]数据处理!$A:$C,3,0),0)</f>
        <v>0</v>
      </c>
      <c r="O261">
        <f>IFERROR(VLOOKUP($A261,[4]数据处理!$A:$N,14,0),0)</f>
        <v>2</v>
      </c>
      <c r="P261" t="str">
        <f>IFERROR(VLOOKUP($A261,[5]库存使用数据!$A:$B,2,0),"")</f>
        <v/>
      </c>
      <c r="Q261" t="str">
        <f>IFERROR(VLOOKUP($A261,[5]库存使用数据!$A:$E,5,0),"")</f>
        <v/>
      </c>
      <c r="R261" t="str">
        <f>IFERROR(VLOOKUP($A261,[5]库存使用数据!$A:$H,8,0),"")</f>
        <v/>
      </c>
      <c r="S261" t="str">
        <f>IFERROR(VLOOKUP($A261,[5]库存使用数据!$A:$K,11,0),"")</f>
        <v/>
      </c>
      <c r="T261" t="str">
        <f>IFERROR(VLOOKUP($A261,[5]库存使用数据!$A:$C,3,0),"")</f>
        <v/>
      </c>
      <c r="U261" t="str">
        <f>IFERROR(VLOOKUP($A261,[5]库存使用数据!$A:$F,6,0),"")</f>
        <v/>
      </c>
      <c r="V261" t="str">
        <f>IFERROR(VLOOKUP($A261,[5]库存使用数据!$A:$I,9,0),"")</f>
        <v/>
      </c>
      <c r="W261" t="str">
        <f>IFERROR(VLOOKUP($A261,[5]库存使用数据!$A:$L,12,0),"")</f>
        <v/>
      </c>
      <c r="X261" s="23" t="str">
        <f t="shared" si="60"/>
        <v/>
      </c>
      <c r="Y261" s="23" t="str">
        <f t="shared" si="61"/>
        <v/>
      </c>
      <c r="Z261" s="23" t="str">
        <f t="shared" si="62"/>
        <v/>
      </c>
      <c r="AA261" s="23" t="str">
        <f t="shared" si="63"/>
        <v/>
      </c>
      <c r="AB261" t="str">
        <f>IFERROR(VLOOKUP($A261,[5]库存使用数据!$A:$D,4,0),"")</f>
        <v/>
      </c>
      <c r="AC261" t="str">
        <f>IFERROR(VLOOKUP($A261,[5]库存使用数据!$A:$G,7,0),"")</f>
        <v/>
      </c>
      <c r="AD261" t="str">
        <f>IFERROR(VLOOKUP($A261,[5]库存使用数据!$A:$J,10,0),"")</f>
        <v/>
      </c>
      <c r="AE261" t="str">
        <f>IFERROR(VLOOKUP($A261,[5]库存使用数据!$A:$M,13,0),"")</f>
        <v/>
      </c>
      <c r="AF261" s="23" t="str">
        <f t="shared" si="64"/>
        <v/>
      </c>
      <c r="AG261" s="23" t="str">
        <f t="shared" si="65"/>
        <v/>
      </c>
      <c r="AH261" s="23" t="str">
        <f t="shared" si="66"/>
        <v/>
      </c>
      <c r="AI261" s="23" t="str">
        <f t="shared" si="67"/>
        <v/>
      </c>
      <c r="AJ261">
        <f>IFERROR(VLOOKUP($B261,[1]库存报告使用数据!$A$1:$B$65536,2,0),0)</f>
        <v>0</v>
      </c>
      <c r="AK261">
        <f>IFERROR(VLOOKUP($B261,[1]库存报告使用数据!$A$1:$C$65536,3,0),0)</f>
        <v>2</v>
      </c>
      <c r="AL261">
        <f>IFERROR(VLOOKUP($B261,[1]库存报告使用数据!$A$1:$D$65536,4,0),0)</f>
        <v>1</v>
      </c>
      <c r="AM261">
        <f>IFERROR(VLOOKUP($B261,[1]库存报告使用数据!$A$1:$E$65536,5,0),0)</f>
        <v>1</v>
      </c>
      <c r="AN261" s="23" t="str">
        <f t="shared" si="68"/>
        <v/>
      </c>
      <c r="AO261" s="23">
        <f t="shared" si="69"/>
        <v>0</v>
      </c>
      <c r="AP261" s="23">
        <f t="shared" si="70"/>
        <v>0</v>
      </c>
      <c r="AQ261" s="23">
        <f t="shared" si="71"/>
        <v>0</v>
      </c>
      <c r="AR261" s="38">
        <f t="shared" ref="AR261:AR324" si="73">IFERROR(D261/7,"")</f>
        <v>0</v>
      </c>
      <c r="AS261" s="38">
        <f t="shared" ref="AS261:AS324" si="74">IF(AR261="","上周无销量",60*AR261)</f>
        <v>0</v>
      </c>
      <c r="AT261" s="38">
        <f t="shared" ref="AT261:AT324" si="75">IF(AS261="上周无销量","上周无销量/总库存"&amp;M261,M261-AS261)</f>
        <v>2</v>
      </c>
      <c r="AU261" s="33" t="str">
        <f t="shared" ref="AU261:AU324" si="76">IF(AR261="","库存为"&amp;M261,IF(AS261=0,"库存为"&amp;M261,INT(M261/AR261)))</f>
        <v>库存为2</v>
      </c>
      <c r="AV261" s="39" t="str">
        <f>IFERROR(时间!$B$4+AU261,"上周无销量")</f>
        <v>上周无销量</v>
      </c>
    </row>
    <row r="262" spans="1:48">
      <c r="A262" s="35" t="s">
        <v>307</v>
      </c>
      <c r="B262" t="str">
        <f>VLOOKUP(A262,'[2]sku-asin（子）'!$A:$B,2,0)</f>
        <v>B074FXVQD5</v>
      </c>
      <c r="C262" t="str">
        <f>VLOOKUP(A262,'[2]子sku-父sku'!$A:$B,2,0)</f>
        <v>N89122K</v>
      </c>
      <c r="D262" s="33">
        <f>IFERROR(VLOOKUP(A262,[3]库存报告使用数据处理!$A:$C,3,0),0)</f>
        <v>0</v>
      </c>
      <c r="E262" s="33">
        <f>IFERROR(VLOOKUP(A262,[3]库存报告使用数据处理!$A:$D,4,0),0)</f>
        <v>0</v>
      </c>
      <c r="F262" s="33">
        <f>IFERROR(VLOOKUP(A262,[3]库存报告使用数据处理!$A:$E,5,0),0)</f>
        <v>0</v>
      </c>
      <c r="G262" s="33">
        <f>IFERROR(VLOOKUP(A262,[3]库存报告使用数据处理!$A:$F,6,0),0)</f>
        <v>0</v>
      </c>
      <c r="H262" s="34">
        <f>IFERROR(VLOOKUP(A262,[3]库存报告使用数据处理!$A:$G,7,0),0)</f>
        <v>0</v>
      </c>
      <c r="I262">
        <f>IFERROR(VLOOKUP(A262,[4]数据处理!$A:$B,2,0),0)</f>
        <v>2</v>
      </c>
      <c r="J262" s="36">
        <f>IFERROR(VLOOKUP(A262,[4]数据处理!$A:$D,4,0),0)</f>
        <v>0</v>
      </c>
      <c r="K262" s="36">
        <f>IFERROR(VLOOKUP(A262,[4]数据处理!$A:$E,5,0),0)</f>
        <v>0</v>
      </c>
      <c r="L262" s="36">
        <f>IFERROR(VLOOKUP(A262,[4]数据处理!$A:$G,7,0),0)</f>
        <v>0</v>
      </c>
      <c r="M262">
        <f t="shared" si="72"/>
        <v>2</v>
      </c>
      <c r="N262">
        <f>IFERROR(VLOOKUP(A262,[4]数据处理!$A:$C,3,0),0)</f>
        <v>0</v>
      </c>
      <c r="O262">
        <f>IFERROR(VLOOKUP($A262,[4]数据处理!$A:$N,14,0),0)</f>
        <v>2</v>
      </c>
      <c r="P262" t="str">
        <f>IFERROR(VLOOKUP($A262,[5]库存使用数据!$A:$B,2,0),"")</f>
        <v/>
      </c>
      <c r="Q262" t="str">
        <f>IFERROR(VLOOKUP($A262,[5]库存使用数据!$A:$E,5,0),"")</f>
        <v/>
      </c>
      <c r="R262" t="str">
        <f>IFERROR(VLOOKUP($A262,[5]库存使用数据!$A:$H,8,0),"")</f>
        <v/>
      </c>
      <c r="S262" t="str">
        <f>IFERROR(VLOOKUP($A262,[5]库存使用数据!$A:$K,11,0),"")</f>
        <v/>
      </c>
      <c r="T262" t="str">
        <f>IFERROR(VLOOKUP($A262,[5]库存使用数据!$A:$C,3,0),"")</f>
        <v/>
      </c>
      <c r="U262" t="str">
        <f>IFERROR(VLOOKUP($A262,[5]库存使用数据!$A:$F,6,0),"")</f>
        <v/>
      </c>
      <c r="V262" t="str">
        <f>IFERROR(VLOOKUP($A262,[5]库存使用数据!$A:$I,9,0),"")</f>
        <v/>
      </c>
      <c r="W262" t="str">
        <f>IFERROR(VLOOKUP($A262,[5]库存使用数据!$A:$L,12,0),"")</f>
        <v/>
      </c>
      <c r="X262" s="23" t="str">
        <f t="shared" ref="X262:X325" si="77">IFERROR(T262/P262,"")</f>
        <v/>
      </c>
      <c r="Y262" s="23" t="str">
        <f t="shared" ref="Y262:Y325" si="78">IFERROR(U262/Q262,"")</f>
        <v/>
      </c>
      <c r="Z262" s="23" t="str">
        <f t="shared" ref="Z262:Z325" si="79">IFERROR(V262/R262,"")</f>
        <v/>
      </c>
      <c r="AA262" s="23" t="str">
        <f t="shared" ref="AA262:AA325" si="80">IFERROR(W262/S262,"")</f>
        <v/>
      </c>
      <c r="AB262" t="str">
        <f>IFERROR(VLOOKUP($A262,[5]库存使用数据!$A:$D,4,0),"")</f>
        <v/>
      </c>
      <c r="AC262" t="str">
        <f>IFERROR(VLOOKUP($A262,[5]库存使用数据!$A:$G,7,0),"")</f>
        <v/>
      </c>
      <c r="AD262" t="str">
        <f>IFERROR(VLOOKUP($A262,[5]库存使用数据!$A:$J,10,0),"")</f>
        <v/>
      </c>
      <c r="AE262" t="str">
        <f>IFERROR(VLOOKUP($A262,[5]库存使用数据!$A:$M,13,0),"")</f>
        <v/>
      </c>
      <c r="AF262" s="23" t="str">
        <f t="shared" ref="AF262:AF325" si="81">IF(OR(AB262="",AB262=0),"",IF(AND(D262*$H262=0,AB262&gt;0),"无销量广告费为"&amp;AB262,AB262/(D262*$H262)))</f>
        <v/>
      </c>
      <c r="AG262" s="23" t="str">
        <f t="shared" ref="AG262:AG325" si="82">IF(OR(AC262="",AC262=0),"",IF(AND(E262*$H262=0,AC262&gt;0),"无销量广告费为"&amp;AC262,AC262/(E262*$H262)))</f>
        <v/>
      </c>
      <c r="AH262" s="23" t="str">
        <f t="shared" ref="AH262:AH325" si="83">IF(OR(AD262="",AD262=0),"",IF(AND(F262*$H262=0,AD262&gt;0),"无销量广告费为"&amp;AD262,AD262/(F262*$H262)))</f>
        <v/>
      </c>
      <c r="AI262" s="23" t="str">
        <f t="shared" ref="AI262:AI325" si="84">IF(OR(AE262="",AE262=0),"",IF(AND(G262*$H262=0,AE262&gt;0),"无销量广告费为"&amp;AE262,AE262/(G262*$H262)))</f>
        <v/>
      </c>
      <c r="AJ262">
        <f>IFERROR(VLOOKUP($B262,[1]库存报告使用数据!$A$1:$B$65536,2,0),0)</f>
        <v>0</v>
      </c>
      <c r="AK262">
        <f>IFERROR(VLOOKUP($B262,[1]库存报告使用数据!$A$1:$C$65536,3,0),0)</f>
        <v>1</v>
      </c>
      <c r="AL262">
        <f>IFERROR(VLOOKUP($B262,[1]库存报告使用数据!$A$1:$D$65536,4,0),0)</f>
        <v>1</v>
      </c>
      <c r="AM262">
        <f>IFERROR(VLOOKUP($B262,[1]库存报告使用数据!$A$1:$E$65536,5,0),0)</f>
        <v>0</v>
      </c>
      <c r="AN262" s="23" t="str">
        <f t="shared" ref="AN262:AN325" si="85">IFERROR(D262/AJ262,"")</f>
        <v/>
      </c>
      <c r="AO262" s="23">
        <f t="shared" ref="AO262:AO325" si="86">IFERROR(E262/AK262,"")</f>
        <v>0</v>
      </c>
      <c r="AP262" s="23">
        <f t="shared" ref="AP262:AP325" si="87">IFERROR(F262/AL262,"")</f>
        <v>0</v>
      </c>
      <c r="AQ262" s="23" t="str">
        <f t="shared" ref="AQ262:AQ325" si="88">IFERROR(G262/AM262,"")</f>
        <v/>
      </c>
      <c r="AR262" s="38">
        <f t="shared" si="73"/>
        <v>0</v>
      </c>
      <c r="AS262" s="38">
        <f t="shared" si="74"/>
        <v>0</v>
      </c>
      <c r="AT262" s="38">
        <f t="shared" si="75"/>
        <v>2</v>
      </c>
      <c r="AU262" s="33" t="str">
        <f t="shared" si="76"/>
        <v>库存为2</v>
      </c>
      <c r="AV262" s="39" t="str">
        <f>IFERROR(时间!$B$4+AU262,"上周无销量")</f>
        <v>上周无销量</v>
      </c>
    </row>
    <row r="263" spans="1:48">
      <c r="A263" s="35" t="s">
        <v>308</v>
      </c>
      <c r="B263" t="str">
        <f>VLOOKUP(A263,'[2]sku-asin（子）'!$A:$B,2,0)</f>
        <v>B074CWZFK3</v>
      </c>
      <c r="C263" t="str">
        <f>VLOOKUP(A263,'[2]子sku-父sku'!$A:$B,2,0)</f>
        <v>N89122K</v>
      </c>
      <c r="D263" s="33">
        <f>IFERROR(VLOOKUP(A263,[3]库存报告使用数据处理!$A:$C,3,0),0)</f>
        <v>0</v>
      </c>
      <c r="E263" s="33">
        <f>IFERROR(VLOOKUP(A263,[3]库存报告使用数据处理!$A:$D,4,0),0)</f>
        <v>0</v>
      </c>
      <c r="F263" s="33">
        <f>IFERROR(VLOOKUP(A263,[3]库存报告使用数据处理!$A:$E,5,0),0)</f>
        <v>0</v>
      </c>
      <c r="G263" s="33">
        <f>IFERROR(VLOOKUP(A263,[3]库存报告使用数据处理!$A:$F,6,0),0)</f>
        <v>0</v>
      </c>
      <c r="H263" s="34">
        <f>IFERROR(VLOOKUP(A263,[3]库存报告使用数据处理!$A:$G,7,0),0)</f>
        <v>0</v>
      </c>
      <c r="I263">
        <f>IFERROR(VLOOKUP(A263,[4]数据处理!$A:$B,2,0),0)</f>
        <v>13</v>
      </c>
      <c r="J263" s="36">
        <f>IFERROR(VLOOKUP(A263,[4]数据处理!$A:$D,4,0),0)</f>
        <v>0</v>
      </c>
      <c r="K263" s="36">
        <f>IFERROR(VLOOKUP(A263,[4]数据处理!$A:$E,5,0),0)</f>
        <v>0</v>
      </c>
      <c r="L263" s="36">
        <f>IFERROR(VLOOKUP(A263,[4]数据处理!$A:$G,7,0),0)</f>
        <v>0</v>
      </c>
      <c r="M263">
        <f t="shared" si="72"/>
        <v>13</v>
      </c>
      <c r="N263">
        <f>IFERROR(VLOOKUP(A263,[4]数据处理!$A:$C,3,0),0)</f>
        <v>0</v>
      </c>
      <c r="O263">
        <f>IFERROR(VLOOKUP($A263,[4]数据处理!$A:$N,14,0),0)</f>
        <v>13</v>
      </c>
      <c r="P263">
        <f>IFERROR(VLOOKUP($A263,[5]库存使用数据!$A:$B,2,0),"")</f>
        <v>164</v>
      </c>
      <c r="Q263">
        <f>IFERROR(VLOOKUP($A263,[5]库存使用数据!$A:$E,5,0),"")</f>
        <v>311</v>
      </c>
      <c r="R263">
        <f>IFERROR(VLOOKUP($A263,[5]库存使用数据!$A:$H,8,0),"")</f>
        <v>931</v>
      </c>
      <c r="S263">
        <f>IFERROR(VLOOKUP($A263,[5]库存使用数据!$A:$K,11,0),"")</f>
        <v>1163</v>
      </c>
      <c r="T263">
        <f>IFERROR(VLOOKUP($A263,[5]库存使用数据!$A:$C,3,0),"")</f>
        <v>0</v>
      </c>
      <c r="U263">
        <f>IFERROR(VLOOKUP($A263,[5]库存使用数据!$A:$F,6,0),"")</f>
        <v>1</v>
      </c>
      <c r="V263">
        <f>IFERROR(VLOOKUP($A263,[5]库存使用数据!$A:$I,9,0),"")</f>
        <v>3</v>
      </c>
      <c r="W263">
        <f>IFERROR(VLOOKUP($A263,[5]库存使用数据!$A:$L,12,0),"")</f>
        <v>5</v>
      </c>
      <c r="X263" s="23">
        <f t="shared" si="77"/>
        <v>0</v>
      </c>
      <c r="Y263" s="23">
        <f t="shared" si="78"/>
        <v>0.00321543408360129</v>
      </c>
      <c r="Z263" s="23">
        <f t="shared" si="79"/>
        <v>0.00322234156820623</v>
      </c>
      <c r="AA263" s="23">
        <f t="shared" si="80"/>
        <v>0.00429922613929493</v>
      </c>
      <c r="AB263">
        <f>IFERROR(VLOOKUP($A263,[5]库存使用数据!$A:$D,4,0),"")</f>
        <v>0</v>
      </c>
      <c r="AC263">
        <f>IFERROR(VLOOKUP($A263,[5]库存使用数据!$A:$G,7,0),"")</f>
        <v>0.04</v>
      </c>
      <c r="AD263">
        <f>IFERROR(VLOOKUP($A263,[5]库存使用数据!$A:$J,10,0),"")</f>
        <v>1.22</v>
      </c>
      <c r="AE263">
        <f>IFERROR(VLOOKUP($A263,[5]库存使用数据!$A:$M,13,0),"")</f>
        <v>1.15</v>
      </c>
      <c r="AF263" s="23" t="str">
        <f t="shared" si="81"/>
        <v/>
      </c>
      <c r="AG263" s="23" t="str">
        <f t="shared" si="82"/>
        <v>无销量广告费为0.04</v>
      </c>
      <c r="AH263" s="23" t="str">
        <f t="shared" si="83"/>
        <v>无销量广告费为1.22</v>
      </c>
      <c r="AI263" s="23" t="str">
        <f t="shared" si="84"/>
        <v>无销量广告费为1.15</v>
      </c>
      <c r="AJ263">
        <f>IFERROR(VLOOKUP($B263,[1]库存报告使用数据!$A$1:$B$65536,2,0),0)</f>
        <v>0</v>
      </c>
      <c r="AK263">
        <f>IFERROR(VLOOKUP($B263,[1]库存报告使用数据!$A$1:$C$65536,3,0),0)</f>
        <v>0</v>
      </c>
      <c r="AL263">
        <f>IFERROR(VLOOKUP($B263,[1]库存报告使用数据!$A$1:$D$65536,4,0),0)</f>
        <v>2</v>
      </c>
      <c r="AM263">
        <f>IFERROR(VLOOKUP($B263,[1]库存报告使用数据!$A$1:$E$65536,5,0),0)</f>
        <v>4</v>
      </c>
      <c r="AN263" s="23" t="str">
        <f t="shared" si="85"/>
        <v/>
      </c>
      <c r="AO263" s="23" t="str">
        <f t="shared" si="86"/>
        <v/>
      </c>
      <c r="AP263" s="23">
        <f t="shared" si="87"/>
        <v>0</v>
      </c>
      <c r="AQ263" s="23">
        <f t="shared" si="88"/>
        <v>0</v>
      </c>
      <c r="AR263" s="38">
        <f t="shared" si="73"/>
        <v>0</v>
      </c>
      <c r="AS263" s="38">
        <f t="shared" si="74"/>
        <v>0</v>
      </c>
      <c r="AT263" s="38">
        <f t="shared" si="75"/>
        <v>13</v>
      </c>
      <c r="AU263" s="33" t="str">
        <f t="shared" si="76"/>
        <v>库存为13</v>
      </c>
      <c r="AV263" s="39" t="str">
        <f>IFERROR(时间!$B$4+AU263,"上周无销量")</f>
        <v>上周无销量</v>
      </c>
    </row>
    <row r="264" spans="1:48">
      <c r="A264" s="35" t="s">
        <v>309</v>
      </c>
      <c r="B264" t="str">
        <f>VLOOKUP(A264,'[2]sku-asin（子）'!$A:$B,2,0)</f>
        <v>B074CWTQW9</v>
      </c>
      <c r="C264" t="str">
        <f>VLOOKUP(A264,'[2]子sku-父sku'!$A:$B,2,0)</f>
        <v>N89122K</v>
      </c>
      <c r="D264" s="33">
        <f>IFERROR(VLOOKUP(A264,[3]库存报告使用数据处理!$A:$C,3,0),0)</f>
        <v>0</v>
      </c>
      <c r="E264" s="33">
        <f>IFERROR(VLOOKUP(A264,[3]库存报告使用数据处理!$A:$D,4,0),0)</f>
        <v>0</v>
      </c>
      <c r="F264" s="33">
        <f>IFERROR(VLOOKUP(A264,[3]库存报告使用数据处理!$A:$E,5,0),0)</f>
        <v>0</v>
      </c>
      <c r="G264" s="33">
        <f>IFERROR(VLOOKUP(A264,[3]库存报告使用数据处理!$A:$F,6,0),0)</f>
        <v>0</v>
      </c>
      <c r="H264" s="34">
        <f>IFERROR(VLOOKUP(A264,[3]库存报告使用数据处理!$A:$G,7,0),0)</f>
        <v>0</v>
      </c>
      <c r="I264">
        <f>IFERROR(VLOOKUP(A264,[4]数据处理!$A:$B,2,0),0)</f>
        <v>4</v>
      </c>
      <c r="J264" s="36">
        <f>IFERROR(VLOOKUP(A264,[4]数据处理!$A:$D,4,0),0)</f>
        <v>0</v>
      </c>
      <c r="K264" s="36">
        <f>IFERROR(VLOOKUP(A264,[4]数据处理!$A:$E,5,0),0)</f>
        <v>0</v>
      </c>
      <c r="L264" s="36">
        <f>IFERROR(VLOOKUP(A264,[4]数据处理!$A:$G,7,0),0)</f>
        <v>0</v>
      </c>
      <c r="M264">
        <f t="shared" si="72"/>
        <v>4</v>
      </c>
      <c r="N264">
        <f>IFERROR(VLOOKUP(A264,[4]数据处理!$A:$C,3,0),0)</f>
        <v>0</v>
      </c>
      <c r="O264">
        <f>IFERROR(VLOOKUP($A264,[4]数据处理!$A:$N,14,0),0)</f>
        <v>4</v>
      </c>
      <c r="P264">
        <f>IFERROR(VLOOKUP($A264,[5]库存使用数据!$A:$B,2,0),"")</f>
        <v>2</v>
      </c>
      <c r="Q264">
        <f>IFERROR(VLOOKUP($A264,[5]库存使用数据!$A:$E,5,0),"")</f>
        <v>5</v>
      </c>
      <c r="R264">
        <f>IFERROR(VLOOKUP($A264,[5]库存使用数据!$A:$H,8,0),"")</f>
        <v>0</v>
      </c>
      <c r="S264">
        <f>IFERROR(VLOOKUP($A264,[5]库存使用数据!$A:$K,11,0),"")</f>
        <v>0</v>
      </c>
      <c r="T264">
        <f>IFERROR(VLOOKUP($A264,[5]库存使用数据!$A:$C,3,0),"")</f>
        <v>0</v>
      </c>
      <c r="U264">
        <f>IFERROR(VLOOKUP($A264,[5]库存使用数据!$A:$F,6,0),"")</f>
        <v>0</v>
      </c>
      <c r="V264">
        <f>IFERROR(VLOOKUP($A264,[5]库存使用数据!$A:$I,9,0),"")</f>
        <v>0</v>
      </c>
      <c r="W264">
        <f>IFERROR(VLOOKUP($A264,[5]库存使用数据!$A:$L,12,0),"")</f>
        <v>0</v>
      </c>
      <c r="X264" s="23">
        <f t="shared" si="77"/>
        <v>0</v>
      </c>
      <c r="Y264" s="23">
        <f t="shared" si="78"/>
        <v>0</v>
      </c>
      <c r="Z264" s="23" t="str">
        <f t="shared" si="79"/>
        <v/>
      </c>
      <c r="AA264" s="23" t="str">
        <f t="shared" si="80"/>
        <v/>
      </c>
      <c r="AB264">
        <f>IFERROR(VLOOKUP($A264,[5]库存使用数据!$A:$D,4,0),"")</f>
        <v>0</v>
      </c>
      <c r="AC264">
        <f>IFERROR(VLOOKUP($A264,[5]库存使用数据!$A:$G,7,0),"")</f>
        <v>0</v>
      </c>
      <c r="AD264">
        <f>IFERROR(VLOOKUP($A264,[5]库存使用数据!$A:$J,10,0),"")</f>
        <v>0</v>
      </c>
      <c r="AE264">
        <f>IFERROR(VLOOKUP($A264,[5]库存使用数据!$A:$M,13,0),"")</f>
        <v>0</v>
      </c>
      <c r="AF264" s="23" t="str">
        <f t="shared" si="81"/>
        <v/>
      </c>
      <c r="AG264" s="23" t="str">
        <f t="shared" si="82"/>
        <v/>
      </c>
      <c r="AH264" s="23" t="str">
        <f t="shared" si="83"/>
        <v/>
      </c>
      <c r="AI264" s="23" t="str">
        <f t="shared" si="84"/>
        <v/>
      </c>
      <c r="AJ264">
        <f>IFERROR(VLOOKUP($B264,[1]库存报告使用数据!$A$1:$B$65536,2,0),0)</f>
        <v>1</v>
      </c>
      <c r="AK264">
        <f>IFERROR(VLOOKUP($B264,[1]库存报告使用数据!$A$1:$C$65536,3,0),0)</f>
        <v>2</v>
      </c>
      <c r="AL264">
        <f>IFERROR(VLOOKUP($B264,[1]库存报告使用数据!$A$1:$D$65536,4,0),0)</f>
        <v>2</v>
      </c>
      <c r="AM264">
        <f>IFERROR(VLOOKUP($B264,[1]库存报告使用数据!$A$1:$E$65536,5,0),0)</f>
        <v>0</v>
      </c>
      <c r="AN264" s="23">
        <f t="shared" si="85"/>
        <v>0</v>
      </c>
      <c r="AO264" s="23">
        <f t="shared" si="86"/>
        <v>0</v>
      </c>
      <c r="AP264" s="23">
        <f t="shared" si="87"/>
        <v>0</v>
      </c>
      <c r="AQ264" s="23" t="str">
        <f t="shared" si="88"/>
        <v/>
      </c>
      <c r="AR264" s="38">
        <f t="shared" si="73"/>
        <v>0</v>
      </c>
      <c r="AS264" s="38">
        <f t="shared" si="74"/>
        <v>0</v>
      </c>
      <c r="AT264" s="38">
        <f t="shared" si="75"/>
        <v>4</v>
      </c>
      <c r="AU264" s="33" t="str">
        <f t="shared" si="76"/>
        <v>库存为4</v>
      </c>
      <c r="AV264" s="39" t="str">
        <f>IFERROR(时间!$B$4+AU264,"上周无销量")</f>
        <v>上周无销量</v>
      </c>
    </row>
    <row r="265" spans="1:48">
      <c r="A265" s="35" t="s">
        <v>310</v>
      </c>
      <c r="B265" t="str">
        <f>VLOOKUP(A265,'[2]sku-asin（子）'!$A:$B,2,0)</f>
        <v>B074CWMB5Z</v>
      </c>
      <c r="C265" t="str">
        <f>VLOOKUP(A265,'[2]子sku-父sku'!$A:$B,2,0)</f>
        <v>N9383Y</v>
      </c>
      <c r="D265" s="33">
        <f>IFERROR(VLOOKUP(A265,[3]库存报告使用数据处理!$A:$C,3,0),0)</f>
        <v>0</v>
      </c>
      <c r="E265" s="33">
        <f>IFERROR(VLOOKUP(A265,[3]库存报告使用数据处理!$A:$D,4,0),0)</f>
        <v>0</v>
      </c>
      <c r="F265" s="33">
        <f>IFERROR(VLOOKUP(A265,[3]库存报告使用数据处理!$A:$E,5,0),0)</f>
        <v>0</v>
      </c>
      <c r="G265" s="33">
        <f>IFERROR(VLOOKUP(A265,[3]库存报告使用数据处理!$A:$F,6,0),0)</f>
        <v>0</v>
      </c>
      <c r="H265" s="34">
        <f>IFERROR(VLOOKUP(A265,[3]库存报告使用数据处理!$A:$G,7,0),0)</f>
        <v>0</v>
      </c>
      <c r="I265">
        <f>IFERROR(VLOOKUP(A265,[4]数据处理!$A:$B,2,0),0)</f>
        <v>21</v>
      </c>
      <c r="J265" s="36">
        <f>IFERROR(VLOOKUP(A265,[4]数据处理!$A:$D,4,0),0)</f>
        <v>0</v>
      </c>
      <c r="K265" s="36">
        <f>IFERROR(VLOOKUP(A265,[4]数据处理!$A:$E,5,0),0)</f>
        <v>0</v>
      </c>
      <c r="L265" s="36">
        <f>IFERROR(VLOOKUP(A265,[4]数据处理!$A:$G,7,0),0)</f>
        <v>0</v>
      </c>
      <c r="M265">
        <f t="shared" si="72"/>
        <v>21</v>
      </c>
      <c r="N265">
        <f>IFERROR(VLOOKUP(A265,[4]数据处理!$A:$C,3,0),0)</f>
        <v>0</v>
      </c>
      <c r="O265">
        <f>IFERROR(VLOOKUP($A265,[4]数据处理!$A:$N,14,0),0)</f>
        <v>21</v>
      </c>
      <c r="P265">
        <f>IFERROR(VLOOKUP($A265,[5]库存使用数据!$A:$B,2,0),"")</f>
        <v>1</v>
      </c>
      <c r="Q265">
        <f>IFERROR(VLOOKUP($A265,[5]库存使用数据!$A:$E,5,0),"")</f>
        <v>2</v>
      </c>
      <c r="R265">
        <f>IFERROR(VLOOKUP($A265,[5]库存使用数据!$A:$H,8,0),"")</f>
        <v>21</v>
      </c>
      <c r="S265">
        <f>IFERROR(VLOOKUP($A265,[5]库存使用数据!$A:$K,11,0),"")</f>
        <v>4</v>
      </c>
      <c r="T265">
        <f>IFERROR(VLOOKUP($A265,[5]库存使用数据!$A:$C,3,0),"")</f>
        <v>0</v>
      </c>
      <c r="U265">
        <f>IFERROR(VLOOKUP($A265,[5]库存使用数据!$A:$F,6,0),"")</f>
        <v>0</v>
      </c>
      <c r="V265">
        <f>IFERROR(VLOOKUP($A265,[5]库存使用数据!$A:$I,9,0),"")</f>
        <v>0</v>
      </c>
      <c r="W265">
        <f>IFERROR(VLOOKUP($A265,[5]库存使用数据!$A:$L,12,0),"")</f>
        <v>0</v>
      </c>
      <c r="X265" s="23">
        <f t="shared" si="77"/>
        <v>0</v>
      </c>
      <c r="Y265" s="23">
        <f t="shared" si="78"/>
        <v>0</v>
      </c>
      <c r="Z265" s="23">
        <f t="shared" si="79"/>
        <v>0</v>
      </c>
      <c r="AA265" s="23">
        <f t="shared" si="80"/>
        <v>0</v>
      </c>
      <c r="AB265">
        <f>IFERROR(VLOOKUP($A265,[5]库存使用数据!$A:$D,4,0),"")</f>
        <v>0</v>
      </c>
      <c r="AC265">
        <f>IFERROR(VLOOKUP($A265,[5]库存使用数据!$A:$G,7,0),"")</f>
        <v>0</v>
      </c>
      <c r="AD265">
        <f>IFERROR(VLOOKUP($A265,[5]库存使用数据!$A:$J,10,0),"")</f>
        <v>0</v>
      </c>
      <c r="AE265">
        <f>IFERROR(VLOOKUP($A265,[5]库存使用数据!$A:$M,13,0),"")</f>
        <v>0</v>
      </c>
      <c r="AF265" s="23" t="str">
        <f t="shared" si="81"/>
        <v/>
      </c>
      <c r="AG265" s="23" t="str">
        <f t="shared" si="82"/>
        <v/>
      </c>
      <c r="AH265" s="23" t="str">
        <f t="shared" si="83"/>
        <v/>
      </c>
      <c r="AI265" s="23" t="str">
        <f t="shared" si="84"/>
        <v/>
      </c>
      <c r="AJ265">
        <f>IFERROR(VLOOKUP($B265,[1]库存报告使用数据!$A$1:$B$65536,2,0),0)</f>
        <v>3</v>
      </c>
      <c r="AK265">
        <f>IFERROR(VLOOKUP($B265,[1]库存报告使用数据!$A$1:$C$65536,3,0),0)</f>
        <v>1</v>
      </c>
      <c r="AL265">
        <f>IFERROR(VLOOKUP($B265,[1]库存报告使用数据!$A$1:$D$65536,4,0),0)</f>
        <v>0</v>
      </c>
      <c r="AM265">
        <f>IFERROR(VLOOKUP($B265,[1]库存报告使用数据!$A$1:$E$65536,5,0),0)</f>
        <v>0</v>
      </c>
      <c r="AN265" s="23">
        <f t="shared" si="85"/>
        <v>0</v>
      </c>
      <c r="AO265" s="23">
        <f t="shared" si="86"/>
        <v>0</v>
      </c>
      <c r="AP265" s="23" t="str">
        <f t="shared" si="87"/>
        <v/>
      </c>
      <c r="AQ265" s="23" t="str">
        <f t="shared" si="88"/>
        <v/>
      </c>
      <c r="AR265" s="38">
        <f t="shared" si="73"/>
        <v>0</v>
      </c>
      <c r="AS265" s="38">
        <f t="shared" si="74"/>
        <v>0</v>
      </c>
      <c r="AT265" s="38">
        <f t="shared" si="75"/>
        <v>21</v>
      </c>
      <c r="AU265" s="33" t="str">
        <f t="shared" si="76"/>
        <v>库存为21</v>
      </c>
      <c r="AV265" s="39" t="str">
        <f>IFERROR(时间!$B$4+AU265,"上周无销量")</f>
        <v>上周无销量</v>
      </c>
    </row>
    <row r="266" spans="1:48">
      <c r="A266" s="35" t="s">
        <v>311</v>
      </c>
      <c r="B266" t="str">
        <f>VLOOKUP(A266,'[2]sku-asin（子）'!$A:$B,2,0)</f>
        <v>B074CX2BPL</v>
      </c>
      <c r="C266" t="str">
        <f>VLOOKUP(A266,'[2]子sku-父sku'!$A:$B,2,0)</f>
        <v>N9383Y</v>
      </c>
      <c r="D266" s="33">
        <f>IFERROR(VLOOKUP(A266,[3]库存报告使用数据处理!$A:$C,3,0),0)</f>
        <v>0</v>
      </c>
      <c r="E266" s="33">
        <f>IFERROR(VLOOKUP(A266,[3]库存报告使用数据处理!$A:$D,4,0),0)</f>
        <v>0</v>
      </c>
      <c r="F266" s="33">
        <f>IFERROR(VLOOKUP(A266,[3]库存报告使用数据处理!$A:$E,5,0),0)</f>
        <v>0</v>
      </c>
      <c r="G266" s="33">
        <f>IFERROR(VLOOKUP(A266,[3]库存报告使用数据处理!$A:$F,6,0),0)</f>
        <v>0</v>
      </c>
      <c r="H266" s="34">
        <f>IFERROR(VLOOKUP(A266,[3]库存报告使用数据处理!$A:$G,7,0),0)</f>
        <v>0</v>
      </c>
      <c r="I266">
        <f>IFERROR(VLOOKUP(A266,[4]数据处理!$A:$B,2,0),0)</f>
        <v>10</v>
      </c>
      <c r="J266" s="36">
        <f>IFERROR(VLOOKUP(A266,[4]数据处理!$A:$D,4,0),0)</f>
        <v>0</v>
      </c>
      <c r="K266" s="36">
        <f>IFERROR(VLOOKUP(A266,[4]数据处理!$A:$E,5,0),0)</f>
        <v>0</v>
      </c>
      <c r="L266" s="36">
        <f>IFERROR(VLOOKUP(A266,[4]数据处理!$A:$G,7,0),0)</f>
        <v>0</v>
      </c>
      <c r="M266">
        <f t="shared" si="72"/>
        <v>10</v>
      </c>
      <c r="N266">
        <f>IFERROR(VLOOKUP(A266,[4]数据处理!$A:$C,3,0),0)</f>
        <v>0</v>
      </c>
      <c r="O266">
        <f>IFERROR(VLOOKUP($A266,[4]数据处理!$A:$N,14,0),0)</f>
        <v>10</v>
      </c>
      <c r="P266">
        <f>IFERROR(VLOOKUP($A266,[5]库存使用数据!$A:$B,2,0),"")</f>
        <v>255</v>
      </c>
      <c r="Q266">
        <f>IFERROR(VLOOKUP($A266,[5]库存使用数据!$A:$E,5,0),"")</f>
        <v>324</v>
      </c>
      <c r="R266">
        <f>IFERROR(VLOOKUP($A266,[5]库存使用数据!$A:$H,8,0),"")</f>
        <v>395</v>
      </c>
      <c r="S266">
        <f>IFERROR(VLOOKUP($A266,[5]库存使用数据!$A:$K,11,0),"")</f>
        <v>555</v>
      </c>
      <c r="T266">
        <f>IFERROR(VLOOKUP($A266,[5]库存使用数据!$A:$C,3,0),"")</f>
        <v>2</v>
      </c>
      <c r="U266">
        <f>IFERROR(VLOOKUP($A266,[5]库存使用数据!$A:$F,6,0),"")</f>
        <v>2</v>
      </c>
      <c r="V266">
        <f>IFERROR(VLOOKUP($A266,[5]库存使用数据!$A:$I,9,0),"")</f>
        <v>3</v>
      </c>
      <c r="W266">
        <f>IFERROR(VLOOKUP($A266,[5]库存使用数据!$A:$L,12,0),"")</f>
        <v>3</v>
      </c>
      <c r="X266" s="23">
        <f t="shared" si="77"/>
        <v>0.00784313725490196</v>
      </c>
      <c r="Y266" s="23">
        <f t="shared" si="78"/>
        <v>0.00617283950617284</v>
      </c>
      <c r="Z266" s="23">
        <f t="shared" si="79"/>
        <v>0.00759493670886076</v>
      </c>
      <c r="AA266" s="23">
        <f t="shared" si="80"/>
        <v>0.00540540540540541</v>
      </c>
      <c r="AB266">
        <f>IFERROR(VLOOKUP($A266,[5]库存使用数据!$A:$D,4,0),"")</f>
        <v>0.55</v>
      </c>
      <c r="AC266">
        <f>IFERROR(VLOOKUP($A266,[5]库存使用数据!$A:$G,7,0),"")</f>
        <v>0.27</v>
      </c>
      <c r="AD266">
        <f>IFERROR(VLOOKUP($A266,[5]库存使用数据!$A:$J,10,0),"")</f>
        <v>1.43</v>
      </c>
      <c r="AE266">
        <f>IFERROR(VLOOKUP($A266,[5]库存使用数据!$A:$M,13,0),"")</f>
        <v>0.41</v>
      </c>
      <c r="AF266" s="23" t="str">
        <f t="shared" si="81"/>
        <v>无销量广告费为0.55</v>
      </c>
      <c r="AG266" s="23" t="str">
        <f t="shared" si="82"/>
        <v>无销量广告费为0.27</v>
      </c>
      <c r="AH266" s="23" t="str">
        <f t="shared" si="83"/>
        <v>无销量广告费为1.43</v>
      </c>
      <c r="AI266" s="23" t="str">
        <f t="shared" si="84"/>
        <v>无销量广告费为0.41</v>
      </c>
      <c r="AJ266">
        <f>IFERROR(VLOOKUP($B266,[1]库存报告使用数据!$A$1:$B$65536,2,0),0)</f>
        <v>2</v>
      </c>
      <c r="AK266">
        <f>IFERROR(VLOOKUP($B266,[1]库存报告使用数据!$A$1:$C$65536,3,0),0)</f>
        <v>3</v>
      </c>
      <c r="AL266">
        <f>IFERROR(VLOOKUP($B266,[1]库存报告使用数据!$A$1:$D$65536,4,0),0)</f>
        <v>2</v>
      </c>
      <c r="AM266">
        <f>IFERROR(VLOOKUP($B266,[1]库存报告使用数据!$A$1:$E$65536,5,0),0)</f>
        <v>1</v>
      </c>
      <c r="AN266" s="23">
        <f t="shared" si="85"/>
        <v>0</v>
      </c>
      <c r="AO266" s="23">
        <f t="shared" si="86"/>
        <v>0</v>
      </c>
      <c r="AP266" s="23">
        <f t="shared" si="87"/>
        <v>0</v>
      </c>
      <c r="AQ266" s="23">
        <f t="shared" si="88"/>
        <v>0</v>
      </c>
      <c r="AR266" s="38">
        <f t="shared" si="73"/>
        <v>0</v>
      </c>
      <c r="AS266" s="38">
        <f t="shared" si="74"/>
        <v>0</v>
      </c>
      <c r="AT266" s="38">
        <f t="shared" si="75"/>
        <v>10</v>
      </c>
      <c r="AU266" s="33" t="str">
        <f t="shared" si="76"/>
        <v>库存为10</v>
      </c>
      <c r="AV266" s="39" t="str">
        <f>IFERROR(时间!$B$4+AU266,"上周无销量")</f>
        <v>上周无销量</v>
      </c>
    </row>
    <row r="267" spans="1:48">
      <c r="A267" s="35" t="s">
        <v>312</v>
      </c>
      <c r="B267" t="str">
        <f>VLOOKUP(A267,'[2]sku-asin（子）'!$A:$B,2,0)</f>
        <v>B074CWZRZ9</v>
      </c>
      <c r="C267" t="str">
        <f>VLOOKUP(A267,'[2]子sku-父sku'!$A:$B,2,0)</f>
        <v>N9383Y</v>
      </c>
      <c r="D267" s="33">
        <f>IFERROR(VLOOKUP(A267,[3]库存报告使用数据处理!$A:$C,3,0),0)</f>
        <v>0</v>
      </c>
      <c r="E267" s="33">
        <f>IFERROR(VLOOKUP(A267,[3]库存报告使用数据处理!$A:$D,4,0),0)</f>
        <v>0</v>
      </c>
      <c r="F267" s="33">
        <f>IFERROR(VLOOKUP(A267,[3]库存报告使用数据处理!$A:$E,5,0),0)</f>
        <v>0</v>
      </c>
      <c r="G267" s="33">
        <f>IFERROR(VLOOKUP(A267,[3]库存报告使用数据处理!$A:$F,6,0),0)</f>
        <v>0</v>
      </c>
      <c r="H267" s="34">
        <f>IFERROR(VLOOKUP(A267,[3]库存报告使用数据处理!$A:$G,7,0),0)</f>
        <v>0</v>
      </c>
      <c r="I267">
        <f>IFERROR(VLOOKUP(A267,[4]数据处理!$A:$B,2,0),0)</f>
        <v>7</v>
      </c>
      <c r="J267" s="36">
        <f>IFERROR(VLOOKUP(A267,[4]数据处理!$A:$D,4,0),0)</f>
        <v>0</v>
      </c>
      <c r="K267" s="36">
        <f>IFERROR(VLOOKUP(A267,[4]数据处理!$A:$E,5,0),0)</f>
        <v>0</v>
      </c>
      <c r="L267" s="36">
        <f>IFERROR(VLOOKUP(A267,[4]数据处理!$A:$G,7,0),0)</f>
        <v>0</v>
      </c>
      <c r="M267">
        <f t="shared" si="72"/>
        <v>7</v>
      </c>
      <c r="N267">
        <f>IFERROR(VLOOKUP(A267,[4]数据处理!$A:$C,3,0),0)</f>
        <v>0</v>
      </c>
      <c r="O267">
        <f>IFERROR(VLOOKUP($A267,[4]数据处理!$A:$N,14,0),0)</f>
        <v>7</v>
      </c>
      <c r="P267">
        <f>IFERROR(VLOOKUP($A267,[5]库存使用数据!$A:$B,2,0),"")</f>
        <v>3</v>
      </c>
      <c r="Q267">
        <f>IFERROR(VLOOKUP($A267,[5]库存使用数据!$A:$E,5,0),"")</f>
        <v>22</v>
      </c>
      <c r="R267">
        <f>IFERROR(VLOOKUP($A267,[5]库存使用数据!$A:$H,8,0),"")</f>
        <v>50</v>
      </c>
      <c r="S267">
        <f>IFERROR(VLOOKUP($A267,[5]库存使用数据!$A:$K,11,0),"")</f>
        <v>35</v>
      </c>
      <c r="T267">
        <f>IFERROR(VLOOKUP($A267,[5]库存使用数据!$A:$C,3,0),"")</f>
        <v>0</v>
      </c>
      <c r="U267">
        <f>IFERROR(VLOOKUP($A267,[5]库存使用数据!$A:$F,6,0),"")</f>
        <v>0</v>
      </c>
      <c r="V267">
        <f>IFERROR(VLOOKUP($A267,[5]库存使用数据!$A:$I,9,0),"")</f>
        <v>0</v>
      </c>
      <c r="W267">
        <f>IFERROR(VLOOKUP($A267,[5]库存使用数据!$A:$L,12,0),"")</f>
        <v>1</v>
      </c>
      <c r="X267" s="23">
        <f t="shared" si="77"/>
        <v>0</v>
      </c>
      <c r="Y267" s="23">
        <f t="shared" si="78"/>
        <v>0</v>
      </c>
      <c r="Z267" s="23">
        <f t="shared" si="79"/>
        <v>0</v>
      </c>
      <c r="AA267" s="23">
        <f t="shared" si="80"/>
        <v>0.0285714285714286</v>
      </c>
      <c r="AB267">
        <f>IFERROR(VLOOKUP($A267,[5]库存使用数据!$A:$D,4,0),"")</f>
        <v>0</v>
      </c>
      <c r="AC267">
        <f>IFERROR(VLOOKUP($A267,[5]库存使用数据!$A:$G,7,0),"")</f>
        <v>0</v>
      </c>
      <c r="AD267">
        <f>IFERROR(VLOOKUP($A267,[5]库存使用数据!$A:$J,10,0),"")</f>
        <v>0</v>
      </c>
      <c r="AE267">
        <f>IFERROR(VLOOKUP($A267,[5]库存使用数据!$A:$M,13,0),"")</f>
        <v>0.47</v>
      </c>
      <c r="AF267" s="23" t="str">
        <f t="shared" si="81"/>
        <v/>
      </c>
      <c r="AG267" s="23" t="str">
        <f t="shared" si="82"/>
        <v/>
      </c>
      <c r="AH267" s="23" t="str">
        <f t="shared" si="83"/>
        <v/>
      </c>
      <c r="AI267" s="23" t="str">
        <f t="shared" si="84"/>
        <v>无销量广告费为0.47</v>
      </c>
      <c r="AJ267">
        <f>IFERROR(VLOOKUP($B267,[1]库存报告使用数据!$A$1:$B$65536,2,0),0)</f>
        <v>1</v>
      </c>
      <c r="AK267">
        <f>IFERROR(VLOOKUP($B267,[1]库存报告使用数据!$A$1:$C$65536,3,0),0)</f>
        <v>0</v>
      </c>
      <c r="AL267">
        <f>IFERROR(VLOOKUP($B267,[1]库存报告使用数据!$A$1:$D$65536,4,0),0)</f>
        <v>2</v>
      </c>
      <c r="AM267">
        <f>IFERROR(VLOOKUP($B267,[1]库存报告使用数据!$A$1:$E$65536,5,0),0)</f>
        <v>1</v>
      </c>
      <c r="AN267" s="23">
        <f t="shared" si="85"/>
        <v>0</v>
      </c>
      <c r="AO267" s="23" t="str">
        <f t="shared" si="86"/>
        <v/>
      </c>
      <c r="AP267" s="23">
        <f t="shared" si="87"/>
        <v>0</v>
      </c>
      <c r="AQ267" s="23">
        <f t="shared" si="88"/>
        <v>0</v>
      </c>
      <c r="AR267" s="38">
        <f t="shared" si="73"/>
        <v>0</v>
      </c>
      <c r="AS267" s="38">
        <f t="shared" si="74"/>
        <v>0</v>
      </c>
      <c r="AT267" s="38">
        <f t="shared" si="75"/>
        <v>7</v>
      </c>
      <c r="AU267" s="33" t="str">
        <f t="shared" si="76"/>
        <v>库存为7</v>
      </c>
      <c r="AV267" s="39" t="str">
        <f>IFERROR(时间!$B$4+AU267,"上周无销量")</f>
        <v>上周无销量</v>
      </c>
    </row>
    <row r="268" spans="1:48">
      <c r="A268" s="35" t="s">
        <v>313</v>
      </c>
      <c r="B268" t="str">
        <f>VLOOKUP(A268,'[2]sku-asin（子）'!$A:$B,2,0)</f>
        <v>B074CWQJVH</v>
      </c>
      <c r="C268" t="str">
        <f>VLOOKUP(A268,'[2]子sku-父sku'!$A:$B,2,0)</f>
        <v>N9383Y</v>
      </c>
      <c r="D268" s="33">
        <f>IFERROR(VLOOKUP(A268,[3]库存报告使用数据处理!$A:$C,3,0),0)</f>
        <v>0</v>
      </c>
      <c r="E268" s="33">
        <f>IFERROR(VLOOKUP(A268,[3]库存报告使用数据处理!$A:$D,4,0),0)</f>
        <v>0</v>
      </c>
      <c r="F268" s="33">
        <f>IFERROR(VLOOKUP(A268,[3]库存报告使用数据处理!$A:$E,5,0),0)</f>
        <v>0</v>
      </c>
      <c r="G268" s="33">
        <f>IFERROR(VLOOKUP(A268,[3]库存报告使用数据处理!$A:$F,6,0),0)</f>
        <v>0</v>
      </c>
      <c r="H268" s="34">
        <f>IFERROR(VLOOKUP(A268,[3]库存报告使用数据处理!$A:$G,7,0),0)</f>
        <v>0</v>
      </c>
      <c r="I268">
        <f>IFERROR(VLOOKUP(A268,[4]数据处理!$A:$B,2,0),0)</f>
        <v>3</v>
      </c>
      <c r="J268" s="36">
        <f>IFERROR(VLOOKUP(A268,[4]数据处理!$A:$D,4,0),0)</f>
        <v>0</v>
      </c>
      <c r="K268" s="36">
        <f>IFERROR(VLOOKUP(A268,[4]数据处理!$A:$E,5,0),0)</f>
        <v>0</v>
      </c>
      <c r="L268" s="36">
        <f>IFERROR(VLOOKUP(A268,[4]数据处理!$A:$G,7,0),0)</f>
        <v>0</v>
      </c>
      <c r="M268">
        <f t="shared" si="72"/>
        <v>3</v>
      </c>
      <c r="N268">
        <f>IFERROR(VLOOKUP(A268,[4]数据处理!$A:$C,3,0),0)</f>
        <v>0</v>
      </c>
      <c r="O268">
        <f>IFERROR(VLOOKUP($A268,[4]数据处理!$A:$N,14,0),0)</f>
        <v>3</v>
      </c>
      <c r="P268">
        <f>IFERROR(VLOOKUP($A268,[5]库存使用数据!$A:$B,2,0),"")</f>
        <v>4</v>
      </c>
      <c r="Q268">
        <f>IFERROR(VLOOKUP($A268,[5]库存使用数据!$A:$E,5,0),"")</f>
        <v>10</v>
      </c>
      <c r="R268">
        <f>IFERROR(VLOOKUP($A268,[5]库存使用数据!$A:$H,8,0),"")</f>
        <v>4</v>
      </c>
      <c r="S268">
        <f>IFERROR(VLOOKUP($A268,[5]库存使用数据!$A:$K,11,0),"")</f>
        <v>2</v>
      </c>
      <c r="T268">
        <f>IFERROR(VLOOKUP($A268,[5]库存使用数据!$A:$C,3,0),"")</f>
        <v>0</v>
      </c>
      <c r="U268">
        <f>IFERROR(VLOOKUP($A268,[5]库存使用数据!$A:$F,6,0),"")</f>
        <v>0</v>
      </c>
      <c r="V268">
        <f>IFERROR(VLOOKUP($A268,[5]库存使用数据!$A:$I,9,0),"")</f>
        <v>0</v>
      </c>
      <c r="W268">
        <f>IFERROR(VLOOKUP($A268,[5]库存使用数据!$A:$L,12,0),"")</f>
        <v>0</v>
      </c>
      <c r="X268" s="23">
        <f t="shared" si="77"/>
        <v>0</v>
      </c>
      <c r="Y268" s="23">
        <f t="shared" si="78"/>
        <v>0</v>
      </c>
      <c r="Z268" s="23">
        <f t="shared" si="79"/>
        <v>0</v>
      </c>
      <c r="AA268" s="23">
        <f t="shared" si="80"/>
        <v>0</v>
      </c>
      <c r="AB268">
        <f>IFERROR(VLOOKUP($A268,[5]库存使用数据!$A:$D,4,0),"")</f>
        <v>0</v>
      </c>
      <c r="AC268">
        <f>IFERROR(VLOOKUP($A268,[5]库存使用数据!$A:$G,7,0),"")</f>
        <v>0</v>
      </c>
      <c r="AD268">
        <f>IFERROR(VLOOKUP($A268,[5]库存使用数据!$A:$J,10,0),"")</f>
        <v>0</v>
      </c>
      <c r="AE268">
        <f>IFERROR(VLOOKUP($A268,[5]库存使用数据!$A:$M,13,0),"")</f>
        <v>0</v>
      </c>
      <c r="AF268" s="23" t="str">
        <f t="shared" si="81"/>
        <v/>
      </c>
      <c r="AG268" s="23" t="str">
        <f t="shared" si="82"/>
        <v/>
      </c>
      <c r="AH268" s="23" t="str">
        <f t="shared" si="83"/>
        <v/>
      </c>
      <c r="AI268" s="23" t="str">
        <f t="shared" si="84"/>
        <v/>
      </c>
      <c r="AJ268">
        <f>IFERROR(VLOOKUP($B268,[1]库存报告使用数据!$A$1:$B$65536,2,0),0)</f>
        <v>2</v>
      </c>
      <c r="AK268">
        <f>IFERROR(VLOOKUP($B268,[1]库存报告使用数据!$A$1:$C$65536,3,0),0)</f>
        <v>3</v>
      </c>
      <c r="AL268">
        <f>IFERROR(VLOOKUP($B268,[1]库存报告使用数据!$A$1:$D$65536,4,0),0)</f>
        <v>2</v>
      </c>
      <c r="AM268">
        <f>IFERROR(VLOOKUP($B268,[1]库存报告使用数据!$A$1:$E$65536,5,0),0)</f>
        <v>1</v>
      </c>
      <c r="AN268" s="23">
        <f t="shared" si="85"/>
        <v>0</v>
      </c>
      <c r="AO268" s="23">
        <f t="shared" si="86"/>
        <v>0</v>
      </c>
      <c r="AP268" s="23">
        <f t="shared" si="87"/>
        <v>0</v>
      </c>
      <c r="AQ268" s="23">
        <f t="shared" si="88"/>
        <v>0</v>
      </c>
      <c r="AR268" s="38">
        <f t="shared" si="73"/>
        <v>0</v>
      </c>
      <c r="AS268" s="38">
        <f t="shared" si="74"/>
        <v>0</v>
      </c>
      <c r="AT268" s="38">
        <f t="shared" si="75"/>
        <v>3</v>
      </c>
      <c r="AU268" s="33" t="str">
        <f t="shared" si="76"/>
        <v>库存为3</v>
      </c>
      <c r="AV268" s="39" t="str">
        <f>IFERROR(时间!$B$4+AU268,"上周无销量")</f>
        <v>上周无销量</v>
      </c>
    </row>
    <row r="269" spans="1:48">
      <c r="A269" s="35" t="s">
        <v>314</v>
      </c>
      <c r="B269" t="str">
        <f>VLOOKUP(A269,'[2]sku-asin（子）'!$A:$B,2,0)</f>
        <v>B074CWQPZP</v>
      </c>
      <c r="C269" t="str">
        <f>VLOOKUP(A269,'[2]子sku-父sku'!$A:$B,2,0)</f>
        <v>N9383Y</v>
      </c>
      <c r="D269" s="33">
        <f>IFERROR(VLOOKUP(A269,[3]库存报告使用数据处理!$A:$C,3,0),0)</f>
        <v>0</v>
      </c>
      <c r="E269" s="33">
        <f>IFERROR(VLOOKUP(A269,[3]库存报告使用数据处理!$A:$D,4,0),0)</f>
        <v>0</v>
      </c>
      <c r="F269" s="33">
        <f>IFERROR(VLOOKUP(A269,[3]库存报告使用数据处理!$A:$E,5,0),0)</f>
        <v>0</v>
      </c>
      <c r="G269" s="33">
        <f>IFERROR(VLOOKUP(A269,[3]库存报告使用数据处理!$A:$F,6,0),0)</f>
        <v>0</v>
      </c>
      <c r="H269" s="34">
        <f>IFERROR(VLOOKUP(A269,[3]库存报告使用数据处理!$A:$G,7,0),0)</f>
        <v>0</v>
      </c>
      <c r="I269">
        <f>IFERROR(VLOOKUP(A269,[4]数据处理!$A:$B,2,0),0)</f>
        <v>4</v>
      </c>
      <c r="J269" s="36">
        <f>IFERROR(VLOOKUP(A269,[4]数据处理!$A:$D,4,0),0)</f>
        <v>0</v>
      </c>
      <c r="K269" s="36">
        <f>IFERROR(VLOOKUP(A269,[4]数据处理!$A:$E,5,0),0)</f>
        <v>0</v>
      </c>
      <c r="L269" s="36">
        <f>IFERROR(VLOOKUP(A269,[4]数据处理!$A:$G,7,0),0)</f>
        <v>0</v>
      </c>
      <c r="M269">
        <f t="shared" si="72"/>
        <v>4</v>
      </c>
      <c r="N269">
        <f>IFERROR(VLOOKUP(A269,[4]数据处理!$A:$C,3,0),0)</f>
        <v>0</v>
      </c>
      <c r="O269">
        <f>IFERROR(VLOOKUP($A269,[4]数据处理!$A:$N,14,0),0)</f>
        <v>4</v>
      </c>
      <c r="P269">
        <f>IFERROR(VLOOKUP($A269,[5]库存使用数据!$A:$B,2,0),"")</f>
        <v>2</v>
      </c>
      <c r="Q269">
        <f>IFERROR(VLOOKUP($A269,[5]库存使用数据!$A:$E,5,0),"")</f>
        <v>0</v>
      </c>
      <c r="R269">
        <f>IFERROR(VLOOKUP($A269,[5]库存使用数据!$A:$H,8,0),"")</f>
        <v>2</v>
      </c>
      <c r="S269">
        <f>IFERROR(VLOOKUP($A269,[5]库存使用数据!$A:$K,11,0),"")</f>
        <v>1</v>
      </c>
      <c r="T269">
        <f>IFERROR(VLOOKUP($A269,[5]库存使用数据!$A:$C,3,0),"")</f>
        <v>0</v>
      </c>
      <c r="U269">
        <f>IFERROR(VLOOKUP($A269,[5]库存使用数据!$A:$F,6,0),"")</f>
        <v>0</v>
      </c>
      <c r="V269">
        <f>IFERROR(VLOOKUP($A269,[5]库存使用数据!$A:$I,9,0),"")</f>
        <v>0</v>
      </c>
      <c r="W269">
        <f>IFERROR(VLOOKUP($A269,[5]库存使用数据!$A:$L,12,0),"")</f>
        <v>0</v>
      </c>
      <c r="X269" s="23">
        <f t="shared" si="77"/>
        <v>0</v>
      </c>
      <c r="Y269" s="23" t="str">
        <f t="shared" si="78"/>
        <v/>
      </c>
      <c r="Z269" s="23">
        <f t="shared" si="79"/>
        <v>0</v>
      </c>
      <c r="AA269" s="23">
        <f t="shared" si="80"/>
        <v>0</v>
      </c>
      <c r="AB269">
        <f>IFERROR(VLOOKUP($A269,[5]库存使用数据!$A:$D,4,0),"")</f>
        <v>0</v>
      </c>
      <c r="AC269">
        <f>IFERROR(VLOOKUP($A269,[5]库存使用数据!$A:$G,7,0),"")</f>
        <v>0</v>
      </c>
      <c r="AD269">
        <f>IFERROR(VLOOKUP($A269,[5]库存使用数据!$A:$J,10,0),"")</f>
        <v>0</v>
      </c>
      <c r="AE269">
        <f>IFERROR(VLOOKUP($A269,[5]库存使用数据!$A:$M,13,0),"")</f>
        <v>0</v>
      </c>
      <c r="AF269" s="23" t="str">
        <f t="shared" si="81"/>
        <v/>
      </c>
      <c r="AG269" s="23" t="str">
        <f t="shared" si="82"/>
        <v/>
      </c>
      <c r="AH269" s="23" t="str">
        <f t="shared" si="83"/>
        <v/>
      </c>
      <c r="AI269" s="23" t="str">
        <f t="shared" si="84"/>
        <v/>
      </c>
      <c r="AJ269">
        <f>IFERROR(VLOOKUP($B269,[1]库存报告使用数据!$A$1:$B$65536,2,0),0)</f>
        <v>3</v>
      </c>
      <c r="AK269">
        <f>IFERROR(VLOOKUP($B269,[1]库存报告使用数据!$A$1:$C$65536,3,0),0)</f>
        <v>0</v>
      </c>
      <c r="AL269">
        <f>IFERROR(VLOOKUP($B269,[1]库存报告使用数据!$A$1:$D$65536,4,0),0)</f>
        <v>0</v>
      </c>
      <c r="AM269">
        <f>IFERROR(VLOOKUP($B269,[1]库存报告使用数据!$A$1:$E$65536,5,0),0)</f>
        <v>1</v>
      </c>
      <c r="AN269" s="23">
        <f t="shared" si="85"/>
        <v>0</v>
      </c>
      <c r="AO269" s="23" t="str">
        <f t="shared" si="86"/>
        <v/>
      </c>
      <c r="AP269" s="23" t="str">
        <f t="shared" si="87"/>
        <v/>
      </c>
      <c r="AQ269" s="23">
        <f t="shared" si="88"/>
        <v>0</v>
      </c>
      <c r="AR269" s="38">
        <f t="shared" si="73"/>
        <v>0</v>
      </c>
      <c r="AS269" s="38">
        <f t="shared" si="74"/>
        <v>0</v>
      </c>
      <c r="AT269" s="38">
        <f t="shared" si="75"/>
        <v>4</v>
      </c>
      <c r="AU269" s="33" t="str">
        <f t="shared" si="76"/>
        <v>库存为4</v>
      </c>
      <c r="AV269" s="39" t="str">
        <f>IFERROR(时间!$B$4+AU269,"上周无销量")</f>
        <v>上周无销量</v>
      </c>
    </row>
    <row r="270" spans="1:48">
      <c r="A270" s="35" t="s">
        <v>315</v>
      </c>
      <c r="B270" t="str">
        <f>VLOOKUP(A270,'[2]sku-asin（子）'!$A:$B,2,0)</f>
        <v>B074CV3L2T</v>
      </c>
      <c r="C270" t="str">
        <f>VLOOKUP(A270,'[2]子sku-父sku'!$A:$B,2,0)</f>
        <v>N9383Y</v>
      </c>
      <c r="D270" s="33">
        <f>IFERROR(VLOOKUP(A270,[3]库存报告使用数据处理!$A:$C,3,0),0)</f>
        <v>0</v>
      </c>
      <c r="E270" s="33">
        <f>IFERROR(VLOOKUP(A270,[3]库存报告使用数据处理!$A:$D,4,0),0)</f>
        <v>0</v>
      </c>
      <c r="F270" s="33">
        <f>IFERROR(VLOOKUP(A270,[3]库存报告使用数据处理!$A:$E,5,0),0)</f>
        <v>0</v>
      </c>
      <c r="G270" s="33">
        <f>IFERROR(VLOOKUP(A270,[3]库存报告使用数据处理!$A:$F,6,0),0)</f>
        <v>0</v>
      </c>
      <c r="H270" s="34">
        <f>IFERROR(VLOOKUP(A270,[3]库存报告使用数据处理!$A:$G,7,0),0)</f>
        <v>0</v>
      </c>
      <c r="I270">
        <f>IFERROR(VLOOKUP(A270,[4]数据处理!$A:$B,2,0),0)</f>
        <v>10</v>
      </c>
      <c r="J270" s="36">
        <f>IFERROR(VLOOKUP(A270,[4]数据处理!$A:$D,4,0),0)</f>
        <v>0</v>
      </c>
      <c r="K270" s="36">
        <f>IFERROR(VLOOKUP(A270,[4]数据处理!$A:$E,5,0),0)</f>
        <v>0</v>
      </c>
      <c r="L270" s="36">
        <f>IFERROR(VLOOKUP(A270,[4]数据处理!$A:$G,7,0),0)</f>
        <v>0</v>
      </c>
      <c r="M270">
        <f t="shared" si="72"/>
        <v>10</v>
      </c>
      <c r="N270">
        <f>IFERROR(VLOOKUP(A270,[4]数据处理!$A:$C,3,0),0)</f>
        <v>0</v>
      </c>
      <c r="O270">
        <f>IFERROR(VLOOKUP($A270,[4]数据处理!$A:$N,14,0),0)</f>
        <v>10</v>
      </c>
      <c r="P270">
        <f>IFERROR(VLOOKUP($A270,[5]库存使用数据!$A:$B,2,0),"")</f>
        <v>982</v>
      </c>
      <c r="Q270">
        <f>IFERROR(VLOOKUP($A270,[5]库存使用数据!$A:$E,5,0),"")</f>
        <v>794</v>
      </c>
      <c r="R270">
        <f>IFERROR(VLOOKUP($A270,[5]库存使用数据!$A:$H,8,0),"")</f>
        <v>338</v>
      </c>
      <c r="S270">
        <f>IFERROR(VLOOKUP($A270,[5]库存使用数据!$A:$K,11,0),"")</f>
        <v>223</v>
      </c>
      <c r="T270">
        <f>IFERROR(VLOOKUP($A270,[5]库存使用数据!$A:$C,3,0),"")</f>
        <v>9</v>
      </c>
      <c r="U270">
        <f>IFERROR(VLOOKUP($A270,[5]库存使用数据!$A:$F,6,0),"")</f>
        <v>4</v>
      </c>
      <c r="V270">
        <f>IFERROR(VLOOKUP($A270,[5]库存使用数据!$A:$I,9,0),"")</f>
        <v>3</v>
      </c>
      <c r="W270">
        <f>IFERROR(VLOOKUP($A270,[5]库存使用数据!$A:$L,12,0),"")</f>
        <v>5</v>
      </c>
      <c r="X270" s="23">
        <f t="shared" si="77"/>
        <v>0.00916496945010183</v>
      </c>
      <c r="Y270" s="23">
        <f t="shared" si="78"/>
        <v>0.00503778337531486</v>
      </c>
      <c r="Z270" s="23">
        <f t="shared" si="79"/>
        <v>0.00887573964497041</v>
      </c>
      <c r="AA270" s="23">
        <f t="shared" si="80"/>
        <v>0.0224215246636771</v>
      </c>
      <c r="AB270">
        <f>IFERROR(VLOOKUP($A270,[5]库存使用数据!$A:$D,4,0),"")</f>
        <v>1.59</v>
      </c>
      <c r="AC270">
        <f>IFERROR(VLOOKUP($A270,[5]库存使用数据!$A:$G,7,0),"")</f>
        <v>1.01</v>
      </c>
      <c r="AD270">
        <f>IFERROR(VLOOKUP($A270,[5]库存使用数据!$A:$J,10,0),"")</f>
        <v>0.63</v>
      </c>
      <c r="AE270">
        <f>IFERROR(VLOOKUP($A270,[5]库存使用数据!$A:$M,13,0),"")</f>
        <v>1.97</v>
      </c>
      <c r="AF270" s="23" t="str">
        <f t="shared" si="81"/>
        <v>无销量广告费为1.59</v>
      </c>
      <c r="AG270" s="23" t="str">
        <f t="shared" si="82"/>
        <v>无销量广告费为1.01</v>
      </c>
      <c r="AH270" s="23" t="str">
        <f t="shared" si="83"/>
        <v>无销量广告费为0.63</v>
      </c>
      <c r="AI270" s="23" t="str">
        <f t="shared" si="84"/>
        <v>无销量广告费为1.97</v>
      </c>
      <c r="AJ270">
        <f>IFERROR(VLOOKUP($B270,[1]库存报告使用数据!$A$1:$B$65536,2,0),0)</f>
        <v>0</v>
      </c>
      <c r="AK270">
        <f>IFERROR(VLOOKUP($B270,[1]库存报告使用数据!$A$1:$C$65536,3,0),0)</f>
        <v>5</v>
      </c>
      <c r="AL270">
        <f>IFERROR(VLOOKUP($B270,[1]库存报告使用数据!$A$1:$D$65536,4,0),0)</f>
        <v>3</v>
      </c>
      <c r="AM270">
        <f>IFERROR(VLOOKUP($B270,[1]库存报告使用数据!$A$1:$E$65536,5,0),0)</f>
        <v>3</v>
      </c>
      <c r="AN270" s="23" t="str">
        <f t="shared" si="85"/>
        <v/>
      </c>
      <c r="AO270" s="23">
        <f t="shared" si="86"/>
        <v>0</v>
      </c>
      <c r="AP270" s="23">
        <f t="shared" si="87"/>
        <v>0</v>
      </c>
      <c r="AQ270" s="23">
        <f t="shared" si="88"/>
        <v>0</v>
      </c>
      <c r="AR270" s="38">
        <f t="shared" si="73"/>
        <v>0</v>
      </c>
      <c r="AS270" s="38">
        <f t="shared" si="74"/>
        <v>0</v>
      </c>
      <c r="AT270" s="38">
        <f t="shared" si="75"/>
        <v>10</v>
      </c>
      <c r="AU270" s="33" t="str">
        <f t="shared" si="76"/>
        <v>库存为10</v>
      </c>
      <c r="AV270" s="39" t="str">
        <f>IFERROR(时间!$B$4+AU270,"上周无销量")</f>
        <v>上周无销量</v>
      </c>
    </row>
    <row r="271" spans="1:48">
      <c r="A271" s="35" t="s">
        <v>316</v>
      </c>
      <c r="B271" t="str">
        <f>VLOOKUP(A271,'[2]sku-asin（子）'!$A:$B,2,0)</f>
        <v>B074CX6ML1</v>
      </c>
      <c r="C271" t="str">
        <f>VLOOKUP(A271,'[2]子sku-父sku'!$A:$B,2,0)</f>
        <v>N9383Y</v>
      </c>
      <c r="D271" s="33">
        <f>IFERROR(VLOOKUP(A271,[3]库存报告使用数据处理!$A:$C,3,0),0)</f>
        <v>0</v>
      </c>
      <c r="E271" s="33">
        <f>IFERROR(VLOOKUP(A271,[3]库存报告使用数据处理!$A:$D,4,0),0)</f>
        <v>0</v>
      </c>
      <c r="F271" s="33">
        <f>IFERROR(VLOOKUP(A271,[3]库存报告使用数据处理!$A:$E,5,0),0)</f>
        <v>0</v>
      </c>
      <c r="G271" s="33">
        <f>IFERROR(VLOOKUP(A271,[3]库存报告使用数据处理!$A:$F,6,0),0)</f>
        <v>0</v>
      </c>
      <c r="H271" s="34">
        <f>IFERROR(VLOOKUP(A271,[3]库存报告使用数据处理!$A:$G,7,0),0)</f>
        <v>0</v>
      </c>
      <c r="I271">
        <f>IFERROR(VLOOKUP(A271,[4]数据处理!$A:$B,2,0),0)</f>
        <v>3</v>
      </c>
      <c r="J271" s="36">
        <f>IFERROR(VLOOKUP(A271,[4]数据处理!$A:$D,4,0),0)</f>
        <v>0</v>
      </c>
      <c r="K271" s="36">
        <f>IFERROR(VLOOKUP(A271,[4]数据处理!$A:$E,5,0),0)</f>
        <v>0</v>
      </c>
      <c r="L271" s="36">
        <f>IFERROR(VLOOKUP(A271,[4]数据处理!$A:$G,7,0),0)</f>
        <v>0</v>
      </c>
      <c r="M271">
        <f t="shared" si="72"/>
        <v>3</v>
      </c>
      <c r="N271">
        <f>IFERROR(VLOOKUP(A271,[4]数据处理!$A:$C,3,0),0)</f>
        <v>0</v>
      </c>
      <c r="O271">
        <f>IFERROR(VLOOKUP($A271,[4]数据处理!$A:$N,14,0),0)</f>
        <v>3</v>
      </c>
      <c r="P271">
        <f>IFERROR(VLOOKUP($A271,[5]库存使用数据!$A:$B,2,0),"")</f>
        <v>3</v>
      </c>
      <c r="Q271">
        <f>IFERROR(VLOOKUP($A271,[5]库存使用数据!$A:$E,5,0),"")</f>
        <v>18</v>
      </c>
      <c r="R271">
        <f>IFERROR(VLOOKUP($A271,[5]库存使用数据!$A:$H,8,0),"")</f>
        <v>28</v>
      </c>
      <c r="S271">
        <f>IFERROR(VLOOKUP($A271,[5]库存使用数据!$A:$K,11,0),"")</f>
        <v>20</v>
      </c>
      <c r="T271">
        <f>IFERROR(VLOOKUP($A271,[5]库存使用数据!$A:$C,3,0),"")</f>
        <v>0</v>
      </c>
      <c r="U271">
        <f>IFERROR(VLOOKUP($A271,[5]库存使用数据!$A:$F,6,0),"")</f>
        <v>0</v>
      </c>
      <c r="V271">
        <f>IFERROR(VLOOKUP($A271,[5]库存使用数据!$A:$I,9,0),"")</f>
        <v>1</v>
      </c>
      <c r="W271">
        <f>IFERROR(VLOOKUP($A271,[5]库存使用数据!$A:$L,12,0),"")</f>
        <v>0</v>
      </c>
      <c r="X271" s="23">
        <f t="shared" si="77"/>
        <v>0</v>
      </c>
      <c r="Y271" s="23">
        <f t="shared" si="78"/>
        <v>0</v>
      </c>
      <c r="Z271" s="23">
        <f t="shared" si="79"/>
        <v>0.0357142857142857</v>
      </c>
      <c r="AA271" s="23">
        <f t="shared" si="80"/>
        <v>0</v>
      </c>
      <c r="AB271">
        <f>IFERROR(VLOOKUP($A271,[5]库存使用数据!$A:$D,4,0),"")</f>
        <v>0</v>
      </c>
      <c r="AC271">
        <f>IFERROR(VLOOKUP($A271,[5]库存使用数据!$A:$G,7,0),"")</f>
        <v>0</v>
      </c>
      <c r="AD271">
        <f>IFERROR(VLOOKUP($A271,[5]库存使用数据!$A:$J,10,0),"")</f>
        <v>0.51</v>
      </c>
      <c r="AE271">
        <f>IFERROR(VLOOKUP($A271,[5]库存使用数据!$A:$M,13,0),"")</f>
        <v>0</v>
      </c>
      <c r="AF271" s="23" t="str">
        <f t="shared" si="81"/>
        <v/>
      </c>
      <c r="AG271" s="23" t="str">
        <f t="shared" si="82"/>
        <v/>
      </c>
      <c r="AH271" s="23" t="str">
        <f t="shared" si="83"/>
        <v>无销量广告费为0.51</v>
      </c>
      <c r="AI271" s="23" t="str">
        <f t="shared" si="84"/>
        <v/>
      </c>
      <c r="AJ271">
        <f>IFERROR(VLOOKUP($B271,[1]库存报告使用数据!$A$1:$B$65536,2,0),0)</f>
        <v>3</v>
      </c>
      <c r="AK271">
        <f>IFERROR(VLOOKUP($B271,[1]库存报告使用数据!$A$1:$C$65536,3,0),0)</f>
        <v>2</v>
      </c>
      <c r="AL271">
        <f>IFERROR(VLOOKUP($B271,[1]库存报告使用数据!$A$1:$D$65536,4,0),0)</f>
        <v>1</v>
      </c>
      <c r="AM271">
        <f>IFERROR(VLOOKUP($B271,[1]库存报告使用数据!$A$1:$E$65536,5,0),0)</f>
        <v>2</v>
      </c>
      <c r="AN271" s="23">
        <f t="shared" si="85"/>
        <v>0</v>
      </c>
      <c r="AO271" s="23">
        <f t="shared" si="86"/>
        <v>0</v>
      </c>
      <c r="AP271" s="23">
        <f t="shared" si="87"/>
        <v>0</v>
      </c>
      <c r="AQ271" s="23">
        <f t="shared" si="88"/>
        <v>0</v>
      </c>
      <c r="AR271" s="38">
        <f t="shared" si="73"/>
        <v>0</v>
      </c>
      <c r="AS271" s="38">
        <f t="shared" si="74"/>
        <v>0</v>
      </c>
      <c r="AT271" s="38">
        <f t="shared" si="75"/>
        <v>3</v>
      </c>
      <c r="AU271" s="33" t="str">
        <f t="shared" si="76"/>
        <v>库存为3</v>
      </c>
      <c r="AV271" s="39" t="str">
        <f>IFERROR(时间!$B$4+AU271,"上周无销量")</f>
        <v>上周无销量</v>
      </c>
    </row>
    <row r="272" spans="1:48">
      <c r="A272" s="35" t="s">
        <v>317</v>
      </c>
      <c r="B272" t="str">
        <f>VLOOKUP(A272,'[2]sku-asin（子）'!$A:$B,2,0)</f>
        <v>B074CWLZDG</v>
      </c>
      <c r="C272" t="str">
        <f>VLOOKUP(A272,'[2]子sku-父sku'!$A:$B,2,0)</f>
        <v>N9383Y</v>
      </c>
      <c r="D272" s="33">
        <f>IFERROR(VLOOKUP(A272,[3]库存报告使用数据处理!$A:$C,3,0),0)</f>
        <v>0</v>
      </c>
      <c r="E272" s="33">
        <f>IFERROR(VLOOKUP(A272,[3]库存报告使用数据处理!$A:$D,4,0),0)</f>
        <v>0</v>
      </c>
      <c r="F272" s="33">
        <f>IFERROR(VLOOKUP(A272,[3]库存报告使用数据处理!$A:$E,5,0),0)</f>
        <v>0</v>
      </c>
      <c r="G272" s="33">
        <f>IFERROR(VLOOKUP(A272,[3]库存报告使用数据处理!$A:$F,6,0),0)</f>
        <v>0</v>
      </c>
      <c r="H272" s="34">
        <f>IFERROR(VLOOKUP(A272,[3]库存报告使用数据处理!$A:$G,7,0),0)</f>
        <v>0</v>
      </c>
      <c r="I272">
        <f>IFERROR(VLOOKUP(A272,[4]数据处理!$A:$B,2,0),0)</f>
        <v>16</v>
      </c>
      <c r="J272" s="36">
        <f>IFERROR(VLOOKUP(A272,[4]数据处理!$A:$D,4,0),0)</f>
        <v>0</v>
      </c>
      <c r="K272" s="36">
        <f>IFERROR(VLOOKUP(A272,[4]数据处理!$A:$E,5,0),0)</f>
        <v>0</v>
      </c>
      <c r="L272" s="36">
        <f>IFERROR(VLOOKUP(A272,[4]数据处理!$A:$G,7,0),0)</f>
        <v>0</v>
      </c>
      <c r="M272">
        <f t="shared" si="72"/>
        <v>16</v>
      </c>
      <c r="N272">
        <f>IFERROR(VLOOKUP(A272,[4]数据处理!$A:$C,3,0),0)</f>
        <v>0</v>
      </c>
      <c r="O272">
        <f>IFERROR(VLOOKUP($A272,[4]数据处理!$A:$N,14,0),0)</f>
        <v>16</v>
      </c>
      <c r="P272">
        <f>IFERROR(VLOOKUP($A272,[5]库存使用数据!$A:$B,2,0),"")</f>
        <v>3</v>
      </c>
      <c r="Q272">
        <f>IFERROR(VLOOKUP($A272,[5]库存使用数据!$A:$E,5,0),"")</f>
        <v>3</v>
      </c>
      <c r="R272">
        <f>IFERROR(VLOOKUP($A272,[5]库存使用数据!$A:$H,8,0),"")</f>
        <v>3</v>
      </c>
      <c r="S272">
        <f>IFERROR(VLOOKUP($A272,[5]库存使用数据!$A:$K,11,0),"")</f>
        <v>0</v>
      </c>
      <c r="T272">
        <f>IFERROR(VLOOKUP($A272,[5]库存使用数据!$A:$C,3,0),"")</f>
        <v>0</v>
      </c>
      <c r="U272">
        <f>IFERROR(VLOOKUP($A272,[5]库存使用数据!$A:$F,6,0),"")</f>
        <v>0</v>
      </c>
      <c r="V272">
        <f>IFERROR(VLOOKUP($A272,[5]库存使用数据!$A:$I,9,0),"")</f>
        <v>1</v>
      </c>
      <c r="W272">
        <f>IFERROR(VLOOKUP($A272,[5]库存使用数据!$A:$L,12,0),"")</f>
        <v>0</v>
      </c>
      <c r="X272" s="23">
        <f t="shared" si="77"/>
        <v>0</v>
      </c>
      <c r="Y272" s="23">
        <f t="shared" si="78"/>
        <v>0</v>
      </c>
      <c r="Z272" s="23">
        <f t="shared" si="79"/>
        <v>0.333333333333333</v>
      </c>
      <c r="AA272" s="23" t="str">
        <f t="shared" si="80"/>
        <v/>
      </c>
      <c r="AB272">
        <f>IFERROR(VLOOKUP($A272,[5]库存使用数据!$A:$D,4,0),"")</f>
        <v>0</v>
      </c>
      <c r="AC272">
        <f>IFERROR(VLOOKUP($A272,[5]库存使用数据!$A:$G,7,0),"")</f>
        <v>0</v>
      </c>
      <c r="AD272">
        <f>IFERROR(VLOOKUP($A272,[5]库存使用数据!$A:$J,10,0),"")</f>
        <v>0.21</v>
      </c>
      <c r="AE272">
        <f>IFERROR(VLOOKUP($A272,[5]库存使用数据!$A:$M,13,0),"")</f>
        <v>0</v>
      </c>
      <c r="AF272" s="23" t="str">
        <f t="shared" si="81"/>
        <v/>
      </c>
      <c r="AG272" s="23" t="str">
        <f t="shared" si="82"/>
        <v/>
      </c>
      <c r="AH272" s="23" t="str">
        <f t="shared" si="83"/>
        <v>无销量广告费为0.21</v>
      </c>
      <c r="AI272" s="23" t="str">
        <f t="shared" si="84"/>
        <v/>
      </c>
      <c r="AJ272">
        <f>IFERROR(VLOOKUP($B272,[1]库存报告使用数据!$A$1:$B$65536,2,0),0)</f>
        <v>2</v>
      </c>
      <c r="AK272">
        <f>IFERROR(VLOOKUP($B272,[1]库存报告使用数据!$A$1:$C$65536,3,0),0)</f>
        <v>1</v>
      </c>
      <c r="AL272">
        <f>IFERROR(VLOOKUP($B272,[1]库存报告使用数据!$A$1:$D$65536,4,0),0)</f>
        <v>1</v>
      </c>
      <c r="AM272">
        <f>IFERROR(VLOOKUP($B272,[1]库存报告使用数据!$A$1:$E$65536,5,0),0)</f>
        <v>0</v>
      </c>
      <c r="AN272" s="23">
        <f t="shared" si="85"/>
        <v>0</v>
      </c>
      <c r="AO272" s="23">
        <f t="shared" si="86"/>
        <v>0</v>
      </c>
      <c r="AP272" s="23">
        <f t="shared" si="87"/>
        <v>0</v>
      </c>
      <c r="AQ272" s="23" t="str">
        <f t="shared" si="88"/>
        <v/>
      </c>
      <c r="AR272" s="38">
        <f t="shared" si="73"/>
        <v>0</v>
      </c>
      <c r="AS272" s="38">
        <f t="shared" si="74"/>
        <v>0</v>
      </c>
      <c r="AT272" s="38">
        <f t="shared" si="75"/>
        <v>16</v>
      </c>
      <c r="AU272" s="33" t="str">
        <f t="shared" si="76"/>
        <v>库存为16</v>
      </c>
      <c r="AV272" s="39" t="str">
        <f>IFERROR(时间!$B$4+AU272,"上周无销量")</f>
        <v>上周无销量</v>
      </c>
    </row>
    <row r="273" spans="1:48">
      <c r="A273" s="35" t="s">
        <v>318</v>
      </c>
      <c r="B273" t="str">
        <f>VLOOKUP(A273,'[2]sku-asin（子）'!$A:$B,2,0)</f>
        <v>B074CWYHQ7</v>
      </c>
      <c r="C273" t="str">
        <f>VLOOKUP(A273,'[2]子sku-父sku'!$A:$B,2,0)</f>
        <v>N9383Y</v>
      </c>
      <c r="D273" s="33">
        <f>IFERROR(VLOOKUP(A273,[3]库存报告使用数据处理!$A:$C,3,0),0)</f>
        <v>0</v>
      </c>
      <c r="E273" s="33">
        <f>IFERROR(VLOOKUP(A273,[3]库存报告使用数据处理!$A:$D,4,0),0)</f>
        <v>0</v>
      </c>
      <c r="F273" s="33">
        <f>IFERROR(VLOOKUP(A273,[3]库存报告使用数据处理!$A:$E,5,0),0)</f>
        <v>0</v>
      </c>
      <c r="G273" s="33">
        <f>IFERROR(VLOOKUP(A273,[3]库存报告使用数据处理!$A:$F,6,0),0)</f>
        <v>0</v>
      </c>
      <c r="H273" s="34">
        <f>IFERROR(VLOOKUP(A273,[3]库存报告使用数据处理!$A:$G,7,0),0)</f>
        <v>0</v>
      </c>
      <c r="I273">
        <f>IFERROR(VLOOKUP(A273,[4]数据处理!$A:$B,2,0),0)</f>
        <v>11</v>
      </c>
      <c r="J273" s="36">
        <f>IFERROR(VLOOKUP(A273,[4]数据处理!$A:$D,4,0),0)</f>
        <v>0</v>
      </c>
      <c r="K273" s="36">
        <f>IFERROR(VLOOKUP(A273,[4]数据处理!$A:$E,5,0),0)</f>
        <v>0</v>
      </c>
      <c r="L273" s="36">
        <f>IFERROR(VLOOKUP(A273,[4]数据处理!$A:$G,7,0),0)</f>
        <v>0</v>
      </c>
      <c r="M273">
        <f t="shared" si="72"/>
        <v>11</v>
      </c>
      <c r="N273">
        <f>IFERROR(VLOOKUP(A273,[4]数据处理!$A:$C,3,0),0)</f>
        <v>0</v>
      </c>
      <c r="O273">
        <f>IFERROR(VLOOKUP($A273,[4]数据处理!$A:$N,14,0),0)</f>
        <v>11</v>
      </c>
      <c r="P273">
        <f>IFERROR(VLOOKUP($A273,[5]库存使用数据!$A:$B,2,0),"")</f>
        <v>250</v>
      </c>
      <c r="Q273">
        <f>IFERROR(VLOOKUP($A273,[5]库存使用数据!$A:$E,5,0),"")</f>
        <v>284</v>
      </c>
      <c r="R273">
        <f>IFERROR(VLOOKUP($A273,[5]库存使用数据!$A:$H,8,0),"")</f>
        <v>262</v>
      </c>
      <c r="S273">
        <f>IFERROR(VLOOKUP($A273,[5]库存使用数据!$A:$K,11,0),"")</f>
        <v>342</v>
      </c>
      <c r="T273">
        <f>IFERROR(VLOOKUP($A273,[5]库存使用数据!$A:$C,3,0),"")</f>
        <v>2</v>
      </c>
      <c r="U273">
        <f>IFERROR(VLOOKUP($A273,[5]库存使用数据!$A:$F,6,0),"")</f>
        <v>1</v>
      </c>
      <c r="V273">
        <f>IFERROR(VLOOKUP($A273,[5]库存使用数据!$A:$I,9,0),"")</f>
        <v>1</v>
      </c>
      <c r="W273">
        <f>IFERROR(VLOOKUP($A273,[5]库存使用数据!$A:$L,12,0),"")</f>
        <v>3</v>
      </c>
      <c r="X273" s="23">
        <f t="shared" si="77"/>
        <v>0.008</v>
      </c>
      <c r="Y273" s="23">
        <f t="shared" si="78"/>
        <v>0.00352112676056338</v>
      </c>
      <c r="Z273" s="23">
        <f t="shared" si="79"/>
        <v>0.00381679389312977</v>
      </c>
      <c r="AA273" s="23">
        <f t="shared" si="80"/>
        <v>0.0087719298245614</v>
      </c>
      <c r="AB273">
        <f>IFERROR(VLOOKUP($A273,[5]库存使用数据!$A:$D,4,0),"")</f>
        <v>0.75</v>
      </c>
      <c r="AC273">
        <f>IFERROR(VLOOKUP($A273,[5]库存使用数据!$A:$G,7,0),"")</f>
        <v>0.67</v>
      </c>
      <c r="AD273">
        <f>IFERROR(VLOOKUP($A273,[5]库存使用数据!$A:$J,10,0),"")</f>
        <v>0.35</v>
      </c>
      <c r="AE273">
        <f>IFERROR(VLOOKUP($A273,[5]库存使用数据!$A:$M,13,0),"")</f>
        <v>0.93</v>
      </c>
      <c r="AF273" s="23" t="str">
        <f t="shared" si="81"/>
        <v>无销量广告费为0.75</v>
      </c>
      <c r="AG273" s="23" t="str">
        <f t="shared" si="82"/>
        <v>无销量广告费为0.67</v>
      </c>
      <c r="AH273" s="23" t="str">
        <f t="shared" si="83"/>
        <v>无销量广告费为0.35</v>
      </c>
      <c r="AI273" s="23" t="str">
        <f t="shared" si="84"/>
        <v>无销量广告费为0.93</v>
      </c>
      <c r="AJ273">
        <f>IFERROR(VLOOKUP($B273,[1]库存报告使用数据!$A$1:$B$65536,2,0),0)</f>
        <v>0</v>
      </c>
      <c r="AK273">
        <f>IFERROR(VLOOKUP($B273,[1]库存报告使用数据!$A$1:$C$65536,3,0),0)</f>
        <v>2</v>
      </c>
      <c r="AL273">
        <f>IFERROR(VLOOKUP($B273,[1]库存报告使用数据!$A$1:$D$65536,4,0),0)</f>
        <v>2</v>
      </c>
      <c r="AM273">
        <f>IFERROR(VLOOKUP($B273,[1]库存报告使用数据!$A$1:$E$65536,5,0),0)</f>
        <v>1</v>
      </c>
      <c r="AN273" s="23" t="str">
        <f t="shared" si="85"/>
        <v/>
      </c>
      <c r="AO273" s="23">
        <f t="shared" si="86"/>
        <v>0</v>
      </c>
      <c r="AP273" s="23">
        <f t="shared" si="87"/>
        <v>0</v>
      </c>
      <c r="AQ273" s="23">
        <f t="shared" si="88"/>
        <v>0</v>
      </c>
      <c r="AR273" s="38">
        <f t="shared" si="73"/>
        <v>0</v>
      </c>
      <c r="AS273" s="38">
        <f t="shared" si="74"/>
        <v>0</v>
      </c>
      <c r="AT273" s="38">
        <f t="shared" si="75"/>
        <v>11</v>
      </c>
      <c r="AU273" s="33" t="str">
        <f t="shared" si="76"/>
        <v>库存为11</v>
      </c>
      <c r="AV273" s="39" t="str">
        <f>IFERROR(时间!$B$4+AU273,"上周无销量")</f>
        <v>上周无销量</v>
      </c>
    </row>
    <row r="274" spans="1:48">
      <c r="A274" s="35" t="s">
        <v>319</v>
      </c>
      <c r="B274" t="str">
        <f>VLOOKUP(A274,'[2]sku-asin（子）'!$A:$B,2,0)</f>
        <v>B074CXHT3T</v>
      </c>
      <c r="C274" t="str">
        <f>VLOOKUP(A274,'[2]子sku-父sku'!$A:$B,2,0)</f>
        <v>N9383Y</v>
      </c>
      <c r="D274" s="33">
        <f>IFERROR(VLOOKUP(A274,[3]库存报告使用数据处理!$A:$C,3,0),0)</f>
        <v>0</v>
      </c>
      <c r="E274" s="33">
        <f>IFERROR(VLOOKUP(A274,[3]库存报告使用数据处理!$A:$D,4,0),0)</f>
        <v>0</v>
      </c>
      <c r="F274" s="33">
        <f>IFERROR(VLOOKUP(A274,[3]库存报告使用数据处理!$A:$E,5,0),0)</f>
        <v>0</v>
      </c>
      <c r="G274" s="33">
        <f>IFERROR(VLOOKUP(A274,[3]库存报告使用数据处理!$A:$F,6,0),0)</f>
        <v>0</v>
      </c>
      <c r="H274" s="34">
        <f>IFERROR(VLOOKUP(A274,[3]库存报告使用数据处理!$A:$G,7,0),0)</f>
        <v>0</v>
      </c>
      <c r="I274">
        <f>IFERROR(VLOOKUP(A274,[4]数据处理!$A:$B,2,0),0)</f>
        <v>6</v>
      </c>
      <c r="J274" s="36">
        <f>IFERROR(VLOOKUP(A274,[4]数据处理!$A:$D,4,0),0)</f>
        <v>0</v>
      </c>
      <c r="K274" s="36">
        <f>IFERROR(VLOOKUP(A274,[4]数据处理!$A:$E,5,0),0)</f>
        <v>0</v>
      </c>
      <c r="L274" s="36">
        <f>IFERROR(VLOOKUP(A274,[4]数据处理!$A:$G,7,0),0)</f>
        <v>0</v>
      </c>
      <c r="M274">
        <f t="shared" si="72"/>
        <v>6</v>
      </c>
      <c r="N274">
        <f>IFERROR(VLOOKUP(A274,[4]数据处理!$A:$C,3,0),0)</f>
        <v>0</v>
      </c>
      <c r="O274">
        <f>IFERROR(VLOOKUP($A274,[4]数据处理!$A:$N,14,0),0)</f>
        <v>6</v>
      </c>
      <c r="P274">
        <f>IFERROR(VLOOKUP($A274,[5]库存使用数据!$A:$B,2,0),"")</f>
        <v>9</v>
      </c>
      <c r="Q274">
        <f>IFERROR(VLOOKUP($A274,[5]库存使用数据!$A:$E,5,0),"")</f>
        <v>11</v>
      </c>
      <c r="R274">
        <f>IFERROR(VLOOKUP($A274,[5]库存使用数据!$A:$H,8,0),"")</f>
        <v>9</v>
      </c>
      <c r="S274">
        <f>IFERROR(VLOOKUP($A274,[5]库存使用数据!$A:$K,11,0),"")</f>
        <v>8</v>
      </c>
      <c r="T274">
        <f>IFERROR(VLOOKUP($A274,[5]库存使用数据!$A:$C,3,0),"")</f>
        <v>0</v>
      </c>
      <c r="U274">
        <f>IFERROR(VLOOKUP($A274,[5]库存使用数据!$A:$F,6,0),"")</f>
        <v>0</v>
      </c>
      <c r="V274">
        <f>IFERROR(VLOOKUP($A274,[5]库存使用数据!$A:$I,9,0),"")</f>
        <v>0</v>
      </c>
      <c r="W274">
        <f>IFERROR(VLOOKUP($A274,[5]库存使用数据!$A:$L,12,0),"")</f>
        <v>0</v>
      </c>
      <c r="X274" s="23">
        <f t="shared" si="77"/>
        <v>0</v>
      </c>
      <c r="Y274" s="23">
        <f t="shared" si="78"/>
        <v>0</v>
      </c>
      <c r="Z274" s="23">
        <f t="shared" si="79"/>
        <v>0</v>
      </c>
      <c r="AA274" s="23">
        <f t="shared" si="80"/>
        <v>0</v>
      </c>
      <c r="AB274">
        <f>IFERROR(VLOOKUP($A274,[5]库存使用数据!$A:$D,4,0),"")</f>
        <v>0</v>
      </c>
      <c r="AC274">
        <f>IFERROR(VLOOKUP($A274,[5]库存使用数据!$A:$G,7,0),"")</f>
        <v>0</v>
      </c>
      <c r="AD274">
        <f>IFERROR(VLOOKUP($A274,[5]库存使用数据!$A:$J,10,0),"")</f>
        <v>0</v>
      </c>
      <c r="AE274">
        <f>IFERROR(VLOOKUP($A274,[5]库存使用数据!$A:$M,13,0),"")</f>
        <v>0</v>
      </c>
      <c r="AF274" s="23" t="str">
        <f t="shared" si="81"/>
        <v/>
      </c>
      <c r="AG274" s="23" t="str">
        <f t="shared" si="82"/>
        <v/>
      </c>
      <c r="AH274" s="23" t="str">
        <f t="shared" si="83"/>
        <v/>
      </c>
      <c r="AI274" s="23" t="str">
        <f t="shared" si="84"/>
        <v/>
      </c>
      <c r="AJ274">
        <f>IFERROR(VLOOKUP($B274,[1]库存报告使用数据!$A$1:$B$65536,2,0),0)</f>
        <v>1</v>
      </c>
      <c r="AK274">
        <f>IFERROR(VLOOKUP($B274,[1]库存报告使用数据!$A$1:$C$65536,3,0),0)</f>
        <v>4</v>
      </c>
      <c r="AL274">
        <f>IFERROR(VLOOKUP($B274,[1]库存报告使用数据!$A$1:$D$65536,4,0),0)</f>
        <v>1</v>
      </c>
      <c r="AM274">
        <f>IFERROR(VLOOKUP($B274,[1]库存报告使用数据!$A$1:$E$65536,5,0),0)</f>
        <v>0</v>
      </c>
      <c r="AN274" s="23">
        <f t="shared" si="85"/>
        <v>0</v>
      </c>
      <c r="AO274" s="23">
        <f t="shared" si="86"/>
        <v>0</v>
      </c>
      <c r="AP274" s="23">
        <f t="shared" si="87"/>
        <v>0</v>
      </c>
      <c r="AQ274" s="23" t="str">
        <f t="shared" si="88"/>
        <v/>
      </c>
      <c r="AR274" s="38">
        <f t="shared" si="73"/>
        <v>0</v>
      </c>
      <c r="AS274" s="38">
        <f t="shared" si="74"/>
        <v>0</v>
      </c>
      <c r="AT274" s="38">
        <f t="shared" si="75"/>
        <v>6</v>
      </c>
      <c r="AU274" s="33" t="str">
        <f t="shared" si="76"/>
        <v>库存为6</v>
      </c>
      <c r="AV274" s="39" t="str">
        <f>IFERROR(时间!$B$4+AU274,"上周无销量")</f>
        <v>上周无销量</v>
      </c>
    </row>
    <row r="275" spans="1:48">
      <c r="A275" s="35" t="s">
        <v>320</v>
      </c>
      <c r="B275" t="str">
        <f>VLOOKUP(A275,'[2]sku-asin（子）'!$A:$B,2,0)</f>
        <v>B074CWBNL1</v>
      </c>
      <c r="C275" t="str">
        <f>VLOOKUP(A275,'[2]子sku-父sku'!$A:$B,2,0)</f>
        <v>N9383Y</v>
      </c>
      <c r="D275" s="33">
        <f>IFERROR(VLOOKUP(A275,[3]库存报告使用数据处理!$A:$C,3,0),0)</f>
        <v>0</v>
      </c>
      <c r="E275" s="33">
        <f>IFERROR(VLOOKUP(A275,[3]库存报告使用数据处理!$A:$D,4,0),0)</f>
        <v>0</v>
      </c>
      <c r="F275" s="33">
        <f>IFERROR(VLOOKUP(A275,[3]库存报告使用数据处理!$A:$E,5,0),0)</f>
        <v>0</v>
      </c>
      <c r="G275" s="33">
        <f>IFERROR(VLOOKUP(A275,[3]库存报告使用数据处理!$A:$F,6,0),0)</f>
        <v>0</v>
      </c>
      <c r="H275" s="34">
        <f>IFERROR(VLOOKUP(A275,[3]库存报告使用数据处理!$A:$G,7,0),0)</f>
        <v>0</v>
      </c>
      <c r="I275">
        <f>IFERROR(VLOOKUP(A275,[4]数据处理!$A:$B,2,0),0)</f>
        <v>4</v>
      </c>
      <c r="J275" s="36">
        <f>IFERROR(VLOOKUP(A275,[4]数据处理!$A:$D,4,0),0)</f>
        <v>0</v>
      </c>
      <c r="K275" s="36">
        <f>IFERROR(VLOOKUP(A275,[4]数据处理!$A:$E,5,0),0)</f>
        <v>0</v>
      </c>
      <c r="L275" s="36">
        <f>IFERROR(VLOOKUP(A275,[4]数据处理!$A:$G,7,0),0)</f>
        <v>0</v>
      </c>
      <c r="M275">
        <f t="shared" si="72"/>
        <v>4</v>
      </c>
      <c r="N275">
        <f>IFERROR(VLOOKUP(A275,[4]数据处理!$A:$C,3,0),0)</f>
        <v>0</v>
      </c>
      <c r="O275">
        <f>IFERROR(VLOOKUP($A275,[4]数据处理!$A:$N,14,0),0)</f>
        <v>4</v>
      </c>
      <c r="P275">
        <f>IFERROR(VLOOKUP($A275,[5]库存使用数据!$A:$B,2,0),"")</f>
        <v>7</v>
      </c>
      <c r="Q275">
        <f>IFERROR(VLOOKUP($A275,[5]库存使用数据!$A:$E,5,0),"")</f>
        <v>2</v>
      </c>
      <c r="R275">
        <f>IFERROR(VLOOKUP($A275,[5]库存使用数据!$A:$H,8,0),"")</f>
        <v>1</v>
      </c>
      <c r="S275">
        <f>IFERROR(VLOOKUP($A275,[5]库存使用数据!$A:$K,11,0),"")</f>
        <v>1</v>
      </c>
      <c r="T275">
        <f>IFERROR(VLOOKUP($A275,[5]库存使用数据!$A:$C,3,0),"")</f>
        <v>0</v>
      </c>
      <c r="U275">
        <f>IFERROR(VLOOKUP($A275,[5]库存使用数据!$A:$F,6,0),"")</f>
        <v>0</v>
      </c>
      <c r="V275">
        <f>IFERROR(VLOOKUP($A275,[5]库存使用数据!$A:$I,9,0),"")</f>
        <v>0</v>
      </c>
      <c r="W275">
        <f>IFERROR(VLOOKUP($A275,[5]库存使用数据!$A:$L,12,0),"")</f>
        <v>0</v>
      </c>
      <c r="X275" s="23">
        <f t="shared" si="77"/>
        <v>0</v>
      </c>
      <c r="Y275" s="23">
        <f t="shared" si="78"/>
        <v>0</v>
      </c>
      <c r="Z275" s="23">
        <f t="shared" si="79"/>
        <v>0</v>
      </c>
      <c r="AA275" s="23">
        <f t="shared" si="80"/>
        <v>0</v>
      </c>
      <c r="AB275">
        <f>IFERROR(VLOOKUP($A275,[5]库存使用数据!$A:$D,4,0),"")</f>
        <v>0</v>
      </c>
      <c r="AC275">
        <f>IFERROR(VLOOKUP($A275,[5]库存使用数据!$A:$G,7,0),"")</f>
        <v>0</v>
      </c>
      <c r="AD275">
        <f>IFERROR(VLOOKUP($A275,[5]库存使用数据!$A:$J,10,0),"")</f>
        <v>0</v>
      </c>
      <c r="AE275">
        <f>IFERROR(VLOOKUP($A275,[5]库存使用数据!$A:$M,13,0),"")</f>
        <v>0</v>
      </c>
      <c r="AF275" s="23" t="str">
        <f t="shared" si="81"/>
        <v/>
      </c>
      <c r="AG275" s="23" t="str">
        <f t="shared" si="82"/>
        <v/>
      </c>
      <c r="AH275" s="23" t="str">
        <f t="shared" si="83"/>
        <v/>
      </c>
      <c r="AI275" s="23" t="str">
        <f t="shared" si="84"/>
        <v/>
      </c>
      <c r="AJ275">
        <f>IFERROR(VLOOKUP($B275,[1]库存报告使用数据!$A$1:$B$65536,2,0),0)</f>
        <v>1</v>
      </c>
      <c r="AK275">
        <f>IFERROR(VLOOKUP($B275,[1]库存报告使用数据!$A$1:$C$65536,3,0),0)</f>
        <v>4</v>
      </c>
      <c r="AL275">
        <f>IFERROR(VLOOKUP($B275,[1]库存报告使用数据!$A$1:$D$65536,4,0),0)</f>
        <v>0</v>
      </c>
      <c r="AM275">
        <f>IFERROR(VLOOKUP($B275,[1]库存报告使用数据!$A$1:$E$65536,5,0),0)</f>
        <v>1</v>
      </c>
      <c r="AN275" s="23">
        <f t="shared" si="85"/>
        <v>0</v>
      </c>
      <c r="AO275" s="23">
        <f t="shared" si="86"/>
        <v>0</v>
      </c>
      <c r="AP275" s="23" t="str">
        <f t="shared" si="87"/>
        <v/>
      </c>
      <c r="AQ275" s="23">
        <f t="shared" si="88"/>
        <v>0</v>
      </c>
      <c r="AR275" s="38">
        <f t="shared" si="73"/>
        <v>0</v>
      </c>
      <c r="AS275" s="38">
        <f t="shared" si="74"/>
        <v>0</v>
      </c>
      <c r="AT275" s="38">
        <f t="shared" si="75"/>
        <v>4</v>
      </c>
      <c r="AU275" s="33" t="str">
        <f t="shared" si="76"/>
        <v>库存为4</v>
      </c>
      <c r="AV275" s="39" t="str">
        <f>IFERROR(时间!$B$4+AU275,"上周无销量")</f>
        <v>上周无销量</v>
      </c>
    </row>
    <row r="276" spans="1:48">
      <c r="A276" s="35" t="s">
        <v>321</v>
      </c>
      <c r="B276" t="str">
        <f>VLOOKUP(A276,'[2]sku-asin（子）'!$A:$B,2,0)</f>
        <v>B074CX95R8</v>
      </c>
      <c r="C276" t="str">
        <f>VLOOKUP(A276,'[2]子sku-父sku'!$A:$B,2,0)</f>
        <v>N9383Y</v>
      </c>
      <c r="D276" s="33">
        <f>IFERROR(VLOOKUP(A276,[3]库存报告使用数据处理!$A:$C,3,0),0)</f>
        <v>0</v>
      </c>
      <c r="E276" s="33">
        <f>IFERROR(VLOOKUP(A276,[3]库存报告使用数据处理!$A:$D,4,0),0)</f>
        <v>0</v>
      </c>
      <c r="F276" s="33">
        <f>IFERROR(VLOOKUP(A276,[3]库存报告使用数据处理!$A:$E,5,0),0)</f>
        <v>0</v>
      </c>
      <c r="G276" s="33">
        <f>IFERROR(VLOOKUP(A276,[3]库存报告使用数据处理!$A:$F,6,0),0)</f>
        <v>0</v>
      </c>
      <c r="H276" s="34">
        <f>IFERROR(VLOOKUP(A276,[3]库存报告使用数据处理!$A:$G,7,0),0)</f>
        <v>0</v>
      </c>
      <c r="I276">
        <f>IFERROR(VLOOKUP(A276,[4]数据处理!$A:$B,2,0),0)</f>
        <v>22</v>
      </c>
      <c r="J276" s="36">
        <f>IFERROR(VLOOKUP(A276,[4]数据处理!$A:$D,4,0),0)</f>
        <v>0</v>
      </c>
      <c r="K276" s="36">
        <f>IFERROR(VLOOKUP(A276,[4]数据处理!$A:$E,5,0),0)</f>
        <v>0</v>
      </c>
      <c r="L276" s="36">
        <f>IFERROR(VLOOKUP(A276,[4]数据处理!$A:$G,7,0),0)</f>
        <v>0</v>
      </c>
      <c r="M276">
        <f t="shared" si="72"/>
        <v>22</v>
      </c>
      <c r="N276">
        <f>IFERROR(VLOOKUP(A276,[4]数据处理!$A:$C,3,0),0)</f>
        <v>0</v>
      </c>
      <c r="O276">
        <f>IFERROR(VLOOKUP($A276,[4]数据处理!$A:$N,14,0),0)</f>
        <v>22</v>
      </c>
      <c r="P276">
        <f>IFERROR(VLOOKUP($A276,[5]库存使用数据!$A:$B,2,0),"")</f>
        <v>41</v>
      </c>
      <c r="Q276">
        <f>IFERROR(VLOOKUP($A276,[5]库存使用数据!$A:$E,5,0),"")</f>
        <v>43</v>
      </c>
      <c r="R276">
        <f>IFERROR(VLOOKUP($A276,[5]库存使用数据!$A:$H,8,0),"")</f>
        <v>11</v>
      </c>
      <c r="S276">
        <f>IFERROR(VLOOKUP($A276,[5]库存使用数据!$A:$K,11,0),"")</f>
        <v>13</v>
      </c>
      <c r="T276">
        <f>IFERROR(VLOOKUP($A276,[5]库存使用数据!$A:$C,3,0),"")</f>
        <v>1</v>
      </c>
      <c r="U276">
        <f>IFERROR(VLOOKUP($A276,[5]库存使用数据!$A:$F,6,0),"")</f>
        <v>1</v>
      </c>
      <c r="V276">
        <f>IFERROR(VLOOKUP($A276,[5]库存使用数据!$A:$I,9,0),"")</f>
        <v>0</v>
      </c>
      <c r="W276">
        <f>IFERROR(VLOOKUP($A276,[5]库存使用数据!$A:$L,12,0),"")</f>
        <v>1</v>
      </c>
      <c r="X276" s="23">
        <f t="shared" si="77"/>
        <v>0.024390243902439</v>
      </c>
      <c r="Y276" s="23">
        <f t="shared" si="78"/>
        <v>0.0232558139534884</v>
      </c>
      <c r="Z276" s="23">
        <f t="shared" si="79"/>
        <v>0</v>
      </c>
      <c r="AA276" s="23">
        <f t="shared" si="80"/>
        <v>0.0769230769230769</v>
      </c>
      <c r="AB276">
        <f>IFERROR(VLOOKUP($A276,[5]库存使用数据!$A:$D,4,0),"")</f>
        <v>0.42</v>
      </c>
      <c r="AC276">
        <f>IFERROR(VLOOKUP($A276,[5]库存使用数据!$A:$G,7,0),"")</f>
        <v>0.8</v>
      </c>
      <c r="AD276">
        <f>IFERROR(VLOOKUP($A276,[5]库存使用数据!$A:$J,10,0),"")</f>
        <v>0</v>
      </c>
      <c r="AE276">
        <f>IFERROR(VLOOKUP($A276,[5]库存使用数据!$A:$M,13,0),"")</f>
        <v>0.68</v>
      </c>
      <c r="AF276" s="23" t="str">
        <f t="shared" si="81"/>
        <v>无销量广告费为0.42</v>
      </c>
      <c r="AG276" s="23" t="str">
        <f t="shared" si="82"/>
        <v>无销量广告费为0.8</v>
      </c>
      <c r="AH276" s="23" t="str">
        <f t="shared" si="83"/>
        <v/>
      </c>
      <c r="AI276" s="23" t="str">
        <f t="shared" si="84"/>
        <v>无销量广告费为0.68</v>
      </c>
      <c r="AJ276">
        <f>IFERROR(VLOOKUP($B276,[1]库存报告使用数据!$A$1:$B$65536,2,0),0)</f>
        <v>0</v>
      </c>
      <c r="AK276">
        <f>IFERROR(VLOOKUP($B276,[1]库存报告使用数据!$A$1:$C$65536,3,0),0)</f>
        <v>3</v>
      </c>
      <c r="AL276">
        <f>IFERROR(VLOOKUP($B276,[1]库存报告使用数据!$A$1:$D$65536,4,0),0)</f>
        <v>1</v>
      </c>
      <c r="AM276">
        <f>IFERROR(VLOOKUP($B276,[1]库存报告使用数据!$A$1:$E$65536,5,0),0)</f>
        <v>0</v>
      </c>
      <c r="AN276" s="23" t="str">
        <f t="shared" si="85"/>
        <v/>
      </c>
      <c r="AO276" s="23">
        <f t="shared" si="86"/>
        <v>0</v>
      </c>
      <c r="AP276" s="23">
        <f t="shared" si="87"/>
        <v>0</v>
      </c>
      <c r="AQ276" s="23" t="str">
        <f t="shared" si="88"/>
        <v/>
      </c>
      <c r="AR276" s="38">
        <f t="shared" si="73"/>
        <v>0</v>
      </c>
      <c r="AS276" s="38">
        <f t="shared" si="74"/>
        <v>0</v>
      </c>
      <c r="AT276" s="38">
        <f t="shared" si="75"/>
        <v>22</v>
      </c>
      <c r="AU276" s="33" t="str">
        <f t="shared" si="76"/>
        <v>库存为22</v>
      </c>
      <c r="AV276" s="39" t="str">
        <f>IFERROR(时间!$B$4+AU276,"上周无销量")</f>
        <v>上周无销量</v>
      </c>
    </row>
    <row r="277" spans="1:48">
      <c r="A277" s="35" t="s">
        <v>322</v>
      </c>
      <c r="B277" t="str">
        <f>VLOOKUP(A277,'[2]sku-asin（子）'!$A:$B,2,0)</f>
        <v>B074CWZG9L</v>
      </c>
      <c r="C277" t="str">
        <f>VLOOKUP(A277,'[2]子sku-父sku'!$A:$B,2,0)</f>
        <v>N9383Y</v>
      </c>
      <c r="D277" s="33">
        <f>IFERROR(VLOOKUP(A277,[3]库存报告使用数据处理!$A:$C,3,0),0)</f>
        <v>0</v>
      </c>
      <c r="E277" s="33">
        <f>IFERROR(VLOOKUP(A277,[3]库存报告使用数据处理!$A:$D,4,0),0)</f>
        <v>0</v>
      </c>
      <c r="F277" s="33">
        <f>IFERROR(VLOOKUP(A277,[3]库存报告使用数据处理!$A:$E,5,0),0)</f>
        <v>0</v>
      </c>
      <c r="G277" s="33">
        <f>IFERROR(VLOOKUP(A277,[3]库存报告使用数据处理!$A:$F,6,0),0)</f>
        <v>0</v>
      </c>
      <c r="H277" s="34">
        <f>IFERROR(VLOOKUP(A277,[3]库存报告使用数据处理!$A:$G,7,0),0)</f>
        <v>0</v>
      </c>
      <c r="I277">
        <f>IFERROR(VLOOKUP(A277,[4]数据处理!$A:$B,2,0),0)</f>
        <v>12</v>
      </c>
      <c r="J277" s="36">
        <f>IFERROR(VLOOKUP(A277,[4]数据处理!$A:$D,4,0),0)</f>
        <v>0</v>
      </c>
      <c r="K277" s="36">
        <f>IFERROR(VLOOKUP(A277,[4]数据处理!$A:$E,5,0),0)</f>
        <v>0</v>
      </c>
      <c r="L277" s="36">
        <f>IFERROR(VLOOKUP(A277,[4]数据处理!$A:$G,7,0),0)</f>
        <v>0</v>
      </c>
      <c r="M277">
        <f t="shared" si="72"/>
        <v>12</v>
      </c>
      <c r="N277">
        <f>IFERROR(VLOOKUP(A277,[4]数据处理!$A:$C,3,0),0)</f>
        <v>0</v>
      </c>
      <c r="O277">
        <f>IFERROR(VLOOKUP($A277,[4]数据处理!$A:$N,14,0),0)</f>
        <v>12</v>
      </c>
      <c r="P277">
        <f>IFERROR(VLOOKUP($A277,[5]库存使用数据!$A:$B,2,0),"")</f>
        <v>9</v>
      </c>
      <c r="Q277">
        <f>IFERROR(VLOOKUP($A277,[5]库存使用数据!$A:$E,5,0),"")</f>
        <v>10</v>
      </c>
      <c r="R277">
        <f>IFERROR(VLOOKUP($A277,[5]库存使用数据!$A:$H,8,0),"")</f>
        <v>13</v>
      </c>
      <c r="S277">
        <f>IFERROR(VLOOKUP($A277,[5]库存使用数据!$A:$K,11,0),"")</f>
        <v>22</v>
      </c>
      <c r="T277">
        <f>IFERROR(VLOOKUP($A277,[5]库存使用数据!$A:$C,3,0),"")</f>
        <v>0</v>
      </c>
      <c r="U277">
        <f>IFERROR(VLOOKUP($A277,[5]库存使用数据!$A:$F,6,0),"")</f>
        <v>0</v>
      </c>
      <c r="V277">
        <f>IFERROR(VLOOKUP($A277,[5]库存使用数据!$A:$I,9,0),"")</f>
        <v>0</v>
      </c>
      <c r="W277">
        <f>IFERROR(VLOOKUP($A277,[5]库存使用数据!$A:$L,12,0),"")</f>
        <v>0</v>
      </c>
      <c r="X277" s="23">
        <f t="shared" si="77"/>
        <v>0</v>
      </c>
      <c r="Y277" s="23">
        <f t="shared" si="78"/>
        <v>0</v>
      </c>
      <c r="Z277" s="23">
        <f t="shared" si="79"/>
        <v>0</v>
      </c>
      <c r="AA277" s="23">
        <f t="shared" si="80"/>
        <v>0</v>
      </c>
      <c r="AB277">
        <f>IFERROR(VLOOKUP($A277,[5]库存使用数据!$A:$D,4,0),"")</f>
        <v>0</v>
      </c>
      <c r="AC277">
        <f>IFERROR(VLOOKUP($A277,[5]库存使用数据!$A:$G,7,0),"")</f>
        <v>0</v>
      </c>
      <c r="AD277">
        <f>IFERROR(VLOOKUP($A277,[5]库存使用数据!$A:$J,10,0),"")</f>
        <v>0</v>
      </c>
      <c r="AE277">
        <f>IFERROR(VLOOKUP($A277,[5]库存使用数据!$A:$M,13,0),"")</f>
        <v>0</v>
      </c>
      <c r="AF277" s="23" t="str">
        <f t="shared" si="81"/>
        <v/>
      </c>
      <c r="AG277" s="23" t="str">
        <f t="shared" si="82"/>
        <v/>
      </c>
      <c r="AH277" s="23" t="str">
        <f t="shared" si="83"/>
        <v/>
      </c>
      <c r="AI277" s="23" t="str">
        <f t="shared" si="84"/>
        <v/>
      </c>
      <c r="AJ277">
        <f>IFERROR(VLOOKUP($B277,[1]库存报告使用数据!$A$1:$B$65536,2,0),0)</f>
        <v>1</v>
      </c>
      <c r="AK277">
        <f>IFERROR(VLOOKUP($B277,[1]库存报告使用数据!$A$1:$C$65536,3,0),0)</f>
        <v>1</v>
      </c>
      <c r="AL277">
        <f>IFERROR(VLOOKUP($B277,[1]库存报告使用数据!$A$1:$D$65536,4,0),0)</f>
        <v>3</v>
      </c>
      <c r="AM277">
        <f>IFERROR(VLOOKUP($B277,[1]库存报告使用数据!$A$1:$E$65536,5,0),0)</f>
        <v>0</v>
      </c>
      <c r="AN277" s="23">
        <f t="shared" si="85"/>
        <v>0</v>
      </c>
      <c r="AO277" s="23">
        <f t="shared" si="86"/>
        <v>0</v>
      </c>
      <c r="AP277" s="23">
        <f t="shared" si="87"/>
        <v>0</v>
      </c>
      <c r="AQ277" s="23" t="str">
        <f t="shared" si="88"/>
        <v/>
      </c>
      <c r="AR277" s="38">
        <f t="shared" si="73"/>
        <v>0</v>
      </c>
      <c r="AS277" s="38">
        <f t="shared" si="74"/>
        <v>0</v>
      </c>
      <c r="AT277" s="38">
        <f t="shared" si="75"/>
        <v>12</v>
      </c>
      <c r="AU277" s="33" t="str">
        <f t="shared" si="76"/>
        <v>库存为12</v>
      </c>
      <c r="AV277" s="39" t="str">
        <f>IFERROR(时间!$B$4+AU277,"上周无销量")</f>
        <v>上周无销量</v>
      </c>
    </row>
    <row r="278" spans="1:48">
      <c r="A278" s="35" t="s">
        <v>323</v>
      </c>
      <c r="B278" t="str">
        <f>VLOOKUP(A278,'[2]sku-asin（子）'!$A:$B,2,0)</f>
        <v>B074CXDX58</v>
      </c>
      <c r="C278" t="str">
        <f>VLOOKUP(A278,'[2]子sku-父sku'!$A:$B,2,0)</f>
        <v>N9383Y</v>
      </c>
      <c r="D278" s="33">
        <f>IFERROR(VLOOKUP(A278,[3]库存报告使用数据处理!$A:$C,3,0),0)</f>
        <v>0</v>
      </c>
      <c r="E278" s="33">
        <f>IFERROR(VLOOKUP(A278,[3]库存报告使用数据处理!$A:$D,4,0),0)</f>
        <v>0</v>
      </c>
      <c r="F278" s="33">
        <f>IFERROR(VLOOKUP(A278,[3]库存报告使用数据处理!$A:$E,5,0),0)</f>
        <v>0</v>
      </c>
      <c r="G278" s="33">
        <f>IFERROR(VLOOKUP(A278,[3]库存报告使用数据处理!$A:$F,6,0),0)</f>
        <v>0</v>
      </c>
      <c r="H278" s="34">
        <f>IFERROR(VLOOKUP(A278,[3]库存报告使用数据处理!$A:$G,7,0),0)</f>
        <v>0</v>
      </c>
      <c r="I278">
        <f>IFERROR(VLOOKUP(A278,[4]数据处理!$A:$B,2,0),0)</f>
        <v>0</v>
      </c>
      <c r="J278" s="36">
        <f>IFERROR(VLOOKUP(A278,[4]数据处理!$A:$D,4,0),0)</f>
        <v>0</v>
      </c>
      <c r="K278" s="36">
        <f>IFERROR(VLOOKUP(A278,[4]数据处理!$A:$E,5,0),0)</f>
        <v>0</v>
      </c>
      <c r="L278" s="36">
        <f>IFERROR(VLOOKUP(A278,[4]数据处理!$A:$G,7,0),0)</f>
        <v>0</v>
      </c>
      <c r="M278">
        <f t="shared" si="72"/>
        <v>0</v>
      </c>
      <c r="N278">
        <f>IFERROR(VLOOKUP(A278,[4]数据处理!$A:$C,3,0),0)</f>
        <v>0</v>
      </c>
      <c r="O278">
        <f>IFERROR(VLOOKUP($A278,[4]数据处理!$A:$N,14,0),0)</f>
        <v>0</v>
      </c>
      <c r="P278" t="str">
        <f>IFERROR(VLOOKUP($A278,[5]库存使用数据!$A:$B,2,0),"")</f>
        <v/>
      </c>
      <c r="Q278" t="str">
        <f>IFERROR(VLOOKUP($A278,[5]库存使用数据!$A:$E,5,0),"")</f>
        <v/>
      </c>
      <c r="R278" t="str">
        <f>IFERROR(VLOOKUP($A278,[5]库存使用数据!$A:$H,8,0),"")</f>
        <v/>
      </c>
      <c r="S278" t="str">
        <f>IFERROR(VLOOKUP($A278,[5]库存使用数据!$A:$K,11,0),"")</f>
        <v/>
      </c>
      <c r="T278" t="str">
        <f>IFERROR(VLOOKUP($A278,[5]库存使用数据!$A:$C,3,0),"")</f>
        <v/>
      </c>
      <c r="U278" t="str">
        <f>IFERROR(VLOOKUP($A278,[5]库存使用数据!$A:$F,6,0),"")</f>
        <v/>
      </c>
      <c r="V278" t="str">
        <f>IFERROR(VLOOKUP($A278,[5]库存使用数据!$A:$I,9,0),"")</f>
        <v/>
      </c>
      <c r="W278" t="str">
        <f>IFERROR(VLOOKUP($A278,[5]库存使用数据!$A:$L,12,0),"")</f>
        <v/>
      </c>
      <c r="X278" s="23" t="str">
        <f t="shared" si="77"/>
        <v/>
      </c>
      <c r="Y278" s="23" t="str">
        <f t="shared" si="78"/>
        <v/>
      </c>
      <c r="Z278" s="23" t="str">
        <f t="shared" si="79"/>
        <v/>
      </c>
      <c r="AA278" s="23" t="str">
        <f t="shared" si="80"/>
        <v/>
      </c>
      <c r="AB278" t="str">
        <f>IFERROR(VLOOKUP($A278,[5]库存使用数据!$A:$D,4,0),"")</f>
        <v/>
      </c>
      <c r="AC278" t="str">
        <f>IFERROR(VLOOKUP($A278,[5]库存使用数据!$A:$G,7,0),"")</f>
        <v/>
      </c>
      <c r="AD278" t="str">
        <f>IFERROR(VLOOKUP($A278,[5]库存使用数据!$A:$J,10,0),"")</f>
        <v/>
      </c>
      <c r="AE278" t="str">
        <f>IFERROR(VLOOKUP($A278,[5]库存使用数据!$A:$M,13,0),"")</f>
        <v/>
      </c>
      <c r="AF278" s="23" t="str">
        <f t="shared" si="81"/>
        <v/>
      </c>
      <c r="AG278" s="23" t="str">
        <f t="shared" si="82"/>
        <v/>
      </c>
      <c r="AH278" s="23" t="str">
        <f t="shared" si="83"/>
        <v/>
      </c>
      <c r="AI278" s="23" t="str">
        <f t="shared" si="84"/>
        <v/>
      </c>
      <c r="AJ278">
        <f>IFERROR(VLOOKUP($B278,[1]库存报告使用数据!$A$1:$B$65536,2,0),0)</f>
        <v>0</v>
      </c>
      <c r="AK278">
        <f>IFERROR(VLOOKUP($B278,[1]库存报告使用数据!$A$1:$C$65536,3,0),0)</f>
        <v>0</v>
      </c>
      <c r="AL278">
        <f>IFERROR(VLOOKUP($B278,[1]库存报告使用数据!$A$1:$D$65536,4,0),0)</f>
        <v>0</v>
      </c>
      <c r="AM278">
        <f>IFERROR(VLOOKUP($B278,[1]库存报告使用数据!$A$1:$E$65536,5,0),0)</f>
        <v>0</v>
      </c>
      <c r="AN278" s="23" t="str">
        <f t="shared" si="85"/>
        <v/>
      </c>
      <c r="AO278" s="23" t="str">
        <f t="shared" si="86"/>
        <v/>
      </c>
      <c r="AP278" s="23" t="str">
        <f t="shared" si="87"/>
        <v/>
      </c>
      <c r="AQ278" s="23" t="str">
        <f t="shared" si="88"/>
        <v/>
      </c>
      <c r="AR278" s="38">
        <f t="shared" si="73"/>
        <v>0</v>
      </c>
      <c r="AS278" s="38">
        <f t="shared" si="74"/>
        <v>0</v>
      </c>
      <c r="AT278" s="38">
        <f t="shared" si="75"/>
        <v>0</v>
      </c>
      <c r="AU278" s="33" t="str">
        <f t="shared" si="76"/>
        <v>库存为0</v>
      </c>
      <c r="AV278" s="39" t="str">
        <f>IFERROR(时间!$B$4+AU278,"上周无销量")</f>
        <v>上周无销量</v>
      </c>
    </row>
    <row r="279" spans="1:48">
      <c r="A279" s="35" t="s">
        <v>324</v>
      </c>
      <c r="B279" t="str">
        <f>VLOOKUP(A279,'[2]sku-asin（子）'!$A:$B,2,0)</f>
        <v>B074CWJNRX</v>
      </c>
      <c r="C279" t="str">
        <f>VLOOKUP(A279,'[2]子sku-父sku'!$A:$B,2,0)</f>
        <v>N9383Y</v>
      </c>
      <c r="D279" s="33">
        <f>IFERROR(VLOOKUP(A279,[3]库存报告使用数据处理!$A:$C,3,0),0)</f>
        <v>0</v>
      </c>
      <c r="E279" s="33">
        <f>IFERROR(VLOOKUP(A279,[3]库存报告使用数据处理!$A:$D,4,0),0)</f>
        <v>0</v>
      </c>
      <c r="F279" s="33">
        <f>IFERROR(VLOOKUP(A279,[3]库存报告使用数据处理!$A:$E,5,0),0)</f>
        <v>0</v>
      </c>
      <c r="G279" s="33">
        <f>IFERROR(VLOOKUP(A279,[3]库存报告使用数据处理!$A:$F,6,0),0)</f>
        <v>0</v>
      </c>
      <c r="H279" s="34">
        <f>IFERROR(VLOOKUP(A279,[3]库存报告使用数据处理!$A:$G,7,0),0)</f>
        <v>0</v>
      </c>
      <c r="I279">
        <f>IFERROR(VLOOKUP(A279,[4]数据处理!$A:$B,2,0),0)</f>
        <v>18</v>
      </c>
      <c r="J279" s="36">
        <f>IFERROR(VLOOKUP(A279,[4]数据处理!$A:$D,4,0),0)</f>
        <v>0</v>
      </c>
      <c r="K279" s="36">
        <f>IFERROR(VLOOKUP(A279,[4]数据处理!$A:$E,5,0),0)</f>
        <v>0</v>
      </c>
      <c r="L279" s="36">
        <f>IFERROR(VLOOKUP(A279,[4]数据处理!$A:$G,7,0),0)</f>
        <v>0</v>
      </c>
      <c r="M279">
        <f t="shared" si="72"/>
        <v>18</v>
      </c>
      <c r="N279">
        <f>IFERROR(VLOOKUP(A279,[4]数据处理!$A:$C,3,0),0)</f>
        <v>0</v>
      </c>
      <c r="O279">
        <f>IFERROR(VLOOKUP($A279,[4]数据处理!$A:$N,14,0),0)</f>
        <v>18</v>
      </c>
      <c r="P279">
        <f>IFERROR(VLOOKUP($A279,[5]库存使用数据!$A:$B,2,0),"")</f>
        <v>53</v>
      </c>
      <c r="Q279">
        <f>IFERROR(VLOOKUP($A279,[5]库存使用数据!$A:$E,5,0),"")</f>
        <v>76</v>
      </c>
      <c r="R279">
        <f>IFERROR(VLOOKUP($A279,[5]库存使用数据!$A:$H,8,0),"")</f>
        <v>107</v>
      </c>
      <c r="S279">
        <f>IFERROR(VLOOKUP($A279,[5]库存使用数据!$A:$K,11,0),"")</f>
        <v>110</v>
      </c>
      <c r="T279">
        <f>IFERROR(VLOOKUP($A279,[5]库存使用数据!$A:$C,3,0),"")</f>
        <v>0</v>
      </c>
      <c r="U279">
        <f>IFERROR(VLOOKUP($A279,[5]库存使用数据!$A:$F,6,0),"")</f>
        <v>1</v>
      </c>
      <c r="V279">
        <f>IFERROR(VLOOKUP($A279,[5]库存使用数据!$A:$I,9,0),"")</f>
        <v>0</v>
      </c>
      <c r="W279">
        <f>IFERROR(VLOOKUP($A279,[5]库存使用数据!$A:$L,12,0),"")</f>
        <v>0</v>
      </c>
      <c r="X279" s="23">
        <f t="shared" si="77"/>
        <v>0</v>
      </c>
      <c r="Y279" s="23">
        <f t="shared" si="78"/>
        <v>0.0131578947368421</v>
      </c>
      <c r="Z279" s="23">
        <f t="shared" si="79"/>
        <v>0</v>
      </c>
      <c r="AA279" s="23">
        <f t="shared" si="80"/>
        <v>0</v>
      </c>
      <c r="AB279">
        <f>IFERROR(VLOOKUP($A279,[5]库存使用数据!$A:$D,4,0),"")</f>
        <v>0</v>
      </c>
      <c r="AC279">
        <f>IFERROR(VLOOKUP($A279,[5]库存使用数据!$A:$G,7,0),"")</f>
        <v>0.51</v>
      </c>
      <c r="AD279">
        <f>IFERROR(VLOOKUP($A279,[5]库存使用数据!$A:$J,10,0),"")</f>
        <v>0</v>
      </c>
      <c r="AE279">
        <f>IFERROR(VLOOKUP($A279,[5]库存使用数据!$A:$M,13,0),"")</f>
        <v>0</v>
      </c>
      <c r="AF279" s="23" t="str">
        <f t="shared" si="81"/>
        <v/>
      </c>
      <c r="AG279" s="23" t="str">
        <f t="shared" si="82"/>
        <v>无销量广告费为0.51</v>
      </c>
      <c r="AH279" s="23" t="str">
        <f t="shared" si="83"/>
        <v/>
      </c>
      <c r="AI279" s="23" t="str">
        <f t="shared" si="84"/>
        <v/>
      </c>
      <c r="AJ279">
        <f>IFERROR(VLOOKUP($B279,[1]库存报告使用数据!$A$1:$B$65536,2,0),0)</f>
        <v>2</v>
      </c>
      <c r="AK279">
        <f>IFERROR(VLOOKUP($B279,[1]库存报告使用数据!$A$1:$C$65536,3,0),0)</f>
        <v>4</v>
      </c>
      <c r="AL279">
        <f>IFERROR(VLOOKUP($B279,[1]库存报告使用数据!$A$1:$D$65536,4,0),0)</f>
        <v>1</v>
      </c>
      <c r="AM279">
        <f>IFERROR(VLOOKUP($B279,[1]库存报告使用数据!$A$1:$E$65536,5,0),0)</f>
        <v>1</v>
      </c>
      <c r="AN279" s="23">
        <f t="shared" si="85"/>
        <v>0</v>
      </c>
      <c r="AO279" s="23">
        <f t="shared" si="86"/>
        <v>0</v>
      </c>
      <c r="AP279" s="23">
        <f t="shared" si="87"/>
        <v>0</v>
      </c>
      <c r="AQ279" s="23">
        <f t="shared" si="88"/>
        <v>0</v>
      </c>
      <c r="AR279" s="38">
        <f t="shared" si="73"/>
        <v>0</v>
      </c>
      <c r="AS279" s="38">
        <f t="shared" si="74"/>
        <v>0</v>
      </c>
      <c r="AT279" s="38">
        <f t="shared" si="75"/>
        <v>18</v>
      </c>
      <c r="AU279" s="33" t="str">
        <f t="shared" si="76"/>
        <v>库存为18</v>
      </c>
      <c r="AV279" s="39" t="str">
        <f>IFERROR(时间!$B$4+AU279,"上周无销量")</f>
        <v>上周无销量</v>
      </c>
    </row>
    <row r="280" spans="1:48">
      <c r="A280" s="35" t="s">
        <v>325</v>
      </c>
      <c r="B280" t="str">
        <f>VLOOKUP(A280,'[2]sku-asin（子）'!$A:$B,2,0)</f>
        <v>B074CWSDCG</v>
      </c>
      <c r="C280" t="str">
        <f>VLOOKUP(A280,'[2]子sku-父sku'!$A:$B,2,0)</f>
        <v>N9383Y</v>
      </c>
      <c r="D280" s="33">
        <f>IFERROR(VLOOKUP(A280,[3]库存报告使用数据处理!$A:$C,3,0),0)</f>
        <v>0</v>
      </c>
      <c r="E280" s="33">
        <f>IFERROR(VLOOKUP(A280,[3]库存报告使用数据处理!$A:$D,4,0),0)</f>
        <v>0</v>
      </c>
      <c r="F280" s="33">
        <f>IFERROR(VLOOKUP(A280,[3]库存报告使用数据处理!$A:$E,5,0),0)</f>
        <v>0</v>
      </c>
      <c r="G280" s="33">
        <f>IFERROR(VLOOKUP(A280,[3]库存报告使用数据处理!$A:$F,6,0),0)</f>
        <v>0</v>
      </c>
      <c r="H280" s="34">
        <f>IFERROR(VLOOKUP(A280,[3]库存报告使用数据处理!$A:$G,7,0),0)</f>
        <v>0</v>
      </c>
      <c r="I280">
        <f>IFERROR(VLOOKUP(A280,[4]数据处理!$A:$B,2,0),0)</f>
        <v>5</v>
      </c>
      <c r="J280" s="36">
        <f>IFERROR(VLOOKUP(A280,[4]数据处理!$A:$D,4,0),0)</f>
        <v>0</v>
      </c>
      <c r="K280" s="36">
        <f>IFERROR(VLOOKUP(A280,[4]数据处理!$A:$E,5,0),0)</f>
        <v>0</v>
      </c>
      <c r="L280" s="36">
        <f>IFERROR(VLOOKUP(A280,[4]数据处理!$A:$G,7,0),0)</f>
        <v>0</v>
      </c>
      <c r="M280">
        <f t="shared" si="72"/>
        <v>5</v>
      </c>
      <c r="N280">
        <f>IFERROR(VLOOKUP(A280,[4]数据处理!$A:$C,3,0),0)</f>
        <v>0</v>
      </c>
      <c r="O280">
        <f>IFERROR(VLOOKUP($A280,[4]数据处理!$A:$N,14,0),0)</f>
        <v>5</v>
      </c>
      <c r="P280">
        <f>IFERROR(VLOOKUP($A280,[5]库存使用数据!$A:$B,2,0),"")</f>
        <v>23</v>
      </c>
      <c r="Q280">
        <f>IFERROR(VLOOKUP($A280,[5]库存使用数据!$A:$E,5,0),"")</f>
        <v>51</v>
      </c>
      <c r="R280">
        <f>IFERROR(VLOOKUP($A280,[5]库存使用数据!$A:$H,8,0),"")</f>
        <v>80</v>
      </c>
      <c r="S280">
        <f>IFERROR(VLOOKUP($A280,[5]库存使用数据!$A:$K,11,0),"")</f>
        <v>81</v>
      </c>
      <c r="T280">
        <f>IFERROR(VLOOKUP($A280,[5]库存使用数据!$A:$C,3,0),"")</f>
        <v>0</v>
      </c>
      <c r="U280">
        <f>IFERROR(VLOOKUP($A280,[5]库存使用数据!$A:$F,6,0),"")</f>
        <v>0</v>
      </c>
      <c r="V280">
        <f>IFERROR(VLOOKUP($A280,[5]库存使用数据!$A:$I,9,0),"")</f>
        <v>2</v>
      </c>
      <c r="W280">
        <f>IFERROR(VLOOKUP($A280,[5]库存使用数据!$A:$L,12,0),"")</f>
        <v>0</v>
      </c>
      <c r="X280" s="23">
        <f t="shared" si="77"/>
        <v>0</v>
      </c>
      <c r="Y280" s="23">
        <f t="shared" si="78"/>
        <v>0</v>
      </c>
      <c r="Z280" s="23">
        <f t="shared" si="79"/>
        <v>0.025</v>
      </c>
      <c r="AA280" s="23">
        <f t="shared" si="80"/>
        <v>0</v>
      </c>
      <c r="AB280">
        <f>IFERROR(VLOOKUP($A280,[5]库存使用数据!$A:$D,4,0),"")</f>
        <v>0</v>
      </c>
      <c r="AC280">
        <f>IFERROR(VLOOKUP($A280,[5]库存使用数据!$A:$G,7,0),"")</f>
        <v>0</v>
      </c>
      <c r="AD280">
        <f>IFERROR(VLOOKUP($A280,[5]库存使用数据!$A:$J,10,0),"")</f>
        <v>1.19</v>
      </c>
      <c r="AE280">
        <f>IFERROR(VLOOKUP($A280,[5]库存使用数据!$A:$M,13,0),"")</f>
        <v>0</v>
      </c>
      <c r="AF280" s="23" t="str">
        <f t="shared" si="81"/>
        <v/>
      </c>
      <c r="AG280" s="23" t="str">
        <f t="shared" si="82"/>
        <v/>
      </c>
      <c r="AH280" s="23" t="str">
        <f t="shared" si="83"/>
        <v>无销量广告费为1.19</v>
      </c>
      <c r="AI280" s="23" t="str">
        <f t="shared" si="84"/>
        <v/>
      </c>
      <c r="AJ280">
        <f>IFERROR(VLOOKUP($B280,[1]库存报告使用数据!$A$1:$B$65536,2,0),0)</f>
        <v>1</v>
      </c>
      <c r="AK280">
        <f>IFERROR(VLOOKUP($B280,[1]库存报告使用数据!$A$1:$C$65536,3,0),0)</f>
        <v>2</v>
      </c>
      <c r="AL280">
        <f>IFERROR(VLOOKUP($B280,[1]库存报告使用数据!$A$1:$D$65536,4,0),0)</f>
        <v>5</v>
      </c>
      <c r="AM280">
        <f>IFERROR(VLOOKUP($B280,[1]库存报告使用数据!$A$1:$E$65536,5,0),0)</f>
        <v>3</v>
      </c>
      <c r="AN280" s="23">
        <f t="shared" si="85"/>
        <v>0</v>
      </c>
      <c r="AO280" s="23">
        <f t="shared" si="86"/>
        <v>0</v>
      </c>
      <c r="AP280" s="23">
        <f t="shared" si="87"/>
        <v>0</v>
      </c>
      <c r="AQ280" s="23">
        <f t="shared" si="88"/>
        <v>0</v>
      </c>
      <c r="AR280" s="38">
        <f t="shared" si="73"/>
        <v>0</v>
      </c>
      <c r="AS280" s="38">
        <f t="shared" si="74"/>
        <v>0</v>
      </c>
      <c r="AT280" s="38">
        <f t="shared" si="75"/>
        <v>5</v>
      </c>
      <c r="AU280" s="33" t="str">
        <f t="shared" si="76"/>
        <v>库存为5</v>
      </c>
      <c r="AV280" s="39" t="str">
        <f>IFERROR(时间!$B$4+AU280,"上周无销量")</f>
        <v>上周无销量</v>
      </c>
    </row>
    <row r="281" spans="1:48">
      <c r="A281" s="35" t="s">
        <v>326</v>
      </c>
      <c r="B281" t="str">
        <f>VLOOKUP(A281,'[2]sku-asin（子）'!$A:$B,2,0)</f>
        <v>B074CWR4ZR</v>
      </c>
      <c r="C281" t="str">
        <f>VLOOKUP(A281,'[2]子sku-父sku'!$A:$B,2,0)</f>
        <v>N9383Y</v>
      </c>
      <c r="D281" s="33">
        <f>IFERROR(VLOOKUP(A281,[3]库存报告使用数据处理!$A:$C,3,0),0)</f>
        <v>0</v>
      </c>
      <c r="E281" s="33">
        <f>IFERROR(VLOOKUP(A281,[3]库存报告使用数据处理!$A:$D,4,0),0)</f>
        <v>0</v>
      </c>
      <c r="F281" s="33">
        <f>IFERROR(VLOOKUP(A281,[3]库存报告使用数据处理!$A:$E,5,0),0)</f>
        <v>0</v>
      </c>
      <c r="G281" s="33">
        <f>IFERROR(VLOOKUP(A281,[3]库存报告使用数据处理!$A:$F,6,0),0)</f>
        <v>0</v>
      </c>
      <c r="H281" s="34">
        <f>IFERROR(VLOOKUP(A281,[3]库存报告使用数据处理!$A:$G,7,0),0)</f>
        <v>0</v>
      </c>
      <c r="I281">
        <f>IFERROR(VLOOKUP(A281,[4]数据处理!$A:$B,2,0),0)</f>
        <v>9</v>
      </c>
      <c r="J281" s="36">
        <f>IFERROR(VLOOKUP(A281,[4]数据处理!$A:$D,4,0),0)</f>
        <v>0</v>
      </c>
      <c r="K281" s="36">
        <f>IFERROR(VLOOKUP(A281,[4]数据处理!$A:$E,5,0),0)</f>
        <v>0</v>
      </c>
      <c r="L281" s="36">
        <f>IFERROR(VLOOKUP(A281,[4]数据处理!$A:$G,7,0),0)</f>
        <v>0</v>
      </c>
      <c r="M281">
        <f t="shared" si="72"/>
        <v>9</v>
      </c>
      <c r="N281">
        <f>IFERROR(VLOOKUP(A281,[4]数据处理!$A:$C,3,0),0)</f>
        <v>0</v>
      </c>
      <c r="O281">
        <f>IFERROR(VLOOKUP($A281,[4]数据处理!$A:$N,14,0),0)</f>
        <v>9</v>
      </c>
      <c r="P281">
        <f>IFERROR(VLOOKUP($A281,[5]库存使用数据!$A:$B,2,0),"")</f>
        <v>37</v>
      </c>
      <c r="Q281">
        <f>IFERROR(VLOOKUP($A281,[5]库存使用数据!$A:$E,5,0),"")</f>
        <v>127</v>
      </c>
      <c r="R281">
        <f>IFERROR(VLOOKUP($A281,[5]库存使用数据!$A:$H,8,0),"")</f>
        <v>156</v>
      </c>
      <c r="S281">
        <f>IFERROR(VLOOKUP($A281,[5]库存使用数据!$A:$K,11,0),"")</f>
        <v>251</v>
      </c>
      <c r="T281">
        <f>IFERROR(VLOOKUP($A281,[5]库存使用数据!$A:$C,3,0),"")</f>
        <v>1</v>
      </c>
      <c r="U281">
        <f>IFERROR(VLOOKUP($A281,[5]库存使用数据!$A:$F,6,0),"")</f>
        <v>1</v>
      </c>
      <c r="V281">
        <f>IFERROR(VLOOKUP($A281,[5]库存使用数据!$A:$I,9,0),"")</f>
        <v>0</v>
      </c>
      <c r="W281">
        <f>IFERROR(VLOOKUP($A281,[5]库存使用数据!$A:$L,12,0),"")</f>
        <v>1</v>
      </c>
      <c r="X281" s="23">
        <f t="shared" si="77"/>
        <v>0.027027027027027</v>
      </c>
      <c r="Y281" s="23">
        <f t="shared" si="78"/>
        <v>0.0078740157480315</v>
      </c>
      <c r="Z281" s="23">
        <f t="shared" si="79"/>
        <v>0</v>
      </c>
      <c r="AA281" s="23">
        <f t="shared" si="80"/>
        <v>0.00398406374501992</v>
      </c>
      <c r="AB281">
        <f>IFERROR(VLOOKUP($A281,[5]库存使用数据!$A:$D,4,0),"")</f>
        <v>0.51</v>
      </c>
      <c r="AC281">
        <f>IFERROR(VLOOKUP($A281,[5]库存使用数据!$A:$G,7,0),"")</f>
        <v>0.41</v>
      </c>
      <c r="AD281">
        <f>IFERROR(VLOOKUP($A281,[5]库存使用数据!$A:$J,10,0),"")</f>
        <v>0</v>
      </c>
      <c r="AE281">
        <f>IFERROR(VLOOKUP($A281,[5]库存使用数据!$A:$M,13,0),"")</f>
        <v>0.43</v>
      </c>
      <c r="AF281" s="23" t="str">
        <f t="shared" si="81"/>
        <v>无销量广告费为0.51</v>
      </c>
      <c r="AG281" s="23" t="str">
        <f t="shared" si="82"/>
        <v>无销量广告费为0.41</v>
      </c>
      <c r="AH281" s="23" t="str">
        <f t="shared" si="83"/>
        <v/>
      </c>
      <c r="AI281" s="23" t="str">
        <f t="shared" si="84"/>
        <v>无销量广告费为0.43</v>
      </c>
      <c r="AJ281">
        <f>IFERROR(VLOOKUP($B281,[1]库存报告使用数据!$A$1:$B$65536,2,0),0)</f>
        <v>2</v>
      </c>
      <c r="AK281">
        <f>IFERROR(VLOOKUP($B281,[1]库存报告使用数据!$A$1:$C$65536,3,0),0)</f>
        <v>4</v>
      </c>
      <c r="AL281">
        <f>IFERROR(VLOOKUP($B281,[1]库存报告使用数据!$A$1:$D$65536,4,0),0)</f>
        <v>0</v>
      </c>
      <c r="AM281">
        <f>IFERROR(VLOOKUP($B281,[1]库存报告使用数据!$A$1:$E$65536,5,0),0)</f>
        <v>1</v>
      </c>
      <c r="AN281" s="23">
        <f t="shared" si="85"/>
        <v>0</v>
      </c>
      <c r="AO281" s="23">
        <f t="shared" si="86"/>
        <v>0</v>
      </c>
      <c r="AP281" s="23" t="str">
        <f t="shared" si="87"/>
        <v/>
      </c>
      <c r="AQ281" s="23">
        <f t="shared" si="88"/>
        <v>0</v>
      </c>
      <c r="AR281" s="38">
        <f t="shared" si="73"/>
        <v>0</v>
      </c>
      <c r="AS281" s="38">
        <f t="shared" si="74"/>
        <v>0</v>
      </c>
      <c r="AT281" s="38">
        <f t="shared" si="75"/>
        <v>9</v>
      </c>
      <c r="AU281" s="33" t="str">
        <f t="shared" si="76"/>
        <v>库存为9</v>
      </c>
      <c r="AV281" s="39" t="str">
        <f>IFERROR(时间!$B$4+AU281,"上周无销量")</f>
        <v>上周无销量</v>
      </c>
    </row>
    <row r="282" spans="1:48">
      <c r="A282" s="35" t="s">
        <v>327</v>
      </c>
      <c r="B282" t="str">
        <f>VLOOKUP(A282,'[2]sku-asin（子）'!$A:$B,2,0)</f>
        <v>B074CWZSVH</v>
      </c>
      <c r="C282" t="str">
        <f>VLOOKUP(A282,'[2]子sku-父sku'!$A:$B,2,0)</f>
        <v>N9383Y</v>
      </c>
      <c r="D282" s="33">
        <f>IFERROR(VLOOKUP(A282,[3]库存报告使用数据处理!$A:$C,3,0),0)</f>
        <v>0</v>
      </c>
      <c r="E282" s="33">
        <f>IFERROR(VLOOKUP(A282,[3]库存报告使用数据处理!$A:$D,4,0),0)</f>
        <v>0</v>
      </c>
      <c r="F282" s="33">
        <f>IFERROR(VLOOKUP(A282,[3]库存报告使用数据处理!$A:$E,5,0),0)</f>
        <v>0</v>
      </c>
      <c r="G282" s="33">
        <f>IFERROR(VLOOKUP(A282,[3]库存报告使用数据处理!$A:$F,6,0),0)</f>
        <v>0</v>
      </c>
      <c r="H282" s="34">
        <f>IFERROR(VLOOKUP(A282,[3]库存报告使用数据处理!$A:$G,7,0),0)</f>
        <v>0</v>
      </c>
      <c r="I282">
        <f>IFERROR(VLOOKUP(A282,[4]数据处理!$A:$B,2,0),0)</f>
        <v>9</v>
      </c>
      <c r="J282" s="36">
        <f>IFERROR(VLOOKUP(A282,[4]数据处理!$A:$D,4,0),0)</f>
        <v>0</v>
      </c>
      <c r="K282" s="36">
        <f>IFERROR(VLOOKUP(A282,[4]数据处理!$A:$E,5,0),0)</f>
        <v>0</v>
      </c>
      <c r="L282" s="36">
        <f>IFERROR(VLOOKUP(A282,[4]数据处理!$A:$G,7,0),0)</f>
        <v>0</v>
      </c>
      <c r="M282">
        <f t="shared" si="72"/>
        <v>9</v>
      </c>
      <c r="N282">
        <f>IFERROR(VLOOKUP(A282,[4]数据处理!$A:$C,3,0),0)</f>
        <v>0</v>
      </c>
      <c r="O282">
        <f>IFERROR(VLOOKUP($A282,[4]数据处理!$A:$N,14,0),0)</f>
        <v>9</v>
      </c>
      <c r="P282">
        <f>IFERROR(VLOOKUP($A282,[5]库存使用数据!$A:$B,2,0),"")</f>
        <v>44</v>
      </c>
      <c r="Q282">
        <f>IFERROR(VLOOKUP($A282,[5]库存使用数据!$A:$E,5,0),"")</f>
        <v>114</v>
      </c>
      <c r="R282">
        <f>IFERROR(VLOOKUP($A282,[5]库存使用数据!$A:$H,8,0),"")</f>
        <v>202</v>
      </c>
      <c r="S282">
        <f>IFERROR(VLOOKUP($A282,[5]库存使用数据!$A:$K,11,0),"")</f>
        <v>104</v>
      </c>
      <c r="T282">
        <f>IFERROR(VLOOKUP($A282,[5]库存使用数据!$A:$C,3,0),"")</f>
        <v>0</v>
      </c>
      <c r="U282">
        <f>IFERROR(VLOOKUP($A282,[5]库存使用数据!$A:$F,6,0),"")</f>
        <v>1</v>
      </c>
      <c r="V282">
        <f>IFERROR(VLOOKUP($A282,[5]库存使用数据!$A:$I,9,0),"")</f>
        <v>1</v>
      </c>
      <c r="W282">
        <f>IFERROR(VLOOKUP($A282,[5]库存使用数据!$A:$L,12,0),"")</f>
        <v>1</v>
      </c>
      <c r="X282" s="23">
        <f t="shared" si="77"/>
        <v>0</v>
      </c>
      <c r="Y282" s="23">
        <f t="shared" si="78"/>
        <v>0.0087719298245614</v>
      </c>
      <c r="Z282" s="23">
        <f t="shared" si="79"/>
        <v>0.00495049504950495</v>
      </c>
      <c r="AA282" s="23">
        <f t="shared" si="80"/>
        <v>0.00961538461538462</v>
      </c>
      <c r="AB282">
        <f>IFERROR(VLOOKUP($A282,[5]库存使用数据!$A:$D,4,0),"")</f>
        <v>0</v>
      </c>
      <c r="AC282">
        <f>IFERROR(VLOOKUP($A282,[5]库存使用数据!$A:$G,7,0),"")</f>
        <v>0.29</v>
      </c>
      <c r="AD282">
        <f>IFERROR(VLOOKUP($A282,[5]库存使用数据!$A:$J,10,0),"")</f>
        <v>0.69</v>
      </c>
      <c r="AE282">
        <f>IFERROR(VLOOKUP($A282,[5]库存使用数据!$A:$M,13,0),"")</f>
        <v>0.55</v>
      </c>
      <c r="AF282" s="23" t="str">
        <f t="shared" si="81"/>
        <v/>
      </c>
      <c r="AG282" s="23" t="str">
        <f t="shared" si="82"/>
        <v>无销量广告费为0.29</v>
      </c>
      <c r="AH282" s="23" t="str">
        <f t="shared" si="83"/>
        <v>无销量广告费为0.69</v>
      </c>
      <c r="AI282" s="23" t="str">
        <f t="shared" si="84"/>
        <v>无销量广告费为0.55</v>
      </c>
      <c r="AJ282">
        <f>IFERROR(VLOOKUP($B282,[1]库存报告使用数据!$A$1:$B$65536,2,0),0)</f>
        <v>2</v>
      </c>
      <c r="AK282">
        <f>IFERROR(VLOOKUP($B282,[1]库存报告使用数据!$A$1:$C$65536,3,0),0)</f>
        <v>1</v>
      </c>
      <c r="AL282">
        <f>IFERROR(VLOOKUP($B282,[1]库存报告使用数据!$A$1:$D$65536,4,0),0)</f>
        <v>3</v>
      </c>
      <c r="AM282">
        <f>IFERROR(VLOOKUP($B282,[1]库存报告使用数据!$A$1:$E$65536,5,0),0)</f>
        <v>1</v>
      </c>
      <c r="AN282" s="23">
        <f t="shared" si="85"/>
        <v>0</v>
      </c>
      <c r="AO282" s="23">
        <f t="shared" si="86"/>
        <v>0</v>
      </c>
      <c r="AP282" s="23">
        <f t="shared" si="87"/>
        <v>0</v>
      </c>
      <c r="AQ282" s="23">
        <f t="shared" si="88"/>
        <v>0</v>
      </c>
      <c r="AR282" s="38">
        <f t="shared" si="73"/>
        <v>0</v>
      </c>
      <c r="AS282" s="38">
        <f t="shared" si="74"/>
        <v>0</v>
      </c>
      <c r="AT282" s="38">
        <f t="shared" si="75"/>
        <v>9</v>
      </c>
      <c r="AU282" s="33" t="str">
        <f t="shared" si="76"/>
        <v>库存为9</v>
      </c>
      <c r="AV282" s="39" t="str">
        <f>IFERROR(时间!$B$4+AU282,"上周无销量")</f>
        <v>上周无销量</v>
      </c>
    </row>
    <row r="283" spans="1:48">
      <c r="A283" s="35" t="s">
        <v>328</v>
      </c>
      <c r="B283" t="str">
        <f>VLOOKUP(A283,'[2]sku-asin（子）'!$A:$B,2,0)</f>
        <v>B074CWSQFG</v>
      </c>
      <c r="C283" t="str">
        <f>VLOOKUP(A283,'[2]子sku-父sku'!$A:$B,2,0)</f>
        <v>N9383Y</v>
      </c>
      <c r="D283" s="33">
        <f>IFERROR(VLOOKUP(A283,[3]库存报告使用数据处理!$A:$C,3,0),0)</f>
        <v>0</v>
      </c>
      <c r="E283" s="33">
        <f>IFERROR(VLOOKUP(A283,[3]库存报告使用数据处理!$A:$D,4,0),0)</f>
        <v>0</v>
      </c>
      <c r="F283" s="33">
        <f>IFERROR(VLOOKUP(A283,[3]库存报告使用数据处理!$A:$E,5,0),0)</f>
        <v>0</v>
      </c>
      <c r="G283" s="33">
        <f>IFERROR(VLOOKUP(A283,[3]库存报告使用数据处理!$A:$F,6,0),0)</f>
        <v>0</v>
      </c>
      <c r="H283" s="34">
        <f>IFERROR(VLOOKUP(A283,[3]库存报告使用数据处理!$A:$G,7,0),0)</f>
        <v>0</v>
      </c>
      <c r="I283">
        <f>IFERROR(VLOOKUP(A283,[4]数据处理!$A:$B,2,0),0)</f>
        <v>11</v>
      </c>
      <c r="J283" s="36">
        <f>IFERROR(VLOOKUP(A283,[4]数据处理!$A:$D,4,0),0)</f>
        <v>0</v>
      </c>
      <c r="K283" s="36">
        <f>IFERROR(VLOOKUP(A283,[4]数据处理!$A:$E,5,0),0)</f>
        <v>0</v>
      </c>
      <c r="L283" s="36">
        <f>IFERROR(VLOOKUP(A283,[4]数据处理!$A:$G,7,0),0)</f>
        <v>0</v>
      </c>
      <c r="M283">
        <f t="shared" si="72"/>
        <v>11</v>
      </c>
      <c r="N283">
        <f>IFERROR(VLOOKUP(A283,[4]数据处理!$A:$C,3,0),0)</f>
        <v>0</v>
      </c>
      <c r="O283">
        <f>IFERROR(VLOOKUP($A283,[4]数据处理!$A:$N,14,0),0)</f>
        <v>11</v>
      </c>
      <c r="P283">
        <f>IFERROR(VLOOKUP($A283,[5]库存使用数据!$A:$B,2,0),"")</f>
        <v>2</v>
      </c>
      <c r="Q283">
        <f>IFERROR(VLOOKUP($A283,[5]库存使用数据!$A:$E,5,0),"")</f>
        <v>2</v>
      </c>
      <c r="R283">
        <f>IFERROR(VLOOKUP($A283,[5]库存使用数据!$A:$H,8,0),"")</f>
        <v>2</v>
      </c>
      <c r="S283">
        <f>IFERROR(VLOOKUP($A283,[5]库存使用数据!$A:$K,11,0),"")</f>
        <v>2</v>
      </c>
      <c r="T283">
        <f>IFERROR(VLOOKUP($A283,[5]库存使用数据!$A:$C,3,0),"")</f>
        <v>0</v>
      </c>
      <c r="U283">
        <f>IFERROR(VLOOKUP($A283,[5]库存使用数据!$A:$F,6,0),"")</f>
        <v>0</v>
      </c>
      <c r="V283">
        <f>IFERROR(VLOOKUP($A283,[5]库存使用数据!$A:$I,9,0),"")</f>
        <v>0</v>
      </c>
      <c r="W283">
        <f>IFERROR(VLOOKUP($A283,[5]库存使用数据!$A:$L,12,0),"")</f>
        <v>0</v>
      </c>
      <c r="X283" s="23">
        <f t="shared" si="77"/>
        <v>0</v>
      </c>
      <c r="Y283" s="23">
        <f t="shared" si="78"/>
        <v>0</v>
      </c>
      <c r="Z283" s="23">
        <f t="shared" si="79"/>
        <v>0</v>
      </c>
      <c r="AA283" s="23">
        <f t="shared" si="80"/>
        <v>0</v>
      </c>
      <c r="AB283">
        <f>IFERROR(VLOOKUP($A283,[5]库存使用数据!$A:$D,4,0),"")</f>
        <v>0</v>
      </c>
      <c r="AC283">
        <f>IFERROR(VLOOKUP($A283,[5]库存使用数据!$A:$G,7,0),"")</f>
        <v>0</v>
      </c>
      <c r="AD283">
        <f>IFERROR(VLOOKUP($A283,[5]库存使用数据!$A:$J,10,0),"")</f>
        <v>0</v>
      </c>
      <c r="AE283">
        <f>IFERROR(VLOOKUP($A283,[5]库存使用数据!$A:$M,13,0),"")</f>
        <v>0</v>
      </c>
      <c r="AF283" s="23" t="str">
        <f t="shared" si="81"/>
        <v/>
      </c>
      <c r="AG283" s="23" t="str">
        <f t="shared" si="82"/>
        <v/>
      </c>
      <c r="AH283" s="23" t="str">
        <f t="shared" si="83"/>
        <v/>
      </c>
      <c r="AI283" s="23" t="str">
        <f t="shared" si="84"/>
        <v/>
      </c>
      <c r="AJ283">
        <f>IFERROR(VLOOKUP($B283,[1]库存报告使用数据!$A$1:$B$65536,2,0),0)</f>
        <v>1</v>
      </c>
      <c r="AK283">
        <f>IFERROR(VLOOKUP($B283,[1]库存报告使用数据!$A$1:$C$65536,3,0),0)</f>
        <v>2</v>
      </c>
      <c r="AL283">
        <f>IFERROR(VLOOKUP($B283,[1]库存报告使用数据!$A$1:$D$65536,4,0),0)</f>
        <v>0</v>
      </c>
      <c r="AM283">
        <f>IFERROR(VLOOKUP($B283,[1]库存报告使用数据!$A$1:$E$65536,5,0),0)</f>
        <v>2</v>
      </c>
      <c r="AN283" s="23">
        <f t="shared" si="85"/>
        <v>0</v>
      </c>
      <c r="AO283" s="23">
        <f t="shared" si="86"/>
        <v>0</v>
      </c>
      <c r="AP283" s="23" t="str">
        <f t="shared" si="87"/>
        <v/>
      </c>
      <c r="AQ283" s="23">
        <f t="shared" si="88"/>
        <v>0</v>
      </c>
      <c r="AR283" s="38">
        <f t="shared" si="73"/>
        <v>0</v>
      </c>
      <c r="AS283" s="38">
        <f t="shared" si="74"/>
        <v>0</v>
      </c>
      <c r="AT283" s="38">
        <f t="shared" si="75"/>
        <v>11</v>
      </c>
      <c r="AU283" s="33" t="str">
        <f t="shared" si="76"/>
        <v>库存为11</v>
      </c>
      <c r="AV283" s="39" t="str">
        <f>IFERROR(时间!$B$4+AU283,"上周无销量")</f>
        <v>上周无销量</v>
      </c>
    </row>
    <row r="284" spans="1:48">
      <c r="A284" s="35" t="s">
        <v>329</v>
      </c>
      <c r="B284" t="str">
        <f>VLOOKUP(A284,'[2]sku-asin（子）'!$A:$B,2,0)</f>
        <v>B074CX22LX</v>
      </c>
      <c r="C284" t="str">
        <f>VLOOKUP(A284,'[2]子sku-父sku'!$A:$B,2,0)</f>
        <v>N9383Y</v>
      </c>
      <c r="D284" s="33">
        <f>IFERROR(VLOOKUP(A284,[3]库存报告使用数据处理!$A:$C,3,0),0)</f>
        <v>0</v>
      </c>
      <c r="E284" s="33">
        <f>IFERROR(VLOOKUP(A284,[3]库存报告使用数据处理!$A:$D,4,0),0)</f>
        <v>0</v>
      </c>
      <c r="F284" s="33">
        <f>IFERROR(VLOOKUP(A284,[3]库存报告使用数据处理!$A:$E,5,0),0)</f>
        <v>0</v>
      </c>
      <c r="G284" s="33">
        <f>IFERROR(VLOOKUP(A284,[3]库存报告使用数据处理!$A:$F,6,0),0)</f>
        <v>0</v>
      </c>
      <c r="H284" s="34">
        <f>IFERROR(VLOOKUP(A284,[3]库存报告使用数据处理!$A:$G,7,0),0)</f>
        <v>0</v>
      </c>
      <c r="I284">
        <f>IFERROR(VLOOKUP(A284,[4]数据处理!$A:$B,2,0),0)</f>
        <v>9</v>
      </c>
      <c r="J284" s="36">
        <f>IFERROR(VLOOKUP(A284,[4]数据处理!$A:$D,4,0),0)</f>
        <v>0</v>
      </c>
      <c r="K284" s="36">
        <f>IFERROR(VLOOKUP(A284,[4]数据处理!$A:$E,5,0),0)</f>
        <v>0</v>
      </c>
      <c r="L284" s="36">
        <f>IFERROR(VLOOKUP(A284,[4]数据处理!$A:$G,7,0),0)</f>
        <v>0</v>
      </c>
      <c r="M284">
        <f t="shared" si="72"/>
        <v>9</v>
      </c>
      <c r="N284">
        <f>IFERROR(VLOOKUP(A284,[4]数据处理!$A:$C,3,0),0)</f>
        <v>0</v>
      </c>
      <c r="O284">
        <f>IFERROR(VLOOKUP($A284,[4]数据处理!$A:$N,14,0),0)</f>
        <v>9</v>
      </c>
      <c r="P284">
        <f>IFERROR(VLOOKUP($A284,[5]库存使用数据!$A:$B,2,0),"")</f>
        <v>12</v>
      </c>
      <c r="Q284">
        <f>IFERROR(VLOOKUP($A284,[5]库存使用数据!$A:$E,5,0),"")</f>
        <v>22</v>
      </c>
      <c r="R284">
        <f>IFERROR(VLOOKUP($A284,[5]库存使用数据!$A:$H,8,0),"")</f>
        <v>28</v>
      </c>
      <c r="S284">
        <f>IFERROR(VLOOKUP($A284,[5]库存使用数据!$A:$K,11,0),"")</f>
        <v>8</v>
      </c>
      <c r="T284">
        <f>IFERROR(VLOOKUP($A284,[5]库存使用数据!$A:$C,3,0),"")</f>
        <v>0</v>
      </c>
      <c r="U284">
        <f>IFERROR(VLOOKUP($A284,[5]库存使用数据!$A:$F,6,0),"")</f>
        <v>0</v>
      </c>
      <c r="V284">
        <f>IFERROR(VLOOKUP($A284,[5]库存使用数据!$A:$I,9,0),"")</f>
        <v>0</v>
      </c>
      <c r="W284">
        <f>IFERROR(VLOOKUP($A284,[5]库存使用数据!$A:$L,12,0),"")</f>
        <v>0</v>
      </c>
      <c r="X284" s="23">
        <f t="shared" si="77"/>
        <v>0</v>
      </c>
      <c r="Y284" s="23">
        <f t="shared" si="78"/>
        <v>0</v>
      </c>
      <c r="Z284" s="23">
        <f t="shared" si="79"/>
        <v>0</v>
      </c>
      <c r="AA284" s="23">
        <f t="shared" si="80"/>
        <v>0</v>
      </c>
      <c r="AB284">
        <f>IFERROR(VLOOKUP($A284,[5]库存使用数据!$A:$D,4,0),"")</f>
        <v>0</v>
      </c>
      <c r="AC284">
        <f>IFERROR(VLOOKUP($A284,[5]库存使用数据!$A:$G,7,0),"")</f>
        <v>0</v>
      </c>
      <c r="AD284">
        <f>IFERROR(VLOOKUP($A284,[5]库存使用数据!$A:$J,10,0),"")</f>
        <v>0</v>
      </c>
      <c r="AE284">
        <f>IFERROR(VLOOKUP($A284,[5]库存使用数据!$A:$M,13,0),"")</f>
        <v>0</v>
      </c>
      <c r="AF284" s="23" t="str">
        <f t="shared" si="81"/>
        <v/>
      </c>
      <c r="AG284" s="23" t="str">
        <f t="shared" si="82"/>
        <v/>
      </c>
      <c r="AH284" s="23" t="str">
        <f t="shared" si="83"/>
        <v/>
      </c>
      <c r="AI284" s="23" t="str">
        <f t="shared" si="84"/>
        <v/>
      </c>
      <c r="AJ284">
        <f>IFERROR(VLOOKUP($B284,[1]库存报告使用数据!$A$1:$B$65536,2,0),0)</f>
        <v>2</v>
      </c>
      <c r="AK284">
        <f>IFERROR(VLOOKUP($B284,[1]库存报告使用数据!$A$1:$C$65536,3,0),0)</f>
        <v>1</v>
      </c>
      <c r="AL284">
        <f>IFERROR(VLOOKUP($B284,[1]库存报告使用数据!$A$1:$D$65536,4,0),0)</f>
        <v>0</v>
      </c>
      <c r="AM284">
        <f>IFERROR(VLOOKUP($B284,[1]库存报告使用数据!$A$1:$E$65536,5,0),0)</f>
        <v>0</v>
      </c>
      <c r="AN284" s="23">
        <f t="shared" si="85"/>
        <v>0</v>
      </c>
      <c r="AO284" s="23">
        <f t="shared" si="86"/>
        <v>0</v>
      </c>
      <c r="AP284" s="23" t="str">
        <f t="shared" si="87"/>
        <v/>
      </c>
      <c r="AQ284" s="23" t="str">
        <f t="shared" si="88"/>
        <v/>
      </c>
      <c r="AR284" s="38">
        <f t="shared" si="73"/>
        <v>0</v>
      </c>
      <c r="AS284" s="38">
        <f t="shared" si="74"/>
        <v>0</v>
      </c>
      <c r="AT284" s="38">
        <f t="shared" si="75"/>
        <v>9</v>
      </c>
      <c r="AU284" s="33" t="str">
        <f t="shared" si="76"/>
        <v>库存为9</v>
      </c>
      <c r="AV284" s="39" t="str">
        <f>IFERROR(时间!$B$4+AU284,"上周无销量")</f>
        <v>上周无销量</v>
      </c>
    </row>
    <row r="285" spans="1:48">
      <c r="A285" s="35" t="s">
        <v>330</v>
      </c>
      <c r="B285" t="str">
        <f>VLOOKUP(A285,'[2]sku-asin（子）'!$A:$B,2,0)</f>
        <v>B074CWTBK6</v>
      </c>
      <c r="C285" t="str">
        <f>VLOOKUP(A285,'[2]子sku-父sku'!$A:$B,2,0)</f>
        <v>N9383Y</v>
      </c>
      <c r="D285" s="33">
        <f>IFERROR(VLOOKUP(A285,[3]库存报告使用数据处理!$A:$C,3,0),0)</f>
        <v>0</v>
      </c>
      <c r="E285" s="33">
        <f>IFERROR(VLOOKUP(A285,[3]库存报告使用数据处理!$A:$D,4,0),0)</f>
        <v>0</v>
      </c>
      <c r="F285" s="33">
        <f>IFERROR(VLOOKUP(A285,[3]库存报告使用数据处理!$A:$E,5,0),0)</f>
        <v>0</v>
      </c>
      <c r="G285" s="33">
        <f>IFERROR(VLOOKUP(A285,[3]库存报告使用数据处理!$A:$F,6,0),0)</f>
        <v>0</v>
      </c>
      <c r="H285" s="34">
        <f>IFERROR(VLOOKUP(A285,[3]库存报告使用数据处理!$A:$G,7,0),0)</f>
        <v>0</v>
      </c>
      <c r="I285">
        <f>IFERROR(VLOOKUP(A285,[4]数据处理!$A:$B,2,0),0)</f>
        <v>22</v>
      </c>
      <c r="J285" s="36">
        <f>IFERROR(VLOOKUP(A285,[4]数据处理!$A:$D,4,0),0)</f>
        <v>0</v>
      </c>
      <c r="K285" s="36">
        <f>IFERROR(VLOOKUP(A285,[4]数据处理!$A:$E,5,0),0)</f>
        <v>0</v>
      </c>
      <c r="L285" s="36">
        <f>IFERROR(VLOOKUP(A285,[4]数据处理!$A:$G,7,0),0)</f>
        <v>0</v>
      </c>
      <c r="M285">
        <f t="shared" si="72"/>
        <v>22</v>
      </c>
      <c r="N285">
        <f>IFERROR(VLOOKUP(A285,[4]数据处理!$A:$C,3,0),0)</f>
        <v>0</v>
      </c>
      <c r="O285">
        <f>IFERROR(VLOOKUP($A285,[4]数据处理!$A:$N,14,0),0)</f>
        <v>22</v>
      </c>
      <c r="P285">
        <f>IFERROR(VLOOKUP($A285,[5]库存使用数据!$A:$B,2,0),"")</f>
        <v>223</v>
      </c>
      <c r="Q285">
        <f>IFERROR(VLOOKUP($A285,[5]库存使用数据!$A:$E,5,0),"")</f>
        <v>203</v>
      </c>
      <c r="R285">
        <f>IFERROR(VLOOKUP($A285,[5]库存使用数据!$A:$H,8,0),"")</f>
        <v>121</v>
      </c>
      <c r="S285">
        <f>IFERROR(VLOOKUP($A285,[5]库存使用数据!$A:$K,11,0),"")</f>
        <v>154</v>
      </c>
      <c r="T285">
        <f>IFERROR(VLOOKUP($A285,[5]库存使用数据!$A:$C,3,0),"")</f>
        <v>2</v>
      </c>
      <c r="U285">
        <f>IFERROR(VLOOKUP($A285,[5]库存使用数据!$A:$F,6,0),"")</f>
        <v>3</v>
      </c>
      <c r="V285">
        <f>IFERROR(VLOOKUP($A285,[5]库存使用数据!$A:$I,9,0),"")</f>
        <v>1</v>
      </c>
      <c r="W285">
        <f>IFERROR(VLOOKUP($A285,[5]库存使用数据!$A:$L,12,0),"")</f>
        <v>2</v>
      </c>
      <c r="X285" s="23">
        <f t="shared" si="77"/>
        <v>0.00896860986547085</v>
      </c>
      <c r="Y285" s="23">
        <f t="shared" si="78"/>
        <v>0.0147783251231527</v>
      </c>
      <c r="Z285" s="23">
        <f t="shared" si="79"/>
        <v>0.00826446280991736</v>
      </c>
      <c r="AA285" s="23">
        <f t="shared" si="80"/>
        <v>0.012987012987013</v>
      </c>
      <c r="AB285">
        <f>IFERROR(VLOOKUP($A285,[5]库存使用数据!$A:$D,4,0),"")</f>
        <v>0.72</v>
      </c>
      <c r="AC285">
        <f>IFERROR(VLOOKUP($A285,[5]库存使用数据!$A:$G,7,0),"")</f>
        <v>0.95</v>
      </c>
      <c r="AD285">
        <f>IFERROR(VLOOKUP($A285,[5]库存使用数据!$A:$J,10,0),"")</f>
        <v>0.12</v>
      </c>
      <c r="AE285">
        <f>IFERROR(VLOOKUP($A285,[5]库存使用数据!$A:$M,13,0),"")</f>
        <v>0.58</v>
      </c>
      <c r="AF285" s="23" t="str">
        <f t="shared" si="81"/>
        <v>无销量广告费为0.72</v>
      </c>
      <c r="AG285" s="23" t="str">
        <f t="shared" si="82"/>
        <v>无销量广告费为0.95</v>
      </c>
      <c r="AH285" s="23" t="str">
        <f t="shared" si="83"/>
        <v>无销量广告费为0.12</v>
      </c>
      <c r="AI285" s="23" t="str">
        <f t="shared" si="84"/>
        <v>无销量广告费为0.58</v>
      </c>
      <c r="AJ285">
        <f>IFERROR(VLOOKUP($B285,[1]库存报告使用数据!$A$1:$B$65536,2,0),0)</f>
        <v>2</v>
      </c>
      <c r="AK285">
        <f>IFERROR(VLOOKUP($B285,[1]库存报告使用数据!$A$1:$C$65536,3,0),0)</f>
        <v>2</v>
      </c>
      <c r="AL285">
        <f>IFERROR(VLOOKUP($B285,[1]库存报告使用数据!$A$1:$D$65536,4,0),0)</f>
        <v>0</v>
      </c>
      <c r="AM285">
        <f>IFERROR(VLOOKUP($B285,[1]库存报告使用数据!$A$1:$E$65536,5,0),0)</f>
        <v>0</v>
      </c>
      <c r="AN285" s="23">
        <f t="shared" si="85"/>
        <v>0</v>
      </c>
      <c r="AO285" s="23">
        <f t="shared" si="86"/>
        <v>0</v>
      </c>
      <c r="AP285" s="23" t="str">
        <f t="shared" si="87"/>
        <v/>
      </c>
      <c r="AQ285" s="23" t="str">
        <f t="shared" si="88"/>
        <v/>
      </c>
      <c r="AR285" s="38">
        <f t="shared" si="73"/>
        <v>0</v>
      </c>
      <c r="AS285" s="38">
        <f t="shared" si="74"/>
        <v>0</v>
      </c>
      <c r="AT285" s="38">
        <f t="shared" si="75"/>
        <v>22</v>
      </c>
      <c r="AU285" s="33" t="str">
        <f t="shared" si="76"/>
        <v>库存为22</v>
      </c>
      <c r="AV285" s="39" t="str">
        <f>IFERROR(时间!$B$4+AU285,"上周无销量")</f>
        <v>上周无销量</v>
      </c>
    </row>
    <row r="286" spans="1:48">
      <c r="A286" s="35" t="s">
        <v>331</v>
      </c>
      <c r="B286" t="str">
        <f>VLOOKUP(A286,'[2]sku-asin（子）'!$A:$B,2,0)</f>
        <v>B074CWMB62</v>
      </c>
      <c r="C286" t="str">
        <f>VLOOKUP(A286,'[2]子sku-父sku'!$A:$B,2,0)</f>
        <v>N9383Y</v>
      </c>
      <c r="D286" s="33">
        <f>IFERROR(VLOOKUP(A286,[3]库存报告使用数据处理!$A:$C,3,0),0)</f>
        <v>0</v>
      </c>
      <c r="E286" s="33">
        <f>IFERROR(VLOOKUP(A286,[3]库存报告使用数据处理!$A:$D,4,0),0)</f>
        <v>0</v>
      </c>
      <c r="F286" s="33">
        <f>IFERROR(VLOOKUP(A286,[3]库存报告使用数据处理!$A:$E,5,0),0)</f>
        <v>0</v>
      </c>
      <c r="G286" s="33">
        <f>IFERROR(VLOOKUP(A286,[3]库存报告使用数据处理!$A:$F,6,0),0)</f>
        <v>0</v>
      </c>
      <c r="H286" s="34">
        <f>IFERROR(VLOOKUP(A286,[3]库存报告使用数据处理!$A:$G,7,0),0)</f>
        <v>0</v>
      </c>
      <c r="I286">
        <f>IFERROR(VLOOKUP(A286,[4]数据处理!$A:$B,2,0),0)</f>
        <v>8</v>
      </c>
      <c r="J286" s="36">
        <f>IFERROR(VLOOKUP(A286,[4]数据处理!$A:$D,4,0),0)</f>
        <v>0</v>
      </c>
      <c r="K286" s="36">
        <f>IFERROR(VLOOKUP(A286,[4]数据处理!$A:$E,5,0),0)</f>
        <v>0</v>
      </c>
      <c r="L286" s="36">
        <f>IFERROR(VLOOKUP(A286,[4]数据处理!$A:$G,7,0),0)</f>
        <v>0</v>
      </c>
      <c r="M286">
        <f t="shared" si="72"/>
        <v>8</v>
      </c>
      <c r="N286">
        <f>IFERROR(VLOOKUP(A286,[4]数据处理!$A:$C,3,0),0)</f>
        <v>0</v>
      </c>
      <c r="O286">
        <f>IFERROR(VLOOKUP($A286,[4]数据处理!$A:$N,14,0),0)</f>
        <v>8</v>
      </c>
      <c r="P286">
        <f>IFERROR(VLOOKUP($A286,[5]库存使用数据!$A:$B,2,0),"")</f>
        <v>3</v>
      </c>
      <c r="Q286">
        <f>IFERROR(VLOOKUP($A286,[5]库存使用数据!$A:$E,5,0),"")</f>
        <v>14</v>
      </c>
      <c r="R286">
        <f>IFERROR(VLOOKUP($A286,[5]库存使用数据!$A:$H,8,0),"")</f>
        <v>1</v>
      </c>
      <c r="S286">
        <f>IFERROR(VLOOKUP($A286,[5]库存使用数据!$A:$K,11,0),"")</f>
        <v>8</v>
      </c>
      <c r="T286">
        <f>IFERROR(VLOOKUP($A286,[5]库存使用数据!$A:$C,3,0),"")</f>
        <v>0</v>
      </c>
      <c r="U286">
        <f>IFERROR(VLOOKUP($A286,[5]库存使用数据!$A:$F,6,0),"")</f>
        <v>0</v>
      </c>
      <c r="V286">
        <f>IFERROR(VLOOKUP($A286,[5]库存使用数据!$A:$I,9,0),"")</f>
        <v>0</v>
      </c>
      <c r="W286">
        <f>IFERROR(VLOOKUP($A286,[5]库存使用数据!$A:$L,12,0),"")</f>
        <v>0</v>
      </c>
      <c r="X286" s="23">
        <f t="shared" si="77"/>
        <v>0</v>
      </c>
      <c r="Y286" s="23">
        <f t="shared" si="78"/>
        <v>0</v>
      </c>
      <c r="Z286" s="23">
        <f t="shared" si="79"/>
        <v>0</v>
      </c>
      <c r="AA286" s="23">
        <f t="shared" si="80"/>
        <v>0</v>
      </c>
      <c r="AB286">
        <f>IFERROR(VLOOKUP($A286,[5]库存使用数据!$A:$D,4,0),"")</f>
        <v>0</v>
      </c>
      <c r="AC286">
        <f>IFERROR(VLOOKUP($A286,[5]库存使用数据!$A:$G,7,0),"")</f>
        <v>0</v>
      </c>
      <c r="AD286">
        <f>IFERROR(VLOOKUP($A286,[5]库存使用数据!$A:$J,10,0),"")</f>
        <v>0</v>
      </c>
      <c r="AE286">
        <f>IFERROR(VLOOKUP($A286,[5]库存使用数据!$A:$M,13,0),"")</f>
        <v>0</v>
      </c>
      <c r="AF286" s="23" t="str">
        <f t="shared" si="81"/>
        <v/>
      </c>
      <c r="AG286" s="23" t="str">
        <f t="shared" si="82"/>
        <v/>
      </c>
      <c r="AH286" s="23" t="str">
        <f t="shared" si="83"/>
        <v/>
      </c>
      <c r="AI286" s="23" t="str">
        <f t="shared" si="84"/>
        <v/>
      </c>
      <c r="AJ286">
        <f>IFERROR(VLOOKUP($B286,[1]库存报告使用数据!$A$1:$B$65536,2,0),0)</f>
        <v>2</v>
      </c>
      <c r="AK286">
        <f>IFERROR(VLOOKUP($B286,[1]库存报告使用数据!$A$1:$C$65536,3,0),0)</f>
        <v>1</v>
      </c>
      <c r="AL286">
        <f>IFERROR(VLOOKUP($B286,[1]库存报告使用数据!$A$1:$D$65536,4,0),0)</f>
        <v>1</v>
      </c>
      <c r="AM286">
        <f>IFERROR(VLOOKUP($B286,[1]库存报告使用数据!$A$1:$E$65536,5,0),0)</f>
        <v>0</v>
      </c>
      <c r="AN286" s="23">
        <f t="shared" si="85"/>
        <v>0</v>
      </c>
      <c r="AO286" s="23">
        <f t="shared" si="86"/>
        <v>0</v>
      </c>
      <c r="AP286" s="23">
        <f t="shared" si="87"/>
        <v>0</v>
      </c>
      <c r="AQ286" s="23" t="str">
        <f t="shared" si="88"/>
        <v/>
      </c>
      <c r="AR286" s="38">
        <f t="shared" si="73"/>
        <v>0</v>
      </c>
      <c r="AS286" s="38">
        <f t="shared" si="74"/>
        <v>0</v>
      </c>
      <c r="AT286" s="38">
        <f t="shared" si="75"/>
        <v>8</v>
      </c>
      <c r="AU286" s="33" t="str">
        <f t="shared" si="76"/>
        <v>库存为8</v>
      </c>
      <c r="AV286" s="39" t="str">
        <f>IFERROR(时间!$B$4+AU286,"上周无销量")</f>
        <v>上周无销量</v>
      </c>
    </row>
    <row r="287" spans="1:48">
      <c r="A287" s="35" t="s">
        <v>332</v>
      </c>
      <c r="B287" t="str">
        <f>VLOOKUP(A287,'[2]sku-asin（子）'!$A:$B,2,0)</f>
        <v>B074CWR3FL</v>
      </c>
      <c r="C287" t="str">
        <f>VLOOKUP(A287,'[2]子sku-父sku'!$A:$B,2,0)</f>
        <v>N9383Y</v>
      </c>
      <c r="D287" s="33">
        <f>IFERROR(VLOOKUP(A287,[3]库存报告使用数据处理!$A:$C,3,0),0)</f>
        <v>0</v>
      </c>
      <c r="E287" s="33">
        <f>IFERROR(VLOOKUP(A287,[3]库存报告使用数据处理!$A:$D,4,0),0)</f>
        <v>0</v>
      </c>
      <c r="F287" s="33">
        <f>IFERROR(VLOOKUP(A287,[3]库存报告使用数据处理!$A:$E,5,0),0)</f>
        <v>0</v>
      </c>
      <c r="G287" s="33">
        <f>IFERROR(VLOOKUP(A287,[3]库存报告使用数据处理!$A:$F,6,0),0)</f>
        <v>0</v>
      </c>
      <c r="H287" s="34">
        <f>IFERROR(VLOOKUP(A287,[3]库存报告使用数据处理!$A:$G,7,0),0)</f>
        <v>0</v>
      </c>
      <c r="I287">
        <f>IFERROR(VLOOKUP(A287,[4]数据处理!$A:$B,2,0),0)</f>
        <v>4</v>
      </c>
      <c r="J287" s="36">
        <f>IFERROR(VLOOKUP(A287,[4]数据处理!$A:$D,4,0),0)</f>
        <v>0</v>
      </c>
      <c r="K287" s="36">
        <f>IFERROR(VLOOKUP(A287,[4]数据处理!$A:$E,5,0),0)</f>
        <v>0</v>
      </c>
      <c r="L287" s="36">
        <f>IFERROR(VLOOKUP(A287,[4]数据处理!$A:$G,7,0),0)</f>
        <v>0</v>
      </c>
      <c r="M287">
        <f t="shared" si="72"/>
        <v>4</v>
      </c>
      <c r="N287">
        <f>IFERROR(VLOOKUP(A287,[4]数据处理!$A:$C,3,0),0)</f>
        <v>0</v>
      </c>
      <c r="O287">
        <f>IFERROR(VLOOKUP($A287,[4]数据处理!$A:$N,14,0),0)</f>
        <v>4</v>
      </c>
      <c r="P287">
        <f>IFERROR(VLOOKUP($A287,[5]库存使用数据!$A:$B,2,0),"")</f>
        <v>6</v>
      </c>
      <c r="Q287">
        <f>IFERROR(VLOOKUP($A287,[5]库存使用数据!$A:$E,5,0),"")</f>
        <v>3</v>
      </c>
      <c r="R287">
        <f>IFERROR(VLOOKUP($A287,[5]库存使用数据!$A:$H,8,0),"")</f>
        <v>2</v>
      </c>
      <c r="S287">
        <f>IFERROR(VLOOKUP($A287,[5]库存使用数据!$A:$K,11,0),"")</f>
        <v>1</v>
      </c>
      <c r="T287">
        <f>IFERROR(VLOOKUP($A287,[5]库存使用数据!$A:$C,3,0),"")</f>
        <v>0</v>
      </c>
      <c r="U287">
        <f>IFERROR(VLOOKUP($A287,[5]库存使用数据!$A:$F,6,0),"")</f>
        <v>0</v>
      </c>
      <c r="V287">
        <f>IFERROR(VLOOKUP($A287,[5]库存使用数据!$A:$I,9,0),"")</f>
        <v>0</v>
      </c>
      <c r="W287">
        <f>IFERROR(VLOOKUP($A287,[5]库存使用数据!$A:$L,12,0),"")</f>
        <v>0</v>
      </c>
      <c r="X287" s="23">
        <f t="shared" si="77"/>
        <v>0</v>
      </c>
      <c r="Y287" s="23">
        <f t="shared" si="78"/>
        <v>0</v>
      </c>
      <c r="Z287" s="23">
        <f t="shared" si="79"/>
        <v>0</v>
      </c>
      <c r="AA287" s="23">
        <f t="shared" si="80"/>
        <v>0</v>
      </c>
      <c r="AB287">
        <f>IFERROR(VLOOKUP($A287,[5]库存使用数据!$A:$D,4,0),"")</f>
        <v>0</v>
      </c>
      <c r="AC287">
        <f>IFERROR(VLOOKUP($A287,[5]库存使用数据!$A:$G,7,0),"")</f>
        <v>0</v>
      </c>
      <c r="AD287">
        <f>IFERROR(VLOOKUP($A287,[5]库存使用数据!$A:$J,10,0),"")</f>
        <v>0</v>
      </c>
      <c r="AE287">
        <f>IFERROR(VLOOKUP($A287,[5]库存使用数据!$A:$M,13,0),"")</f>
        <v>0</v>
      </c>
      <c r="AF287" s="23" t="str">
        <f t="shared" si="81"/>
        <v/>
      </c>
      <c r="AG287" s="23" t="str">
        <f t="shared" si="82"/>
        <v/>
      </c>
      <c r="AH287" s="23" t="str">
        <f t="shared" si="83"/>
        <v/>
      </c>
      <c r="AI287" s="23" t="str">
        <f t="shared" si="84"/>
        <v/>
      </c>
      <c r="AJ287">
        <f>IFERROR(VLOOKUP($B287,[1]库存报告使用数据!$A$1:$B$65536,2,0),0)</f>
        <v>1</v>
      </c>
      <c r="AK287">
        <f>IFERROR(VLOOKUP($B287,[1]库存报告使用数据!$A$1:$C$65536,3,0),0)</f>
        <v>2</v>
      </c>
      <c r="AL287">
        <f>IFERROR(VLOOKUP($B287,[1]库存报告使用数据!$A$1:$D$65536,4,0),0)</f>
        <v>3</v>
      </c>
      <c r="AM287">
        <f>IFERROR(VLOOKUP($B287,[1]库存报告使用数据!$A$1:$E$65536,5,0),0)</f>
        <v>0</v>
      </c>
      <c r="AN287" s="23">
        <f t="shared" si="85"/>
        <v>0</v>
      </c>
      <c r="AO287" s="23">
        <f t="shared" si="86"/>
        <v>0</v>
      </c>
      <c r="AP287" s="23">
        <f t="shared" si="87"/>
        <v>0</v>
      </c>
      <c r="AQ287" s="23" t="str">
        <f t="shared" si="88"/>
        <v/>
      </c>
      <c r="AR287" s="38">
        <f t="shared" si="73"/>
        <v>0</v>
      </c>
      <c r="AS287" s="38">
        <f t="shared" si="74"/>
        <v>0</v>
      </c>
      <c r="AT287" s="38">
        <f t="shared" si="75"/>
        <v>4</v>
      </c>
      <c r="AU287" s="33" t="str">
        <f t="shared" si="76"/>
        <v>库存为4</v>
      </c>
      <c r="AV287" s="39" t="str">
        <f>IFERROR(时间!$B$4+AU287,"上周无销量")</f>
        <v>上周无销量</v>
      </c>
    </row>
    <row r="288" spans="1:48">
      <c r="A288" s="35" t="s">
        <v>333</v>
      </c>
      <c r="B288" t="str">
        <f>VLOOKUP(A288,'[2]sku-asin（子）'!$A:$B,2,0)</f>
        <v>B074CX1PRD</v>
      </c>
      <c r="C288" t="str">
        <f>VLOOKUP(A288,'[2]子sku-父sku'!$A:$B,2,0)</f>
        <v>N9383Y</v>
      </c>
      <c r="D288" s="33">
        <f>IFERROR(VLOOKUP(A288,[3]库存报告使用数据处理!$A:$C,3,0),0)</f>
        <v>0</v>
      </c>
      <c r="E288" s="33">
        <f>IFERROR(VLOOKUP(A288,[3]库存报告使用数据处理!$A:$D,4,0),0)</f>
        <v>0</v>
      </c>
      <c r="F288" s="33">
        <f>IFERROR(VLOOKUP(A288,[3]库存报告使用数据处理!$A:$E,5,0),0)</f>
        <v>0</v>
      </c>
      <c r="G288" s="33">
        <f>IFERROR(VLOOKUP(A288,[3]库存报告使用数据处理!$A:$F,6,0),0)</f>
        <v>0</v>
      </c>
      <c r="H288" s="34">
        <f>IFERROR(VLOOKUP(A288,[3]库存报告使用数据处理!$A:$G,7,0),0)</f>
        <v>0</v>
      </c>
      <c r="I288">
        <f>IFERROR(VLOOKUP(A288,[4]数据处理!$A:$B,2,0),0)</f>
        <v>21</v>
      </c>
      <c r="J288" s="36">
        <f>IFERROR(VLOOKUP(A288,[4]数据处理!$A:$D,4,0),0)</f>
        <v>0</v>
      </c>
      <c r="K288" s="36">
        <f>IFERROR(VLOOKUP(A288,[4]数据处理!$A:$E,5,0),0)</f>
        <v>0</v>
      </c>
      <c r="L288" s="36">
        <f>IFERROR(VLOOKUP(A288,[4]数据处理!$A:$G,7,0),0)</f>
        <v>0</v>
      </c>
      <c r="M288">
        <f t="shared" si="72"/>
        <v>21</v>
      </c>
      <c r="N288">
        <f>IFERROR(VLOOKUP(A288,[4]数据处理!$A:$C,3,0),0)</f>
        <v>0</v>
      </c>
      <c r="O288">
        <f>IFERROR(VLOOKUP($A288,[4]数据处理!$A:$N,14,0),0)</f>
        <v>21</v>
      </c>
      <c r="P288">
        <f>IFERROR(VLOOKUP($A288,[5]库存使用数据!$A:$B,2,0),"")</f>
        <v>20</v>
      </c>
      <c r="Q288">
        <f>IFERROR(VLOOKUP($A288,[5]库存使用数据!$A:$E,5,0),"")</f>
        <v>22</v>
      </c>
      <c r="R288">
        <f>IFERROR(VLOOKUP($A288,[5]库存使用数据!$A:$H,8,0),"")</f>
        <v>6</v>
      </c>
      <c r="S288">
        <f>IFERROR(VLOOKUP($A288,[5]库存使用数据!$A:$K,11,0),"")</f>
        <v>7</v>
      </c>
      <c r="T288">
        <f>IFERROR(VLOOKUP($A288,[5]库存使用数据!$A:$C,3,0),"")</f>
        <v>0</v>
      </c>
      <c r="U288">
        <f>IFERROR(VLOOKUP($A288,[5]库存使用数据!$A:$F,6,0),"")</f>
        <v>0</v>
      </c>
      <c r="V288">
        <f>IFERROR(VLOOKUP($A288,[5]库存使用数据!$A:$I,9,0),"")</f>
        <v>0</v>
      </c>
      <c r="W288">
        <f>IFERROR(VLOOKUP($A288,[5]库存使用数据!$A:$L,12,0),"")</f>
        <v>0</v>
      </c>
      <c r="X288" s="23">
        <f t="shared" si="77"/>
        <v>0</v>
      </c>
      <c r="Y288" s="23">
        <f t="shared" si="78"/>
        <v>0</v>
      </c>
      <c r="Z288" s="23">
        <f t="shared" si="79"/>
        <v>0</v>
      </c>
      <c r="AA288" s="23">
        <f t="shared" si="80"/>
        <v>0</v>
      </c>
      <c r="AB288">
        <f>IFERROR(VLOOKUP($A288,[5]库存使用数据!$A:$D,4,0),"")</f>
        <v>0</v>
      </c>
      <c r="AC288">
        <f>IFERROR(VLOOKUP($A288,[5]库存使用数据!$A:$G,7,0),"")</f>
        <v>0</v>
      </c>
      <c r="AD288">
        <f>IFERROR(VLOOKUP($A288,[5]库存使用数据!$A:$J,10,0),"")</f>
        <v>0</v>
      </c>
      <c r="AE288">
        <f>IFERROR(VLOOKUP($A288,[5]库存使用数据!$A:$M,13,0),"")</f>
        <v>0</v>
      </c>
      <c r="AF288" s="23" t="str">
        <f t="shared" si="81"/>
        <v/>
      </c>
      <c r="AG288" s="23" t="str">
        <f t="shared" si="82"/>
        <v/>
      </c>
      <c r="AH288" s="23" t="str">
        <f t="shared" si="83"/>
        <v/>
      </c>
      <c r="AI288" s="23" t="str">
        <f t="shared" si="84"/>
        <v/>
      </c>
      <c r="AJ288">
        <f>IFERROR(VLOOKUP($B288,[1]库存报告使用数据!$A$1:$B$65536,2,0),0)</f>
        <v>3</v>
      </c>
      <c r="AK288">
        <f>IFERROR(VLOOKUP($B288,[1]库存报告使用数据!$A$1:$C$65536,3,0),0)</f>
        <v>2</v>
      </c>
      <c r="AL288">
        <f>IFERROR(VLOOKUP($B288,[1]库存报告使用数据!$A$1:$D$65536,4,0),0)</f>
        <v>6</v>
      </c>
      <c r="AM288">
        <f>IFERROR(VLOOKUP($B288,[1]库存报告使用数据!$A$1:$E$65536,5,0),0)</f>
        <v>1</v>
      </c>
      <c r="AN288" s="23">
        <f t="shared" si="85"/>
        <v>0</v>
      </c>
      <c r="AO288" s="23">
        <f t="shared" si="86"/>
        <v>0</v>
      </c>
      <c r="AP288" s="23">
        <f t="shared" si="87"/>
        <v>0</v>
      </c>
      <c r="AQ288" s="23">
        <f t="shared" si="88"/>
        <v>0</v>
      </c>
      <c r="AR288" s="38">
        <f t="shared" si="73"/>
        <v>0</v>
      </c>
      <c r="AS288" s="38">
        <f t="shared" si="74"/>
        <v>0</v>
      </c>
      <c r="AT288" s="38">
        <f t="shared" si="75"/>
        <v>21</v>
      </c>
      <c r="AU288" s="33" t="str">
        <f t="shared" si="76"/>
        <v>库存为21</v>
      </c>
      <c r="AV288" s="39" t="str">
        <f>IFERROR(时间!$B$4+AU288,"上周无销量")</f>
        <v>上周无销量</v>
      </c>
    </row>
    <row r="289" spans="1:48">
      <c r="A289" s="35" t="s">
        <v>334</v>
      </c>
      <c r="B289" t="str">
        <f>VLOOKUP(A289,'[2]sku-asin（子）'!$A:$B,2,0)</f>
        <v>B074CWN2HB</v>
      </c>
      <c r="C289" t="str">
        <f>VLOOKUP(A289,'[2]子sku-父sku'!$A:$B,2,0)</f>
        <v>N9383Y</v>
      </c>
      <c r="D289" s="33">
        <f>IFERROR(VLOOKUP(A289,[3]库存报告使用数据处理!$A:$C,3,0),0)</f>
        <v>0</v>
      </c>
      <c r="E289" s="33">
        <f>IFERROR(VLOOKUP(A289,[3]库存报告使用数据处理!$A:$D,4,0),0)</f>
        <v>0</v>
      </c>
      <c r="F289" s="33">
        <f>IFERROR(VLOOKUP(A289,[3]库存报告使用数据处理!$A:$E,5,0),0)</f>
        <v>0</v>
      </c>
      <c r="G289" s="33">
        <f>IFERROR(VLOOKUP(A289,[3]库存报告使用数据处理!$A:$F,6,0),0)</f>
        <v>0</v>
      </c>
      <c r="H289" s="34">
        <f>IFERROR(VLOOKUP(A289,[3]库存报告使用数据处理!$A:$G,7,0),0)</f>
        <v>0</v>
      </c>
      <c r="I289">
        <f>IFERROR(VLOOKUP(A289,[4]数据处理!$A:$B,2,0),0)</f>
        <v>4</v>
      </c>
      <c r="J289" s="36">
        <f>IFERROR(VLOOKUP(A289,[4]数据处理!$A:$D,4,0),0)</f>
        <v>0</v>
      </c>
      <c r="K289" s="36">
        <f>IFERROR(VLOOKUP(A289,[4]数据处理!$A:$E,5,0),0)</f>
        <v>0</v>
      </c>
      <c r="L289" s="36">
        <f>IFERROR(VLOOKUP(A289,[4]数据处理!$A:$G,7,0),0)</f>
        <v>0</v>
      </c>
      <c r="M289">
        <f t="shared" si="72"/>
        <v>4</v>
      </c>
      <c r="N289">
        <f>IFERROR(VLOOKUP(A289,[4]数据处理!$A:$C,3,0),0)</f>
        <v>0</v>
      </c>
      <c r="O289">
        <f>IFERROR(VLOOKUP($A289,[4]数据处理!$A:$N,14,0),0)</f>
        <v>4</v>
      </c>
      <c r="P289">
        <f>IFERROR(VLOOKUP($A289,[5]库存使用数据!$A:$B,2,0),"")</f>
        <v>9</v>
      </c>
      <c r="Q289">
        <f>IFERROR(VLOOKUP($A289,[5]库存使用数据!$A:$E,5,0),"")</f>
        <v>15</v>
      </c>
      <c r="R289">
        <f>IFERROR(VLOOKUP($A289,[5]库存使用数据!$A:$H,8,0),"")</f>
        <v>44</v>
      </c>
      <c r="S289">
        <f>IFERROR(VLOOKUP($A289,[5]库存使用数据!$A:$K,11,0),"")</f>
        <v>40</v>
      </c>
      <c r="T289">
        <f>IFERROR(VLOOKUP($A289,[5]库存使用数据!$A:$C,3,0),"")</f>
        <v>0</v>
      </c>
      <c r="U289">
        <f>IFERROR(VLOOKUP($A289,[5]库存使用数据!$A:$F,6,0),"")</f>
        <v>0</v>
      </c>
      <c r="V289">
        <f>IFERROR(VLOOKUP($A289,[5]库存使用数据!$A:$I,9,0),"")</f>
        <v>1</v>
      </c>
      <c r="W289">
        <f>IFERROR(VLOOKUP($A289,[5]库存使用数据!$A:$L,12,0),"")</f>
        <v>1</v>
      </c>
      <c r="X289" s="23">
        <f t="shared" si="77"/>
        <v>0</v>
      </c>
      <c r="Y289" s="23">
        <f t="shared" si="78"/>
        <v>0</v>
      </c>
      <c r="Z289" s="23">
        <f t="shared" si="79"/>
        <v>0.0227272727272727</v>
      </c>
      <c r="AA289" s="23">
        <f t="shared" si="80"/>
        <v>0.025</v>
      </c>
      <c r="AB289">
        <f>IFERROR(VLOOKUP($A289,[5]库存使用数据!$A:$D,4,0),"")</f>
        <v>0</v>
      </c>
      <c r="AC289">
        <f>IFERROR(VLOOKUP($A289,[5]库存使用数据!$A:$G,7,0),"")</f>
        <v>0</v>
      </c>
      <c r="AD289">
        <f>IFERROR(VLOOKUP($A289,[5]库存使用数据!$A:$J,10,0),"")</f>
        <v>0.52</v>
      </c>
      <c r="AE289">
        <f>IFERROR(VLOOKUP($A289,[5]库存使用数据!$A:$M,13,0),"")</f>
        <v>0.55</v>
      </c>
      <c r="AF289" s="23" t="str">
        <f t="shared" si="81"/>
        <v/>
      </c>
      <c r="AG289" s="23" t="str">
        <f t="shared" si="82"/>
        <v/>
      </c>
      <c r="AH289" s="23" t="str">
        <f t="shared" si="83"/>
        <v>无销量广告费为0.52</v>
      </c>
      <c r="AI289" s="23" t="str">
        <f t="shared" si="84"/>
        <v>无销量广告费为0.55</v>
      </c>
      <c r="AJ289">
        <f>IFERROR(VLOOKUP($B289,[1]库存报告使用数据!$A$1:$B$65536,2,0),0)</f>
        <v>2</v>
      </c>
      <c r="AK289">
        <f>IFERROR(VLOOKUP($B289,[1]库存报告使用数据!$A$1:$C$65536,3,0),0)</f>
        <v>0</v>
      </c>
      <c r="AL289">
        <f>IFERROR(VLOOKUP($B289,[1]库存报告使用数据!$A$1:$D$65536,4,0),0)</f>
        <v>0</v>
      </c>
      <c r="AM289">
        <f>IFERROR(VLOOKUP($B289,[1]库存报告使用数据!$A$1:$E$65536,5,0),0)</f>
        <v>3</v>
      </c>
      <c r="AN289" s="23">
        <f t="shared" si="85"/>
        <v>0</v>
      </c>
      <c r="AO289" s="23" t="str">
        <f t="shared" si="86"/>
        <v/>
      </c>
      <c r="AP289" s="23" t="str">
        <f t="shared" si="87"/>
        <v/>
      </c>
      <c r="AQ289" s="23">
        <f t="shared" si="88"/>
        <v>0</v>
      </c>
      <c r="AR289" s="38">
        <f t="shared" si="73"/>
        <v>0</v>
      </c>
      <c r="AS289" s="38">
        <f t="shared" si="74"/>
        <v>0</v>
      </c>
      <c r="AT289" s="38">
        <f t="shared" si="75"/>
        <v>4</v>
      </c>
      <c r="AU289" s="33" t="str">
        <f t="shared" si="76"/>
        <v>库存为4</v>
      </c>
      <c r="AV289" s="39" t="str">
        <f>IFERROR(时间!$B$4+AU289,"上周无销量")</f>
        <v>上周无销量</v>
      </c>
    </row>
    <row r="290" spans="1:48">
      <c r="A290" s="35" t="s">
        <v>335</v>
      </c>
      <c r="B290" t="str">
        <f>VLOOKUP(A290,'[2]sku-asin（子）'!$A:$B,2,0)</f>
        <v>B074CX451K</v>
      </c>
      <c r="C290" t="str">
        <f>VLOOKUP(A290,'[2]子sku-父sku'!$A:$B,2,0)</f>
        <v>N9383Y</v>
      </c>
      <c r="D290" s="33">
        <f>IFERROR(VLOOKUP(A290,[3]库存报告使用数据处理!$A:$C,3,0),0)</f>
        <v>0</v>
      </c>
      <c r="E290" s="33">
        <f>IFERROR(VLOOKUP(A290,[3]库存报告使用数据处理!$A:$D,4,0),0)</f>
        <v>0</v>
      </c>
      <c r="F290" s="33">
        <f>IFERROR(VLOOKUP(A290,[3]库存报告使用数据处理!$A:$E,5,0),0)</f>
        <v>0</v>
      </c>
      <c r="G290" s="33">
        <f>IFERROR(VLOOKUP(A290,[3]库存报告使用数据处理!$A:$F,6,0),0)</f>
        <v>0</v>
      </c>
      <c r="H290" s="34">
        <f>IFERROR(VLOOKUP(A290,[3]库存报告使用数据处理!$A:$G,7,0),0)</f>
        <v>0</v>
      </c>
      <c r="I290">
        <f>IFERROR(VLOOKUP(A290,[4]数据处理!$A:$B,2,0),0)</f>
        <v>12</v>
      </c>
      <c r="J290" s="36">
        <f>IFERROR(VLOOKUP(A290,[4]数据处理!$A:$D,4,0),0)</f>
        <v>0</v>
      </c>
      <c r="K290" s="36">
        <f>IFERROR(VLOOKUP(A290,[4]数据处理!$A:$E,5,0),0)</f>
        <v>0</v>
      </c>
      <c r="L290" s="36">
        <f>IFERROR(VLOOKUP(A290,[4]数据处理!$A:$G,7,0),0)</f>
        <v>0</v>
      </c>
      <c r="M290">
        <f t="shared" si="72"/>
        <v>12</v>
      </c>
      <c r="N290">
        <f>IFERROR(VLOOKUP(A290,[4]数据处理!$A:$C,3,0),0)</f>
        <v>0</v>
      </c>
      <c r="O290">
        <f>IFERROR(VLOOKUP($A290,[4]数据处理!$A:$N,14,0),0)</f>
        <v>12</v>
      </c>
      <c r="P290">
        <f>IFERROR(VLOOKUP($A290,[5]库存使用数据!$A:$B,2,0),"")</f>
        <v>307</v>
      </c>
      <c r="Q290">
        <f>IFERROR(VLOOKUP($A290,[5]库存使用数据!$A:$E,5,0),"")</f>
        <v>612</v>
      </c>
      <c r="R290">
        <f>IFERROR(VLOOKUP($A290,[5]库存使用数据!$A:$H,8,0),"")</f>
        <v>451</v>
      </c>
      <c r="S290">
        <f>IFERROR(VLOOKUP($A290,[5]库存使用数据!$A:$K,11,0),"")</f>
        <v>248</v>
      </c>
      <c r="T290">
        <f>IFERROR(VLOOKUP($A290,[5]库存使用数据!$A:$C,3,0),"")</f>
        <v>0</v>
      </c>
      <c r="U290">
        <f>IFERROR(VLOOKUP($A290,[5]库存使用数据!$A:$F,6,0),"")</f>
        <v>2</v>
      </c>
      <c r="V290">
        <f>IFERROR(VLOOKUP($A290,[5]库存使用数据!$A:$I,9,0),"")</f>
        <v>1</v>
      </c>
      <c r="W290">
        <f>IFERROR(VLOOKUP($A290,[5]库存使用数据!$A:$L,12,0),"")</f>
        <v>2</v>
      </c>
      <c r="X290" s="23">
        <f t="shared" si="77"/>
        <v>0</v>
      </c>
      <c r="Y290" s="23">
        <f t="shared" si="78"/>
        <v>0.00326797385620915</v>
      </c>
      <c r="Z290" s="23">
        <f t="shared" si="79"/>
        <v>0.00221729490022173</v>
      </c>
      <c r="AA290" s="23">
        <f t="shared" si="80"/>
        <v>0.00806451612903226</v>
      </c>
      <c r="AB290">
        <f>IFERROR(VLOOKUP($A290,[5]库存使用数据!$A:$D,4,0),"")</f>
        <v>0</v>
      </c>
      <c r="AC290">
        <f>IFERROR(VLOOKUP($A290,[5]库存使用数据!$A:$G,7,0),"")</f>
        <v>0.68</v>
      </c>
      <c r="AD290">
        <f>IFERROR(VLOOKUP($A290,[5]库存使用数据!$A:$J,10,0),"")</f>
        <v>0.57</v>
      </c>
      <c r="AE290">
        <f>IFERROR(VLOOKUP($A290,[5]库存使用数据!$A:$M,13,0),"")</f>
        <v>0.78</v>
      </c>
      <c r="AF290" s="23" t="str">
        <f t="shared" si="81"/>
        <v/>
      </c>
      <c r="AG290" s="23" t="str">
        <f t="shared" si="82"/>
        <v>无销量广告费为0.68</v>
      </c>
      <c r="AH290" s="23" t="str">
        <f t="shared" si="83"/>
        <v>无销量广告费为0.57</v>
      </c>
      <c r="AI290" s="23" t="str">
        <f t="shared" si="84"/>
        <v>无销量广告费为0.78</v>
      </c>
      <c r="AJ290">
        <f>IFERROR(VLOOKUP($B290,[1]库存报告使用数据!$A$1:$B$65536,2,0),0)</f>
        <v>3</v>
      </c>
      <c r="AK290">
        <f>IFERROR(VLOOKUP($B290,[1]库存报告使用数据!$A$1:$C$65536,3,0),0)</f>
        <v>1</v>
      </c>
      <c r="AL290">
        <f>IFERROR(VLOOKUP($B290,[1]库存报告使用数据!$A$1:$D$65536,4,0),0)</f>
        <v>1</v>
      </c>
      <c r="AM290">
        <f>IFERROR(VLOOKUP($B290,[1]库存报告使用数据!$A$1:$E$65536,5,0),0)</f>
        <v>0</v>
      </c>
      <c r="AN290" s="23">
        <f t="shared" si="85"/>
        <v>0</v>
      </c>
      <c r="AO290" s="23">
        <f t="shared" si="86"/>
        <v>0</v>
      </c>
      <c r="AP290" s="23">
        <f t="shared" si="87"/>
        <v>0</v>
      </c>
      <c r="AQ290" s="23" t="str">
        <f t="shared" si="88"/>
        <v/>
      </c>
      <c r="AR290" s="38">
        <f t="shared" si="73"/>
        <v>0</v>
      </c>
      <c r="AS290" s="38">
        <f t="shared" si="74"/>
        <v>0</v>
      </c>
      <c r="AT290" s="38">
        <f t="shared" si="75"/>
        <v>12</v>
      </c>
      <c r="AU290" s="33" t="str">
        <f t="shared" si="76"/>
        <v>库存为12</v>
      </c>
      <c r="AV290" s="39" t="str">
        <f>IFERROR(时间!$B$4+AU290,"上周无销量")</f>
        <v>上周无销量</v>
      </c>
    </row>
    <row r="291" spans="1:48">
      <c r="A291" s="35" t="s">
        <v>336</v>
      </c>
      <c r="B291" t="str">
        <f>VLOOKUP(A291,'[2]sku-asin（子）'!$A:$B,2,0)</f>
        <v>B074CWPQFT</v>
      </c>
      <c r="C291" t="str">
        <f>VLOOKUP(A291,'[2]子sku-父sku'!$A:$B,2,0)</f>
        <v>N9383Y</v>
      </c>
      <c r="D291" s="33">
        <f>IFERROR(VLOOKUP(A291,[3]库存报告使用数据处理!$A:$C,3,0),0)</f>
        <v>0</v>
      </c>
      <c r="E291" s="33">
        <f>IFERROR(VLOOKUP(A291,[3]库存报告使用数据处理!$A:$D,4,0),0)</f>
        <v>0</v>
      </c>
      <c r="F291" s="33">
        <f>IFERROR(VLOOKUP(A291,[3]库存报告使用数据处理!$A:$E,5,0),0)</f>
        <v>0</v>
      </c>
      <c r="G291" s="33">
        <f>IFERROR(VLOOKUP(A291,[3]库存报告使用数据处理!$A:$F,6,0),0)</f>
        <v>0</v>
      </c>
      <c r="H291" s="34">
        <f>IFERROR(VLOOKUP(A291,[3]库存报告使用数据处理!$A:$G,7,0),0)</f>
        <v>0</v>
      </c>
      <c r="I291">
        <f>IFERROR(VLOOKUP(A291,[4]数据处理!$A:$B,2,0),0)</f>
        <v>7</v>
      </c>
      <c r="J291" s="36">
        <f>IFERROR(VLOOKUP(A291,[4]数据处理!$A:$D,4,0),0)</f>
        <v>0</v>
      </c>
      <c r="K291" s="36">
        <f>IFERROR(VLOOKUP(A291,[4]数据处理!$A:$E,5,0),0)</f>
        <v>0</v>
      </c>
      <c r="L291" s="36">
        <f>IFERROR(VLOOKUP(A291,[4]数据处理!$A:$G,7,0),0)</f>
        <v>0</v>
      </c>
      <c r="M291">
        <f t="shared" si="72"/>
        <v>7</v>
      </c>
      <c r="N291">
        <f>IFERROR(VLOOKUP(A291,[4]数据处理!$A:$C,3,0),0)</f>
        <v>0</v>
      </c>
      <c r="O291">
        <f>IFERROR(VLOOKUP($A291,[4]数据处理!$A:$N,14,0),0)</f>
        <v>7</v>
      </c>
      <c r="P291">
        <f>IFERROR(VLOOKUP($A291,[5]库存使用数据!$A:$B,2,0),"")</f>
        <v>373</v>
      </c>
      <c r="Q291">
        <f>IFERROR(VLOOKUP($A291,[5]库存使用数据!$A:$E,5,0),"")</f>
        <v>224</v>
      </c>
      <c r="R291">
        <f>IFERROR(VLOOKUP($A291,[5]库存使用数据!$A:$H,8,0),"")</f>
        <v>60</v>
      </c>
      <c r="S291">
        <f>IFERROR(VLOOKUP($A291,[5]库存使用数据!$A:$K,11,0),"")</f>
        <v>38</v>
      </c>
      <c r="T291">
        <f>IFERROR(VLOOKUP($A291,[5]库存使用数据!$A:$C,3,0),"")</f>
        <v>0</v>
      </c>
      <c r="U291">
        <f>IFERROR(VLOOKUP($A291,[5]库存使用数据!$A:$F,6,0),"")</f>
        <v>0</v>
      </c>
      <c r="V291">
        <f>IFERROR(VLOOKUP($A291,[5]库存使用数据!$A:$I,9,0),"")</f>
        <v>0</v>
      </c>
      <c r="W291">
        <f>IFERROR(VLOOKUP($A291,[5]库存使用数据!$A:$L,12,0),"")</f>
        <v>0</v>
      </c>
      <c r="X291" s="23">
        <f t="shared" si="77"/>
        <v>0</v>
      </c>
      <c r="Y291" s="23">
        <f t="shared" si="78"/>
        <v>0</v>
      </c>
      <c r="Z291" s="23">
        <f t="shared" si="79"/>
        <v>0</v>
      </c>
      <c r="AA291" s="23">
        <f t="shared" si="80"/>
        <v>0</v>
      </c>
      <c r="AB291">
        <f>IFERROR(VLOOKUP($A291,[5]库存使用数据!$A:$D,4,0),"")</f>
        <v>0</v>
      </c>
      <c r="AC291">
        <f>IFERROR(VLOOKUP($A291,[5]库存使用数据!$A:$G,7,0),"")</f>
        <v>0</v>
      </c>
      <c r="AD291">
        <f>IFERROR(VLOOKUP($A291,[5]库存使用数据!$A:$J,10,0),"")</f>
        <v>0</v>
      </c>
      <c r="AE291">
        <f>IFERROR(VLOOKUP($A291,[5]库存使用数据!$A:$M,13,0),"")</f>
        <v>0</v>
      </c>
      <c r="AF291" s="23" t="str">
        <f t="shared" si="81"/>
        <v/>
      </c>
      <c r="AG291" s="23" t="str">
        <f t="shared" si="82"/>
        <v/>
      </c>
      <c r="AH291" s="23" t="str">
        <f t="shared" si="83"/>
        <v/>
      </c>
      <c r="AI291" s="23" t="str">
        <f t="shared" si="84"/>
        <v/>
      </c>
      <c r="AJ291">
        <f>IFERROR(VLOOKUP($B291,[1]库存报告使用数据!$A$1:$B$65536,2,0),0)</f>
        <v>2</v>
      </c>
      <c r="AK291">
        <f>IFERROR(VLOOKUP($B291,[1]库存报告使用数据!$A$1:$C$65536,3,0),0)</f>
        <v>1</v>
      </c>
      <c r="AL291">
        <f>IFERROR(VLOOKUP($B291,[1]库存报告使用数据!$A$1:$D$65536,4,0),0)</f>
        <v>0</v>
      </c>
      <c r="AM291">
        <f>IFERROR(VLOOKUP($B291,[1]库存报告使用数据!$A$1:$E$65536,5,0),0)</f>
        <v>2</v>
      </c>
      <c r="AN291" s="23">
        <f t="shared" si="85"/>
        <v>0</v>
      </c>
      <c r="AO291" s="23">
        <f t="shared" si="86"/>
        <v>0</v>
      </c>
      <c r="AP291" s="23" t="str">
        <f t="shared" si="87"/>
        <v/>
      </c>
      <c r="AQ291" s="23">
        <f t="shared" si="88"/>
        <v>0</v>
      </c>
      <c r="AR291" s="38">
        <f t="shared" si="73"/>
        <v>0</v>
      </c>
      <c r="AS291" s="38">
        <f t="shared" si="74"/>
        <v>0</v>
      </c>
      <c r="AT291" s="38">
        <f t="shared" si="75"/>
        <v>7</v>
      </c>
      <c r="AU291" s="33" t="str">
        <f t="shared" si="76"/>
        <v>库存为7</v>
      </c>
      <c r="AV291" s="39" t="str">
        <f>IFERROR(时间!$B$4+AU291,"上周无销量")</f>
        <v>上周无销量</v>
      </c>
    </row>
    <row r="292" spans="1:48">
      <c r="A292" s="35" t="s">
        <v>337</v>
      </c>
      <c r="B292" t="str">
        <f>VLOOKUP(A292,'[2]sku-asin（子）'!$A:$B,2,0)</f>
        <v>B074CWLV9M</v>
      </c>
      <c r="C292" t="str">
        <f>VLOOKUP(A292,'[2]子sku-父sku'!$A:$B,2,0)</f>
        <v>N9383Y</v>
      </c>
      <c r="D292" s="33">
        <f>IFERROR(VLOOKUP(A292,[3]库存报告使用数据处理!$A:$C,3,0),0)</f>
        <v>0</v>
      </c>
      <c r="E292" s="33">
        <f>IFERROR(VLOOKUP(A292,[3]库存报告使用数据处理!$A:$D,4,0),0)</f>
        <v>0</v>
      </c>
      <c r="F292" s="33">
        <f>IFERROR(VLOOKUP(A292,[3]库存报告使用数据处理!$A:$E,5,0),0)</f>
        <v>0</v>
      </c>
      <c r="G292" s="33">
        <f>IFERROR(VLOOKUP(A292,[3]库存报告使用数据处理!$A:$F,6,0),0)</f>
        <v>0</v>
      </c>
      <c r="H292" s="34">
        <f>IFERROR(VLOOKUP(A292,[3]库存报告使用数据处理!$A:$G,7,0),0)</f>
        <v>0</v>
      </c>
      <c r="I292">
        <f>IFERROR(VLOOKUP(A292,[4]数据处理!$A:$B,2,0),0)</f>
        <v>9</v>
      </c>
      <c r="J292" s="36">
        <f>IFERROR(VLOOKUP(A292,[4]数据处理!$A:$D,4,0),0)</f>
        <v>0</v>
      </c>
      <c r="K292" s="36">
        <f>IFERROR(VLOOKUP(A292,[4]数据处理!$A:$E,5,0),0)</f>
        <v>0</v>
      </c>
      <c r="L292" s="36">
        <f>IFERROR(VLOOKUP(A292,[4]数据处理!$A:$G,7,0),0)</f>
        <v>0</v>
      </c>
      <c r="M292">
        <f t="shared" si="72"/>
        <v>9</v>
      </c>
      <c r="N292">
        <f>IFERROR(VLOOKUP(A292,[4]数据处理!$A:$C,3,0),0)</f>
        <v>0</v>
      </c>
      <c r="O292">
        <f>IFERROR(VLOOKUP($A292,[4]数据处理!$A:$N,14,0),0)</f>
        <v>9</v>
      </c>
      <c r="P292">
        <f>IFERROR(VLOOKUP($A292,[5]库存使用数据!$A:$B,2,0),"")</f>
        <v>1</v>
      </c>
      <c r="Q292">
        <f>IFERROR(VLOOKUP($A292,[5]库存使用数据!$A:$E,5,0),"")</f>
        <v>3</v>
      </c>
      <c r="R292">
        <f>IFERROR(VLOOKUP($A292,[5]库存使用数据!$A:$H,8,0),"")</f>
        <v>0</v>
      </c>
      <c r="S292">
        <f>IFERROR(VLOOKUP($A292,[5]库存使用数据!$A:$K,11,0),"")</f>
        <v>1</v>
      </c>
      <c r="T292">
        <f>IFERROR(VLOOKUP($A292,[5]库存使用数据!$A:$C,3,0),"")</f>
        <v>0</v>
      </c>
      <c r="U292">
        <f>IFERROR(VLOOKUP($A292,[5]库存使用数据!$A:$F,6,0),"")</f>
        <v>0</v>
      </c>
      <c r="V292">
        <f>IFERROR(VLOOKUP($A292,[5]库存使用数据!$A:$I,9,0),"")</f>
        <v>0</v>
      </c>
      <c r="W292">
        <f>IFERROR(VLOOKUP($A292,[5]库存使用数据!$A:$L,12,0),"")</f>
        <v>0</v>
      </c>
      <c r="X292" s="23">
        <f t="shared" si="77"/>
        <v>0</v>
      </c>
      <c r="Y292" s="23">
        <f t="shared" si="78"/>
        <v>0</v>
      </c>
      <c r="Z292" s="23" t="str">
        <f t="shared" si="79"/>
        <v/>
      </c>
      <c r="AA292" s="23">
        <f t="shared" si="80"/>
        <v>0</v>
      </c>
      <c r="AB292">
        <f>IFERROR(VLOOKUP($A292,[5]库存使用数据!$A:$D,4,0),"")</f>
        <v>0</v>
      </c>
      <c r="AC292">
        <f>IFERROR(VLOOKUP($A292,[5]库存使用数据!$A:$G,7,0),"")</f>
        <v>0</v>
      </c>
      <c r="AD292">
        <f>IFERROR(VLOOKUP($A292,[5]库存使用数据!$A:$J,10,0),"")</f>
        <v>0</v>
      </c>
      <c r="AE292">
        <f>IFERROR(VLOOKUP($A292,[5]库存使用数据!$A:$M,13,0),"")</f>
        <v>0</v>
      </c>
      <c r="AF292" s="23" t="str">
        <f t="shared" si="81"/>
        <v/>
      </c>
      <c r="AG292" s="23" t="str">
        <f t="shared" si="82"/>
        <v/>
      </c>
      <c r="AH292" s="23" t="str">
        <f t="shared" si="83"/>
        <v/>
      </c>
      <c r="AI292" s="23" t="str">
        <f t="shared" si="84"/>
        <v/>
      </c>
      <c r="AJ292">
        <f>IFERROR(VLOOKUP($B292,[1]库存报告使用数据!$A$1:$B$65536,2,0),0)</f>
        <v>2</v>
      </c>
      <c r="AK292">
        <f>IFERROR(VLOOKUP($B292,[1]库存报告使用数据!$A$1:$C$65536,3,0),0)</f>
        <v>3</v>
      </c>
      <c r="AL292">
        <f>IFERROR(VLOOKUP($B292,[1]库存报告使用数据!$A$1:$D$65536,4,0),0)</f>
        <v>0</v>
      </c>
      <c r="AM292">
        <f>IFERROR(VLOOKUP($B292,[1]库存报告使用数据!$A$1:$E$65536,5,0),0)</f>
        <v>2</v>
      </c>
      <c r="AN292" s="23">
        <f t="shared" si="85"/>
        <v>0</v>
      </c>
      <c r="AO292" s="23">
        <f t="shared" si="86"/>
        <v>0</v>
      </c>
      <c r="AP292" s="23" t="str">
        <f t="shared" si="87"/>
        <v/>
      </c>
      <c r="AQ292" s="23">
        <f t="shared" si="88"/>
        <v>0</v>
      </c>
      <c r="AR292" s="38">
        <f t="shared" si="73"/>
        <v>0</v>
      </c>
      <c r="AS292" s="38">
        <f t="shared" si="74"/>
        <v>0</v>
      </c>
      <c r="AT292" s="38">
        <f t="shared" si="75"/>
        <v>9</v>
      </c>
      <c r="AU292" s="33" t="str">
        <f t="shared" si="76"/>
        <v>库存为9</v>
      </c>
      <c r="AV292" s="39" t="str">
        <f>IFERROR(时间!$B$4+AU292,"上周无销量")</f>
        <v>上周无销量</v>
      </c>
    </row>
    <row r="293" spans="1:48">
      <c r="A293" s="35" t="s">
        <v>338</v>
      </c>
      <c r="B293" t="str">
        <f>VLOOKUP(A293,'[2]sku-asin（子）'!$A:$B,2,0)</f>
        <v>B074CX4VVP</v>
      </c>
      <c r="C293" t="str">
        <f>VLOOKUP(A293,'[2]子sku-父sku'!$A:$B,2,0)</f>
        <v>N9383Y</v>
      </c>
      <c r="D293" s="33">
        <f>IFERROR(VLOOKUP(A293,[3]库存报告使用数据处理!$A:$C,3,0),0)</f>
        <v>0</v>
      </c>
      <c r="E293" s="33">
        <f>IFERROR(VLOOKUP(A293,[3]库存报告使用数据处理!$A:$D,4,0),0)</f>
        <v>0</v>
      </c>
      <c r="F293" s="33">
        <f>IFERROR(VLOOKUP(A293,[3]库存报告使用数据处理!$A:$E,5,0),0)</f>
        <v>0</v>
      </c>
      <c r="G293" s="33">
        <f>IFERROR(VLOOKUP(A293,[3]库存报告使用数据处理!$A:$F,6,0),0)</f>
        <v>0</v>
      </c>
      <c r="H293" s="34">
        <f>IFERROR(VLOOKUP(A293,[3]库存报告使用数据处理!$A:$G,7,0),0)</f>
        <v>0</v>
      </c>
      <c r="I293">
        <f>IFERROR(VLOOKUP(A293,[4]数据处理!$A:$B,2,0),0)</f>
        <v>2</v>
      </c>
      <c r="J293" s="36">
        <f>IFERROR(VLOOKUP(A293,[4]数据处理!$A:$D,4,0),0)</f>
        <v>0</v>
      </c>
      <c r="K293" s="36">
        <f>IFERROR(VLOOKUP(A293,[4]数据处理!$A:$E,5,0),0)</f>
        <v>0</v>
      </c>
      <c r="L293" s="36">
        <f>IFERROR(VLOOKUP(A293,[4]数据处理!$A:$G,7,0),0)</f>
        <v>0</v>
      </c>
      <c r="M293">
        <f t="shared" si="72"/>
        <v>2</v>
      </c>
      <c r="N293">
        <f>IFERROR(VLOOKUP(A293,[4]数据处理!$A:$C,3,0),0)</f>
        <v>0</v>
      </c>
      <c r="O293">
        <f>IFERROR(VLOOKUP($A293,[4]数据处理!$A:$N,14,0),0)</f>
        <v>2</v>
      </c>
      <c r="P293">
        <f>IFERROR(VLOOKUP($A293,[5]库存使用数据!$A:$B,2,0),"")</f>
        <v>1</v>
      </c>
      <c r="Q293">
        <f>IFERROR(VLOOKUP($A293,[5]库存使用数据!$A:$E,5,0),"")</f>
        <v>1</v>
      </c>
      <c r="R293">
        <f>IFERROR(VLOOKUP($A293,[5]库存使用数据!$A:$H,8,0),"")</f>
        <v>4</v>
      </c>
      <c r="S293">
        <f>IFERROR(VLOOKUP($A293,[5]库存使用数据!$A:$K,11,0),"")</f>
        <v>0</v>
      </c>
      <c r="T293">
        <f>IFERROR(VLOOKUP($A293,[5]库存使用数据!$A:$C,3,0),"")</f>
        <v>0</v>
      </c>
      <c r="U293">
        <f>IFERROR(VLOOKUP($A293,[5]库存使用数据!$A:$F,6,0),"")</f>
        <v>0</v>
      </c>
      <c r="V293">
        <f>IFERROR(VLOOKUP($A293,[5]库存使用数据!$A:$I,9,0),"")</f>
        <v>0</v>
      </c>
      <c r="W293">
        <f>IFERROR(VLOOKUP($A293,[5]库存使用数据!$A:$L,12,0),"")</f>
        <v>0</v>
      </c>
      <c r="X293" s="23">
        <f t="shared" si="77"/>
        <v>0</v>
      </c>
      <c r="Y293" s="23">
        <f t="shared" si="78"/>
        <v>0</v>
      </c>
      <c r="Z293" s="23">
        <f t="shared" si="79"/>
        <v>0</v>
      </c>
      <c r="AA293" s="23" t="str">
        <f t="shared" si="80"/>
        <v/>
      </c>
      <c r="AB293">
        <f>IFERROR(VLOOKUP($A293,[5]库存使用数据!$A:$D,4,0),"")</f>
        <v>0</v>
      </c>
      <c r="AC293">
        <f>IFERROR(VLOOKUP($A293,[5]库存使用数据!$A:$G,7,0),"")</f>
        <v>0</v>
      </c>
      <c r="AD293">
        <f>IFERROR(VLOOKUP($A293,[5]库存使用数据!$A:$J,10,0),"")</f>
        <v>0</v>
      </c>
      <c r="AE293">
        <f>IFERROR(VLOOKUP($A293,[5]库存使用数据!$A:$M,13,0),"")</f>
        <v>0</v>
      </c>
      <c r="AF293" s="23" t="str">
        <f t="shared" si="81"/>
        <v/>
      </c>
      <c r="AG293" s="23" t="str">
        <f t="shared" si="82"/>
        <v/>
      </c>
      <c r="AH293" s="23" t="str">
        <f t="shared" si="83"/>
        <v/>
      </c>
      <c r="AI293" s="23" t="str">
        <f t="shared" si="84"/>
        <v/>
      </c>
      <c r="AJ293">
        <f>IFERROR(VLOOKUP($B293,[1]库存报告使用数据!$A$1:$B$65536,2,0),0)</f>
        <v>2</v>
      </c>
      <c r="AK293">
        <f>IFERROR(VLOOKUP($B293,[1]库存报告使用数据!$A$1:$C$65536,3,0),0)</f>
        <v>3</v>
      </c>
      <c r="AL293">
        <f>IFERROR(VLOOKUP($B293,[1]库存报告使用数据!$A$1:$D$65536,4,0),0)</f>
        <v>0</v>
      </c>
      <c r="AM293">
        <f>IFERROR(VLOOKUP($B293,[1]库存报告使用数据!$A$1:$E$65536,5,0),0)</f>
        <v>0</v>
      </c>
      <c r="AN293" s="23">
        <f t="shared" si="85"/>
        <v>0</v>
      </c>
      <c r="AO293" s="23">
        <f t="shared" si="86"/>
        <v>0</v>
      </c>
      <c r="AP293" s="23" t="str">
        <f t="shared" si="87"/>
        <v/>
      </c>
      <c r="AQ293" s="23" t="str">
        <f t="shared" si="88"/>
        <v/>
      </c>
      <c r="AR293" s="38">
        <f t="shared" si="73"/>
        <v>0</v>
      </c>
      <c r="AS293" s="38">
        <f t="shared" si="74"/>
        <v>0</v>
      </c>
      <c r="AT293" s="38">
        <f t="shared" si="75"/>
        <v>2</v>
      </c>
      <c r="AU293" s="33" t="str">
        <f t="shared" si="76"/>
        <v>库存为2</v>
      </c>
      <c r="AV293" s="39" t="str">
        <f>IFERROR(时间!$B$4+AU293,"上周无销量")</f>
        <v>上周无销量</v>
      </c>
    </row>
    <row r="294" spans="1:48">
      <c r="A294" s="35" t="s">
        <v>339</v>
      </c>
      <c r="B294" t="str">
        <f>VLOOKUP(A294,'[2]sku-asin（子）'!$A:$B,2,0)</f>
        <v>B074FW623M</v>
      </c>
      <c r="C294" t="str">
        <f>VLOOKUP(A294,'[2]子sku-父sku'!$A:$B,2,0)</f>
        <v>N9383Y</v>
      </c>
      <c r="D294" s="33">
        <f>IFERROR(VLOOKUP(A294,[3]库存报告使用数据处理!$A:$C,3,0),0)</f>
        <v>0</v>
      </c>
      <c r="E294" s="33">
        <f>IFERROR(VLOOKUP(A294,[3]库存报告使用数据处理!$A:$D,4,0),0)</f>
        <v>0</v>
      </c>
      <c r="F294" s="33">
        <f>IFERROR(VLOOKUP(A294,[3]库存报告使用数据处理!$A:$E,5,0),0)</f>
        <v>0</v>
      </c>
      <c r="G294" s="33">
        <f>IFERROR(VLOOKUP(A294,[3]库存报告使用数据处理!$A:$F,6,0),0)</f>
        <v>0</v>
      </c>
      <c r="H294" s="34">
        <f>IFERROR(VLOOKUP(A294,[3]库存报告使用数据处理!$A:$G,7,0),0)</f>
        <v>0</v>
      </c>
      <c r="I294">
        <f>IFERROR(VLOOKUP(A294,[4]数据处理!$A:$B,2,0),0)</f>
        <v>3</v>
      </c>
      <c r="J294" s="36">
        <f>IFERROR(VLOOKUP(A294,[4]数据处理!$A:$D,4,0),0)</f>
        <v>0</v>
      </c>
      <c r="K294" s="36">
        <f>IFERROR(VLOOKUP(A294,[4]数据处理!$A:$E,5,0),0)</f>
        <v>0</v>
      </c>
      <c r="L294" s="36">
        <f>IFERROR(VLOOKUP(A294,[4]数据处理!$A:$G,7,0),0)</f>
        <v>0</v>
      </c>
      <c r="M294">
        <f t="shared" si="72"/>
        <v>3</v>
      </c>
      <c r="N294">
        <f>IFERROR(VLOOKUP(A294,[4]数据处理!$A:$C,3,0),0)</f>
        <v>0</v>
      </c>
      <c r="O294">
        <f>IFERROR(VLOOKUP($A294,[4]数据处理!$A:$N,14,0),0)</f>
        <v>3</v>
      </c>
      <c r="P294">
        <f>IFERROR(VLOOKUP($A294,[5]库存使用数据!$A:$B,2,0),"")</f>
        <v>31</v>
      </c>
      <c r="Q294">
        <f>IFERROR(VLOOKUP($A294,[5]库存使用数据!$A:$E,5,0),"")</f>
        <v>103</v>
      </c>
      <c r="R294">
        <f>IFERROR(VLOOKUP($A294,[5]库存使用数据!$A:$H,8,0),"")</f>
        <v>129</v>
      </c>
      <c r="S294">
        <f>IFERROR(VLOOKUP($A294,[5]库存使用数据!$A:$K,11,0),"")</f>
        <v>61</v>
      </c>
      <c r="T294">
        <f>IFERROR(VLOOKUP($A294,[5]库存使用数据!$A:$C,3,0),"")</f>
        <v>0</v>
      </c>
      <c r="U294">
        <f>IFERROR(VLOOKUP($A294,[5]库存使用数据!$A:$F,6,0),"")</f>
        <v>0</v>
      </c>
      <c r="V294">
        <f>IFERROR(VLOOKUP($A294,[5]库存使用数据!$A:$I,9,0),"")</f>
        <v>1</v>
      </c>
      <c r="W294">
        <f>IFERROR(VLOOKUP($A294,[5]库存使用数据!$A:$L,12,0),"")</f>
        <v>0</v>
      </c>
      <c r="X294" s="23">
        <f t="shared" si="77"/>
        <v>0</v>
      </c>
      <c r="Y294" s="23">
        <f t="shared" si="78"/>
        <v>0</v>
      </c>
      <c r="Z294" s="23">
        <f t="shared" si="79"/>
        <v>0.00775193798449612</v>
      </c>
      <c r="AA294" s="23">
        <f t="shared" si="80"/>
        <v>0</v>
      </c>
      <c r="AB294">
        <f>IFERROR(VLOOKUP($A294,[5]库存使用数据!$A:$D,4,0),"")</f>
        <v>0</v>
      </c>
      <c r="AC294">
        <f>IFERROR(VLOOKUP($A294,[5]库存使用数据!$A:$G,7,0),"")</f>
        <v>0</v>
      </c>
      <c r="AD294">
        <f>IFERROR(VLOOKUP($A294,[5]库存使用数据!$A:$J,10,0),"")</f>
        <v>0.04</v>
      </c>
      <c r="AE294">
        <f>IFERROR(VLOOKUP($A294,[5]库存使用数据!$A:$M,13,0),"")</f>
        <v>0</v>
      </c>
      <c r="AF294" s="23" t="str">
        <f t="shared" si="81"/>
        <v/>
      </c>
      <c r="AG294" s="23" t="str">
        <f t="shared" si="82"/>
        <v/>
      </c>
      <c r="AH294" s="23" t="str">
        <f t="shared" si="83"/>
        <v>无销量广告费为0.04</v>
      </c>
      <c r="AI294" s="23" t="str">
        <f t="shared" si="84"/>
        <v/>
      </c>
      <c r="AJ294">
        <f>IFERROR(VLOOKUP($B294,[1]库存报告使用数据!$A$1:$B$65536,2,0),0)</f>
        <v>1</v>
      </c>
      <c r="AK294">
        <f>IFERROR(VLOOKUP($B294,[1]库存报告使用数据!$A$1:$C$65536,3,0),0)</f>
        <v>1</v>
      </c>
      <c r="AL294">
        <f>IFERROR(VLOOKUP($B294,[1]库存报告使用数据!$A$1:$D$65536,4,0),0)</f>
        <v>0</v>
      </c>
      <c r="AM294">
        <f>IFERROR(VLOOKUP($B294,[1]库存报告使用数据!$A$1:$E$65536,5,0),0)</f>
        <v>0</v>
      </c>
      <c r="AN294" s="23">
        <f t="shared" si="85"/>
        <v>0</v>
      </c>
      <c r="AO294" s="23">
        <f t="shared" si="86"/>
        <v>0</v>
      </c>
      <c r="AP294" s="23" t="str">
        <f t="shared" si="87"/>
        <v/>
      </c>
      <c r="AQ294" s="23" t="str">
        <f t="shared" si="88"/>
        <v/>
      </c>
      <c r="AR294" s="38">
        <f t="shared" si="73"/>
        <v>0</v>
      </c>
      <c r="AS294" s="38">
        <f t="shared" si="74"/>
        <v>0</v>
      </c>
      <c r="AT294" s="38">
        <f t="shared" si="75"/>
        <v>3</v>
      </c>
      <c r="AU294" s="33" t="str">
        <f t="shared" si="76"/>
        <v>库存为3</v>
      </c>
      <c r="AV294" s="39" t="str">
        <f>IFERROR(时间!$B$4+AU294,"上周无销量")</f>
        <v>上周无销量</v>
      </c>
    </row>
    <row r="295" spans="1:48">
      <c r="A295" s="35" t="s">
        <v>340</v>
      </c>
      <c r="B295" t="str">
        <f>VLOOKUP(A295,'[2]sku-asin（子）'!$A:$B,2,0)</f>
        <v>B074FTXNPM</v>
      </c>
      <c r="C295" t="str">
        <f>VLOOKUP(A295,'[2]子sku-父sku'!$A:$B,2,0)</f>
        <v>N9383Y</v>
      </c>
      <c r="D295" s="33">
        <f>IFERROR(VLOOKUP(A295,[3]库存报告使用数据处理!$A:$C,3,0),0)</f>
        <v>0</v>
      </c>
      <c r="E295" s="33">
        <f>IFERROR(VLOOKUP(A295,[3]库存报告使用数据处理!$A:$D,4,0),0)</f>
        <v>0</v>
      </c>
      <c r="F295" s="33">
        <f>IFERROR(VLOOKUP(A295,[3]库存报告使用数据处理!$A:$E,5,0),0)</f>
        <v>1</v>
      </c>
      <c r="G295" s="33">
        <f>IFERROR(VLOOKUP(A295,[3]库存报告使用数据处理!$A:$F,6,0),0)</f>
        <v>0</v>
      </c>
      <c r="H295" s="34">
        <f>IFERROR(VLOOKUP(A295,[3]库存报告使用数据处理!$A:$G,7,0),0)</f>
        <v>12.9</v>
      </c>
      <c r="I295">
        <f>IFERROR(VLOOKUP(A295,[4]数据处理!$A:$B,2,0),0)</f>
        <v>2</v>
      </c>
      <c r="J295" s="36">
        <f>IFERROR(VLOOKUP(A295,[4]数据处理!$A:$D,4,0),0)</f>
        <v>0</v>
      </c>
      <c r="K295" s="36">
        <f>IFERROR(VLOOKUP(A295,[4]数据处理!$A:$E,5,0),0)</f>
        <v>0</v>
      </c>
      <c r="L295" s="36">
        <f>IFERROR(VLOOKUP(A295,[4]数据处理!$A:$G,7,0),0)</f>
        <v>0</v>
      </c>
      <c r="M295">
        <f t="shared" si="72"/>
        <v>2</v>
      </c>
      <c r="N295">
        <f>IFERROR(VLOOKUP(A295,[4]数据处理!$A:$C,3,0),0)</f>
        <v>0</v>
      </c>
      <c r="O295">
        <f>IFERROR(VLOOKUP($A295,[4]数据处理!$A:$N,14,0),0)</f>
        <v>2</v>
      </c>
      <c r="P295">
        <f>IFERROR(VLOOKUP($A295,[5]库存使用数据!$A:$B,2,0),"")</f>
        <v>1050</v>
      </c>
      <c r="Q295">
        <f>IFERROR(VLOOKUP($A295,[5]库存使用数据!$A:$E,5,0),"")</f>
        <v>938</v>
      </c>
      <c r="R295">
        <f>IFERROR(VLOOKUP($A295,[5]库存使用数据!$A:$H,8,0),"")</f>
        <v>1039</v>
      </c>
      <c r="S295">
        <f>IFERROR(VLOOKUP($A295,[5]库存使用数据!$A:$K,11,0),"")</f>
        <v>852</v>
      </c>
      <c r="T295">
        <f>IFERROR(VLOOKUP($A295,[5]库存使用数据!$A:$C,3,0),"")</f>
        <v>9</v>
      </c>
      <c r="U295">
        <f>IFERROR(VLOOKUP($A295,[5]库存使用数据!$A:$F,6,0),"")</f>
        <v>6</v>
      </c>
      <c r="V295">
        <f>IFERROR(VLOOKUP($A295,[5]库存使用数据!$A:$I,9,0),"")</f>
        <v>7</v>
      </c>
      <c r="W295">
        <f>IFERROR(VLOOKUP($A295,[5]库存使用数据!$A:$L,12,0),"")</f>
        <v>6</v>
      </c>
      <c r="X295" s="23">
        <f t="shared" si="77"/>
        <v>0.00857142857142857</v>
      </c>
      <c r="Y295" s="23">
        <f t="shared" si="78"/>
        <v>0.00639658848614072</v>
      </c>
      <c r="Z295" s="23">
        <f t="shared" si="79"/>
        <v>0.00673724735322425</v>
      </c>
      <c r="AA295" s="23">
        <f t="shared" si="80"/>
        <v>0.00704225352112676</v>
      </c>
      <c r="AB295">
        <f>IFERROR(VLOOKUP($A295,[5]库存使用数据!$A:$D,4,0),"")</f>
        <v>2.19</v>
      </c>
      <c r="AC295">
        <f>IFERROR(VLOOKUP($A295,[5]库存使用数据!$A:$G,7,0),"")</f>
        <v>1.06</v>
      </c>
      <c r="AD295">
        <f>IFERROR(VLOOKUP($A295,[5]库存使用数据!$A:$J,10,0),"")</f>
        <v>0.83</v>
      </c>
      <c r="AE295">
        <f>IFERROR(VLOOKUP($A295,[5]库存使用数据!$A:$M,13,0),"")</f>
        <v>1.24</v>
      </c>
      <c r="AF295" s="23" t="str">
        <f t="shared" si="81"/>
        <v>无销量广告费为2.19</v>
      </c>
      <c r="AG295" s="23" t="str">
        <f t="shared" si="82"/>
        <v>无销量广告费为1.06</v>
      </c>
      <c r="AH295" s="23">
        <f t="shared" si="83"/>
        <v>0.0643410852713178</v>
      </c>
      <c r="AI295" s="23" t="str">
        <f t="shared" si="84"/>
        <v>无销量广告费为1.24</v>
      </c>
      <c r="AJ295">
        <f>IFERROR(VLOOKUP($B295,[1]库存报告使用数据!$A$1:$B$65536,2,0),0)</f>
        <v>4</v>
      </c>
      <c r="AK295">
        <f>IFERROR(VLOOKUP($B295,[1]库存报告使用数据!$A$1:$C$65536,3,0),0)</f>
        <v>1</v>
      </c>
      <c r="AL295">
        <f>IFERROR(VLOOKUP($B295,[1]库存报告使用数据!$A$1:$D$65536,4,0),0)</f>
        <v>4</v>
      </c>
      <c r="AM295">
        <f>IFERROR(VLOOKUP($B295,[1]库存报告使用数据!$A$1:$E$65536,5,0),0)</f>
        <v>1</v>
      </c>
      <c r="AN295" s="23">
        <f t="shared" si="85"/>
        <v>0</v>
      </c>
      <c r="AO295" s="23">
        <f t="shared" si="86"/>
        <v>0</v>
      </c>
      <c r="AP295" s="23">
        <f t="shared" si="87"/>
        <v>0.25</v>
      </c>
      <c r="AQ295" s="23">
        <f t="shared" si="88"/>
        <v>0</v>
      </c>
      <c r="AR295" s="38">
        <f t="shared" si="73"/>
        <v>0</v>
      </c>
      <c r="AS295" s="38">
        <f t="shared" si="74"/>
        <v>0</v>
      </c>
      <c r="AT295" s="38">
        <f t="shared" si="75"/>
        <v>2</v>
      </c>
      <c r="AU295" s="33" t="str">
        <f t="shared" si="76"/>
        <v>库存为2</v>
      </c>
      <c r="AV295" s="39" t="str">
        <f>IFERROR(时间!$B$4+AU295,"上周无销量")</f>
        <v>上周无销量</v>
      </c>
    </row>
    <row r="296" spans="1:48">
      <c r="A296" s="35" t="s">
        <v>341</v>
      </c>
      <c r="B296" t="str">
        <f>VLOOKUP(A296,'[2]sku-asin（子）'!$A:$B,2,0)</f>
        <v>B074FTZ9P4</v>
      </c>
      <c r="C296" t="str">
        <f>VLOOKUP(A296,'[2]子sku-父sku'!$A:$B,2,0)</f>
        <v>N9383Y</v>
      </c>
      <c r="D296" s="33">
        <f>IFERROR(VLOOKUP(A296,[3]库存报告使用数据处理!$A:$C,3,0),0)</f>
        <v>0</v>
      </c>
      <c r="E296" s="33">
        <f>IFERROR(VLOOKUP(A296,[3]库存报告使用数据处理!$A:$D,4,0),0)</f>
        <v>0</v>
      </c>
      <c r="F296" s="33">
        <f>IFERROR(VLOOKUP(A296,[3]库存报告使用数据处理!$A:$E,5,0),0)</f>
        <v>0</v>
      </c>
      <c r="G296" s="33">
        <f>IFERROR(VLOOKUP(A296,[3]库存报告使用数据处理!$A:$F,6,0),0)</f>
        <v>0</v>
      </c>
      <c r="H296" s="34">
        <f>IFERROR(VLOOKUP(A296,[3]库存报告使用数据处理!$A:$G,7,0),0)</f>
        <v>0</v>
      </c>
      <c r="I296">
        <f>IFERROR(VLOOKUP(A296,[4]数据处理!$A:$B,2,0),0)</f>
        <v>3</v>
      </c>
      <c r="J296" s="36">
        <f>IFERROR(VLOOKUP(A296,[4]数据处理!$A:$D,4,0),0)</f>
        <v>0</v>
      </c>
      <c r="K296" s="36">
        <f>IFERROR(VLOOKUP(A296,[4]数据处理!$A:$E,5,0),0)</f>
        <v>0</v>
      </c>
      <c r="L296" s="36">
        <f>IFERROR(VLOOKUP(A296,[4]数据处理!$A:$G,7,0),0)</f>
        <v>0</v>
      </c>
      <c r="M296">
        <f t="shared" si="72"/>
        <v>3</v>
      </c>
      <c r="N296">
        <f>IFERROR(VLOOKUP(A296,[4]数据处理!$A:$C,3,0),0)</f>
        <v>0</v>
      </c>
      <c r="O296">
        <f>IFERROR(VLOOKUP($A296,[4]数据处理!$A:$N,14,0),0)</f>
        <v>3</v>
      </c>
      <c r="P296">
        <f>IFERROR(VLOOKUP($A296,[5]库存使用数据!$A:$B,2,0),"")</f>
        <v>82</v>
      </c>
      <c r="Q296">
        <f>IFERROR(VLOOKUP($A296,[5]库存使用数据!$A:$E,5,0),"")</f>
        <v>27</v>
      </c>
      <c r="R296">
        <f>IFERROR(VLOOKUP($A296,[5]库存使用数据!$A:$H,8,0),"")</f>
        <v>70</v>
      </c>
      <c r="S296">
        <f>IFERROR(VLOOKUP($A296,[5]库存使用数据!$A:$K,11,0),"")</f>
        <v>4</v>
      </c>
      <c r="T296">
        <f>IFERROR(VLOOKUP($A296,[5]库存使用数据!$A:$C,3,0),"")</f>
        <v>0</v>
      </c>
      <c r="U296">
        <f>IFERROR(VLOOKUP($A296,[5]库存使用数据!$A:$F,6,0),"")</f>
        <v>0</v>
      </c>
      <c r="V296">
        <f>IFERROR(VLOOKUP($A296,[5]库存使用数据!$A:$I,9,0),"")</f>
        <v>1</v>
      </c>
      <c r="W296">
        <f>IFERROR(VLOOKUP($A296,[5]库存使用数据!$A:$L,12,0),"")</f>
        <v>0</v>
      </c>
      <c r="X296" s="23">
        <f t="shared" si="77"/>
        <v>0</v>
      </c>
      <c r="Y296" s="23">
        <f t="shared" si="78"/>
        <v>0</v>
      </c>
      <c r="Z296" s="23">
        <f t="shared" si="79"/>
        <v>0.0142857142857143</v>
      </c>
      <c r="AA296" s="23">
        <f t="shared" si="80"/>
        <v>0</v>
      </c>
      <c r="AB296">
        <f>IFERROR(VLOOKUP($A296,[5]库存使用数据!$A:$D,4,0),"")</f>
        <v>0</v>
      </c>
      <c r="AC296">
        <f>IFERROR(VLOOKUP($A296,[5]库存使用数据!$A:$G,7,0),"")</f>
        <v>0</v>
      </c>
      <c r="AD296">
        <f>IFERROR(VLOOKUP($A296,[5]库存使用数据!$A:$J,10,0),"")</f>
        <v>0.05</v>
      </c>
      <c r="AE296">
        <f>IFERROR(VLOOKUP($A296,[5]库存使用数据!$A:$M,13,0),"")</f>
        <v>0</v>
      </c>
      <c r="AF296" s="23" t="str">
        <f t="shared" si="81"/>
        <v/>
      </c>
      <c r="AG296" s="23" t="str">
        <f t="shared" si="82"/>
        <v/>
      </c>
      <c r="AH296" s="23" t="str">
        <f t="shared" si="83"/>
        <v>无销量广告费为0.05</v>
      </c>
      <c r="AI296" s="23" t="str">
        <f t="shared" si="84"/>
        <v/>
      </c>
      <c r="AJ296">
        <f>IFERROR(VLOOKUP($B296,[1]库存报告使用数据!$A$1:$B$65536,2,0),0)</f>
        <v>3</v>
      </c>
      <c r="AK296">
        <f>IFERROR(VLOOKUP($B296,[1]库存报告使用数据!$A$1:$C$65536,3,0),0)</f>
        <v>2</v>
      </c>
      <c r="AL296">
        <f>IFERROR(VLOOKUP($B296,[1]库存报告使用数据!$A$1:$D$65536,4,0),0)</f>
        <v>1</v>
      </c>
      <c r="AM296">
        <f>IFERROR(VLOOKUP($B296,[1]库存报告使用数据!$A$1:$E$65536,5,0),0)</f>
        <v>1</v>
      </c>
      <c r="AN296" s="23">
        <f t="shared" si="85"/>
        <v>0</v>
      </c>
      <c r="AO296" s="23">
        <f t="shared" si="86"/>
        <v>0</v>
      </c>
      <c r="AP296" s="23">
        <f t="shared" si="87"/>
        <v>0</v>
      </c>
      <c r="AQ296" s="23">
        <f t="shared" si="88"/>
        <v>0</v>
      </c>
      <c r="AR296" s="38">
        <f t="shared" si="73"/>
        <v>0</v>
      </c>
      <c r="AS296" s="38">
        <f t="shared" si="74"/>
        <v>0</v>
      </c>
      <c r="AT296" s="38">
        <f t="shared" si="75"/>
        <v>3</v>
      </c>
      <c r="AU296" s="33" t="str">
        <f t="shared" si="76"/>
        <v>库存为3</v>
      </c>
      <c r="AV296" s="39" t="str">
        <f>IFERROR(时间!$B$4+AU296,"上周无销量")</f>
        <v>上周无销量</v>
      </c>
    </row>
    <row r="297" spans="1:48">
      <c r="A297" s="35" t="s">
        <v>342</v>
      </c>
      <c r="B297" t="str">
        <f>VLOOKUP(A297,'[2]sku-asin（子）'!$A:$B,2,0)</f>
        <v>B074FX94G1</v>
      </c>
      <c r="C297" t="str">
        <f>VLOOKUP(A297,'[2]子sku-父sku'!$A:$B,2,0)</f>
        <v>N9932Y</v>
      </c>
      <c r="D297" s="33">
        <f>IFERROR(VLOOKUP(A297,[3]库存报告使用数据处理!$A:$C,3,0),0)</f>
        <v>0</v>
      </c>
      <c r="E297" s="33">
        <f>IFERROR(VLOOKUP(A297,[3]库存报告使用数据处理!$A:$D,4,0),0)</f>
        <v>0</v>
      </c>
      <c r="F297" s="33">
        <f>IFERROR(VLOOKUP(A297,[3]库存报告使用数据处理!$A:$E,5,0),0)</f>
        <v>0</v>
      </c>
      <c r="G297" s="33">
        <f>IFERROR(VLOOKUP(A297,[3]库存报告使用数据处理!$A:$F,6,0),0)</f>
        <v>0</v>
      </c>
      <c r="H297" s="34">
        <f>IFERROR(VLOOKUP(A297,[3]库存报告使用数据处理!$A:$G,7,0),0)</f>
        <v>0</v>
      </c>
      <c r="I297">
        <f>IFERROR(VLOOKUP(A297,[4]数据处理!$A:$B,2,0),0)</f>
        <v>3</v>
      </c>
      <c r="J297" s="36">
        <f>IFERROR(VLOOKUP(A297,[4]数据处理!$A:$D,4,0),0)</f>
        <v>0</v>
      </c>
      <c r="K297" s="36">
        <f>IFERROR(VLOOKUP(A297,[4]数据处理!$A:$E,5,0),0)</f>
        <v>0</v>
      </c>
      <c r="L297" s="36">
        <f>IFERROR(VLOOKUP(A297,[4]数据处理!$A:$G,7,0),0)</f>
        <v>0</v>
      </c>
      <c r="M297">
        <f t="shared" si="72"/>
        <v>3</v>
      </c>
      <c r="N297">
        <f>IFERROR(VLOOKUP(A297,[4]数据处理!$A:$C,3,0),0)</f>
        <v>0</v>
      </c>
      <c r="O297">
        <f>IFERROR(VLOOKUP($A297,[4]数据处理!$A:$N,14,0),0)</f>
        <v>3</v>
      </c>
      <c r="P297">
        <f>IFERROR(VLOOKUP($A297,[5]库存使用数据!$A:$B,2,0),"")</f>
        <v>3</v>
      </c>
      <c r="Q297">
        <f>IFERROR(VLOOKUP($A297,[5]库存使用数据!$A:$E,5,0),"")</f>
        <v>1</v>
      </c>
      <c r="R297">
        <f>IFERROR(VLOOKUP($A297,[5]库存使用数据!$A:$H,8,0),"")</f>
        <v>1</v>
      </c>
      <c r="S297">
        <f>IFERROR(VLOOKUP($A297,[5]库存使用数据!$A:$K,11,0),"")</f>
        <v>1</v>
      </c>
      <c r="T297">
        <f>IFERROR(VLOOKUP($A297,[5]库存使用数据!$A:$C,3,0),"")</f>
        <v>0</v>
      </c>
      <c r="U297">
        <f>IFERROR(VLOOKUP($A297,[5]库存使用数据!$A:$F,6,0),"")</f>
        <v>0</v>
      </c>
      <c r="V297">
        <f>IFERROR(VLOOKUP($A297,[5]库存使用数据!$A:$I,9,0),"")</f>
        <v>0</v>
      </c>
      <c r="W297">
        <f>IFERROR(VLOOKUP($A297,[5]库存使用数据!$A:$L,12,0),"")</f>
        <v>0</v>
      </c>
      <c r="X297" s="23">
        <f t="shared" si="77"/>
        <v>0</v>
      </c>
      <c r="Y297" s="23">
        <f t="shared" si="78"/>
        <v>0</v>
      </c>
      <c r="Z297" s="23">
        <f t="shared" si="79"/>
        <v>0</v>
      </c>
      <c r="AA297" s="23">
        <f t="shared" si="80"/>
        <v>0</v>
      </c>
      <c r="AB297">
        <f>IFERROR(VLOOKUP($A297,[5]库存使用数据!$A:$D,4,0),"")</f>
        <v>0</v>
      </c>
      <c r="AC297">
        <f>IFERROR(VLOOKUP($A297,[5]库存使用数据!$A:$G,7,0),"")</f>
        <v>0</v>
      </c>
      <c r="AD297">
        <f>IFERROR(VLOOKUP($A297,[5]库存使用数据!$A:$J,10,0),"")</f>
        <v>0</v>
      </c>
      <c r="AE297">
        <f>IFERROR(VLOOKUP($A297,[5]库存使用数据!$A:$M,13,0),"")</f>
        <v>0</v>
      </c>
      <c r="AF297" s="23" t="str">
        <f t="shared" si="81"/>
        <v/>
      </c>
      <c r="AG297" s="23" t="str">
        <f t="shared" si="82"/>
        <v/>
      </c>
      <c r="AH297" s="23" t="str">
        <f t="shared" si="83"/>
        <v/>
      </c>
      <c r="AI297" s="23" t="str">
        <f t="shared" si="84"/>
        <v/>
      </c>
      <c r="AJ297">
        <f>IFERROR(VLOOKUP($B297,[1]库存报告使用数据!$A$1:$B$65536,2,0),0)</f>
        <v>1</v>
      </c>
      <c r="AK297">
        <f>IFERROR(VLOOKUP($B297,[1]库存报告使用数据!$A$1:$C$65536,3,0),0)</f>
        <v>2</v>
      </c>
      <c r="AL297">
        <f>IFERROR(VLOOKUP($B297,[1]库存报告使用数据!$A$1:$D$65536,4,0),0)</f>
        <v>2</v>
      </c>
      <c r="AM297">
        <f>IFERROR(VLOOKUP($B297,[1]库存报告使用数据!$A$1:$E$65536,5,0),0)</f>
        <v>1</v>
      </c>
      <c r="AN297" s="23">
        <f t="shared" si="85"/>
        <v>0</v>
      </c>
      <c r="AO297" s="23">
        <f t="shared" si="86"/>
        <v>0</v>
      </c>
      <c r="AP297" s="23">
        <f t="shared" si="87"/>
        <v>0</v>
      </c>
      <c r="AQ297" s="23">
        <f t="shared" si="88"/>
        <v>0</v>
      </c>
      <c r="AR297" s="38">
        <f t="shared" si="73"/>
        <v>0</v>
      </c>
      <c r="AS297" s="38">
        <f t="shared" si="74"/>
        <v>0</v>
      </c>
      <c r="AT297" s="38">
        <f t="shared" si="75"/>
        <v>3</v>
      </c>
      <c r="AU297" s="33" t="str">
        <f t="shared" si="76"/>
        <v>库存为3</v>
      </c>
      <c r="AV297" s="39" t="str">
        <f>IFERROR(时间!$B$4+AU297,"上周无销量")</f>
        <v>上周无销量</v>
      </c>
    </row>
    <row r="298" spans="1:48">
      <c r="A298" s="35" t="s">
        <v>343</v>
      </c>
      <c r="B298" t="str">
        <f>VLOOKUP(A298,'[2]sku-asin（子）'!$A:$B,2,0)</f>
        <v>B074FX1CXN</v>
      </c>
      <c r="C298" t="str">
        <f>VLOOKUP(A298,'[2]子sku-父sku'!$A:$B,2,0)</f>
        <v>N9932Y</v>
      </c>
      <c r="D298" s="33">
        <f>IFERROR(VLOOKUP(A298,[3]库存报告使用数据处理!$A:$C,3,0),0)</f>
        <v>0</v>
      </c>
      <c r="E298" s="33">
        <f>IFERROR(VLOOKUP(A298,[3]库存报告使用数据处理!$A:$D,4,0),0)</f>
        <v>0</v>
      </c>
      <c r="F298" s="33">
        <f>IFERROR(VLOOKUP(A298,[3]库存报告使用数据处理!$A:$E,5,0),0)</f>
        <v>0</v>
      </c>
      <c r="G298" s="33">
        <f>IFERROR(VLOOKUP(A298,[3]库存报告使用数据处理!$A:$F,6,0),0)</f>
        <v>0</v>
      </c>
      <c r="H298" s="34">
        <f>IFERROR(VLOOKUP(A298,[3]库存报告使用数据处理!$A:$G,7,0),0)</f>
        <v>0</v>
      </c>
      <c r="I298">
        <f>IFERROR(VLOOKUP(A298,[4]数据处理!$A:$B,2,0),0)</f>
        <v>3</v>
      </c>
      <c r="J298" s="36">
        <f>IFERROR(VLOOKUP(A298,[4]数据处理!$A:$D,4,0),0)</f>
        <v>0</v>
      </c>
      <c r="K298" s="36">
        <f>IFERROR(VLOOKUP(A298,[4]数据处理!$A:$E,5,0),0)</f>
        <v>0</v>
      </c>
      <c r="L298" s="36">
        <f>IFERROR(VLOOKUP(A298,[4]数据处理!$A:$G,7,0),0)</f>
        <v>0</v>
      </c>
      <c r="M298">
        <f t="shared" si="72"/>
        <v>3</v>
      </c>
      <c r="N298">
        <f>IFERROR(VLOOKUP(A298,[4]数据处理!$A:$C,3,0),0)</f>
        <v>0</v>
      </c>
      <c r="O298">
        <f>IFERROR(VLOOKUP($A298,[4]数据处理!$A:$N,14,0),0)</f>
        <v>3</v>
      </c>
      <c r="P298">
        <f>IFERROR(VLOOKUP($A298,[5]库存使用数据!$A:$B,2,0),"")</f>
        <v>22</v>
      </c>
      <c r="Q298">
        <f>IFERROR(VLOOKUP($A298,[5]库存使用数据!$A:$E,5,0),"")</f>
        <v>93</v>
      </c>
      <c r="R298">
        <f>IFERROR(VLOOKUP($A298,[5]库存使用数据!$A:$H,8,0),"")</f>
        <v>123</v>
      </c>
      <c r="S298">
        <f>IFERROR(VLOOKUP($A298,[5]库存使用数据!$A:$K,11,0),"")</f>
        <v>74</v>
      </c>
      <c r="T298">
        <f>IFERROR(VLOOKUP($A298,[5]库存使用数据!$A:$C,3,0),"")</f>
        <v>0</v>
      </c>
      <c r="U298">
        <f>IFERROR(VLOOKUP($A298,[5]库存使用数据!$A:$F,6,0),"")</f>
        <v>1</v>
      </c>
      <c r="V298">
        <f>IFERROR(VLOOKUP($A298,[5]库存使用数据!$A:$I,9,0),"")</f>
        <v>0</v>
      </c>
      <c r="W298">
        <f>IFERROR(VLOOKUP($A298,[5]库存使用数据!$A:$L,12,0),"")</f>
        <v>1</v>
      </c>
      <c r="X298" s="23">
        <f t="shared" si="77"/>
        <v>0</v>
      </c>
      <c r="Y298" s="23">
        <f t="shared" si="78"/>
        <v>0.010752688172043</v>
      </c>
      <c r="Z298" s="23">
        <f t="shared" si="79"/>
        <v>0</v>
      </c>
      <c r="AA298" s="23">
        <f t="shared" si="80"/>
        <v>0.0135135135135135</v>
      </c>
      <c r="AB298">
        <f>IFERROR(VLOOKUP($A298,[5]库存使用数据!$A:$D,4,0),"")</f>
        <v>0</v>
      </c>
      <c r="AC298">
        <f>IFERROR(VLOOKUP($A298,[5]库存使用数据!$A:$G,7,0),"")</f>
        <v>0.32</v>
      </c>
      <c r="AD298">
        <f>IFERROR(VLOOKUP($A298,[5]库存使用数据!$A:$J,10,0),"")</f>
        <v>0</v>
      </c>
      <c r="AE298">
        <f>IFERROR(VLOOKUP($A298,[5]库存使用数据!$A:$M,13,0),"")</f>
        <v>0.31</v>
      </c>
      <c r="AF298" s="23" t="str">
        <f t="shared" si="81"/>
        <v/>
      </c>
      <c r="AG298" s="23" t="str">
        <f t="shared" si="82"/>
        <v>无销量广告费为0.32</v>
      </c>
      <c r="AH298" s="23" t="str">
        <f t="shared" si="83"/>
        <v/>
      </c>
      <c r="AI298" s="23" t="str">
        <f t="shared" si="84"/>
        <v>无销量广告费为0.31</v>
      </c>
      <c r="AJ298">
        <f>IFERROR(VLOOKUP($B298,[1]库存报告使用数据!$A$1:$B$65536,2,0),0)</f>
        <v>0</v>
      </c>
      <c r="AK298">
        <f>IFERROR(VLOOKUP($B298,[1]库存报告使用数据!$A$1:$C$65536,3,0),0)</f>
        <v>5</v>
      </c>
      <c r="AL298">
        <f>IFERROR(VLOOKUP($B298,[1]库存报告使用数据!$A$1:$D$65536,4,0),0)</f>
        <v>0</v>
      </c>
      <c r="AM298">
        <f>IFERROR(VLOOKUP($B298,[1]库存报告使用数据!$A$1:$E$65536,5,0),0)</f>
        <v>2</v>
      </c>
      <c r="AN298" s="23" t="str">
        <f t="shared" si="85"/>
        <v/>
      </c>
      <c r="AO298" s="23">
        <f t="shared" si="86"/>
        <v>0</v>
      </c>
      <c r="AP298" s="23" t="str">
        <f t="shared" si="87"/>
        <v/>
      </c>
      <c r="AQ298" s="23">
        <f t="shared" si="88"/>
        <v>0</v>
      </c>
      <c r="AR298" s="38">
        <f t="shared" si="73"/>
        <v>0</v>
      </c>
      <c r="AS298" s="38">
        <f t="shared" si="74"/>
        <v>0</v>
      </c>
      <c r="AT298" s="38">
        <f t="shared" si="75"/>
        <v>3</v>
      </c>
      <c r="AU298" s="33" t="str">
        <f t="shared" si="76"/>
        <v>库存为3</v>
      </c>
      <c r="AV298" s="39" t="str">
        <f>IFERROR(时间!$B$4+AU298,"上周无销量")</f>
        <v>上周无销量</v>
      </c>
    </row>
    <row r="299" spans="1:48">
      <c r="A299" s="35" t="s">
        <v>344</v>
      </c>
      <c r="B299" t="str">
        <f>VLOOKUP(A299,'[2]sku-asin（子）'!$A:$B,2,0)</f>
        <v>B074FTFWR7</v>
      </c>
      <c r="C299" t="str">
        <f>VLOOKUP(A299,'[2]子sku-父sku'!$A:$B,2,0)</f>
        <v>N9932Y</v>
      </c>
      <c r="D299" s="33">
        <f>IFERROR(VLOOKUP(A299,[3]库存报告使用数据处理!$A:$C,3,0),0)</f>
        <v>0</v>
      </c>
      <c r="E299" s="33">
        <f>IFERROR(VLOOKUP(A299,[3]库存报告使用数据处理!$A:$D,4,0),0)</f>
        <v>0</v>
      </c>
      <c r="F299" s="33">
        <f>IFERROR(VLOOKUP(A299,[3]库存报告使用数据处理!$A:$E,5,0),0)</f>
        <v>0</v>
      </c>
      <c r="G299" s="33">
        <f>IFERROR(VLOOKUP(A299,[3]库存报告使用数据处理!$A:$F,6,0),0)</f>
        <v>0</v>
      </c>
      <c r="H299" s="34">
        <f>IFERROR(VLOOKUP(A299,[3]库存报告使用数据处理!$A:$G,7,0),0)</f>
        <v>0</v>
      </c>
      <c r="I299">
        <f>IFERROR(VLOOKUP(A299,[4]数据处理!$A:$B,2,0),0)</f>
        <v>3</v>
      </c>
      <c r="J299" s="36">
        <f>IFERROR(VLOOKUP(A299,[4]数据处理!$A:$D,4,0),0)</f>
        <v>0</v>
      </c>
      <c r="K299" s="36">
        <f>IFERROR(VLOOKUP(A299,[4]数据处理!$A:$E,5,0),0)</f>
        <v>0</v>
      </c>
      <c r="L299" s="36">
        <f>IFERROR(VLOOKUP(A299,[4]数据处理!$A:$G,7,0),0)</f>
        <v>0</v>
      </c>
      <c r="M299">
        <f t="shared" si="72"/>
        <v>3</v>
      </c>
      <c r="N299">
        <f>IFERROR(VLOOKUP(A299,[4]数据处理!$A:$C,3,0),0)</f>
        <v>0</v>
      </c>
      <c r="O299">
        <f>IFERROR(VLOOKUP($A299,[4]数据处理!$A:$N,14,0),0)</f>
        <v>3</v>
      </c>
      <c r="P299">
        <f>IFERROR(VLOOKUP($A299,[5]库存使用数据!$A:$B,2,0),"")</f>
        <v>182</v>
      </c>
      <c r="Q299">
        <f>IFERROR(VLOOKUP($A299,[5]库存使用数据!$A:$E,5,0),"")</f>
        <v>311</v>
      </c>
      <c r="R299">
        <f>IFERROR(VLOOKUP($A299,[5]库存使用数据!$A:$H,8,0),"")</f>
        <v>383</v>
      </c>
      <c r="S299">
        <f>IFERROR(VLOOKUP($A299,[5]库存使用数据!$A:$K,11,0),"")</f>
        <v>233</v>
      </c>
      <c r="T299">
        <f>IFERROR(VLOOKUP($A299,[5]库存使用数据!$A:$C,3,0),"")</f>
        <v>0</v>
      </c>
      <c r="U299">
        <f>IFERROR(VLOOKUP($A299,[5]库存使用数据!$A:$F,6,0),"")</f>
        <v>0</v>
      </c>
      <c r="V299">
        <f>IFERROR(VLOOKUP($A299,[5]库存使用数据!$A:$I,9,0),"")</f>
        <v>0</v>
      </c>
      <c r="W299">
        <f>IFERROR(VLOOKUP($A299,[5]库存使用数据!$A:$L,12,0),"")</f>
        <v>0</v>
      </c>
      <c r="X299" s="23">
        <f t="shared" si="77"/>
        <v>0</v>
      </c>
      <c r="Y299" s="23">
        <f t="shared" si="78"/>
        <v>0</v>
      </c>
      <c r="Z299" s="23">
        <f t="shared" si="79"/>
        <v>0</v>
      </c>
      <c r="AA299" s="23">
        <f t="shared" si="80"/>
        <v>0</v>
      </c>
      <c r="AB299">
        <f>IFERROR(VLOOKUP($A299,[5]库存使用数据!$A:$D,4,0),"")</f>
        <v>0</v>
      </c>
      <c r="AC299">
        <f>IFERROR(VLOOKUP($A299,[5]库存使用数据!$A:$G,7,0),"")</f>
        <v>0</v>
      </c>
      <c r="AD299">
        <f>IFERROR(VLOOKUP($A299,[5]库存使用数据!$A:$J,10,0),"")</f>
        <v>0</v>
      </c>
      <c r="AE299">
        <f>IFERROR(VLOOKUP($A299,[5]库存使用数据!$A:$M,13,0),"")</f>
        <v>0</v>
      </c>
      <c r="AF299" s="23" t="str">
        <f t="shared" si="81"/>
        <v/>
      </c>
      <c r="AG299" s="23" t="str">
        <f t="shared" si="82"/>
        <v/>
      </c>
      <c r="AH299" s="23" t="str">
        <f t="shared" si="83"/>
        <v/>
      </c>
      <c r="AI299" s="23" t="str">
        <f t="shared" si="84"/>
        <v/>
      </c>
      <c r="AJ299">
        <f>IFERROR(VLOOKUP($B299,[1]库存报告使用数据!$A$1:$B$65536,2,0),0)</f>
        <v>2</v>
      </c>
      <c r="AK299">
        <f>IFERROR(VLOOKUP($B299,[1]库存报告使用数据!$A$1:$C$65536,3,0),0)</f>
        <v>1</v>
      </c>
      <c r="AL299">
        <f>IFERROR(VLOOKUP($B299,[1]库存报告使用数据!$A$1:$D$65536,4,0),0)</f>
        <v>1</v>
      </c>
      <c r="AM299">
        <f>IFERROR(VLOOKUP($B299,[1]库存报告使用数据!$A$1:$E$65536,5,0),0)</f>
        <v>0</v>
      </c>
      <c r="AN299" s="23">
        <f t="shared" si="85"/>
        <v>0</v>
      </c>
      <c r="AO299" s="23">
        <f t="shared" si="86"/>
        <v>0</v>
      </c>
      <c r="AP299" s="23">
        <f t="shared" si="87"/>
        <v>0</v>
      </c>
      <c r="AQ299" s="23" t="str">
        <f t="shared" si="88"/>
        <v/>
      </c>
      <c r="AR299" s="38">
        <f t="shared" si="73"/>
        <v>0</v>
      </c>
      <c r="AS299" s="38">
        <f t="shared" si="74"/>
        <v>0</v>
      </c>
      <c r="AT299" s="38">
        <f t="shared" si="75"/>
        <v>3</v>
      </c>
      <c r="AU299" s="33" t="str">
        <f t="shared" si="76"/>
        <v>库存为3</v>
      </c>
      <c r="AV299" s="39" t="str">
        <f>IFERROR(时间!$B$4+AU299,"上周无销量")</f>
        <v>上周无销量</v>
      </c>
    </row>
    <row r="300" spans="1:48">
      <c r="A300" s="35" t="s">
        <v>345</v>
      </c>
      <c r="B300" t="str">
        <f>VLOOKUP(A300,'[2]sku-asin（子）'!$A:$B,2,0)</f>
        <v>B074FTV42K</v>
      </c>
      <c r="C300" t="str">
        <f>VLOOKUP(A300,'[2]子sku-父sku'!$A:$B,2,0)</f>
        <v>N9932Y</v>
      </c>
      <c r="D300" s="33">
        <f>IFERROR(VLOOKUP(A300,[3]库存报告使用数据处理!$A:$C,3,0),0)</f>
        <v>0</v>
      </c>
      <c r="E300" s="33">
        <f>IFERROR(VLOOKUP(A300,[3]库存报告使用数据处理!$A:$D,4,0),0)</f>
        <v>0</v>
      </c>
      <c r="F300" s="33">
        <f>IFERROR(VLOOKUP(A300,[3]库存报告使用数据处理!$A:$E,5,0),0)</f>
        <v>0</v>
      </c>
      <c r="G300" s="33">
        <f>IFERROR(VLOOKUP(A300,[3]库存报告使用数据处理!$A:$F,6,0),0)</f>
        <v>0</v>
      </c>
      <c r="H300" s="34">
        <f>IFERROR(VLOOKUP(A300,[3]库存报告使用数据处理!$A:$G,7,0),0)</f>
        <v>0</v>
      </c>
      <c r="I300">
        <f>IFERROR(VLOOKUP(A300,[4]数据处理!$A:$B,2,0),0)</f>
        <v>3</v>
      </c>
      <c r="J300" s="36">
        <f>IFERROR(VLOOKUP(A300,[4]数据处理!$A:$D,4,0),0)</f>
        <v>0</v>
      </c>
      <c r="K300" s="36">
        <f>IFERROR(VLOOKUP(A300,[4]数据处理!$A:$E,5,0),0)</f>
        <v>0</v>
      </c>
      <c r="L300" s="36">
        <f>IFERROR(VLOOKUP(A300,[4]数据处理!$A:$G,7,0),0)</f>
        <v>0</v>
      </c>
      <c r="M300">
        <f t="shared" si="72"/>
        <v>3</v>
      </c>
      <c r="N300">
        <f>IFERROR(VLOOKUP(A300,[4]数据处理!$A:$C,3,0),0)</f>
        <v>0</v>
      </c>
      <c r="O300">
        <f>IFERROR(VLOOKUP($A300,[4]数据处理!$A:$N,14,0),0)</f>
        <v>3</v>
      </c>
      <c r="P300">
        <f>IFERROR(VLOOKUP($A300,[5]库存使用数据!$A:$B,2,0),"")</f>
        <v>495</v>
      </c>
      <c r="Q300">
        <f>IFERROR(VLOOKUP($A300,[5]库存使用数据!$A:$E,5,0),"")</f>
        <v>518</v>
      </c>
      <c r="R300">
        <f>IFERROR(VLOOKUP($A300,[5]库存使用数据!$A:$H,8,0),"")</f>
        <v>492</v>
      </c>
      <c r="S300">
        <f>IFERROR(VLOOKUP($A300,[5]库存使用数据!$A:$K,11,0),"")</f>
        <v>434</v>
      </c>
      <c r="T300">
        <f>IFERROR(VLOOKUP($A300,[5]库存使用数据!$A:$C,3,0),"")</f>
        <v>0</v>
      </c>
      <c r="U300">
        <f>IFERROR(VLOOKUP($A300,[5]库存使用数据!$A:$F,6,0),"")</f>
        <v>2</v>
      </c>
      <c r="V300">
        <f>IFERROR(VLOOKUP($A300,[5]库存使用数据!$A:$I,9,0),"")</f>
        <v>0</v>
      </c>
      <c r="W300">
        <f>IFERROR(VLOOKUP($A300,[5]库存使用数据!$A:$L,12,0),"")</f>
        <v>0</v>
      </c>
      <c r="X300" s="23">
        <f t="shared" si="77"/>
        <v>0</v>
      </c>
      <c r="Y300" s="23">
        <f t="shared" si="78"/>
        <v>0.00386100386100386</v>
      </c>
      <c r="Z300" s="23">
        <f t="shared" si="79"/>
        <v>0</v>
      </c>
      <c r="AA300" s="23">
        <f t="shared" si="80"/>
        <v>0</v>
      </c>
      <c r="AB300">
        <f>IFERROR(VLOOKUP($A300,[5]库存使用数据!$A:$D,4,0),"")</f>
        <v>0</v>
      </c>
      <c r="AC300">
        <f>IFERROR(VLOOKUP($A300,[5]库存使用数据!$A:$G,7,0),"")</f>
        <v>0.69</v>
      </c>
      <c r="AD300">
        <f>IFERROR(VLOOKUP($A300,[5]库存使用数据!$A:$J,10,0),"")</f>
        <v>0</v>
      </c>
      <c r="AE300">
        <f>IFERROR(VLOOKUP($A300,[5]库存使用数据!$A:$M,13,0),"")</f>
        <v>0</v>
      </c>
      <c r="AF300" s="23" t="str">
        <f t="shared" si="81"/>
        <v/>
      </c>
      <c r="AG300" s="23" t="str">
        <f t="shared" si="82"/>
        <v>无销量广告费为0.69</v>
      </c>
      <c r="AH300" s="23" t="str">
        <f t="shared" si="83"/>
        <v/>
      </c>
      <c r="AI300" s="23" t="str">
        <f t="shared" si="84"/>
        <v/>
      </c>
      <c r="AJ300">
        <f>IFERROR(VLOOKUP($B300,[1]库存报告使用数据!$A$1:$B$65536,2,0),0)</f>
        <v>3</v>
      </c>
      <c r="AK300">
        <f>IFERROR(VLOOKUP($B300,[1]库存报告使用数据!$A$1:$C$65536,3,0),0)</f>
        <v>2</v>
      </c>
      <c r="AL300">
        <f>IFERROR(VLOOKUP($B300,[1]库存报告使用数据!$A$1:$D$65536,4,0),0)</f>
        <v>2</v>
      </c>
      <c r="AM300">
        <f>IFERROR(VLOOKUP($B300,[1]库存报告使用数据!$A$1:$E$65536,5,0),0)</f>
        <v>0</v>
      </c>
      <c r="AN300" s="23">
        <f t="shared" si="85"/>
        <v>0</v>
      </c>
      <c r="AO300" s="23">
        <f t="shared" si="86"/>
        <v>0</v>
      </c>
      <c r="AP300" s="23">
        <f t="shared" si="87"/>
        <v>0</v>
      </c>
      <c r="AQ300" s="23" t="str">
        <f t="shared" si="88"/>
        <v/>
      </c>
      <c r="AR300" s="38">
        <f t="shared" si="73"/>
        <v>0</v>
      </c>
      <c r="AS300" s="38">
        <f t="shared" si="74"/>
        <v>0</v>
      </c>
      <c r="AT300" s="38">
        <f t="shared" si="75"/>
        <v>3</v>
      </c>
      <c r="AU300" s="33" t="str">
        <f t="shared" si="76"/>
        <v>库存为3</v>
      </c>
      <c r="AV300" s="39" t="str">
        <f>IFERROR(时间!$B$4+AU300,"上周无销量")</f>
        <v>上周无销量</v>
      </c>
    </row>
    <row r="301" spans="1:48">
      <c r="A301" s="35" t="s">
        <v>346</v>
      </c>
      <c r="B301" t="str">
        <f>VLOOKUP(A301,'[2]sku-asin（子）'!$A:$B,2,0)</f>
        <v>B074FTPHX1</v>
      </c>
      <c r="C301" t="str">
        <f>VLOOKUP(A301,'[2]子sku-父sku'!$A:$B,2,0)</f>
        <v>N9932Y</v>
      </c>
      <c r="D301" s="33">
        <f>IFERROR(VLOOKUP(A301,[3]库存报告使用数据处理!$A:$C,3,0),0)</f>
        <v>0</v>
      </c>
      <c r="E301" s="33">
        <f>IFERROR(VLOOKUP(A301,[3]库存报告使用数据处理!$A:$D,4,0),0)</f>
        <v>0</v>
      </c>
      <c r="F301" s="33">
        <f>IFERROR(VLOOKUP(A301,[3]库存报告使用数据处理!$A:$E,5,0),0)</f>
        <v>0</v>
      </c>
      <c r="G301" s="33">
        <f>IFERROR(VLOOKUP(A301,[3]库存报告使用数据处理!$A:$F,6,0),0)</f>
        <v>0</v>
      </c>
      <c r="H301" s="34">
        <f>IFERROR(VLOOKUP(A301,[3]库存报告使用数据处理!$A:$G,7,0),0)</f>
        <v>0</v>
      </c>
      <c r="I301">
        <f>IFERROR(VLOOKUP(A301,[4]数据处理!$A:$B,2,0),0)</f>
        <v>3</v>
      </c>
      <c r="J301" s="36">
        <f>IFERROR(VLOOKUP(A301,[4]数据处理!$A:$D,4,0),0)</f>
        <v>0</v>
      </c>
      <c r="K301" s="36">
        <f>IFERROR(VLOOKUP(A301,[4]数据处理!$A:$E,5,0),0)</f>
        <v>0</v>
      </c>
      <c r="L301" s="36">
        <f>IFERROR(VLOOKUP(A301,[4]数据处理!$A:$G,7,0),0)</f>
        <v>0</v>
      </c>
      <c r="M301">
        <f t="shared" si="72"/>
        <v>3</v>
      </c>
      <c r="N301">
        <f>IFERROR(VLOOKUP(A301,[4]数据处理!$A:$C,3,0),0)</f>
        <v>0</v>
      </c>
      <c r="O301">
        <f>IFERROR(VLOOKUP($A301,[4]数据处理!$A:$N,14,0),0)</f>
        <v>3</v>
      </c>
      <c r="P301">
        <f>IFERROR(VLOOKUP($A301,[5]库存使用数据!$A:$B,2,0),"")</f>
        <v>138</v>
      </c>
      <c r="Q301">
        <f>IFERROR(VLOOKUP($A301,[5]库存使用数据!$A:$E,5,0),"")</f>
        <v>227</v>
      </c>
      <c r="R301">
        <f>IFERROR(VLOOKUP($A301,[5]库存使用数据!$A:$H,8,0),"")</f>
        <v>133</v>
      </c>
      <c r="S301">
        <f>IFERROR(VLOOKUP($A301,[5]库存使用数据!$A:$K,11,0),"")</f>
        <v>158</v>
      </c>
      <c r="T301">
        <f>IFERROR(VLOOKUP($A301,[5]库存使用数据!$A:$C,3,0),"")</f>
        <v>1</v>
      </c>
      <c r="U301">
        <f>IFERROR(VLOOKUP($A301,[5]库存使用数据!$A:$F,6,0),"")</f>
        <v>2</v>
      </c>
      <c r="V301">
        <f>IFERROR(VLOOKUP($A301,[5]库存使用数据!$A:$I,9,0),"")</f>
        <v>0</v>
      </c>
      <c r="W301">
        <f>IFERROR(VLOOKUP($A301,[5]库存使用数据!$A:$L,12,0),"")</f>
        <v>0</v>
      </c>
      <c r="X301" s="23">
        <f t="shared" si="77"/>
        <v>0.0072463768115942</v>
      </c>
      <c r="Y301" s="23">
        <f t="shared" si="78"/>
        <v>0.00881057268722467</v>
      </c>
      <c r="Z301" s="23">
        <f t="shared" si="79"/>
        <v>0</v>
      </c>
      <c r="AA301" s="23">
        <f t="shared" si="80"/>
        <v>0</v>
      </c>
      <c r="AB301">
        <f>IFERROR(VLOOKUP($A301,[5]库存使用数据!$A:$D,4,0),"")</f>
        <v>0.04</v>
      </c>
      <c r="AC301">
        <f>IFERROR(VLOOKUP($A301,[5]库存使用数据!$A:$G,7,0),"")</f>
        <v>0.18</v>
      </c>
      <c r="AD301">
        <f>IFERROR(VLOOKUP($A301,[5]库存使用数据!$A:$J,10,0),"")</f>
        <v>0</v>
      </c>
      <c r="AE301">
        <f>IFERROR(VLOOKUP($A301,[5]库存使用数据!$A:$M,13,0),"")</f>
        <v>0</v>
      </c>
      <c r="AF301" s="23" t="str">
        <f t="shared" si="81"/>
        <v>无销量广告费为0.04</v>
      </c>
      <c r="AG301" s="23" t="str">
        <f t="shared" si="82"/>
        <v>无销量广告费为0.18</v>
      </c>
      <c r="AH301" s="23" t="str">
        <f t="shared" si="83"/>
        <v/>
      </c>
      <c r="AI301" s="23" t="str">
        <f t="shared" si="84"/>
        <v/>
      </c>
      <c r="AJ301">
        <f>IFERROR(VLOOKUP($B301,[1]库存报告使用数据!$A$1:$B$65536,2,0),0)</f>
        <v>0</v>
      </c>
      <c r="AK301">
        <f>IFERROR(VLOOKUP($B301,[1]库存报告使用数据!$A$1:$C$65536,3,0),0)</f>
        <v>3</v>
      </c>
      <c r="AL301">
        <f>IFERROR(VLOOKUP($B301,[1]库存报告使用数据!$A$1:$D$65536,4,0),0)</f>
        <v>2</v>
      </c>
      <c r="AM301">
        <f>IFERROR(VLOOKUP($B301,[1]库存报告使用数据!$A$1:$E$65536,5,0),0)</f>
        <v>0</v>
      </c>
      <c r="AN301" s="23" t="str">
        <f t="shared" si="85"/>
        <v/>
      </c>
      <c r="AO301" s="23">
        <f t="shared" si="86"/>
        <v>0</v>
      </c>
      <c r="AP301" s="23">
        <f t="shared" si="87"/>
        <v>0</v>
      </c>
      <c r="AQ301" s="23" t="str">
        <f t="shared" si="88"/>
        <v/>
      </c>
      <c r="AR301" s="38">
        <f t="shared" si="73"/>
        <v>0</v>
      </c>
      <c r="AS301" s="38">
        <f t="shared" si="74"/>
        <v>0</v>
      </c>
      <c r="AT301" s="38">
        <f t="shared" si="75"/>
        <v>3</v>
      </c>
      <c r="AU301" s="33" t="str">
        <f t="shared" si="76"/>
        <v>库存为3</v>
      </c>
      <c r="AV301" s="39" t="str">
        <f>IFERROR(时间!$B$4+AU301,"上周无销量")</f>
        <v>上周无销量</v>
      </c>
    </row>
    <row r="302" spans="1:48">
      <c r="A302" s="35" t="s">
        <v>347</v>
      </c>
      <c r="B302" t="str">
        <f>VLOOKUP(A302,'[2]sku-asin（子）'!$A:$B,2,0)</f>
        <v>B074FQ29ZR</v>
      </c>
      <c r="C302" t="str">
        <f>VLOOKUP(A302,'[2]子sku-父sku'!$A:$B,2,0)</f>
        <v>N9932Y</v>
      </c>
      <c r="D302" s="33">
        <f>IFERROR(VLOOKUP(A302,[3]库存报告使用数据处理!$A:$C,3,0),0)</f>
        <v>0</v>
      </c>
      <c r="E302" s="33">
        <f>IFERROR(VLOOKUP(A302,[3]库存报告使用数据处理!$A:$D,4,0),0)</f>
        <v>0</v>
      </c>
      <c r="F302" s="33">
        <f>IFERROR(VLOOKUP(A302,[3]库存报告使用数据处理!$A:$E,5,0),0)</f>
        <v>0</v>
      </c>
      <c r="G302" s="33">
        <f>IFERROR(VLOOKUP(A302,[3]库存报告使用数据处理!$A:$F,6,0),0)</f>
        <v>0</v>
      </c>
      <c r="H302" s="34">
        <f>IFERROR(VLOOKUP(A302,[3]库存报告使用数据处理!$A:$G,7,0),0)</f>
        <v>0</v>
      </c>
      <c r="I302">
        <f>IFERROR(VLOOKUP(A302,[4]数据处理!$A:$B,2,0),0)</f>
        <v>2</v>
      </c>
      <c r="J302" s="36">
        <f>IFERROR(VLOOKUP(A302,[4]数据处理!$A:$D,4,0),0)</f>
        <v>0</v>
      </c>
      <c r="K302" s="36">
        <f>IFERROR(VLOOKUP(A302,[4]数据处理!$A:$E,5,0),0)</f>
        <v>0</v>
      </c>
      <c r="L302" s="36">
        <f>IFERROR(VLOOKUP(A302,[4]数据处理!$A:$G,7,0),0)</f>
        <v>0</v>
      </c>
      <c r="M302">
        <f t="shared" si="72"/>
        <v>2</v>
      </c>
      <c r="N302">
        <f>IFERROR(VLOOKUP(A302,[4]数据处理!$A:$C,3,0),0)</f>
        <v>0</v>
      </c>
      <c r="O302">
        <f>IFERROR(VLOOKUP($A302,[4]数据处理!$A:$N,14,0),0)</f>
        <v>2</v>
      </c>
      <c r="P302">
        <f>IFERROR(VLOOKUP($A302,[5]库存使用数据!$A:$B,2,0),"")</f>
        <v>7</v>
      </c>
      <c r="Q302">
        <f>IFERROR(VLOOKUP($A302,[5]库存使用数据!$A:$E,5,0),"")</f>
        <v>3</v>
      </c>
      <c r="R302">
        <f>IFERROR(VLOOKUP($A302,[5]库存使用数据!$A:$H,8,0),"")</f>
        <v>5</v>
      </c>
      <c r="S302">
        <f>IFERROR(VLOOKUP($A302,[5]库存使用数据!$A:$K,11,0),"")</f>
        <v>2</v>
      </c>
      <c r="T302">
        <f>IFERROR(VLOOKUP($A302,[5]库存使用数据!$A:$C,3,0),"")</f>
        <v>0</v>
      </c>
      <c r="U302">
        <f>IFERROR(VLOOKUP($A302,[5]库存使用数据!$A:$F,6,0),"")</f>
        <v>0</v>
      </c>
      <c r="V302">
        <f>IFERROR(VLOOKUP($A302,[5]库存使用数据!$A:$I,9,0),"")</f>
        <v>0</v>
      </c>
      <c r="W302">
        <f>IFERROR(VLOOKUP($A302,[5]库存使用数据!$A:$L,12,0),"")</f>
        <v>0</v>
      </c>
      <c r="X302" s="23">
        <f t="shared" si="77"/>
        <v>0</v>
      </c>
      <c r="Y302" s="23">
        <f t="shared" si="78"/>
        <v>0</v>
      </c>
      <c r="Z302" s="23">
        <f t="shared" si="79"/>
        <v>0</v>
      </c>
      <c r="AA302" s="23">
        <f t="shared" si="80"/>
        <v>0</v>
      </c>
      <c r="AB302">
        <f>IFERROR(VLOOKUP($A302,[5]库存使用数据!$A:$D,4,0),"")</f>
        <v>0</v>
      </c>
      <c r="AC302">
        <f>IFERROR(VLOOKUP($A302,[5]库存使用数据!$A:$G,7,0),"")</f>
        <v>0</v>
      </c>
      <c r="AD302">
        <f>IFERROR(VLOOKUP($A302,[5]库存使用数据!$A:$J,10,0),"")</f>
        <v>0</v>
      </c>
      <c r="AE302">
        <f>IFERROR(VLOOKUP($A302,[5]库存使用数据!$A:$M,13,0),"")</f>
        <v>0</v>
      </c>
      <c r="AF302" s="23" t="str">
        <f t="shared" si="81"/>
        <v/>
      </c>
      <c r="AG302" s="23" t="str">
        <f t="shared" si="82"/>
        <v/>
      </c>
      <c r="AH302" s="23" t="str">
        <f t="shared" si="83"/>
        <v/>
      </c>
      <c r="AI302" s="23" t="str">
        <f t="shared" si="84"/>
        <v/>
      </c>
      <c r="AJ302">
        <f>IFERROR(VLOOKUP($B302,[1]库存报告使用数据!$A$1:$B$65536,2,0),0)</f>
        <v>2</v>
      </c>
      <c r="AK302">
        <f>IFERROR(VLOOKUP($B302,[1]库存报告使用数据!$A$1:$C$65536,3,0),0)</f>
        <v>1</v>
      </c>
      <c r="AL302">
        <f>IFERROR(VLOOKUP($B302,[1]库存报告使用数据!$A$1:$D$65536,4,0),0)</f>
        <v>2</v>
      </c>
      <c r="AM302">
        <f>IFERROR(VLOOKUP($B302,[1]库存报告使用数据!$A$1:$E$65536,5,0),0)</f>
        <v>1</v>
      </c>
      <c r="AN302" s="23">
        <f t="shared" si="85"/>
        <v>0</v>
      </c>
      <c r="AO302" s="23">
        <f t="shared" si="86"/>
        <v>0</v>
      </c>
      <c r="AP302" s="23">
        <f t="shared" si="87"/>
        <v>0</v>
      </c>
      <c r="AQ302" s="23">
        <f t="shared" si="88"/>
        <v>0</v>
      </c>
      <c r="AR302" s="38">
        <f t="shared" si="73"/>
        <v>0</v>
      </c>
      <c r="AS302" s="38">
        <f t="shared" si="74"/>
        <v>0</v>
      </c>
      <c r="AT302" s="38">
        <f t="shared" si="75"/>
        <v>2</v>
      </c>
      <c r="AU302" s="33" t="str">
        <f t="shared" si="76"/>
        <v>库存为2</v>
      </c>
      <c r="AV302" s="39" t="str">
        <f>IFERROR(时间!$B$4+AU302,"上周无销量")</f>
        <v>上周无销量</v>
      </c>
    </row>
    <row r="303" spans="1:48">
      <c r="A303" s="35" t="s">
        <v>348</v>
      </c>
      <c r="B303" t="str">
        <f>VLOOKUP(A303,'[2]sku-asin（子）'!$A:$B,2,0)</f>
        <v>B074FVPGVL</v>
      </c>
      <c r="C303" t="str">
        <f>VLOOKUP(A303,'[2]子sku-父sku'!$A:$B,2,0)</f>
        <v>N9932Y</v>
      </c>
      <c r="D303" s="33">
        <f>IFERROR(VLOOKUP(A303,[3]库存报告使用数据处理!$A:$C,3,0),0)</f>
        <v>0</v>
      </c>
      <c r="E303" s="33">
        <f>IFERROR(VLOOKUP(A303,[3]库存报告使用数据处理!$A:$D,4,0),0)</f>
        <v>0</v>
      </c>
      <c r="F303" s="33">
        <f>IFERROR(VLOOKUP(A303,[3]库存报告使用数据处理!$A:$E,5,0),0)</f>
        <v>0</v>
      </c>
      <c r="G303" s="33">
        <f>IFERROR(VLOOKUP(A303,[3]库存报告使用数据处理!$A:$F,6,0),0)</f>
        <v>0</v>
      </c>
      <c r="H303" s="34">
        <f>IFERROR(VLOOKUP(A303,[3]库存报告使用数据处理!$A:$G,7,0),0)</f>
        <v>0</v>
      </c>
      <c r="I303">
        <f>IFERROR(VLOOKUP(A303,[4]数据处理!$A:$B,2,0),0)</f>
        <v>2</v>
      </c>
      <c r="J303" s="36">
        <f>IFERROR(VLOOKUP(A303,[4]数据处理!$A:$D,4,0),0)</f>
        <v>0</v>
      </c>
      <c r="K303" s="36">
        <f>IFERROR(VLOOKUP(A303,[4]数据处理!$A:$E,5,0),0)</f>
        <v>0</v>
      </c>
      <c r="L303" s="36">
        <f>IFERROR(VLOOKUP(A303,[4]数据处理!$A:$G,7,0),0)</f>
        <v>0</v>
      </c>
      <c r="M303">
        <f t="shared" si="72"/>
        <v>2</v>
      </c>
      <c r="N303">
        <f>IFERROR(VLOOKUP(A303,[4]数据处理!$A:$C,3,0),0)</f>
        <v>0</v>
      </c>
      <c r="O303">
        <f>IFERROR(VLOOKUP($A303,[4]数据处理!$A:$N,14,0),0)</f>
        <v>2</v>
      </c>
      <c r="P303">
        <f>IFERROR(VLOOKUP($A303,[5]库存使用数据!$A:$B,2,0),"")</f>
        <v>873</v>
      </c>
      <c r="Q303">
        <f>IFERROR(VLOOKUP($A303,[5]库存使用数据!$A:$E,5,0),"")</f>
        <v>566</v>
      </c>
      <c r="R303">
        <f>IFERROR(VLOOKUP($A303,[5]库存使用数据!$A:$H,8,0),"")</f>
        <v>418</v>
      </c>
      <c r="S303">
        <f>IFERROR(VLOOKUP($A303,[5]库存使用数据!$A:$K,11,0),"")</f>
        <v>254</v>
      </c>
      <c r="T303">
        <f>IFERROR(VLOOKUP($A303,[5]库存使用数据!$A:$C,3,0),"")</f>
        <v>4</v>
      </c>
      <c r="U303">
        <f>IFERROR(VLOOKUP($A303,[5]库存使用数据!$A:$F,6,0),"")</f>
        <v>2</v>
      </c>
      <c r="V303">
        <f>IFERROR(VLOOKUP($A303,[5]库存使用数据!$A:$I,9,0),"")</f>
        <v>7</v>
      </c>
      <c r="W303">
        <f>IFERROR(VLOOKUP($A303,[5]库存使用数据!$A:$L,12,0),"")</f>
        <v>4</v>
      </c>
      <c r="X303" s="23">
        <f t="shared" si="77"/>
        <v>0.00458190148911798</v>
      </c>
      <c r="Y303" s="23">
        <f t="shared" si="78"/>
        <v>0.00353356890459364</v>
      </c>
      <c r="Z303" s="23">
        <f t="shared" si="79"/>
        <v>0.0167464114832536</v>
      </c>
      <c r="AA303" s="23">
        <f t="shared" si="80"/>
        <v>0.015748031496063</v>
      </c>
      <c r="AB303">
        <f>IFERROR(VLOOKUP($A303,[5]库存使用数据!$A:$D,4,0),"")</f>
        <v>0.91</v>
      </c>
      <c r="AC303">
        <f>IFERROR(VLOOKUP($A303,[5]库存使用数据!$A:$G,7,0),"")</f>
        <v>0.71</v>
      </c>
      <c r="AD303">
        <f>IFERROR(VLOOKUP($A303,[5]库存使用数据!$A:$J,10,0),"")</f>
        <v>1.58</v>
      </c>
      <c r="AE303">
        <f>IFERROR(VLOOKUP($A303,[5]库存使用数据!$A:$M,13,0),"")</f>
        <v>1.19</v>
      </c>
      <c r="AF303" s="23" t="str">
        <f t="shared" si="81"/>
        <v>无销量广告费为0.91</v>
      </c>
      <c r="AG303" s="23" t="str">
        <f t="shared" si="82"/>
        <v>无销量广告费为0.71</v>
      </c>
      <c r="AH303" s="23" t="str">
        <f t="shared" si="83"/>
        <v>无销量广告费为1.58</v>
      </c>
      <c r="AI303" s="23" t="str">
        <f t="shared" si="84"/>
        <v>无销量广告费为1.19</v>
      </c>
      <c r="AJ303">
        <f>IFERROR(VLOOKUP($B303,[1]库存报告使用数据!$A$1:$B$65536,2,0),0)</f>
        <v>3</v>
      </c>
      <c r="AK303">
        <f>IFERROR(VLOOKUP($B303,[1]库存报告使用数据!$A$1:$C$65536,3,0),0)</f>
        <v>1</v>
      </c>
      <c r="AL303">
        <f>IFERROR(VLOOKUP($B303,[1]库存报告使用数据!$A$1:$D$65536,4,0),0)</f>
        <v>1</v>
      </c>
      <c r="AM303">
        <f>IFERROR(VLOOKUP($B303,[1]库存报告使用数据!$A$1:$E$65536,5,0),0)</f>
        <v>3</v>
      </c>
      <c r="AN303" s="23">
        <f t="shared" si="85"/>
        <v>0</v>
      </c>
      <c r="AO303" s="23">
        <f t="shared" si="86"/>
        <v>0</v>
      </c>
      <c r="AP303" s="23">
        <f t="shared" si="87"/>
        <v>0</v>
      </c>
      <c r="AQ303" s="23">
        <f t="shared" si="88"/>
        <v>0</v>
      </c>
      <c r="AR303" s="38">
        <f t="shared" si="73"/>
        <v>0</v>
      </c>
      <c r="AS303" s="38">
        <f t="shared" si="74"/>
        <v>0</v>
      </c>
      <c r="AT303" s="38">
        <f t="shared" si="75"/>
        <v>2</v>
      </c>
      <c r="AU303" s="33" t="str">
        <f t="shared" si="76"/>
        <v>库存为2</v>
      </c>
      <c r="AV303" s="39" t="str">
        <f>IFERROR(时间!$B$4+AU303,"上周无销量")</f>
        <v>上周无销量</v>
      </c>
    </row>
    <row r="304" spans="1:48">
      <c r="A304" s="35" t="s">
        <v>349</v>
      </c>
      <c r="B304" t="str">
        <f>VLOOKUP(A304,'[2]sku-asin（子）'!$A:$B,2,0)</f>
        <v>B074FW6SKT</v>
      </c>
      <c r="C304" t="str">
        <f>VLOOKUP(A304,'[2]子sku-父sku'!$A:$B,2,0)</f>
        <v>N9932Y</v>
      </c>
      <c r="D304" s="33">
        <f>IFERROR(VLOOKUP(A304,[3]库存报告使用数据处理!$A:$C,3,0),0)</f>
        <v>0</v>
      </c>
      <c r="E304" s="33">
        <f>IFERROR(VLOOKUP(A304,[3]库存报告使用数据处理!$A:$D,4,0),0)</f>
        <v>0</v>
      </c>
      <c r="F304" s="33">
        <f>IFERROR(VLOOKUP(A304,[3]库存报告使用数据处理!$A:$E,5,0),0)</f>
        <v>0</v>
      </c>
      <c r="G304" s="33">
        <f>IFERROR(VLOOKUP(A304,[3]库存报告使用数据处理!$A:$F,6,0),0)</f>
        <v>0</v>
      </c>
      <c r="H304" s="34">
        <f>IFERROR(VLOOKUP(A304,[3]库存报告使用数据处理!$A:$G,7,0),0)</f>
        <v>0</v>
      </c>
      <c r="I304">
        <f>IFERROR(VLOOKUP(A304,[4]数据处理!$A:$B,2,0),0)</f>
        <v>3</v>
      </c>
      <c r="J304" s="36">
        <f>IFERROR(VLOOKUP(A304,[4]数据处理!$A:$D,4,0),0)</f>
        <v>0</v>
      </c>
      <c r="K304" s="36">
        <f>IFERROR(VLOOKUP(A304,[4]数据处理!$A:$E,5,0),0)</f>
        <v>0</v>
      </c>
      <c r="L304" s="36">
        <f>IFERROR(VLOOKUP(A304,[4]数据处理!$A:$G,7,0),0)</f>
        <v>0</v>
      </c>
      <c r="M304">
        <f t="shared" si="72"/>
        <v>3</v>
      </c>
      <c r="N304">
        <f>IFERROR(VLOOKUP(A304,[4]数据处理!$A:$C,3,0),0)</f>
        <v>0</v>
      </c>
      <c r="O304">
        <f>IFERROR(VLOOKUP($A304,[4]数据处理!$A:$N,14,0),0)</f>
        <v>3</v>
      </c>
      <c r="P304">
        <f>IFERROR(VLOOKUP($A304,[5]库存使用数据!$A:$B,2,0),"")</f>
        <v>0</v>
      </c>
      <c r="Q304">
        <f>IFERROR(VLOOKUP($A304,[5]库存使用数据!$A:$E,5,0),"")</f>
        <v>2</v>
      </c>
      <c r="R304">
        <f>IFERROR(VLOOKUP($A304,[5]库存使用数据!$A:$H,8,0),"")</f>
        <v>0</v>
      </c>
      <c r="S304">
        <f>IFERROR(VLOOKUP($A304,[5]库存使用数据!$A:$K,11,0),"")</f>
        <v>1</v>
      </c>
      <c r="T304">
        <f>IFERROR(VLOOKUP($A304,[5]库存使用数据!$A:$C,3,0),"")</f>
        <v>0</v>
      </c>
      <c r="U304">
        <f>IFERROR(VLOOKUP($A304,[5]库存使用数据!$A:$F,6,0),"")</f>
        <v>0</v>
      </c>
      <c r="V304">
        <f>IFERROR(VLOOKUP($A304,[5]库存使用数据!$A:$I,9,0),"")</f>
        <v>0</v>
      </c>
      <c r="W304">
        <f>IFERROR(VLOOKUP($A304,[5]库存使用数据!$A:$L,12,0),"")</f>
        <v>0</v>
      </c>
      <c r="X304" s="23" t="str">
        <f t="shared" si="77"/>
        <v/>
      </c>
      <c r="Y304" s="23">
        <f t="shared" si="78"/>
        <v>0</v>
      </c>
      <c r="Z304" s="23" t="str">
        <f t="shared" si="79"/>
        <v/>
      </c>
      <c r="AA304" s="23">
        <f t="shared" si="80"/>
        <v>0</v>
      </c>
      <c r="AB304">
        <f>IFERROR(VLOOKUP($A304,[5]库存使用数据!$A:$D,4,0),"")</f>
        <v>0</v>
      </c>
      <c r="AC304">
        <f>IFERROR(VLOOKUP($A304,[5]库存使用数据!$A:$G,7,0),"")</f>
        <v>0</v>
      </c>
      <c r="AD304">
        <f>IFERROR(VLOOKUP($A304,[5]库存使用数据!$A:$J,10,0),"")</f>
        <v>0</v>
      </c>
      <c r="AE304">
        <f>IFERROR(VLOOKUP($A304,[5]库存使用数据!$A:$M,13,0),"")</f>
        <v>0</v>
      </c>
      <c r="AF304" s="23" t="str">
        <f t="shared" si="81"/>
        <v/>
      </c>
      <c r="AG304" s="23" t="str">
        <f t="shared" si="82"/>
        <v/>
      </c>
      <c r="AH304" s="23" t="str">
        <f t="shared" si="83"/>
        <v/>
      </c>
      <c r="AI304" s="23" t="str">
        <f t="shared" si="84"/>
        <v/>
      </c>
      <c r="AJ304">
        <f>IFERROR(VLOOKUP($B304,[1]库存报告使用数据!$A$1:$B$65536,2,0),0)</f>
        <v>1</v>
      </c>
      <c r="AK304">
        <f>IFERROR(VLOOKUP($B304,[1]库存报告使用数据!$A$1:$C$65536,3,0),0)</f>
        <v>2</v>
      </c>
      <c r="AL304">
        <f>IFERROR(VLOOKUP($B304,[1]库存报告使用数据!$A$1:$D$65536,4,0),0)</f>
        <v>1</v>
      </c>
      <c r="AM304">
        <f>IFERROR(VLOOKUP($B304,[1]库存报告使用数据!$A$1:$E$65536,5,0),0)</f>
        <v>1</v>
      </c>
      <c r="AN304" s="23">
        <f t="shared" si="85"/>
        <v>0</v>
      </c>
      <c r="AO304" s="23">
        <f t="shared" si="86"/>
        <v>0</v>
      </c>
      <c r="AP304" s="23">
        <f t="shared" si="87"/>
        <v>0</v>
      </c>
      <c r="AQ304" s="23">
        <f t="shared" si="88"/>
        <v>0</v>
      </c>
      <c r="AR304" s="38">
        <f t="shared" si="73"/>
        <v>0</v>
      </c>
      <c r="AS304" s="38">
        <f t="shared" si="74"/>
        <v>0</v>
      </c>
      <c r="AT304" s="38">
        <f t="shared" si="75"/>
        <v>3</v>
      </c>
      <c r="AU304" s="33" t="str">
        <f t="shared" si="76"/>
        <v>库存为3</v>
      </c>
      <c r="AV304" s="39" t="str">
        <f>IFERROR(时间!$B$4+AU304,"上周无销量")</f>
        <v>上周无销量</v>
      </c>
    </row>
    <row r="305" spans="1:48">
      <c r="A305" s="35" t="s">
        <v>350</v>
      </c>
      <c r="B305" t="str">
        <f>VLOOKUP(A305,'[2]sku-asin（子）'!$A:$B,2,0)</f>
        <v>B074DWCC89</v>
      </c>
      <c r="C305" t="str">
        <f>VLOOKUP(A305,'[2]子sku-父sku'!$A:$B,2,0)</f>
        <v>NC11Y</v>
      </c>
      <c r="D305" s="33">
        <f>IFERROR(VLOOKUP(A305,[3]库存报告使用数据处理!$A:$C,3,0),0)</f>
        <v>0</v>
      </c>
      <c r="E305" s="33">
        <f>IFERROR(VLOOKUP(A305,[3]库存报告使用数据处理!$A:$D,4,0),0)</f>
        <v>0</v>
      </c>
      <c r="F305" s="33">
        <f>IFERROR(VLOOKUP(A305,[3]库存报告使用数据处理!$A:$E,5,0),0)</f>
        <v>0</v>
      </c>
      <c r="G305" s="33">
        <f>IFERROR(VLOOKUP(A305,[3]库存报告使用数据处理!$A:$F,6,0),0)</f>
        <v>0</v>
      </c>
      <c r="H305" s="34">
        <f>IFERROR(VLOOKUP(A305,[3]库存报告使用数据处理!$A:$G,7,0),0)</f>
        <v>0</v>
      </c>
      <c r="I305">
        <f>IFERROR(VLOOKUP(A305,[4]数据处理!$A:$B,2,0),0)</f>
        <v>0</v>
      </c>
      <c r="J305" s="36">
        <f>IFERROR(VLOOKUP(A305,[4]数据处理!$A:$D,4,0),0)</f>
        <v>0</v>
      </c>
      <c r="K305" s="36">
        <f>IFERROR(VLOOKUP(A305,[4]数据处理!$A:$E,5,0),0)</f>
        <v>0</v>
      </c>
      <c r="L305" s="36">
        <f>IFERROR(VLOOKUP(A305,[4]数据处理!$A:$G,7,0),0)</f>
        <v>0</v>
      </c>
      <c r="M305">
        <f t="shared" si="72"/>
        <v>0</v>
      </c>
      <c r="N305">
        <f>IFERROR(VLOOKUP(A305,[4]数据处理!$A:$C,3,0),0)</f>
        <v>0</v>
      </c>
      <c r="O305">
        <f>IFERROR(VLOOKUP($A305,[4]数据处理!$A:$N,14,0),0)</f>
        <v>0</v>
      </c>
      <c r="P305" t="str">
        <f>IFERROR(VLOOKUP($A305,[5]库存使用数据!$A:$B,2,0),"")</f>
        <v/>
      </c>
      <c r="Q305" t="str">
        <f>IFERROR(VLOOKUP($A305,[5]库存使用数据!$A:$E,5,0),"")</f>
        <v/>
      </c>
      <c r="R305" t="str">
        <f>IFERROR(VLOOKUP($A305,[5]库存使用数据!$A:$H,8,0),"")</f>
        <v/>
      </c>
      <c r="S305" t="str">
        <f>IFERROR(VLOOKUP($A305,[5]库存使用数据!$A:$K,11,0),"")</f>
        <v/>
      </c>
      <c r="T305" t="str">
        <f>IFERROR(VLOOKUP($A305,[5]库存使用数据!$A:$C,3,0),"")</f>
        <v/>
      </c>
      <c r="U305" t="str">
        <f>IFERROR(VLOOKUP($A305,[5]库存使用数据!$A:$F,6,0),"")</f>
        <v/>
      </c>
      <c r="V305" t="str">
        <f>IFERROR(VLOOKUP($A305,[5]库存使用数据!$A:$I,9,0),"")</f>
        <v/>
      </c>
      <c r="W305" t="str">
        <f>IFERROR(VLOOKUP($A305,[5]库存使用数据!$A:$L,12,0),"")</f>
        <v/>
      </c>
      <c r="X305" s="23" t="str">
        <f t="shared" si="77"/>
        <v/>
      </c>
      <c r="Y305" s="23" t="str">
        <f t="shared" si="78"/>
        <v/>
      </c>
      <c r="Z305" s="23" t="str">
        <f t="shared" si="79"/>
        <v/>
      </c>
      <c r="AA305" s="23" t="str">
        <f t="shared" si="80"/>
        <v/>
      </c>
      <c r="AB305" t="str">
        <f>IFERROR(VLOOKUP($A305,[5]库存使用数据!$A:$D,4,0),"")</f>
        <v/>
      </c>
      <c r="AC305" t="str">
        <f>IFERROR(VLOOKUP($A305,[5]库存使用数据!$A:$G,7,0),"")</f>
        <v/>
      </c>
      <c r="AD305" t="str">
        <f>IFERROR(VLOOKUP($A305,[5]库存使用数据!$A:$J,10,0),"")</f>
        <v/>
      </c>
      <c r="AE305" t="str">
        <f>IFERROR(VLOOKUP($A305,[5]库存使用数据!$A:$M,13,0),"")</f>
        <v/>
      </c>
      <c r="AF305" s="23" t="str">
        <f t="shared" si="81"/>
        <v/>
      </c>
      <c r="AG305" s="23" t="str">
        <f t="shared" si="82"/>
        <v/>
      </c>
      <c r="AH305" s="23" t="str">
        <f t="shared" si="83"/>
        <v/>
      </c>
      <c r="AI305" s="23" t="str">
        <f t="shared" si="84"/>
        <v/>
      </c>
      <c r="AJ305">
        <f>IFERROR(VLOOKUP($B305,[1]库存报告使用数据!$A$1:$B$65536,2,0),0)</f>
        <v>0</v>
      </c>
      <c r="AK305">
        <f>IFERROR(VLOOKUP($B305,[1]库存报告使用数据!$A$1:$C$65536,3,0),0)</f>
        <v>0</v>
      </c>
      <c r="AL305">
        <f>IFERROR(VLOOKUP($B305,[1]库存报告使用数据!$A$1:$D$65536,4,0),0)</f>
        <v>0</v>
      </c>
      <c r="AM305">
        <f>IFERROR(VLOOKUP($B305,[1]库存报告使用数据!$A$1:$E$65536,5,0),0)</f>
        <v>0</v>
      </c>
      <c r="AN305" s="23" t="str">
        <f t="shared" si="85"/>
        <v/>
      </c>
      <c r="AO305" s="23" t="str">
        <f t="shared" si="86"/>
        <v/>
      </c>
      <c r="AP305" s="23" t="str">
        <f t="shared" si="87"/>
        <v/>
      </c>
      <c r="AQ305" s="23" t="str">
        <f t="shared" si="88"/>
        <v/>
      </c>
      <c r="AR305" s="38">
        <f t="shared" si="73"/>
        <v>0</v>
      </c>
      <c r="AS305" s="38">
        <f t="shared" si="74"/>
        <v>0</v>
      </c>
      <c r="AT305" s="38">
        <f t="shared" si="75"/>
        <v>0</v>
      </c>
      <c r="AU305" s="33" t="str">
        <f t="shared" si="76"/>
        <v>库存为0</v>
      </c>
      <c r="AV305" s="39" t="str">
        <f>IFERROR(时间!$B$4+AU305,"上周无销量")</f>
        <v>上周无销量</v>
      </c>
    </row>
    <row r="306" spans="1:48">
      <c r="A306" s="35" t="s">
        <v>351</v>
      </c>
      <c r="B306" t="str">
        <f>VLOOKUP(A306,'[2]sku-asin（子）'!$A:$B,2,0)</f>
        <v>B078WQCTTM</v>
      </c>
      <c r="C306" t="str">
        <f>VLOOKUP(A306,'[2]子sku-父sku'!$A:$B,2,0)</f>
        <v>ZIMUYH</v>
      </c>
      <c r="D306" s="33">
        <f>IFERROR(VLOOKUP(A306,[3]库存报告使用数据处理!$A:$C,3,0),0)</f>
        <v>0</v>
      </c>
      <c r="E306" s="33">
        <f>IFERROR(VLOOKUP(A306,[3]库存报告使用数据处理!$A:$D,4,0),0)</f>
        <v>1</v>
      </c>
      <c r="F306" s="33">
        <f>IFERROR(VLOOKUP(A306,[3]库存报告使用数据处理!$A:$E,5,0),0)</f>
        <v>1</v>
      </c>
      <c r="G306" s="33">
        <f>IFERROR(VLOOKUP(A306,[3]库存报告使用数据处理!$A:$F,6,0),0)</f>
        <v>0</v>
      </c>
      <c r="H306" s="34">
        <f>IFERROR(VLOOKUP(A306,[3]库存报告使用数据处理!$A:$G,7,0),0)</f>
        <v>5.59</v>
      </c>
      <c r="I306">
        <f>IFERROR(VLOOKUP(A306,[4]数据处理!$A:$B,2,0),0)</f>
        <v>71</v>
      </c>
      <c r="J306" s="36">
        <f>IFERROR(VLOOKUP(A306,[4]数据处理!$A:$D,4,0),0)</f>
        <v>0</v>
      </c>
      <c r="K306" s="36">
        <f>IFERROR(VLOOKUP(A306,[4]数据处理!$A:$E,5,0),0)</f>
        <v>0</v>
      </c>
      <c r="L306" s="36">
        <f>IFERROR(VLOOKUP(A306,[4]数据处理!$A:$G,7,0),0)</f>
        <v>0</v>
      </c>
      <c r="M306">
        <f t="shared" si="72"/>
        <v>71</v>
      </c>
      <c r="N306">
        <f>IFERROR(VLOOKUP(A306,[4]数据处理!$A:$C,3,0),0)</f>
        <v>0</v>
      </c>
      <c r="O306">
        <f>IFERROR(VLOOKUP($A306,[4]数据处理!$A:$N,14,0),0)</f>
        <v>71</v>
      </c>
      <c r="P306">
        <f>IFERROR(VLOOKUP($A306,[5]库存使用数据!$A:$B,2,0),"")</f>
        <v>447</v>
      </c>
      <c r="Q306">
        <f>IFERROR(VLOOKUP($A306,[5]库存使用数据!$A:$E,5,0),"")</f>
        <v>571</v>
      </c>
      <c r="R306">
        <f>IFERROR(VLOOKUP($A306,[5]库存使用数据!$A:$H,8,0),"")</f>
        <v>408</v>
      </c>
      <c r="S306">
        <f>IFERROR(VLOOKUP($A306,[5]库存使用数据!$A:$K,11,0),"")</f>
        <v>912</v>
      </c>
      <c r="T306">
        <f>IFERROR(VLOOKUP($A306,[5]库存使用数据!$A:$C,3,0),"")</f>
        <v>0</v>
      </c>
      <c r="U306">
        <f>IFERROR(VLOOKUP($A306,[5]库存使用数据!$A:$F,6,0),"")</f>
        <v>0</v>
      </c>
      <c r="V306">
        <f>IFERROR(VLOOKUP($A306,[5]库存使用数据!$A:$I,9,0),"")</f>
        <v>0</v>
      </c>
      <c r="W306">
        <f>IFERROR(VLOOKUP($A306,[5]库存使用数据!$A:$L,12,0),"")</f>
        <v>6</v>
      </c>
      <c r="X306" s="23">
        <f t="shared" si="77"/>
        <v>0</v>
      </c>
      <c r="Y306" s="23">
        <f t="shared" si="78"/>
        <v>0</v>
      </c>
      <c r="Z306" s="23">
        <f t="shared" si="79"/>
        <v>0</v>
      </c>
      <c r="AA306" s="23">
        <f t="shared" si="80"/>
        <v>0.00657894736842105</v>
      </c>
      <c r="AB306">
        <f>IFERROR(VLOOKUP($A306,[5]库存使用数据!$A:$D,4,0),"")</f>
        <v>0</v>
      </c>
      <c r="AC306">
        <f>IFERROR(VLOOKUP($A306,[5]库存使用数据!$A:$G,7,0),"")</f>
        <v>0</v>
      </c>
      <c r="AD306">
        <f>IFERROR(VLOOKUP($A306,[5]库存使用数据!$A:$J,10,0),"")</f>
        <v>0</v>
      </c>
      <c r="AE306">
        <f>IFERROR(VLOOKUP($A306,[5]库存使用数据!$A:$M,13,0),"")</f>
        <v>2.41</v>
      </c>
      <c r="AF306" s="23" t="str">
        <f t="shared" si="81"/>
        <v/>
      </c>
      <c r="AG306" s="23" t="str">
        <f t="shared" si="82"/>
        <v/>
      </c>
      <c r="AH306" s="23" t="str">
        <f t="shared" si="83"/>
        <v/>
      </c>
      <c r="AI306" s="23" t="str">
        <f t="shared" si="84"/>
        <v>无销量广告费为2.41</v>
      </c>
      <c r="AJ306">
        <f>IFERROR(VLOOKUP($B306,[1]库存报告使用数据!$A$1:$B$65536,2,0),0)</f>
        <v>0</v>
      </c>
      <c r="AK306">
        <f>IFERROR(VLOOKUP($B306,[1]库存报告使用数据!$A$1:$C$65536,3,0),0)</f>
        <v>2</v>
      </c>
      <c r="AL306">
        <f>IFERROR(VLOOKUP($B306,[1]库存报告使用数据!$A$1:$D$65536,4,0),0)</f>
        <v>9</v>
      </c>
      <c r="AM306">
        <f>IFERROR(VLOOKUP($B306,[1]库存报告使用数据!$A$1:$E$65536,5,0),0)</f>
        <v>3</v>
      </c>
      <c r="AN306" s="23" t="str">
        <f t="shared" si="85"/>
        <v/>
      </c>
      <c r="AO306" s="23">
        <f t="shared" si="86"/>
        <v>0.5</v>
      </c>
      <c r="AP306" s="23">
        <f t="shared" si="87"/>
        <v>0.111111111111111</v>
      </c>
      <c r="AQ306" s="23">
        <f t="shared" si="88"/>
        <v>0</v>
      </c>
      <c r="AR306" s="38">
        <f t="shared" si="73"/>
        <v>0</v>
      </c>
      <c r="AS306" s="38">
        <f t="shared" si="74"/>
        <v>0</v>
      </c>
      <c r="AT306" s="38">
        <f t="shared" si="75"/>
        <v>71</v>
      </c>
      <c r="AU306" s="33" t="str">
        <f t="shared" si="76"/>
        <v>库存为71</v>
      </c>
      <c r="AV306" s="39" t="str">
        <f>IFERROR(时间!$B$4+AU306,"上周无销量")</f>
        <v>上周无销量</v>
      </c>
    </row>
    <row r="307" spans="1:48">
      <c r="A307" s="35" t="s">
        <v>352</v>
      </c>
      <c r="B307" t="str">
        <f>VLOOKUP(A307,'[2]sku-asin（子）'!$A:$B,2,0)</f>
        <v>B078WQY3NM</v>
      </c>
      <c r="C307" t="str">
        <f>VLOOKUP(A307,'[2]子sku-父sku'!$A:$B,2,0)</f>
        <v>ZSNW</v>
      </c>
      <c r="D307" s="33">
        <f>IFERROR(VLOOKUP(A307,[3]库存报告使用数据处理!$A:$C,3,0),0)</f>
        <v>0</v>
      </c>
      <c r="E307" s="33">
        <f>IFERROR(VLOOKUP(A307,[3]库存报告使用数据处理!$A:$D,4,0),0)</f>
        <v>0</v>
      </c>
      <c r="F307" s="33">
        <f>IFERROR(VLOOKUP(A307,[3]库存报告使用数据处理!$A:$E,5,0),0)</f>
        <v>0</v>
      </c>
      <c r="G307" s="33">
        <f>IFERROR(VLOOKUP(A307,[3]库存报告使用数据处理!$A:$F,6,0),0)</f>
        <v>1</v>
      </c>
      <c r="H307" s="34">
        <f>IFERROR(VLOOKUP(A307,[3]库存报告使用数据处理!$A:$G,7,0),0)</f>
        <v>4.71</v>
      </c>
      <c r="I307">
        <f>IFERROR(VLOOKUP(A307,[4]数据处理!$A:$B,2,0),0)</f>
        <v>57</v>
      </c>
      <c r="J307" s="36">
        <f>IFERROR(VLOOKUP(A307,[4]数据处理!$A:$D,4,0),0)</f>
        <v>0</v>
      </c>
      <c r="K307" s="36">
        <f>IFERROR(VLOOKUP(A307,[4]数据处理!$A:$E,5,0),0)</f>
        <v>0</v>
      </c>
      <c r="L307" s="36">
        <f>IFERROR(VLOOKUP(A307,[4]数据处理!$A:$G,7,0),0)</f>
        <v>0</v>
      </c>
      <c r="M307">
        <f t="shared" si="72"/>
        <v>57</v>
      </c>
      <c r="N307">
        <f>IFERROR(VLOOKUP(A307,[4]数据处理!$A:$C,3,0),0)</f>
        <v>0</v>
      </c>
      <c r="O307">
        <f>IFERROR(VLOOKUP($A307,[4]数据处理!$A:$N,14,0),0)</f>
        <v>57</v>
      </c>
      <c r="P307">
        <f>IFERROR(VLOOKUP($A307,[5]库存使用数据!$A:$B,2,0),"")</f>
        <v>224</v>
      </c>
      <c r="Q307">
        <f>IFERROR(VLOOKUP($A307,[5]库存使用数据!$A:$E,5,0),"")</f>
        <v>550</v>
      </c>
      <c r="R307">
        <f>IFERROR(VLOOKUP($A307,[5]库存使用数据!$A:$H,8,0),"")</f>
        <v>1232</v>
      </c>
      <c r="S307">
        <f>IFERROR(VLOOKUP($A307,[5]库存使用数据!$A:$K,11,0),"")</f>
        <v>5273</v>
      </c>
      <c r="T307">
        <f>IFERROR(VLOOKUP($A307,[5]库存使用数据!$A:$C,3,0),"")</f>
        <v>1</v>
      </c>
      <c r="U307">
        <f>IFERROR(VLOOKUP($A307,[5]库存使用数据!$A:$F,6,0),"")</f>
        <v>0</v>
      </c>
      <c r="V307">
        <f>IFERROR(VLOOKUP($A307,[5]库存使用数据!$A:$I,9,0),"")</f>
        <v>3</v>
      </c>
      <c r="W307">
        <f>IFERROR(VLOOKUP($A307,[5]库存使用数据!$A:$L,12,0),"")</f>
        <v>7</v>
      </c>
      <c r="X307" s="23">
        <f t="shared" si="77"/>
        <v>0.00446428571428571</v>
      </c>
      <c r="Y307" s="23">
        <f t="shared" si="78"/>
        <v>0</v>
      </c>
      <c r="Z307" s="23">
        <f t="shared" si="79"/>
        <v>0.00243506493506494</v>
      </c>
      <c r="AA307" s="23">
        <f t="shared" si="80"/>
        <v>0.00132751754219609</v>
      </c>
      <c r="AB307">
        <f>IFERROR(VLOOKUP($A307,[5]库存使用数据!$A:$D,4,0),"")</f>
        <v>0.5</v>
      </c>
      <c r="AC307">
        <f>IFERROR(VLOOKUP($A307,[5]库存使用数据!$A:$G,7,0),"")</f>
        <v>0</v>
      </c>
      <c r="AD307">
        <f>IFERROR(VLOOKUP($A307,[5]库存使用数据!$A:$J,10,0),"")</f>
        <v>0.89</v>
      </c>
      <c r="AE307">
        <f>IFERROR(VLOOKUP($A307,[5]库存使用数据!$A:$M,13,0),"")</f>
        <v>2.58</v>
      </c>
      <c r="AF307" s="23" t="str">
        <f t="shared" si="81"/>
        <v>无销量广告费为0.5</v>
      </c>
      <c r="AG307" s="23" t="str">
        <f t="shared" si="82"/>
        <v/>
      </c>
      <c r="AH307" s="23" t="str">
        <f t="shared" si="83"/>
        <v>无销量广告费为0.89</v>
      </c>
      <c r="AI307" s="23">
        <f t="shared" si="84"/>
        <v>0.547770700636943</v>
      </c>
      <c r="AJ307">
        <f>IFERROR(VLOOKUP($B307,[1]库存报告使用数据!$A$1:$B$65536,2,0),0)</f>
        <v>2</v>
      </c>
      <c r="AK307">
        <f>IFERROR(VLOOKUP($B307,[1]库存报告使用数据!$A$1:$C$65536,3,0),0)</f>
        <v>2</v>
      </c>
      <c r="AL307">
        <f>IFERROR(VLOOKUP($B307,[1]库存报告使用数据!$A$1:$D$65536,4,0),0)</f>
        <v>3</v>
      </c>
      <c r="AM307">
        <f>IFERROR(VLOOKUP($B307,[1]库存报告使用数据!$A$1:$E$65536,5,0),0)</f>
        <v>5</v>
      </c>
      <c r="AN307" s="23">
        <f t="shared" si="85"/>
        <v>0</v>
      </c>
      <c r="AO307" s="23">
        <f t="shared" si="86"/>
        <v>0</v>
      </c>
      <c r="AP307" s="23">
        <f t="shared" si="87"/>
        <v>0</v>
      </c>
      <c r="AQ307" s="23">
        <f t="shared" si="88"/>
        <v>0.2</v>
      </c>
      <c r="AR307" s="38">
        <f t="shared" si="73"/>
        <v>0</v>
      </c>
      <c r="AS307" s="38">
        <f t="shared" si="74"/>
        <v>0</v>
      </c>
      <c r="AT307" s="38">
        <f t="shared" si="75"/>
        <v>57</v>
      </c>
      <c r="AU307" s="33" t="str">
        <f t="shared" si="76"/>
        <v>库存为57</v>
      </c>
      <c r="AV307" s="39" t="str">
        <f>IFERROR(时间!$B$4+AU307,"上周无销量")</f>
        <v>上周无销量</v>
      </c>
    </row>
    <row r="308" spans="1:48">
      <c r="A308" s="35" t="s">
        <v>353</v>
      </c>
      <c r="B308" t="str">
        <f>VLOOKUP(A308,'[2]sku-asin（子）'!$A:$B,2,0)</f>
        <v>B078WR3XZL</v>
      </c>
      <c r="C308" t="str">
        <f>VLOOKUP(A308,'[2]子sku-父sku'!$A:$B,2,0)</f>
        <v>ZZTS</v>
      </c>
      <c r="D308" s="33">
        <f>IFERROR(VLOOKUP(A308,[3]库存报告使用数据处理!$A:$C,3,0),0)</f>
        <v>1</v>
      </c>
      <c r="E308" s="33">
        <f>IFERROR(VLOOKUP(A308,[3]库存报告使用数据处理!$A:$D,4,0),0)</f>
        <v>0</v>
      </c>
      <c r="F308" s="33">
        <f>IFERROR(VLOOKUP(A308,[3]库存报告使用数据处理!$A:$E,5,0),0)</f>
        <v>0</v>
      </c>
      <c r="G308" s="33">
        <f>IFERROR(VLOOKUP(A308,[3]库存报告使用数据处理!$A:$F,6,0),0)</f>
        <v>0</v>
      </c>
      <c r="H308" s="34">
        <f>IFERROR(VLOOKUP(A308,[3]库存报告使用数据处理!$A:$G,7,0),0)</f>
        <v>5.59</v>
      </c>
      <c r="I308">
        <f>IFERROR(VLOOKUP(A308,[4]数据处理!$A:$B,2,0),0)</f>
        <v>33</v>
      </c>
      <c r="J308" s="36">
        <f>IFERROR(VLOOKUP(A308,[4]数据处理!$A:$D,4,0),0)</f>
        <v>0</v>
      </c>
      <c r="K308" s="36">
        <f>IFERROR(VLOOKUP(A308,[4]数据处理!$A:$E,5,0),0)</f>
        <v>0</v>
      </c>
      <c r="L308" s="36">
        <f>IFERROR(VLOOKUP(A308,[4]数据处理!$A:$G,7,0),0)</f>
        <v>0</v>
      </c>
      <c r="M308">
        <f t="shared" si="72"/>
        <v>33</v>
      </c>
      <c r="N308">
        <f>IFERROR(VLOOKUP(A308,[4]数据处理!$A:$C,3,0),0)</f>
        <v>0</v>
      </c>
      <c r="O308">
        <f>IFERROR(VLOOKUP($A308,[4]数据处理!$A:$N,14,0),0)</f>
        <v>33</v>
      </c>
      <c r="P308">
        <f>IFERROR(VLOOKUP($A308,[5]库存使用数据!$A:$B,2,0),"")</f>
        <v>384</v>
      </c>
      <c r="Q308">
        <f>IFERROR(VLOOKUP($A308,[5]库存使用数据!$A:$E,5,0),"")</f>
        <v>1182</v>
      </c>
      <c r="R308">
        <f>IFERROR(VLOOKUP($A308,[5]库存使用数据!$A:$H,8,0),"")</f>
        <v>1710</v>
      </c>
      <c r="S308">
        <f>IFERROR(VLOOKUP($A308,[5]库存使用数据!$A:$K,11,0),"")</f>
        <v>753</v>
      </c>
      <c r="T308">
        <f>IFERROR(VLOOKUP($A308,[5]库存使用数据!$A:$C,3,0),"")</f>
        <v>1</v>
      </c>
      <c r="U308">
        <f>IFERROR(VLOOKUP($A308,[5]库存使用数据!$A:$F,6,0),"")</f>
        <v>0</v>
      </c>
      <c r="V308">
        <f>IFERROR(VLOOKUP($A308,[5]库存使用数据!$A:$I,9,0),"")</f>
        <v>3</v>
      </c>
      <c r="W308">
        <f>IFERROR(VLOOKUP($A308,[5]库存使用数据!$A:$L,12,0),"")</f>
        <v>1</v>
      </c>
      <c r="X308" s="23">
        <f t="shared" si="77"/>
        <v>0.00260416666666667</v>
      </c>
      <c r="Y308" s="23">
        <f t="shared" si="78"/>
        <v>0</v>
      </c>
      <c r="Z308" s="23">
        <f t="shared" si="79"/>
        <v>0.00175438596491228</v>
      </c>
      <c r="AA308" s="23">
        <f t="shared" si="80"/>
        <v>0.00132802124833997</v>
      </c>
      <c r="AB308">
        <f>IFERROR(VLOOKUP($A308,[5]库存使用数据!$A:$D,4,0),"")</f>
        <v>0.8</v>
      </c>
      <c r="AC308">
        <f>IFERROR(VLOOKUP($A308,[5]库存使用数据!$A:$G,7,0),"")</f>
        <v>0</v>
      </c>
      <c r="AD308">
        <f>IFERROR(VLOOKUP($A308,[5]库存使用数据!$A:$J,10,0),"")</f>
        <v>1.17</v>
      </c>
      <c r="AE308">
        <f>IFERROR(VLOOKUP($A308,[5]库存使用数据!$A:$M,13,0),"")</f>
        <v>0.52</v>
      </c>
      <c r="AF308" s="23">
        <f t="shared" si="81"/>
        <v>0.143112701252236</v>
      </c>
      <c r="AG308" s="23" t="str">
        <f t="shared" si="82"/>
        <v/>
      </c>
      <c r="AH308" s="23" t="str">
        <f t="shared" si="83"/>
        <v>无销量广告费为1.17</v>
      </c>
      <c r="AI308" s="23" t="str">
        <f t="shared" si="84"/>
        <v>无销量广告费为0.52</v>
      </c>
      <c r="AJ308">
        <f>IFERROR(VLOOKUP($B308,[1]库存报告使用数据!$A$1:$B$65536,2,0),0)</f>
        <v>1</v>
      </c>
      <c r="AK308">
        <f>IFERROR(VLOOKUP($B308,[1]库存报告使用数据!$A$1:$C$65536,3,0),0)</f>
        <v>2</v>
      </c>
      <c r="AL308">
        <f>IFERROR(VLOOKUP($B308,[1]库存报告使用数据!$A$1:$D$65536,4,0),0)</f>
        <v>3</v>
      </c>
      <c r="AM308">
        <f>IFERROR(VLOOKUP($B308,[1]库存报告使用数据!$A$1:$E$65536,5,0),0)</f>
        <v>1</v>
      </c>
      <c r="AN308" s="23">
        <f t="shared" si="85"/>
        <v>1</v>
      </c>
      <c r="AO308" s="23">
        <f t="shared" si="86"/>
        <v>0</v>
      </c>
      <c r="AP308" s="23">
        <f t="shared" si="87"/>
        <v>0</v>
      </c>
      <c r="AQ308" s="23">
        <f t="shared" si="88"/>
        <v>0</v>
      </c>
      <c r="AR308" s="38">
        <f t="shared" si="73"/>
        <v>0.142857142857143</v>
      </c>
      <c r="AS308" s="38">
        <f t="shared" si="74"/>
        <v>8.57142857142857</v>
      </c>
      <c r="AT308" s="38">
        <f t="shared" si="75"/>
        <v>24.4285714285714</v>
      </c>
      <c r="AU308" s="33">
        <f t="shared" si="76"/>
        <v>231</v>
      </c>
      <c r="AV308" s="39">
        <f>IFERROR(时间!$B$4+AU308,"上周无销量")</f>
        <v>43521</v>
      </c>
    </row>
    <row r="309" spans="1:48">
      <c r="A309" s="35" t="s">
        <v>354</v>
      </c>
      <c r="B309" t="str">
        <f>VLOOKUP(A309,'[2]sku-asin（子）'!$A:$B,2,0)</f>
        <v>B078WPYL96</v>
      </c>
      <c r="C309" t="str">
        <f>VLOOKUP(A309,'[2]子sku-父sku'!$A:$B,2,0)</f>
        <v>NK-XUHM001</v>
      </c>
      <c r="D309" s="33">
        <f>IFERROR(VLOOKUP(A309,[3]库存报告使用数据处理!$A:$C,3,0),0)</f>
        <v>0</v>
      </c>
      <c r="E309" s="33">
        <f>IFERROR(VLOOKUP(A309,[3]库存报告使用数据处理!$A:$D,4,0),0)</f>
        <v>1</v>
      </c>
      <c r="F309" s="33">
        <f>IFERROR(VLOOKUP(A309,[3]库存报告使用数据处理!$A:$E,5,0),0)</f>
        <v>0</v>
      </c>
      <c r="G309" s="33">
        <f>IFERROR(VLOOKUP(A309,[3]库存报告使用数据处理!$A:$F,6,0),0)</f>
        <v>0</v>
      </c>
      <c r="H309" s="34">
        <f>IFERROR(VLOOKUP(A309,[3]库存报告使用数据处理!$A:$G,7,0),0)</f>
        <v>6.99</v>
      </c>
      <c r="I309">
        <f>IFERROR(VLOOKUP(A309,[4]数据处理!$A:$B,2,0),0)</f>
        <v>9</v>
      </c>
      <c r="J309" s="36">
        <f>IFERROR(VLOOKUP(A309,[4]数据处理!$A:$D,4,0),0)</f>
        <v>0</v>
      </c>
      <c r="K309" s="36">
        <f>IFERROR(VLOOKUP(A309,[4]数据处理!$A:$E,5,0),0)</f>
        <v>0</v>
      </c>
      <c r="L309" s="36">
        <f>IFERROR(VLOOKUP(A309,[4]数据处理!$A:$G,7,0),0)</f>
        <v>0</v>
      </c>
      <c r="M309">
        <f t="shared" si="72"/>
        <v>9</v>
      </c>
      <c r="N309">
        <f>IFERROR(VLOOKUP(A309,[4]数据处理!$A:$C,3,0),0)</f>
        <v>0</v>
      </c>
      <c r="O309">
        <f>IFERROR(VLOOKUP($A309,[4]数据处理!$A:$N,14,0),0)</f>
        <v>9</v>
      </c>
      <c r="P309">
        <f>IFERROR(VLOOKUP($A309,[5]库存使用数据!$A:$B,2,0),"")</f>
        <v>8144</v>
      </c>
      <c r="Q309">
        <f>IFERROR(VLOOKUP($A309,[5]库存使用数据!$A:$E,5,0),"")</f>
        <v>8292</v>
      </c>
      <c r="R309">
        <f>IFERROR(VLOOKUP($A309,[5]库存使用数据!$A:$H,8,0),"")</f>
        <v>4074</v>
      </c>
      <c r="S309">
        <f>IFERROR(VLOOKUP($A309,[5]库存使用数据!$A:$K,11,0),"")</f>
        <v>6040</v>
      </c>
      <c r="T309">
        <f>IFERROR(VLOOKUP($A309,[5]库存使用数据!$A:$C,3,0),"")</f>
        <v>24</v>
      </c>
      <c r="U309">
        <f>IFERROR(VLOOKUP($A309,[5]库存使用数据!$A:$F,6,0),"")</f>
        <v>26</v>
      </c>
      <c r="V309">
        <f>IFERROR(VLOOKUP($A309,[5]库存使用数据!$A:$I,9,0),"")</f>
        <v>23</v>
      </c>
      <c r="W309">
        <f>IFERROR(VLOOKUP($A309,[5]库存使用数据!$A:$L,12,0),"")</f>
        <v>18</v>
      </c>
      <c r="X309" s="23">
        <f t="shared" si="77"/>
        <v>0.00294695481335953</v>
      </c>
      <c r="Y309" s="23">
        <f t="shared" si="78"/>
        <v>0.00313555233960444</v>
      </c>
      <c r="Z309" s="23">
        <f t="shared" si="79"/>
        <v>0.00564555719194894</v>
      </c>
      <c r="AA309" s="23">
        <f t="shared" si="80"/>
        <v>0.00298013245033113</v>
      </c>
      <c r="AB309">
        <f>IFERROR(VLOOKUP($A309,[5]库存使用数据!$A:$D,4,0),"")</f>
        <v>9.77</v>
      </c>
      <c r="AC309">
        <f>IFERROR(VLOOKUP($A309,[5]库存使用数据!$A:$G,7,0),"")</f>
        <v>10.06</v>
      </c>
      <c r="AD309">
        <f>IFERROR(VLOOKUP($A309,[5]库存使用数据!$A:$J,10,0),"")</f>
        <v>10.55</v>
      </c>
      <c r="AE309">
        <f>IFERROR(VLOOKUP($A309,[5]库存使用数据!$A:$M,13,0),"")</f>
        <v>8.11</v>
      </c>
      <c r="AF309" s="23" t="str">
        <f t="shared" si="81"/>
        <v>无销量广告费为9.77</v>
      </c>
      <c r="AG309" s="23">
        <f t="shared" si="82"/>
        <v>1.43919885550787</v>
      </c>
      <c r="AH309" s="23" t="str">
        <f t="shared" si="83"/>
        <v>无销量广告费为10.55</v>
      </c>
      <c r="AI309" s="23" t="str">
        <f t="shared" si="84"/>
        <v>无销量广告费为8.11</v>
      </c>
      <c r="AJ309">
        <f>IFERROR(VLOOKUP($B309,[1]库存报告使用数据!$A$1:$B$65536,2,0),0)</f>
        <v>9</v>
      </c>
      <c r="AK309">
        <f>IFERROR(VLOOKUP($B309,[1]库存报告使用数据!$A$1:$C$65536,3,0),0)</f>
        <v>7</v>
      </c>
      <c r="AL309">
        <f>IFERROR(VLOOKUP($B309,[1]库存报告使用数据!$A$1:$D$65536,4,0),0)</f>
        <v>4</v>
      </c>
      <c r="AM309">
        <f>IFERROR(VLOOKUP($B309,[1]库存报告使用数据!$A$1:$E$65536,5,0),0)</f>
        <v>4</v>
      </c>
      <c r="AN309" s="23">
        <f t="shared" si="85"/>
        <v>0</v>
      </c>
      <c r="AO309" s="23">
        <f t="shared" si="86"/>
        <v>0.142857142857143</v>
      </c>
      <c r="AP309" s="23">
        <f t="shared" si="87"/>
        <v>0</v>
      </c>
      <c r="AQ309" s="23">
        <f t="shared" si="88"/>
        <v>0</v>
      </c>
      <c r="AR309" s="38">
        <f t="shared" si="73"/>
        <v>0</v>
      </c>
      <c r="AS309" s="38">
        <f t="shared" si="74"/>
        <v>0</v>
      </c>
      <c r="AT309" s="38">
        <f t="shared" si="75"/>
        <v>9</v>
      </c>
      <c r="AU309" s="33" t="str">
        <f t="shared" si="76"/>
        <v>库存为9</v>
      </c>
      <c r="AV309" s="39" t="str">
        <f>IFERROR(时间!$B$4+AU309,"上周无销量")</f>
        <v>上周无销量</v>
      </c>
    </row>
    <row r="310" spans="1:48">
      <c r="A310" s="35" t="s">
        <v>355</v>
      </c>
      <c r="B310" t="str">
        <f>VLOOKUP(A310,'[2]sku-asin（子）'!$A:$B,2,0)</f>
        <v>B078WQHD98</v>
      </c>
      <c r="C310" t="str">
        <f>VLOOKUP(A310,'[2]子sku-父sku'!$A:$B,2,0)</f>
        <v>NK-XUHM001</v>
      </c>
      <c r="D310" s="33">
        <f>IFERROR(VLOOKUP(A310,[3]库存报告使用数据处理!$A:$C,3,0),0)</f>
        <v>0</v>
      </c>
      <c r="E310" s="33">
        <f>IFERROR(VLOOKUP(A310,[3]库存报告使用数据处理!$A:$D,4,0),0)</f>
        <v>2</v>
      </c>
      <c r="F310" s="33">
        <f>IFERROR(VLOOKUP(A310,[3]库存报告使用数据处理!$A:$E,5,0),0)</f>
        <v>0</v>
      </c>
      <c r="G310" s="33">
        <f>IFERROR(VLOOKUP(A310,[3]库存报告使用数据处理!$A:$F,6,0),0)</f>
        <v>0</v>
      </c>
      <c r="H310" s="34">
        <f>IFERROR(VLOOKUP(A310,[3]库存报告使用数据处理!$A:$G,7,0),0)</f>
        <v>6.99</v>
      </c>
      <c r="I310">
        <f>IFERROR(VLOOKUP(A310,[4]数据处理!$A:$B,2,0),0)</f>
        <v>12</v>
      </c>
      <c r="J310" s="36">
        <f>IFERROR(VLOOKUP(A310,[4]数据处理!$A:$D,4,0),0)</f>
        <v>0</v>
      </c>
      <c r="K310" s="36">
        <f>IFERROR(VLOOKUP(A310,[4]数据处理!$A:$E,5,0),0)</f>
        <v>0</v>
      </c>
      <c r="L310" s="36">
        <f>IFERROR(VLOOKUP(A310,[4]数据处理!$A:$G,7,0),0)</f>
        <v>0</v>
      </c>
      <c r="M310">
        <f t="shared" si="72"/>
        <v>12</v>
      </c>
      <c r="N310">
        <f>IFERROR(VLOOKUP(A310,[4]数据处理!$A:$C,3,0),0)</f>
        <v>0</v>
      </c>
      <c r="O310">
        <f>IFERROR(VLOOKUP($A310,[4]数据处理!$A:$N,14,0),0)</f>
        <v>12</v>
      </c>
      <c r="P310">
        <f>IFERROR(VLOOKUP($A310,[5]库存使用数据!$A:$B,2,0),"")</f>
        <v>1141</v>
      </c>
      <c r="Q310">
        <f>IFERROR(VLOOKUP($A310,[5]库存使用数据!$A:$E,5,0),"")</f>
        <v>2193</v>
      </c>
      <c r="R310">
        <f>IFERROR(VLOOKUP($A310,[5]库存使用数据!$A:$H,8,0),"")</f>
        <v>2495</v>
      </c>
      <c r="S310">
        <f>IFERROR(VLOOKUP($A310,[5]库存使用数据!$A:$K,11,0),"")</f>
        <v>1446</v>
      </c>
      <c r="T310">
        <f>IFERROR(VLOOKUP($A310,[5]库存使用数据!$A:$C,3,0),"")</f>
        <v>7</v>
      </c>
      <c r="U310">
        <f>IFERROR(VLOOKUP($A310,[5]库存使用数据!$A:$F,6,0),"")</f>
        <v>4</v>
      </c>
      <c r="V310">
        <f>IFERROR(VLOOKUP($A310,[5]库存使用数据!$A:$I,9,0),"")</f>
        <v>5</v>
      </c>
      <c r="W310">
        <f>IFERROR(VLOOKUP($A310,[5]库存使用数据!$A:$L,12,0),"")</f>
        <v>3</v>
      </c>
      <c r="X310" s="23">
        <f t="shared" si="77"/>
        <v>0.00613496932515337</v>
      </c>
      <c r="Y310" s="23">
        <f t="shared" si="78"/>
        <v>0.00182398540811674</v>
      </c>
      <c r="Z310" s="23">
        <f t="shared" si="79"/>
        <v>0.00200400801603206</v>
      </c>
      <c r="AA310" s="23">
        <f t="shared" si="80"/>
        <v>0.0020746887966805</v>
      </c>
      <c r="AB310">
        <f>IFERROR(VLOOKUP($A310,[5]库存使用数据!$A:$D,4,0),"")</f>
        <v>2.33</v>
      </c>
      <c r="AC310">
        <f>IFERROR(VLOOKUP($A310,[5]库存使用数据!$A:$G,7,0),"")</f>
        <v>1.4</v>
      </c>
      <c r="AD310">
        <f>IFERROR(VLOOKUP($A310,[5]库存使用数据!$A:$J,10,0),"")</f>
        <v>1.83</v>
      </c>
      <c r="AE310">
        <f>IFERROR(VLOOKUP($A310,[5]库存使用数据!$A:$M,13,0),"")</f>
        <v>1.67</v>
      </c>
      <c r="AF310" s="23" t="str">
        <f t="shared" si="81"/>
        <v>无销量广告费为2.33</v>
      </c>
      <c r="AG310" s="23">
        <f t="shared" si="82"/>
        <v>0.100143061516452</v>
      </c>
      <c r="AH310" s="23" t="str">
        <f t="shared" si="83"/>
        <v>无销量广告费为1.83</v>
      </c>
      <c r="AI310" s="23" t="str">
        <f t="shared" si="84"/>
        <v>无销量广告费为1.67</v>
      </c>
      <c r="AJ310">
        <f>IFERROR(VLOOKUP($B310,[1]库存报告使用数据!$A$1:$B$65536,2,0),0)</f>
        <v>3</v>
      </c>
      <c r="AK310">
        <f>IFERROR(VLOOKUP($B310,[1]库存报告使用数据!$A$1:$C$65536,3,0),0)</f>
        <v>4</v>
      </c>
      <c r="AL310">
        <f>IFERROR(VLOOKUP($B310,[1]库存报告使用数据!$A$1:$D$65536,4,0),0)</f>
        <v>0</v>
      </c>
      <c r="AM310">
        <f>IFERROR(VLOOKUP($B310,[1]库存报告使用数据!$A$1:$E$65536,5,0),0)</f>
        <v>0</v>
      </c>
      <c r="AN310" s="23">
        <f t="shared" si="85"/>
        <v>0</v>
      </c>
      <c r="AO310" s="23">
        <f t="shared" si="86"/>
        <v>0.5</v>
      </c>
      <c r="AP310" s="23" t="str">
        <f t="shared" si="87"/>
        <v/>
      </c>
      <c r="AQ310" s="23" t="str">
        <f t="shared" si="88"/>
        <v/>
      </c>
      <c r="AR310" s="38">
        <f t="shared" si="73"/>
        <v>0</v>
      </c>
      <c r="AS310" s="38">
        <f t="shared" si="74"/>
        <v>0</v>
      </c>
      <c r="AT310" s="38">
        <f t="shared" si="75"/>
        <v>12</v>
      </c>
      <c r="AU310" s="33" t="str">
        <f t="shared" si="76"/>
        <v>库存为12</v>
      </c>
      <c r="AV310" s="39" t="str">
        <f>IFERROR(时间!$B$4+AU310,"上周无销量")</f>
        <v>上周无销量</v>
      </c>
    </row>
    <row r="311" spans="1:48">
      <c r="A311" s="35" t="s">
        <v>356</v>
      </c>
      <c r="B311" t="str">
        <f>VLOOKUP(A311,'[2]sku-asin（子）'!$A:$B,2,0)</f>
        <v>B078NQ9D6V</v>
      </c>
      <c r="C311" t="str">
        <f>VLOOKUP(A311,'[2]子sku-父sku'!$A:$B,2,0)</f>
        <v>NWZE</v>
      </c>
      <c r="D311" s="33">
        <f>IFERROR(VLOOKUP(A311,[3]库存报告使用数据处理!$A:$C,3,0),0)</f>
        <v>1</v>
      </c>
      <c r="E311" s="33">
        <f>IFERROR(VLOOKUP(A311,[3]库存报告使用数据处理!$A:$D,4,0),0)</f>
        <v>0</v>
      </c>
      <c r="F311" s="33">
        <f>IFERROR(VLOOKUP(A311,[3]库存报告使用数据处理!$A:$E,5,0),0)</f>
        <v>0</v>
      </c>
      <c r="G311" s="33">
        <f>IFERROR(VLOOKUP(A311,[3]库存报告使用数据处理!$A:$F,6,0),0)</f>
        <v>0</v>
      </c>
      <c r="H311" s="34">
        <f>IFERROR(VLOOKUP(A311,[3]库存报告使用数据处理!$A:$G,7,0),0)</f>
        <v>18.99</v>
      </c>
      <c r="I311">
        <f>IFERROR(VLOOKUP(A311,[4]数据处理!$A:$B,2,0),0)</f>
        <v>11</v>
      </c>
      <c r="J311" s="36">
        <f>IFERROR(VLOOKUP(A311,[4]数据处理!$A:$D,4,0),0)</f>
        <v>0</v>
      </c>
      <c r="K311" s="36">
        <f>IFERROR(VLOOKUP(A311,[4]数据处理!$A:$E,5,0),0)</f>
        <v>0</v>
      </c>
      <c r="L311" s="36">
        <f>IFERROR(VLOOKUP(A311,[4]数据处理!$A:$G,7,0),0)</f>
        <v>0</v>
      </c>
      <c r="M311">
        <f t="shared" si="72"/>
        <v>11</v>
      </c>
      <c r="N311">
        <f>IFERROR(VLOOKUP(A311,[4]数据处理!$A:$C,3,0),0)</f>
        <v>0</v>
      </c>
      <c r="O311">
        <f>IFERROR(VLOOKUP($A311,[4]数据处理!$A:$N,14,0),0)</f>
        <v>9</v>
      </c>
      <c r="P311">
        <f>IFERROR(VLOOKUP($A311,[5]库存使用数据!$A:$B,2,0),"")</f>
        <v>190</v>
      </c>
      <c r="Q311">
        <f>IFERROR(VLOOKUP($A311,[5]库存使用数据!$A:$E,5,0),"")</f>
        <v>272</v>
      </c>
      <c r="R311">
        <f>IFERROR(VLOOKUP($A311,[5]库存使用数据!$A:$H,8,0),"")</f>
        <v>860</v>
      </c>
      <c r="S311">
        <f>IFERROR(VLOOKUP($A311,[5]库存使用数据!$A:$K,11,0),"")</f>
        <v>2116</v>
      </c>
      <c r="T311">
        <f>IFERROR(VLOOKUP($A311,[5]库存使用数据!$A:$C,3,0),"")</f>
        <v>0</v>
      </c>
      <c r="U311">
        <f>IFERROR(VLOOKUP($A311,[5]库存使用数据!$A:$F,6,0),"")</f>
        <v>0</v>
      </c>
      <c r="V311">
        <f>IFERROR(VLOOKUP($A311,[5]库存使用数据!$A:$I,9,0),"")</f>
        <v>3</v>
      </c>
      <c r="W311">
        <f>IFERROR(VLOOKUP($A311,[5]库存使用数据!$A:$L,12,0),"")</f>
        <v>6</v>
      </c>
      <c r="X311" s="23">
        <f t="shared" si="77"/>
        <v>0</v>
      </c>
      <c r="Y311" s="23">
        <f t="shared" si="78"/>
        <v>0</v>
      </c>
      <c r="Z311" s="23">
        <f t="shared" si="79"/>
        <v>0.00348837209302326</v>
      </c>
      <c r="AA311" s="23">
        <f t="shared" si="80"/>
        <v>0.00283553875236295</v>
      </c>
      <c r="AB311">
        <f>IFERROR(VLOOKUP($A311,[5]库存使用数据!$A:$D,4,0),"")</f>
        <v>0</v>
      </c>
      <c r="AC311">
        <f>IFERROR(VLOOKUP($A311,[5]库存使用数据!$A:$G,7,0),"")</f>
        <v>0</v>
      </c>
      <c r="AD311">
        <f>IFERROR(VLOOKUP($A311,[5]库存使用数据!$A:$J,10,0),"")</f>
        <v>1.71</v>
      </c>
      <c r="AE311">
        <f>IFERROR(VLOOKUP($A311,[5]库存使用数据!$A:$M,13,0),"")</f>
        <v>2.83</v>
      </c>
      <c r="AF311" s="23" t="str">
        <f t="shared" si="81"/>
        <v/>
      </c>
      <c r="AG311" s="23" t="str">
        <f t="shared" si="82"/>
        <v/>
      </c>
      <c r="AH311" s="23" t="str">
        <f t="shared" si="83"/>
        <v>无销量广告费为1.71</v>
      </c>
      <c r="AI311" s="23" t="str">
        <f t="shared" si="84"/>
        <v>无销量广告费为2.83</v>
      </c>
      <c r="AJ311">
        <f>IFERROR(VLOOKUP($B311,[1]库存报告使用数据!$A$1:$B$65536,2,0),0)</f>
        <v>2</v>
      </c>
      <c r="AK311">
        <f>IFERROR(VLOOKUP($B311,[1]库存报告使用数据!$A$1:$C$65536,3,0),0)</f>
        <v>3</v>
      </c>
      <c r="AL311">
        <f>IFERROR(VLOOKUP($B311,[1]库存报告使用数据!$A$1:$D$65536,4,0),0)</f>
        <v>5</v>
      </c>
      <c r="AM311">
        <f>IFERROR(VLOOKUP($B311,[1]库存报告使用数据!$A$1:$E$65536,5,0),0)</f>
        <v>1</v>
      </c>
      <c r="AN311" s="23">
        <f t="shared" si="85"/>
        <v>0.5</v>
      </c>
      <c r="AO311" s="23">
        <f t="shared" si="86"/>
        <v>0</v>
      </c>
      <c r="AP311" s="23">
        <f t="shared" si="87"/>
        <v>0</v>
      </c>
      <c r="AQ311" s="23">
        <f t="shared" si="88"/>
        <v>0</v>
      </c>
      <c r="AR311" s="38">
        <f t="shared" si="73"/>
        <v>0.142857142857143</v>
      </c>
      <c r="AS311" s="38">
        <f t="shared" si="74"/>
        <v>8.57142857142857</v>
      </c>
      <c r="AT311" s="38">
        <f t="shared" si="75"/>
        <v>2.42857142857143</v>
      </c>
      <c r="AU311" s="33">
        <f t="shared" si="76"/>
        <v>77</v>
      </c>
      <c r="AV311" s="39">
        <f>IFERROR(时间!$B$4+AU311,"上周无销量")</f>
        <v>43367</v>
      </c>
    </row>
    <row r="312" spans="1:48">
      <c r="A312" s="35" t="s">
        <v>357</v>
      </c>
      <c r="B312" t="str">
        <f>VLOOKUP(A312,'[2]sku-asin（子）'!$A:$B,2,0)</f>
        <v>B078NN9LW4</v>
      </c>
      <c r="C312" t="str">
        <f>VLOOKUP(A312,'[2]子sku-父sku'!$A:$B,2,0)</f>
        <v>NWZE</v>
      </c>
      <c r="D312" s="33">
        <f>IFERROR(VLOOKUP(A312,[3]库存报告使用数据处理!$A:$C,3,0),0)</f>
        <v>1</v>
      </c>
      <c r="E312" s="33">
        <f>IFERROR(VLOOKUP(A312,[3]库存报告使用数据处理!$A:$D,4,0),0)</f>
        <v>0</v>
      </c>
      <c r="F312" s="33">
        <f>IFERROR(VLOOKUP(A312,[3]库存报告使用数据处理!$A:$E,5,0),0)</f>
        <v>0</v>
      </c>
      <c r="G312" s="33">
        <f>IFERROR(VLOOKUP(A312,[3]库存报告使用数据处理!$A:$F,6,0),0)</f>
        <v>1</v>
      </c>
      <c r="H312" s="34">
        <f>IFERROR(VLOOKUP(A312,[3]库存报告使用数据处理!$A:$G,7,0),0)</f>
        <v>18.99</v>
      </c>
      <c r="I312">
        <f>IFERROR(VLOOKUP(A312,[4]数据处理!$A:$B,2,0),0)</f>
        <v>7</v>
      </c>
      <c r="J312" s="36">
        <f>IFERROR(VLOOKUP(A312,[4]数据处理!$A:$D,4,0),0)</f>
        <v>0</v>
      </c>
      <c r="K312" s="36">
        <f>IFERROR(VLOOKUP(A312,[4]数据处理!$A:$E,5,0),0)</f>
        <v>0</v>
      </c>
      <c r="L312" s="36">
        <f>IFERROR(VLOOKUP(A312,[4]数据处理!$A:$G,7,0),0)</f>
        <v>0</v>
      </c>
      <c r="M312">
        <f t="shared" si="72"/>
        <v>7</v>
      </c>
      <c r="N312">
        <f>IFERROR(VLOOKUP(A312,[4]数据处理!$A:$C,3,0),0)</f>
        <v>0</v>
      </c>
      <c r="O312">
        <f>IFERROR(VLOOKUP($A312,[4]数据处理!$A:$N,14,0),0)</f>
        <v>6</v>
      </c>
      <c r="P312">
        <f>IFERROR(VLOOKUP($A312,[5]库存使用数据!$A:$B,2,0),"")</f>
        <v>238</v>
      </c>
      <c r="Q312">
        <f>IFERROR(VLOOKUP($A312,[5]库存使用数据!$A:$E,5,0),"")</f>
        <v>687</v>
      </c>
      <c r="R312">
        <f>IFERROR(VLOOKUP($A312,[5]库存使用数据!$A:$H,8,0),"")</f>
        <v>433</v>
      </c>
      <c r="S312">
        <f>IFERROR(VLOOKUP($A312,[5]库存使用数据!$A:$K,11,0),"")</f>
        <v>743</v>
      </c>
      <c r="T312">
        <f>IFERROR(VLOOKUP($A312,[5]库存使用数据!$A:$C,3,0),"")</f>
        <v>1</v>
      </c>
      <c r="U312">
        <f>IFERROR(VLOOKUP($A312,[5]库存使用数据!$A:$F,6,0),"")</f>
        <v>2</v>
      </c>
      <c r="V312">
        <f>IFERROR(VLOOKUP($A312,[5]库存使用数据!$A:$I,9,0),"")</f>
        <v>0</v>
      </c>
      <c r="W312">
        <f>IFERROR(VLOOKUP($A312,[5]库存使用数据!$A:$L,12,0),"")</f>
        <v>5</v>
      </c>
      <c r="X312" s="23">
        <f t="shared" si="77"/>
        <v>0.00420168067226891</v>
      </c>
      <c r="Y312" s="23">
        <f t="shared" si="78"/>
        <v>0.00291120815138282</v>
      </c>
      <c r="Z312" s="23">
        <f t="shared" si="79"/>
        <v>0</v>
      </c>
      <c r="AA312" s="23">
        <f t="shared" si="80"/>
        <v>0.00672947510094213</v>
      </c>
      <c r="AB312">
        <f>IFERROR(VLOOKUP($A312,[5]库存使用数据!$A:$D,4,0),"")</f>
        <v>0.54</v>
      </c>
      <c r="AC312">
        <f>IFERROR(VLOOKUP($A312,[5]库存使用数据!$A:$G,7,0),"")</f>
        <v>0.64</v>
      </c>
      <c r="AD312">
        <f>IFERROR(VLOOKUP($A312,[5]库存使用数据!$A:$J,10,0),"")</f>
        <v>0</v>
      </c>
      <c r="AE312">
        <f>IFERROR(VLOOKUP($A312,[5]库存使用数据!$A:$M,13,0),"")</f>
        <v>1.27</v>
      </c>
      <c r="AF312" s="23">
        <f t="shared" si="81"/>
        <v>0.028436018957346</v>
      </c>
      <c r="AG312" s="23" t="str">
        <f t="shared" si="82"/>
        <v>无销量广告费为0.64</v>
      </c>
      <c r="AH312" s="23" t="str">
        <f t="shared" si="83"/>
        <v/>
      </c>
      <c r="AI312" s="23">
        <f t="shared" si="84"/>
        <v>0.0668773038441285</v>
      </c>
      <c r="AJ312">
        <f>IFERROR(VLOOKUP($B312,[1]库存报告使用数据!$A$1:$B$65536,2,0),0)</f>
        <v>2</v>
      </c>
      <c r="AK312">
        <f>IFERROR(VLOOKUP($B312,[1]库存报告使用数据!$A$1:$C$65536,3,0),0)</f>
        <v>3</v>
      </c>
      <c r="AL312">
        <f>IFERROR(VLOOKUP($B312,[1]库存报告使用数据!$A$1:$D$65536,4,0),0)</f>
        <v>2</v>
      </c>
      <c r="AM312">
        <f>IFERROR(VLOOKUP($B312,[1]库存报告使用数据!$A$1:$E$65536,5,0),0)</f>
        <v>5</v>
      </c>
      <c r="AN312" s="23">
        <f t="shared" si="85"/>
        <v>0.5</v>
      </c>
      <c r="AO312" s="23">
        <f t="shared" si="86"/>
        <v>0</v>
      </c>
      <c r="AP312" s="23">
        <f t="shared" si="87"/>
        <v>0</v>
      </c>
      <c r="AQ312" s="23">
        <f t="shared" si="88"/>
        <v>0.2</v>
      </c>
      <c r="AR312" s="38">
        <f t="shared" si="73"/>
        <v>0.142857142857143</v>
      </c>
      <c r="AS312" s="38">
        <f t="shared" si="74"/>
        <v>8.57142857142857</v>
      </c>
      <c r="AT312" s="38">
        <f t="shared" si="75"/>
        <v>-1.57142857142857</v>
      </c>
      <c r="AU312" s="33">
        <f t="shared" si="76"/>
        <v>49</v>
      </c>
      <c r="AV312" s="39">
        <f>IFERROR(时间!$B$4+AU312,"上周无销量")</f>
        <v>43339</v>
      </c>
    </row>
    <row r="313" spans="1:48">
      <c r="A313" s="35" t="s">
        <v>358</v>
      </c>
      <c r="B313" t="str">
        <f>VLOOKUP(A313,'[2]sku-asin（子）'!$A:$B,2,0)</f>
        <v>B078NNNW7X</v>
      </c>
      <c r="C313" t="str">
        <f>VLOOKUP(A313,'[2]子sku-父sku'!$A:$B,2,0)</f>
        <v>NWZE</v>
      </c>
      <c r="D313" s="33">
        <f>IFERROR(VLOOKUP(A313,[3]库存报告使用数据处理!$A:$C,3,0),0)</f>
        <v>0</v>
      </c>
      <c r="E313" s="33">
        <f>IFERROR(VLOOKUP(A313,[3]库存报告使用数据处理!$A:$D,4,0),0)</f>
        <v>0</v>
      </c>
      <c r="F313" s="33">
        <f>IFERROR(VLOOKUP(A313,[3]库存报告使用数据处理!$A:$E,5,0),0)</f>
        <v>0</v>
      </c>
      <c r="G313" s="33">
        <f>IFERROR(VLOOKUP(A313,[3]库存报告使用数据处理!$A:$F,6,0),0)</f>
        <v>0</v>
      </c>
      <c r="H313" s="34">
        <f>IFERROR(VLOOKUP(A313,[3]库存报告使用数据处理!$A:$G,7,0),0)</f>
        <v>0</v>
      </c>
      <c r="I313">
        <f>IFERROR(VLOOKUP(A313,[4]数据处理!$A:$B,2,0),0)</f>
        <v>4</v>
      </c>
      <c r="J313" s="36">
        <f>IFERROR(VLOOKUP(A313,[4]数据处理!$A:$D,4,0),0)</f>
        <v>0</v>
      </c>
      <c r="K313" s="36">
        <f>IFERROR(VLOOKUP(A313,[4]数据处理!$A:$E,5,0),0)</f>
        <v>0</v>
      </c>
      <c r="L313" s="36">
        <f>IFERROR(VLOOKUP(A313,[4]数据处理!$A:$G,7,0),0)</f>
        <v>0</v>
      </c>
      <c r="M313">
        <f t="shared" si="72"/>
        <v>4</v>
      </c>
      <c r="N313">
        <f>IFERROR(VLOOKUP(A313,[4]数据处理!$A:$C,3,0),0)</f>
        <v>0</v>
      </c>
      <c r="O313">
        <f>IFERROR(VLOOKUP($A313,[4]数据处理!$A:$N,14,0),0)</f>
        <v>3</v>
      </c>
      <c r="P313">
        <f>IFERROR(VLOOKUP($A313,[5]库存使用数据!$A:$B,2,0),"")</f>
        <v>870</v>
      </c>
      <c r="Q313">
        <f>IFERROR(VLOOKUP($A313,[5]库存使用数据!$A:$E,5,0),"")</f>
        <v>1687</v>
      </c>
      <c r="R313">
        <f>IFERROR(VLOOKUP($A313,[5]库存使用数据!$A:$H,8,0),"")</f>
        <v>157</v>
      </c>
      <c r="S313">
        <f>IFERROR(VLOOKUP($A313,[5]库存使用数据!$A:$K,11,0),"")</f>
        <v>436</v>
      </c>
      <c r="T313">
        <f>IFERROR(VLOOKUP($A313,[5]库存使用数据!$A:$C,3,0),"")</f>
        <v>2</v>
      </c>
      <c r="U313">
        <f>IFERROR(VLOOKUP($A313,[5]库存使用数据!$A:$F,6,0),"")</f>
        <v>3</v>
      </c>
      <c r="V313">
        <f>IFERROR(VLOOKUP($A313,[5]库存使用数据!$A:$I,9,0),"")</f>
        <v>0</v>
      </c>
      <c r="W313">
        <f>IFERROR(VLOOKUP($A313,[5]库存使用数据!$A:$L,12,0),"")</f>
        <v>1</v>
      </c>
      <c r="X313" s="23">
        <f t="shared" si="77"/>
        <v>0.00229885057471264</v>
      </c>
      <c r="Y313" s="23">
        <f t="shared" si="78"/>
        <v>0.001778304682869</v>
      </c>
      <c r="Z313" s="23">
        <f t="shared" si="79"/>
        <v>0</v>
      </c>
      <c r="AA313" s="23">
        <f t="shared" si="80"/>
        <v>0.00229357798165138</v>
      </c>
      <c r="AB313">
        <f>IFERROR(VLOOKUP($A313,[5]库存使用数据!$A:$D,4,0),"")</f>
        <v>0.71</v>
      </c>
      <c r="AC313">
        <f>IFERROR(VLOOKUP($A313,[5]库存使用数据!$A:$G,7,0),"")</f>
        <v>1.32</v>
      </c>
      <c r="AD313">
        <f>IFERROR(VLOOKUP($A313,[5]库存使用数据!$A:$J,10,0),"")</f>
        <v>0</v>
      </c>
      <c r="AE313">
        <f>IFERROR(VLOOKUP($A313,[5]库存使用数据!$A:$M,13,0),"")</f>
        <v>0.32</v>
      </c>
      <c r="AF313" s="23" t="str">
        <f t="shared" si="81"/>
        <v>无销量广告费为0.71</v>
      </c>
      <c r="AG313" s="23" t="str">
        <f t="shared" si="82"/>
        <v>无销量广告费为1.32</v>
      </c>
      <c r="AH313" s="23" t="str">
        <f t="shared" si="83"/>
        <v/>
      </c>
      <c r="AI313" s="23" t="str">
        <f t="shared" si="84"/>
        <v>无销量广告费为0.32</v>
      </c>
      <c r="AJ313">
        <f>IFERROR(VLOOKUP($B313,[1]库存报告使用数据!$A$1:$B$65536,2,0),0)</f>
        <v>3</v>
      </c>
      <c r="AK313">
        <f>IFERROR(VLOOKUP($B313,[1]库存报告使用数据!$A$1:$C$65536,3,0),0)</f>
        <v>5</v>
      </c>
      <c r="AL313">
        <f>IFERROR(VLOOKUP($B313,[1]库存报告使用数据!$A$1:$D$65536,4,0),0)</f>
        <v>2</v>
      </c>
      <c r="AM313">
        <f>IFERROR(VLOOKUP($B313,[1]库存报告使用数据!$A$1:$E$65536,5,0),0)</f>
        <v>4</v>
      </c>
      <c r="AN313" s="23">
        <f t="shared" si="85"/>
        <v>0</v>
      </c>
      <c r="AO313" s="23">
        <f t="shared" si="86"/>
        <v>0</v>
      </c>
      <c r="AP313" s="23">
        <f t="shared" si="87"/>
        <v>0</v>
      </c>
      <c r="AQ313" s="23">
        <f t="shared" si="88"/>
        <v>0</v>
      </c>
      <c r="AR313" s="38">
        <f t="shared" si="73"/>
        <v>0</v>
      </c>
      <c r="AS313" s="38">
        <f t="shared" si="74"/>
        <v>0</v>
      </c>
      <c r="AT313" s="38">
        <f t="shared" si="75"/>
        <v>4</v>
      </c>
      <c r="AU313" s="33" t="str">
        <f t="shared" si="76"/>
        <v>库存为4</v>
      </c>
      <c r="AV313" s="39" t="str">
        <f>IFERROR(时间!$B$4+AU313,"上周无销量")</f>
        <v>上周无销量</v>
      </c>
    </row>
    <row r="314" spans="1:48">
      <c r="A314" s="35" t="s">
        <v>359</v>
      </c>
      <c r="B314" t="str">
        <f>VLOOKUP(A314,'[2]sku-asin（子）'!$A:$B,2,0)</f>
        <v>B078NQ7BCX</v>
      </c>
      <c r="C314" t="str">
        <f>VLOOKUP(A314,'[2]子sku-父sku'!$A:$B,2,0)</f>
        <v>NY-B15016</v>
      </c>
      <c r="D314" s="33">
        <f>IFERROR(VLOOKUP(A314,[3]库存报告使用数据处理!$A:$C,3,0),0)</f>
        <v>0</v>
      </c>
      <c r="E314" s="33">
        <f>IFERROR(VLOOKUP(A314,[3]库存报告使用数据处理!$A:$D,4,0),0)</f>
        <v>0</v>
      </c>
      <c r="F314" s="33">
        <f>IFERROR(VLOOKUP(A314,[3]库存报告使用数据处理!$A:$E,5,0),0)</f>
        <v>0</v>
      </c>
      <c r="G314" s="33">
        <f>IFERROR(VLOOKUP(A314,[3]库存报告使用数据处理!$A:$F,6,0),0)</f>
        <v>1</v>
      </c>
      <c r="H314" s="34">
        <f>IFERROR(VLOOKUP(A314,[3]库存报告使用数据处理!$A:$G,7,0),0)</f>
        <v>18.99</v>
      </c>
      <c r="I314">
        <f>IFERROR(VLOOKUP(A314,[4]数据处理!$A:$B,2,0),0)</f>
        <v>7</v>
      </c>
      <c r="J314" s="36">
        <f>IFERROR(VLOOKUP(A314,[4]数据处理!$A:$D,4,0),0)</f>
        <v>0</v>
      </c>
      <c r="K314" s="36">
        <f>IFERROR(VLOOKUP(A314,[4]数据处理!$A:$E,5,0),0)</f>
        <v>0</v>
      </c>
      <c r="L314" s="36">
        <f>IFERROR(VLOOKUP(A314,[4]数据处理!$A:$G,7,0),0)</f>
        <v>0</v>
      </c>
      <c r="M314">
        <f t="shared" si="72"/>
        <v>7</v>
      </c>
      <c r="N314">
        <f>IFERROR(VLOOKUP(A314,[4]数据处理!$A:$C,3,0),0)</f>
        <v>0</v>
      </c>
      <c r="O314">
        <f>IFERROR(VLOOKUP($A314,[4]数据处理!$A:$N,14,0),0)</f>
        <v>7</v>
      </c>
      <c r="P314">
        <f>IFERROR(VLOOKUP($A314,[5]库存使用数据!$A:$B,2,0),"")</f>
        <v>391</v>
      </c>
      <c r="Q314">
        <f>IFERROR(VLOOKUP($A314,[5]库存使用数据!$A:$E,5,0),"")</f>
        <v>730</v>
      </c>
      <c r="R314">
        <f>IFERROR(VLOOKUP($A314,[5]库存使用数据!$A:$H,8,0),"")</f>
        <v>405</v>
      </c>
      <c r="S314">
        <f>IFERROR(VLOOKUP($A314,[5]库存使用数据!$A:$K,11,0),"")</f>
        <v>486</v>
      </c>
      <c r="T314">
        <f>IFERROR(VLOOKUP($A314,[5]库存使用数据!$A:$C,3,0),"")</f>
        <v>3</v>
      </c>
      <c r="U314">
        <f>IFERROR(VLOOKUP($A314,[5]库存使用数据!$A:$F,6,0),"")</f>
        <v>4</v>
      </c>
      <c r="V314">
        <f>IFERROR(VLOOKUP($A314,[5]库存使用数据!$A:$I,9,0),"")</f>
        <v>0</v>
      </c>
      <c r="W314">
        <f>IFERROR(VLOOKUP($A314,[5]库存使用数据!$A:$L,12,0),"")</f>
        <v>0</v>
      </c>
      <c r="X314" s="23">
        <f t="shared" si="77"/>
        <v>0.00767263427109974</v>
      </c>
      <c r="Y314" s="23">
        <f t="shared" si="78"/>
        <v>0.00547945205479452</v>
      </c>
      <c r="Z314" s="23">
        <f t="shared" si="79"/>
        <v>0</v>
      </c>
      <c r="AA314" s="23">
        <f t="shared" si="80"/>
        <v>0</v>
      </c>
      <c r="AB314">
        <f>IFERROR(VLOOKUP($A314,[5]库存使用数据!$A:$D,4,0),"")</f>
        <v>1.09</v>
      </c>
      <c r="AC314">
        <f>IFERROR(VLOOKUP($A314,[5]库存使用数据!$A:$G,7,0),"")</f>
        <v>1.5</v>
      </c>
      <c r="AD314">
        <f>IFERROR(VLOOKUP($A314,[5]库存使用数据!$A:$J,10,0),"")</f>
        <v>0</v>
      </c>
      <c r="AE314">
        <f>IFERROR(VLOOKUP($A314,[5]库存使用数据!$A:$M,13,0),"")</f>
        <v>0</v>
      </c>
      <c r="AF314" s="23" t="str">
        <f t="shared" si="81"/>
        <v>无销量广告费为1.09</v>
      </c>
      <c r="AG314" s="23" t="str">
        <f t="shared" si="82"/>
        <v>无销量广告费为1.5</v>
      </c>
      <c r="AH314" s="23" t="str">
        <f t="shared" si="83"/>
        <v/>
      </c>
      <c r="AI314" s="23" t="str">
        <f t="shared" si="84"/>
        <v/>
      </c>
      <c r="AJ314">
        <f>IFERROR(VLOOKUP($B314,[1]库存报告使用数据!$A$1:$B$65536,2,0),0)</f>
        <v>6</v>
      </c>
      <c r="AK314">
        <f>IFERROR(VLOOKUP($B314,[1]库存报告使用数据!$A$1:$C$65536,3,0),0)</f>
        <v>6</v>
      </c>
      <c r="AL314">
        <f>IFERROR(VLOOKUP($B314,[1]库存报告使用数据!$A$1:$D$65536,4,0),0)</f>
        <v>10</v>
      </c>
      <c r="AM314">
        <f>IFERROR(VLOOKUP($B314,[1]库存报告使用数据!$A$1:$E$65536,5,0),0)</f>
        <v>5</v>
      </c>
      <c r="AN314" s="23">
        <f t="shared" si="85"/>
        <v>0</v>
      </c>
      <c r="AO314" s="23">
        <f t="shared" si="86"/>
        <v>0</v>
      </c>
      <c r="AP314" s="23">
        <f t="shared" si="87"/>
        <v>0</v>
      </c>
      <c r="AQ314" s="23">
        <f t="shared" si="88"/>
        <v>0.2</v>
      </c>
      <c r="AR314" s="38">
        <f t="shared" si="73"/>
        <v>0</v>
      </c>
      <c r="AS314" s="38">
        <f t="shared" si="74"/>
        <v>0</v>
      </c>
      <c r="AT314" s="38">
        <f t="shared" si="75"/>
        <v>7</v>
      </c>
      <c r="AU314" s="33" t="str">
        <f t="shared" si="76"/>
        <v>库存为7</v>
      </c>
      <c r="AV314" s="39" t="str">
        <f>IFERROR(时间!$B$4+AU314,"上周无销量")</f>
        <v>上周无销量</v>
      </c>
    </row>
    <row r="315" spans="1:48">
      <c r="A315" s="35" t="s">
        <v>360</v>
      </c>
      <c r="B315" t="str">
        <f>VLOOKUP(A315,'[2]sku-asin（子）'!$A:$B,2,0)</f>
        <v>B078NN9RD2</v>
      </c>
      <c r="C315" t="str">
        <f>VLOOKUP(A315,'[2]子sku-父sku'!$A:$B,2,0)</f>
        <v>NY-B15016</v>
      </c>
      <c r="D315" s="33">
        <f>IFERROR(VLOOKUP(A315,[3]库存报告使用数据处理!$A:$C,3,0),0)</f>
        <v>0</v>
      </c>
      <c r="E315" s="33">
        <f>IFERROR(VLOOKUP(A315,[3]库存报告使用数据处理!$A:$D,4,0),0)</f>
        <v>0</v>
      </c>
      <c r="F315" s="33">
        <f>IFERROR(VLOOKUP(A315,[3]库存报告使用数据处理!$A:$E,5,0),0)</f>
        <v>0</v>
      </c>
      <c r="G315" s="33">
        <f>IFERROR(VLOOKUP(A315,[3]库存报告使用数据处理!$A:$F,6,0),0)</f>
        <v>0</v>
      </c>
      <c r="H315" s="34">
        <f>IFERROR(VLOOKUP(A315,[3]库存报告使用数据处理!$A:$G,7,0),0)</f>
        <v>0</v>
      </c>
      <c r="I315">
        <f>IFERROR(VLOOKUP(A315,[4]数据处理!$A:$B,2,0),0)</f>
        <v>11</v>
      </c>
      <c r="J315" s="36">
        <f>IFERROR(VLOOKUP(A315,[4]数据处理!$A:$D,4,0),0)</f>
        <v>0</v>
      </c>
      <c r="K315" s="36">
        <f>IFERROR(VLOOKUP(A315,[4]数据处理!$A:$E,5,0),0)</f>
        <v>0</v>
      </c>
      <c r="L315" s="36">
        <f>IFERROR(VLOOKUP(A315,[4]数据处理!$A:$G,7,0),0)</f>
        <v>0</v>
      </c>
      <c r="M315">
        <f t="shared" si="72"/>
        <v>11</v>
      </c>
      <c r="N315">
        <f>IFERROR(VLOOKUP(A315,[4]数据处理!$A:$C,3,0),0)</f>
        <v>0</v>
      </c>
      <c r="O315">
        <f>IFERROR(VLOOKUP($A315,[4]数据处理!$A:$N,14,0),0)</f>
        <v>11</v>
      </c>
      <c r="P315">
        <f>IFERROR(VLOOKUP($A315,[5]库存使用数据!$A:$B,2,0),"")</f>
        <v>232</v>
      </c>
      <c r="Q315">
        <f>IFERROR(VLOOKUP($A315,[5]库存使用数据!$A:$E,5,0),"")</f>
        <v>530</v>
      </c>
      <c r="R315">
        <f>IFERROR(VLOOKUP($A315,[5]库存使用数据!$A:$H,8,0),"")</f>
        <v>1016</v>
      </c>
      <c r="S315">
        <f>IFERROR(VLOOKUP($A315,[5]库存使用数据!$A:$K,11,0),"")</f>
        <v>976</v>
      </c>
      <c r="T315">
        <f>IFERROR(VLOOKUP($A315,[5]库存使用数据!$A:$C,3,0),"")</f>
        <v>0</v>
      </c>
      <c r="U315">
        <f>IFERROR(VLOOKUP($A315,[5]库存使用数据!$A:$F,6,0),"")</f>
        <v>2</v>
      </c>
      <c r="V315">
        <f>IFERROR(VLOOKUP($A315,[5]库存使用数据!$A:$I,9,0),"")</f>
        <v>3</v>
      </c>
      <c r="W315">
        <f>IFERROR(VLOOKUP($A315,[5]库存使用数据!$A:$L,12,0),"")</f>
        <v>3</v>
      </c>
      <c r="X315" s="23">
        <f t="shared" si="77"/>
        <v>0</v>
      </c>
      <c r="Y315" s="23">
        <f t="shared" si="78"/>
        <v>0.00377358490566038</v>
      </c>
      <c r="Z315" s="23">
        <f t="shared" si="79"/>
        <v>0.00295275590551181</v>
      </c>
      <c r="AA315" s="23">
        <f t="shared" si="80"/>
        <v>0.00307377049180328</v>
      </c>
      <c r="AB315">
        <f>IFERROR(VLOOKUP($A315,[5]库存使用数据!$A:$D,4,0),"")</f>
        <v>0</v>
      </c>
      <c r="AC315">
        <f>IFERROR(VLOOKUP($A315,[5]库存使用数据!$A:$G,7,0),"")</f>
        <v>0.72</v>
      </c>
      <c r="AD315">
        <f>IFERROR(VLOOKUP($A315,[5]库存使用数据!$A:$J,10,0),"")</f>
        <v>1.16</v>
      </c>
      <c r="AE315">
        <f>IFERROR(VLOOKUP($A315,[5]库存使用数据!$A:$M,13,0),"")</f>
        <v>1.04</v>
      </c>
      <c r="AF315" s="23" t="str">
        <f t="shared" si="81"/>
        <v/>
      </c>
      <c r="AG315" s="23" t="str">
        <f t="shared" si="82"/>
        <v>无销量广告费为0.72</v>
      </c>
      <c r="AH315" s="23" t="str">
        <f t="shared" si="83"/>
        <v>无销量广告费为1.16</v>
      </c>
      <c r="AI315" s="23" t="str">
        <f t="shared" si="84"/>
        <v>无销量广告费为1.04</v>
      </c>
      <c r="AJ315">
        <f>IFERROR(VLOOKUP($B315,[1]库存报告使用数据!$A$1:$B$65536,2,0),0)</f>
        <v>3</v>
      </c>
      <c r="AK315">
        <f>IFERROR(VLOOKUP($B315,[1]库存报告使用数据!$A$1:$C$65536,3,0),0)</f>
        <v>3</v>
      </c>
      <c r="AL315">
        <f>IFERROR(VLOOKUP($B315,[1]库存报告使用数据!$A$1:$D$65536,4,0),0)</f>
        <v>5</v>
      </c>
      <c r="AM315">
        <f>IFERROR(VLOOKUP($B315,[1]库存报告使用数据!$A$1:$E$65536,5,0),0)</f>
        <v>3</v>
      </c>
      <c r="AN315" s="23">
        <f t="shared" si="85"/>
        <v>0</v>
      </c>
      <c r="AO315" s="23">
        <f t="shared" si="86"/>
        <v>0</v>
      </c>
      <c r="AP315" s="23">
        <f t="shared" si="87"/>
        <v>0</v>
      </c>
      <c r="AQ315" s="23">
        <f t="shared" si="88"/>
        <v>0</v>
      </c>
      <c r="AR315" s="38">
        <f t="shared" si="73"/>
        <v>0</v>
      </c>
      <c r="AS315" s="38">
        <f t="shared" si="74"/>
        <v>0</v>
      </c>
      <c r="AT315" s="38">
        <f t="shared" si="75"/>
        <v>11</v>
      </c>
      <c r="AU315" s="33" t="str">
        <f t="shared" si="76"/>
        <v>库存为11</v>
      </c>
      <c r="AV315" s="39" t="str">
        <f>IFERROR(时间!$B$4+AU315,"上周无销量")</f>
        <v>上周无销量</v>
      </c>
    </row>
    <row r="316" spans="1:48">
      <c r="A316" s="35" t="s">
        <v>361</v>
      </c>
      <c r="B316" t="str">
        <f>VLOOKUP(A316,'[2]sku-asin（子）'!$A:$B,2,0)</f>
        <v>B078NQ98JD</v>
      </c>
      <c r="C316" t="str">
        <f>VLOOKUP(A316,'[2]子sku-父sku'!$A:$B,2,0)</f>
        <v>NY-B15016</v>
      </c>
      <c r="D316" s="33">
        <f>IFERROR(VLOOKUP(A316,[3]库存报告使用数据处理!$A:$C,3,0),0)</f>
        <v>0</v>
      </c>
      <c r="E316" s="33">
        <f>IFERROR(VLOOKUP(A316,[3]库存报告使用数据处理!$A:$D,4,0),0)</f>
        <v>0</v>
      </c>
      <c r="F316" s="33">
        <f>IFERROR(VLOOKUP(A316,[3]库存报告使用数据处理!$A:$E,5,0),0)</f>
        <v>2</v>
      </c>
      <c r="G316" s="33">
        <f>IFERROR(VLOOKUP(A316,[3]库存报告使用数据处理!$A:$F,6,0),0)</f>
        <v>0</v>
      </c>
      <c r="H316" s="34">
        <f>IFERROR(VLOOKUP(A316,[3]库存报告使用数据处理!$A:$G,7,0),0)</f>
        <v>18.99</v>
      </c>
      <c r="I316">
        <f>IFERROR(VLOOKUP(A316,[4]数据处理!$A:$B,2,0),0)</f>
        <v>7</v>
      </c>
      <c r="J316" s="36">
        <f>IFERROR(VLOOKUP(A316,[4]数据处理!$A:$D,4,0),0)</f>
        <v>0</v>
      </c>
      <c r="K316" s="36">
        <f>IFERROR(VLOOKUP(A316,[4]数据处理!$A:$E,5,0),0)</f>
        <v>0</v>
      </c>
      <c r="L316" s="36">
        <f>IFERROR(VLOOKUP(A316,[4]数据处理!$A:$G,7,0),0)</f>
        <v>0</v>
      </c>
      <c r="M316">
        <f t="shared" si="72"/>
        <v>7</v>
      </c>
      <c r="N316">
        <f>IFERROR(VLOOKUP(A316,[4]数据处理!$A:$C,3,0),0)</f>
        <v>0</v>
      </c>
      <c r="O316">
        <f>IFERROR(VLOOKUP($A316,[4]数据处理!$A:$N,14,0),0)</f>
        <v>7</v>
      </c>
      <c r="P316">
        <f>IFERROR(VLOOKUP($A316,[5]库存使用数据!$A:$B,2,0),"")</f>
        <v>126</v>
      </c>
      <c r="Q316">
        <f>IFERROR(VLOOKUP($A316,[5]库存使用数据!$A:$E,5,0),"")</f>
        <v>250</v>
      </c>
      <c r="R316">
        <f>IFERROR(VLOOKUP($A316,[5]库存使用数据!$A:$H,8,0),"")</f>
        <v>337</v>
      </c>
      <c r="S316">
        <f>IFERROR(VLOOKUP($A316,[5]库存使用数据!$A:$K,11,0),"")</f>
        <v>736</v>
      </c>
      <c r="T316">
        <f>IFERROR(VLOOKUP($A316,[5]库存使用数据!$A:$C,3,0),"")</f>
        <v>0</v>
      </c>
      <c r="U316">
        <f>IFERROR(VLOOKUP($A316,[5]库存使用数据!$A:$F,6,0),"")</f>
        <v>1</v>
      </c>
      <c r="V316">
        <f>IFERROR(VLOOKUP($A316,[5]库存使用数据!$A:$I,9,0),"")</f>
        <v>0</v>
      </c>
      <c r="W316">
        <f>IFERROR(VLOOKUP($A316,[5]库存使用数据!$A:$L,12,0),"")</f>
        <v>1</v>
      </c>
      <c r="X316" s="23">
        <f t="shared" si="77"/>
        <v>0</v>
      </c>
      <c r="Y316" s="23">
        <f t="shared" si="78"/>
        <v>0.004</v>
      </c>
      <c r="Z316" s="23">
        <f t="shared" si="79"/>
        <v>0</v>
      </c>
      <c r="AA316" s="23">
        <f t="shared" si="80"/>
        <v>0.00135869565217391</v>
      </c>
      <c r="AB316">
        <f>IFERROR(VLOOKUP($A316,[5]库存使用数据!$A:$D,4,0),"")</f>
        <v>0</v>
      </c>
      <c r="AC316">
        <f>IFERROR(VLOOKUP($A316,[5]库存使用数据!$A:$G,7,0),"")</f>
        <v>0.42</v>
      </c>
      <c r="AD316">
        <f>IFERROR(VLOOKUP($A316,[5]库存使用数据!$A:$J,10,0),"")</f>
        <v>0</v>
      </c>
      <c r="AE316">
        <f>IFERROR(VLOOKUP($A316,[5]库存使用数据!$A:$M,13,0),"")</f>
        <v>0.34</v>
      </c>
      <c r="AF316" s="23" t="str">
        <f t="shared" si="81"/>
        <v/>
      </c>
      <c r="AG316" s="23" t="str">
        <f t="shared" si="82"/>
        <v>无销量广告费为0.42</v>
      </c>
      <c r="AH316" s="23" t="str">
        <f t="shared" si="83"/>
        <v/>
      </c>
      <c r="AI316" s="23" t="str">
        <f t="shared" si="84"/>
        <v>无销量广告费为0.34</v>
      </c>
      <c r="AJ316">
        <f>IFERROR(VLOOKUP($B316,[1]库存报告使用数据!$A$1:$B$65536,2,0),0)</f>
        <v>1</v>
      </c>
      <c r="AK316">
        <f>IFERROR(VLOOKUP($B316,[1]库存报告使用数据!$A$1:$C$65536,3,0),0)</f>
        <v>4</v>
      </c>
      <c r="AL316">
        <f>IFERROR(VLOOKUP($B316,[1]库存报告使用数据!$A$1:$D$65536,4,0),0)</f>
        <v>5</v>
      </c>
      <c r="AM316">
        <f>IFERROR(VLOOKUP($B316,[1]库存报告使用数据!$A$1:$E$65536,5,0),0)</f>
        <v>4</v>
      </c>
      <c r="AN316" s="23">
        <f t="shared" si="85"/>
        <v>0</v>
      </c>
      <c r="AO316" s="23">
        <f t="shared" si="86"/>
        <v>0</v>
      </c>
      <c r="AP316" s="23">
        <f t="shared" si="87"/>
        <v>0.4</v>
      </c>
      <c r="AQ316" s="23">
        <f t="shared" si="88"/>
        <v>0</v>
      </c>
      <c r="AR316" s="38">
        <f t="shared" si="73"/>
        <v>0</v>
      </c>
      <c r="AS316" s="38">
        <f t="shared" si="74"/>
        <v>0</v>
      </c>
      <c r="AT316" s="38">
        <f t="shared" si="75"/>
        <v>7</v>
      </c>
      <c r="AU316" s="33" t="str">
        <f t="shared" si="76"/>
        <v>库存为7</v>
      </c>
      <c r="AV316" s="39" t="str">
        <f>IFERROR(时间!$B$4+AU316,"上周无销量")</f>
        <v>上周无销量</v>
      </c>
    </row>
    <row r="317" spans="1:48">
      <c r="A317" s="35" t="s">
        <v>362</v>
      </c>
      <c r="B317" t="str">
        <f>VLOOKUP(A317,'[2]sku-asin（子）'!$A:$B,2,0)</f>
        <v>B078NN9RQR</v>
      </c>
      <c r="C317" t="str">
        <f>VLOOKUP(A317,'[2]子sku-父sku'!$A:$B,2,0)</f>
        <v>NY-B15016</v>
      </c>
      <c r="D317" s="33">
        <f>IFERROR(VLOOKUP(A317,[3]库存报告使用数据处理!$A:$C,3,0),0)</f>
        <v>0</v>
      </c>
      <c r="E317" s="33">
        <f>IFERROR(VLOOKUP(A317,[3]库存报告使用数据处理!$A:$D,4,0),0)</f>
        <v>0</v>
      </c>
      <c r="F317" s="33">
        <f>IFERROR(VLOOKUP(A317,[3]库存报告使用数据处理!$A:$E,5,0),0)</f>
        <v>0</v>
      </c>
      <c r="G317" s="33">
        <f>IFERROR(VLOOKUP(A317,[3]库存报告使用数据处理!$A:$F,6,0),0)</f>
        <v>0</v>
      </c>
      <c r="H317" s="34">
        <f>IFERROR(VLOOKUP(A317,[3]库存报告使用数据处理!$A:$G,7,0),0)</f>
        <v>0</v>
      </c>
      <c r="I317">
        <f>IFERROR(VLOOKUP(A317,[4]数据处理!$A:$B,2,0),0)</f>
        <v>0</v>
      </c>
      <c r="J317" s="36">
        <f>IFERROR(VLOOKUP(A317,[4]数据处理!$A:$D,4,0),0)</f>
        <v>0</v>
      </c>
      <c r="K317" s="36">
        <f>IFERROR(VLOOKUP(A317,[4]数据处理!$A:$E,5,0),0)</f>
        <v>0</v>
      </c>
      <c r="L317" s="36">
        <f>IFERROR(VLOOKUP(A317,[4]数据处理!$A:$G,7,0),0)</f>
        <v>0</v>
      </c>
      <c r="M317">
        <f t="shared" si="72"/>
        <v>0</v>
      </c>
      <c r="N317">
        <f>IFERROR(VLOOKUP(A317,[4]数据处理!$A:$C,3,0),0)</f>
        <v>0</v>
      </c>
      <c r="O317">
        <f>IFERROR(VLOOKUP($A317,[4]数据处理!$A:$N,14,0),0)</f>
        <v>0</v>
      </c>
      <c r="P317" t="str">
        <f>IFERROR(VLOOKUP($A317,[5]库存使用数据!$A:$B,2,0),"")</f>
        <v/>
      </c>
      <c r="Q317" t="str">
        <f>IFERROR(VLOOKUP($A317,[5]库存使用数据!$A:$E,5,0),"")</f>
        <v/>
      </c>
      <c r="R317" t="str">
        <f>IFERROR(VLOOKUP($A317,[5]库存使用数据!$A:$H,8,0),"")</f>
        <v/>
      </c>
      <c r="S317" t="str">
        <f>IFERROR(VLOOKUP($A317,[5]库存使用数据!$A:$K,11,0),"")</f>
        <v/>
      </c>
      <c r="T317" t="str">
        <f>IFERROR(VLOOKUP($A317,[5]库存使用数据!$A:$C,3,0),"")</f>
        <v/>
      </c>
      <c r="U317" t="str">
        <f>IFERROR(VLOOKUP($A317,[5]库存使用数据!$A:$F,6,0),"")</f>
        <v/>
      </c>
      <c r="V317" t="str">
        <f>IFERROR(VLOOKUP($A317,[5]库存使用数据!$A:$I,9,0),"")</f>
        <v/>
      </c>
      <c r="W317" t="str">
        <f>IFERROR(VLOOKUP($A317,[5]库存使用数据!$A:$L,12,0),"")</f>
        <v/>
      </c>
      <c r="X317" s="23" t="str">
        <f t="shared" si="77"/>
        <v/>
      </c>
      <c r="Y317" s="23" t="str">
        <f t="shared" si="78"/>
        <v/>
      </c>
      <c r="Z317" s="23" t="str">
        <f t="shared" si="79"/>
        <v/>
      </c>
      <c r="AA317" s="23" t="str">
        <f t="shared" si="80"/>
        <v/>
      </c>
      <c r="AB317" t="str">
        <f>IFERROR(VLOOKUP($A317,[5]库存使用数据!$A:$D,4,0),"")</f>
        <v/>
      </c>
      <c r="AC317" t="str">
        <f>IFERROR(VLOOKUP($A317,[5]库存使用数据!$A:$G,7,0),"")</f>
        <v/>
      </c>
      <c r="AD317" t="str">
        <f>IFERROR(VLOOKUP($A317,[5]库存使用数据!$A:$J,10,0),"")</f>
        <v/>
      </c>
      <c r="AE317" t="str">
        <f>IFERROR(VLOOKUP($A317,[5]库存使用数据!$A:$M,13,0),"")</f>
        <v/>
      </c>
      <c r="AF317" s="23" t="str">
        <f t="shared" si="81"/>
        <v/>
      </c>
      <c r="AG317" s="23" t="str">
        <f t="shared" si="82"/>
        <v/>
      </c>
      <c r="AH317" s="23" t="str">
        <f t="shared" si="83"/>
        <v/>
      </c>
      <c r="AI317" s="23" t="str">
        <f t="shared" si="84"/>
        <v/>
      </c>
      <c r="AJ317">
        <f>IFERROR(VLOOKUP($B317,[1]库存报告使用数据!$A$1:$B$65536,2,0),0)</f>
        <v>0</v>
      </c>
      <c r="AK317">
        <f>IFERROR(VLOOKUP($B317,[1]库存报告使用数据!$A$1:$C$65536,3,0),0)</f>
        <v>0</v>
      </c>
      <c r="AL317">
        <f>IFERROR(VLOOKUP($B317,[1]库存报告使用数据!$A$1:$D$65536,4,0),0)</f>
        <v>0</v>
      </c>
      <c r="AM317">
        <f>IFERROR(VLOOKUP($B317,[1]库存报告使用数据!$A$1:$E$65536,5,0),0)</f>
        <v>0</v>
      </c>
      <c r="AN317" s="23" t="str">
        <f t="shared" si="85"/>
        <v/>
      </c>
      <c r="AO317" s="23" t="str">
        <f t="shared" si="86"/>
        <v/>
      </c>
      <c r="AP317" s="23" t="str">
        <f t="shared" si="87"/>
        <v/>
      </c>
      <c r="AQ317" s="23" t="str">
        <f t="shared" si="88"/>
        <v/>
      </c>
      <c r="AR317" s="38">
        <f t="shared" si="73"/>
        <v>0</v>
      </c>
      <c r="AS317" s="38">
        <f t="shared" si="74"/>
        <v>0</v>
      </c>
      <c r="AT317" s="38">
        <f t="shared" si="75"/>
        <v>0</v>
      </c>
      <c r="AU317" s="33" t="str">
        <f t="shared" si="76"/>
        <v>库存为0</v>
      </c>
      <c r="AV317" s="39" t="str">
        <f>IFERROR(时间!$B$4+AU317,"上周无销量")</f>
        <v>上周无销量</v>
      </c>
    </row>
    <row r="318" spans="1:48">
      <c r="A318" s="35" t="s">
        <v>363</v>
      </c>
      <c r="B318" t="str">
        <f>VLOOKUP(A318,'[2]sku-asin（子）'!$A:$B,2,0)</f>
        <v>B078NQWBSV</v>
      </c>
      <c r="C318" t="str">
        <f>VLOOKUP(A318,'[2]子sku-父sku'!$A:$B,2,0)</f>
        <v>NY-B15016</v>
      </c>
      <c r="D318" s="33">
        <f>IFERROR(VLOOKUP(A318,[3]库存报告使用数据处理!$A:$C,3,0),0)</f>
        <v>0</v>
      </c>
      <c r="E318" s="33">
        <f>IFERROR(VLOOKUP(A318,[3]库存报告使用数据处理!$A:$D,4,0),0)</f>
        <v>1</v>
      </c>
      <c r="F318" s="33">
        <f>IFERROR(VLOOKUP(A318,[3]库存报告使用数据处理!$A:$E,5,0),0)</f>
        <v>0</v>
      </c>
      <c r="G318" s="33">
        <f>IFERROR(VLOOKUP(A318,[3]库存报告使用数据处理!$A:$F,6,0),0)</f>
        <v>0</v>
      </c>
      <c r="H318" s="34">
        <f>IFERROR(VLOOKUP(A318,[3]库存报告使用数据处理!$A:$G,7,0),0)</f>
        <v>18.99</v>
      </c>
      <c r="I318">
        <f>IFERROR(VLOOKUP(A318,[4]数据处理!$A:$B,2,0),0)</f>
        <v>7</v>
      </c>
      <c r="J318" s="36">
        <f>IFERROR(VLOOKUP(A318,[4]数据处理!$A:$D,4,0),0)</f>
        <v>0</v>
      </c>
      <c r="K318" s="36">
        <f>IFERROR(VLOOKUP(A318,[4]数据处理!$A:$E,5,0),0)</f>
        <v>0</v>
      </c>
      <c r="L318" s="36">
        <f>IFERROR(VLOOKUP(A318,[4]数据处理!$A:$G,7,0),0)</f>
        <v>0</v>
      </c>
      <c r="M318">
        <f t="shared" si="72"/>
        <v>7</v>
      </c>
      <c r="N318">
        <f>IFERROR(VLOOKUP(A318,[4]数据处理!$A:$C,3,0),0)</f>
        <v>0</v>
      </c>
      <c r="O318">
        <f>IFERROR(VLOOKUP($A318,[4]数据处理!$A:$N,14,0),0)</f>
        <v>6</v>
      </c>
      <c r="P318">
        <f>IFERROR(VLOOKUP($A318,[5]库存使用数据!$A:$B,2,0),"")</f>
        <v>4446</v>
      </c>
      <c r="Q318">
        <f>IFERROR(VLOOKUP($A318,[5]库存使用数据!$A:$E,5,0),"")</f>
        <v>5534</v>
      </c>
      <c r="R318">
        <f>IFERROR(VLOOKUP($A318,[5]库存使用数据!$A:$H,8,0),"")</f>
        <v>3795</v>
      </c>
      <c r="S318">
        <f>IFERROR(VLOOKUP($A318,[5]库存使用数据!$A:$K,11,0),"")</f>
        <v>3031</v>
      </c>
      <c r="T318">
        <f>IFERROR(VLOOKUP($A318,[5]库存使用数据!$A:$C,3,0),"")</f>
        <v>16</v>
      </c>
      <c r="U318">
        <f>IFERROR(VLOOKUP($A318,[5]库存使用数据!$A:$F,6,0),"")</f>
        <v>29</v>
      </c>
      <c r="V318">
        <f>IFERROR(VLOOKUP($A318,[5]库存使用数据!$A:$I,9,0),"")</f>
        <v>11</v>
      </c>
      <c r="W318">
        <f>IFERROR(VLOOKUP($A318,[5]库存使用数据!$A:$L,12,0),"")</f>
        <v>12</v>
      </c>
      <c r="X318" s="23">
        <f t="shared" si="77"/>
        <v>0.0035987404408457</v>
      </c>
      <c r="Y318" s="23">
        <f t="shared" si="78"/>
        <v>0.00524033249006144</v>
      </c>
      <c r="Z318" s="23">
        <f t="shared" si="79"/>
        <v>0.00289855072463768</v>
      </c>
      <c r="AA318" s="23">
        <f t="shared" si="80"/>
        <v>0.00395908940943583</v>
      </c>
      <c r="AB318">
        <f>IFERROR(VLOOKUP($A318,[5]库存使用数据!$A:$D,4,0),"")</f>
        <v>5.82</v>
      </c>
      <c r="AC318">
        <f>IFERROR(VLOOKUP($A318,[5]库存使用数据!$A:$G,7,0),"")</f>
        <v>8.99</v>
      </c>
      <c r="AD318">
        <f>IFERROR(VLOOKUP($A318,[5]库存使用数据!$A:$J,10,0),"")</f>
        <v>4.6</v>
      </c>
      <c r="AE318">
        <f>IFERROR(VLOOKUP($A318,[5]库存使用数据!$A:$M,13,0),"")</f>
        <v>4.68</v>
      </c>
      <c r="AF318" s="23" t="str">
        <f t="shared" si="81"/>
        <v>无销量广告费为5.82</v>
      </c>
      <c r="AG318" s="23">
        <f t="shared" si="82"/>
        <v>0.473407056345445</v>
      </c>
      <c r="AH318" s="23" t="str">
        <f t="shared" si="83"/>
        <v>无销量广告费为4.6</v>
      </c>
      <c r="AI318" s="23" t="str">
        <f t="shared" si="84"/>
        <v>无销量广告费为4.68</v>
      </c>
      <c r="AJ318">
        <f>IFERROR(VLOOKUP($B318,[1]库存报告使用数据!$A$1:$B$65536,2,0),0)</f>
        <v>9</v>
      </c>
      <c r="AK318">
        <f>IFERROR(VLOOKUP($B318,[1]库存报告使用数据!$A$1:$C$65536,3,0),0)</f>
        <v>13</v>
      </c>
      <c r="AL318">
        <f>IFERROR(VLOOKUP($B318,[1]库存报告使用数据!$A$1:$D$65536,4,0),0)</f>
        <v>12</v>
      </c>
      <c r="AM318">
        <f>IFERROR(VLOOKUP($B318,[1]库存报告使用数据!$A$1:$E$65536,5,0),0)</f>
        <v>12</v>
      </c>
      <c r="AN318" s="23">
        <f t="shared" si="85"/>
        <v>0</v>
      </c>
      <c r="AO318" s="23">
        <f t="shared" si="86"/>
        <v>0.0769230769230769</v>
      </c>
      <c r="AP318" s="23">
        <f t="shared" si="87"/>
        <v>0</v>
      </c>
      <c r="AQ318" s="23">
        <f t="shared" si="88"/>
        <v>0</v>
      </c>
      <c r="AR318" s="38">
        <f t="shared" si="73"/>
        <v>0</v>
      </c>
      <c r="AS318" s="38">
        <f t="shared" si="74"/>
        <v>0</v>
      </c>
      <c r="AT318" s="38">
        <f t="shared" si="75"/>
        <v>7</v>
      </c>
      <c r="AU318" s="33" t="str">
        <f t="shared" si="76"/>
        <v>库存为7</v>
      </c>
      <c r="AV318" s="39" t="str">
        <f>IFERROR(时间!$B$4+AU318,"上周无销量")</f>
        <v>上周无销量</v>
      </c>
    </row>
    <row r="319" spans="1:48">
      <c r="A319" s="35" t="s">
        <v>364</v>
      </c>
      <c r="B319" t="str">
        <f>VLOOKUP(A319,'[2]sku-asin（子）'!$A:$B,2,0)</f>
        <v>B078NNB2PQ</v>
      </c>
      <c r="C319" t="str">
        <f>VLOOKUP(A319,'[2]子sku-父sku'!$A:$B,2,0)</f>
        <v>NY-B15016</v>
      </c>
      <c r="D319" s="33">
        <f>IFERROR(VLOOKUP(A319,[3]库存报告使用数据处理!$A:$C,3,0),0)</f>
        <v>0</v>
      </c>
      <c r="E319" s="33">
        <f>IFERROR(VLOOKUP(A319,[3]库存报告使用数据处理!$A:$D,4,0),0)</f>
        <v>2</v>
      </c>
      <c r="F319" s="33">
        <f>IFERROR(VLOOKUP(A319,[3]库存报告使用数据处理!$A:$E,5,0),0)</f>
        <v>0</v>
      </c>
      <c r="G319" s="33">
        <f>IFERROR(VLOOKUP(A319,[3]库存报告使用数据处理!$A:$F,6,0),0)</f>
        <v>0</v>
      </c>
      <c r="H319" s="34">
        <f>IFERROR(VLOOKUP(A319,[3]库存报告使用数据处理!$A:$G,7,0),0)</f>
        <v>18.99</v>
      </c>
      <c r="I319">
        <f>IFERROR(VLOOKUP(A319,[4]数据处理!$A:$B,2,0),0)</f>
        <v>4</v>
      </c>
      <c r="J319" s="36">
        <f>IFERROR(VLOOKUP(A319,[4]数据处理!$A:$D,4,0),0)</f>
        <v>0</v>
      </c>
      <c r="K319" s="36">
        <f>IFERROR(VLOOKUP(A319,[4]数据处理!$A:$E,5,0),0)</f>
        <v>0</v>
      </c>
      <c r="L319" s="36">
        <f>IFERROR(VLOOKUP(A319,[4]数据处理!$A:$G,7,0),0)</f>
        <v>0</v>
      </c>
      <c r="M319">
        <f t="shared" si="72"/>
        <v>4</v>
      </c>
      <c r="N319">
        <f>IFERROR(VLOOKUP(A319,[4]数据处理!$A:$C,3,0),0)</f>
        <v>0</v>
      </c>
      <c r="O319">
        <f>IFERROR(VLOOKUP($A319,[4]数据处理!$A:$N,14,0),0)</f>
        <v>4</v>
      </c>
      <c r="P319">
        <f>IFERROR(VLOOKUP($A319,[5]库存使用数据!$A:$B,2,0),"")</f>
        <v>1599</v>
      </c>
      <c r="Q319">
        <f>IFERROR(VLOOKUP($A319,[5]库存使用数据!$A:$E,5,0),"")</f>
        <v>6206</v>
      </c>
      <c r="R319">
        <f>IFERROR(VLOOKUP($A319,[5]库存使用数据!$A:$H,8,0),"")</f>
        <v>7522</v>
      </c>
      <c r="S319">
        <f>IFERROR(VLOOKUP($A319,[5]库存使用数据!$A:$K,11,0),"")</f>
        <v>7121</v>
      </c>
      <c r="T319">
        <f>IFERROR(VLOOKUP($A319,[5]库存使用数据!$A:$C,3,0),"")</f>
        <v>7</v>
      </c>
      <c r="U319">
        <f>IFERROR(VLOOKUP($A319,[5]库存使用数据!$A:$F,6,0),"")</f>
        <v>17</v>
      </c>
      <c r="V319">
        <f>IFERROR(VLOOKUP($A319,[5]库存使用数据!$A:$I,9,0),"")</f>
        <v>23</v>
      </c>
      <c r="W319">
        <f>IFERROR(VLOOKUP($A319,[5]库存使用数据!$A:$L,12,0),"")</f>
        <v>12</v>
      </c>
      <c r="X319" s="23">
        <f t="shared" si="77"/>
        <v>0.00437773608505316</v>
      </c>
      <c r="Y319" s="23">
        <f t="shared" si="78"/>
        <v>0.00273928456332581</v>
      </c>
      <c r="Z319" s="23">
        <f t="shared" si="79"/>
        <v>0.0030576974208987</v>
      </c>
      <c r="AA319" s="23">
        <f t="shared" si="80"/>
        <v>0.00168515657913214</v>
      </c>
      <c r="AB319">
        <f>IFERROR(VLOOKUP($A319,[5]库存使用数据!$A:$D,4,0),"")</f>
        <v>3.02</v>
      </c>
      <c r="AC319">
        <f>IFERROR(VLOOKUP($A319,[5]库存使用数据!$A:$G,7,0),"")</f>
        <v>6.63</v>
      </c>
      <c r="AD319">
        <f>IFERROR(VLOOKUP($A319,[5]库存使用数据!$A:$J,10,0),"")</f>
        <v>10.02</v>
      </c>
      <c r="AE319">
        <f>IFERROR(VLOOKUP($A319,[5]库存使用数据!$A:$M,13,0),"")</f>
        <v>4.81</v>
      </c>
      <c r="AF319" s="23" t="str">
        <f t="shared" si="81"/>
        <v>无销量广告费为3.02</v>
      </c>
      <c r="AG319" s="23">
        <f t="shared" si="82"/>
        <v>0.174565560821485</v>
      </c>
      <c r="AH319" s="23" t="str">
        <f t="shared" si="83"/>
        <v>无销量广告费为10.02</v>
      </c>
      <c r="AI319" s="23" t="str">
        <f t="shared" si="84"/>
        <v>无销量广告费为4.81</v>
      </c>
      <c r="AJ319">
        <f>IFERROR(VLOOKUP($B319,[1]库存报告使用数据!$A$1:$B$65536,2,0),0)</f>
        <v>9</v>
      </c>
      <c r="AK319">
        <f>IFERROR(VLOOKUP($B319,[1]库存报告使用数据!$A$1:$C$65536,3,0),0)</f>
        <v>15</v>
      </c>
      <c r="AL319">
        <f>IFERROR(VLOOKUP($B319,[1]库存报告使用数据!$A$1:$D$65536,4,0),0)</f>
        <v>10</v>
      </c>
      <c r="AM319">
        <f>IFERROR(VLOOKUP($B319,[1]库存报告使用数据!$A$1:$E$65536,5,0),0)</f>
        <v>8</v>
      </c>
      <c r="AN319" s="23">
        <f t="shared" si="85"/>
        <v>0</v>
      </c>
      <c r="AO319" s="23">
        <f t="shared" si="86"/>
        <v>0.133333333333333</v>
      </c>
      <c r="AP319" s="23">
        <f t="shared" si="87"/>
        <v>0</v>
      </c>
      <c r="AQ319" s="23">
        <f t="shared" si="88"/>
        <v>0</v>
      </c>
      <c r="AR319" s="38">
        <f t="shared" si="73"/>
        <v>0</v>
      </c>
      <c r="AS319" s="38">
        <f t="shared" si="74"/>
        <v>0</v>
      </c>
      <c r="AT319" s="38">
        <f t="shared" si="75"/>
        <v>4</v>
      </c>
      <c r="AU319" s="33" t="str">
        <f t="shared" si="76"/>
        <v>库存为4</v>
      </c>
      <c r="AV319" s="39" t="str">
        <f>IFERROR(时间!$B$4+AU319,"上周无销量")</f>
        <v>上周无销量</v>
      </c>
    </row>
    <row r="320" spans="1:48">
      <c r="A320" s="35" t="s">
        <v>365</v>
      </c>
      <c r="B320" t="str">
        <f>VLOOKUP(A320,'[2]sku-asin（子）'!$A:$B,2,0)</f>
        <v>B078NQZYP7</v>
      </c>
      <c r="C320" t="str">
        <f>VLOOKUP(A320,'[2]子sku-父sku'!$A:$B,2,0)</f>
        <v>NY-B15016</v>
      </c>
      <c r="D320" s="33">
        <f>IFERROR(VLOOKUP(A320,[3]库存报告使用数据处理!$A:$C,3,0),0)</f>
        <v>0</v>
      </c>
      <c r="E320" s="33">
        <f>IFERROR(VLOOKUP(A320,[3]库存报告使用数据处理!$A:$D,4,0),0)</f>
        <v>0</v>
      </c>
      <c r="F320" s="33">
        <f>IFERROR(VLOOKUP(A320,[3]库存报告使用数据处理!$A:$E,5,0),0)</f>
        <v>0</v>
      </c>
      <c r="G320" s="33">
        <f>IFERROR(VLOOKUP(A320,[3]库存报告使用数据处理!$A:$F,6,0),0)</f>
        <v>0</v>
      </c>
      <c r="H320" s="34">
        <f>IFERROR(VLOOKUP(A320,[3]库存报告使用数据处理!$A:$G,7,0),0)</f>
        <v>0</v>
      </c>
      <c r="I320">
        <f>IFERROR(VLOOKUP(A320,[4]数据处理!$A:$B,2,0),0)</f>
        <v>12</v>
      </c>
      <c r="J320" s="36">
        <f>IFERROR(VLOOKUP(A320,[4]数据处理!$A:$D,4,0),0)</f>
        <v>0</v>
      </c>
      <c r="K320" s="36">
        <f>IFERROR(VLOOKUP(A320,[4]数据处理!$A:$E,5,0),0)</f>
        <v>0</v>
      </c>
      <c r="L320" s="36">
        <f>IFERROR(VLOOKUP(A320,[4]数据处理!$A:$G,7,0),0)</f>
        <v>0</v>
      </c>
      <c r="M320">
        <f t="shared" si="72"/>
        <v>12</v>
      </c>
      <c r="N320">
        <f>IFERROR(VLOOKUP(A320,[4]数据处理!$A:$C,3,0),0)</f>
        <v>0</v>
      </c>
      <c r="O320">
        <f>IFERROR(VLOOKUP($A320,[4]数据处理!$A:$N,14,0),0)</f>
        <v>12</v>
      </c>
      <c r="P320">
        <f>IFERROR(VLOOKUP($A320,[5]库存使用数据!$A:$B,2,0),"")</f>
        <v>874</v>
      </c>
      <c r="Q320">
        <f>IFERROR(VLOOKUP($A320,[5]库存使用数据!$A:$E,5,0),"")</f>
        <v>911</v>
      </c>
      <c r="R320">
        <f>IFERROR(VLOOKUP($A320,[5]库存使用数据!$A:$H,8,0),"")</f>
        <v>213</v>
      </c>
      <c r="S320">
        <f>IFERROR(VLOOKUP($A320,[5]库存使用数据!$A:$K,11,0),"")</f>
        <v>160</v>
      </c>
      <c r="T320">
        <f>IFERROR(VLOOKUP($A320,[5]库存使用数据!$A:$C,3,0),"")</f>
        <v>3</v>
      </c>
      <c r="U320">
        <f>IFERROR(VLOOKUP($A320,[5]库存使用数据!$A:$F,6,0),"")</f>
        <v>3</v>
      </c>
      <c r="V320">
        <f>IFERROR(VLOOKUP($A320,[5]库存使用数据!$A:$I,9,0),"")</f>
        <v>1</v>
      </c>
      <c r="W320">
        <f>IFERROR(VLOOKUP($A320,[5]库存使用数据!$A:$L,12,0),"")</f>
        <v>0</v>
      </c>
      <c r="X320" s="23">
        <f t="shared" si="77"/>
        <v>0.0034324942791762</v>
      </c>
      <c r="Y320" s="23">
        <f t="shared" si="78"/>
        <v>0.00329308452250274</v>
      </c>
      <c r="Z320" s="23">
        <f t="shared" si="79"/>
        <v>0.00469483568075117</v>
      </c>
      <c r="AA320" s="23">
        <f t="shared" si="80"/>
        <v>0</v>
      </c>
      <c r="AB320">
        <f>IFERROR(VLOOKUP($A320,[5]库存使用数据!$A:$D,4,0),"")</f>
        <v>0.99</v>
      </c>
      <c r="AC320">
        <f>IFERROR(VLOOKUP($A320,[5]库存使用数据!$A:$G,7,0),"")</f>
        <v>0.36</v>
      </c>
      <c r="AD320">
        <f>IFERROR(VLOOKUP($A320,[5]库存使用数据!$A:$J,10,0),"")</f>
        <v>0.32</v>
      </c>
      <c r="AE320">
        <f>IFERROR(VLOOKUP($A320,[5]库存使用数据!$A:$M,13,0),"")</f>
        <v>0</v>
      </c>
      <c r="AF320" s="23" t="str">
        <f t="shared" si="81"/>
        <v>无销量广告费为0.99</v>
      </c>
      <c r="AG320" s="23" t="str">
        <f t="shared" si="82"/>
        <v>无销量广告费为0.36</v>
      </c>
      <c r="AH320" s="23" t="str">
        <f t="shared" si="83"/>
        <v>无销量广告费为0.32</v>
      </c>
      <c r="AI320" s="23" t="str">
        <f t="shared" si="84"/>
        <v/>
      </c>
      <c r="AJ320">
        <f>IFERROR(VLOOKUP($B320,[1]库存报告使用数据!$A$1:$B$65536,2,0),0)</f>
        <v>2</v>
      </c>
      <c r="AK320">
        <f>IFERROR(VLOOKUP($B320,[1]库存报告使用数据!$A$1:$C$65536,3,0),0)</f>
        <v>5</v>
      </c>
      <c r="AL320">
        <f>IFERROR(VLOOKUP($B320,[1]库存报告使用数据!$A$1:$D$65536,4,0),0)</f>
        <v>11</v>
      </c>
      <c r="AM320">
        <f>IFERROR(VLOOKUP($B320,[1]库存报告使用数据!$A$1:$E$65536,5,0),0)</f>
        <v>1</v>
      </c>
      <c r="AN320" s="23">
        <f t="shared" si="85"/>
        <v>0</v>
      </c>
      <c r="AO320" s="23">
        <f t="shared" si="86"/>
        <v>0</v>
      </c>
      <c r="AP320" s="23">
        <f t="shared" si="87"/>
        <v>0</v>
      </c>
      <c r="AQ320" s="23">
        <f t="shared" si="88"/>
        <v>0</v>
      </c>
      <c r="AR320" s="38">
        <f t="shared" si="73"/>
        <v>0</v>
      </c>
      <c r="AS320" s="38">
        <f t="shared" si="74"/>
        <v>0</v>
      </c>
      <c r="AT320" s="38">
        <f t="shared" si="75"/>
        <v>12</v>
      </c>
      <c r="AU320" s="33" t="str">
        <f t="shared" si="76"/>
        <v>库存为12</v>
      </c>
      <c r="AV320" s="39" t="str">
        <f>IFERROR(时间!$B$4+AU320,"上周无销量")</f>
        <v>上周无销量</v>
      </c>
    </row>
    <row r="321" spans="1:48">
      <c r="A321" s="35" t="s">
        <v>366</v>
      </c>
      <c r="B321" t="str">
        <f>VLOOKUP(A321,'[2]sku-asin（子）'!$A:$B,2,0)</f>
        <v>B078NQ6C6H</v>
      </c>
      <c r="C321" t="str">
        <f>VLOOKUP(A321,'[2]子sku-父sku'!$A:$B,2,0)</f>
        <v>NY-B15016</v>
      </c>
      <c r="D321" s="33">
        <f>IFERROR(VLOOKUP(A321,[3]库存报告使用数据处理!$A:$C,3,0),0)</f>
        <v>0</v>
      </c>
      <c r="E321" s="33">
        <f>IFERROR(VLOOKUP(A321,[3]库存报告使用数据处理!$A:$D,4,0),0)</f>
        <v>0</v>
      </c>
      <c r="F321" s="33">
        <f>IFERROR(VLOOKUP(A321,[3]库存报告使用数据处理!$A:$E,5,0),0)</f>
        <v>0</v>
      </c>
      <c r="G321" s="33">
        <f>IFERROR(VLOOKUP(A321,[3]库存报告使用数据处理!$A:$F,6,0),0)</f>
        <v>0</v>
      </c>
      <c r="H321" s="34">
        <f>IFERROR(VLOOKUP(A321,[3]库存报告使用数据处理!$A:$G,7,0),0)</f>
        <v>0</v>
      </c>
      <c r="I321">
        <f>IFERROR(VLOOKUP(A321,[4]数据处理!$A:$B,2,0),0)</f>
        <v>13</v>
      </c>
      <c r="J321" s="36">
        <f>IFERROR(VLOOKUP(A321,[4]数据处理!$A:$D,4,0),0)</f>
        <v>0</v>
      </c>
      <c r="K321" s="36">
        <f>IFERROR(VLOOKUP(A321,[4]数据处理!$A:$E,5,0),0)</f>
        <v>0</v>
      </c>
      <c r="L321" s="36">
        <f>IFERROR(VLOOKUP(A321,[4]数据处理!$A:$G,7,0),0)</f>
        <v>0</v>
      </c>
      <c r="M321">
        <f t="shared" si="72"/>
        <v>13</v>
      </c>
      <c r="N321">
        <f>IFERROR(VLOOKUP(A321,[4]数据处理!$A:$C,3,0),0)</f>
        <v>0</v>
      </c>
      <c r="O321">
        <f>IFERROR(VLOOKUP($A321,[4]数据处理!$A:$N,14,0),0)</f>
        <v>13</v>
      </c>
      <c r="P321">
        <f>IFERROR(VLOOKUP($A321,[5]库存使用数据!$A:$B,2,0),"")</f>
        <v>1116</v>
      </c>
      <c r="Q321">
        <f>IFERROR(VLOOKUP($A321,[5]库存使用数据!$A:$E,5,0),"")</f>
        <v>941</v>
      </c>
      <c r="R321">
        <f>IFERROR(VLOOKUP($A321,[5]库存使用数据!$A:$H,8,0),"")</f>
        <v>387</v>
      </c>
      <c r="S321">
        <f>IFERROR(VLOOKUP($A321,[5]库存使用数据!$A:$K,11,0),"")</f>
        <v>300</v>
      </c>
      <c r="T321">
        <f>IFERROR(VLOOKUP($A321,[5]库存使用数据!$A:$C,3,0),"")</f>
        <v>8</v>
      </c>
      <c r="U321">
        <f>IFERROR(VLOOKUP($A321,[5]库存使用数据!$A:$F,6,0),"")</f>
        <v>1</v>
      </c>
      <c r="V321">
        <f>IFERROR(VLOOKUP($A321,[5]库存使用数据!$A:$I,9,0),"")</f>
        <v>3</v>
      </c>
      <c r="W321">
        <f>IFERROR(VLOOKUP($A321,[5]库存使用数据!$A:$L,12,0),"")</f>
        <v>0</v>
      </c>
      <c r="X321" s="23">
        <f t="shared" si="77"/>
        <v>0.00716845878136201</v>
      </c>
      <c r="Y321" s="23">
        <f t="shared" si="78"/>
        <v>0.00106269925611052</v>
      </c>
      <c r="Z321" s="23">
        <f t="shared" si="79"/>
        <v>0.00775193798449612</v>
      </c>
      <c r="AA321" s="23">
        <f t="shared" si="80"/>
        <v>0</v>
      </c>
      <c r="AB321">
        <f>IFERROR(VLOOKUP($A321,[5]库存使用数据!$A:$D,4,0),"")</f>
        <v>2.63</v>
      </c>
      <c r="AC321">
        <f>IFERROR(VLOOKUP($A321,[5]库存使用数据!$A:$G,7,0),"")</f>
        <v>0.39</v>
      </c>
      <c r="AD321">
        <f>IFERROR(VLOOKUP($A321,[5]库存使用数据!$A:$J,10,0),"")</f>
        <v>0.9</v>
      </c>
      <c r="AE321">
        <f>IFERROR(VLOOKUP($A321,[5]库存使用数据!$A:$M,13,0),"")</f>
        <v>0</v>
      </c>
      <c r="AF321" s="23" t="str">
        <f t="shared" si="81"/>
        <v>无销量广告费为2.63</v>
      </c>
      <c r="AG321" s="23" t="str">
        <f t="shared" si="82"/>
        <v>无销量广告费为0.39</v>
      </c>
      <c r="AH321" s="23" t="str">
        <f t="shared" si="83"/>
        <v>无销量广告费为0.9</v>
      </c>
      <c r="AI321" s="23" t="str">
        <f t="shared" si="84"/>
        <v/>
      </c>
      <c r="AJ321">
        <f>IFERROR(VLOOKUP($B321,[1]库存报告使用数据!$A$1:$B$65536,2,0),0)</f>
        <v>7</v>
      </c>
      <c r="AK321">
        <f>IFERROR(VLOOKUP($B321,[1]库存报告使用数据!$A$1:$C$65536,3,0),0)</f>
        <v>3</v>
      </c>
      <c r="AL321">
        <f>IFERROR(VLOOKUP($B321,[1]库存报告使用数据!$A$1:$D$65536,4,0),0)</f>
        <v>2</v>
      </c>
      <c r="AM321">
        <f>IFERROR(VLOOKUP($B321,[1]库存报告使用数据!$A$1:$E$65536,5,0),0)</f>
        <v>0</v>
      </c>
      <c r="AN321" s="23">
        <f t="shared" si="85"/>
        <v>0</v>
      </c>
      <c r="AO321" s="23">
        <f t="shared" si="86"/>
        <v>0</v>
      </c>
      <c r="AP321" s="23">
        <f t="shared" si="87"/>
        <v>0</v>
      </c>
      <c r="AQ321" s="23" t="str">
        <f t="shared" si="88"/>
        <v/>
      </c>
      <c r="AR321" s="38">
        <f t="shared" si="73"/>
        <v>0</v>
      </c>
      <c r="AS321" s="38">
        <f t="shared" si="74"/>
        <v>0</v>
      </c>
      <c r="AT321" s="38">
        <f t="shared" si="75"/>
        <v>13</v>
      </c>
      <c r="AU321" s="33" t="str">
        <f t="shared" si="76"/>
        <v>库存为13</v>
      </c>
      <c r="AV321" s="39" t="str">
        <f>IFERROR(时间!$B$4+AU321,"上周无销量")</f>
        <v>上周无销量</v>
      </c>
    </row>
    <row r="322" spans="1:48">
      <c r="A322" s="35" t="s">
        <v>367</v>
      </c>
      <c r="B322" t="str">
        <f>VLOOKUP(A322,'[2]sku-asin（子）'!$A:$B,2,0)</f>
        <v>B078NQ2LH1</v>
      </c>
      <c r="C322" t="str">
        <f>VLOOKUP(A322,'[2]子sku-父sku'!$A:$B,2,0)</f>
        <v>NY-B15016</v>
      </c>
      <c r="D322" s="33">
        <f>IFERROR(VLOOKUP(A322,[3]库存报告使用数据处理!$A:$C,3,0),0)</f>
        <v>0</v>
      </c>
      <c r="E322" s="33">
        <f>IFERROR(VLOOKUP(A322,[3]库存报告使用数据处理!$A:$D,4,0),0)</f>
        <v>0</v>
      </c>
      <c r="F322" s="33">
        <f>IFERROR(VLOOKUP(A322,[3]库存报告使用数据处理!$A:$E,5,0),0)</f>
        <v>0</v>
      </c>
      <c r="G322" s="33">
        <f>IFERROR(VLOOKUP(A322,[3]库存报告使用数据处理!$A:$F,6,0),0)</f>
        <v>0</v>
      </c>
      <c r="H322" s="34">
        <f>IFERROR(VLOOKUP(A322,[3]库存报告使用数据处理!$A:$G,7,0),0)</f>
        <v>0</v>
      </c>
      <c r="I322">
        <f>IFERROR(VLOOKUP(A322,[4]数据处理!$A:$B,2,0),0)</f>
        <v>10</v>
      </c>
      <c r="J322" s="36">
        <f>IFERROR(VLOOKUP(A322,[4]数据处理!$A:$D,4,0),0)</f>
        <v>0</v>
      </c>
      <c r="K322" s="36">
        <f>IFERROR(VLOOKUP(A322,[4]数据处理!$A:$E,5,0),0)</f>
        <v>0</v>
      </c>
      <c r="L322" s="36">
        <f>IFERROR(VLOOKUP(A322,[4]数据处理!$A:$G,7,0),0)</f>
        <v>0</v>
      </c>
      <c r="M322">
        <f t="shared" si="72"/>
        <v>10</v>
      </c>
      <c r="N322">
        <f>IFERROR(VLOOKUP(A322,[4]数据处理!$A:$C,3,0),0)</f>
        <v>0</v>
      </c>
      <c r="O322">
        <f>IFERROR(VLOOKUP($A322,[4]数据处理!$A:$N,14,0),0)</f>
        <v>10</v>
      </c>
      <c r="P322">
        <f>IFERROR(VLOOKUP($A322,[5]库存使用数据!$A:$B,2,0),"")</f>
        <v>187</v>
      </c>
      <c r="Q322">
        <f>IFERROR(VLOOKUP($A322,[5]库存使用数据!$A:$E,5,0),"")</f>
        <v>290</v>
      </c>
      <c r="R322">
        <f>IFERROR(VLOOKUP($A322,[5]库存使用数据!$A:$H,8,0),"")</f>
        <v>410</v>
      </c>
      <c r="S322">
        <f>IFERROR(VLOOKUP($A322,[5]库存使用数据!$A:$K,11,0),"")</f>
        <v>267</v>
      </c>
      <c r="T322">
        <f>IFERROR(VLOOKUP($A322,[5]库存使用数据!$A:$C,3,0),"")</f>
        <v>0</v>
      </c>
      <c r="U322">
        <f>IFERROR(VLOOKUP($A322,[5]库存使用数据!$A:$F,6,0),"")</f>
        <v>2</v>
      </c>
      <c r="V322">
        <f>IFERROR(VLOOKUP($A322,[5]库存使用数据!$A:$I,9,0),"")</f>
        <v>0</v>
      </c>
      <c r="W322">
        <f>IFERROR(VLOOKUP($A322,[5]库存使用数据!$A:$L,12,0),"")</f>
        <v>0</v>
      </c>
      <c r="X322" s="23">
        <f t="shared" si="77"/>
        <v>0</v>
      </c>
      <c r="Y322" s="23">
        <f t="shared" si="78"/>
        <v>0.00689655172413793</v>
      </c>
      <c r="Z322" s="23">
        <f t="shared" si="79"/>
        <v>0</v>
      </c>
      <c r="AA322" s="23">
        <f t="shared" si="80"/>
        <v>0</v>
      </c>
      <c r="AB322">
        <f>IFERROR(VLOOKUP($A322,[5]库存使用数据!$A:$D,4,0),"")</f>
        <v>0</v>
      </c>
      <c r="AC322">
        <f>IFERROR(VLOOKUP($A322,[5]库存使用数据!$A:$G,7,0),"")</f>
        <v>0.36</v>
      </c>
      <c r="AD322">
        <f>IFERROR(VLOOKUP($A322,[5]库存使用数据!$A:$J,10,0),"")</f>
        <v>0</v>
      </c>
      <c r="AE322">
        <f>IFERROR(VLOOKUP($A322,[5]库存使用数据!$A:$M,13,0),"")</f>
        <v>0</v>
      </c>
      <c r="AF322" s="23" t="str">
        <f t="shared" si="81"/>
        <v/>
      </c>
      <c r="AG322" s="23" t="str">
        <f t="shared" si="82"/>
        <v>无销量广告费为0.36</v>
      </c>
      <c r="AH322" s="23" t="str">
        <f t="shared" si="83"/>
        <v/>
      </c>
      <c r="AI322" s="23" t="str">
        <f t="shared" si="84"/>
        <v/>
      </c>
      <c r="AJ322">
        <f>IFERROR(VLOOKUP($B322,[1]库存报告使用数据!$A$1:$B$65536,2,0),0)</f>
        <v>6</v>
      </c>
      <c r="AK322">
        <f>IFERROR(VLOOKUP($B322,[1]库存报告使用数据!$A$1:$C$65536,3,0),0)</f>
        <v>2</v>
      </c>
      <c r="AL322">
        <f>IFERROR(VLOOKUP($B322,[1]库存报告使用数据!$A$1:$D$65536,4,0),0)</f>
        <v>0</v>
      </c>
      <c r="AM322">
        <f>IFERROR(VLOOKUP($B322,[1]库存报告使用数据!$A$1:$E$65536,5,0),0)</f>
        <v>0</v>
      </c>
      <c r="AN322" s="23">
        <f t="shared" si="85"/>
        <v>0</v>
      </c>
      <c r="AO322" s="23">
        <f t="shared" si="86"/>
        <v>0</v>
      </c>
      <c r="AP322" s="23" t="str">
        <f t="shared" si="87"/>
        <v/>
      </c>
      <c r="AQ322" s="23" t="str">
        <f t="shared" si="88"/>
        <v/>
      </c>
      <c r="AR322" s="38">
        <f t="shared" si="73"/>
        <v>0</v>
      </c>
      <c r="AS322" s="38">
        <f t="shared" si="74"/>
        <v>0</v>
      </c>
      <c r="AT322" s="38">
        <f t="shared" si="75"/>
        <v>10</v>
      </c>
      <c r="AU322" s="33" t="str">
        <f t="shared" si="76"/>
        <v>库存为10</v>
      </c>
      <c r="AV322" s="39" t="str">
        <f>IFERROR(时间!$B$4+AU322,"上周无销量")</f>
        <v>上周无销量</v>
      </c>
    </row>
    <row r="323" spans="1:48">
      <c r="A323" s="35" t="s">
        <v>368</v>
      </c>
      <c r="B323" t="str">
        <f>VLOOKUP(A323,'[2]sku-asin（子）'!$A:$B,2,0)</f>
        <v>B078NPVY5T</v>
      </c>
      <c r="C323" t="str">
        <f>VLOOKUP(A323,'[2]子sku-父sku'!$A:$B,2,0)</f>
        <v>NY-B15021</v>
      </c>
      <c r="D323" s="33">
        <f>IFERROR(VLOOKUP(A323,[3]库存报告使用数据处理!$A:$C,3,0),0)</f>
        <v>0</v>
      </c>
      <c r="E323" s="33">
        <f>IFERROR(VLOOKUP(A323,[3]库存报告使用数据处理!$A:$D,4,0),0)</f>
        <v>0</v>
      </c>
      <c r="F323" s="33">
        <f>IFERROR(VLOOKUP(A323,[3]库存报告使用数据处理!$A:$E,5,0),0)</f>
        <v>1</v>
      </c>
      <c r="G323" s="33">
        <f>IFERROR(VLOOKUP(A323,[3]库存报告使用数据处理!$A:$F,6,0),0)</f>
        <v>0</v>
      </c>
      <c r="H323" s="34">
        <f>IFERROR(VLOOKUP(A323,[3]库存报告使用数据处理!$A:$G,7,0),0)</f>
        <v>18.99</v>
      </c>
      <c r="I323">
        <f>IFERROR(VLOOKUP(A323,[4]数据处理!$A:$B,2,0),0)</f>
        <v>7</v>
      </c>
      <c r="J323" s="36">
        <f>IFERROR(VLOOKUP(A323,[4]数据处理!$A:$D,4,0),0)</f>
        <v>0</v>
      </c>
      <c r="K323" s="36">
        <f>IFERROR(VLOOKUP(A323,[4]数据处理!$A:$E,5,0),0)</f>
        <v>0</v>
      </c>
      <c r="L323" s="36">
        <f>IFERROR(VLOOKUP(A323,[4]数据处理!$A:$G,7,0),0)</f>
        <v>0</v>
      </c>
      <c r="M323">
        <f t="shared" si="72"/>
        <v>7</v>
      </c>
      <c r="N323">
        <f>IFERROR(VLOOKUP(A323,[4]数据处理!$A:$C,3,0),0)</f>
        <v>0</v>
      </c>
      <c r="O323">
        <f>IFERROR(VLOOKUP($A323,[4]数据处理!$A:$N,14,0),0)</f>
        <v>7</v>
      </c>
      <c r="P323">
        <f>IFERROR(VLOOKUP($A323,[5]库存使用数据!$A:$B,2,0),"")</f>
        <v>350</v>
      </c>
      <c r="Q323">
        <f>IFERROR(VLOOKUP($A323,[5]库存使用数据!$A:$E,5,0),"")</f>
        <v>583</v>
      </c>
      <c r="R323">
        <f>IFERROR(VLOOKUP($A323,[5]库存使用数据!$A:$H,8,0),"")</f>
        <v>444</v>
      </c>
      <c r="S323">
        <f>IFERROR(VLOOKUP($A323,[5]库存使用数据!$A:$K,11,0),"")</f>
        <v>330</v>
      </c>
      <c r="T323">
        <f>IFERROR(VLOOKUP($A323,[5]库存使用数据!$A:$C,3,0),"")</f>
        <v>0</v>
      </c>
      <c r="U323">
        <f>IFERROR(VLOOKUP($A323,[5]库存使用数据!$A:$F,6,0),"")</f>
        <v>1</v>
      </c>
      <c r="V323">
        <f>IFERROR(VLOOKUP($A323,[5]库存使用数据!$A:$I,9,0),"")</f>
        <v>2</v>
      </c>
      <c r="W323">
        <f>IFERROR(VLOOKUP($A323,[5]库存使用数据!$A:$L,12,0),"")</f>
        <v>0</v>
      </c>
      <c r="X323" s="23">
        <f t="shared" si="77"/>
        <v>0</v>
      </c>
      <c r="Y323" s="23">
        <f t="shared" si="78"/>
        <v>0.00171526586620926</v>
      </c>
      <c r="Z323" s="23">
        <f t="shared" si="79"/>
        <v>0.0045045045045045</v>
      </c>
      <c r="AA323" s="23">
        <f t="shared" si="80"/>
        <v>0</v>
      </c>
      <c r="AB323">
        <f>IFERROR(VLOOKUP($A323,[5]库存使用数据!$A:$D,4,0),"")</f>
        <v>0</v>
      </c>
      <c r="AC323">
        <f>IFERROR(VLOOKUP($A323,[5]库存使用数据!$A:$G,7,0),"")</f>
        <v>0.43</v>
      </c>
      <c r="AD323">
        <f>IFERROR(VLOOKUP($A323,[5]库存使用数据!$A:$J,10,0),"")</f>
        <v>0.77</v>
      </c>
      <c r="AE323">
        <f>IFERROR(VLOOKUP($A323,[5]库存使用数据!$A:$M,13,0),"")</f>
        <v>0</v>
      </c>
      <c r="AF323" s="23" t="str">
        <f t="shared" si="81"/>
        <v/>
      </c>
      <c r="AG323" s="23" t="str">
        <f t="shared" si="82"/>
        <v>无销量广告费为0.43</v>
      </c>
      <c r="AH323" s="23">
        <f t="shared" si="83"/>
        <v>0.0405476566614007</v>
      </c>
      <c r="AI323" s="23" t="str">
        <f t="shared" si="84"/>
        <v/>
      </c>
      <c r="AJ323">
        <f>IFERROR(VLOOKUP($B323,[1]库存报告使用数据!$A$1:$B$65536,2,0),0)</f>
        <v>3</v>
      </c>
      <c r="AK323">
        <f>IFERROR(VLOOKUP($B323,[1]库存报告使用数据!$A$1:$C$65536,3,0),0)</f>
        <v>2</v>
      </c>
      <c r="AL323">
        <f>IFERROR(VLOOKUP($B323,[1]库存报告使用数据!$A$1:$D$65536,4,0),0)</f>
        <v>5</v>
      </c>
      <c r="AM323">
        <f>IFERROR(VLOOKUP($B323,[1]库存报告使用数据!$A$1:$E$65536,5,0),0)</f>
        <v>1</v>
      </c>
      <c r="AN323" s="23">
        <f t="shared" si="85"/>
        <v>0</v>
      </c>
      <c r="AO323" s="23">
        <f t="shared" si="86"/>
        <v>0</v>
      </c>
      <c r="AP323" s="23">
        <f t="shared" si="87"/>
        <v>0.2</v>
      </c>
      <c r="AQ323" s="23">
        <f t="shared" si="88"/>
        <v>0</v>
      </c>
      <c r="AR323" s="38">
        <f t="shared" si="73"/>
        <v>0</v>
      </c>
      <c r="AS323" s="38">
        <f t="shared" si="74"/>
        <v>0</v>
      </c>
      <c r="AT323" s="38">
        <f t="shared" si="75"/>
        <v>7</v>
      </c>
      <c r="AU323" s="33" t="str">
        <f t="shared" si="76"/>
        <v>库存为7</v>
      </c>
      <c r="AV323" s="39" t="str">
        <f>IFERROR(时间!$B$4+AU323,"上周无销量")</f>
        <v>上周无销量</v>
      </c>
    </row>
    <row r="324" spans="1:48">
      <c r="A324" s="35" t="s">
        <v>369</v>
      </c>
      <c r="B324" t="str">
        <f>VLOOKUP(A324,'[2]sku-asin（子）'!$A:$B,2,0)</f>
        <v>B078NNLWT7</v>
      </c>
      <c r="C324" t="str">
        <f>VLOOKUP(A324,'[2]子sku-父sku'!$A:$B,2,0)</f>
        <v>NY-B15021</v>
      </c>
      <c r="D324" s="33">
        <f>IFERROR(VLOOKUP(A324,[3]库存报告使用数据处理!$A:$C,3,0),0)</f>
        <v>0</v>
      </c>
      <c r="E324" s="33">
        <f>IFERROR(VLOOKUP(A324,[3]库存报告使用数据处理!$A:$D,4,0),0)</f>
        <v>0</v>
      </c>
      <c r="F324" s="33">
        <f>IFERROR(VLOOKUP(A324,[3]库存报告使用数据处理!$A:$E,5,0),0)</f>
        <v>0</v>
      </c>
      <c r="G324" s="33">
        <f>IFERROR(VLOOKUP(A324,[3]库存报告使用数据处理!$A:$F,6,0),0)</f>
        <v>0</v>
      </c>
      <c r="H324" s="34">
        <f>IFERROR(VLOOKUP(A324,[3]库存报告使用数据处理!$A:$G,7,0),0)</f>
        <v>0</v>
      </c>
      <c r="I324">
        <f>IFERROR(VLOOKUP(A324,[4]数据处理!$A:$B,2,0),0)</f>
        <v>10</v>
      </c>
      <c r="J324" s="36">
        <f>IFERROR(VLOOKUP(A324,[4]数据处理!$A:$D,4,0),0)</f>
        <v>0</v>
      </c>
      <c r="K324" s="36">
        <f>IFERROR(VLOOKUP(A324,[4]数据处理!$A:$E,5,0),0)</f>
        <v>0</v>
      </c>
      <c r="L324" s="36">
        <f>IFERROR(VLOOKUP(A324,[4]数据处理!$A:$G,7,0),0)</f>
        <v>0</v>
      </c>
      <c r="M324">
        <f t="shared" si="72"/>
        <v>10</v>
      </c>
      <c r="N324">
        <f>IFERROR(VLOOKUP(A324,[4]数据处理!$A:$C,3,0),0)</f>
        <v>0</v>
      </c>
      <c r="O324">
        <f>IFERROR(VLOOKUP($A324,[4]数据处理!$A:$N,14,0),0)</f>
        <v>10</v>
      </c>
      <c r="P324">
        <f>IFERROR(VLOOKUP($A324,[5]库存使用数据!$A:$B,2,0),"")</f>
        <v>582</v>
      </c>
      <c r="Q324">
        <f>IFERROR(VLOOKUP($A324,[5]库存使用数据!$A:$E,5,0),"")</f>
        <v>1049</v>
      </c>
      <c r="R324">
        <f>IFERROR(VLOOKUP($A324,[5]库存使用数据!$A:$H,8,0),"")</f>
        <v>876</v>
      </c>
      <c r="S324">
        <f>IFERROR(VLOOKUP($A324,[5]库存使用数据!$A:$K,11,0),"")</f>
        <v>560</v>
      </c>
      <c r="T324">
        <f>IFERROR(VLOOKUP($A324,[5]库存使用数据!$A:$C,3,0),"")</f>
        <v>0</v>
      </c>
      <c r="U324">
        <f>IFERROR(VLOOKUP($A324,[5]库存使用数据!$A:$F,6,0),"")</f>
        <v>3</v>
      </c>
      <c r="V324">
        <f>IFERROR(VLOOKUP($A324,[5]库存使用数据!$A:$I,9,0),"")</f>
        <v>3</v>
      </c>
      <c r="W324">
        <f>IFERROR(VLOOKUP($A324,[5]库存使用数据!$A:$L,12,0),"")</f>
        <v>3</v>
      </c>
      <c r="X324" s="23">
        <f t="shared" si="77"/>
        <v>0</v>
      </c>
      <c r="Y324" s="23">
        <f t="shared" si="78"/>
        <v>0.00285986653956149</v>
      </c>
      <c r="Z324" s="23">
        <f t="shared" si="79"/>
        <v>0.00342465753424658</v>
      </c>
      <c r="AA324" s="23">
        <f t="shared" si="80"/>
        <v>0.00535714285714286</v>
      </c>
      <c r="AB324">
        <f>IFERROR(VLOOKUP($A324,[5]库存使用数据!$A:$D,4,0),"")</f>
        <v>0</v>
      </c>
      <c r="AC324">
        <f>IFERROR(VLOOKUP($A324,[5]库存使用数据!$A:$G,7,0),"")</f>
        <v>1.17</v>
      </c>
      <c r="AD324">
        <f>IFERROR(VLOOKUP($A324,[5]库存使用数据!$A:$J,10,0),"")</f>
        <v>0.86</v>
      </c>
      <c r="AE324">
        <f>IFERROR(VLOOKUP($A324,[5]库存使用数据!$A:$M,13,0),"")</f>
        <v>1.1</v>
      </c>
      <c r="AF324" s="23" t="str">
        <f t="shared" si="81"/>
        <v/>
      </c>
      <c r="AG324" s="23" t="str">
        <f t="shared" si="82"/>
        <v>无销量广告费为1.17</v>
      </c>
      <c r="AH324" s="23" t="str">
        <f t="shared" si="83"/>
        <v>无销量广告费为0.86</v>
      </c>
      <c r="AI324" s="23" t="str">
        <f t="shared" si="84"/>
        <v>无销量广告费为1.1</v>
      </c>
      <c r="AJ324">
        <f>IFERROR(VLOOKUP($B324,[1]库存报告使用数据!$A$1:$B$65536,2,0),0)</f>
        <v>3</v>
      </c>
      <c r="AK324">
        <f>IFERROR(VLOOKUP($B324,[1]库存报告使用数据!$A$1:$C$65536,3,0),0)</f>
        <v>4</v>
      </c>
      <c r="AL324">
        <f>IFERROR(VLOOKUP($B324,[1]库存报告使用数据!$A$1:$D$65536,4,0),0)</f>
        <v>7</v>
      </c>
      <c r="AM324">
        <f>IFERROR(VLOOKUP($B324,[1]库存报告使用数据!$A$1:$E$65536,5,0),0)</f>
        <v>2</v>
      </c>
      <c r="AN324" s="23">
        <f t="shared" si="85"/>
        <v>0</v>
      </c>
      <c r="AO324" s="23">
        <f t="shared" si="86"/>
        <v>0</v>
      </c>
      <c r="AP324" s="23">
        <f t="shared" si="87"/>
        <v>0</v>
      </c>
      <c r="AQ324" s="23">
        <f t="shared" si="88"/>
        <v>0</v>
      </c>
      <c r="AR324" s="38">
        <f t="shared" si="73"/>
        <v>0</v>
      </c>
      <c r="AS324" s="38">
        <f t="shared" si="74"/>
        <v>0</v>
      </c>
      <c r="AT324" s="38">
        <f t="shared" si="75"/>
        <v>10</v>
      </c>
      <c r="AU324" s="33" t="str">
        <f t="shared" si="76"/>
        <v>库存为10</v>
      </c>
      <c r="AV324" s="39" t="str">
        <f>IFERROR(时间!$B$4+AU324,"上周无销量")</f>
        <v>上周无销量</v>
      </c>
    </row>
    <row r="325" spans="1:48">
      <c r="A325" s="35" t="s">
        <v>370</v>
      </c>
      <c r="B325" t="str">
        <f>VLOOKUP(A325,'[2]sku-asin（子）'!$A:$B,2,0)</f>
        <v>B078NNWT42</v>
      </c>
      <c r="C325" t="str">
        <f>VLOOKUP(A325,'[2]子sku-父sku'!$A:$B,2,0)</f>
        <v>NY-B15021</v>
      </c>
      <c r="D325" s="33">
        <f>IFERROR(VLOOKUP(A325,[3]库存报告使用数据处理!$A:$C,3,0),0)</f>
        <v>0</v>
      </c>
      <c r="E325" s="33">
        <f>IFERROR(VLOOKUP(A325,[3]库存报告使用数据处理!$A:$D,4,0),0)</f>
        <v>0</v>
      </c>
      <c r="F325" s="33">
        <f>IFERROR(VLOOKUP(A325,[3]库存报告使用数据处理!$A:$E,5,0),0)</f>
        <v>0</v>
      </c>
      <c r="G325" s="33">
        <f>IFERROR(VLOOKUP(A325,[3]库存报告使用数据处理!$A:$F,6,0),0)</f>
        <v>0</v>
      </c>
      <c r="H325" s="34">
        <f>IFERROR(VLOOKUP(A325,[3]库存报告使用数据处理!$A:$G,7,0),0)</f>
        <v>0</v>
      </c>
      <c r="I325">
        <f>IFERROR(VLOOKUP(A325,[4]数据处理!$A:$B,2,0),0)</f>
        <v>10</v>
      </c>
      <c r="J325" s="36">
        <f>IFERROR(VLOOKUP(A325,[4]数据处理!$A:$D,4,0),0)</f>
        <v>0</v>
      </c>
      <c r="K325" s="36">
        <f>IFERROR(VLOOKUP(A325,[4]数据处理!$A:$E,5,0),0)</f>
        <v>0</v>
      </c>
      <c r="L325" s="36">
        <f>IFERROR(VLOOKUP(A325,[4]数据处理!$A:$G,7,0),0)</f>
        <v>0</v>
      </c>
      <c r="M325">
        <f t="shared" ref="M325:M388" si="89">SUM(I325:L325)</f>
        <v>10</v>
      </c>
      <c r="N325">
        <f>IFERROR(VLOOKUP(A325,[4]数据处理!$A:$C,3,0),0)</f>
        <v>0</v>
      </c>
      <c r="O325">
        <f>IFERROR(VLOOKUP($A325,[4]数据处理!$A:$N,14,0),0)</f>
        <v>9</v>
      </c>
      <c r="P325">
        <f>IFERROR(VLOOKUP($A325,[5]库存使用数据!$A:$B,2,0),"")</f>
        <v>940</v>
      </c>
      <c r="Q325">
        <f>IFERROR(VLOOKUP($A325,[5]库存使用数据!$A:$E,5,0),"")</f>
        <v>469</v>
      </c>
      <c r="R325">
        <f>IFERROR(VLOOKUP($A325,[5]库存使用数据!$A:$H,8,0),"")</f>
        <v>452</v>
      </c>
      <c r="S325">
        <f>IFERROR(VLOOKUP($A325,[5]库存使用数据!$A:$K,11,0),"")</f>
        <v>361</v>
      </c>
      <c r="T325">
        <f>IFERROR(VLOOKUP($A325,[5]库存使用数据!$A:$C,3,0),"")</f>
        <v>1</v>
      </c>
      <c r="U325">
        <f>IFERROR(VLOOKUP($A325,[5]库存使用数据!$A:$F,6,0),"")</f>
        <v>1</v>
      </c>
      <c r="V325">
        <f>IFERROR(VLOOKUP($A325,[5]库存使用数据!$A:$I,9,0),"")</f>
        <v>1</v>
      </c>
      <c r="W325">
        <f>IFERROR(VLOOKUP($A325,[5]库存使用数据!$A:$L,12,0),"")</f>
        <v>0</v>
      </c>
      <c r="X325" s="23">
        <f t="shared" si="77"/>
        <v>0.00106382978723404</v>
      </c>
      <c r="Y325" s="23">
        <f t="shared" si="78"/>
        <v>0.00213219616204691</v>
      </c>
      <c r="Z325" s="23">
        <f t="shared" si="79"/>
        <v>0.00221238938053097</v>
      </c>
      <c r="AA325" s="23">
        <f t="shared" si="80"/>
        <v>0</v>
      </c>
      <c r="AB325">
        <f>IFERROR(VLOOKUP($A325,[5]库存使用数据!$A:$D,4,0),"")</f>
        <v>0.38</v>
      </c>
      <c r="AC325">
        <f>IFERROR(VLOOKUP($A325,[5]库存使用数据!$A:$G,7,0),"")</f>
        <v>0.29</v>
      </c>
      <c r="AD325">
        <f>IFERROR(VLOOKUP($A325,[5]库存使用数据!$A:$J,10,0),"")</f>
        <v>0.34</v>
      </c>
      <c r="AE325">
        <f>IFERROR(VLOOKUP($A325,[5]库存使用数据!$A:$M,13,0),"")</f>
        <v>0</v>
      </c>
      <c r="AF325" s="23" t="str">
        <f t="shared" si="81"/>
        <v>无销量广告费为0.38</v>
      </c>
      <c r="AG325" s="23" t="str">
        <f t="shared" si="82"/>
        <v>无销量广告费为0.29</v>
      </c>
      <c r="AH325" s="23" t="str">
        <f t="shared" si="83"/>
        <v>无销量广告费为0.34</v>
      </c>
      <c r="AI325" s="23" t="str">
        <f t="shared" si="84"/>
        <v/>
      </c>
      <c r="AJ325">
        <f>IFERROR(VLOOKUP($B325,[1]库存报告使用数据!$A$1:$B$65536,2,0),0)</f>
        <v>2</v>
      </c>
      <c r="AK325">
        <f>IFERROR(VLOOKUP($B325,[1]库存报告使用数据!$A$1:$C$65536,3,0),0)</f>
        <v>6</v>
      </c>
      <c r="AL325">
        <f>IFERROR(VLOOKUP($B325,[1]库存报告使用数据!$A$1:$D$65536,4,0),0)</f>
        <v>2</v>
      </c>
      <c r="AM325">
        <f>IFERROR(VLOOKUP($B325,[1]库存报告使用数据!$A$1:$E$65536,5,0),0)</f>
        <v>1</v>
      </c>
      <c r="AN325" s="23">
        <f t="shared" si="85"/>
        <v>0</v>
      </c>
      <c r="AO325" s="23">
        <f t="shared" si="86"/>
        <v>0</v>
      </c>
      <c r="AP325" s="23">
        <f t="shared" si="87"/>
        <v>0</v>
      </c>
      <c r="AQ325" s="23">
        <f t="shared" si="88"/>
        <v>0</v>
      </c>
      <c r="AR325" s="38">
        <f t="shared" ref="AR325:AR388" si="90">IFERROR(D325/7,"")</f>
        <v>0</v>
      </c>
      <c r="AS325" s="38">
        <f t="shared" ref="AS325:AS388" si="91">IF(AR325="","上周无销量",60*AR325)</f>
        <v>0</v>
      </c>
      <c r="AT325" s="38">
        <f t="shared" ref="AT325:AT388" si="92">IF(AS325="上周无销量","上周无销量/总库存"&amp;M325,M325-AS325)</f>
        <v>10</v>
      </c>
      <c r="AU325" s="33" t="str">
        <f t="shared" ref="AU325:AU388" si="93">IF(AR325="","库存为"&amp;M325,IF(AS325=0,"库存为"&amp;M325,INT(M325/AR325)))</f>
        <v>库存为10</v>
      </c>
      <c r="AV325" s="39" t="str">
        <f>IFERROR(时间!$B$4+AU325,"上周无销量")</f>
        <v>上周无销量</v>
      </c>
    </row>
    <row r="326" spans="1:48">
      <c r="A326" s="35" t="s">
        <v>371</v>
      </c>
      <c r="B326" t="str">
        <f>VLOOKUP(A326,'[2]sku-asin（子）'!$A:$B,2,0)</f>
        <v>B078NNZQ5Y</v>
      </c>
      <c r="C326" t="str">
        <f>VLOOKUP(A326,'[2]子sku-父sku'!$A:$B,2,0)</f>
        <v>NY-B15021</v>
      </c>
      <c r="D326" s="33">
        <f>IFERROR(VLOOKUP(A326,[3]库存报告使用数据处理!$A:$C,3,0),0)</f>
        <v>0</v>
      </c>
      <c r="E326" s="33">
        <f>IFERROR(VLOOKUP(A326,[3]库存报告使用数据处理!$A:$D,4,0),0)</f>
        <v>0</v>
      </c>
      <c r="F326" s="33">
        <f>IFERROR(VLOOKUP(A326,[3]库存报告使用数据处理!$A:$E,5,0),0)</f>
        <v>0</v>
      </c>
      <c r="G326" s="33">
        <f>IFERROR(VLOOKUP(A326,[3]库存报告使用数据处理!$A:$F,6,0),0)</f>
        <v>0</v>
      </c>
      <c r="H326" s="34">
        <f>IFERROR(VLOOKUP(A326,[3]库存报告使用数据处理!$A:$G,7,0),0)</f>
        <v>0</v>
      </c>
      <c r="I326">
        <f>IFERROR(VLOOKUP(A326,[4]数据处理!$A:$B,2,0),0)</f>
        <v>4</v>
      </c>
      <c r="J326" s="36">
        <f>IFERROR(VLOOKUP(A326,[4]数据处理!$A:$D,4,0),0)</f>
        <v>0</v>
      </c>
      <c r="K326" s="36">
        <f>IFERROR(VLOOKUP(A326,[4]数据处理!$A:$E,5,0),0)</f>
        <v>0</v>
      </c>
      <c r="L326" s="36">
        <f>IFERROR(VLOOKUP(A326,[4]数据处理!$A:$G,7,0),0)</f>
        <v>0</v>
      </c>
      <c r="M326">
        <f t="shared" si="89"/>
        <v>4</v>
      </c>
      <c r="N326">
        <f>IFERROR(VLOOKUP(A326,[4]数据处理!$A:$C,3,0),0)</f>
        <v>0</v>
      </c>
      <c r="O326">
        <f>IFERROR(VLOOKUP($A326,[4]数据处理!$A:$N,14,0),0)</f>
        <v>4</v>
      </c>
      <c r="P326">
        <f>IFERROR(VLOOKUP($A326,[5]库存使用数据!$A:$B,2,0),"")</f>
        <v>374</v>
      </c>
      <c r="Q326">
        <f>IFERROR(VLOOKUP($A326,[5]库存使用数据!$A:$E,5,0),"")</f>
        <v>678</v>
      </c>
      <c r="R326">
        <f>IFERROR(VLOOKUP($A326,[5]库存使用数据!$A:$H,8,0),"")</f>
        <v>163</v>
      </c>
      <c r="S326">
        <f>IFERROR(VLOOKUP($A326,[5]库存使用数据!$A:$K,11,0),"")</f>
        <v>170</v>
      </c>
      <c r="T326">
        <f>IFERROR(VLOOKUP($A326,[5]库存使用数据!$A:$C,3,0),"")</f>
        <v>1</v>
      </c>
      <c r="U326">
        <f>IFERROR(VLOOKUP($A326,[5]库存使用数据!$A:$F,6,0),"")</f>
        <v>0</v>
      </c>
      <c r="V326">
        <f>IFERROR(VLOOKUP($A326,[5]库存使用数据!$A:$I,9,0),"")</f>
        <v>2</v>
      </c>
      <c r="W326">
        <f>IFERROR(VLOOKUP($A326,[5]库存使用数据!$A:$L,12,0),"")</f>
        <v>0</v>
      </c>
      <c r="X326" s="23">
        <f t="shared" ref="X326:X389" si="94">IFERROR(T326/P326,"")</f>
        <v>0.00267379679144385</v>
      </c>
      <c r="Y326" s="23">
        <f t="shared" ref="Y326:Y389" si="95">IFERROR(U326/Q326,"")</f>
        <v>0</v>
      </c>
      <c r="Z326" s="23">
        <f t="shared" ref="Z326:Z389" si="96">IFERROR(V326/R326,"")</f>
        <v>0.0122699386503067</v>
      </c>
      <c r="AA326" s="23">
        <f t="shared" ref="AA326:AA389" si="97">IFERROR(W326/S326,"")</f>
        <v>0</v>
      </c>
      <c r="AB326">
        <f>IFERROR(VLOOKUP($A326,[5]库存使用数据!$A:$D,4,0),"")</f>
        <v>0.38</v>
      </c>
      <c r="AC326">
        <f>IFERROR(VLOOKUP($A326,[5]库存使用数据!$A:$G,7,0),"")</f>
        <v>0</v>
      </c>
      <c r="AD326">
        <f>IFERROR(VLOOKUP($A326,[5]库存使用数据!$A:$J,10,0),"")</f>
        <v>0.81</v>
      </c>
      <c r="AE326">
        <f>IFERROR(VLOOKUP($A326,[5]库存使用数据!$A:$M,13,0),"")</f>
        <v>0</v>
      </c>
      <c r="AF326" s="23" t="str">
        <f t="shared" ref="AF326:AF389" si="98">IF(OR(AB326="",AB326=0),"",IF(AND(D326*$H326=0,AB326&gt;0),"无销量广告费为"&amp;AB326,AB326/(D326*$H326)))</f>
        <v>无销量广告费为0.38</v>
      </c>
      <c r="AG326" s="23" t="str">
        <f t="shared" ref="AG326:AG389" si="99">IF(OR(AC326="",AC326=0),"",IF(AND(E326*$H326=0,AC326&gt;0),"无销量广告费为"&amp;AC326,AC326/(E326*$H326)))</f>
        <v/>
      </c>
      <c r="AH326" s="23" t="str">
        <f t="shared" ref="AH326:AH389" si="100">IF(OR(AD326="",AD326=0),"",IF(AND(F326*$H326=0,AD326&gt;0),"无销量广告费为"&amp;AD326,AD326/(F326*$H326)))</f>
        <v>无销量广告费为0.81</v>
      </c>
      <c r="AI326" s="23" t="str">
        <f t="shared" ref="AI326:AI389" si="101">IF(OR(AE326="",AE326=0),"",IF(AND(G326*$H326=0,AE326&gt;0),"无销量广告费为"&amp;AE326,AE326/(G326*$H326)))</f>
        <v/>
      </c>
      <c r="AJ326">
        <f>IFERROR(VLOOKUP($B326,[1]库存报告使用数据!$A$1:$B$65536,2,0),0)</f>
        <v>5</v>
      </c>
      <c r="AK326">
        <f>IFERROR(VLOOKUP($B326,[1]库存报告使用数据!$A$1:$C$65536,3,0),0)</f>
        <v>2</v>
      </c>
      <c r="AL326">
        <f>IFERROR(VLOOKUP($B326,[1]库存报告使用数据!$A$1:$D$65536,4,0),0)</f>
        <v>2</v>
      </c>
      <c r="AM326">
        <f>IFERROR(VLOOKUP($B326,[1]库存报告使用数据!$A$1:$E$65536,5,0),0)</f>
        <v>1</v>
      </c>
      <c r="AN326" s="23">
        <f t="shared" ref="AN326:AN389" si="102">IFERROR(D326/AJ326,"")</f>
        <v>0</v>
      </c>
      <c r="AO326" s="23">
        <f t="shared" ref="AO326:AO389" si="103">IFERROR(E326/AK326,"")</f>
        <v>0</v>
      </c>
      <c r="AP326" s="23">
        <f t="shared" ref="AP326:AP389" si="104">IFERROR(F326/AL326,"")</f>
        <v>0</v>
      </c>
      <c r="AQ326" s="23">
        <f t="shared" ref="AQ326:AQ389" si="105">IFERROR(G326/AM326,"")</f>
        <v>0</v>
      </c>
      <c r="AR326" s="38">
        <f t="shared" si="90"/>
        <v>0</v>
      </c>
      <c r="AS326" s="38">
        <f t="shared" si="91"/>
        <v>0</v>
      </c>
      <c r="AT326" s="38">
        <f t="shared" si="92"/>
        <v>4</v>
      </c>
      <c r="AU326" s="33" t="str">
        <f t="shared" si="93"/>
        <v>库存为4</v>
      </c>
      <c r="AV326" s="39" t="str">
        <f>IFERROR(时间!$B$4+AU326,"上周无销量")</f>
        <v>上周无销量</v>
      </c>
    </row>
    <row r="327" spans="1:48">
      <c r="A327" s="35" t="s">
        <v>372</v>
      </c>
      <c r="B327" t="str">
        <f>VLOOKUP(A327,'[2]sku-asin（子）'!$A:$B,2,0)</f>
        <v>B078NPBXD2</v>
      </c>
      <c r="C327" t="str">
        <f>VLOOKUP(A327,'[2]子sku-父sku'!$A:$B,2,0)</f>
        <v>NY-B15021</v>
      </c>
      <c r="D327" s="33">
        <f>IFERROR(VLOOKUP(A327,[3]库存报告使用数据处理!$A:$C,3,0),0)</f>
        <v>0</v>
      </c>
      <c r="E327" s="33">
        <f>IFERROR(VLOOKUP(A327,[3]库存报告使用数据处理!$A:$D,4,0),0)</f>
        <v>0</v>
      </c>
      <c r="F327" s="33">
        <f>IFERROR(VLOOKUP(A327,[3]库存报告使用数据处理!$A:$E,5,0),0)</f>
        <v>0</v>
      </c>
      <c r="G327" s="33">
        <f>IFERROR(VLOOKUP(A327,[3]库存报告使用数据处理!$A:$F,6,0),0)</f>
        <v>0</v>
      </c>
      <c r="H327" s="34">
        <f>IFERROR(VLOOKUP(A327,[3]库存报告使用数据处理!$A:$G,7,0),0)</f>
        <v>0</v>
      </c>
      <c r="I327">
        <f>IFERROR(VLOOKUP(A327,[4]数据处理!$A:$B,2,0),0)</f>
        <v>5</v>
      </c>
      <c r="J327" s="36">
        <f>IFERROR(VLOOKUP(A327,[4]数据处理!$A:$D,4,0),0)</f>
        <v>0</v>
      </c>
      <c r="K327" s="36">
        <f>IFERROR(VLOOKUP(A327,[4]数据处理!$A:$E,5,0),0)</f>
        <v>0</v>
      </c>
      <c r="L327" s="36">
        <f>IFERROR(VLOOKUP(A327,[4]数据处理!$A:$G,7,0),0)</f>
        <v>0</v>
      </c>
      <c r="M327">
        <f t="shared" si="89"/>
        <v>5</v>
      </c>
      <c r="N327">
        <f>IFERROR(VLOOKUP(A327,[4]数据处理!$A:$C,3,0),0)</f>
        <v>0</v>
      </c>
      <c r="O327">
        <f>IFERROR(VLOOKUP($A327,[4]数据处理!$A:$N,14,0),0)</f>
        <v>5</v>
      </c>
      <c r="P327">
        <f>IFERROR(VLOOKUP($A327,[5]库存使用数据!$A:$B,2,0),"")</f>
        <v>90</v>
      </c>
      <c r="Q327">
        <f>IFERROR(VLOOKUP($A327,[5]库存使用数据!$A:$E,5,0),"")</f>
        <v>152</v>
      </c>
      <c r="R327">
        <f>IFERROR(VLOOKUP($A327,[5]库存使用数据!$A:$H,8,0),"")</f>
        <v>243</v>
      </c>
      <c r="S327">
        <f>IFERROR(VLOOKUP($A327,[5]库存使用数据!$A:$K,11,0),"")</f>
        <v>756</v>
      </c>
      <c r="T327">
        <f>IFERROR(VLOOKUP($A327,[5]库存使用数据!$A:$C,3,0),"")</f>
        <v>0</v>
      </c>
      <c r="U327">
        <f>IFERROR(VLOOKUP($A327,[5]库存使用数据!$A:$F,6,0),"")</f>
        <v>0</v>
      </c>
      <c r="V327">
        <f>IFERROR(VLOOKUP($A327,[5]库存使用数据!$A:$I,9,0),"")</f>
        <v>0</v>
      </c>
      <c r="W327">
        <f>IFERROR(VLOOKUP($A327,[5]库存使用数据!$A:$L,12,0),"")</f>
        <v>2</v>
      </c>
      <c r="X327" s="23">
        <f t="shared" si="94"/>
        <v>0</v>
      </c>
      <c r="Y327" s="23">
        <f t="shared" si="95"/>
        <v>0</v>
      </c>
      <c r="Z327" s="23">
        <f t="shared" si="96"/>
        <v>0</v>
      </c>
      <c r="AA327" s="23">
        <f t="shared" si="97"/>
        <v>0.00264550264550265</v>
      </c>
      <c r="AB327">
        <f>IFERROR(VLOOKUP($A327,[5]库存使用数据!$A:$D,4,0),"")</f>
        <v>0</v>
      </c>
      <c r="AC327">
        <f>IFERROR(VLOOKUP($A327,[5]库存使用数据!$A:$G,7,0),"")</f>
        <v>0</v>
      </c>
      <c r="AD327">
        <f>IFERROR(VLOOKUP($A327,[5]库存使用数据!$A:$J,10,0),"")</f>
        <v>0</v>
      </c>
      <c r="AE327">
        <f>IFERROR(VLOOKUP($A327,[5]库存使用数据!$A:$M,13,0),"")</f>
        <v>0.65</v>
      </c>
      <c r="AF327" s="23" t="str">
        <f t="shared" si="98"/>
        <v/>
      </c>
      <c r="AG327" s="23" t="str">
        <f t="shared" si="99"/>
        <v/>
      </c>
      <c r="AH327" s="23" t="str">
        <f t="shared" si="100"/>
        <v/>
      </c>
      <c r="AI327" s="23" t="str">
        <f t="shared" si="101"/>
        <v>无销量广告费为0.65</v>
      </c>
      <c r="AJ327">
        <f>IFERROR(VLOOKUP($B327,[1]库存报告使用数据!$A$1:$B$65536,2,0),0)</f>
        <v>5</v>
      </c>
      <c r="AK327">
        <f>IFERROR(VLOOKUP($B327,[1]库存报告使用数据!$A$1:$C$65536,3,0),0)</f>
        <v>4</v>
      </c>
      <c r="AL327">
        <f>IFERROR(VLOOKUP($B327,[1]库存报告使用数据!$A$1:$D$65536,4,0),0)</f>
        <v>0</v>
      </c>
      <c r="AM327">
        <f>IFERROR(VLOOKUP($B327,[1]库存报告使用数据!$A$1:$E$65536,5,0),0)</f>
        <v>3</v>
      </c>
      <c r="AN327" s="23">
        <f t="shared" si="102"/>
        <v>0</v>
      </c>
      <c r="AO327" s="23">
        <f t="shared" si="103"/>
        <v>0</v>
      </c>
      <c r="AP327" s="23" t="str">
        <f t="shared" si="104"/>
        <v/>
      </c>
      <c r="AQ327" s="23">
        <f t="shared" si="105"/>
        <v>0</v>
      </c>
      <c r="AR327" s="38">
        <f t="shared" si="90"/>
        <v>0</v>
      </c>
      <c r="AS327" s="38">
        <f t="shared" si="91"/>
        <v>0</v>
      </c>
      <c r="AT327" s="38">
        <f t="shared" si="92"/>
        <v>5</v>
      </c>
      <c r="AU327" s="33" t="str">
        <f t="shared" si="93"/>
        <v>库存为5</v>
      </c>
      <c r="AV327" s="39" t="str">
        <f>IFERROR(时间!$B$4+AU327,"上周无销量")</f>
        <v>上周无销量</v>
      </c>
    </row>
    <row r="328" spans="1:48">
      <c r="A328" s="35" t="s">
        <v>373</v>
      </c>
      <c r="B328" t="str">
        <f>VLOOKUP(A328,'[2]sku-asin（子）'!$A:$B,2,0)</f>
        <v>B078NNYW4V</v>
      </c>
      <c r="C328" t="str">
        <f>VLOOKUP(A328,'[2]子sku-父sku'!$A:$B,2,0)</f>
        <v>NY-B15021</v>
      </c>
      <c r="D328" s="33">
        <f>IFERROR(VLOOKUP(A328,[3]库存报告使用数据处理!$A:$C,3,0),0)</f>
        <v>0</v>
      </c>
      <c r="E328" s="33">
        <f>IFERROR(VLOOKUP(A328,[3]库存报告使用数据处理!$A:$D,4,0),0)</f>
        <v>0</v>
      </c>
      <c r="F328" s="33">
        <f>IFERROR(VLOOKUP(A328,[3]库存报告使用数据处理!$A:$E,5,0),0)</f>
        <v>0</v>
      </c>
      <c r="G328" s="33">
        <f>IFERROR(VLOOKUP(A328,[3]库存报告使用数据处理!$A:$F,6,0),0)</f>
        <v>0</v>
      </c>
      <c r="H328" s="34">
        <f>IFERROR(VLOOKUP(A328,[3]库存报告使用数据处理!$A:$G,7,0),0)</f>
        <v>0</v>
      </c>
      <c r="I328">
        <f>IFERROR(VLOOKUP(A328,[4]数据处理!$A:$B,2,0),0)</f>
        <v>26</v>
      </c>
      <c r="J328" s="36">
        <f>IFERROR(VLOOKUP(A328,[4]数据处理!$A:$D,4,0),0)</f>
        <v>0</v>
      </c>
      <c r="K328" s="36">
        <f>IFERROR(VLOOKUP(A328,[4]数据处理!$A:$E,5,0),0)</f>
        <v>0</v>
      </c>
      <c r="L328" s="36">
        <f>IFERROR(VLOOKUP(A328,[4]数据处理!$A:$G,7,0),0)</f>
        <v>0</v>
      </c>
      <c r="M328">
        <f t="shared" si="89"/>
        <v>26</v>
      </c>
      <c r="N328">
        <f>IFERROR(VLOOKUP(A328,[4]数据处理!$A:$C,3,0),0)</f>
        <v>0</v>
      </c>
      <c r="O328">
        <f>IFERROR(VLOOKUP($A328,[4]数据处理!$A:$N,14,0),0)</f>
        <v>26</v>
      </c>
      <c r="P328">
        <f>IFERROR(VLOOKUP($A328,[5]库存使用数据!$A:$B,2,0),"")</f>
        <v>5011</v>
      </c>
      <c r="Q328">
        <f>IFERROR(VLOOKUP($A328,[5]库存使用数据!$A:$E,5,0),"")</f>
        <v>8327</v>
      </c>
      <c r="R328">
        <f>IFERROR(VLOOKUP($A328,[5]库存使用数据!$A:$H,8,0),"")</f>
        <v>11447</v>
      </c>
      <c r="S328">
        <f>IFERROR(VLOOKUP($A328,[5]库存使用数据!$A:$K,11,0),"")</f>
        <v>11118</v>
      </c>
      <c r="T328">
        <f>IFERROR(VLOOKUP($A328,[5]库存使用数据!$A:$C,3,0),"")</f>
        <v>16</v>
      </c>
      <c r="U328">
        <f>IFERROR(VLOOKUP($A328,[5]库存使用数据!$A:$F,6,0),"")</f>
        <v>17</v>
      </c>
      <c r="V328">
        <f>IFERROR(VLOOKUP($A328,[5]库存使用数据!$A:$I,9,0),"")</f>
        <v>20</v>
      </c>
      <c r="W328">
        <f>IFERROR(VLOOKUP($A328,[5]库存使用数据!$A:$L,12,0),"")</f>
        <v>26</v>
      </c>
      <c r="X328" s="23">
        <f t="shared" si="94"/>
        <v>0.0031929754540012</v>
      </c>
      <c r="Y328" s="23">
        <f t="shared" si="95"/>
        <v>0.00204155157920019</v>
      </c>
      <c r="Z328" s="23">
        <f t="shared" si="96"/>
        <v>0.00174718266794793</v>
      </c>
      <c r="AA328" s="23">
        <f t="shared" si="97"/>
        <v>0.00233855009893866</v>
      </c>
      <c r="AB328">
        <f>IFERROR(VLOOKUP($A328,[5]库存使用数据!$A:$D,4,0),"")</f>
        <v>5.53</v>
      </c>
      <c r="AC328">
        <f>IFERROR(VLOOKUP($A328,[5]库存使用数据!$A:$G,7,0),"")</f>
        <v>5.17</v>
      </c>
      <c r="AD328">
        <f>IFERROR(VLOOKUP($A328,[5]库存使用数据!$A:$J,10,0),"")</f>
        <v>7.93</v>
      </c>
      <c r="AE328">
        <f>IFERROR(VLOOKUP($A328,[5]库存使用数据!$A:$M,13,0),"")</f>
        <v>8.84</v>
      </c>
      <c r="AF328" s="23" t="str">
        <f t="shared" si="98"/>
        <v>无销量广告费为5.53</v>
      </c>
      <c r="AG328" s="23" t="str">
        <f t="shared" si="99"/>
        <v>无销量广告费为5.17</v>
      </c>
      <c r="AH328" s="23" t="str">
        <f t="shared" si="100"/>
        <v>无销量广告费为7.93</v>
      </c>
      <c r="AI328" s="23" t="str">
        <f t="shared" si="101"/>
        <v>无销量广告费为8.84</v>
      </c>
      <c r="AJ328">
        <f>IFERROR(VLOOKUP($B328,[1]库存报告使用数据!$A$1:$B$65536,2,0),0)</f>
        <v>7</v>
      </c>
      <c r="AK328">
        <f>IFERROR(VLOOKUP($B328,[1]库存报告使用数据!$A$1:$C$65536,3,0),0)</f>
        <v>10</v>
      </c>
      <c r="AL328">
        <f>IFERROR(VLOOKUP($B328,[1]库存报告使用数据!$A$1:$D$65536,4,0),0)</f>
        <v>9</v>
      </c>
      <c r="AM328">
        <f>IFERROR(VLOOKUP($B328,[1]库存报告使用数据!$A$1:$E$65536,5,0),0)</f>
        <v>11</v>
      </c>
      <c r="AN328" s="23">
        <f t="shared" si="102"/>
        <v>0</v>
      </c>
      <c r="AO328" s="23">
        <f t="shared" si="103"/>
        <v>0</v>
      </c>
      <c r="AP328" s="23">
        <f t="shared" si="104"/>
        <v>0</v>
      </c>
      <c r="AQ328" s="23">
        <f t="shared" si="105"/>
        <v>0</v>
      </c>
      <c r="AR328" s="38">
        <f t="shared" si="90"/>
        <v>0</v>
      </c>
      <c r="AS328" s="38">
        <f t="shared" si="91"/>
        <v>0</v>
      </c>
      <c r="AT328" s="38">
        <f t="shared" si="92"/>
        <v>26</v>
      </c>
      <c r="AU328" s="33" t="str">
        <f t="shared" si="93"/>
        <v>库存为26</v>
      </c>
      <c r="AV328" s="39" t="str">
        <f>IFERROR(时间!$B$4+AU328,"上周无销量")</f>
        <v>上周无销量</v>
      </c>
    </row>
    <row r="329" spans="1:48">
      <c r="A329" s="35" t="s">
        <v>374</v>
      </c>
      <c r="B329" t="str">
        <f>VLOOKUP(A329,'[2]sku-asin（子）'!$A:$B,2,0)</f>
        <v>B078NQW8Y6</v>
      </c>
      <c r="C329" t="str">
        <f>VLOOKUP(A329,'[2]子sku-父sku'!$A:$B,2,0)</f>
        <v>NY-B15021</v>
      </c>
      <c r="D329" s="33">
        <f>IFERROR(VLOOKUP(A329,[3]库存报告使用数据处理!$A:$C,3,0),0)</f>
        <v>0</v>
      </c>
      <c r="E329" s="33">
        <f>IFERROR(VLOOKUP(A329,[3]库存报告使用数据处理!$A:$D,4,0),0)</f>
        <v>0</v>
      </c>
      <c r="F329" s="33">
        <f>IFERROR(VLOOKUP(A329,[3]库存报告使用数据处理!$A:$E,5,0),0)</f>
        <v>1</v>
      </c>
      <c r="G329" s="33">
        <f>IFERROR(VLOOKUP(A329,[3]库存报告使用数据处理!$A:$F,6,0),0)</f>
        <v>0</v>
      </c>
      <c r="H329" s="34">
        <f>IFERROR(VLOOKUP(A329,[3]库存报告使用数据处理!$A:$G,7,0),0)</f>
        <v>15.19</v>
      </c>
      <c r="I329">
        <f>IFERROR(VLOOKUP(A329,[4]数据处理!$A:$B,2,0),0)</f>
        <v>28</v>
      </c>
      <c r="J329" s="36">
        <f>IFERROR(VLOOKUP(A329,[4]数据处理!$A:$D,4,0),0)</f>
        <v>0</v>
      </c>
      <c r="K329" s="36">
        <f>IFERROR(VLOOKUP(A329,[4]数据处理!$A:$E,5,0),0)</f>
        <v>0</v>
      </c>
      <c r="L329" s="36">
        <f>IFERROR(VLOOKUP(A329,[4]数据处理!$A:$G,7,0),0)</f>
        <v>0</v>
      </c>
      <c r="M329">
        <f t="shared" si="89"/>
        <v>28</v>
      </c>
      <c r="N329">
        <f>IFERROR(VLOOKUP(A329,[4]数据处理!$A:$C,3,0),0)</f>
        <v>0</v>
      </c>
      <c r="O329">
        <f>IFERROR(VLOOKUP($A329,[4]数据处理!$A:$N,14,0),0)</f>
        <v>28</v>
      </c>
      <c r="P329">
        <f>IFERROR(VLOOKUP($A329,[5]库存使用数据!$A:$B,2,0),"")</f>
        <v>309</v>
      </c>
      <c r="Q329">
        <f>IFERROR(VLOOKUP($A329,[5]库存使用数据!$A:$E,5,0),"")</f>
        <v>567</v>
      </c>
      <c r="R329">
        <f>IFERROR(VLOOKUP($A329,[5]库存使用数据!$A:$H,8,0),"")</f>
        <v>893</v>
      </c>
      <c r="S329">
        <f>IFERROR(VLOOKUP($A329,[5]库存使用数据!$A:$K,11,0),"")</f>
        <v>746</v>
      </c>
      <c r="T329">
        <f>IFERROR(VLOOKUP($A329,[5]库存使用数据!$A:$C,3,0),"")</f>
        <v>1</v>
      </c>
      <c r="U329">
        <f>IFERROR(VLOOKUP($A329,[5]库存使用数据!$A:$F,6,0),"")</f>
        <v>3</v>
      </c>
      <c r="V329">
        <f>IFERROR(VLOOKUP($A329,[5]库存使用数据!$A:$I,9,0),"")</f>
        <v>3</v>
      </c>
      <c r="W329">
        <f>IFERROR(VLOOKUP($A329,[5]库存使用数据!$A:$L,12,0),"")</f>
        <v>4</v>
      </c>
      <c r="X329" s="23">
        <f t="shared" si="94"/>
        <v>0.00323624595469256</v>
      </c>
      <c r="Y329" s="23">
        <f t="shared" si="95"/>
        <v>0.00529100529100529</v>
      </c>
      <c r="Z329" s="23">
        <f t="shared" si="96"/>
        <v>0.00335946248600224</v>
      </c>
      <c r="AA329" s="23">
        <f t="shared" si="97"/>
        <v>0.00536193029490617</v>
      </c>
      <c r="AB329">
        <f>IFERROR(VLOOKUP($A329,[5]库存使用数据!$A:$D,4,0),"")</f>
        <v>0.29</v>
      </c>
      <c r="AC329">
        <f>IFERROR(VLOOKUP($A329,[5]库存使用数据!$A:$G,7,0),"")</f>
        <v>0.83</v>
      </c>
      <c r="AD329">
        <f>IFERROR(VLOOKUP($A329,[5]库存使用数据!$A:$J,10,0),"")</f>
        <v>1.13</v>
      </c>
      <c r="AE329">
        <f>IFERROR(VLOOKUP($A329,[5]库存使用数据!$A:$M,13,0),"")</f>
        <v>1.07</v>
      </c>
      <c r="AF329" s="23" t="str">
        <f t="shared" si="98"/>
        <v>无销量广告费为0.29</v>
      </c>
      <c r="AG329" s="23" t="str">
        <f t="shared" si="99"/>
        <v>无销量广告费为0.83</v>
      </c>
      <c r="AH329" s="23">
        <f t="shared" si="100"/>
        <v>0.0743910467412772</v>
      </c>
      <c r="AI329" s="23" t="str">
        <f t="shared" si="101"/>
        <v>无销量广告费为1.07</v>
      </c>
      <c r="AJ329">
        <f>IFERROR(VLOOKUP($B329,[1]库存报告使用数据!$A$1:$B$65536,2,0),0)</f>
        <v>0</v>
      </c>
      <c r="AK329">
        <f>IFERROR(VLOOKUP($B329,[1]库存报告使用数据!$A$1:$C$65536,3,0),0)</f>
        <v>3</v>
      </c>
      <c r="AL329">
        <f>IFERROR(VLOOKUP($B329,[1]库存报告使用数据!$A$1:$D$65536,4,0),0)</f>
        <v>6</v>
      </c>
      <c r="AM329">
        <f>IFERROR(VLOOKUP($B329,[1]库存报告使用数据!$A$1:$E$65536,5,0),0)</f>
        <v>4</v>
      </c>
      <c r="AN329" s="23" t="str">
        <f t="shared" si="102"/>
        <v/>
      </c>
      <c r="AO329" s="23">
        <f t="shared" si="103"/>
        <v>0</v>
      </c>
      <c r="AP329" s="23">
        <f t="shared" si="104"/>
        <v>0.166666666666667</v>
      </c>
      <c r="AQ329" s="23">
        <f t="shared" si="105"/>
        <v>0</v>
      </c>
      <c r="AR329" s="38">
        <f t="shared" si="90"/>
        <v>0</v>
      </c>
      <c r="AS329" s="38">
        <f t="shared" si="91"/>
        <v>0</v>
      </c>
      <c r="AT329" s="38">
        <f t="shared" si="92"/>
        <v>28</v>
      </c>
      <c r="AU329" s="33" t="str">
        <f t="shared" si="93"/>
        <v>库存为28</v>
      </c>
      <c r="AV329" s="39" t="str">
        <f>IFERROR(时间!$B$4+AU329,"上周无销量")</f>
        <v>上周无销量</v>
      </c>
    </row>
    <row r="330" spans="1:48">
      <c r="A330" s="35" t="s">
        <v>375</v>
      </c>
      <c r="B330" t="str">
        <f>VLOOKUP(A330,'[2]sku-asin（子）'!$A:$B,2,0)</f>
        <v>B078NGPQK3</v>
      </c>
      <c r="C330" t="str">
        <f>VLOOKUP(A330,'[2]子sku-父sku'!$A:$B,2,0)</f>
        <v>NY-B15021</v>
      </c>
      <c r="D330" s="33">
        <f>IFERROR(VLOOKUP(A330,[3]库存报告使用数据处理!$A:$C,3,0),0)</f>
        <v>1</v>
      </c>
      <c r="E330" s="33">
        <f>IFERROR(VLOOKUP(A330,[3]库存报告使用数据处理!$A:$D,4,0),0)</f>
        <v>0</v>
      </c>
      <c r="F330" s="33">
        <f>IFERROR(VLOOKUP(A330,[3]库存报告使用数据处理!$A:$E,5,0),0)</f>
        <v>0</v>
      </c>
      <c r="G330" s="33">
        <f>IFERROR(VLOOKUP(A330,[3]库存报告使用数据处理!$A:$F,6,0),0)</f>
        <v>0</v>
      </c>
      <c r="H330" s="34">
        <f>IFERROR(VLOOKUP(A330,[3]库存报告使用数据处理!$A:$G,7,0),0)</f>
        <v>18.99</v>
      </c>
      <c r="I330">
        <f>IFERROR(VLOOKUP(A330,[4]数据处理!$A:$B,2,0),0)</f>
        <v>18</v>
      </c>
      <c r="J330" s="36">
        <f>IFERROR(VLOOKUP(A330,[4]数据处理!$A:$D,4,0),0)</f>
        <v>0</v>
      </c>
      <c r="K330" s="36">
        <f>IFERROR(VLOOKUP(A330,[4]数据处理!$A:$E,5,0),0)</f>
        <v>0</v>
      </c>
      <c r="L330" s="36">
        <f>IFERROR(VLOOKUP(A330,[4]数据处理!$A:$G,7,0),0)</f>
        <v>0</v>
      </c>
      <c r="M330">
        <f t="shared" si="89"/>
        <v>18</v>
      </c>
      <c r="N330">
        <f>IFERROR(VLOOKUP(A330,[4]数据处理!$A:$C,3,0),0)</f>
        <v>0</v>
      </c>
      <c r="O330">
        <f>IFERROR(VLOOKUP($A330,[4]数据处理!$A:$N,14,0),0)</f>
        <v>18</v>
      </c>
      <c r="P330">
        <f>IFERROR(VLOOKUP($A330,[5]库存使用数据!$A:$B,2,0),"")</f>
        <v>894</v>
      </c>
      <c r="Q330">
        <f>IFERROR(VLOOKUP($A330,[5]库存使用数据!$A:$E,5,0),"")</f>
        <v>382</v>
      </c>
      <c r="R330">
        <f>IFERROR(VLOOKUP($A330,[5]库存使用数据!$A:$H,8,0),"")</f>
        <v>763</v>
      </c>
      <c r="S330">
        <f>IFERROR(VLOOKUP($A330,[5]库存使用数据!$A:$K,11,0),"")</f>
        <v>807</v>
      </c>
      <c r="T330">
        <f>IFERROR(VLOOKUP($A330,[5]库存使用数据!$A:$C,3,0),"")</f>
        <v>4</v>
      </c>
      <c r="U330">
        <f>IFERROR(VLOOKUP($A330,[5]库存使用数据!$A:$F,6,0),"")</f>
        <v>0</v>
      </c>
      <c r="V330">
        <f>IFERROR(VLOOKUP($A330,[5]库存使用数据!$A:$I,9,0),"")</f>
        <v>1</v>
      </c>
      <c r="W330">
        <f>IFERROR(VLOOKUP($A330,[5]库存使用数据!$A:$L,12,0),"")</f>
        <v>0</v>
      </c>
      <c r="X330" s="23">
        <f t="shared" si="94"/>
        <v>0.00447427293064877</v>
      </c>
      <c r="Y330" s="23">
        <f t="shared" si="95"/>
        <v>0</v>
      </c>
      <c r="Z330" s="23">
        <f t="shared" si="96"/>
        <v>0.00131061598951507</v>
      </c>
      <c r="AA330" s="23">
        <f t="shared" si="97"/>
        <v>0</v>
      </c>
      <c r="AB330">
        <f>IFERROR(VLOOKUP($A330,[5]库存使用数据!$A:$D,4,0),"")</f>
        <v>1.7</v>
      </c>
      <c r="AC330">
        <f>IFERROR(VLOOKUP($A330,[5]库存使用数据!$A:$G,7,0),"")</f>
        <v>0</v>
      </c>
      <c r="AD330">
        <f>IFERROR(VLOOKUP($A330,[5]库存使用数据!$A:$J,10,0),"")</f>
        <v>0.34</v>
      </c>
      <c r="AE330">
        <f>IFERROR(VLOOKUP($A330,[5]库存使用数据!$A:$M,13,0),"")</f>
        <v>0</v>
      </c>
      <c r="AF330" s="23">
        <f t="shared" si="98"/>
        <v>0.0895208004212744</v>
      </c>
      <c r="AG330" s="23" t="str">
        <f t="shared" si="99"/>
        <v/>
      </c>
      <c r="AH330" s="23" t="str">
        <f t="shared" si="100"/>
        <v>无销量广告费为0.34</v>
      </c>
      <c r="AI330" s="23" t="str">
        <f t="shared" si="101"/>
        <v/>
      </c>
      <c r="AJ330">
        <f>IFERROR(VLOOKUP($B330,[1]库存报告使用数据!$A$1:$B$65536,2,0),0)</f>
        <v>5</v>
      </c>
      <c r="AK330">
        <f>IFERROR(VLOOKUP($B330,[1]库存报告使用数据!$A$1:$C$65536,3,0),0)</f>
        <v>2</v>
      </c>
      <c r="AL330">
        <f>IFERROR(VLOOKUP($B330,[1]库存报告使用数据!$A$1:$D$65536,4,0),0)</f>
        <v>1</v>
      </c>
      <c r="AM330">
        <f>IFERROR(VLOOKUP($B330,[1]库存报告使用数据!$A$1:$E$65536,5,0),0)</f>
        <v>0</v>
      </c>
      <c r="AN330" s="23">
        <f t="shared" si="102"/>
        <v>0.2</v>
      </c>
      <c r="AO330" s="23">
        <f t="shared" si="103"/>
        <v>0</v>
      </c>
      <c r="AP330" s="23">
        <f t="shared" si="104"/>
        <v>0</v>
      </c>
      <c r="AQ330" s="23" t="str">
        <f t="shared" si="105"/>
        <v/>
      </c>
      <c r="AR330" s="38">
        <f t="shared" si="90"/>
        <v>0.142857142857143</v>
      </c>
      <c r="AS330" s="38">
        <f t="shared" si="91"/>
        <v>8.57142857142857</v>
      </c>
      <c r="AT330" s="38">
        <f t="shared" si="92"/>
        <v>9.42857142857143</v>
      </c>
      <c r="AU330" s="33">
        <f t="shared" si="93"/>
        <v>126</v>
      </c>
      <c r="AV330" s="39">
        <f>IFERROR(时间!$B$4+AU330,"上周无销量")</f>
        <v>43416</v>
      </c>
    </row>
    <row r="331" spans="1:48">
      <c r="A331" s="35" t="s">
        <v>376</v>
      </c>
      <c r="B331" t="str">
        <f>VLOOKUP(A331,'[2]sku-asin（子）'!$A:$B,2,0)</f>
        <v>B078NNZWD6</v>
      </c>
      <c r="C331" t="str">
        <f>VLOOKUP(A331,'[2]子sku-父sku'!$A:$B,2,0)</f>
        <v>NY-B15021</v>
      </c>
      <c r="D331" s="33">
        <f>IFERROR(VLOOKUP(A331,[3]库存报告使用数据处理!$A:$C,3,0),0)</f>
        <v>0</v>
      </c>
      <c r="E331" s="33">
        <f>IFERROR(VLOOKUP(A331,[3]库存报告使用数据处理!$A:$D,4,0),0)</f>
        <v>0</v>
      </c>
      <c r="F331" s="33">
        <f>IFERROR(VLOOKUP(A331,[3]库存报告使用数据处理!$A:$E,5,0),0)</f>
        <v>0</v>
      </c>
      <c r="G331" s="33">
        <f>IFERROR(VLOOKUP(A331,[3]库存报告使用数据处理!$A:$F,6,0),0)</f>
        <v>1</v>
      </c>
      <c r="H331" s="34">
        <f>IFERROR(VLOOKUP(A331,[3]库存报告使用数据处理!$A:$G,7,0),0)</f>
        <v>18.99</v>
      </c>
      <c r="I331">
        <f>IFERROR(VLOOKUP(A331,[4]数据处理!$A:$B,2,0),0)</f>
        <v>15</v>
      </c>
      <c r="J331" s="36">
        <f>IFERROR(VLOOKUP(A331,[4]数据处理!$A:$D,4,0),0)</f>
        <v>0</v>
      </c>
      <c r="K331" s="36">
        <f>IFERROR(VLOOKUP(A331,[4]数据处理!$A:$E,5,0),0)</f>
        <v>0</v>
      </c>
      <c r="L331" s="36">
        <f>IFERROR(VLOOKUP(A331,[4]数据处理!$A:$G,7,0),0)</f>
        <v>0</v>
      </c>
      <c r="M331">
        <f t="shared" si="89"/>
        <v>15</v>
      </c>
      <c r="N331">
        <f>IFERROR(VLOOKUP(A331,[4]数据处理!$A:$C,3,0),0)</f>
        <v>0</v>
      </c>
      <c r="O331">
        <f>IFERROR(VLOOKUP($A331,[4]数据处理!$A:$N,14,0),0)</f>
        <v>14</v>
      </c>
      <c r="P331">
        <f>IFERROR(VLOOKUP($A331,[5]库存使用数据!$A:$B,2,0),"")</f>
        <v>809</v>
      </c>
      <c r="Q331">
        <f>IFERROR(VLOOKUP($A331,[5]库存使用数据!$A:$E,5,0),"")</f>
        <v>2185</v>
      </c>
      <c r="R331">
        <f>IFERROR(VLOOKUP($A331,[5]库存使用数据!$A:$H,8,0),"")</f>
        <v>3240</v>
      </c>
      <c r="S331">
        <f>IFERROR(VLOOKUP($A331,[5]库存使用数据!$A:$K,11,0),"")</f>
        <v>1764</v>
      </c>
      <c r="T331">
        <f>IFERROR(VLOOKUP($A331,[5]库存使用数据!$A:$C,3,0),"")</f>
        <v>4</v>
      </c>
      <c r="U331">
        <f>IFERROR(VLOOKUP($A331,[5]库存使用数据!$A:$F,6,0),"")</f>
        <v>7</v>
      </c>
      <c r="V331">
        <f>IFERROR(VLOOKUP($A331,[5]库存使用数据!$A:$I,9,0),"")</f>
        <v>10</v>
      </c>
      <c r="W331">
        <f>IFERROR(VLOOKUP($A331,[5]库存使用数据!$A:$L,12,0),"")</f>
        <v>7</v>
      </c>
      <c r="X331" s="23">
        <f t="shared" si="94"/>
        <v>0.00494437577255871</v>
      </c>
      <c r="Y331" s="23">
        <f t="shared" si="95"/>
        <v>0.00320366132723112</v>
      </c>
      <c r="Z331" s="23">
        <f t="shared" si="96"/>
        <v>0.00308641975308642</v>
      </c>
      <c r="AA331" s="23">
        <f t="shared" si="97"/>
        <v>0.00396825396825397</v>
      </c>
      <c r="AB331">
        <f>IFERROR(VLOOKUP($A331,[5]库存使用数据!$A:$D,4,0),"")</f>
        <v>1.29</v>
      </c>
      <c r="AC331">
        <f>IFERROR(VLOOKUP($A331,[5]库存使用数据!$A:$G,7,0),"")</f>
        <v>2.91</v>
      </c>
      <c r="AD331">
        <f>IFERROR(VLOOKUP($A331,[5]库存使用数据!$A:$J,10,0),"")</f>
        <v>4.11</v>
      </c>
      <c r="AE331">
        <f>IFERROR(VLOOKUP($A331,[5]库存使用数据!$A:$M,13,0),"")</f>
        <v>2.77</v>
      </c>
      <c r="AF331" s="23" t="str">
        <f t="shared" si="98"/>
        <v>无销量广告费为1.29</v>
      </c>
      <c r="AG331" s="23" t="str">
        <f t="shared" si="99"/>
        <v>无销量广告费为2.91</v>
      </c>
      <c r="AH331" s="23" t="str">
        <f t="shared" si="100"/>
        <v>无销量广告费为4.11</v>
      </c>
      <c r="AI331" s="23">
        <f t="shared" si="101"/>
        <v>0.145866245392312</v>
      </c>
      <c r="AJ331">
        <f>IFERROR(VLOOKUP($B331,[1]库存报告使用数据!$A$1:$B$65536,2,0),0)</f>
        <v>4</v>
      </c>
      <c r="AK331">
        <f>IFERROR(VLOOKUP($B331,[1]库存报告使用数据!$A$1:$C$65536,3,0),0)</f>
        <v>7</v>
      </c>
      <c r="AL331">
        <f>IFERROR(VLOOKUP($B331,[1]库存报告使用数据!$A$1:$D$65536,4,0),0)</f>
        <v>4</v>
      </c>
      <c r="AM331">
        <f>IFERROR(VLOOKUP($B331,[1]库存报告使用数据!$A$1:$E$65536,5,0),0)</f>
        <v>6</v>
      </c>
      <c r="AN331" s="23">
        <f t="shared" si="102"/>
        <v>0</v>
      </c>
      <c r="AO331" s="23">
        <f t="shared" si="103"/>
        <v>0</v>
      </c>
      <c r="AP331" s="23">
        <f t="shared" si="104"/>
        <v>0</v>
      </c>
      <c r="AQ331" s="23">
        <f t="shared" si="105"/>
        <v>0.166666666666667</v>
      </c>
      <c r="AR331" s="38">
        <f t="shared" si="90"/>
        <v>0</v>
      </c>
      <c r="AS331" s="38">
        <f t="shared" si="91"/>
        <v>0</v>
      </c>
      <c r="AT331" s="38">
        <f t="shared" si="92"/>
        <v>15</v>
      </c>
      <c r="AU331" s="33" t="str">
        <f t="shared" si="93"/>
        <v>库存为15</v>
      </c>
      <c r="AV331" s="39" t="str">
        <f>IFERROR(时间!$B$4+AU331,"上周无销量")</f>
        <v>上周无销量</v>
      </c>
    </row>
    <row r="332" spans="1:48">
      <c r="A332" s="35" t="s">
        <v>377</v>
      </c>
      <c r="B332" t="str">
        <f>VLOOKUP(A332,'[2]sku-asin（子）'!$A:$B,2,0)</f>
        <v>B078NNZ9M6</v>
      </c>
      <c r="C332" t="str">
        <f>VLOOKUP(A332,'[2]子sku-父sku'!$A:$B,2,0)</f>
        <v>NY-B15021</v>
      </c>
      <c r="D332" s="33">
        <f>IFERROR(VLOOKUP(A332,[3]库存报告使用数据处理!$A:$C,3,0),0)</f>
        <v>0</v>
      </c>
      <c r="E332" s="33">
        <f>IFERROR(VLOOKUP(A332,[3]库存报告使用数据处理!$A:$D,4,0),0)</f>
        <v>0</v>
      </c>
      <c r="F332" s="33">
        <f>IFERROR(VLOOKUP(A332,[3]库存报告使用数据处理!$A:$E,5,0),0)</f>
        <v>0</v>
      </c>
      <c r="G332" s="33">
        <f>IFERROR(VLOOKUP(A332,[3]库存报告使用数据处理!$A:$F,6,0),0)</f>
        <v>0</v>
      </c>
      <c r="H332" s="34">
        <f>IFERROR(VLOOKUP(A332,[3]库存报告使用数据处理!$A:$G,7,0),0)</f>
        <v>0</v>
      </c>
      <c r="I332">
        <f>IFERROR(VLOOKUP(A332,[4]数据处理!$A:$B,2,0),0)</f>
        <v>19</v>
      </c>
      <c r="J332" s="36">
        <f>IFERROR(VLOOKUP(A332,[4]数据处理!$A:$D,4,0),0)</f>
        <v>0</v>
      </c>
      <c r="K332" s="36">
        <f>IFERROR(VLOOKUP(A332,[4]数据处理!$A:$E,5,0),0)</f>
        <v>0</v>
      </c>
      <c r="L332" s="36">
        <f>IFERROR(VLOOKUP(A332,[4]数据处理!$A:$G,7,0),0)</f>
        <v>0</v>
      </c>
      <c r="M332">
        <f t="shared" si="89"/>
        <v>19</v>
      </c>
      <c r="N332">
        <f>IFERROR(VLOOKUP(A332,[4]数据处理!$A:$C,3,0),0)</f>
        <v>0</v>
      </c>
      <c r="O332">
        <f>IFERROR(VLOOKUP($A332,[4]数据处理!$A:$N,14,0),0)</f>
        <v>19</v>
      </c>
      <c r="P332">
        <f>IFERROR(VLOOKUP($A332,[5]库存使用数据!$A:$B,2,0),"")</f>
        <v>1734</v>
      </c>
      <c r="Q332">
        <f>IFERROR(VLOOKUP($A332,[5]库存使用数据!$A:$E,5,0),"")</f>
        <v>939</v>
      </c>
      <c r="R332">
        <f>IFERROR(VLOOKUP($A332,[5]库存使用数据!$A:$H,8,0),"")</f>
        <v>993</v>
      </c>
      <c r="S332">
        <f>IFERROR(VLOOKUP($A332,[5]库存使用数据!$A:$K,11,0),"")</f>
        <v>934</v>
      </c>
      <c r="T332">
        <f>IFERROR(VLOOKUP($A332,[5]库存使用数据!$A:$C,3,0),"")</f>
        <v>9</v>
      </c>
      <c r="U332">
        <f>IFERROR(VLOOKUP($A332,[5]库存使用数据!$A:$F,6,0),"")</f>
        <v>5</v>
      </c>
      <c r="V332">
        <f>IFERROR(VLOOKUP($A332,[5]库存使用数据!$A:$I,9,0),"")</f>
        <v>3</v>
      </c>
      <c r="W332">
        <f>IFERROR(VLOOKUP($A332,[5]库存使用数据!$A:$L,12,0),"")</f>
        <v>1</v>
      </c>
      <c r="X332" s="23">
        <f t="shared" si="94"/>
        <v>0.00519031141868512</v>
      </c>
      <c r="Y332" s="23">
        <f t="shared" si="95"/>
        <v>0.0053248136315229</v>
      </c>
      <c r="Z332" s="23">
        <f t="shared" si="96"/>
        <v>0.00302114803625378</v>
      </c>
      <c r="AA332" s="23">
        <f t="shared" si="97"/>
        <v>0.00107066381156317</v>
      </c>
      <c r="AB332">
        <f>IFERROR(VLOOKUP($A332,[5]库存使用数据!$A:$D,4,0),"")</f>
        <v>2.12</v>
      </c>
      <c r="AC332">
        <f>IFERROR(VLOOKUP($A332,[5]库存使用数据!$A:$G,7,0),"")</f>
        <v>2.67</v>
      </c>
      <c r="AD332">
        <f>IFERROR(VLOOKUP($A332,[5]库存使用数据!$A:$J,10,0),"")</f>
        <v>1.02</v>
      </c>
      <c r="AE332">
        <f>IFERROR(VLOOKUP($A332,[5]库存使用数据!$A:$M,13,0),"")</f>
        <v>0.46</v>
      </c>
      <c r="AF332" s="23" t="str">
        <f t="shared" si="98"/>
        <v>无销量广告费为2.12</v>
      </c>
      <c r="AG332" s="23" t="str">
        <f t="shared" si="99"/>
        <v>无销量广告费为2.67</v>
      </c>
      <c r="AH332" s="23" t="str">
        <f t="shared" si="100"/>
        <v>无销量广告费为1.02</v>
      </c>
      <c r="AI332" s="23" t="str">
        <f t="shared" si="101"/>
        <v>无销量广告费为0.46</v>
      </c>
      <c r="AJ332">
        <f>IFERROR(VLOOKUP($B332,[1]库存报告使用数据!$A$1:$B$65536,2,0),0)</f>
        <v>4</v>
      </c>
      <c r="AK332">
        <f>IFERROR(VLOOKUP($B332,[1]库存报告使用数据!$A$1:$C$65536,3,0),0)</f>
        <v>7</v>
      </c>
      <c r="AL332">
        <f>IFERROR(VLOOKUP($B332,[1]库存报告使用数据!$A$1:$D$65536,4,0),0)</f>
        <v>1</v>
      </c>
      <c r="AM332">
        <f>IFERROR(VLOOKUP($B332,[1]库存报告使用数据!$A$1:$E$65536,5,0),0)</f>
        <v>4</v>
      </c>
      <c r="AN332" s="23">
        <f t="shared" si="102"/>
        <v>0</v>
      </c>
      <c r="AO332" s="23">
        <f t="shared" si="103"/>
        <v>0</v>
      </c>
      <c r="AP332" s="23">
        <f t="shared" si="104"/>
        <v>0</v>
      </c>
      <c r="AQ332" s="23">
        <f t="shared" si="105"/>
        <v>0</v>
      </c>
      <c r="AR332" s="38">
        <f t="shared" si="90"/>
        <v>0</v>
      </c>
      <c r="AS332" s="38">
        <f t="shared" si="91"/>
        <v>0</v>
      </c>
      <c r="AT332" s="38">
        <f t="shared" si="92"/>
        <v>19</v>
      </c>
      <c r="AU332" s="33" t="str">
        <f t="shared" si="93"/>
        <v>库存为19</v>
      </c>
      <c r="AV332" s="39" t="str">
        <f>IFERROR(时间!$B$4+AU332,"上周无销量")</f>
        <v>上周无销量</v>
      </c>
    </row>
    <row r="333" spans="1:48">
      <c r="A333" s="35" t="s">
        <v>378</v>
      </c>
      <c r="B333" t="str">
        <f>VLOOKUP(A333,'[2]sku-asin（子）'!$A:$B,2,0)</f>
        <v>B078WPW9YL</v>
      </c>
      <c r="C333" t="str">
        <f>VLOOKUP(A333,'[2]子sku-父sku'!$A:$B,2,0)</f>
        <v>NK-XUHM001</v>
      </c>
      <c r="D333" s="33">
        <f>IFERROR(VLOOKUP(A333,[3]库存报告使用数据处理!$A:$C,3,0),0)</f>
        <v>0</v>
      </c>
      <c r="E333" s="33">
        <f>IFERROR(VLOOKUP(A333,[3]库存报告使用数据处理!$A:$D,4,0),0)</f>
        <v>0</v>
      </c>
      <c r="F333" s="33">
        <f>IFERROR(VLOOKUP(A333,[3]库存报告使用数据处理!$A:$E,5,0),0)</f>
        <v>0</v>
      </c>
      <c r="G333" s="33">
        <f>IFERROR(VLOOKUP(A333,[3]库存报告使用数据处理!$A:$F,6,0),0)</f>
        <v>0</v>
      </c>
      <c r="H333" s="34">
        <f>IFERROR(VLOOKUP(A333,[3]库存报告使用数据处理!$A:$G,7,0),0)</f>
        <v>0</v>
      </c>
      <c r="I333">
        <f>IFERROR(VLOOKUP(A333,[4]数据处理!$A:$B,2,0),0)</f>
        <v>15</v>
      </c>
      <c r="J333" s="36">
        <f>IFERROR(VLOOKUP(A333,[4]数据处理!$A:$D,4,0),0)</f>
        <v>0</v>
      </c>
      <c r="K333" s="36">
        <f>IFERROR(VLOOKUP(A333,[4]数据处理!$A:$E,5,0),0)</f>
        <v>0</v>
      </c>
      <c r="L333" s="36">
        <f>IFERROR(VLOOKUP(A333,[4]数据处理!$A:$G,7,0),0)</f>
        <v>0</v>
      </c>
      <c r="M333">
        <f t="shared" si="89"/>
        <v>15</v>
      </c>
      <c r="N333">
        <f>IFERROR(VLOOKUP(A333,[4]数据处理!$A:$C,3,0),0)</f>
        <v>0</v>
      </c>
      <c r="O333">
        <f>IFERROR(VLOOKUP($A333,[4]数据处理!$A:$N,14,0),0)</f>
        <v>15</v>
      </c>
      <c r="P333">
        <f>IFERROR(VLOOKUP($A333,[5]库存使用数据!$A:$B,2,0),"")</f>
        <v>164</v>
      </c>
      <c r="Q333">
        <f>IFERROR(VLOOKUP($A333,[5]库存使用数据!$A:$E,5,0),"")</f>
        <v>207</v>
      </c>
      <c r="R333">
        <f>IFERROR(VLOOKUP($A333,[5]库存使用数据!$A:$H,8,0),"")</f>
        <v>620</v>
      </c>
      <c r="S333">
        <f>IFERROR(VLOOKUP($A333,[5]库存使用数据!$A:$K,11,0),"")</f>
        <v>4731</v>
      </c>
      <c r="T333">
        <f>IFERROR(VLOOKUP($A333,[5]库存使用数据!$A:$C,3,0),"")</f>
        <v>0</v>
      </c>
      <c r="U333">
        <f>IFERROR(VLOOKUP($A333,[5]库存使用数据!$A:$F,6,0),"")</f>
        <v>0</v>
      </c>
      <c r="V333">
        <f>IFERROR(VLOOKUP($A333,[5]库存使用数据!$A:$I,9,0),"")</f>
        <v>1</v>
      </c>
      <c r="W333">
        <f>IFERROR(VLOOKUP($A333,[5]库存使用数据!$A:$L,12,0),"")</f>
        <v>3</v>
      </c>
      <c r="X333" s="23">
        <f t="shared" si="94"/>
        <v>0</v>
      </c>
      <c r="Y333" s="23">
        <f t="shared" si="95"/>
        <v>0</v>
      </c>
      <c r="Z333" s="23">
        <f t="shared" si="96"/>
        <v>0.00161290322580645</v>
      </c>
      <c r="AA333" s="23">
        <f t="shared" si="97"/>
        <v>0.000634115409004439</v>
      </c>
      <c r="AB333">
        <f>IFERROR(VLOOKUP($A333,[5]库存使用数据!$A:$D,4,0),"")</f>
        <v>0</v>
      </c>
      <c r="AC333">
        <f>IFERROR(VLOOKUP($A333,[5]库存使用数据!$A:$G,7,0),"")</f>
        <v>0</v>
      </c>
      <c r="AD333">
        <f>IFERROR(VLOOKUP($A333,[5]库存使用数据!$A:$J,10,0),"")</f>
        <v>0.43</v>
      </c>
      <c r="AE333">
        <f>IFERROR(VLOOKUP($A333,[5]库存使用数据!$A:$M,13,0),"")</f>
        <v>1.42</v>
      </c>
      <c r="AF333" s="23" t="str">
        <f t="shared" si="98"/>
        <v/>
      </c>
      <c r="AG333" s="23" t="str">
        <f t="shared" si="99"/>
        <v/>
      </c>
      <c r="AH333" s="23" t="str">
        <f t="shared" si="100"/>
        <v>无销量广告费为0.43</v>
      </c>
      <c r="AI333" s="23" t="str">
        <f t="shared" si="101"/>
        <v>无销量广告费为1.42</v>
      </c>
      <c r="AJ333">
        <f>IFERROR(VLOOKUP($B333,[1]库存报告使用数据!$A$1:$B$65536,2,0),0)</f>
        <v>0</v>
      </c>
      <c r="AK333">
        <f>IFERROR(VLOOKUP($B333,[1]库存报告使用数据!$A$1:$C$65536,3,0),0)</f>
        <v>3</v>
      </c>
      <c r="AL333">
        <f>IFERROR(VLOOKUP($B333,[1]库存报告使用数据!$A$1:$D$65536,4,0),0)</f>
        <v>3</v>
      </c>
      <c r="AM333">
        <f>IFERROR(VLOOKUP($B333,[1]库存报告使用数据!$A$1:$E$65536,5,0),0)</f>
        <v>4</v>
      </c>
      <c r="AN333" s="23" t="str">
        <f t="shared" si="102"/>
        <v/>
      </c>
      <c r="AO333" s="23">
        <f t="shared" si="103"/>
        <v>0</v>
      </c>
      <c r="AP333" s="23">
        <f t="shared" si="104"/>
        <v>0</v>
      </c>
      <c r="AQ333" s="23">
        <f t="shared" si="105"/>
        <v>0</v>
      </c>
      <c r="AR333" s="38">
        <f t="shared" si="90"/>
        <v>0</v>
      </c>
      <c r="AS333" s="38">
        <f t="shared" si="91"/>
        <v>0</v>
      </c>
      <c r="AT333" s="38">
        <f t="shared" si="92"/>
        <v>15</v>
      </c>
      <c r="AU333" s="33" t="str">
        <f t="shared" si="93"/>
        <v>库存为15</v>
      </c>
      <c r="AV333" s="39" t="str">
        <f>IFERROR(时间!$B$4+AU333,"上周无销量")</f>
        <v>上周无销量</v>
      </c>
    </row>
    <row r="334" spans="1:48">
      <c r="A334" s="35" t="s">
        <v>379</v>
      </c>
      <c r="B334" t="str">
        <f>VLOOKUP(A334,'[2]sku-asin（子）'!$A:$B,2,0)</f>
        <v>B078WQN4YQ</v>
      </c>
      <c r="C334" t="str">
        <f>VLOOKUP(A334,'[2]子sku-父sku'!$A:$B,2,0)</f>
        <v>NK-XUHM001</v>
      </c>
      <c r="D334" s="33">
        <f>IFERROR(VLOOKUP(A334,[3]库存报告使用数据处理!$A:$C,3,0),0)</f>
        <v>0</v>
      </c>
      <c r="E334" s="33">
        <f>IFERROR(VLOOKUP(A334,[3]库存报告使用数据处理!$A:$D,4,0),0)</f>
        <v>0</v>
      </c>
      <c r="F334" s="33">
        <f>IFERROR(VLOOKUP(A334,[3]库存报告使用数据处理!$A:$E,5,0),0)</f>
        <v>0</v>
      </c>
      <c r="G334" s="33">
        <f>IFERROR(VLOOKUP(A334,[3]库存报告使用数据处理!$A:$F,6,0),0)</f>
        <v>0</v>
      </c>
      <c r="H334" s="34">
        <f>IFERROR(VLOOKUP(A334,[3]库存报告使用数据处理!$A:$G,7,0),0)</f>
        <v>0</v>
      </c>
      <c r="I334">
        <f>IFERROR(VLOOKUP(A334,[4]数据处理!$A:$B,2,0),0)</f>
        <v>28</v>
      </c>
      <c r="J334" s="36">
        <f>IFERROR(VLOOKUP(A334,[4]数据处理!$A:$D,4,0),0)</f>
        <v>0</v>
      </c>
      <c r="K334" s="36">
        <f>IFERROR(VLOOKUP(A334,[4]数据处理!$A:$E,5,0),0)</f>
        <v>0</v>
      </c>
      <c r="L334" s="36">
        <f>IFERROR(VLOOKUP(A334,[4]数据处理!$A:$G,7,0),0)</f>
        <v>0</v>
      </c>
      <c r="M334">
        <f t="shared" si="89"/>
        <v>28</v>
      </c>
      <c r="N334">
        <f>IFERROR(VLOOKUP(A334,[4]数据处理!$A:$C,3,0),0)</f>
        <v>0</v>
      </c>
      <c r="O334">
        <f>IFERROR(VLOOKUP($A334,[4]数据处理!$A:$N,14,0),0)</f>
        <v>28</v>
      </c>
      <c r="P334">
        <f>IFERROR(VLOOKUP($A334,[5]库存使用数据!$A:$B,2,0),"")</f>
        <v>588</v>
      </c>
      <c r="Q334">
        <f>IFERROR(VLOOKUP($A334,[5]库存使用数据!$A:$E,5,0),"")</f>
        <v>1026</v>
      </c>
      <c r="R334">
        <f>IFERROR(VLOOKUP($A334,[5]库存使用数据!$A:$H,8,0),"")</f>
        <v>732</v>
      </c>
      <c r="S334">
        <f>IFERROR(VLOOKUP($A334,[5]库存使用数据!$A:$K,11,0),"")</f>
        <v>705</v>
      </c>
      <c r="T334">
        <f>IFERROR(VLOOKUP($A334,[5]库存使用数据!$A:$C,3,0),"")</f>
        <v>0</v>
      </c>
      <c r="U334">
        <f>IFERROR(VLOOKUP($A334,[5]库存使用数据!$A:$F,6,0),"")</f>
        <v>0</v>
      </c>
      <c r="V334">
        <f>IFERROR(VLOOKUP($A334,[5]库存使用数据!$A:$I,9,0),"")</f>
        <v>0</v>
      </c>
      <c r="W334">
        <f>IFERROR(VLOOKUP($A334,[5]库存使用数据!$A:$L,12,0),"")</f>
        <v>1</v>
      </c>
      <c r="X334" s="23">
        <f t="shared" si="94"/>
        <v>0</v>
      </c>
      <c r="Y334" s="23">
        <f t="shared" si="95"/>
        <v>0</v>
      </c>
      <c r="Z334" s="23">
        <f t="shared" si="96"/>
        <v>0</v>
      </c>
      <c r="AA334" s="23">
        <f t="shared" si="97"/>
        <v>0.00141843971631206</v>
      </c>
      <c r="AB334">
        <f>IFERROR(VLOOKUP($A334,[5]库存使用数据!$A:$D,4,0),"")</f>
        <v>0</v>
      </c>
      <c r="AC334">
        <f>IFERROR(VLOOKUP($A334,[5]库存使用数据!$A:$G,7,0),"")</f>
        <v>0</v>
      </c>
      <c r="AD334">
        <f>IFERROR(VLOOKUP($A334,[5]库存使用数据!$A:$J,10,0),"")</f>
        <v>0</v>
      </c>
      <c r="AE334">
        <f>IFERROR(VLOOKUP($A334,[5]库存使用数据!$A:$M,13,0),"")</f>
        <v>0.52</v>
      </c>
      <c r="AF334" s="23" t="str">
        <f t="shared" si="98"/>
        <v/>
      </c>
      <c r="AG334" s="23" t="str">
        <f t="shared" si="99"/>
        <v/>
      </c>
      <c r="AH334" s="23" t="str">
        <f t="shared" si="100"/>
        <v/>
      </c>
      <c r="AI334" s="23" t="str">
        <f t="shared" si="101"/>
        <v>无销量广告费为0.52</v>
      </c>
      <c r="AJ334">
        <f>IFERROR(VLOOKUP($B334,[1]库存报告使用数据!$A$1:$B$65536,2,0),0)</f>
        <v>1</v>
      </c>
      <c r="AK334">
        <f>IFERROR(VLOOKUP($B334,[1]库存报告使用数据!$A$1:$C$65536,3,0),0)</f>
        <v>2</v>
      </c>
      <c r="AL334">
        <f>IFERROR(VLOOKUP($B334,[1]库存报告使用数据!$A$1:$D$65536,4,0),0)</f>
        <v>1</v>
      </c>
      <c r="AM334">
        <f>IFERROR(VLOOKUP($B334,[1]库存报告使用数据!$A$1:$E$65536,5,0),0)</f>
        <v>1</v>
      </c>
      <c r="AN334" s="23">
        <f t="shared" si="102"/>
        <v>0</v>
      </c>
      <c r="AO334" s="23">
        <f t="shared" si="103"/>
        <v>0</v>
      </c>
      <c r="AP334" s="23">
        <f t="shared" si="104"/>
        <v>0</v>
      </c>
      <c r="AQ334" s="23">
        <f t="shared" si="105"/>
        <v>0</v>
      </c>
      <c r="AR334" s="38">
        <f t="shared" si="90"/>
        <v>0</v>
      </c>
      <c r="AS334" s="38">
        <f t="shared" si="91"/>
        <v>0</v>
      </c>
      <c r="AT334" s="38">
        <f t="shared" si="92"/>
        <v>28</v>
      </c>
      <c r="AU334" s="33" t="str">
        <f t="shared" si="93"/>
        <v>库存为28</v>
      </c>
      <c r="AV334" s="39" t="str">
        <f>IFERROR(时间!$B$4+AU334,"上周无销量")</f>
        <v>上周无销量</v>
      </c>
    </row>
    <row r="335" spans="1:48">
      <c r="A335" s="35" t="s">
        <v>380</v>
      </c>
      <c r="B335" t="str">
        <f>VLOOKUP(A335,'[2]sku-asin（子）'!$A:$B,2,0)</f>
        <v>B078WQ3MJ9</v>
      </c>
      <c r="C335" t="str">
        <f>VLOOKUP(A335,'[2]子sku-父sku'!$A:$B,2,0)</f>
        <v>NK-XUHM001</v>
      </c>
      <c r="D335" s="33">
        <f>IFERROR(VLOOKUP(A335,[3]库存报告使用数据处理!$A:$C,3,0),0)</f>
        <v>0</v>
      </c>
      <c r="E335" s="33">
        <f>IFERROR(VLOOKUP(A335,[3]库存报告使用数据处理!$A:$D,4,0),0)</f>
        <v>0</v>
      </c>
      <c r="F335" s="33">
        <f>IFERROR(VLOOKUP(A335,[3]库存报告使用数据处理!$A:$E,5,0),0)</f>
        <v>0</v>
      </c>
      <c r="G335" s="33">
        <f>IFERROR(VLOOKUP(A335,[3]库存报告使用数据处理!$A:$F,6,0),0)</f>
        <v>0</v>
      </c>
      <c r="H335" s="34">
        <f>IFERROR(VLOOKUP(A335,[3]库存报告使用数据处理!$A:$G,7,0),0)</f>
        <v>0</v>
      </c>
      <c r="I335">
        <f>IFERROR(VLOOKUP(A335,[4]数据处理!$A:$B,2,0),0)</f>
        <v>30</v>
      </c>
      <c r="J335" s="36">
        <f>IFERROR(VLOOKUP(A335,[4]数据处理!$A:$D,4,0),0)</f>
        <v>0</v>
      </c>
      <c r="K335" s="36">
        <f>IFERROR(VLOOKUP(A335,[4]数据处理!$A:$E,5,0),0)</f>
        <v>0</v>
      </c>
      <c r="L335" s="36">
        <f>IFERROR(VLOOKUP(A335,[4]数据处理!$A:$G,7,0),0)</f>
        <v>0</v>
      </c>
      <c r="M335">
        <f t="shared" si="89"/>
        <v>30</v>
      </c>
      <c r="N335">
        <f>IFERROR(VLOOKUP(A335,[4]数据处理!$A:$C,3,0),0)</f>
        <v>0</v>
      </c>
      <c r="O335">
        <f>IFERROR(VLOOKUP($A335,[4]数据处理!$A:$N,14,0),0)</f>
        <v>30</v>
      </c>
      <c r="P335">
        <f>IFERROR(VLOOKUP($A335,[5]库存使用数据!$A:$B,2,0),"")</f>
        <v>874</v>
      </c>
      <c r="Q335">
        <f>IFERROR(VLOOKUP($A335,[5]库存使用数据!$A:$E,5,0),"")</f>
        <v>3187</v>
      </c>
      <c r="R335">
        <f>IFERROR(VLOOKUP($A335,[5]库存使用数据!$A:$H,8,0),"")</f>
        <v>4585</v>
      </c>
      <c r="S335">
        <f>IFERROR(VLOOKUP($A335,[5]库存使用数据!$A:$K,11,0),"")</f>
        <v>2394</v>
      </c>
      <c r="T335">
        <f>IFERROR(VLOOKUP($A335,[5]库存使用数据!$A:$C,3,0),"")</f>
        <v>2</v>
      </c>
      <c r="U335">
        <f>IFERROR(VLOOKUP($A335,[5]库存使用数据!$A:$F,6,0),"")</f>
        <v>3</v>
      </c>
      <c r="V335">
        <f>IFERROR(VLOOKUP($A335,[5]库存使用数据!$A:$I,9,0),"")</f>
        <v>7</v>
      </c>
      <c r="W335">
        <f>IFERROR(VLOOKUP($A335,[5]库存使用数据!$A:$L,12,0),"")</f>
        <v>0</v>
      </c>
      <c r="X335" s="23">
        <f t="shared" si="94"/>
        <v>0.0022883295194508</v>
      </c>
      <c r="Y335" s="23">
        <f t="shared" si="95"/>
        <v>0.00094132412927518</v>
      </c>
      <c r="Z335" s="23">
        <f t="shared" si="96"/>
        <v>0.00152671755725191</v>
      </c>
      <c r="AA335" s="23">
        <f t="shared" si="97"/>
        <v>0</v>
      </c>
      <c r="AB335">
        <f>IFERROR(VLOOKUP($A335,[5]库存使用数据!$A:$D,4,0),"")</f>
        <v>0.93</v>
      </c>
      <c r="AC335">
        <f>IFERROR(VLOOKUP($A335,[5]库存使用数据!$A:$G,7,0),"")</f>
        <v>1.05</v>
      </c>
      <c r="AD335">
        <f>IFERROR(VLOOKUP($A335,[5]库存使用数据!$A:$J,10,0),"")</f>
        <v>2.47</v>
      </c>
      <c r="AE335">
        <f>IFERROR(VLOOKUP($A335,[5]库存使用数据!$A:$M,13,0),"")</f>
        <v>0</v>
      </c>
      <c r="AF335" s="23" t="str">
        <f t="shared" si="98"/>
        <v>无销量广告费为0.93</v>
      </c>
      <c r="AG335" s="23" t="str">
        <f t="shared" si="99"/>
        <v>无销量广告费为1.05</v>
      </c>
      <c r="AH335" s="23" t="str">
        <f t="shared" si="100"/>
        <v>无销量广告费为2.47</v>
      </c>
      <c r="AI335" s="23" t="str">
        <f t="shared" si="101"/>
        <v/>
      </c>
      <c r="AJ335">
        <f>IFERROR(VLOOKUP($B335,[1]库存报告使用数据!$A$1:$B$65536,2,0),0)</f>
        <v>1</v>
      </c>
      <c r="AK335">
        <f>IFERROR(VLOOKUP($B335,[1]库存报告使用数据!$A$1:$C$65536,3,0),0)</f>
        <v>5</v>
      </c>
      <c r="AL335">
        <f>IFERROR(VLOOKUP($B335,[1]库存报告使用数据!$A$1:$D$65536,4,0),0)</f>
        <v>2</v>
      </c>
      <c r="AM335">
        <f>IFERROR(VLOOKUP($B335,[1]库存报告使用数据!$A$1:$E$65536,5,0),0)</f>
        <v>0</v>
      </c>
      <c r="AN335" s="23">
        <f t="shared" si="102"/>
        <v>0</v>
      </c>
      <c r="AO335" s="23">
        <f t="shared" si="103"/>
        <v>0</v>
      </c>
      <c r="AP335" s="23">
        <f t="shared" si="104"/>
        <v>0</v>
      </c>
      <c r="AQ335" s="23" t="str">
        <f t="shared" si="105"/>
        <v/>
      </c>
      <c r="AR335" s="38">
        <f t="shared" si="90"/>
        <v>0</v>
      </c>
      <c r="AS335" s="38">
        <f t="shared" si="91"/>
        <v>0</v>
      </c>
      <c r="AT335" s="38">
        <f t="shared" si="92"/>
        <v>30</v>
      </c>
      <c r="AU335" s="33" t="str">
        <f t="shared" si="93"/>
        <v>库存为30</v>
      </c>
      <c r="AV335" s="39" t="str">
        <f>IFERROR(时间!$B$4+AU335,"上周无销量")</f>
        <v>上周无销量</v>
      </c>
    </row>
    <row r="336" spans="1:48">
      <c r="A336" s="35" t="s">
        <v>381</v>
      </c>
      <c r="B336" t="str">
        <f>VLOOKUP(A336,'[2]sku-asin（子）'!$A:$B,2,0)</f>
        <v>B078WR4F43</v>
      </c>
      <c r="C336" t="str">
        <f>VLOOKUP(A336,'[2]子sku-父sku'!$A:$B,2,0)</f>
        <v>NK-XUHM001</v>
      </c>
      <c r="D336" s="33">
        <f>IFERROR(VLOOKUP(A336,[3]库存报告使用数据处理!$A:$C,3,0),0)</f>
        <v>0</v>
      </c>
      <c r="E336" s="33">
        <f>IFERROR(VLOOKUP(A336,[3]库存报告使用数据处理!$A:$D,4,0),0)</f>
        <v>0</v>
      </c>
      <c r="F336" s="33">
        <f>IFERROR(VLOOKUP(A336,[3]库存报告使用数据处理!$A:$E,5,0),0)</f>
        <v>0</v>
      </c>
      <c r="G336" s="33">
        <f>IFERROR(VLOOKUP(A336,[3]库存报告使用数据处理!$A:$F,6,0),0)</f>
        <v>0</v>
      </c>
      <c r="H336" s="34">
        <f>IFERROR(VLOOKUP(A336,[3]库存报告使用数据处理!$A:$G,7,0),0)</f>
        <v>0</v>
      </c>
      <c r="I336">
        <f>IFERROR(VLOOKUP(A336,[4]数据处理!$A:$B,2,0),0)</f>
        <v>13</v>
      </c>
      <c r="J336" s="36">
        <f>IFERROR(VLOOKUP(A336,[4]数据处理!$A:$D,4,0),0)</f>
        <v>0</v>
      </c>
      <c r="K336" s="36">
        <f>IFERROR(VLOOKUP(A336,[4]数据处理!$A:$E,5,0),0)</f>
        <v>0</v>
      </c>
      <c r="L336" s="36">
        <f>IFERROR(VLOOKUP(A336,[4]数据处理!$A:$G,7,0),0)</f>
        <v>0</v>
      </c>
      <c r="M336">
        <f t="shared" si="89"/>
        <v>13</v>
      </c>
      <c r="N336">
        <f>IFERROR(VLOOKUP(A336,[4]数据处理!$A:$C,3,0),0)</f>
        <v>0</v>
      </c>
      <c r="O336">
        <f>IFERROR(VLOOKUP($A336,[4]数据处理!$A:$N,14,0),0)</f>
        <v>13</v>
      </c>
      <c r="P336">
        <f>IFERROR(VLOOKUP($A336,[5]库存使用数据!$A:$B,2,0),"")</f>
        <v>815</v>
      </c>
      <c r="Q336">
        <f>IFERROR(VLOOKUP($A336,[5]库存使用数据!$A:$E,5,0),"")</f>
        <v>2416</v>
      </c>
      <c r="R336">
        <f>IFERROR(VLOOKUP($A336,[5]库存使用数据!$A:$H,8,0),"")</f>
        <v>1953</v>
      </c>
      <c r="S336">
        <f>IFERROR(VLOOKUP($A336,[5]库存使用数据!$A:$K,11,0),"")</f>
        <v>772</v>
      </c>
      <c r="T336">
        <f>IFERROR(VLOOKUP($A336,[5]库存使用数据!$A:$C,3,0),"")</f>
        <v>3</v>
      </c>
      <c r="U336">
        <f>IFERROR(VLOOKUP($A336,[5]库存使用数据!$A:$F,6,0),"")</f>
        <v>6</v>
      </c>
      <c r="V336">
        <f>IFERROR(VLOOKUP($A336,[5]库存使用数据!$A:$I,9,0),"")</f>
        <v>3</v>
      </c>
      <c r="W336">
        <f>IFERROR(VLOOKUP($A336,[5]库存使用数据!$A:$L,12,0),"")</f>
        <v>1</v>
      </c>
      <c r="X336" s="23">
        <f t="shared" si="94"/>
        <v>0.00368098159509202</v>
      </c>
      <c r="Y336" s="23">
        <f t="shared" si="95"/>
        <v>0.00248344370860927</v>
      </c>
      <c r="Z336" s="23">
        <f t="shared" si="96"/>
        <v>0.00153609831029186</v>
      </c>
      <c r="AA336" s="23">
        <f t="shared" si="97"/>
        <v>0.00129533678756477</v>
      </c>
      <c r="AB336">
        <f>IFERROR(VLOOKUP($A336,[5]库存使用数据!$A:$D,4,0),"")</f>
        <v>1.32</v>
      </c>
      <c r="AC336">
        <f>IFERROR(VLOOKUP($A336,[5]库存使用数据!$A:$G,7,0),"")</f>
        <v>2.31</v>
      </c>
      <c r="AD336">
        <f>IFERROR(VLOOKUP($A336,[5]库存使用数据!$A:$J,10,0),"")</f>
        <v>1.69</v>
      </c>
      <c r="AE336">
        <f>IFERROR(VLOOKUP($A336,[5]库存使用数据!$A:$M,13,0),"")</f>
        <v>0.26</v>
      </c>
      <c r="AF336" s="23" t="str">
        <f t="shared" si="98"/>
        <v>无销量广告费为1.32</v>
      </c>
      <c r="AG336" s="23" t="str">
        <f t="shared" si="99"/>
        <v>无销量广告费为2.31</v>
      </c>
      <c r="AH336" s="23" t="str">
        <f t="shared" si="100"/>
        <v>无销量广告费为1.69</v>
      </c>
      <c r="AI336" s="23" t="str">
        <f t="shared" si="101"/>
        <v>无销量广告费为0.26</v>
      </c>
      <c r="AJ336">
        <f>IFERROR(VLOOKUP($B336,[1]库存报告使用数据!$A$1:$B$65536,2,0),0)</f>
        <v>1</v>
      </c>
      <c r="AK336">
        <f>IFERROR(VLOOKUP($B336,[1]库存报告使用数据!$A$1:$C$65536,3,0),0)</f>
        <v>3</v>
      </c>
      <c r="AL336">
        <f>IFERROR(VLOOKUP($B336,[1]库存报告使用数据!$A$1:$D$65536,4,0),0)</f>
        <v>1</v>
      </c>
      <c r="AM336">
        <f>IFERROR(VLOOKUP($B336,[1]库存报告使用数据!$A$1:$E$65536,5,0),0)</f>
        <v>1</v>
      </c>
      <c r="AN336" s="23">
        <f t="shared" si="102"/>
        <v>0</v>
      </c>
      <c r="AO336" s="23">
        <f t="shared" si="103"/>
        <v>0</v>
      </c>
      <c r="AP336" s="23">
        <f t="shared" si="104"/>
        <v>0</v>
      </c>
      <c r="AQ336" s="23">
        <f t="shared" si="105"/>
        <v>0</v>
      </c>
      <c r="AR336" s="38">
        <f t="shared" si="90"/>
        <v>0</v>
      </c>
      <c r="AS336" s="38">
        <f t="shared" si="91"/>
        <v>0</v>
      </c>
      <c r="AT336" s="38">
        <f t="shared" si="92"/>
        <v>13</v>
      </c>
      <c r="AU336" s="33" t="str">
        <f t="shared" si="93"/>
        <v>库存为13</v>
      </c>
      <c r="AV336" s="39" t="str">
        <f>IFERROR(时间!$B$4+AU336,"上周无销量")</f>
        <v>上周无销量</v>
      </c>
    </row>
    <row r="337" spans="1:48">
      <c r="A337" s="35" t="s">
        <v>382</v>
      </c>
      <c r="B337" t="str">
        <f>VLOOKUP(A337,'[2]sku-asin（子）'!$A:$B,2,0)</f>
        <v>B078WRDL9P</v>
      </c>
      <c r="C337" t="str">
        <f>VLOOKUP(A337,'[2]子sku-父sku'!$A:$B,2,0)</f>
        <v>NK-XUHM001</v>
      </c>
      <c r="D337" s="33">
        <f>IFERROR(VLOOKUP(A337,[3]库存报告使用数据处理!$A:$C,3,0),0)</f>
        <v>0</v>
      </c>
      <c r="E337" s="33">
        <f>IFERROR(VLOOKUP(A337,[3]库存报告使用数据处理!$A:$D,4,0),0)</f>
        <v>0</v>
      </c>
      <c r="F337" s="33">
        <f>IFERROR(VLOOKUP(A337,[3]库存报告使用数据处理!$A:$E,5,0),0)</f>
        <v>0</v>
      </c>
      <c r="G337" s="33">
        <f>IFERROR(VLOOKUP(A337,[3]库存报告使用数据处理!$A:$F,6,0),0)</f>
        <v>0</v>
      </c>
      <c r="H337" s="34">
        <f>IFERROR(VLOOKUP(A337,[3]库存报告使用数据处理!$A:$G,7,0),0)</f>
        <v>0</v>
      </c>
      <c r="I337">
        <f>IFERROR(VLOOKUP(A337,[4]数据处理!$A:$B,2,0),0)</f>
        <v>9</v>
      </c>
      <c r="J337" s="36">
        <f>IFERROR(VLOOKUP(A337,[4]数据处理!$A:$D,4,0),0)</f>
        <v>0</v>
      </c>
      <c r="K337" s="36">
        <f>IFERROR(VLOOKUP(A337,[4]数据处理!$A:$E,5,0),0)</f>
        <v>0</v>
      </c>
      <c r="L337" s="36">
        <f>IFERROR(VLOOKUP(A337,[4]数据处理!$A:$G,7,0),0)</f>
        <v>0</v>
      </c>
      <c r="M337">
        <f t="shared" si="89"/>
        <v>9</v>
      </c>
      <c r="N337">
        <f>IFERROR(VLOOKUP(A337,[4]数据处理!$A:$C,3,0),0)</f>
        <v>0</v>
      </c>
      <c r="O337">
        <f>IFERROR(VLOOKUP($A337,[4]数据处理!$A:$N,14,0),0)</f>
        <v>9</v>
      </c>
      <c r="P337">
        <f>IFERROR(VLOOKUP($A337,[5]库存使用数据!$A:$B,2,0),"")</f>
        <v>842</v>
      </c>
      <c r="Q337">
        <f>IFERROR(VLOOKUP($A337,[5]库存使用数据!$A:$E,5,0),"")</f>
        <v>829</v>
      </c>
      <c r="R337">
        <f>IFERROR(VLOOKUP($A337,[5]库存使用数据!$A:$H,8,0),"")</f>
        <v>363</v>
      </c>
      <c r="S337">
        <f>IFERROR(VLOOKUP($A337,[5]库存使用数据!$A:$K,11,0),"")</f>
        <v>564</v>
      </c>
      <c r="T337">
        <f>IFERROR(VLOOKUP($A337,[5]库存使用数据!$A:$C,3,0),"")</f>
        <v>1</v>
      </c>
      <c r="U337">
        <f>IFERROR(VLOOKUP($A337,[5]库存使用数据!$A:$F,6,0),"")</f>
        <v>1</v>
      </c>
      <c r="V337">
        <f>IFERROR(VLOOKUP($A337,[5]库存使用数据!$A:$I,9,0),"")</f>
        <v>0</v>
      </c>
      <c r="W337">
        <f>IFERROR(VLOOKUP($A337,[5]库存使用数据!$A:$L,12,0),"")</f>
        <v>1</v>
      </c>
      <c r="X337" s="23">
        <f t="shared" si="94"/>
        <v>0.00118764845605701</v>
      </c>
      <c r="Y337" s="23">
        <f t="shared" si="95"/>
        <v>0.00120627261761158</v>
      </c>
      <c r="Z337" s="23">
        <f t="shared" si="96"/>
        <v>0</v>
      </c>
      <c r="AA337" s="23">
        <f t="shared" si="97"/>
        <v>0.00177304964539007</v>
      </c>
      <c r="AB337">
        <f>IFERROR(VLOOKUP($A337,[5]库存使用数据!$A:$D,4,0),"")</f>
        <v>0.71</v>
      </c>
      <c r="AC337">
        <f>IFERROR(VLOOKUP($A337,[5]库存使用数据!$A:$G,7,0),"")</f>
        <v>0.23</v>
      </c>
      <c r="AD337">
        <f>IFERROR(VLOOKUP($A337,[5]库存使用数据!$A:$J,10,0),"")</f>
        <v>0</v>
      </c>
      <c r="AE337">
        <f>IFERROR(VLOOKUP($A337,[5]库存使用数据!$A:$M,13,0),"")</f>
        <v>0.55</v>
      </c>
      <c r="AF337" s="23" t="str">
        <f t="shared" si="98"/>
        <v>无销量广告费为0.71</v>
      </c>
      <c r="AG337" s="23" t="str">
        <f t="shared" si="99"/>
        <v>无销量广告费为0.23</v>
      </c>
      <c r="AH337" s="23" t="str">
        <f t="shared" si="100"/>
        <v/>
      </c>
      <c r="AI337" s="23" t="str">
        <f t="shared" si="101"/>
        <v>无销量广告费为0.55</v>
      </c>
      <c r="AJ337">
        <f>IFERROR(VLOOKUP($B337,[1]库存报告使用数据!$A$1:$B$65536,2,0),0)</f>
        <v>0</v>
      </c>
      <c r="AK337">
        <f>IFERROR(VLOOKUP($B337,[1]库存报告使用数据!$A$1:$C$65536,3,0),0)</f>
        <v>0</v>
      </c>
      <c r="AL337">
        <f>IFERROR(VLOOKUP($B337,[1]库存报告使用数据!$A$1:$D$65536,4,0),0)</f>
        <v>0</v>
      </c>
      <c r="AM337">
        <f>IFERROR(VLOOKUP($B337,[1]库存报告使用数据!$A$1:$E$65536,5,0),0)</f>
        <v>0</v>
      </c>
      <c r="AN337" s="23" t="str">
        <f t="shared" si="102"/>
        <v/>
      </c>
      <c r="AO337" s="23" t="str">
        <f t="shared" si="103"/>
        <v/>
      </c>
      <c r="AP337" s="23" t="str">
        <f t="shared" si="104"/>
        <v/>
      </c>
      <c r="AQ337" s="23" t="str">
        <f t="shared" si="105"/>
        <v/>
      </c>
      <c r="AR337" s="38">
        <f t="shared" si="90"/>
        <v>0</v>
      </c>
      <c r="AS337" s="38">
        <f t="shared" si="91"/>
        <v>0</v>
      </c>
      <c r="AT337" s="38">
        <f t="shared" si="92"/>
        <v>9</v>
      </c>
      <c r="AU337" s="33" t="str">
        <f t="shared" si="93"/>
        <v>库存为9</v>
      </c>
      <c r="AV337" s="39" t="str">
        <f>IFERROR(时间!$B$4+AU337,"上周无销量")</f>
        <v>上周无销量</v>
      </c>
    </row>
    <row r="338" spans="1:48">
      <c r="A338" s="35" t="s">
        <v>383</v>
      </c>
      <c r="B338" t="str">
        <f>VLOOKUP(A338,'[2]sku-asin（子）'!$A:$B,2,0)</f>
        <v>B07BKR7DCF</v>
      </c>
      <c r="C338" t="str">
        <f>VLOOKUP(A338,'[2]子sku-父sku'!$A:$B,2,0)</f>
        <v>NY-B15021</v>
      </c>
      <c r="D338" s="33">
        <f>IFERROR(VLOOKUP(A338,[3]库存报告使用数据处理!$A:$C,3,0),0)</f>
        <v>1</v>
      </c>
      <c r="E338" s="33">
        <f>IFERROR(VLOOKUP(A338,[3]库存报告使用数据处理!$A:$D,4,0),0)</f>
        <v>2</v>
      </c>
      <c r="F338" s="33">
        <f>IFERROR(VLOOKUP(A338,[3]库存报告使用数据处理!$A:$E,5,0),0)</f>
        <v>0</v>
      </c>
      <c r="G338" s="33">
        <f>IFERROR(VLOOKUP(A338,[3]库存报告使用数据处理!$A:$F,6,0),0)</f>
        <v>0</v>
      </c>
      <c r="H338" s="34">
        <f>IFERROR(VLOOKUP(A338,[3]库存报告使用数据处理!$A:$G,7,0),0)</f>
        <v>16.99</v>
      </c>
      <c r="I338">
        <f>IFERROR(VLOOKUP(A338,[4]数据处理!$A:$B,2,0),0)</f>
        <v>30</v>
      </c>
      <c r="J338" s="36">
        <f>IFERROR(VLOOKUP(A338,[4]数据处理!$A:$D,4,0),0)</f>
        <v>0</v>
      </c>
      <c r="K338" s="36">
        <f>IFERROR(VLOOKUP(A338,[4]数据处理!$A:$E,5,0),0)</f>
        <v>0</v>
      </c>
      <c r="L338" s="36">
        <f>IFERROR(VLOOKUP(A338,[4]数据处理!$A:$G,7,0),0)</f>
        <v>1</v>
      </c>
      <c r="M338">
        <f t="shared" si="89"/>
        <v>31</v>
      </c>
      <c r="N338">
        <f>IFERROR(VLOOKUP(A338,[4]数据处理!$A:$C,3,0),0)</f>
        <v>0</v>
      </c>
      <c r="O338">
        <f>IFERROR(VLOOKUP($A338,[4]数据处理!$A:$N,14,0),0)</f>
        <v>30</v>
      </c>
      <c r="P338">
        <f>IFERROR(VLOOKUP($A338,[5]库存使用数据!$A:$B,2,0),"")</f>
        <v>892</v>
      </c>
      <c r="Q338">
        <f>IFERROR(VLOOKUP($A338,[5]库存使用数据!$A:$E,5,0),"")</f>
        <v>2657</v>
      </c>
      <c r="R338">
        <f>IFERROR(VLOOKUP($A338,[5]库存使用数据!$A:$H,8,0),"")</f>
        <v>2505</v>
      </c>
      <c r="S338">
        <f>IFERROR(VLOOKUP($A338,[5]库存使用数据!$A:$K,11,0),"")</f>
        <v>1092</v>
      </c>
      <c r="T338">
        <f>IFERROR(VLOOKUP($A338,[5]库存使用数据!$A:$C,3,0),"")</f>
        <v>2</v>
      </c>
      <c r="U338">
        <f>IFERROR(VLOOKUP($A338,[5]库存使用数据!$A:$F,6,0),"")</f>
        <v>5</v>
      </c>
      <c r="V338">
        <f>IFERROR(VLOOKUP($A338,[5]库存使用数据!$A:$I,9,0),"")</f>
        <v>5</v>
      </c>
      <c r="W338">
        <f>IFERROR(VLOOKUP($A338,[5]库存使用数据!$A:$L,12,0),"")</f>
        <v>3</v>
      </c>
      <c r="X338" s="23">
        <f t="shared" si="94"/>
        <v>0.00224215246636771</v>
      </c>
      <c r="Y338" s="23">
        <f t="shared" si="95"/>
        <v>0.00188182160331201</v>
      </c>
      <c r="Z338" s="23">
        <f t="shared" si="96"/>
        <v>0.00199600798403194</v>
      </c>
      <c r="AA338" s="23">
        <f t="shared" si="97"/>
        <v>0.00274725274725275</v>
      </c>
      <c r="AB338">
        <f>IFERROR(VLOOKUP($A338,[5]库存使用数据!$A:$D,4,0),"")</f>
        <v>0.82</v>
      </c>
      <c r="AC338">
        <f>IFERROR(VLOOKUP($A338,[5]库存使用数据!$A:$G,7,0),"")</f>
        <v>1.35</v>
      </c>
      <c r="AD338">
        <f>IFERROR(VLOOKUP($A338,[5]库存使用数据!$A:$J,10,0),"")</f>
        <v>1.96</v>
      </c>
      <c r="AE338">
        <f>IFERROR(VLOOKUP($A338,[5]库存使用数据!$A:$M,13,0),"")</f>
        <v>1.04</v>
      </c>
      <c r="AF338" s="23">
        <f t="shared" si="98"/>
        <v>0.0482636845203061</v>
      </c>
      <c r="AG338" s="23">
        <f t="shared" si="99"/>
        <v>0.0397292525014715</v>
      </c>
      <c r="AH338" s="23" t="str">
        <f t="shared" si="100"/>
        <v>无销量广告费为1.96</v>
      </c>
      <c r="AI338" s="23" t="str">
        <f t="shared" si="101"/>
        <v>无销量广告费为1.04</v>
      </c>
      <c r="AJ338">
        <f>IFERROR(VLOOKUP($B338,[1]库存报告使用数据!$A$1:$B$65536,2,0),0)</f>
        <v>12</v>
      </c>
      <c r="AK338">
        <f>IFERROR(VLOOKUP($B338,[1]库存报告使用数据!$A$1:$C$65536,3,0),0)</f>
        <v>6</v>
      </c>
      <c r="AL338">
        <f>IFERROR(VLOOKUP($B338,[1]库存报告使用数据!$A$1:$D$65536,4,0),0)</f>
        <v>7</v>
      </c>
      <c r="AM338">
        <f>IFERROR(VLOOKUP($B338,[1]库存报告使用数据!$A$1:$E$65536,5,0),0)</f>
        <v>6</v>
      </c>
      <c r="AN338" s="23">
        <f t="shared" si="102"/>
        <v>0.0833333333333333</v>
      </c>
      <c r="AO338" s="23">
        <f t="shared" si="103"/>
        <v>0.333333333333333</v>
      </c>
      <c r="AP338" s="23">
        <f t="shared" si="104"/>
        <v>0</v>
      </c>
      <c r="AQ338" s="23">
        <f t="shared" si="105"/>
        <v>0</v>
      </c>
      <c r="AR338" s="38">
        <f t="shared" si="90"/>
        <v>0.142857142857143</v>
      </c>
      <c r="AS338" s="38">
        <f t="shared" si="91"/>
        <v>8.57142857142857</v>
      </c>
      <c r="AT338" s="38">
        <f t="shared" si="92"/>
        <v>22.4285714285714</v>
      </c>
      <c r="AU338" s="33">
        <f t="shared" si="93"/>
        <v>217</v>
      </c>
      <c r="AV338" s="39">
        <f>IFERROR(时间!$B$4+AU338,"上周无销量")</f>
        <v>43507</v>
      </c>
    </row>
    <row r="339" spans="1:48">
      <c r="A339" s="35" t="s">
        <v>384</v>
      </c>
      <c r="B339" t="str">
        <f>VLOOKUP(A339,'[2]sku-asin（子）'!$A:$B,2,0)</f>
        <v>B07BKT1Y4D</v>
      </c>
      <c r="C339" t="str">
        <f>VLOOKUP(A339,'[2]子sku-父sku'!$A:$B,2,0)</f>
        <v>NY-B15021</v>
      </c>
      <c r="D339" s="33">
        <f>IFERROR(VLOOKUP(A339,[3]库存报告使用数据处理!$A:$C,3,0),0)</f>
        <v>1</v>
      </c>
      <c r="E339" s="33">
        <f>IFERROR(VLOOKUP(A339,[3]库存报告使用数据处理!$A:$D,4,0),0)</f>
        <v>0</v>
      </c>
      <c r="F339" s="33">
        <f>IFERROR(VLOOKUP(A339,[3]库存报告使用数据处理!$A:$E,5,0),0)</f>
        <v>0</v>
      </c>
      <c r="G339" s="33">
        <f>IFERROR(VLOOKUP(A339,[3]库存报告使用数据处理!$A:$F,6,0),0)</f>
        <v>0</v>
      </c>
      <c r="H339" s="34">
        <f>IFERROR(VLOOKUP(A339,[3]库存报告使用数据处理!$A:$G,7,0),0)</f>
        <v>16.99</v>
      </c>
      <c r="I339">
        <f>IFERROR(VLOOKUP(A339,[4]数据处理!$A:$B,2,0),0)</f>
        <v>15</v>
      </c>
      <c r="J339" s="36">
        <f>IFERROR(VLOOKUP(A339,[4]数据处理!$A:$D,4,0),0)</f>
        <v>0</v>
      </c>
      <c r="K339" s="36">
        <f>IFERROR(VLOOKUP(A339,[4]数据处理!$A:$E,5,0),0)</f>
        <v>0</v>
      </c>
      <c r="L339" s="36">
        <f>IFERROR(VLOOKUP(A339,[4]数据处理!$A:$G,7,0),0)</f>
        <v>0</v>
      </c>
      <c r="M339">
        <f t="shared" si="89"/>
        <v>15</v>
      </c>
      <c r="N339">
        <f>IFERROR(VLOOKUP(A339,[4]数据处理!$A:$C,3,0),0)</f>
        <v>0</v>
      </c>
      <c r="O339">
        <f>IFERROR(VLOOKUP($A339,[4]数据处理!$A:$N,14,0),0)</f>
        <v>16</v>
      </c>
      <c r="P339">
        <f>IFERROR(VLOOKUP($A339,[5]库存使用数据!$A:$B,2,0),"")</f>
        <v>214</v>
      </c>
      <c r="Q339">
        <f>IFERROR(VLOOKUP($A339,[5]库存使用数据!$A:$E,5,0),"")</f>
        <v>381</v>
      </c>
      <c r="R339">
        <f>IFERROR(VLOOKUP($A339,[5]库存使用数据!$A:$H,8,0),"")</f>
        <v>482</v>
      </c>
      <c r="S339">
        <f>IFERROR(VLOOKUP($A339,[5]库存使用数据!$A:$K,11,0),"")</f>
        <v>501</v>
      </c>
      <c r="T339">
        <f>IFERROR(VLOOKUP($A339,[5]库存使用数据!$A:$C,3,0),"")</f>
        <v>2</v>
      </c>
      <c r="U339">
        <f>IFERROR(VLOOKUP($A339,[5]库存使用数据!$A:$F,6,0),"")</f>
        <v>1</v>
      </c>
      <c r="V339">
        <f>IFERROR(VLOOKUP($A339,[5]库存使用数据!$A:$I,9,0),"")</f>
        <v>0</v>
      </c>
      <c r="W339">
        <f>IFERROR(VLOOKUP($A339,[5]库存使用数据!$A:$L,12,0),"")</f>
        <v>1</v>
      </c>
      <c r="X339" s="23">
        <f t="shared" si="94"/>
        <v>0.00934579439252336</v>
      </c>
      <c r="Y339" s="23">
        <f t="shared" si="95"/>
        <v>0.0026246719160105</v>
      </c>
      <c r="Z339" s="23">
        <f t="shared" si="96"/>
        <v>0</v>
      </c>
      <c r="AA339" s="23">
        <f t="shared" si="97"/>
        <v>0.00199600798403194</v>
      </c>
      <c r="AB339">
        <f>IFERROR(VLOOKUP($A339,[5]库存使用数据!$A:$D,4,0),"")</f>
        <v>0.47</v>
      </c>
      <c r="AC339">
        <f>IFERROR(VLOOKUP($A339,[5]库存使用数据!$A:$G,7,0),"")</f>
        <v>0.6</v>
      </c>
      <c r="AD339">
        <f>IFERROR(VLOOKUP($A339,[5]库存使用数据!$A:$J,10,0),"")</f>
        <v>0</v>
      </c>
      <c r="AE339">
        <f>IFERROR(VLOOKUP($A339,[5]库存使用数据!$A:$M,13,0),"")</f>
        <v>0.41</v>
      </c>
      <c r="AF339" s="23">
        <f t="shared" si="98"/>
        <v>0.0276633313713949</v>
      </c>
      <c r="AG339" s="23" t="str">
        <f t="shared" si="99"/>
        <v>无销量广告费为0.6</v>
      </c>
      <c r="AH339" s="23" t="str">
        <f t="shared" si="100"/>
        <v/>
      </c>
      <c r="AI339" s="23" t="str">
        <f t="shared" si="101"/>
        <v>无销量广告费为0.41</v>
      </c>
      <c r="AJ339">
        <f>IFERROR(VLOOKUP($B339,[1]库存报告使用数据!$A$1:$B$65536,2,0),0)</f>
        <v>3</v>
      </c>
      <c r="AK339">
        <f>IFERROR(VLOOKUP($B339,[1]库存报告使用数据!$A$1:$C$65536,3,0),0)</f>
        <v>5</v>
      </c>
      <c r="AL339">
        <f>IFERROR(VLOOKUP($B339,[1]库存报告使用数据!$A$1:$D$65536,4,0),0)</f>
        <v>1</v>
      </c>
      <c r="AM339">
        <f>IFERROR(VLOOKUP($B339,[1]库存报告使用数据!$A$1:$E$65536,5,0),0)</f>
        <v>4</v>
      </c>
      <c r="AN339" s="23">
        <f t="shared" si="102"/>
        <v>0.333333333333333</v>
      </c>
      <c r="AO339" s="23">
        <f t="shared" si="103"/>
        <v>0</v>
      </c>
      <c r="AP339" s="23">
        <f t="shared" si="104"/>
        <v>0</v>
      </c>
      <c r="AQ339" s="23">
        <f t="shared" si="105"/>
        <v>0</v>
      </c>
      <c r="AR339" s="38">
        <f t="shared" si="90"/>
        <v>0.142857142857143</v>
      </c>
      <c r="AS339" s="38">
        <f t="shared" si="91"/>
        <v>8.57142857142857</v>
      </c>
      <c r="AT339" s="38">
        <f t="shared" si="92"/>
        <v>6.42857142857143</v>
      </c>
      <c r="AU339" s="33">
        <f t="shared" si="93"/>
        <v>105</v>
      </c>
      <c r="AV339" s="39">
        <f>IFERROR(时间!$B$4+AU339,"上周无销量")</f>
        <v>43395</v>
      </c>
    </row>
    <row r="340" spans="1:48">
      <c r="A340" s="35" t="s">
        <v>385</v>
      </c>
      <c r="B340" t="str">
        <f>VLOOKUP(A340,'[2]sku-asin（子）'!$A:$B,2,0)</f>
        <v>B07BKNH45J</v>
      </c>
      <c r="C340" t="str">
        <f>VLOOKUP(A340,'[2]子sku-父sku'!$A:$B,2,0)</f>
        <v>NY-B15021</v>
      </c>
      <c r="D340" s="33">
        <f>IFERROR(VLOOKUP(A340,[3]库存报告使用数据处理!$A:$C,3,0),0)</f>
        <v>0</v>
      </c>
      <c r="E340" s="33">
        <f>IFERROR(VLOOKUP(A340,[3]库存报告使用数据处理!$A:$D,4,0),0)</f>
        <v>0</v>
      </c>
      <c r="F340" s="33">
        <f>IFERROR(VLOOKUP(A340,[3]库存报告使用数据处理!$A:$E,5,0),0)</f>
        <v>0</v>
      </c>
      <c r="G340" s="33">
        <f>IFERROR(VLOOKUP(A340,[3]库存报告使用数据处理!$A:$F,6,0),0)</f>
        <v>0</v>
      </c>
      <c r="H340" s="34">
        <f>IFERROR(VLOOKUP(A340,[3]库存报告使用数据处理!$A:$G,7,0),0)</f>
        <v>0</v>
      </c>
      <c r="I340">
        <f>IFERROR(VLOOKUP(A340,[4]数据处理!$A:$B,2,0),0)</f>
        <v>3</v>
      </c>
      <c r="J340" s="36">
        <f>IFERROR(VLOOKUP(A340,[4]数据处理!$A:$D,4,0),0)</f>
        <v>0</v>
      </c>
      <c r="K340" s="36">
        <f>IFERROR(VLOOKUP(A340,[4]数据处理!$A:$E,5,0),0)</f>
        <v>0</v>
      </c>
      <c r="L340" s="36">
        <f>IFERROR(VLOOKUP(A340,[4]数据处理!$A:$G,7,0),0)</f>
        <v>0</v>
      </c>
      <c r="M340">
        <f t="shared" si="89"/>
        <v>3</v>
      </c>
      <c r="N340">
        <f>IFERROR(VLOOKUP(A340,[4]数据处理!$A:$C,3,0),0)</f>
        <v>0</v>
      </c>
      <c r="O340">
        <f>IFERROR(VLOOKUP($A340,[4]数据处理!$A:$N,14,0),0)</f>
        <v>3</v>
      </c>
      <c r="P340">
        <f>IFERROR(VLOOKUP($A340,[5]库存使用数据!$A:$B,2,0),"")</f>
        <v>889</v>
      </c>
      <c r="Q340">
        <f>IFERROR(VLOOKUP($A340,[5]库存使用数据!$A:$E,5,0),"")</f>
        <v>2827</v>
      </c>
      <c r="R340">
        <f>IFERROR(VLOOKUP($A340,[5]库存使用数据!$A:$H,8,0),"")</f>
        <v>1772</v>
      </c>
      <c r="S340">
        <f>IFERROR(VLOOKUP($A340,[5]库存使用数据!$A:$K,11,0),"")</f>
        <v>839</v>
      </c>
      <c r="T340">
        <f>IFERROR(VLOOKUP($A340,[5]库存使用数据!$A:$C,3,0),"")</f>
        <v>1</v>
      </c>
      <c r="U340">
        <f>IFERROR(VLOOKUP($A340,[5]库存使用数据!$A:$F,6,0),"")</f>
        <v>2</v>
      </c>
      <c r="V340">
        <f>IFERROR(VLOOKUP($A340,[5]库存使用数据!$A:$I,9,0),"")</f>
        <v>7</v>
      </c>
      <c r="W340">
        <f>IFERROR(VLOOKUP($A340,[5]库存使用数据!$A:$L,12,0),"")</f>
        <v>4</v>
      </c>
      <c r="X340" s="23">
        <f t="shared" si="94"/>
        <v>0.00112485939257593</v>
      </c>
      <c r="Y340" s="23">
        <f t="shared" si="95"/>
        <v>0.000707463742483198</v>
      </c>
      <c r="Z340" s="23">
        <f t="shared" si="96"/>
        <v>0.00395033860045147</v>
      </c>
      <c r="AA340" s="23">
        <f t="shared" si="97"/>
        <v>0.00476758045292014</v>
      </c>
      <c r="AB340">
        <f>IFERROR(VLOOKUP($A340,[5]库存使用数据!$A:$D,4,0),"")</f>
        <v>0.23</v>
      </c>
      <c r="AC340">
        <f>IFERROR(VLOOKUP($A340,[5]库存使用数据!$A:$G,7,0),"")</f>
        <v>0.79</v>
      </c>
      <c r="AD340">
        <f>IFERROR(VLOOKUP($A340,[5]库存使用数据!$A:$J,10,0),"")</f>
        <v>2.56</v>
      </c>
      <c r="AE340">
        <f>IFERROR(VLOOKUP($A340,[5]库存使用数据!$A:$M,13,0),"")</f>
        <v>1.47</v>
      </c>
      <c r="AF340" s="23" t="str">
        <f t="shared" si="98"/>
        <v>无销量广告费为0.23</v>
      </c>
      <c r="AG340" s="23" t="str">
        <f t="shared" si="99"/>
        <v>无销量广告费为0.79</v>
      </c>
      <c r="AH340" s="23" t="str">
        <f t="shared" si="100"/>
        <v>无销量广告费为2.56</v>
      </c>
      <c r="AI340" s="23" t="str">
        <f t="shared" si="101"/>
        <v>无销量广告费为1.47</v>
      </c>
      <c r="AJ340">
        <f>IFERROR(VLOOKUP($B340,[1]库存报告使用数据!$A$1:$B$65536,2,0),0)</f>
        <v>4</v>
      </c>
      <c r="AK340">
        <f>IFERROR(VLOOKUP($B340,[1]库存报告使用数据!$A$1:$C$65536,3,0),0)</f>
        <v>4</v>
      </c>
      <c r="AL340">
        <f>IFERROR(VLOOKUP($B340,[1]库存报告使用数据!$A$1:$D$65536,4,0),0)</f>
        <v>4</v>
      </c>
      <c r="AM340">
        <f>IFERROR(VLOOKUP($B340,[1]库存报告使用数据!$A$1:$E$65536,5,0),0)</f>
        <v>3</v>
      </c>
      <c r="AN340" s="23">
        <f t="shared" si="102"/>
        <v>0</v>
      </c>
      <c r="AO340" s="23">
        <f t="shared" si="103"/>
        <v>0</v>
      </c>
      <c r="AP340" s="23">
        <f t="shared" si="104"/>
        <v>0</v>
      </c>
      <c r="AQ340" s="23">
        <f t="shared" si="105"/>
        <v>0</v>
      </c>
      <c r="AR340" s="38">
        <f t="shared" si="90"/>
        <v>0</v>
      </c>
      <c r="AS340" s="38">
        <f t="shared" si="91"/>
        <v>0</v>
      </c>
      <c r="AT340" s="38">
        <f t="shared" si="92"/>
        <v>3</v>
      </c>
      <c r="AU340" s="33" t="str">
        <f t="shared" si="93"/>
        <v>库存为3</v>
      </c>
      <c r="AV340" s="39" t="str">
        <f>IFERROR(时间!$B$4+AU340,"上周无销量")</f>
        <v>上周无销量</v>
      </c>
    </row>
    <row r="341" spans="1:48">
      <c r="A341" s="35" t="s">
        <v>386</v>
      </c>
      <c r="B341" t="str">
        <f>VLOOKUP(A341,'[2]sku-asin（子）'!$A:$B,2,0)</f>
        <v>B07BKR7DCG</v>
      </c>
      <c r="C341" t="str">
        <f>VLOOKUP(A341,'[2]子sku-父sku'!$A:$B,2,0)</f>
        <v>NY-B15021</v>
      </c>
      <c r="D341" s="33">
        <f>IFERROR(VLOOKUP(A341,[3]库存报告使用数据处理!$A:$C,3,0),0)</f>
        <v>0</v>
      </c>
      <c r="E341" s="33">
        <f>IFERROR(VLOOKUP(A341,[3]库存报告使用数据处理!$A:$D,4,0),0)</f>
        <v>0</v>
      </c>
      <c r="F341" s="33">
        <f>IFERROR(VLOOKUP(A341,[3]库存报告使用数据处理!$A:$E,5,0),0)</f>
        <v>1</v>
      </c>
      <c r="G341" s="33">
        <f>IFERROR(VLOOKUP(A341,[3]库存报告使用数据处理!$A:$F,6,0),0)</f>
        <v>0</v>
      </c>
      <c r="H341" s="34">
        <f>IFERROR(VLOOKUP(A341,[3]库存报告使用数据处理!$A:$G,7,0),0)</f>
        <v>16.99</v>
      </c>
      <c r="I341">
        <f>IFERROR(VLOOKUP(A341,[4]数据处理!$A:$B,2,0),0)</f>
        <v>16</v>
      </c>
      <c r="J341" s="36">
        <f>IFERROR(VLOOKUP(A341,[4]数据处理!$A:$D,4,0),0)</f>
        <v>0</v>
      </c>
      <c r="K341" s="36">
        <f>IFERROR(VLOOKUP(A341,[4]数据处理!$A:$E,5,0),0)</f>
        <v>0</v>
      </c>
      <c r="L341" s="36">
        <f>IFERROR(VLOOKUP(A341,[4]数据处理!$A:$G,7,0),0)</f>
        <v>0</v>
      </c>
      <c r="M341">
        <f t="shared" si="89"/>
        <v>16</v>
      </c>
      <c r="N341">
        <f>IFERROR(VLOOKUP(A341,[4]数据处理!$A:$C,3,0),0)</f>
        <v>0</v>
      </c>
      <c r="O341">
        <f>IFERROR(VLOOKUP($A341,[4]数据处理!$A:$N,14,0),0)</f>
        <v>13</v>
      </c>
      <c r="P341">
        <f>IFERROR(VLOOKUP($A341,[5]库存使用数据!$A:$B,2,0),"")</f>
        <v>8880</v>
      </c>
      <c r="Q341">
        <f>IFERROR(VLOOKUP($A341,[5]库存使用数据!$A:$E,5,0),"")</f>
        <v>9739</v>
      </c>
      <c r="R341">
        <f>IFERROR(VLOOKUP($A341,[5]库存使用数据!$A:$H,8,0),"")</f>
        <v>5134</v>
      </c>
      <c r="S341">
        <f>IFERROR(VLOOKUP($A341,[5]库存使用数据!$A:$K,11,0),"")</f>
        <v>8258</v>
      </c>
      <c r="T341">
        <f>IFERROR(VLOOKUP($A341,[5]库存使用数据!$A:$C,3,0),"")</f>
        <v>42</v>
      </c>
      <c r="U341">
        <f>IFERROR(VLOOKUP($A341,[5]库存使用数据!$A:$F,6,0),"")</f>
        <v>23</v>
      </c>
      <c r="V341">
        <f>IFERROR(VLOOKUP($A341,[5]库存使用数据!$A:$I,9,0),"")</f>
        <v>25</v>
      </c>
      <c r="W341">
        <f>IFERROR(VLOOKUP($A341,[5]库存使用数据!$A:$L,12,0),"")</f>
        <v>42</v>
      </c>
      <c r="X341" s="23">
        <f t="shared" si="94"/>
        <v>0.00472972972972973</v>
      </c>
      <c r="Y341" s="23">
        <f t="shared" si="95"/>
        <v>0.00236163877194784</v>
      </c>
      <c r="Z341" s="23">
        <f t="shared" si="96"/>
        <v>0.00486949746786132</v>
      </c>
      <c r="AA341" s="23">
        <f t="shared" si="97"/>
        <v>0.00508597723419714</v>
      </c>
      <c r="AB341">
        <f>IFERROR(VLOOKUP($A341,[5]库存使用数据!$A:$D,4,0),"")</f>
        <v>15.39</v>
      </c>
      <c r="AC341">
        <f>IFERROR(VLOOKUP($A341,[5]库存使用数据!$A:$G,7,0),"")</f>
        <v>8.37</v>
      </c>
      <c r="AD341">
        <f>IFERROR(VLOOKUP($A341,[5]库存使用数据!$A:$J,10,0),"")</f>
        <v>8.75</v>
      </c>
      <c r="AE341">
        <f>IFERROR(VLOOKUP($A341,[5]库存使用数据!$A:$M,13,0),"")</f>
        <v>14.5</v>
      </c>
      <c r="AF341" s="23" t="str">
        <f t="shared" si="98"/>
        <v>无销量广告费为15.39</v>
      </c>
      <c r="AG341" s="23" t="str">
        <f t="shared" si="99"/>
        <v>无销量广告费为8.37</v>
      </c>
      <c r="AH341" s="23">
        <f t="shared" si="100"/>
        <v>0.515008828722778</v>
      </c>
      <c r="AI341" s="23" t="str">
        <f t="shared" si="101"/>
        <v>无销量广告费为14.5</v>
      </c>
      <c r="AJ341">
        <f>IFERROR(VLOOKUP($B341,[1]库存报告使用数据!$A$1:$B$65536,2,0),0)</f>
        <v>25</v>
      </c>
      <c r="AK341">
        <f>IFERROR(VLOOKUP($B341,[1]库存报告使用数据!$A$1:$C$65536,3,0),0)</f>
        <v>15</v>
      </c>
      <c r="AL341">
        <f>IFERROR(VLOOKUP($B341,[1]库存报告使用数据!$A$1:$D$65536,4,0),0)</f>
        <v>20</v>
      </c>
      <c r="AM341">
        <f>IFERROR(VLOOKUP($B341,[1]库存报告使用数据!$A$1:$E$65536,5,0),0)</f>
        <v>21</v>
      </c>
      <c r="AN341" s="23">
        <f t="shared" si="102"/>
        <v>0</v>
      </c>
      <c r="AO341" s="23">
        <f t="shared" si="103"/>
        <v>0</v>
      </c>
      <c r="AP341" s="23">
        <f t="shared" si="104"/>
        <v>0.05</v>
      </c>
      <c r="AQ341" s="23">
        <f t="shared" si="105"/>
        <v>0</v>
      </c>
      <c r="AR341" s="38">
        <f t="shared" si="90"/>
        <v>0</v>
      </c>
      <c r="AS341" s="38">
        <f t="shared" si="91"/>
        <v>0</v>
      </c>
      <c r="AT341" s="38">
        <f t="shared" si="92"/>
        <v>16</v>
      </c>
      <c r="AU341" s="33" t="str">
        <f t="shared" si="93"/>
        <v>库存为16</v>
      </c>
      <c r="AV341" s="39" t="str">
        <f>IFERROR(时间!$B$4+AU341,"上周无销量")</f>
        <v>上周无销量</v>
      </c>
    </row>
    <row r="342" spans="1:48">
      <c r="A342" s="35" t="s">
        <v>387</v>
      </c>
      <c r="B342" t="str">
        <f>VLOOKUP(A342,'[2]sku-asin（子）'!$A:$B,2,0)</f>
        <v>B07BKSWCR3</v>
      </c>
      <c r="C342" t="str">
        <f>VLOOKUP(A342,'[2]子sku-父sku'!$A:$B,2,0)</f>
        <v>NY-B15021</v>
      </c>
      <c r="D342" s="33">
        <f>IFERROR(VLOOKUP(A342,[3]库存报告使用数据处理!$A:$C,3,0),0)</f>
        <v>1</v>
      </c>
      <c r="E342" s="33">
        <f>IFERROR(VLOOKUP(A342,[3]库存报告使用数据处理!$A:$D,4,0),0)</f>
        <v>1</v>
      </c>
      <c r="F342" s="33">
        <f>IFERROR(VLOOKUP(A342,[3]库存报告使用数据处理!$A:$E,5,0),0)</f>
        <v>1</v>
      </c>
      <c r="G342" s="33">
        <f>IFERROR(VLOOKUP(A342,[3]库存报告使用数据处理!$A:$F,6,0),0)</f>
        <v>0</v>
      </c>
      <c r="H342" s="34">
        <f>IFERROR(VLOOKUP(A342,[3]库存报告使用数据处理!$A:$G,7,0),0)</f>
        <v>16.99</v>
      </c>
      <c r="I342">
        <f>IFERROR(VLOOKUP(A342,[4]数据处理!$A:$B,2,0),0)</f>
        <v>4</v>
      </c>
      <c r="J342" s="36">
        <f>IFERROR(VLOOKUP(A342,[4]数据处理!$A:$D,4,0),0)</f>
        <v>0</v>
      </c>
      <c r="K342" s="36">
        <f>IFERROR(VLOOKUP(A342,[4]数据处理!$A:$E,5,0),0)</f>
        <v>0</v>
      </c>
      <c r="L342" s="36">
        <f>IFERROR(VLOOKUP(A342,[4]数据处理!$A:$G,7,0),0)</f>
        <v>0</v>
      </c>
      <c r="M342">
        <f t="shared" si="89"/>
        <v>4</v>
      </c>
      <c r="N342">
        <f>IFERROR(VLOOKUP(A342,[4]数据处理!$A:$C,3,0),0)</f>
        <v>0</v>
      </c>
      <c r="O342">
        <f>IFERROR(VLOOKUP($A342,[4]数据处理!$A:$N,14,0),0)</f>
        <v>4</v>
      </c>
      <c r="P342">
        <f>IFERROR(VLOOKUP($A342,[5]库存使用数据!$A:$B,2,0),"")</f>
        <v>802</v>
      </c>
      <c r="Q342">
        <f>IFERROR(VLOOKUP($A342,[5]库存使用数据!$A:$E,5,0),"")</f>
        <v>937</v>
      </c>
      <c r="R342">
        <f>IFERROR(VLOOKUP($A342,[5]库存使用数据!$A:$H,8,0),"")</f>
        <v>741</v>
      </c>
      <c r="S342">
        <f>IFERROR(VLOOKUP($A342,[5]库存使用数据!$A:$K,11,0),"")</f>
        <v>1106</v>
      </c>
      <c r="T342">
        <f>IFERROR(VLOOKUP($A342,[5]库存使用数据!$A:$C,3,0),"")</f>
        <v>2</v>
      </c>
      <c r="U342">
        <f>IFERROR(VLOOKUP($A342,[5]库存使用数据!$A:$F,6,0),"")</f>
        <v>1</v>
      </c>
      <c r="V342">
        <f>IFERROR(VLOOKUP($A342,[5]库存使用数据!$A:$I,9,0),"")</f>
        <v>1</v>
      </c>
      <c r="W342">
        <f>IFERROR(VLOOKUP($A342,[5]库存使用数据!$A:$L,12,0),"")</f>
        <v>2</v>
      </c>
      <c r="X342" s="23">
        <f t="shared" si="94"/>
        <v>0.00249376558603491</v>
      </c>
      <c r="Y342" s="23">
        <f t="shared" si="95"/>
        <v>0.00106723585912487</v>
      </c>
      <c r="Z342" s="23">
        <f t="shared" si="96"/>
        <v>0.00134952766531714</v>
      </c>
      <c r="AA342" s="23">
        <f t="shared" si="97"/>
        <v>0.00180831826401447</v>
      </c>
      <c r="AB342">
        <f>IFERROR(VLOOKUP($A342,[5]库存使用数据!$A:$D,4,0),"")</f>
        <v>0.86</v>
      </c>
      <c r="AC342">
        <f>IFERROR(VLOOKUP($A342,[5]库存使用数据!$A:$G,7,0),"")</f>
        <v>0.54</v>
      </c>
      <c r="AD342">
        <f>IFERROR(VLOOKUP($A342,[5]库存使用数据!$A:$J,10,0),"")</f>
        <v>0.41</v>
      </c>
      <c r="AE342">
        <f>IFERROR(VLOOKUP($A342,[5]库存使用数据!$A:$M,13,0),"")</f>
        <v>0.88</v>
      </c>
      <c r="AF342" s="23">
        <f t="shared" si="98"/>
        <v>0.0506180105944673</v>
      </c>
      <c r="AG342" s="23">
        <f t="shared" si="99"/>
        <v>0.0317834020011772</v>
      </c>
      <c r="AH342" s="23">
        <f t="shared" si="100"/>
        <v>0.024131842260153</v>
      </c>
      <c r="AI342" s="23" t="str">
        <f t="shared" si="101"/>
        <v>无销量广告费为0.88</v>
      </c>
      <c r="AJ342">
        <f>IFERROR(VLOOKUP($B342,[1]库存报告使用数据!$A$1:$B$65536,2,0),0)</f>
        <v>4</v>
      </c>
      <c r="AK342">
        <f>IFERROR(VLOOKUP($B342,[1]库存报告使用数据!$A$1:$C$65536,3,0),0)</f>
        <v>8</v>
      </c>
      <c r="AL342">
        <f>IFERROR(VLOOKUP($B342,[1]库存报告使用数据!$A$1:$D$65536,4,0),0)</f>
        <v>1</v>
      </c>
      <c r="AM342">
        <f>IFERROR(VLOOKUP($B342,[1]库存报告使用数据!$A$1:$E$65536,5,0),0)</f>
        <v>2</v>
      </c>
      <c r="AN342" s="23">
        <f t="shared" si="102"/>
        <v>0.25</v>
      </c>
      <c r="AO342" s="23">
        <f t="shared" si="103"/>
        <v>0.125</v>
      </c>
      <c r="AP342" s="23">
        <f t="shared" si="104"/>
        <v>1</v>
      </c>
      <c r="AQ342" s="23">
        <f t="shared" si="105"/>
        <v>0</v>
      </c>
      <c r="AR342" s="38">
        <f t="shared" si="90"/>
        <v>0.142857142857143</v>
      </c>
      <c r="AS342" s="38">
        <f t="shared" si="91"/>
        <v>8.57142857142857</v>
      </c>
      <c r="AT342" s="38">
        <f t="shared" si="92"/>
        <v>-4.57142857142857</v>
      </c>
      <c r="AU342" s="33">
        <f t="shared" si="93"/>
        <v>28</v>
      </c>
      <c r="AV342" s="39">
        <f>IFERROR(时间!$B$4+AU342,"上周无销量")</f>
        <v>43318</v>
      </c>
    </row>
    <row r="343" spans="1:48">
      <c r="A343" s="35" t="s">
        <v>388</v>
      </c>
      <c r="B343" t="str">
        <f>VLOOKUP(A343,'[2]sku-asin（子）'!$A:$B,2,0)</f>
        <v>B07BKR8D8Z</v>
      </c>
      <c r="C343" t="str">
        <f>VLOOKUP(A343,'[2]子sku-父sku'!$A:$B,2,0)</f>
        <v>NY-B15021</v>
      </c>
      <c r="D343" s="33">
        <f>IFERROR(VLOOKUP(A343,[3]库存报告使用数据处理!$A:$C,3,0),0)</f>
        <v>0</v>
      </c>
      <c r="E343" s="33">
        <f>IFERROR(VLOOKUP(A343,[3]库存报告使用数据处理!$A:$D,4,0),0)</f>
        <v>0</v>
      </c>
      <c r="F343" s="33">
        <f>IFERROR(VLOOKUP(A343,[3]库存报告使用数据处理!$A:$E,5,0),0)</f>
        <v>0</v>
      </c>
      <c r="G343" s="33">
        <f>IFERROR(VLOOKUP(A343,[3]库存报告使用数据处理!$A:$F,6,0),0)</f>
        <v>0</v>
      </c>
      <c r="H343" s="34">
        <f>IFERROR(VLOOKUP(A343,[3]库存报告使用数据处理!$A:$G,7,0),0)</f>
        <v>0</v>
      </c>
      <c r="I343">
        <f>IFERROR(VLOOKUP(A343,[4]数据处理!$A:$B,2,0),0)</f>
        <v>3</v>
      </c>
      <c r="J343" s="36">
        <f>IFERROR(VLOOKUP(A343,[4]数据处理!$A:$D,4,0),0)</f>
        <v>0</v>
      </c>
      <c r="K343" s="36">
        <f>IFERROR(VLOOKUP(A343,[4]数据处理!$A:$E,5,0),0)</f>
        <v>0</v>
      </c>
      <c r="L343" s="36">
        <f>IFERROR(VLOOKUP(A343,[4]数据处理!$A:$G,7,0),0)</f>
        <v>0</v>
      </c>
      <c r="M343">
        <f t="shared" si="89"/>
        <v>3</v>
      </c>
      <c r="N343">
        <f>IFERROR(VLOOKUP(A343,[4]数据处理!$A:$C,3,0),0)</f>
        <v>0</v>
      </c>
      <c r="O343">
        <f>IFERROR(VLOOKUP($A343,[4]数据处理!$A:$N,14,0),0)</f>
        <v>3</v>
      </c>
      <c r="P343">
        <f>IFERROR(VLOOKUP($A343,[5]库存使用数据!$A:$B,2,0),"")</f>
        <v>4176</v>
      </c>
      <c r="Q343">
        <f>IFERROR(VLOOKUP($A343,[5]库存使用数据!$A:$E,5,0),"")</f>
        <v>3731</v>
      </c>
      <c r="R343">
        <f>IFERROR(VLOOKUP($A343,[5]库存使用数据!$A:$H,8,0),"")</f>
        <v>2091</v>
      </c>
      <c r="S343">
        <f>IFERROR(VLOOKUP($A343,[5]库存使用数据!$A:$K,11,0),"")</f>
        <v>740</v>
      </c>
      <c r="T343">
        <f>IFERROR(VLOOKUP($A343,[5]库存使用数据!$A:$C,3,0),"")</f>
        <v>19</v>
      </c>
      <c r="U343">
        <f>IFERROR(VLOOKUP($A343,[5]库存使用数据!$A:$F,6,0),"")</f>
        <v>17</v>
      </c>
      <c r="V343">
        <f>IFERROR(VLOOKUP($A343,[5]库存使用数据!$A:$I,9,0),"")</f>
        <v>5</v>
      </c>
      <c r="W343">
        <f>IFERROR(VLOOKUP($A343,[5]库存使用数据!$A:$L,12,0),"")</f>
        <v>3</v>
      </c>
      <c r="X343" s="23">
        <f t="shared" si="94"/>
        <v>0.00454980842911877</v>
      </c>
      <c r="Y343" s="23">
        <f t="shared" si="95"/>
        <v>0.00455641919056553</v>
      </c>
      <c r="Z343" s="23">
        <f t="shared" si="96"/>
        <v>0.00239120038259206</v>
      </c>
      <c r="AA343" s="23">
        <f t="shared" si="97"/>
        <v>0.00405405405405405</v>
      </c>
      <c r="AB343">
        <f>IFERROR(VLOOKUP($A343,[5]库存使用数据!$A:$D,4,0),"")</f>
        <v>6.57</v>
      </c>
      <c r="AC343">
        <f>IFERROR(VLOOKUP($A343,[5]库存使用数据!$A:$G,7,0),"")</f>
        <v>6.55</v>
      </c>
      <c r="AD343">
        <f>IFERROR(VLOOKUP($A343,[5]库存使用数据!$A:$J,10,0),"")</f>
        <v>1.49</v>
      </c>
      <c r="AE343">
        <f>IFERROR(VLOOKUP($A343,[5]库存使用数据!$A:$M,13,0),"")</f>
        <v>1.27</v>
      </c>
      <c r="AF343" s="23" t="str">
        <f t="shared" si="98"/>
        <v>无销量广告费为6.57</v>
      </c>
      <c r="AG343" s="23" t="str">
        <f t="shared" si="99"/>
        <v>无销量广告费为6.55</v>
      </c>
      <c r="AH343" s="23" t="str">
        <f t="shared" si="100"/>
        <v>无销量广告费为1.49</v>
      </c>
      <c r="AI343" s="23" t="str">
        <f t="shared" si="101"/>
        <v>无销量广告费为1.27</v>
      </c>
      <c r="AJ343">
        <f>IFERROR(VLOOKUP($B343,[1]库存报告使用数据!$A$1:$B$65536,2,0),0)</f>
        <v>18</v>
      </c>
      <c r="AK343">
        <f>IFERROR(VLOOKUP($B343,[1]库存报告使用数据!$A$1:$C$65536,3,0),0)</f>
        <v>20</v>
      </c>
      <c r="AL343">
        <f>IFERROR(VLOOKUP($B343,[1]库存报告使用数据!$A$1:$D$65536,4,0),0)</f>
        <v>3</v>
      </c>
      <c r="AM343">
        <f>IFERROR(VLOOKUP($B343,[1]库存报告使用数据!$A$1:$E$65536,5,0),0)</f>
        <v>2</v>
      </c>
      <c r="AN343" s="23">
        <f t="shared" si="102"/>
        <v>0</v>
      </c>
      <c r="AO343" s="23">
        <f t="shared" si="103"/>
        <v>0</v>
      </c>
      <c r="AP343" s="23">
        <f t="shared" si="104"/>
        <v>0</v>
      </c>
      <c r="AQ343" s="23">
        <f t="shared" si="105"/>
        <v>0</v>
      </c>
      <c r="AR343" s="38">
        <f t="shared" si="90"/>
        <v>0</v>
      </c>
      <c r="AS343" s="38">
        <f t="shared" si="91"/>
        <v>0</v>
      </c>
      <c r="AT343" s="38">
        <f t="shared" si="92"/>
        <v>3</v>
      </c>
      <c r="AU343" s="33" t="str">
        <f t="shared" si="93"/>
        <v>库存为3</v>
      </c>
      <c r="AV343" s="39" t="str">
        <f>IFERROR(时间!$B$4+AU343,"上周无销量")</f>
        <v>上周无销量</v>
      </c>
    </row>
    <row r="344" spans="1:48">
      <c r="A344" s="35" t="s">
        <v>389</v>
      </c>
      <c r="B344" t="str">
        <f>VLOOKUP(A344,'[2]sku-asin（子）'!$A:$B,2,0)</f>
        <v>B07BKTKK7K</v>
      </c>
      <c r="C344" t="str">
        <f>VLOOKUP(A344,'[2]子sku-父sku'!$A:$B,2,0)</f>
        <v>NY-B15021</v>
      </c>
      <c r="D344" s="33">
        <f>IFERROR(VLOOKUP(A344,[3]库存报告使用数据处理!$A:$C,3,0),0)</f>
        <v>0</v>
      </c>
      <c r="E344" s="33">
        <f>IFERROR(VLOOKUP(A344,[3]库存报告使用数据处理!$A:$D,4,0),0)</f>
        <v>0</v>
      </c>
      <c r="F344" s="33">
        <f>IFERROR(VLOOKUP(A344,[3]库存报告使用数据处理!$A:$E,5,0),0)</f>
        <v>1</v>
      </c>
      <c r="G344" s="33">
        <f>IFERROR(VLOOKUP(A344,[3]库存报告使用数据处理!$A:$F,6,0),0)</f>
        <v>0</v>
      </c>
      <c r="H344" s="34">
        <f>IFERROR(VLOOKUP(A344,[3]库存报告使用数据处理!$A:$G,7,0),0)</f>
        <v>16.99</v>
      </c>
      <c r="I344">
        <f>IFERROR(VLOOKUP(A344,[4]数据处理!$A:$B,2,0),0)</f>
        <v>27</v>
      </c>
      <c r="J344" s="36">
        <f>IFERROR(VLOOKUP(A344,[4]数据处理!$A:$D,4,0),0)</f>
        <v>0</v>
      </c>
      <c r="K344" s="36">
        <f>IFERROR(VLOOKUP(A344,[4]数据处理!$A:$E,5,0),0)</f>
        <v>0</v>
      </c>
      <c r="L344" s="36">
        <f>IFERROR(VLOOKUP(A344,[4]数据处理!$A:$G,7,0),0)</f>
        <v>0</v>
      </c>
      <c r="M344">
        <f t="shared" si="89"/>
        <v>27</v>
      </c>
      <c r="N344">
        <f>IFERROR(VLOOKUP(A344,[4]数据处理!$A:$C,3,0),0)</f>
        <v>0</v>
      </c>
      <c r="O344">
        <f>IFERROR(VLOOKUP($A344,[4]数据处理!$A:$N,14,0),0)</f>
        <v>27</v>
      </c>
      <c r="P344">
        <f>IFERROR(VLOOKUP($A344,[5]库存使用数据!$A:$B,2,0),"")</f>
        <v>211</v>
      </c>
      <c r="Q344">
        <f>IFERROR(VLOOKUP($A344,[5]库存使用数据!$A:$E,5,0),"")</f>
        <v>192</v>
      </c>
      <c r="R344">
        <f>IFERROR(VLOOKUP($A344,[5]库存使用数据!$A:$H,8,0),"")</f>
        <v>184</v>
      </c>
      <c r="S344">
        <f>IFERROR(VLOOKUP($A344,[5]库存使用数据!$A:$K,11,0),"")</f>
        <v>247</v>
      </c>
      <c r="T344">
        <f>IFERROR(VLOOKUP($A344,[5]库存使用数据!$A:$C,3,0),"")</f>
        <v>2</v>
      </c>
      <c r="U344">
        <f>IFERROR(VLOOKUP($A344,[5]库存使用数据!$A:$F,6,0),"")</f>
        <v>0</v>
      </c>
      <c r="V344">
        <f>IFERROR(VLOOKUP($A344,[5]库存使用数据!$A:$I,9,0),"")</f>
        <v>0</v>
      </c>
      <c r="W344">
        <f>IFERROR(VLOOKUP($A344,[5]库存使用数据!$A:$L,12,0),"")</f>
        <v>1</v>
      </c>
      <c r="X344" s="23">
        <f t="shared" si="94"/>
        <v>0.00947867298578199</v>
      </c>
      <c r="Y344" s="23">
        <f t="shared" si="95"/>
        <v>0</v>
      </c>
      <c r="Z344" s="23">
        <f t="shared" si="96"/>
        <v>0</v>
      </c>
      <c r="AA344" s="23">
        <f t="shared" si="97"/>
        <v>0.00404858299595142</v>
      </c>
      <c r="AB344">
        <f>IFERROR(VLOOKUP($A344,[5]库存使用数据!$A:$D,4,0),"")</f>
        <v>0.89</v>
      </c>
      <c r="AC344">
        <f>IFERROR(VLOOKUP($A344,[5]库存使用数据!$A:$G,7,0),"")</f>
        <v>0</v>
      </c>
      <c r="AD344">
        <f>IFERROR(VLOOKUP($A344,[5]库存使用数据!$A:$J,10,0),"")</f>
        <v>0</v>
      </c>
      <c r="AE344">
        <f>IFERROR(VLOOKUP($A344,[5]库存使用数据!$A:$M,13,0),"")</f>
        <v>0.43</v>
      </c>
      <c r="AF344" s="23" t="str">
        <f t="shared" si="98"/>
        <v>无销量广告费为0.89</v>
      </c>
      <c r="AG344" s="23" t="str">
        <f t="shared" si="99"/>
        <v/>
      </c>
      <c r="AH344" s="23" t="str">
        <f t="shared" si="100"/>
        <v/>
      </c>
      <c r="AI344" s="23" t="str">
        <f t="shared" si="101"/>
        <v>无销量广告费为0.43</v>
      </c>
      <c r="AJ344">
        <f>IFERROR(VLOOKUP($B344,[1]库存报告使用数据!$A$1:$B$65536,2,0),0)</f>
        <v>1</v>
      </c>
      <c r="AK344">
        <f>IFERROR(VLOOKUP($B344,[1]库存报告使用数据!$A$1:$C$65536,3,0),0)</f>
        <v>5</v>
      </c>
      <c r="AL344">
        <f>IFERROR(VLOOKUP($B344,[1]库存报告使用数据!$A$1:$D$65536,4,0),0)</f>
        <v>2</v>
      </c>
      <c r="AM344">
        <f>IFERROR(VLOOKUP($B344,[1]库存报告使用数据!$A$1:$E$65536,5,0),0)</f>
        <v>4</v>
      </c>
      <c r="AN344" s="23">
        <f t="shared" si="102"/>
        <v>0</v>
      </c>
      <c r="AO344" s="23">
        <f t="shared" si="103"/>
        <v>0</v>
      </c>
      <c r="AP344" s="23">
        <f t="shared" si="104"/>
        <v>0.5</v>
      </c>
      <c r="AQ344" s="23">
        <f t="shared" si="105"/>
        <v>0</v>
      </c>
      <c r="AR344" s="38">
        <f t="shared" si="90"/>
        <v>0</v>
      </c>
      <c r="AS344" s="38">
        <f t="shared" si="91"/>
        <v>0</v>
      </c>
      <c r="AT344" s="38">
        <f t="shared" si="92"/>
        <v>27</v>
      </c>
      <c r="AU344" s="33" t="str">
        <f t="shared" si="93"/>
        <v>库存为27</v>
      </c>
      <c r="AV344" s="39" t="str">
        <f>IFERROR(时间!$B$4+AU344,"上周无销量")</f>
        <v>上周无销量</v>
      </c>
    </row>
    <row r="345" spans="1:48">
      <c r="A345" s="35" t="s">
        <v>390</v>
      </c>
      <c r="B345" t="str">
        <f>VLOOKUP(A345,'[2]sku-asin（子）'!$A:$B,2,0)</f>
        <v>B07BKTCPPS</v>
      </c>
      <c r="C345" t="str">
        <f>VLOOKUP(A345,'[2]子sku-父sku'!$A:$B,2,0)</f>
        <v>NY-B15021</v>
      </c>
      <c r="D345" s="33">
        <f>IFERROR(VLOOKUP(A345,[3]库存报告使用数据处理!$A:$C,3,0),0)</f>
        <v>0</v>
      </c>
      <c r="E345" s="33">
        <f>IFERROR(VLOOKUP(A345,[3]库存报告使用数据处理!$A:$D,4,0),0)</f>
        <v>1</v>
      </c>
      <c r="F345" s="33">
        <f>IFERROR(VLOOKUP(A345,[3]库存报告使用数据处理!$A:$E,5,0),0)</f>
        <v>0</v>
      </c>
      <c r="G345" s="33">
        <f>IFERROR(VLOOKUP(A345,[3]库存报告使用数据处理!$A:$F,6,0),0)</f>
        <v>1</v>
      </c>
      <c r="H345" s="34">
        <f>IFERROR(VLOOKUP(A345,[3]库存报告使用数据处理!$A:$G,7,0),0)</f>
        <v>16.99</v>
      </c>
      <c r="I345">
        <f>IFERROR(VLOOKUP(A345,[4]数据处理!$A:$B,2,0),0)</f>
        <v>11</v>
      </c>
      <c r="J345" s="36">
        <f>IFERROR(VLOOKUP(A345,[4]数据处理!$A:$D,4,0),0)</f>
        <v>0</v>
      </c>
      <c r="K345" s="36">
        <f>IFERROR(VLOOKUP(A345,[4]数据处理!$A:$E,5,0),0)</f>
        <v>0</v>
      </c>
      <c r="L345" s="36">
        <f>IFERROR(VLOOKUP(A345,[4]数据处理!$A:$G,7,0),0)</f>
        <v>0</v>
      </c>
      <c r="M345">
        <f t="shared" si="89"/>
        <v>11</v>
      </c>
      <c r="N345">
        <f>IFERROR(VLOOKUP(A345,[4]数据处理!$A:$C,3,0),0)</f>
        <v>0</v>
      </c>
      <c r="O345">
        <f>IFERROR(VLOOKUP($A345,[4]数据处理!$A:$N,14,0),0)</f>
        <v>11</v>
      </c>
      <c r="P345">
        <f>IFERROR(VLOOKUP($A345,[5]库存使用数据!$A:$B,2,0),"")</f>
        <v>797</v>
      </c>
      <c r="Q345">
        <f>IFERROR(VLOOKUP($A345,[5]库存使用数据!$A:$E,5,0),"")</f>
        <v>1601</v>
      </c>
      <c r="R345">
        <f>IFERROR(VLOOKUP($A345,[5]库存使用数据!$A:$H,8,0),"")</f>
        <v>833</v>
      </c>
      <c r="S345">
        <f>IFERROR(VLOOKUP($A345,[5]库存使用数据!$A:$K,11,0),"")</f>
        <v>238</v>
      </c>
      <c r="T345">
        <f>IFERROR(VLOOKUP($A345,[5]库存使用数据!$A:$C,3,0),"")</f>
        <v>0</v>
      </c>
      <c r="U345">
        <f>IFERROR(VLOOKUP($A345,[5]库存使用数据!$A:$F,6,0),"")</f>
        <v>1</v>
      </c>
      <c r="V345">
        <f>IFERROR(VLOOKUP($A345,[5]库存使用数据!$A:$I,9,0),"")</f>
        <v>2</v>
      </c>
      <c r="W345">
        <f>IFERROR(VLOOKUP($A345,[5]库存使用数据!$A:$L,12,0),"")</f>
        <v>1</v>
      </c>
      <c r="X345" s="23">
        <f t="shared" si="94"/>
        <v>0</v>
      </c>
      <c r="Y345" s="23">
        <f t="shared" si="95"/>
        <v>0.000624609618988132</v>
      </c>
      <c r="Z345" s="23">
        <f t="shared" si="96"/>
        <v>0.00240096038415366</v>
      </c>
      <c r="AA345" s="23">
        <f t="shared" si="97"/>
        <v>0.00420168067226891</v>
      </c>
      <c r="AB345">
        <f>IFERROR(VLOOKUP($A345,[5]库存使用数据!$A:$D,4,0),"")</f>
        <v>0</v>
      </c>
      <c r="AC345">
        <f>IFERROR(VLOOKUP($A345,[5]库存使用数据!$A:$G,7,0),"")</f>
        <v>0.23</v>
      </c>
      <c r="AD345">
        <f>IFERROR(VLOOKUP($A345,[5]库存使用数据!$A:$J,10,0),"")</f>
        <v>0.87</v>
      </c>
      <c r="AE345">
        <f>IFERROR(VLOOKUP($A345,[5]库存使用数据!$A:$M,13,0),"")</f>
        <v>0.31</v>
      </c>
      <c r="AF345" s="23" t="str">
        <f t="shared" si="98"/>
        <v/>
      </c>
      <c r="AG345" s="23">
        <f t="shared" si="99"/>
        <v>0.0135373749264273</v>
      </c>
      <c r="AH345" s="23" t="str">
        <f t="shared" si="100"/>
        <v>无销量广告费为0.87</v>
      </c>
      <c r="AI345" s="23">
        <f t="shared" si="101"/>
        <v>0.0182460270747499</v>
      </c>
      <c r="AJ345">
        <f>IFERROR(VLOOKUP($B345,[1]库存报告使用数据!$A$1:$B$65536,2,0),0)</f>
        <v>1</v>
      </c>
      <c r="AK345">
        <f>IFERROR(VLOOKUP($B345,[1]库存报告使用数据!$A$1:$C$65536,3,0),0)</f>
        <v>1</v>
      </c>
      <c r="AL345">
        <f>IFERROR(VLOOKUP($B345,[1]库存报告使用数据!$A$1:$D$65536,4,0),0)</f>
        <v>1</v>
      </c>
      <c r="AM345">
        <f>IFERROR(VLOOKUP($B345,[1]库存报告使用数据!$A$1:$E$65536,5,0),0)</f>
        <v>2</v>
      </c>
      <c r="AN345" s="23">
        <f t="shared" si="102"/>
        <v>0</v>
      </c>
      <c r="AO345" s="23">
        <f t="shared" si="103"/>
        <v>1</v>
      </c>
      <c r="AP345" s="23">
        <f t="shared" si="104"/>
        <v>0</v>
      </c>
      <c r="AQ345" s="23">
        <f t="shared" si="105"/>
        <v>0.5</v>
      </c>
      <c r="AR345" s="38">
        <f t="shared" si="90"/>
        <v>0</v>
      </c>
      <c r="AS345" s="38">
        <f t="shared" si="91"/>
        <v>0</v>
      </c>
      <c r="AT345" s="38">
        <f t="shared" si="92"/>
        <v>11</v>
      </c>
      <c r="AU345" s="33" t="str">
        <f t="shared" si="93"/>
        <v>库存为11</v>
      </c>
      <c r="AV345" s="39" t="str">
        <f>IFERROR(时间!$B$4+AU345,"上周无销量")</f>
        <v>上周无销量</v>
      </c>
    </row>
    <row r="346" spans="1:48">
      <c r="A346" s="35" t="s">
        <v>391</v>
      </c>
      <c r="B346" t="str">
        <f>VLOOKUP(A346,'[2]sku-asin（子）'!$A:$B,2,0)</f>
        <v>B07BKWBM9B</v>
      </c>
      <c r="C346" t="str">
        <f>VLOOKUP(A346,'[2]子sku-父sku'!$A:$B,2,0)</f>
        <v>NY-B15021</v>
      </c>
      <c r="D346" s="33">
        <f>IFERROR(VLOOKUP(A346,[3]库存报告使用数据处理!$A:$C,3,0),0)</f>
        <v>0</v>
      </c>
      <c r="E346" s="33">
        <f>IFERROR(VLOOKUP(A346,[3]库存报告使用数据处理!$A:$D,4,0),0)</f>
        <v>0</v>
      </c>
      <c r="F346" s="33">
        <f>IFERROR(VLOOKUP(A346,[3]库存报告使用数据处理!$A:$E,5,0),0)</f>
        <v>0</v>
      </c>
      <c r="G346" s="33">
        <f>IFERROR(VLOOKUP(A346,[3]库存报告使用数据处理!$A:$F,6,0),0)</f>
        <v>0</v>
      </c>
      <c r="H346" s="34">
        <f>IFERROR(VLOOKUP(A346,[3]库存报告使用数据处理!$A:$G,7,0),0)</f>
        <v>0</v>
      </c>
      <c r="I346">
        <f>IFERROR(VLOOKUP(A346,[4]数据处理!$A:$B,2,0),0)</f>
        <v>2</v>
      </c>
      <c r="J346" s="36">
        <f>IFERROR(VLOOKUP(A346,[4]数据处理!$A:$D,4,0),0)</f>
        <v>0</v>
      </c>
      <c r="K346" s="36">
        <f>IFERROR(VLOOKUP(A346,[4]数据处理!$A:$E,5,0),0)</f>
        <v>0</v>
      </c>
      <c r="L346" s="36">
        <f>IFERROR(VLOOKUP(A346,[4]数据处理!$A:$G,7,0),0)</f>
        <v>0</v>
      </c>
      <c r="M346">
        <f t="shared" si="89"/>
        <v>2</v>
      </c>
      <c r="N346">
        <f>IFERROR(VLOOKUP(A346,[4]数据处理!$A:$C,3,0),0)</f>
        <v>0</v>
      </c>
      <c r="O346">
        <f>IFERROR(VLOOKUP($A346,[4]数据处理!$A:$N,14,0),0)</f>
        <v>2</v>
      </c>
      <c r="P346">
        <f>IFERROR(VLOOKUP($A346,[5]库存使用数据!$A:$B,2,0),"")</f>
        <v>316</v>
      </c>
      <c r="Q346">
        <f>IFERROR(VLOOKUP($A346,[5]库存使用数据!$A:$E,5,0),"")</f>
        <v>596</v>
      </c>
      <c r="R346">
        <f>IFERROR(VLOOKUP($A346,[5]库存使用数据!$A:$H,8,0),"")</f>
        <v>648</v>
      </c>
      <c r="S346">
        <f>IFERROR(VLOOKUP($A346,[5]库存使用数据!$A:$K,11,0),"")</f>
        <v>1562</v>
      </c>
      <c r="T346">
        <f>IFERROR(VLOOKUP($A346,[5]库存使用数据!$A:$C,3,0),"")</f>
        <v>2</v>
      </c>
      <c r="U346">
        <f>IFERROR(VLOOKUP($A346,[5]库存使用数据!$A:$F,6,0),"")</f>
        <v>2</v>
      </c>
      <c r="V346">
        <f>IFERROR(VLOOKUP($A346,[5]库存使用数据!$A:$I,9,0),"")</f>
        <v>0</v>
      </c>
      <c r="W346">
        <f>IFERROR(VLOOKUP($A346,[5]库存使用数据!$A:$L,12,0),"")</f>
        <v>3</v>
      </c>
      <c r="X346" s="23">
        <f t="shared" si="94"/>
        <v>0.00632911392405063</v>
      </c>
      <c r="Y346" s="23">
        <f t="shared" si="95"/>
        <v>0.00335570469798658</v>
      </c>
      <c r="Z346" s="23">
        <f t="shared" si="96"/>
        <v>0</v>
      </c>
      <c r="AA346" s="23">
        <f t="shared" si="97"/>
        <v>0.00192061459667093</v>
      </c>
      <c r="AB346">
        <f>IFERROR(VLOOKUP($A346,[5]库存使用数据!$A:$D,4,0),"")</f>
        <v>0.62</v>
      </c>
      <c r="AC346">
        <f>IFERROR(VLOOKUP($A346,[5]库存使用数据!$A:$G,7,0),"")</f>
        <v>0.62</v>
      </c>
      <c r="AD346">
        <f>IFERROR(VLOOKUP($A346,[5]库存使用数据!$A:$J,10,0),"")</f>
        <v>0</v>
      </c>
      <c r="AE346">
        <f>IFERROR(VLOOKUP($A346,[5]库存使用数据!$A:$M,13,0),"")</f>
        <v>1.23</v>
      </c>
      <c r="AF346" s="23" t="str">
        <f t="shared" si="98"/>
        <v>无销量广告费为0.62</v>
      </c>
      <c r="AG346" s="23" t="str">
        <f t="shared" si="99"/>
        <v>无销量广告费为0.62</v>
      </c>
      <c r="AH346" s="23" t="str">
        <f t="shared" si="100"/>
        <v/>
      </c>
      <c r="AI346" s="23" t="str">
        <f t="shared" si="101"/>
        <v>无销量广告费为1.23</v>
      </c>
      <c r="AJ346">
        <f>IFERROR(VLOOKUP($B346,[1]库存报告使用数据!$A$1:$B$65536,2,0),0)</f>
        <v>2</v>
      </c>
      <c r="AK346">
        <f>IFERROR(VLOOKUP($B346,[1]库存报告使用数据!$A$1:$C$65536,3,0),0)</f>
        <v>3</v>
      </c>
      <c r="AL346">
        <f>IFERROR(VLOOKUP($B346,[1]库存报告使用数据!$A$1:$D$65536,4,0),0)</f>
        <v>0</v>
      </c>
      <c r="AM346">
        <f>IFERROR(VLOOKUP($B346,[1]库存报告使用数据!$A$1:$E$65536,5,0),0)</f>
        <v>2</v>
      </c>
      <c r="AN346" s="23">
        <f t="shared" si="102"/>
        <v>0</v>
      </c>
      <c r="AO346" s="23">
        <f t="shared" si="103"/>
        <v>0</v>
      </c>
      <c r="AP346" s="23" t="str">
        <f t="shared" si="104"/>
        <v/>
      </c>
      <c r="AQ346" s="23">
        <f t="shared" si="105"/>
        <v>0</v>
      </c>
      <c r="AR346" s="38">
        <f t="shared" si="90"/>
        <v>0</v>
      </c>
      <c r="AS346" s="38">
        <f t="shared" si="91"/>
        <v>0</v>
      </c>
      <c r="AT346" s="38">
        <f t="shared" si="92"/>
        <v>2</v>
      </c>
      <c r="AU346" s="33" t="str">
        <f t="shared" si="93"/>
        <v>库存为2</v>
      </c>
      <c r="AV346" s="39" t="str">
        <f>IFERROR(时间!$B$4+AU346,"上周无销量")</f>
        <v>上周无销量</v>
      </c>
    </row>
    <row r="347" spans="1:48">
      <c r="A347" s="35" t="s">
        <v>392</v>
      </c>
      <c r="B347" t="str">
        <f>VLOOKUP(A347,'[2]sku-asin（子）'!$A:$B,2,0)</f>
        <v>B07BKTSQ1R</v>
      </c>
      <c r="C347" t="str">
        <f>VLOOKUP(A347,'[2]子sku-父sku'!$A:$B,2,0)</f>
        <v>NY-B15021</v>
      </c>
      <c r="D347" s="33">
        <f>IFERROR(VLOOKUP(A347,[3]库存报告使用数据处理!$A:$C,3,0),0)</f>
        <v>0</v>
      </c>
      <c r="E347" s="33">
        <f>IFERROR(VLOOKUP(A347,[3]库存报告使用数据处理!$A:$D,4,0),0)</f>
        <v>0</v>
      </c>
      <c r="F347" s="33">
        <f>IFERROR(VLOOKUP(A347,[3]库存报告使用数据处理!$A:$E,5,0),0)</f>
        <v>1</v>
      </c>
      <c r="G347" s="33">
        <f>IFERROR(VLOOKUP(A347,[3]库存报告使用数据处理!$A:$F,6,0),0)</f>
        <v>1</v>
      </c>
      <c r="H347" s="34">
        <f>IFERROR(VLOOKUP(A347,[3]库存报告使用数据处理!$A:$G,7,0),0)</f>
        <v>16.99</v>
      </c>
      <c r="I347">
        <f>IFERROR(VLOOKUP(A347,[4]数据处理!$A:$B,2,0),0)</f>
        <v>23</v>
      </c>
      <c r="J347" s="36">
        <f>IFERROR(VLOOKUP(A347,[4]数据处理!$A:$D,4,0),0)</f>
        <v>0</v>
      </c>
      <c r="K347" s="36">
        <f>IFERROR(VLOOKUP(A347,[4]数据处理!$A:$E,5,0),0)</f>
        <v>0</v>
      </c>
      <c r="L347" s="36">
        <f>IFERROR(VLOOKUP(A347,[4]数据处理!$A:$G,7,0),0)</f>
        <v>0</v>
      </c>
      <c r="M347">
        <f t="shared" si="89"/>
        <v>23</v>
      </c>
      <c r="N347">
        <f>IFERROR(VLOOKUP(A347,[4]数据处理!$A:$C,3,0),0)</f>
        <v>0</v>
      </c>
      <c r="O347">
        <f>IFERROR(VLOOKUP($A347,[4]数据处理!$A:$N,14,0),0)</f>
        <v>23</v>
      </c>
      <c r="P347">
        <f>IFERROR(VLOOKUP($A347,[5]库存使用数据!$A:$B,2,0),"")</f>
        <v>298</v>
      </c>
      <c r="Q347">
        <f>IFERROR(VLOOKUP($A347,[5]库存使用数据!$A:$E,5,0),"")</f>
        <v>603</v>
      </c>
      <c r="R347">
        <f>IFERROR(VLOOKUP($A347,[5]库存使用数据!$A:$H,8,0),"")</f>
        <v>1045</v>
      </c>
      <c r="S347">
        <f>IFERROR(VLOOKUP($A347,[5]库存使用数据!$A:$K,11,0),"")</f>
        <v>2792</v>
      </c>
      <c r="T347">
        <f>IFERROR(VLOOKUP($A347,[5]库存使用数据!$A:$C,3,0),"")</f>
        <v>1</v>
      </c>
      <c r="U347">
        <f>IFERROR(VLOOKUP($A347,[5]库存使用数据!$A:$F,6,0),"")</f>
        <v>1</v>
      </c>
      <c r="V347">
        <f>IFERROR(VLOOKUP($A347,[5]库存使用数据!$A:$I,9,0),"")</f>
        <v>2</v>
      </c>
      <c r="W347">
        <f>IFERROR(VLOOKUP($A347,[5]库存使用数据!$A:$L,12,0),"")</f>
        <v>6</v>
      </c>
      <c r="X347" s="23">
        <f t="shared" si="94"/>
        <v>0.00335570469798658</v>
      </c>
      <c r="Y347" s="23">
        <f t="shared" si="95"/>
        <v>0.00165837479270315</v>
      </c>
      <c r="Z347" s="23">
        <f t="shared" si="96"/>
        <v>0.00191387559808612</v>
      </c>
      <c r="AA347" s="23">
        <f t="shared" si="97"/>
        <v>0.00214899713467049</v>
      </c>
      <c r="AB347">
        <f>IFERROR(VLOOKUP($A347,[5]库存使用数据!$A:$D,4,0),"")</f>
        <v>0.31</v>
      </c>
      <c r="AC347">
        <f>IFERROR(VLOOKUP($A347,[5]库存使用数据!$A:$G,7,0),"")</f>
        <v>0.33</v>
      </c>
      <c r="AD347">
        <f>IFERROR(VLOOKUP($A347,[5]库存使用数据!$A:$J,10,0),"")</f>
        <v>0.62</v>
      </c>
      <c r="AE347">
        <f>IFERROR(VLOOKUP($A347,[5]库存使用数据!$A:$M,13,0),"")</f>
        <v>2.15</v>
      </c>
      <c r="AF347" s="23" t="str">
        <f t="shared" si="98"/>
        <v>无销量广告费为0.31</v>
      </c>
      <c r="AG347" s="23" t="str">
        <f t="shared" si="99"/>
        <v>无销量广告费为0.33</v>
      </c>
      <c r="AH347" s="23">
        <f t="shared" si="100"/>
        <v>0.0364920541494997</v>
      </c>
      <c r="AI347" s="23">
        <f t="shared" si="101"/>
        <v>0.126545026486168</v>
      </c>
      <c r="AJ347">
        <f>IFERROR(VLOOKUP($B347,[1]库存报告使用数据!$A$1:$B$65536,2,0),0)</f>
        <v>2</v>
      </c>
      <c r="AK347">
        <f>IFERROR(VLOOKUP($B347,[1]库存报告使用数据!$A$1:$C$65536,3,0),0)</f>
        <v>5</v>
      </c>
      <c r="AL347">
        <f>IFERROR(VLOOKUP($B347,[1]库存报告使用数据!$A$1:$D$65536,4,0),0)</f>
        <v>2</v>
      </c>
      <c r="AM347">
        <f>IFERROR(VLOOKUP($B347,[1]库存报告使用数据!$A$1:$E$65536,5,0),0)</f>
        <v>5</v>
      </c>
      <c r="AN347" s="23">
        <f t="shared" si="102"/>
        <v>0</v>
      </c>
      <c r="AO347" s="23">
        <f t="shared" si="103"/>
        <v>0</v>
      </c>
      <c r="AP347" s="23">
        <f t="shared" si="104"/>
        <v>0.5</v>
      </c>
      <c r="AQ347" s="23">
        <f t="shared" si="105"/>
        <v>0.2</v>
      </c>
      <c r="AR347" s="38">
        <f t="shared" si="90"/>
        <v>0</v>
      </c>
      <c r="AS347" s="38">
        <f t="shared" si="91"/>
        <v>0</v>
      </c>
      <c r="AT347" s="38">
        <f t="shared" si="92"/>
        <v>23</v>
      </c>
      <c r="AU347" s="33" t="str">
        <f t="shared" si="93"/>
        <v>库存为23</v>
      </c>
      <c r="AV347" s="39" t="str">
        <f>IFERROR(时间!$B$4+AU347,"上周无销量")</f>
        <v>上周无销量</v>
      </c>
    </row>
    <row r="348" spans="1:48">
      <c r="A348" s="35" t="s">
        <v>393</v>
      </c>
      <c r="B348" t="str">
        <f>VLOOKUP(A348,'[2]sku-asin（子）'!$A:$B,2,0)</f>
        <v>B07BKTLC85</v>
      </c>
      <c r="C348" t="str">
        <f>VLOOKUP(A348,'[2]子sku-父sku'!$A:$B,2,0)</f>
        <v>NY-B15021</v>
      </c>
      <c r="D348" s="33">
        <f>IFERROR(VLOOKUP(A348,[3]库存报告使用数据处理!$A:$C,3,0),0)</f>
        <v>0</v>
      </c>
      <c r="E348" s="33">
        <f>IFERROR(VLOOKUP(A348,[3]库存报告使用数据处理!$A:$D,4,0),0)</f>
        <v>0</v>
      </c>
      <c r="F348" s="33">
        <f>IFERROR(VLOOKUP(A348,[3]库存报告使用数据处理!$A:$E,5,0),0)</f>
        <v>0</v>
      </c>
      <c r="G348" s="33">
        <f>IFERROR(VLOOKUP(A348,[3]库存报告使用数据处理!$A:$F,6,0),0)</f>
        <v>0</v>
      </c>
      <c r="H348" s="34">
        <f>IFERROR(VLOOKUP(A348,[3]库存报告使用数据处理!$A:$G,7,0),0)</f>
        <v>0</v>
      </c>
      <c r="I348">
        <f>IFERROR(VLOOKUP(A348,[4]数据处理!$A:$B,2,0),0)</f>
        <v>10</v>
      </c>
      <c r="J348" s="36">
        <f>IFERROR(VLOOKUP(A348,[4]数据处理!$A:$D,4,0),0)</f>
        <v>0</v>
      </c>
      <c r="K348" s="36">
        <f>IFERROR(VLOOKUP(A348,[4]数据处理!$A:$E,5,0),0)</f>
        <v>0</v>
      </c>
      <c r="L348" s="36">
        <f>IFERROR(VLOOKUP(A348,[4]数据处理!$A:$G,7,0),0)</f>
        <v>0</v>
      </c>
      <c r="M348">
        <f t="shared" si="89"/>
        <v>10</v>
      </c>
      <c r="N348">
        <f>IFERROR(VLOOKUP(A348,[4]数据处理!$A:$C,3,0),0)</f>
        <v>0</v>
      </c>
      <c r="O348">
        <f>IFERROR(VLOOKUP($A348,[4]数据处理!$A:$N,14,0),0)</f>
        <v>9</v>
      </c>
      <c r="P348">
        <f>IFERROR(VLOOKUP($A348,[5]库存使用数据!$A:$B,2,0),"")</f>
        <v>369</v>
      </c>
      <c r="Q348">
        <f>IFERROR(VLOOKUP($A348,[5]库存使用数据!$A:$E,5,0),"")</f>
        <v>2129</v>
      </c>
      <c r="R348">
        <f>IFERROR(VLOOKUP($A348,[5]库存使用数据!$A:$H,8,0),"")</f>
        <v>2996</v>
      </c>
      <c r="S348">
        <f>IFERROR(VLOOKUP($A348,[5]库存使用数据!$A:$K,11,0),"")</f>
        <v>578</v>
      </c>
      <c r="T348">
        <f>IFERROR(VLOOKUP($A348,[5]库存使用数据!$A:$C,3,0),"")</f>
        <v>1</v>
      </c>
      <c r="U348">
        <f>IFERROR(VLOOKUP($A348,[5]库存使用数据!$A:$F,6,0),"")</f>
        <v>0</v>
      </c>
      <c r="V348">
        <f>IFERROR(VLOOKUP($A348,[5]库存使用数据!$A:$I,9,0),"")</f>
        <v>5</v>
      </c>
      <c r="W348">
        <f>IFERROR(VLOOKUP($A348,[5]库存使用数据!$A:$L,12,0),"")</f>
        <v>1</v>
      </c>
      <c r="X348" s="23">
        <f t="shared" si="94"/>
        <v>0.002710027100271</v>
      </c>
      <c r="Y348" s="23">
        <f t="shared" si="95"/>
        <v>0</v>
      </c>
      <c r="Z348" s="23">
        <f t="shared" si="96"/>
        <v>0.00166889185580774</v>
      </c>
      <c r="AA348" s="23">
        <f t="shared" si="97"/>
        <v>0.00173010380622837</v>
      </c>
      <c r="AB348">
        <f>IFERROR(VLOOKUP($A348,[5]库存使用数据!$A:$D,4,0),"")</f>
        <v>0.39</v>
      </c>
      <c r="AC348">
        <f>IFERROR(VLOOKUP($A348,[5]库存使用数据!$A:$G,7,0),"")</f>
        <v>0</v>
      </c>
      <c r="AD348">
        <f>IFERROR(VLOOKUP($A348,[5]库存使用数据!$A:$J,10,0),"")</f>
        <v>2.06</v>
      </c>
      <c r="AE348">
        <f>IFERROR(VLOOKUP($A348,[5]库存使用数据!$A:$M,13,0),"")</f>
        <v>0.28</v>
      </c>
      <c r="AF348" s="23" t="str">
        <f t="shared" si="98"/>
        <v>无销量广告费为0.39</v>
      </c>
      <c r="AG348" s="23" t="str">
        <f t="shared" si="99"/>
        <v/>
      </c>
      <c r="AH348" s="23" t="str">
        <f t="shared" si="100"/>
        <v>无销量广告费为2.06</v>
      </c>
      <c r="AI348" s="23" t="str">
        <f t="shared" si="101"/>
        <v>无销量广告费为0.28</v>
      </c>
      <c r="AJ348">
        <f>IFERROR(VLOOKUP($B348,[1]库存报告使用数据!$A$1:$B$65536,2,0),0)</f>
        <v>1</v>
      </c>
      <c r="AK348">
        <f>IFERROR(VLOOKUP($B348,[1]库存报告使用数据!$A$1:$C$65536,3,0),0)</f>
        <v>6</v>
      </c>
      <c r="AL348">
        <f>IFERROR(VLOOKUP($B348,[1]库存报告使用数据!$A$1:$D$65536,4,0),0)</f>
        <v>6</v>
      </c>
      <c r="AM348">
        <f>IFERROR(VLOOKUP($B348,[1]库存报告使用数据!$A$1:$E$65536,5,0),0)</f>
        <v>0</v>
      </c>
      <c r="AN348" s="23">
        <f t="shared" si="102"/>
        <v>0</v>
      </c>
      <c r="AO348" s="23">
        <f t="shared" si="103"/>
        <v>0</v>
      </c>
      <c r="AP348" s="23">
        <f t="shared" si="104"/>
        <v>0</v>
      </c>
      <c r="AQ348" s="23" t="str">
        <f t="shared" si="105"/>
        <v/>
      </c>
      <c r="AR348" s="38">
        <f t="shared" si="90"/>
        <v>0</v>
      </c>
      <c r="AS348" s="38">
        <f t="shared" si="91"/>
        <v>0</v>
      </c>
      <c r="AT348" s="38">
        <f t="shared" si="92"/>
        <v>10</v>
      </c>
      <c r="AU348" s="33" t="str">
        <f t="shared" si="93"/>
        <v>库存为10</v>
      </c>
      <c r="AV348" s="39" t="str">
        <f>IFERROR(时间!$B$4+AU348,"上周无销量")</f>
        <v>上周无销量</v>
      </c>
    </row>
    <row r="349" spans="1:48">
      <c r="A349" s="35" t="s">
        <v>394</v>
      </c>
      <c r="B349" t="str">
        <f>VLOOKUP(A349,'[2]sku-asin（子）'!$A:$B,2,0)</f>
        <v>B07BKS8YTN</v>
      </c>
      <c r="C349" t="str">
        <f>VLOOKUP(A349,'[2]子sku-父sku'!$A:$B,2,0)</f>
        <v>NY-B15021</v>
      </c>
      <c r="D349" s="33">
        <f>IFERROR(VLOOKUP(A349,[3]库存报告使用数据处理!$A:$C,3,0),0)</f>
        <v>0</v>
      </c>
      <c r="E349" s="33">
        <f>IFERROR(VLOOKUP(A349,[3]库存报告使用数据处理!$A:$D,4,0),0)</f>
        <v>0</v>
      </c>
      <c r="F349" s="33">
        <f>IFERROR(VLOOKUP(A349,[3]库存报告使用数据处理!$A:$E,5,0),0)</f>
        <v>0</v>
      </c>
      <c r="G349" s="33">
        <f>IFERROR(VLOOKUP(A349,[3]库存报告使用数据处理!$A:$F,6,0),0)</f>
        <v>0</v>
      </c>
      <c r="H349" s="34">
        <f>IFERROR(VLOOKUP(A349,[3]库存报告使用数据处理!$A:$G,7,0),0)</f>
        <v>0</v>
      </c>
      <c r="I349">
        <f>IFERROR(VLOOKUP(A349,[4]数据处理!$A:$B,2,0),0)</f>
        <v>0</v>
      </c>
      <c r="J349" s="36">
        <f>IFERROR(VLOOKUP(A349,[4]数据处理!$A:$D,4,0),0)</f>
        <v>0</v>
      </c>
      <c r="K349" s="36">
        <f>IFERROR(VLOOKUP(A349,[4]数据处理!$A:$E,5,0),0)</f>
        <v>0</v>
      </c>
      <c r="L349" s="36">
        <f>IFERROR(VLOOKUP(A349,[4]数据处理!$A:$G,7,0),0)</f>
        <v>0</v>
      </c>
      <c r="M349">
        <f t="shared" si="89"/>
        <v>0</v>
      </c>
      <c r="N349">
        <f>IFERROR(VLOOKUP(A349,[4]数据处理!$A:$C,3,0),0)</f>
        <v>0</v>
      </c>
      <c r="O349">
        <f>IFERROR(VLOOKUP($A349,[4]数据处理!$A:$N,14,0),0)</f>
        <v>0</v>
      </c>
      <c r="P349" t="str">
        <f>IFERROR(VLOOKUP($A349,[5]库存使用数据!$A:$B,2,0),"")</f>
        <v/>
      </c>
      <c r="Q349" t="str">
        <f>IFERROR(VLOOKUP($A349,[5]库存使用数据!$A:$E,5,0),"")</f>
        <v/>
      </c>
      <c r="R349" t="str">
        <f>IFERROR(VLOOKUP($A349,[5]库存使用数据!$A:$H,8,0),"")</f>
        <v/>
      </c>
      <c r="S349" t="str">
        <f>IFERROR(VLOOKUP($A349,[5]库存使用数据!$A:$K,11,0),"")</f>
        <v/>
      </c>
      <c r="T349" t="str">
        <f>IFERROR(VLOOKUP($A349,[5]库存使用数据!$A:$C,3,0),"")</f>
        <v/>
      </c>
      <c r="U349" t="str">
        <f>IFERROR(VLOOKUP($A349,[5]库存使用数据!$A:$F,6,0),"")</f>
        <v/>
      </c>
      <c r="V349" t="str">
        <f>IFERROR(VLOOKUP($A349,[5]库存使用数据!$A:$I,9,0),"")</f>
        <v/>
      </c>
      <c r="W349" t="str">
        <f>IFERROR(VLOOKUP($A349,[5]库存使用数据!$A:$L,12,0),"")</f>
        <v/>
      </c>
      <c r="X349" s="23" t="str">
        <f t="shared" si="94"/>
        <v/>
      </c>
      <c r="Y349" s="23" t="str">
        <f t="shared" si="95"/>
        <v/>
      </c>
      <c r="Z349" s="23" t="str">
        <f t="shared" si="96"/>
        <v/>
      </c>
      <c r="AA349" s="23" t="str">
        <f t="shared" si="97"/>
        <v/>
      </c>
      <c r="AB349" t="str">
        <f>IFERROR(VLOOKUP($A349,[5]库存使用数据!$A:$D,4,0),"")</f>
        <v/>
      </c>
      <c r="AC349" t="str">
        <f>IFERROR(VLOOKUP($A349,[5]库存使用数据!$A:$G,7,0),"")</f>
        <v/>
      </c>
      <c r="AD349" t="str">
        <f>IFERROR(VLOOKUP($A349,[5]库存使用数据!$A:$J,10,0),"")</f>
        <v/>
      </c>
      <c r="AE349" t="str">
        <f>IFERROR(VLOOKUP($A349,[5]库存使用数据!$A:$M,13,0),"")</f>
        <v/>
      </c>
      <c r="AF349" s="23" t="str">
        <f t="shared" si="98"/>
        <v/>
      </c>
      <c r="AG349" s="23" t="str">
        <f t="shared" si="99"/>
        <v/>
      </c>
      <c r="AH349" s="23" t="str">
        <f t="shared" si="100"/>
        <v/>
      </c>
      <c r="AI349" s="23" t="str">
        <f t="shared" si="101"/>
        <v/>
      </c>
      <c r="AJ349">
        <f>IFERROR(VLOOKUP($B349,[1]库存报告使用数据!$A$1:$B$65536,2,0),0)</f>
        <v>0</v>
      </c>
      <c r="AK349">
        <f>IFERROR(VLOOKUP($B349,[1]库存报告使用数据!$A$1:$C$65536,3,0),0)</f>
        <v>0</v>
      </c>
      <c r="AL349">
        <f>IFERROR(VLOOKUP($B349,[1]库存报告使用数据!$A$1:$D$65536,4,0),0)</f>
        <v>0</v>
      </c>
      <c r="AM349">
        <f>IFERROR(VLOOKUP($B349,[1]库存报告使用数据!$A$1:$E$65536,5,0),0)</f>
        <v>0</v>
      </c>
      <c r="AN349" s="23" t="str">
        <f t="shared" si="102"/>
        <v/>
      </c>
      <c r="AO349" s="23" t="str">
        <f t="shared" si="103"/>
        <v/>
      </c>
      <c r="AP349" s="23" t="str">
        <f t="shared" si="104"/>
        <v/>
      </c>
      <c r="AQ349" s="23" t="str">
        <f t="shared" si="105"/>
        <v/>
      </c>
      <c r="AR349" s="38">
        <f t="shared" si="90"/>
        <v>0</v>
      </c>
      <c r="AS349" s="38">
        <f t="shared" si="91"/>
        <v>0</v>
      </c>
      <c r="AT349" s="38">
        <f t="shared" si="92"/>
        <v>0</v>
      </c>
      <c r="AU349" s="33" t="str">
        <f t="shared" si="93"/>
        <v>库存为0</v>
      </c>
      <c r="AV349" s="39" t="str">
        <f>IFERROR(时间!$B$4+AU349,"上周无销量")</f>
        <v>上周无销量</v>
      </c>
    </row>
    <row r="350" spans="1:48">
      <c r="A350" s="35" t="s">
        <v>395</v>
      </c>
      <c r="B350" t="str">
        <f>VLOOKUP(A350,'[2]sku-asin（子）'!$A:$B,2,0)</f>
        <v>B078WQVSNV</v>
      </c>
      <c r="C350" t="str">
        <f>VLOOKUP(A350,'[2]子sku-父sku'!$A:$B,2,0)</f>
        <v>NK-XUHM001</v>
      </c>
      <c r="D350" s="33">
        <f>IFERROR(VLOOKUP(A350,[3]库存报告使用数据处理!$A:$C,3,0),0)</f>
        <v>0</v>
      </c>
      <c r="E350" s="33">
        <f>IFERROR(VLOOKUP(A350,[3]库存报告使用数据处理!$A:$D,4,0),0)</f>
        <v>0</v>
      </c>
      <c r="F350" s="33">
        <f>IFERROR(VLOOKUP(A350,[3]库存报告使用数据处理!$A:$E,5,0),0)</f>
        <v>0</v>
      </c>
      <c r="G350" s="33">
        <f>IFERROR(VLOOKUP(A350,[3]库存报告使用数据处理!$A:$F,6,0),0)</f>
        <v>0</v>
      </c>
      <c r="H350" s="34">
        <f>IFERROR(VLOOKUP(A350,[3]库存报告使用数据处理!$A:$G,7,0),0)</f>
        <v>0</v>
      </c>
      <c r="I350">
        <f>IFERROR(VLOOKUP(A350,[4]数据处理!$A:$B,2,0),0)</f>
        <v>14</v>
      </c>
      <c r="J350" s="36">
        <f>IFERROR(VLOOKUP(A350,[4]数据处理!$A:$D,4,0),0)</f>
        <v>0</v>
      </c>
      <c r="K350" s="36">
        <f>IFERROR(VLOOKUP(A350,[4]数据处理!$A:$E,5,0),0)</f>
        <v>0</v>
      </c>
      <c r="L350" s="36">
        <f>IFERROR(VLOOKUP(A350,[4]数据处理!$A:$G,7,0),0)</f>
        <v>0</v>
      </c>
      <c r="M350">
        <f t="shared" si="89"/>
        <v>14</v>
      </c>
      <c r="N350">
        <f>IFERROR(VLOOKUP(A350,[4]数据处理!$A:$C,3,0),0)</f>
        <v>0</v>
      </c>
      <c r="O350">
        <f>IFERROR(VLOOKUP($A350,[4]数据处理!$A:$N,14,0),0)</f>
        <v>14</v>
      </c>
      <c r="P350">
        <f>IFERROR(VLOOKUP($A350,[5]库存使用数据!$A:$B,2,0),"")</f>
        <v>329</v>
      </c>
      <c r="Q350">
        <f>IFERROR(VLOOKUP($A350,[5]库存使用数据!$A:$E,5,0),"")</f>
        <v>316</v>
      </c>
      <c r="R350">
        <f>IFERROR(VLOOKUP($A350,[5]库存使用数据!$A:$H,8,0),"")</f>
        <v>775</v>
      </c>
      <c r="S350">
        <f>IFERROR(VLOOKUP($A350,[5]库存使用数据!$A:$K,11,0),"")</f>
        <v>4933</v>
      </c>
      <c r="T350">
        <f>IFERROR(VLOOKUP($A350,[5]库存使用数据!$A:$C,3,0),"")</f>
        <v>0</v>
      </c>
      <c r="U350">
        <f>IFERROR(VLOOKUP($A350,[5]库存使用数据!$A:$F,6,0),"")</f>
        <v>0</v>
      </c>
      <c r="V350">
        <f>IFERROR(VLOOKUP($A350,[5]库存使用数据!$A:$I,9,0),"")</f>
        <v>1</v>
      </c>
      <c r="W350">
        <f>IFERROR(VLOOKUP($A350,[5]库存使用数据!$A:$L,12,0),"")</f>
        <v>6</v>
      </c>
      <c r="X350" s="23">
        <f t="shared" si="94"/>
        <v>0</v>
      </c>
      <c r="Y350" s="23">
        <f t="shared" si="95"/>
        <v>0</v>
      </c>
      <c r="Z350" s="23">
        <f t="shared" si="96"/>
        <v>0.00129032258064516</v>
      </c>
      <c r="AA350" s="23">
        <f t="shared" si="97"/>
        <v>0.00121629839854044</v>
      </c>
      <c r="AB350">
        <f>IFERROR(VLOOKUP($A350,[5]库存使用数据!$A:$D,4,0),"")</f>
        <v>0</v>
      </c>
      <c r="AC350">
        <f>IFERROR(VLOOKUP($A350,[5]库存使用数据!$A:$G,7,0),"")</f>
        <v>0</v>
      </c>
      <c r="AD350">
        <f>IFERROR(VLOOKUP($A350,[5]库存使用数据!$A:$J,10,0),"")</f>
        <v>0.33</v>
      </c>
      <c r="AE350">
        <f>IFERROR(VLOOKUP($A350,[5]库存使用数据!$A:$M,13,0),"")</f>
        <v>2.81</v>
      </c>
      <c r="AF350" s="23" t="str">
        <f t="shared" si="98"/>
        <v/>
      </c>
      <c r="AG350" s="23" t="str">
        <f t="shared" si="99"/>
        <v/>
      </c>
      <c r="AH350" s="23" t="str">
        <f t="shared" si="100"/>
        <v>无销量广告费为0.33</v>
      </c>
      <c r="AI350" s="23" t="str">
        <f t="shared" si="101"/>
        <v>无销量广告费为2.81</v>
      </c>
      <c r="AJ350">
        <f>IFERROR(VLOOKUP($B350,[1]库存报告使用数据!$A$1:$B$65536,2,0),0)</f>
        <v>1</v>
      </c>
      <c r="AK350">
        <f>IFERROR(VLOOKUP($B350,[1]库存报告使用数据!$A$1:$C$65536,3,0),0)</f>
        <v>3</v>
      </c>
      <c r="AL350">
        <f>IFERROR(VLOOKUP($B350,[1]库存报告使用数据!$A$1:$D$65536,4,0),0)</f>
        <v>2</v>
      </c>
      <c r="AM350">
        <f>IFERROR(VLOOKUP($B350,[1]库存报告使用数据!$A$1:$E$65536,5,0),0)</f>
        <v>4</v>
      </c>
      <c r="AN350" s="23">
        <f t="shared" si="102"/>
        <v>0</v>
      </c>
      <c r="AO350" s="23">
        <f t="shared" si="103"/>
        <v>0</v>
      </c>
      <c r="AP350" s="23">
        <f t="shared" si="104"/>
        <v>0</v>
      </c>
      <c r="AQ350" s="23">
        <f t="shared" si="105"/>
        <v>0</v>
      </c>
      <c r="AR350" s="38">
        <f t="shared" si="90"/>
        <v>0</v>
      </c>
      <c r="AS350" s="38">
        <f t="shared" si="91"/>
        <v>0</v>
      </c>
      <c r="AT350" s="38">
        <f t="shared" si="92"/>
        <v>14</v>
      </c>
      <c r="AU350" s="33" t="str">
        <f t="shared" si="93"/>
        <v>库存为14</v>
      </c>
      <c r="AV350" s="39" t="str">
        <f>IFERROR(时间!$B$4+AU350,"上周无销量")</f>
        <v>上周无销量</v>
      </c>
    </row>
    <row r="351" spans="1:48">
      <c r="A351" s="35" t="s">
        <v>396</v>
      </c>
      <c r="B351" t="str">
        <f>VLOOKUP(A351,'[2]sku-asin（子）'!$A:$B,2,0)</f>
        <v>B078WRMSBV</v>
      </c>
      <c r="C351" t="str">
        <f>VLOOKUP(A351,'[2]子sku-父sku'!$A:$B,2,0)</f>
        <v>NK-XUHM001</v>
      </c>
      <c r="D351" s="33">
        <f>IFERROR(VLOOKUP(A351,[3]库存报告使用数据处理!$A:$C,3,0),0)</f>
        <v>0</v>
      </c>
      <c r="E351" s="33">
        <f>IFERROR(VLOOKUP(A351,[3]库存报告使用数据处理!$A:$D,4,0),0)</f>
        <v>0</v>
      </c>
      <c r="F351" s="33">
        <f>IFERROR(VLOOKUP(A351,[3]库存报告使用数据处理!$A:$E,5,0),0)</f>
        <v>0</v>
      </c>
      <c r="G351" s="33">
        <f>IFERROR(VLOOKUP(A351,[3]库存报告使用数据处理!$A:$F,6,0),0)</f>
        <v>0</v>
      </c>
      <c r="H351" s="34">
        <f>IFERROR(VLOOKUP(A351,[3]库存报告使用数据处理!$A:$G,7,0),0)</f>
        <v>0</v>
      </c>
      <c r="I351">
        <f>IFERROR(VLOOKUP(A351,[4]数据处理!$A:$B,2,0),0)</f>
        <v>29</v>
      </c>
      <c r="J351" s="36">
        <f>IFERROR(VLOOKUP(A351,[4]数据处理!$A:$D,4,0),0)</f>
        <v>0</v>
      </c>
      <c r="K351" s="36">
        <f>IFERROR(VLOOKUP(A351,[4]数据处理!$A:$E,5,0),0)</f>
        <v>0</v>
      </c>
      <c r="L351" s="36">
        <f>IFERROR(VLOOKUP(A351,[4]数据处理!$A:$G,7,0),0)</f>
        <v>0</v>
      </c>
      <c r="M351">
        <f t="shared" si="89"/>
        <v>29</v>
      </c>
      <c r="N351">
        <f>IFERROR(VLOOKUP(A351,[4]数据处理!$A:$C,3,0),0)</f>
        <v>0</v>
      </c>
      <c r="O351">
        <f>IFERROR(VLOOKUP($A351,[4]数据处理!$A:$N,14,0),0)</f>
        <v>29</v>
      </c>
      <c r="P351">
        <f>IFERROR(VLOOKUP($A351,[5]库存使用数据!$A:$B,2,0),"")</f>
        <v>727</v>
      </c>
      <c r="Q351">
        <f>IFERROR(VLOOKUP($A351,[5]库存使用数据!$A:$E,5,0),"")</f>
        <v>932</v>
      </c>
      <c r="R351">
        <f>IFERROR(VLOOKUP($A351,[5]库存使用数据!$A:$H,8,0),"")</f>
        <v>720</v>
      </c>
      <c r="S351">
        <f>IFERROR(VLOOKUP($A351,[5]库存使用数据!$A:$K,11,0),"")</f>
        <v>1005</v>
      </c>
      <c r="T351">
        <f>IFERROR(VLOOKUP($A351,[5]库存使用数据!$A:$C,3,0),"")</f>
        <v>2</v>
      </c>
      <c r="U351">
        <f>IFERROR(VLOOKUP($A351,[5]库存使用数据!$A:$F,6,0),"")</f>
        <v>1</v>
      </c>
      <c r="V351">
        <f>IFERROR(VLOOKUP($A351,[5]库存使用数据!$A:$I,9,0),"")</f>
        <v>1</v>
      </c>
      <c r="W351">
        <f>IFERROR(VLOOKUP($A351,[5]库存使用数据!$A:$L,12,0),"")</f>
        <v>0</v>
      </c>
      <c r="X351" s="23">
        <f t="shared" si="94"/>
        <v>0.00275103163686382</v>
      </c>
      <c r="Y351" s="23">
        <f t="shared" si="95"/>
        <v>0.00107296137339056</v>
      </c>
      <c r="Z351" s="23">
        <f t="shared" si="96"/>
        <v>0.00138888888888889</v>
      </c>
      <c r="AA351" s="23">
        <f t="shared" si="97"/>
        <v>0</v>
      </c>
      <c r="AB351">
        <f>IFERROR(VLOOKUP($A351,[5]库存使用数据!$A:$D,4,0),"")</f>
        <v>1.12</v>
      </c>
      <c r="AC351">
        <f>IFERROR(VLOOKUP($A351,[5]库存使用数据!$A:$G,7,0),"")</f>
        <v>0.53</v>
      </c>
      <c r="AD351">
        <f>IFERROR(VLOOKUP($A351,[5]库存使用数据!$A:$J,10,0),"")</f>
        <v>0.55</v>
      </c>
      <c r="AE351">
        <f>IFERROR(VLOOKUP($A351,[5]库存使用数据!$A:$M,13,0),"")</f>
        <v>0</v>
      </c>
      <c r="AF351" s="23" t="str">
        <f t="shared" si="98"/>
        <v>无销量广告费为1.12</v>
      </c>
      <c r="AG351" s="23" t="str">
        <f t="shared" si="99"/>
        <v>无销量广告费为0.53</v>
      </c>
      <c r="AH351" s="23" t="str">
        <f t="shared" si="100"/>
        <v>无销量广告费为0.55</v>
      </c>
      <c r="AI351" s="23" t="str">
        <f t="shared" si="101"/>
        <v/>
      </c>
      <c r="AJ351">
        <f>IFERROR(VLOOKUP($B351,[1]库存报告使用数据!$A$1:$B$65536,2,0),0)</f>
        <v>1</v>
      </c>
      <c r="AK351">
        <f>IFERROR(VLOOKUP($B351,[1]库存报告使用数据!$A$1:$C$65536,3,0),0)</f>
        <v>1</v>
      </c>
      <c r="AL351">
        <f>IFERROR(VLOOKUP($B351,[1]库存报告使用数据!$A$1:$D$65536,4,0),0)</f>
        <v>1</v>
      </c>
      <c r="AM351">
        <f>IFERROR(VLOOKUP($B351,[1]库存报告使用数据!$A$1:$E$65536,5,0),0)</f>
        <v>1</v>
      </c>
      <c r="AN351" s="23">
        <f t="shared" si="102"/>
        <v>0</v>
      </c>
      <c r="AO351" s="23">
        <f t="shared" si="103"/>
        <v>0</v>
      </c>
      <c r="AP351" s="23">
        <f t="shared" si="104"/>
        <v>0</v>
      </c>
      <c r="AQ351" s="23">
        <f t="shared" si="105"/>
        <v>0</v>
      </c>
      <c r="AR351" s="38">
        <f t="shared" si="90"/>
        <v>0</v>
      </c>
      <c r="AS351" s="38">
        <f t="shared" si="91"/>
        <v>0</v>
      </c>
      <c r="AT351" s="38">
        <f t="shared" si="92"/>
        <v>29</v>
      </c>
      <c r="AU351" s="33" t="str">
        <f t="shared" si="93"/>
        <v>库存为29</v>
      </c>
      <c r="AV351" s="39" t="str">
        <f>IFERROR(时间!$B$4+AU351,"上周无销量")</f>
        <v>上周无销量</v>
      </c>
    </row>
    <row r="352" spans="1:48">
      <c r="A352" s="35" t="s">
        <v>397</v>
      </c>
      <c r="B352" t="str">
        <f>VLOOKUP(A352,'[2]sku-asin（子）'!$A:$B,2,0)</f>
        <v>B078WQMW23</v>
      </c>
      <c r="C352" t="str">
        <f>VLOOKUP(A352,'[2]子sku-父sku'!$A:$B,2,0)</f>
        <v>NK-XUHM001</v>
      </c>
      <c r="D352" s="33">
        <f>IFERROR(VLOOKUP(A352,[3]库存报告使用数据处理!$A:$C,3,0),0)</f>
        <v>0</v>
      </c>
      <c r="E352" s="33">
        <f>IFERROR(VLOOKUP(A352,[3]库存报告使用数据处理!$A:$D,4,0),0)</f>
        <v>0</v>
      </c>
      <c r="F352" s="33">
        <f>IFERROR(VLOOKUP(A352,[3]库存报告使用数据处理!$A:$E,5,0),0)</f>
        <v>0</v>
      </c>
      <c r="G352" s="33">
        <f>IFERROR(VLOOKUP(A352,[3]库存报告使用数据处理!$A:$F,6,0),0)</f>
        <v>0</v>
      </c>
      <c r="H352" s="34">
        <f>IFERROR(VLOOKUP(A352,[3]库存报告使用数据处理!$A:$G,7,0),0)</f>
        <v>0</v>
      </c>
      <c r="I352">
        <f>IFERROR(VLOOKUP(A352,[4]数据处理!$A:$B,2,0),0)</f>
        <v>27</v>
      </c>
      <c r="J352" s="36">
        <f>IFERROR(VLOOKUP(A352,[4]数据处理!$A:$D,4,0),0)</f>
        <v>0</v>
      </c>
      <c r="K352" s="36">
        <f>IFERROR(VLOOKUP(A352,[4]数据处理!$A:$E,5,0),0)</f>
        <v>0</v>
      </c>
      <c r="L352" s="36">
        <f>IFERROR(VLOOKUP(A352,[4]数据处理!$A:$G,7,0),0)</f>
        <v>0</v>
      </c>
      <c r="M352">
        <f t="shared" si="89"/>
        <v>27</v>
      </c>
      <c r="N352">
        <f>IFERROR(VLOOKUP(A352,[4]数据处理!$A:$C,3,0),0)</f>
        <v>0</v>
      </c>
      <c r="O352">
        <f>IFERROR(VLOOKUP($A352,[4]数据处理!$A:$N,14,0),0)</f>
        <v>27</v>
      </c>
      <c r="P352">
        <f>IFERROR(VLOOKUP($A352,[5]库存使用数据!$A:$B,2,0),"")</f>
        <v>372</v>
      </c>
      <c r="Q352">
        <f>IFERROR(VLOOKUP($A352,[5]库存使用数据!$A:$E,5,0),"")</f>
        <v>757</v>
      </c>
      <c r="R352">
        <f>IFERROR(VLOOKUP($A352,[5]库存使用数据!$A:$H,8,0),"")</f>
        <v>363</v>
      </c>
      <c r="S352">
        <f>IFERROR(VLOOKUP($A352,[5]库存使用数据!$A:$K,11,0),"")</f>
        <v>426</v>
      </c>
      <c r="T352">
        <f>IFERROR(VLOOKUP($A352,[5]库存使用数据!$A:$C,3,0),"")</f>
        <v>0</v>
      </c>
      <c r="U352">
        <f>IFERROR(VLOOKUP($A352,[5]库存使用数据!$A:$F,6,0),"")</f>
        <v>1</v>
      </c>
      <c r="V352">
        <f>IFERROR(VLOOKUP($A352,[5]库存使用数据!$A:$I,9,0),"")</f>
        <v>0</v>
      </c>
      <c r="W352">
        <f>IFERROR(VLOOKUP($A352,[5]库存使用数据!$A:$L,12,0),"")</f>
        <v>1</v>
      </c>
      <c r="X352" s="23">
        <f t="shared" si="94"/>
        <v>0</v>
      </c>
      <c r="Y352" s="23">
        <f t="shared" si="95"/>
        <v>0.00132100396301189</v>
      </c>
      <c r="Z352" s="23">
        <f t="shared" si="96"/>
        <v>0</v>
      </c>
      <c r="AA352" s="23">
        <f t="shared" si="97"/>
        <v>0.00234741784037559</v>
      </c>
      <c r="AB352">
        <f>IFERROR(VLOOKUP($A352,[5]库存使用数据!$A:$D,4,0),"")</f>
        <v>0</v>
      </c>
      <c r="AC352">
        <f>IFERROR(VLOOKUP($A352,[5]库存使用数据!$A:$G,7,0),"")</f>
        <v>0.17</v>
      </c>
      <c r="AD352">
        <f>IFERROR(VLOOKUP($A352,[5]库存使用数据!$A:$J,10,0),"")</f>
        <v>0</v>
      </c>
      <c r="AE352">
        <f>IFERROR(VLOOKUP($A352,[5]库存使用数据!$A:$M,13,0),"")</f>
        <v>0.27</v>
      </c>
      <c r="AF352" s="23" t="str">
        <f t="shared" si="98"/>
        <v/>
      </c>
      <c r="AG352" s="23" t="str">
        <f t="shared" si="99"/>
        <v>无销量广告费为0.17</v>
      </c>
      <c r="AH352" s="23" t="str">
        <f t="shared" si="100"/>
        <v/>
      </c>
      <c r="AI352" s="23" t="str">
        <f t="shared" si="101"/>
        <v>无销量广告费为0.27</v>
      </c>
      <c r="AJ352">
        <f>IFERROR(VLOOKUP($B352,[1]库存报告使用数据!$A$1:$B$65536,2,0),0)</f>
        <v>1</v>
      </c>
      <c r="AK352">
        <f>IFERROR(VLOOKUP($B352,[1]库存报告使用数据!$A$1:$C$65536,3,0),0)</f>
        <v>3</v>
      </c>
      <c r="AL352">
        <f>IFERROR(VLOOKUP($B352,[1]库存报告使用数据!$A$1:$D$65536,4,0),0)</f>
        <v>1</v>
      </c>
      <c r="AM352">
        <f>IFERROR(VLOOKUP($B352,[1]库存报告使用数据!$A$1:$E$65536,5,0),0)</f>
        <v>0</v>
      </c>
      <c r="AN352" s="23">
        <f t="shared" si="102"/>
        <v>0</v>
      </c>
      <c r="AO352" s="23">
        <f t="shared" si="103"/>
        <v>0</v>
      </c>
      <c r="AP352" s="23">
        <f t="shared" si="104"/>
        <v>0</v>
      </c>
      <c r="AQ352" s="23" t="str">
        <f t="shared" si="105"/>
        <v/>
      </c>
      <c r="AR352" s="38">
        <f t="shared" si="90"/>
        <v>0</v>
      </c>
      <c r="AS352" s="38">
        <f t="shared" si="91"/>
        <v>0</v>
      </c>
      <c r="AT352" s="38">
        <f t="shared" si="92"/>
        <v>27</v>
      </c>
      <c r="AU352" s="33" t="str">
        <f t="shared" si="93"/>
        <v>库存为27</v>
      </c>
      <c r="AV352" s="39" t="str">
        <f>IFERROR(时间!$B$4+AU352,"上周无销量")</f>
        <v>上周无销量</v>
      </c>
    </row>
    <row r="353" spans="1:48">
      <c r="A353" s="35" t="s">
        <v>398</v>
      </c>
      <c r="B353" t="str">
        <f>VLOOKUP(A353,'[2]sku-asin（子）'!$A:$B,2,0)</f>
        <v>B078WQV8SF</v>
      </c>
      <c r="C353" t="str">
        <f>VLOOKUP(A353,'[2]子sku-父sku'!$A:$B,2,0)</f>
        <v>NK-XUHM011</v>
      </c>
      <c r="D353" s="33">
        <f>IFERROR(VLOOKUP(A353,[3]库存报告使用数据处理!$A:$C,3,0),0)</f>
        <v>0</v>
      </c>
      <c r="E353" s="33">
        <f>IFERROR(VLOOKUP(A353,[3]库存报告使用数据处理!$A:$D,4,0),0)</f>
        <v>0</v>
      </c>
      <c r="F353" s="33">
        <f>IFERROR(VLOOKUP(A353,[3]库存报告使用数据处理!$A:$E,5,0),0)</f>
        <v>0</v>
      </c>
      <c r="G353" s="33">
        <f>IFERROR(VLOOKUP(A353,[3]库存报告使用数据处理!$A:$F,6,0),0)</f>
        <v>0</v>
      </c>
      <c r="H353" s="34">
        <f>IFERROR(VLOOKUP(A353,[3]库存报告使用数据处理!$A:$G,7,0),0)</f>
        <v>0</v>
      </c>
      <c r="I353">
        <f>IFERROR(VLOOKUP(A353,[4]数据处理!$A:$B,2,0),0)</f>
        <v>14</v>
      </c>
      <c r="J353" s="36">
        <f>IFERROR(VLOOKUP(A353,[4]数据处理!$A:$D,4,0),0)</f>
        <v>0</v>
      </c>
      <c r="K353" s="36">
        <f>IFERROR(VLOOKUP(A353,[4]数据处理!$A:$E,5,0),0)</f>
        <v>0</v>
      </c>
      <c r="L353" s="36">
        <f>IFERROR(VLOOKUP(A353,[4]数据处理!$A:$G,7,0),0)</f>
        <v>0</v>
      </c>
      <c r="M353">
        <f t="shared" si="89"/>
        <v>14</v>
      </c>
      <c r="N353">
        <f>IFERROR(VLOOKUP(A353,[4]数据处理!$A:$C,3,0),0)</f>
        <v>0</v>
      </c>
      <c r="O353">
        <f>IFERROR(VLOOKUP($A353,[4]数据处理!$A:$N,14,0),0)</f>
        <v>14</v>
      </c>
      <c r="P353">
        <f>IFERROR(VLOOKUP($A353,[5]库存使用数据!$A:$B,2,0),"")</f>
        <v>657</v>
      </c>
      <c r="Q353">
        <f>IFERROR(VLOOKUP($A353,[5]库存使用数据!$A:$E,5,0),"")</f>
        <v>880</v>
      </c>
      <c r="R353">
        <f>IFERROR(VLOOKUP($A353,[5]库存使用数据!$A:$H,8,0),"")</f>
        <v>1342</v>
      </c>
      <c r="S353">
        <f>IFERROR(VLOOKUP($A353,[5]库存使用数据!$A:$K,11,0),"")</f>
        <v>560</v>
      </c>
      <c r="T353">
        <f>IFERROR(VLOOKUP($A353,[5]库存使用数据!$A:$C,3,0),"")</f>
        <v>0</v>
      </c>
      <c r="U353">
        <f>IFERROR(VLOOKUP($A353,[5]库存使用数据!$A:$F,6,0),"")</f>
        <v>1</v>
      </c>
      <c r="V353">
        <f>IFERROR(VLOOKUP($A353,[5]库存使用数据!$A:$I,9,0),"")</f>
        <v>4</v>
      </c>
      <c r="W353">
        <f>IFERROR(VLOOKUP($A353,[5]库存使用数据!$A:$L,12,0),"")</f>
        <v>0</v>
      </c>
      <c r="X353" s="23">
        <f t="shared" si="94"/>
        <v>0</v>
      </c>
      <c r="Y353" s="23">
        <f t="shared" si="95"/>
        <v>0.00113636363636364</v>
      </c>
      <c r="Z353" s="23">
        <f t="shared" si="96"/>
        <v>0.0029806259314456</v>
      </c>
      <c r="AA353" s="23">
        <f t="shared" si="97"/>
        <v>0</v>
      </c>
      <c r="AB353">
        <f>IFERROR(VLOOKUP($A353,[5]库存使用数据!$A:$D,4,0),"")</f>
        <v>0</v>
      </c>
      <c r="AC353">
        <f>IFERROR(VLOOKUP($A353,[5]库存使用数据!$A:$G,7,0),"")</f>
        <v>0.49</v>
      </c>
      <c r="AD353">
        <f>IFERROR(VLOOKUP($A353,[5]库存使用数据!$A:$J,10,0),"")</f>
        <v>1.67</v>
      </c>
      <c r="AE353">
        <f>IFERROR(VLOOKUP($A353,[5]库存使用数据!$A:$M,13,0),"")</f>
        <v>0</v>
      </c>
      <c r="AF353" s="23" t="str">
        <f t="shared" si="98"/>
        <v/>
      </c>
      <c r="AG353" s="23" t="str">
        <f t="shared" si="99"/>
        <v>无销量广告费为0.49</v>
      </c>
      <c r="AH353" s="23" t="str">
        <f t="shared" si="100"/>
        <v>无销量广告费为1.67</v>
      </c>
      <c r="AI353" s="23" t="str">
        <f t="shared" si="101"/>
        <v/>
      </c>
      <c r="AJ353">
        <f>IFERROR(VLOOKUP($B353,[1]库存报告使用数据!$A$1:$B$65536,2,0),0)</f>
        <v>2</v>
      </c>
      <c r="AK353">
        <f>IFERROR(VLOOKUP($B353,[1]库存报告使用数据!$A$1:$C$65536,3,0),0)</f>
        <v>3</v>
      </c>
      <c r="AL353">
        <f>IFERROR(VLOOKUP($B353,[1]库存报告使用数据!$A$1:$D$65536,4,0),0)</f>
        <v>0</v>
      </c>
      <c r="AM353">
        <f>IFERROR(VLOOKUP($B353,[1]库存报告使用数据!$A$1:$E$65536,5,0),0)</f>
        <v>2</v>
      </c>
      <c r="AN353" s="23">
        <f t="shared" si="102"/>
        <v>0</v>
      </c>
      <c r="AO353" s="23">
        <f t="shared" si="103"/>
        <v>0</v>
      </c>
      <c r="AP353" s="23" t="str">
        <f t="shared" si="104"/>
        <v/>
      </c>
      <c r="AQ353" s="23">
        <f t="shared" si="105"/>
        <v>0</v>
      </c>
      <c r="AR353" s="38">
        <f t="shared" si="90"/>
        <v>0</v>
      </c>
      <c r="AS353" s="38">
        <f t="shared" si="91"/>
        <v>0</v>
      </c>
      <c r="AT353" s="38">
        <f t="shared" si="92"/>
        <v>14</v>
      </c>
      <c r="AU353" s="33" t="str">
        <f t="shared" si="93"/>
        <v>库存为14</v>
      </c>
      <c r="AV353" s="39" t="str">
        <f>IFERROR(时间!$B$4+AU353,"上周无销量")</f>
        <v>上周无销量</v>
      </c>
    </row>
    <row r="354" spans="1:48">
      <c r="A354" s="35" t="s">
        <v>399</v>
      </c>
      <c r="B354" t="str">
        <f>VLOOKUP(A354,'[2]sku-asin（子）'!$A:$B,2,0)</f>
        <v>B078WRLGFX</v>
      </c>
      <c r="C354" t="str">
        <f>VLOOKUP(A354,'[2]子sku-父sku'!$A:$B,2,0)</f>
        <v>NK-XUHM011</v>
      </c>
      <c r="D354" s="33">
        <f>IFERROR(VLOOKUP(A354,[3]库存报告使用数据处理!$A:$C,3,0),0)</f>
        <v>0</v>
      </c>
      <c r="E354" s="33">
        <f>IFERROR(VLOOKUP(A354,[3]库存报告使用数据处理!$A:$D,4,0),0)</f>
        <v>0</v>
      </c>
      <c r="F354" s="33">
        <f>IFERROR(VLOOKUP(A354,[3]库存报告使用数据处理!$A:$E,5,0),0)</f>
        <v>0</v>
      </c>
      <c r="G354" s="33">
        <f>IFERROR(VLOOKUP(A354,[3]库存报告使用数据处理!$A:$F,6,0),0)</f>
        <v>0</v>
      </c>
      <c r="H354" s="34">
        <f>IFERROR(VLOOKUP(A354,[3]库存报告使用数据处理!$A:$G,7,0),0)</f>
        <v>0</v>
      </c>
      <c r="I354">
        <f>IFERROR(VLOOKUP(A354,[4]数据处理!$A:$B,2,0),0)</f>
        <v>10</v>
      </c>
      <c r="J354" s="36">
        <f>IFERROR(VLOOKUP(A354,[4]数据处理!$A:$D,4,0),0)</f>
        <v>0</v>
      </c>
      <c r="K354" s="36">
        <f>IFERROR(VLOOKUP(A354,[4]数据处理!$A:$E,5,0),0)</f>
        <v>0</v>
      </c>
      <c r="L354" s="36">
        <f>IFERROR(VLOOKUP(A354,[4]数据处理!$A:$G,7,0),0)</f>
        <v>0</v>
      </c>
      <c r="M354">
        <f t="shared" si="89"/>
        <v>10</v>
      </c>
      <c r="N354">
        <f>IFERROR(VLOOKUP(A354,[4]数据处理!$A:$C,3,0),0)</f>
        <v>0</v>
      </c>
      <c r="O354">
        <f>IFERROR(VLOOKUP($A354,[4]数据处理!$A:$N,14,0),0)</f>
        <v>10</v>
      </c>
      <c r="P354">
        <f>IFERROR(VLOOKUP($A354,[5]库存使用数据!$A:$B,2,0),"")</f>
        <v>685</v>
      </c>
      <c r="Q354">
        <f>IFERROR(VLOOKUP($A354,[5]库存使用数据!$A:$E,5,0),"")</f>
        <v>2699</v>
      </c>
      <c r="R354">
        <f>IFERROR(VLOOKUP($A354,[5]库存使用数据!$A:$H,8,0),"")</f>
        <v>1730</v>
      </c>
      <c r="S354">
        <f>IFERROR(VLOOKUP($A354,[5]库存使用数据!$A:$K,11,0),"")</f>
        <v>1458</v>
      </c>
      <c r="T354">
        <f>IFERROR(VLOOKUP($A354,[5]库存使用数据!$A:$C,3,0),"")</f>
        <v>0</v>
      </c>
      <c r="U354">
        <f>IFERROR(VLOOKUP($A354,[5]库存使用数据!$A:$F,6,0),"")</f>
        <v>4</v>
      </c>
      <c r="V354">
        <f>IFERROR(VLOOKUP($A354,[5]库存使用数据!$A:$I,9,0),"")</f>
        <v>3</v>
      </c>
      <c r="W354">
        <f>IFERROR(VLOOKUP($A354,[5]库存使用数据!$A:$L,12,0),"")</f>
        <v>0</v>
      </c>
      <c r="X354" s="23">
        <f t="shared" si="94"/>
        <v>0</v>
      </c>
      <c r="Y354" s="23">
        <f t="shared" si="95"/>
        <v>0.00148203038162282</v>
      </c>
      <c r="Z354" s="23">
        <f t="shared" si="96"/>
        <v>0.00173410404624277</v>
      </c>
      <c r="AA354" s="23">
        <f t="shared" si="97"/>
        <v>0</v>
      </c>
      <c r="AB354">
        <f>IFERROR(VLOOKUP($A354,[5]库存使用数据!$A:$D,4,0),"")</f>
        <v>0</v>
      </c>
      <c r="AC354">
        <f>IFERROR(VLOOKUP($A354,[5]库存使用数据!$A:$G,7,0),"")</f>
        <v>1.47</v>
      </c>
      <c r="AD354">
        <f>IFERROR(VLOOKUP($A354,[5]库存使用数据!$A:$J,10,0),"")</f>
        <v>1.3</v>
      </c>
      <c r="AE354">
        <f>IFERROR(VLOOKUP($A354,[5]库存使用数据!$A:$M,13,0),"")</f>
        <v>0</v>
      </c>
      <c r="AF354" s="23" t="str">
        <f t="shared" si="98"/>
        <v/>
      </c>
      <c r="AG354" s="23" t="str">
        <f t="shared" si="99"/>
        <v>无销量广告费为1.47</v>
      </c>
      <c r="AH354" s="23" t="str">
        <f t="shared" si="100"/>
        <v>无销量广告费为1.3</v>
      </c>
      <c r="AI354" s="23" t="str">
        <f t="shared" si="101"/>
        <v/>
      </c>
      <c r="AJ354">
        <f>IFERROR(VLOOKUP($B354,[1]库存报告使用数据!$A$1:$B$65536,2,0),0)</f>
        <v>1</v>
      </c>
      <c r="AK354">
        <f>IFERROR(VLOOKUP($B354,[1]库存报告使用数据!$A$1:$C$65536,3,0),0)</f>
        <v>2</v>
      </c>
      <c r="AL354">
        <f>IFERROR(VLOOKUP($B354,[1]库存报告使用数据!$A$1:$D$65536,4,0),0)</f>
        <v>0</v>
      </c>
      <c r="AM354">
        <f>IFERROR(VLOOKUP($B354,[1]库存报告使用数据!$A$1:$E$65536,5,0),0)</f>
        <v>2</v>
      </c>
      <c r="AN354" s="23">
        <f t="shared" si="102"/>
        <v>0</v>
      </c>
      <c r="AO354" s="23">
        <f t="shared" si="103"/>
        <v>0</v>
      </c>
      <c r="AP354" s="23" t="str">
        <f t="shared" si="104"/>
        <v/>
      </c>
      <c r="AQ354" s="23">
        <f t="shared" si="105"/>
        <v>0</v>
      </c>
      <c r="AR354" s="38">
        <f t="shared" si="90"/>
        <v>0</v>
      </c>
      <c r="AS354" s="38">
        <f t="shared" si="91"/>
        <v>0</v>
      </c>
      <c r="AT354" s="38">
        <f t="shared" si="92"/>
        <v>10</v>
      </c>
      <c r="AU354" s="33" t="str">
        <f t="shared" si="93"/>
        <v>库存为10</v>
      </c>
      <c r="AV354" s="39" t="str">
        <f>IFERROR(时间!$B$4+AU354,"上周无销量")</f>
        <v>上周无销量</v>
      </c>
    </row>
    <row r="355" spans="1:48">
      <c r="A355" s="35" t="s">
        <v>400</v>
      </c>
      <c r="B355" t="str">
        <f>VLOOKUP(A355,'[2]sku-asin（子）'!$A:$B,2,0)</f>
        <v>B07BKS4NK1</v>
      </c>
      <c r="C355" t="str">
        <f>VLOOKUP(A355,'[2]子sku-父sku'!$A:$B,2,0)</f>
        <v>NY-XUHM331</v>
      </c>
      <c r="D355" s="33">
        <f>IFERROR(VLOOKUP(A355,[3]库存报告使用数据处理!$A:$C,3,0),0)</f>
        <v>3</v>
      </c>
      <c r="E355" s="33">
        <f>IFERROR(VLOOKUP(A355,[3]库存报告使用数据处理!$A:$D,4,0),0)</f>
        <v>0</v>
      </c>
      <c r="F355" s="33">
        <f>IFERROR(VLOOKUP(A355,[3]库存报告使用数据处理!$A:$E,5,0),0)</f>
        <v>0</v>
      </c>
      <c r="G355" s="33">
        <f>IFERROR(VLOOKUP(A355,[3]库存报告使用数据处理!$A:$F,6,0),0)</f>
        <v>0</v>
      </c>
      <c r="H355" s="34">
        <f>IFERROR(VLOOKUP(A355,[3]库存报告使用数据处理!$A:$G,7,0),0)</f>
        <v>9.99</v>
      </c>
      <c r="I355">
        <f>IFERROR(VLOOKUP(A355,[4]数据处理!$A:$B,2,0),0)</f>
        <v>24</v>
      </c>
      <c r="J355" s="36">
        <f>IFERROR(VLOOKUP(A355,[4]数据处理!$A:$D,4,0),0)</f>
        <v>0</v>
      </c>
      <c r="K355" s="36">
        <f>IFERROR(VLOOKUP(A355,[4]数据处理!$A:$E,5,0),0)</f>
        <v>0</v>
      </c>
      <c r="L355" s="36">
        <f>IFERROR(VLOOKUP(A355,[4]数据处理!$A:$G,7,0),0)</f>
        <v>1</v>
      </c>
      <c r="M355">
        <f t="shared" si="89"/>
        <v>25</v>
      </c>
      <c r="N355">
        <f>IFERROR(VLOOKUP(A355,[4]数据处理!$A:$C,3,0),0)</f>
        <v>0</v>
      </c>
      <c r="O355">
        <f>IFERROR(VLOOKUP($A355,[4]数据处理!$A:$N,14,0),0)</f>
        <v>29</v>
      </c>
      <c r="P355">
        <f>IFERROR(VLOOKUP($A355,[5]库存使用数据!$A:$B,2,0),"")</f>
        <v>24</v>
      </c>
      <c r="Q355">
        <f>IFERROR(VLOOKUP($A355,[5]库存使用数据!$A:$E,5,0),"")</f>
        <v>11</v>
      </c>
      <c r="R355">
        <f>IFERROR(VLOOKUP($A355,[5]库存使用数据!$A:$H,8,0),"")</f>
        <v>14</v>
      </c>
      <c r="S355">
        <f>IFERROR(VLOOKUP($A355,[5]库存使用数据!$A:$K,11,0),"")</f>
        <v>13</v>
      </c>
      <c r="T355">
        <f>IFERROR(VLOOKUP($A355,[5]库存使用数据!$A:$C,3,0),"")</f>
        <v>0</v>
      </c>
      <c r="U355">
        <f>IFERROR(VLOOKUP($A355,[5]库存使用数据!$A:$F,6,0),"")</f>
        <v>0</v>
      </c>
      <c r="V355">
        <f>IFERROR(VLOOKUP($A355,[5]库存使用数据!$A:$I,9,0),"")</f>
        <v>0</v>
      </c>
      <c r="W355">
        <f>IFERROR(VLOOKUP($A355,[5]库存使用数据!$A:$L,12,0),"")</f>
        <v>0</v>
      </c>
      <c r="X355" s="23">
        <f t="shared" si="94"/>
        <v>0</v>
      </c>
      <c r="Y355" s="23">
        <f t="shared" si="95"/>
        <v>0</v>
      </c>
      <c r="Z355" s="23">
        <f t="shared" si="96"/>
        <v>0</v>
      </c>
      <c r="AA355" s="23">
        <f t="shared" si="97"/>
        <v>0</v>
      </c>
      <c r="AB355">
        <f>IFERROR(VLOOKUP($A355,[5]库存使用数据!$A:$D,4,0),"")</f>
        <v>0</v>
      </c>
      <c r="AC355">
        <f>IFERROR(VLOOKUP($A355,[5]库存使用数据!$A:$G,7,0),"")</f>
        <v>0</v>
      </c>
      <c r="AD355">
        <f>IFERROR(VLOOKUP($A355,[5]库存使用数据!$A:$J,10,0),"")</f>
        <v>0</v>
      </c>
      <c r="AE355">
        <f>IFERROR(VLOOKUP($A355,[5]库存使用数据!$A:$M,13,0),"")</f>
        <v>0</v>
      </c>
      <c r="AF355" s="23" t="str">
        <f t="shared" si="98"/>
        <v/>
      </c>
      <c r="AG355" s="23" t="str">
        <f t="shared" si="99"/>
        <v/>
      </c>
      <c r="AH355" s="23" t="str">
        <f t="shared" si="100"/>
        <v/>
      </c>
      <c r="AI355" s="23" t="str">
        <f t="shared" si="101"/>
        <v/>
      </c>
      <c r="AJ355">
        <f>IFERROR(VLOOKUP($B355,[1]库存报告使用数据!$A$1:$B$65536,2,0),0)</f>
        <v>5</v>
      </c>
      <c r="AK355">
        <f>IFERROR(VLOOKUP($B355,[1]库存报告使用数据!$A$1:$C$65536,3,0),0)</f>
        <v>5</v>
      </c>
      <c r="AL355">
        <f>IFERROR(VLOOKUP($B355,[1]库存报告使用数据!$A$1:$D$65536,4,0),0)</f>
        <v>1</v>
      </c>
      <c r="AM355">
        <f>IFERROR(VLOOKUP($B355,[1]库存报告使用数据!$A$1:$E$65536,5,0),0)</f>
        <v>0</v>
      </c>
      <c r="AN355" s="23">
        <f t="shared" si="102"/>
        <v>0.6</v>
      </c>
      <c r="AO355" s="23">
        <f t="shared" si="103"/>
        <v>0</v>
      </c>
      <c r="AP355" s="23">
        <f t="shared" si="104"/>
        <v>0</v>
      </c>
      <c r="AQ355" s="23" t="str">
        <f t="shared" si="105"/>
        <v/>
      </c>
      <c r="AR355" s="38">
        <f t="shared" si="90"/>
        <v>0.428571428571429</v>
      </c>
      <c r="AS355" s="38">
        <f t="shared" si="91"/>
        <v>25.7142857142857</v>
      </c>
      <c r="AT355" s="38">
        <f t="shared" si="92"/>
        <v>-0.714285714285712</v>
      </c>
      <c r="AU355" s="33">
        <f t="shared" si="93"/>
        <v>58</v>
      </c>
      <c r="AV355" s="39">
        <f>IFERROR(时间!$B$4+AU355,"上周无销量")</f>
        <v>43348</v>
      </c>
    </row>
    <row r="356" spans="1:48">
      <c r="A356" s="35" t="s">
        <v>401</v>
      </c>
      <c r="B356" t="str">
        <f>VLOOKUP(A356,'[2]sku-asin（子）'!$A:$B,2,0)</f>
        <v>B07BKNWPWQ</v>
      </c>
      <c r="C356" t="str">
        <f>VLOOKUP(A356,'[2]子sku-父sku'!$A:$B,2,0)</f>
        <v>NY-XUHM332</v>
      </c>
      <c r="D356" s="33">
        <f>IFERROR(VLOOKUP(A356,[3]库存报告使用数据处理!$A:$C,3,0),0)</f>
        <v>2</v>
      </c>
      <c r="E356" s="33">
        <f>IFERROR(VLOOKUP(A356,[3]库存报告使用数据处理!$A:$D,4,0),0)</f>
        <v>5</v>
      </c>
      <c r="F356" s="33">
        <f>IFERROR(VLOOKUP(A356,[3]库存报告使用数据处理!$A:$E,5,0),0)</f>
        <v>4</v>
      </c>
      <c r="G356" s="33">
        <f>IFERROR(VLOOKUP(A356,[3]库存报告使用数据处理!$A:$F,6,0),0)</f>
        <v>0</v>
      </c>
      <c r="H356" s="34">
        <f>IFERROR(VLOOKUP(A356,[3]库存报告使用数据处理!$A:$G,7,0),0)</f>
        <v>12.99</v>
      </c>
      <c r="I356">
        <f>IFERROR(VLOOKUP(A356,[4]数据处理!$A:$B,2,0),0)</f>
        <v>46</v>
      </c>
      <c r="J356" s="36">
        <f>IFERROR(VLOOKUP(A356,[4]数据处理!$A:$D,4,0),0)</f>
        <v>0</v>
      </c>
      <c r="K356" s="36">
        <f>IFERROR(VLOOKUP(A356,[4]数据处理!$A:$E,5,0),0)</f>
        <v>0</v>
      </c>
      <c r="L356" s="36">
        <f>IFERROR(VLOOKUP(A356,[4]数据处理!$A:$G,7,0),0)</f>
        <v>0</v>
      </c>
      <c r="M356">
        <f t="shared" si="89"/>
        <v>46</v>
      </c>
      <c r="N356">
        <f>IFERROR(VLOOKUP(A356,[4]数据处理!$A:$C,3,0),0)</f>
        <v>0</v>
      </c>
      <c r="O356">
        <f>IFERROR(VLOOKUP($A356,[4]数据处理!$A:$N,14,0),0)</f>
        <v>46</v>
      </c>
      <c r="P356">
        <f>IFERROR(VLOOKUP($A356,[5]库存使用数据!$A:$B,2,0),"")</f>
        <v>30</v>
      </c>
      <c r="Q356">
        <f>IFERROR(VLOOKUP($A356,[5]库存使用数据!$A:$E,5,0),"")</f>
        <v>25</v>
      </c>
      <c r="R356">
        <f>IFERROR(VLOOKUP($A356,[5]库存使用数据!$A:$H,8,0),"")</f>
        <v>45</v>
      </c>
      <c r="S356">
        <f>IFERROR(VLOOKUP($A356,[5]库存使用数据!$A:$K,11,0),"")</f>
        <v>46</v>
      </c>
      <c r="T356">
        <f>IFERROR(VLOOKUP($A356,[5]库存使用数据!$A:$C,3,0),"")</f>
        <v>1</v>
      </c>
      <c r="U356">
        <f>IFERROR(VLOOKUP($A356,[5]库存使用数据!$A:$F,6,0),"")</f>
        <v>0</v>
      </c>
      <c r="V356">
        <f>IFERROR(VLOOKUP($A356,[5]库存使用数据!$A:$I,9,0),"")</f>
        <v>2</v>
      </c>
      <c r="W356">
        <f>IFERROR(VLOOKUP($A356,[5]库存使用数据!$A:$L,12,0),"")</f>
        <v>1</v>
      </c>
      <c r="X356" s="23">
        <f t="shared" si="94"/>
        <v>0.0333333333333333</v>
      </c>
      <c r="Y356" s="23">
        <f t="shared" si="95"/>
        <v>0</v>
      </c>
      <c r="Z356" s="23">
        <f t="shared" si="96"/>
        <v>0.0444444444444444</v>
      </c>
      <c r="AA356" s="23">
        <f t="shared" si="97"/>
        <v>0.0217391304347826</v>
      </c>
      <c r="AB356">
        <f>IFERROR(VLOOKUP($A356,[5]库存使用数据!$A:$D,4,0),"")</f>
        <v>0.32</v>
      </c>
      <c r="AC356">
        <f>IFERROR(VLOOKUP($A356,[5]库存使用数据!$A:$G,7,0),"")</f>
        <v>0</v>
      </c>
      <c r="AD356">
        <f>IFERROR(VLOOKUP($A356,[5]库存使用数据!$A:$J,10,0),"")</f>
        <v>0.22</v>
      </c>
      <c r="AE356">
        <f>IFERROR(VLOOKUP($A356,[5]库存使用数据!$A:$M,13,0),"")</f>
        <v>0.25</v>
      </c>
      <c r="AF356" s="23">
        <f t="shared" si="98"/>
        <v>0.0123171670515781</v>
      </c>
      <c r="AG356" s="23" t="str">
        <f t="shared" si="99"/>
        <v/>
      </c>
      <c r="AH356" s="23">
        <f t="shared" si="100"/>
        <v>0.00423402617397998</v>
      </c>
      <c r="AI356" s="23" t="str">
        <f t="shared" si="101"/>
        <v>无销量广告费为0.25</v>
      </c>
      <c r="AJ356">
        <f>IFERROR(VLOOKUP($B356,[1]库存报告使用数据!$A$1:$B$65536,2,0),0)</f>
        <v>6</v>
      </c>
      <c r="AK356">
        <f>IFERROR(VLOOKUP($B356,[1]库存报告使用数据!$A$1:$C$65536,3,0),0)</f>
        <v>8</v>
      </c>
      <c r="AL356">
        <f>IFERROR(VLOOKUP($B356,[1]库存报告使用数据!$A$1:$D$65536,4,0),0)</f>
        <v>9</v>
      </c>
      <c r="AM356">
        <f>IFERROR(VLOOKUP($B356,[1]库存报告使用数据!$A$1:$E$65536,5,0),0)</f>
        <v>3</v>
      </c>
      <c r="AN356" s="23">
        <f t="shared" si="102"/>
        <v>0.333333333333333</v>
      </c>
      <c r="AO356" s="23">
        <f t="shared" si="103"/>
        <v>0.625</v>
      </c>
      <c r="AP356" s="23">
        <f t="shared" si="104"/>
        <v>0.444444444444444</v>
      </c>
      <c r="AQ356" s="23">
        <f t="shared" si="105"/>
        <v>0</v>
      </c>
      <c r="AR356" s="38">
        <f t="shared" si="90"/>
        <v>0.285714285714286</v>
      </c>
      <c r="AS356" s="38">
        <f t="shared" si="91"/>
        <v>17.1428571428571</v>
      </c>
      <c r="AT356" s="38">
        <f t="shared" si="92"/>
        <v>28.8571428571429</v>
      </c>
      <c r="AU356" s="33">
        <f t="shared" si="93"/>
        <v>161</v>
      </c>
      <c r="AV356" s="39">
        <f>IFERROR(时间!$B$4+AU356,"上周无销量")</f>
        <v>43451</v>
      </c>
    </row>
    <row r="357" spans="1:48">
      <c r="A357" s="35" t="s">
        <v>402</v>
      </c>
      <c r="B357" t="str">
        <f>VLOOKUP(A357,'[2]sku-asin（子）'!$A:$B,2,0)</f>
        <v>B07B3V3G8H</v>
      </c>
      <c r="C357" t="str">
        <f>VLOOKUP(A357,'[2]子sku-父sku'!$A:$B,2,0)</f>
        <v>NY-XUHM333</v>
      </c>
      <c r="D357" s="33">
        <f>IFERROR(VLOOKUP(A357,[3]库存报告使用数据处理!$A:$C,3,0),0)</f>
        <v>0</v>
      </c>
      <c r="E357" s="33">
        <f>IFERROR(VLOOKUP(A357,[3]库存报告使用数据处理!$A:$D,4,0),0)</f>
        <v>0</v>
      </c>
      <c r="F357" s="33">
        <f>IFERROR(VLOOKUP(A357,[3]库存报告使用数据处理!$A:$E,5,0),0)</f>
        <v>0</v>
      </c>
      <c r="G357" s="33">
        <f>IFERROR(VLOOKUP(A357,[3]库存报告使用数据处理!$A:$F,6,0),0)</f>
        <v>0</v>
      </c>
      <c r="H357" s="34">
        <f>IFERROR(VLOOKUP(A357,[3]库存报告使用数据处理!$A:$G,7,0),0)</f>
        <v>0</v>
      </c>
      <c r="I357">
        <f>IFERROR(VLOOKUP(A357,[4]数据处理!$A:$B,2,0),0)</f>
        <v>18</v>
      </c>
      <c r="J357" s="36">
        <f>IFERROR(VLOOKUP(A357,[4]数据处理!$A:$D,4,0),0)</f>
        <v>0</v>
      </c>
      <c r="K357" s="36">
        <f>IFERROR(VLOOKUP(A357,[4]数据处理!$A:$E,5,0),0)</f>
        <v>0</v>
      </c>
      <c r="L357" s="36">
        <f>IFERROR(VLOOKUP(A357,[4]数据处理!$A:$G,7,0),0)</f>
        <v>0</v>
      </c>
      <c r="M357">
        <f t="shared" si="89"/>
        <v>18</v>
      </c>
      <c r="N357">
        <f>IFERROR(VLOOKUP(A357,[4]数据处理!$A:$C,3,0),0)</f>
        <v>0</v>
      </c>
      <c r="O357">
        <f>IFERROR(VLOOKUP($A357,[4]数据处理!$A:$N,14,0),0)</f>
        <v>0</v>
      </c>
      <c r="P357">
        <f>IFERROR(VLOOKUP($A357,[5]库存使用数据!$A:$B,2,0),"")</f>
        <v>26</v>
      </c>
      <c r="Q357">
        <f>IFERROR(VLOOKUP($A357,[5]库存使用数据!$A:$E,5,0),"")</f>
        <v>30</v>
      </c>
      <c r="R357">
        <f>IFERROR(VLOOKUP($A357,[5]库存使用数据!$A:$H,8,0),"")</f>
        <v>79</v>
      </c>
      <c r="S357">
        <f>IFERROR(VLOOKUP($A357,[5]库存使用数据!$A:$K,11,0),"")</f>
        <v>16</v>
      </c>
      <c r="T357">
        <f>IFERROR(VLOOKUP($A357,[5]库存使用数据!$A:$C,3,0),"")</f>
        <v>0</v>
      </c>
      <c r="U357">
        <f>IFERROR(VLOOKUP($A357,[5]库存使用数据!$A:$F,6,0),"")</f>
        <v>0</v>
      </c>
      <c r="V357">
        <f>IFERROR(VLOOKUP($A357,[5]库存使用数据!$A:$I,9,0),"")</f>
        <v>0</v>
      </c>
      <c r="W357">
        <f>IFERROR(VLOOKUP($A357,[5]库存使用数据!$A:$L,12,0),"")</f>
        <v>0</v>
      </c>
      <c r="X357" s="23">
        <f t="shared" si="94"/>
        <v>0</v>
      </c>
      <c r="Y357" s="23">
        <f t="shared" si="95"/>
        <v>0</v>
      </c>
      <c r="Z357" s="23">
        <f t="shared" si="96"/>
        <v>0</v>
      </c>
      <c r="AA357" s="23">
        <f t="shared" si="97"/>
        <v>0</v>
      </c>
      <c r="AB357">
        <f>IFERROR(VLOOKUP($A357,[5]库存使用数据!$A:$D,4,0),"")</f>
        <v>0</v>
      </c>
      <c r="AC357">
        <f>IFERROR(VLOOKUP($A357,[5]库存使用数据!$A:$G,7,0),"")</f>
        <v>0</v>
      </c>
      <c r="AD357">
        <f>IFERROR(VLOOKUP($A357,[5]库存使用数据!$A:$J,10,0),"")</f>
        <v>0</v>
      </c>
      <c r="AE357">
        <f>IFERROR(VLOOKUP($A357,[5]库存使用数据!$A:$M,13,0),"")</f>
        <v>0</v>
      </c>
      <c r="AF357" s="23" t="str">
        <f t="shared" si="98"/>
        <v/>
      </c>
      <c r="AG357" s="23" t="str">
        <f t="shared" si="99"/>
        <v/>
      </c>
      <c r="AH357" s="23" t="str">
        <f t="shared" si="100"/>
        <v/>
      </c>
      <c r="AI357" s="23" t="str">
        <f t="shared" si="101"/>
        <v/>
      </c>
      <c r="AJ357">
        <f>IFERROR(VLOOKUP($B357,[1]库存报告使用数据!$A$1:$B$65536,2,0),0)</f>
        <v>1</v>
      </c>
      <c r="AK357">
        <f>IFERROR(VLOOKUP($B357,[1]库存报告使用数据!$A$1:$C$65536,3,0),0)</f>
        <v>3</v>
      </c>
      <c r="AL357">
        <f>IFERROR(VLOOKUP($B357,[1]库存报告使用数据!$A$1:$D$65536,4,0),0)</f>
        <v>5</v>
      </c>
      <c r="AM357">
        <f>IFERROR(VLOOKUP($B357,[1]库存报告使用数据!$A$1:$E$65536,5,0),0)</f>
        <v>1</v>
      </c>
      <c r="AN357" s="23">
        <f t="shared" si="102"/>
        <v>0</v>
      </c>
      <c r="AO357" s="23">
        <f t="shared" si="103"/>
        <v>0</v>
      </c>
      <c r="AP357" s="23">
        <f t="shared" si="104"/>
        <v>0</v>
      </c>
      <c r="AQ357" s="23">
        <f t="shared" si="105"/>
        <v>0</v>
      </c>
      <c r="AR357" s="38">
        <f t="shared" si="90"/>
        <v>0</v>
      </c>
      <c r="AS357" s="38">
        <f t="shared" si="91"/>
        <v>0</v>
      </c>
      <c r="AT357" s="38">
        <f t="shared" si="92"/>
        <v>18</v>
      </c>
      <c r="AU357" s="33" t="str">
        <f t="shared" si="93"/>
        <v>库存为18</v>
      </c>
      <c r="AV357" s="39" t="str">
        <f>IFERROR(时间!$B$4+AU357,"上周无销量")</f>
        <v>上周无销量</v>
      </c>
    </row>
    <row r="358" spans="1:48">
      <c r="A358" s="35" t="s">
        <v>403</v>
      </c>
      <c r="B358" t="str">
        <f>VLOOKUP(A358,'[2]sku-asin（子）'!$A:$B,2,0)</f>
        <v>B07B3V3BV5</v>
      </c>
      <c r="C358" t="str">
        <f>VLOOKUP(A358,'[2]子sku-父sku'!$A:$B,2,0)</f>
        <v>NY-XUHM333</v>
      </c>
      <c r="D358" s="33">
        <f>IFERROR(VLOOKUP(A358,[3]库存报告使用数据处理!$A:$C,3,0),0)</f>
        <v>0</v>
      </c>
      <c r="E358" s="33">
        <f>IFERROR(VLOOKUP(A358,[3]库存报告使用数据处理!$A:$D,4,0),0)</f>
        <v>0</v>
      </c>
      <c r="F358" s="33">
        <f>IFERROR(VLOOKUP(A358,[3]库存报告使用数据处理!$A:$E,5,0),0)</f>
        <v>0</v>
      </c>
      <c r="G358" s="33">
        <f>IFERROR(VLOOKUP(A358,[3]库存报告使用数据处理!$A:$F,6,0),0)</f>
        <v>0</v>
      </c>
      <c r="H358" s="34">
        <f>IFERROR(VLOOKUP(A358,[3]库存报告使用数据处理!$A:$G,7,0),0)</f>
        <v>0</v>
      </c>
      <c r="I358">
        <f>IFERROR(VLOOKUP(A358,[4]数据处理!$A:$B,2,0),0)</f>
        <v>18</v>
      </c>
      <c r="J358" s="36">
        <f>IFERROR(VLOOKUP(A358,[4]数据处理!$A:$D,4,0),0)</f>
        <v>0</v>
      </c>
      <c r="K358" s="36">
        <f>IFERROR(VLOOKUP(A358,[4]数据处理!$A:$E,5,0),0)</f>
        <v>0</v>
      </c>
      <c r="L358" s="36">
        <f>IFERROR(VLOOKUP(A358,[4]数据处理!$A:$G,7,0),0)</f>
        <v>0</v>
      </c>
      <c r="M358">
        <f t="shared" si="89"/>
        <v>18</v>
      </c>
      <c r="N358">
        <f>IFERROR(VLOOKUP(A358,[4]数据处理!$A:$C,3,0),0)</f>
        <v>0</v>
      </c>
      <c r="O358">
        <f>IFERROR(VLOOKUP($A358,[4]数据处理!$A:$N,14,0),0)</f>
        <v>0</v>
      </c>
      <c r="P358">
        <f>IFERROR(VLOOKUP($A358,[5]库存使用数据!$A:$B,2,0),"")</f>
        <v>9</v>
      </c>
      <c r="Q358">
        <f>IFERROR(VLOOKUP($A358,[5]库存使用数据!$A:$E,5,0),"")</f>
        <v>6</v>
      </c>
      <c r="R358">
        <f>IFERROR(VLOOKUP($A358,[5]库存使用数据!$A:$H,8,0),"")</f>
        <v>4</v>
      </c>
      <c r="S358">
        <f>IFERROR(VLOOKUP($A358,[5]库存使用数据!$A:$K,11,0),"")</f>
        <v>2</v>
      </c>
      <c r="T358">
        <f>IFERROR(VLOOKUP($A358,[5]库存使用数据!$A:$C,3,0),"")</f>
        <v>0</v>
      </c>
      <c r="U358">
        <f>IFERROR(VLOOKUP($A358,[5]库存使用数据!$A:$F,6,0),"")</f>
        <v>0</v>
      </c>
      <c r="V358">
        <f>IFERROR(VLOOKUP($A358,[5]库存使用数据!$A:$I,9,0),"")</f>
        <v>0</v>
      </c>
      <c r="W358">
        <f>IFERROR(VLOOKUP($A358,[5]库存使用数据!$A:$L,12,0),"")</f>
        <v>0</v>
      </c>
      <c r="X358" s="23">
        <f t="shared" si="94"/>
        <v>0</v>
      </c>
      <c r="Y358" s="23">
        <f t="shared" si="95"/>
        <v>0</v>
      </c>
      <c r="Z358" s="23">
        <f t="shared" si="96"/>
        <v>0</v>
      </c>
      <c r="AA358" s="23">
        <f t="shared" si="97"/>
        <v>0</v>
      </c>
      <c r="AB358">
        <f>IFERROR(VLOOKUP($A358,[5]库存使用数据!$A:$D,4,0),"")</f>
        <v>0</v>
      </c>
      <c r="AC358">
        <f>IFERROR(VLOOKUP($A358,[5]库存使用数据!$A:$G,7,0),"")</f>
        <v>0</v>
      </c>
      <c r="AD358">
        <f>IFERROR(VLOOKUP($A358,[5]库存使用数据!$A:$J,10,0),"")</f>
        <v>0</v>
      </c>
      <c r="AE358">
        <f>IFERROR(VLOOKUP($A358,[5]库存使用数据!$A:$M,13,0),"")</f>
        <v>0</v>
      </c>
      <c r="AF358" s="23" t="str">
        <f t="shared" si="98"/>
        <v/>
      </c>
      <c r="AG358" s="23" t="str">
        <f t="shared" si="99"/>
        <v/>
      </c>
      <c r="AH358" s="23" t="str">
        <f t="shared" si="100"/>
        <v/>
      </c>
      <c r="AI358" s="23" t="str">
        <f t="shared" si="101"/>
        <v/>
      </c>
      <c r="AJ358">
        <f>IFERROR(VLOOKUP($B358,[1]库存报告使用数据!$A$1:$B$65536,2,0),0)</f>
        <v>0</v>
      </c>
      <c r="AK358">
        <f>IFERROR(VLOOKUP($B358,[1]库存报告使用数据!$A$1:$C$65536,3,0),0)</f>
        <v>4</v>
      </c>
      <c r="AL358">
        <f>IFERROR(VLOOKUP($B358,[1]库存报告使用数据!$A$1:$D$65536,4,0),0)</f>
        <v>2</v>
      </c>
      <c r="AM358">
        <f>IFERROR(VLOOKUP($B358,[1]库存报告使用数据!$A$1:$E$65536,5,0),0)</f>
        <v>3</v>
      </c>
      <c r="AN358" s="23" t="str">
        <f t="shared" si="102"/>
        <v/>
      </c>
      <c r="AO358" s="23">
        <f t="shared" si="103"/>
        <v>0</v>
      </c>
      <c r="AP358" s="23">
        <f t="shared" si="104"/>
        <v>0</v>
      </c>
      <c r="AQ358" s="23">
        <f t="shared" si="105"/>
        <v>0</v>
      </c>
      <c r="AR358" s="38">
        <f t="shared" si="90"/>
        <v>0</v>
      </c>
      <c r="AS358" s="38">
        <f t="shared" si="91"/>
        <v>0</v>
      </c>
      <c r="AT358" s="38">
        <f t="shared" si="92"/>
        <v>18</v>
      </c>
      <c r="AU358" s="33" t="str">
        <f t="shared" si="93"/>
        <v>库存为18</v>
      </c>
      <c r="AV358" s="39" t="str">
        <f>IFERROR(时间!$B$4+AU358,"上周无销量")</f>
        <v>上周无销量</v>
      </c>
    </row>
    <row r="359" spans="1:48">
      <c r="A359" s="35" t="s">
        <v>404</v>
      </c>
      <c r="B359" t="str">
        <f>VLOOKUP(A359,'[2]sku-asin（子）'!$A:$B,2,0)</f>
        <v>B07B3TW6D2</v>
      </c>
      <c r="C359" t="str">
        <f>VLOOKUP(A359,'[2]子sku-父sku'!$A:$B,2,0)</f>
        <v>NY-XUHM333</v>
      </c>
      <c r="D359" s="33">
        <f>IFERROR(VLOOKUP(A359,[3]库存报告使用数据处理!$A:$C,3,0),0)</f>
        <v>0</v>
      </c>
      <c r="E359" s="33">
        <f>IFERROR(VLOOKUP(A359,[3]库存报告使用数据处理!$A:$D,4,0),0)</f>
        <v>0</v>
      </c>
      <c r="F359" s="33">
        <f>IFERROR(VLOOKUP(A359,[3]库存报告使用数据处理!$A:$E,5,0),0)</f>
        <v>0</v>
      </c>
      <c r="G359" s="33">
        <f>IFERROR(VLOOKUP(A359,[3]库存报告使用数据处理!$A:$F,6,0),0)</f>
        <v>0</v>
      </c>
      <c r="H359" s="34">
        <f>IFERROR(VLOOKUP(A359,[3]库存报告使用数据处理!$A:$G,7,0),0)</f>
        <v>0</v>
      </c>
      <c r="I359">
        <f>IFERROR(VLOOKUP(A359,[4]数据处理!$A:$B,2,0),0)</f>
        <v>20</v>
      </c>
      <c r="J359" s="36">
        <f>IFERROR(VLOOKUP(A359,[4]数据处理!$A:$D,4,0),0)</f>
        <v>0</v>
      </c>
      <c r="K359" s="36">
        <f>IFERROR(VLOOKUP(A359,[4]数据处理!$A:$E,5,0),0)</f>
        <v>0</v>
      </c>
      <c r="L359" s="36">
        <f>IFERROR(VLOOKUP(A359,[4]数据处理!$A:$G,7,0),0)</f>
        <v>0</v>
      </c>
      <c r="M359">
        <f t="shared" si="89"/>
        <v>20</v>
      </c>
      <c r="N359">
        <f>IFERROR(VLOOKUP(A359,[4]数据处理!$A:$C,3,0),0)</f>
        <v>0</v>
      </c>
      <c r="O359">
        <f>IFERROR(VLOOKUP($A359,[4]数据处理!$A:$N,14,0),0)</f>
        <v>0</v>
      </c>
      <c r="P359">
        <f>IFERROR(VLOOKUP($A359,[5]库存使用数据!$A:$B,2,0),"")</f>
        <v>17</v>
      </c>
      <c r="Q359">
        <f>IFERROR(VLOOKUP($A359,[5]库存使用数据!$A:$E,5,0),"")</f>
        <v>6</v>
      </c>
      <c r="R359">
        <f>IFERROR(VLOOKUP($A359,[5]库存使用数据!$A:$H,8,0),"")</f>
        <v>1</v>
      </c>
      <c r="S359">
        <f>IFERROR(VLOOKUP($A359,[5]库存使用数据!$A:$K,11,0),"")</f>
        <v>3</v>
      </c>
      <c r="T359">
        <f>IFERROR(VLOOKUP($A359,[5]库存使用数据!$A:$C,3,0),"")</f>
        <v>0</v>
      </c>
      <c r="U359">
        <f>IFERROR(VLOOKUP($A359,[5]库存使用数据!$A:$F,6,0),"")</f>
        <v>0</v>
      </c>
      <c r="V359">
        <f>IFERROR(VLOOKUP($A359,[5]库存使用数据!$A:$I,9,0),"")</f>
        <v>0</v>
      </c>
      <c r="W359">
        <f>IFERROR(VLOOKUP($A359,[5]库存使用数据!$A:$L,12,0),"")</f>
        <v>0</v>
      </c>
      <c r="X359" s="23">
        <f t="shared" si="94"/>
        <v>0</v>
      </c>
      <c r="Y359" s="23">
        <f t="shared" si="95"/>
        <v>0</v>
      </c>
      <c r="Z359" s="23">
        <f t="shared" si="96"/>
        <v>0</v>
      </c>
      <c r="AA359" s="23">
        <f t="shared" si="97"/>
        <v>0</v>
      </c>
      <c r="AB359">
        <f>IFERROR(VLOOKUP($A359,[5]库存使用数据!$A:$D,4,0),"")</f>
        <v>0</v>
      </c>
      <c r="AC359">
        <f>IFERROR(VLOOKUP($A359,[5]库存使用数据!$A:$G,7,0),"")</f>
        <v>0</v>
      </c>
      <c r="AD359">
        <f>IFERROR(VLOOKUP($A359,[5]库存使用数据!$A:$J,10,0),"")</f>
        <v>0</v>
      </c>
      <c r="AE359">
        <f>IFERROR(VLOOKUP($A359,[5]库存使用数据!$A:$M,13,0),"")</f>
        <v>0</v>
      </c>
      <c r="AF359" s="23" t="str">
        <f t="shared" si="98"/>
        <v/>
      </c>
      <c r="AG359" s="23" t="str">
        <f t="shared" si="99"/>
        <v/>
      </c>
      <c r="AH359" s="23" t="str">
        <f t="shared" si="100"/>
        <v/>
      </c>
      <c r="AI359" s="23" t="str">
        <f t="shared" si="101"/>
        <v/>
      </c>
      <c r="AJ359">
        <f>IFERROR(VLOOKUP($B359,[1]库存报告使用数据!$A$1:$B$65536,2,0),0)</f>
        <v>2</v>
      </c>
      <c r="AK359">
        <f>IFERROR(VLOOKUP($B359,[1]库存报告使用数据!$A$1:$C$65536,3,0),0)</f>
        <v>2</v>
      </c>
      <c r="AL359">
        <f>IFERROR(VLOOKUP($B359,[1]库存报告使用数据!$A$1:$D$65536,4,0),0)</f>
        <v>2</v>
      </c>
      <c r="AM359">
        <f>IFERROR(VLOOKUP($B359,[1]库存报告使用数据!$A$1:$E$65536,5,0),0)</f>
        <v>2</v>
      </c>
      <c r="AN359" s="23">
        <f t="shared" si="102"/>
        <v>0</v>
      </c>
      <c r="AO359" s="23">
        <f t="shared" si="103"/>
        <v>0</v>
      </c>
      <c r="AP359" s="23">
        <f t="shared" si="104"/>
        <v>0</v>
      </c>
      <c r="AQ359" s="23">
        <f t="shared" si="105"/>
        <v>0</v>
      </c>
      <c r="AR359" s="38">
        <f t="shared" si="90"/>
        <v>0</v>
      </c>
      <c r="AS359" s="38">
        <f t="shared" si="91"/>
        <v>0</v>
      </c>
      <c r="AT359" s="38">
        <f t="shared" si="92"/>
        <v>20</v>
      </c>
      <c r="AU359" s="33" t="str">
        <f t="shared" si="93"/>
        <v>库存为20</v>
      </c>
      <c r="AV359" s="39" t="str">
        <f>IFERROR(时间!$B$4+AU359,"上周无销量")</f>
        <v>上周无销量</v>
      </c>
    </row>
    <row r="360" spans="1:48">
      <c r="A360" s="35" t="s">
        <v>405</v>
      </c>
      <c r="B360" t="str">
        <f>VLOOKUP(A360,'[2]sku-asin（子）'!$A:$B,2,0)</f>
        <v>B07BKQTYFV</v>
      </c>
      <c r="C360" t="str">
        <f>VLOOKUP(A360,'[2]子sku-父sku'!$A:$B,2,0)</f>
        <v>NY-XUHM463</v>
      </c>
      <c r="D360" s="33">
        <f>IFERROR(VLOOKUP(A360,[3]库存报告使用数据处理!$A:$C,3,0),0)</f>
        <v>0</v>
      </c>
      <c r="E360" s="33">
        <f>IFERROR(VLOOKUP(A360,[3]库存报告使用数据处理!$A:$D,4,0),0)</f>
        <v>0</v>
      </c>
      <c r="F360" s="33">
        <f>IFERROR(VLOOKUP(A360,[3]库存报告使用数据处理!$A:$E,5,0),0)</f>
        <v>0</v>
      </c>
      <c r="G360" s="33">
        <f>IFERROR(VLOOKUP(A360,[3]库存报告使用数据处理!$A:$F,6,0),0)</f>
        <v>0</v>
      </c>
      <c r="H360" s="34">
        <f>IFERROR(VLOOKUP(A360,[3]库存报告使用数据处理!$A:$G,7,0),0)</f>
        <v>0</v>
      </c>
      <c r="I360">
        <f>IFERROR(VLOOKUP(A360,[4]数据处理!$A:$B,2,0),0)</f>
        <v>15</v>
      </c>
      <c r="J360" s="36">
        <f>IFERROR(VLOOKUP(A360,[4]数据处理!$A:$D,4,0),0)</f>
        <v>0</v>
      </c>
      <c r="K360" s="36">
        <f>IFERROR(VLOOKUP(A360,[4]数据处理!$A:$E,5,0),0)</f>
        <v>0</v>
      </c>
      <c r="L360" s="36">
        <f>IFERROR(VLOOKUP(A360,[4]数据处理!$A:$G,7,0),0)</f>
        <v>0</v>
      </c>
      <c r="M360">
        <f t="shared" si="89"/>
        <v>15</v>
      </c>
      <c r="N360">
        <f>IFERROR(VLOOKUP(A360,[4]数据处理!$A:$C,3,0),0)</f>
        <v>0</v>
      </c>
      <c r="O360">
        <f>IFERROR(VLOOKUP($A360,[4]数据处理!$A:$N,14,0),0)</f>
        <v>15</v>
      </c>
      <c r="P360" t="str">
        <f>IFERROR(VLOOKUP($A360,[5]库存使用数据!$A:$B,2,0),"")</f>
        <v/>
      </c>
      <c r="Q360" t="str">
        <f>IFERROR(VLOOKUP($A360,[5]库存使用数据!$A:$E,5,0),"")</f>
        <v/>
      </c>
      <c r="R360" t="str">
        <f>IFERROR(VLOOKUP($A360,[5]库存使用数据!$A:$H,8,0),"")</f>
        <v/>
      </c>
      <c r="S360" t="str">
        <f>IFERROR(VLOOKUP($A360,[5]库存使用数据!$A:$K,11,0),"")</f>
        <v/>
      </c>
      <c r="T360" t="str">
        <f>IFERROR(VLOOKUP($A360,[5]库存使用数据!$A:$C,3,0),"")</f>
        <v/>
      </c>
      <c r="U360" t="str">
        <f>IFERROR(VLOOKUP($A360,[5]库存使用数据!$A:$F,6,0),"")</f>
        <v/>
      </c>
      <c r="V360" t="str">
        <f>IFERROR(VLOOKUP($A360,[5]库存使用数据!$A:$I,9,0),"")</f>
        <v/>
      </c>
      <c r="W360" t="str">
        <f>IFERROR(VLOOKUP($A360,[5]库存使用数据!$A:$L,12,0),"")</f>
        <v/>
      </c>
      <c r="X360" s="23" t="str">
        <f t="shared" si="94"/>
        <v/>
      </c>
      <c r="Y360" s="23" t="str">
        <f t="shared" si="95"/>
        <v/>
      </c>
      <c r="Z360" s="23" t="str">
        <f t="shared" si="96"/>
        <v/>
      </c>
      <c r="AA360" s="23" t="str">
        <f t="shared" si="97"/>
        <v/>
      </c>
      <c r="AB360" t="str">
        <f>IFERROR(VLOOKUP($A360,[5]库存使用数据!$A:$D,4,0),"")</f>
        <v/>
      </c>
      <c r="AC360" t="str">
        <f>IFERROR(VLOOKUP($A360,[5]库存使用数据!$A:$G,7,0),"")</f>
        <v/>
      </c>
      <c r="AD360" t="str">
        <f>IFERROR(VLOOKUP($A360,[5]库存使用数据!$A:$J,10,0),"")</f>
        <v/>
      </c>
      <c r="AE360" t="str">
        <f>IFERROR(VLOOKUP($A360,[5]库存使用数据!$A:$M,13,0),"")</f>
        <v/>
      </c>
      <c r="AF360" s="23" t="str">
        <f t="shared" si="98"/>
        <v/>
      </c>
      <c r="AG360" s="23" t="str">
        <f t="shared" si="99"/>
        <v/>
      </c>
      <c r="AH360" s="23" t="str">
        <f t="shared" si="100"/>
        <v/>
      </c>
      <c r="AI360" s="23" t="str">
        <f t="shared" si="101"/>
        <v/>
      </c>
      <c r="AJ360">
        <f>IFERROR(VLOOKUP($B360,[1]库存报告使用数据!$A$1:$B$65536,2,0),0)</f>
        <v>0</v>
      </c>
      <c r="AK360">
        <f>IFERROR(VLOOKUP($B360,[1]库存报告使用数据!$A$1:$C$65536,3,0),0)</f>
        <v>1</v>
      </c>
      <c r="AL360">
        <f>IFERROR(VLOOKUP($B360,[1]库存报告使用数据!$A$1:$D$65536,4,0),0)</f>
        <v>0</v>
      </c>
      <c r="AM360">
        <f>IFERROR(VLOOKUP($B360,[1]库存报告使用数据!$A$1:$E$65536,5,0),0)</f>
        <v>1</v>
      </c>
      <c r="AN360" s="23" t="str">
        <f t="shared" si="102"/>
        <v/>
      </c>
      <c r="AO360" s="23">
        <f t="shared" si="103"/>
        <v>0</v>
      </c>
      <c r="AP360" s="23" t="str">
        <f t="shared" si="104"/>
        <v/>
      </c>
      <c r="AQ360" s="23">
        <f t="shared" si="105"/>
        <v>0</v>
      </c>
      <c r="AR360" s="38">
        <f t="shared" si="90"/>
        <v>0</v>
      </c>
      <c r="AS360" s="38">
        <f t="shared" si="91"/>
        <v>0</v>
      </c>
      <c r="AT360" s="38">
        <f t="shared" si="92"/>
        <v>15</v>
      </c>
      <c r="AU360" s="33" t="str">
        <f t="shared" si="93"/>
        <v>库存为15</v>
      </c>
      <c r="AV360" s="39" t="str">
        <f>IFERROR(时间!$B$4+AU360,"上周无销量")</f>
        <v>上周无销量</v>
      </c>
    </row>
    <row r="361" spans="1:48">
      <c r="A361" s="35" t="s">
        <v>406</v>
      </c>
      <c r="B361" t="str">
        <f>VLOOKUP(A361,'[2]sku-asin（子）'!$A:$B,2,0)</f>
        <v>B07BKVPJ6Q</v>
      </c>
      <c r="C361" t="str">
        <f>VLOOKUP(A361,'[2]子sku-父sku'!$A:$B,2,0)</f>
        <v>NY-XUHM463</v>
      </c>
      <c r="D361" s="33">
        <f>IFERROR(VLOOKUP(A361,[3]库存报告使用数据处理!$A:$C,3,0),0)</f>
        <v>0</v>
      </c>
      <c r="E361" s="33">
        <f>IFERROR(VLOOKUP(A361,[3]库存报告使用数据处理!$A:$D,4,0),0)</f>
        <v>0</v>
      </c>
      <c r="F361" s="33">
        <f>IFERROR(VLOOKUP(A361,[3]库存报告使用数据处理!$A:$E,5,0),0)</f>
        <v>0</v>
      </c>
      <c r="G361" s="33">
        <f>IFERROR(VLOOKUP(A361,[3]库存报告使用数据处理!$A:$F,6,0),0)</f>
        <v>0</v>
      </c>
      <c r="H361" s="34">
        <f>IFERROR(VLOOKUP(A361,[3]库存报告使用数据处理!$A:$G,7,0),0)</f>
        <v>0</v>
      </c>
      <c r="I361">
        <f>IFERROR(VLOOKUP(A361,[4]数据处理!$A:$B,2,0),0)</f>
        <v>9</v>
      </c>
      <c r="J361" s="36">
        <f>IFERROR(VLOOKUP(A361,[4]数据处理!$A:$D,4,0),0)</f>
        <v>0</v>
      </c>
      <c r="K361" s="36">
        <f>IFERROR(VLOOKUP(A361,[4]数据处理!$A:$E,5,0),0)</f>
        <v>0</v>
      </c>
      <c r="L361" s="36">
        <f>IFERROR(VLOOKUP(A361,[4]数据处理!$A:$G,7,0),0)</f>
        <v>0</v>
      </c>
      <c r="M361">
        <f t="shared" si="89"/>
        <v>9</v>
      </c>
      <c r="N361">
        <f>IFERROR(VLOOKUP(A361,[4]数据处理!$A:$C,3,0),0)</f>
        <v>0</v>
      </c>
      <c r="O361">
        <f>IFERROR(VLOOKUP($A361,[4]数据处理!$A:$N,14,0),0)</f>
        <v>9</v>
      </c>
      <c r="P361">
        <f>IFERROR(VLOOKUP($A361,[5]库存使用数据!$A:$B,2,0),"")</f>
        <v>63</v>
      </c>
      <c r="Q361">
        <f>IFERROR(VLOOKUP($A361,[5]库存使用数据!$A:$E,5,0),"")</f>
        <v>97</v>
      </c>
      <c r="R361">
        <f>IFERROR(VLOOKUP($A361,[5]库存使用数据!$A:$H,8,0),"")</f>
        <v>329</v>
      </c>
      <c r="S361">
        <f>IFERROR(VLOOKUP($A361,[5]库存使用数据!$A:$K,11,0),"")</f>
        <v>399</v>
      </c>
      <c r="T361">
        <f>IFERROR(VLOOKUP($A361,[5]库存使用数据!$A:$C,3,0),"")</f>
        <v>0</v>
      </c>
      <c r="U361">
        <f>IFERROR(VLOOKUP($A361,[5]库存使用数据!$A:$F,6,0),"")</f>
        <v>0</v>
      </c>
      <c r="V361">
        <f>IFERROR(VLOOKUP($A361,[5]库存使用数据!$A:$I,9,0),"")</f>
        <v>1</v>
      </c>
      <c r="W361">
        <f>IFERROR(VLOOKUP($A361,[5]库存使用数据!$A:$L,12,0),"")</f>
        <v>1</v>
      </c>
      <c r="X361" s="23">
        <f t="shared" si="94"/>
        <v>0</v>
      </c>
      <c r="Y361" s="23">
        <f t="shared" si="95"/>
        <v>0</v>
      </c>
      <c r="Z361" s="23">
        <f t="shared" si="96"/>
        <v>0.00303951367781155</v>
      </c>
      <c r="AA361" s="23">
        <f t="shared" si="97"/>
        <v>0.0025062656641604</v>
      </c>
      <c r="AB361">
        <f>IFERROR(VLOOKUP($A361,[5]库存使用数据!$A:$D,4,0),"")</f>
        <v>0</v>
      </c>
      <c r="AC361">
        <f>IFERROR(VLOOKUP($A361,[5]库存使用数据!$A:$G,7,0),"")</f>
        <v>0</v>
      </c>
      <c r="AD361">
        <f>IFERROR(VLOOKUP($A361,[5]库存使用数据!$A:$J,10,0),"")</f>
        <v>0.41</v>
      </c>
      <c r="AE361">
        <f>IFERROR(VLOOKUP($A361,[5]库存使用数据!$A:$M,13,0),"")</f>
        <v>0.33</v>
      </c>
      <c r="AF361" s="23" t="str">
        <f t="shared" si="98"/>
        <v/>
      </c>
      <c r="AG361" s="23" t="str">
        <f t="shared" si="99"/>
        <v/>
      </c>
      <c r="AH361" s="23" t="str">
        <f t="shared" si="100"/>
        <v>无销量广告费为0.41</v>
      </c>
      <c r="AI361" s="23" t="str">
        <f t="shared" si="101"/>
        <v>无销量广告费为0.33</v>
      </c>
      <c r="AJ361">
        <f>IFERROR(VLOOKUP($B361,[1]库存报告使用数据!$A$1:$B$65536,2,0),0)</f>
        <v>1</v>
      </c>
      <c r="AK361">
        <f>IFERROR(VLOOKUP($B361,[1]库存报告使用数据!$A$1:$C$65536,3,0),0)</f>
        <v>3</v>
      </c>
      <c r="AL361">
        <f>IFERROR(VLOOKUP($B361,[1]库存报告使用数据!$A$1:$D$65536,4,0),0)</f>
        <v>0</v>
      </c>
      <c r="AM361">
        <f>IFERROR(VLOOKUP($B361,[1]库存报告使用数据!$A$1:$E$65536,5,0),0)</f>
        <v>0</v>
      </c>
      <c r="AN361" s="23">
        <f t="shared" si="102"/>
        <v>0</v>
      </c>
      <c r="AO361" s="23">
        <f t="shared" si="103"/>
        <v>0</v>
      </c>
      <c r="AP361" s="23" t="str">
        <f t="shared" si="104"/>
        <v/>
      </c>
      <c r="AQ361" s="23" t="str">
        <f t="shared" si="105"/>
        <v/>
      </c>
      <c r="AR361" s="38">
        <f t="shared" si="90"/>
        <v>0</v>
      </c>
      <c r="AS361" s="38">
        <f t="shared" si="91"/>
        <v>0</v>
      </c>
      <c r="AT361" s="38">
        <f t="shared" si="92"/>
        <v>9</v>
      </c>
      <c r="AU361" s="33" t="str">
        <f t="shared" si="93"/>
        <v>库存为9</v>
      </c>
      <c r="AV361" s="39" t="str">
        <f>IFERROR(时间!$B$4+AU361,"上周无销量")</f>
        <v>上周无销量</v>
      </c>
    </row>
    <row r="362" spans="1:48">
      <c r="A362" s="35" t="s">
        <v>407</v>
      </c>
      <c r="B362" t="str">
        <f>VLOOKUP(A362,'[2]sku-asin（子）'!$A:$B,2,0)</f>
        <v>B07BKSX1D6</v>
      </c>
      <c r="C362" t="str">
        <f>VLOOKUP(A362,'[2]子sku-父sku'!$A:$B,2,0)</f>
        <v>NY-XUHM463</v>
      </c>
      <c r="D362" s="33">
        <f>IFERROR(VLOOKUP(A362,[3]库存报告使用数据处理!$A:$C,3,0),0)</f>
        <v>0</v>
      </c>
      <c r="E362" s="33">
        <f>IFERROR(VLOOKUP(A362,[3]库存报告使用数据处理!$A:$D,4,0),0)</f>
        <v>0</v>
      </c>
      <c r="F362" s="33">
        <f>IFERROR(VLOOKUP(A362,[3]库存报告使用数据处理!$A:$E,5,0),0)</f>
        <v>0</v>
      </c>
      <c r="G362" s="33">
        <f>IFERROR(VLOOKUP(A362,[3]库存报告使用数据处理!$A:$F,6,0),0)</f>
        <v>0</v>
      </c>
      <c r="H362" s="34">
        <f>IFERROR(VLOOKUP(A362,[3]库存报告使用数据处理!$A:$G,7,0),0)</f>
        <v>0</v>
      </c>
      <c r="I362">
        <f>IFERROR(VLOOKUP(A362,[4]数据处理!$A:$B,2,0),0)</f>
        <v>5</v>
      </c>
      <c r="J362" s="36">
        <f>IFERROR(VLOOKUP(A362,[4]数据处理!$A:$D,4,0),0)</f>
        <v>0</v>
      </c>
      <c r="K362" s="36">
        <f>IFERROR(VLOOKUP(A362,[4]数据处理!$A:$E,5,0),0)</f>
        <v>0</v>
      </c>
      <c r="L362" s="36">
        <f>IFERROR(VLOOKUP(A362,[4]数据处理!$A:$G,7,0),0)</f>
        <v>0</v>
      </c>
      <c r="M362">
        <f t="shared" si="89"/>
        <v>5</v>
      </c>
      <c r="N362">
        <f>IFERROR(VLOOKUP(A362,[4]数据处理!$A:$C,3,0),0)</f>
        <v>0</v>
      </c>
      <c r="O362">
        <f>IFERROR(VLOOKUP($A362,[4]数据处理!$A:$N,14,0),0)</f>
        <v>5</v>
      </c>
      <c r="P362">
        <f>IFERROR(VLOOKUP($A362,[5]库存使用数据!$A:$B,2,0),"")</f>
        <v>279</v>
      </c>
      <c r="Q362">
        <f>IFERROR(VLOOKUP($A362,[5]库存使用数据!$A:$E,5,0),"")</f>
        <v>444</v>
      </c>
      <c r="R362">
        <f>IFERROR(VLOOKUP($A362,[5]库存使用数据!$A:$H,8,0),"")</f>
        <v>398</v>
      </c>
      <c r="S362">
        <f>IFERROR(VLOOKUP($A362,[5]库存使用数据!$A:$K,11,0),"")</f>
        <v>330</v>
      </c>
      <c r="T362">
        <f>IFERROR(VLOOKUP($A362,[5]库存使用数据!$A:$C,3,0),"")</f>
        <v>0</v>
      </c>
      <c r="U362">
        <f>IFERROR(VLOOKUP($A362,[5]库存使用数据!$A:$F,6,0),"")</f>
        <v>0</v>
      </c>
      <c r="V362">
        <f>IFERROR(VLOOKUP($A362,[5]库存使用数据!$A:$I,9,0),"")</f>
        <v>1</v>
      </c>
      <c r="W362">
        <f>IFERROR(VLOOKUP($A362,[5]库存使用数据!$A:$L,12,0),"")</f>
        <v>0</v>
      </c>
      <c r="X362" s="23">
        <f t="shared" si="94"/>
        <v>0</v>
      </c>
      <c r="Y362" s="23">
        <f t="shared" si="95"/>
        <v>0</v>
      </c>
      <c r="Z362" s="23">
        <f t="shared" si="96"/>
        <v>0.00251256281407035</v>
      </c>
      <c r="AA362" s="23">
        <f t="shared" si="97"/>
        <v>0</v>
      </c>
      <c r="AB362">
        <f>IFERROR(VLOOKUP($A362,[5]库存使用数据!$A:$D,4,0),"")</f>
        <v>0</v>
      </c>
      <c r="AC362">
        <f>IFERROR(VLOOKUP($A362,[5]库存使用数据!$A:$G,7,0),"")</f>
        <v>0</v>
      </c>
      <c r="AD362">
        <f>IFERROR(VLOOKUP($A362,[5]库存使用数据!$A:$J,10,0),"")</f>
        <v>0.65</v>
      </c>
      <c r="AE362">
        <f>IFERROR(VLOOKUP($A362,[5]库存使用数据!$A:$M,13,0),"")</f>
        <v>0</v>
      </c>
      <c r="AF362" s="23" t="str">
        <f t="shared" si="98"/>
        <v/>
      </c>
      <c r="AG362" s="23" t="str">
        <f t="shared" si="99"/>
        <v/>
      </c>
      <c r="AH362" s="23" t="str">
        <f t="shared" si="100"/>
        <v>无销量广告费为0.65</v>
      </c>
      <c r="AI362" s="23" t="str">
        <f t="shared" si="101"/>
        <v/>
      </c>
      <c r="AJ362">
        <f>IFERROR(VLOOKUP($B362,[1]库存报告使用数据!$A$1:$B$65536,2,0),0)</f>
        <v>1</v>
      </c>
      <c r="AK362">
        <f>IFERROR(VLOOKUP($B362,[1]库存报告使用数据!$A$1:$C$65536,3,0),0)</f>
        <v>3</v>
      </c>
      <c r="AL362">
        <f>IFERROR(VLOOKUP($B362,[1]库存报告使用数据!$A$1:$D$65536,4,0),0)</f>
        <v>0</v>
      </c>
      <c r="AM362">
        <f>IFERROR(VLOOKUP($B362,[1]库存报告使用数据!$A$1:$E$65536,5,0),0)</f>
        <v>2</v>
      </c>
      <c r="AN362" s="23">
        <f t="shared" si="102"/>
        <v>0</v>
      </c>
      <c r="AO362" s="23">
        <f t="shared" si="103"/>
        <v>0</v>
      </c>
      <c r="AP362" s="23" t="str">
        <f t="shared" si="104"/>
        <v/>
      </c>
      <c r="AQ362" s="23">
        <f t="shared" si="105"/>
        <v>0</v>
      </c>
      <c r="AR362" s="38">
        <f t="shared" si="90"/>
        <v>0</v>
      </c>
      <c r="AS362" s="38">
        <f t="shared" si="91"/>
        <v>0</v>
      </c>
      <c r="AT362" s="38">
        <f t="shared" si="92"/>
        <v>5</v>
      </c>
      <c r="AU362" s="33" t="str">
        <f t="shared" si="93"/>
        <v>库存为5</v>
      </c>
      <c r="AV362" s="39" t="str">
        <f>IFERROR(时间!$B$4+AU362,"上周无销量")</f>
        <v>上周无销量</v>
      </c>
    </row>
    <row r="363" spans="1:48">
      <c r="A363" s="35" t="s">
        <v>408</v>
      </c>
      <c r="B363" t="str">
        <f>VLOOKUP(A363,'[2]sku-asin（子）'!$A:$B,2,0)</f>
        <v>B07BKQLKBG</v>
      </c>
      <c r="C363" t="str">
        <f>VLOOKUP(A363,'[2]子sku-父sku'!$A:$B,2,0)</f>
        <v>NY-XUHM463</v>
      </c>
      <c r="D363" s="33">
        <f>IFERROR(VLOOKUP(A363,[3]库存报告使用数据处理!$A:$C,3,0),0)</f>
        <v>0</v>
      </c>
      <c r="E363" s="33">
        <f>IFERROR(VLOOKUP(A363,[3]库存报告使用数据处理!$A:$D,4,0),0)</f>
        <v>0</v>
      </c>
      <c r="F363" s="33">
        <f>IFERROR(VLOOKUP(A363,[3]库存报告使用数据处理!$A:$E,5,0),0)</f>
        <v>0</v>
      </c>
      <c r="G363" s="33">
        <f>IFERROR(VLOOKUP(A363,[3]库存报告使用数据处理!$A:$F,6,0),0)</f>
        <v>0</v>
      </c>
      <c r="H363" s="34">
        <f>IFERROR(VLOOKUP(A363,[3]库存报告使用数据处理!$A:$G,7,0),0)</f>
        <v>0</v>
      </c>
      <c r="I363">
        <f>IFERROR(VLOOKUP(A363,[4]数据处理!$A:$B,2,0),0)</f>
        <v>19</v>
      </c>
      <c r="J363" s="36">
        <f>IFERROR(VLOOKUP(A363,[4]数据处理!$A:$D,4,0),0)</f>
        <v>0</v>
      </c>
      <c r="K363" s="36">
        <f>IFERROR(VLOOKUP(A363,[4]数据处理!$A:$E,5,0),0)</f>
        <v>0</v>
      </c>
      <c r="L363" s="36">
        <f>IFERROR(VLOOKUP(A363,[4]数据处理!$A:$G,7,0),0)</f>
        <v>0</v>
      </c>
      <c r="M363">
        <f t="shared" si="89"/>
        <v>19</v>
      </c>
      <c r="N363">
        <f>IFERROR(VLOOKUP(A363,[4]数据处理!$A:$C,3,0),0)</f>
        <v>0</v>
      </c>
      <c r="O363">
        <f>IFERROR(VLOOKUP($A363,[4]数据处理!$A:$N,14,0),0)</f>
        <v>19</v>
      </c>
      <c r="P363">
        <f>IFERROR(VLOOKUP($A363,[5]库存使用数据!$A:$B,2,0),"")</f>
        <v>578</v>
      </c>
      <c r="Q363">
        <f>IFERROR(VLOOKUP($A363,[5]库存使用数据!$A:$E,5,0),"")</f>
        <v>885</v>
      </c>
      <c r="R363">
        <f>IFERROR(VLOOKUP($A363,[5]库存使用数据!$A:$H,8,0),"")</f>
        <v>608</v>
      </c>
      <c r="S363">
        <f>IFERROR(VLOOKUP($A363,[5]库存使用数据!$A:$K,11,0),"")</f>
        <v>812</v>
      </c>
      <c r="T363">
        <f>IFERROR(VLOOKUP($A363,[5]库存使用数据!$A:$C,3,0),"")</f>
        <v>0</v>
      </c>
      <c r="U363">
        <f>IFERROR(VLOOKUP($A363,[5]库存使用数据!$A:$F,6,0),"")</f>
        <v>0</v>
      </c>
      <c r="V363">
        <f>IFERROR(VLOOKUP($A363,[5]库存使用数据!$A:$I,9,0),"")</f>
        <v>0</v>
      </c>
      <c r="W363">
        <f>IFERROR(VLOOKUP($A363,[5]库存使用数据!$A:$L,12,0),"")</f>
        <v>1</v>
      </c>
      <c r="X363" s="23">
        <f t="shared" si="94"/>
        <v>0</v>
      </c>
      <c r="Y363" s="23">
        <f t="shared" si="95"/>
        <v>0</v>
      </c>
      <c r="Z363" s="23">
        <f t="shared" si="96"/>
        <v>0</v>
      </c>
      <c r="AA363" s="23">
        <f t="shared" si="97"/>
        <v>0.00123152709359606</v>
      </c>
      <c r="AB363">
        <f>IFERROR(VLOOKUP($A363,[5]库存使用数据!$A:$D,4,0),"")</f>
        <v>0</v>
      </c>
      <c r="AC363">
        <f>IFERROR(VLOOKUP($A363,[5]库存使用数据!$A:$G,7,0),"")</f>
        <v>0</v>
      </c>
      <c r="AD363">
        <f>IFERROR(VLOOKUP($A363,[5]库存使用数据!$A:$J,10,0),"")</f>
        <v>0</v>
      </c>
      <c r="AE363">
        <f>IFERROR(VLOOKUP($A363,[5]库存使用数据!$A:$M,13,0),"")</f>
        <v>0.4</v>
      </c>
      <c r="AF363" s="23" t="str">
        <f t="shared" si="98"/>
        <v/>
      </c>
      <c r="AG363" s="23" t="str">
        <f t="shared" si="99"/>
        <v/>
      </c>
      <c r="AH363" s="23" t="str">
        <f t="shared" si="100"/>
        <v/>
      </c>
      <c r="AI363" s="23" t="str">
        <f t="shared" si="101"/>
        <v>无销量广告费为0.4</v>
      </c>
      <c r="AJ363">
        <f>IFERROR(VLOOKUP($B363,[1]库存报告使用数据!$A$1:$B$65536,2,0),0)</f>
        <v>2</v>
      </c>
      <c r="AK363">
        <f>IFERROR(VLOOKUP($B363,[1]库存报告使用数据!$A$1:$C$65536,3,0),0)</f>
        <v>3</v>
      </c>
      <c r="AL363">
        <f>IFERROR(VLOOKUP($B363,[1]库存报告使用数据!$A$1:$D$65536,4,0),0)</f>
        <v>2</v>
      </c>
      <c r="AM363">
        <f>IFERROR(VLOOKUP($B363,[1]库存报告使用数据!$A$1:$E$65536,5,0),0)</f>
        <v>2</v>
      </c>
      <c r="AN363" s="23">
        <f t="shared" si="102"/>
        <v>0</v>
      </c>
      <c r="AO363" s="23">
        <f t="shared" si="103"/>
        <v>0</v>
      </c>
      <c r="AP363" s="23">
        <f t="shared" si="104"/>
        <v>0</v>
      </c>
      <c r="AQ363" s="23">
        <f t="shared" si="105"/>
        <v>0</v>
      </c>
      <c r="AR363" s="38">
        <f t="shared" si="90"/>
        <v>0</v>
      </c>
      <c r="AS363" s="38">
        <f t="shared" si="91"/>
        <v>0</v>
      </c>
      <c r="AT363" s="38">
        <f t="shared" si="92"/>
        <v>19</v>
      </c>
      <c r="AU363" s="33" t="str">
        <f t="shared" si="93"/>
        <v>库存为19</v>
      </c>
      <c r="AV363" s="39" t="str">
        <f>IFERROR(时间!$B$4+AU363,"上周无销量")</f>
        <v>上周无销量</v>
      </c>
    </row>
    <row r="364" spans="1:48">
      <c r="A364" s="35" t="s">
        <v>409</v>
      </c>
      <c r="B364" t="str">
        <f>VLOOKUP(A364,'[2]sku-asin（子）'!$A:$B,2,0)</f>
        <v>B07BKRLXJK</v>
      </c>
      <c r="C364" t="str">
        <f>VLOOKUP(A364,'[2]子sku-父sku'!$A:$B,2,0)</f>
        <v>NY-XUHM463</v>
      </c>
      <c r="D364" s="33">
        <f>IFERROR(VLOOKUP(A364,[3]库存报告使用数据处理!$A:$C,3,0),0)</f>
        <v>0</v>
      </c>
      <c r="E364" s="33">
        <f>IFERROR(VLOOKUP(A364,[3]库存报告使用数据处理!$A:$D,4,0),0)</f>
        <v>0</v>
      </c>
      <c r="F364" s="33">
        <f>IFERROR(VLOOKUP(A364,[3]库存报告使用数据处理!$A:$E,5,0),0)</f>
        <v>0</v>
      </c>
      <c r="G364" s="33">
        <f>IFERROR(VLOOKUP(A364,[3]库存报告使用数据处理!$A:$F,6,0),0)</f>
        <v>0</v>
      </c>
      <c r="H364" s="34">
        <f>IFERROR(VLOOKUP(A364,[3]库存报告使用数据处理!$A:$G,7,0),0)</f>
        <v>0</v>
      </c>
      <c r="I364">
        <f>IFERROR(VLOOKUP(A364,[4]数据处理!$A:$B,2,0),0)</f>
        <v>14</v>
      </c>
      <c r="J364" s="36">
        <f>IFERROR(VLOOKUP(A364,[4]数据处理!$A:$D,4,0),0)</f>
        <v>0</v>
      </c>
      <c r="K364" s="36">
        <f>IFERROR(VLOOKUP(A364,[4]数据处理!$A:$E,5,0),0)</f>
        <v>0</v>
      </c>
      <c r="L364" s="36">
        <f>IFERROR(VLOOKUP(A364,[4]数据处理!$A:$G,7,0),0)</f>
        <v>0</v>
      </c>
      <c r="M364">
        <f t="shared" si="89"/>
        <v>14</v>
      </c>
      <c r="N364">
        <f>IFERROR(VLOOKUP(A364,[4]数据处理!$A:$C,3,0),0)</f>
        <v>0</v>
      </c>
      <c r="O364">
        <f>IFERROR(VLOOKUP($A364,[4]数据处理!$A:$N,14,0),0)</f>
        <v>14</v>
      </c>
      <c r="P364">
        <f>IFERROR(VLOOKUP($A364,[5]库存使用数据!$A:$B,2,0),"")</f>
        <v>211</v>
      </c>
      <c r="Q364">
        <f>IFERROR(VLOOKUP($A364,[5]库存使用数据!$A:$E,5,0),"")</f>
        <v>262</v>
      </c>
      <c r="R364">
        <f>IFERROR(VLOOKUP($A364,[5]库存使用数据!$A:$H,8,0),"")</f>
        <v>222</v>
      </c>
      <c r="S364">
        <f>IFERROR(VLOOKUP($A364,[5]库存使用数据!$A:$K,11,0),"")</f>
        <v>71</v>
      </c>
      <c r="T364">
        <f>IFERROR(VLOOKUP($A364,[5]库存使用数据!$A:$C,3,0),"")</f>
        <v>0</v>
      </c>
      <c r="U364">
        <f>IFERROR(VLOOKUP($A364,[5]库存使用数据!$A:$F,6,0),"")</f>
        <v>0</v>
      </c>
      <c r="V364">
        <f>IFERROR(VLOOKUP($A364,[5]库存使用数据!$A:$I,9,0),"")</f>
        <v>1</v>
      </c>
      <c r="W364">
        <f>IFERROR(VLOOKUP($A364,[5]库存使用数据!$A:$L,12,0),"")</f>
        <v>0</v>
      </c>
      <c r="X364" s="23">
        <f t="shared" si="94"/>
        <v>0</v>
      </c>
      <c r="Y364" s="23">
        <f t="shared" si="95"/>
        <v>0</v>
      </c>
      <c r="Z364" s="23">
        <f t="shared" si="96"/>
        <v>0.0045045045045045</v>
      </c>
      <c r="AA364" s="23">
        <f t="shared" si="97"/>
        <v>0</v>
      </c>
      <c r="AB364">
        <f>IFERROR(VLOOKUP($A364,[5]库存使用数据!$A:$D,4,0),"")</f>
        <v>0</v>
      </c>
      <c r="AC364">
        <f>IFERROR(VLOOKUP($A364,[5]库存使用数据!$A:$G,7,0),"")</f>
        <v>0</v>
      </c>
      <c r="AD364">
        <f>IFERROR(VLOOKUP($A364,[5]库存使用数据!$A:$J,10,0),"")</f>
        <v>0.24</v>
      </c>
      <c r="AE364">
        <f>IFERROR(VLOOKUP($A364,[5]库存使用数据!$A:$M,13,0),"")</f>
        <v>0</v>
      </c>
      <c r="AF364" s="23" t="str">
        <f t="shared" si="98"/>
        <v/>
      </c>
      <c r="AG364" s="23" t="str">
        <f t="shared" si="99"/>
        <v/>
      </c>
      <c r="AH364" s="23" t="str">
        <f t="shared" si="100"/>
        <v>无销量广告费为0.24</v>
      </c>
      <c r="AI364" s="23" t="str">
        <f t="shared" si="101"/>
        <v/>
      </c>
      <c r="AJ364">
        <f>IFERROR(VLOOKUP($B364,[1]库存报告使用数据!$A$1:$B$65536,2,0),0)</f>
        <v>2</v>
      </c>
      <c r="AK364">
        <f>IFERROR(VLOOKUP($B364,[1]库存报告使用数据!$A$1:$C$65536,3,0),0)</f>
        <v>3</v>
      </c>
      <c r="AL364">
        <f>IFERROR(VLOOKUP($B364,[1]库存报告使用数据!$A$1:$D$65536,4,0),0)</f>
        <v>0</v>
      </c>
      <c r="AM364">
        <f>IFERROR(VLOOKUP($B364,[1]库存报告使用数据!$A$1:$E$65536,5,0),0)</f>
        <v>1</v>
      </c>
      <c r="AN364" s="23">
        <f t="shared" si="102"/>
        <v>0</v>
      </c>
      <c r="AO364" s="23">
        <f t="shared" si="103"/>
        <v>0</v>
      </c>
      <c r="AP364" s="23" t="str">
        <f t="shared" si="104"/>
        <v/>
      </c>
      <c r="AQ364" s="23">
        <f t="shared" si="105"/>
        <v>0</v>
      </c>
      <c r="AR364" s="38">
        <f t="shared" si="90"/>
        <v>0</v>
      </c>
      <c r="AS364" s="38">
        <f t="shared" si="91"/>
        <v>0</v>
      </c>
      <c r="AT364" s="38">
        <f t="shared" si="92"/>
        <v>14</v>
      </c>
      <c r="AU364" s="33" t="str">
        <f t="shared" si="93"/>
        <v>库存为14</v>
      </c>
      <c r="AV364" s="39" t="str">
        <f>IFERROR(时间!$B$4+AU364,"上周无销量")</f>
        <v>上周无销量</v>
      </c>
    </row>
    <row r="365" spans="1:48">
      <c r="A365" s="35" t="s">
        <v>410</v>
      </c>
      <c r="B365" t="str">
        <f>VLOOKUP(A365,'[2]sku-asin（子）'!$A:$B,2,0)</f>
        <v>B07BKRPH4T</v>
      </c>
      <c r="C365" t="str">
        <f>VLOOKUP(A365,'[2]子sku-父sku'!$A:$B,2,0)</f>
        <v>NY-XUHM463</v>
      </c>
      <c r="D365" s="33">
        <f>IFERROR(VLOOKUP(A365,[3]库存报告使用数据处理!$A:$C,3,0),0)</f>
        <v>0</v>
      </c>
      <c r="E365" s="33">
        <f>IFERROR(VLOOKUP(A365,[3]库存报告使用数据处理!$A:$D,4,0),0)</f>
        <v>0</v>
      </c>
      <c r="F365" s="33">
        <f>IFERROR(VLOOKUP(A365,[3]库存报告使用数据处理!$A:$E,5,0),0)</f>
        <v>0</v>
      </c>
      <c r="G365" s="33">
        <f>IFERROR(VLOOKUP(A365,[3]库存报告使用数据处理!$A:$F,6,0),0)</f>
        <v>0</v>
      </c>
      <c r="H365" s="34">
        <f>IFERROR(VLOOKUP(A365,[3]库存报告使用数据处理!$A:$G,7,0),0)</f>
        <v>0</v>
      </c>
      <c r="I365">
        <f>IFERROR(VLOOKUP(A365,[4]数据处理!$A:$B,2,0),0)</f>
        <v>9</v>
      </c>
      <c r="J365" s="36">
        <f>IFERROR(VLOOKUP(A365,[4]数据处理!$A:$D,4,0),0)</f>
        <v>0</v>
      </c>
      <c r="K365" s="36">
        <f>IFERROR(VLOOKUP(A365,[4]数据处理!$A:$E,5,0),0)</f>
        <v>0</v>
      </c>
      <c r="L365" s="36">
        <f>IFERROR(VLOOKUP(A365,[4]数据处理!$A:$G,7,0),0)</f>
        <v>0</v>
      </c>
      <c r="M365">
        <f t="shared" si="89"/>
        <v>9</v>
      </c>
      <c r="N365">
        <f>IFERROR(VLOOKUP(A365,[4]数据处理!$A:$C,3,0),0)</f>
        <v>0</v>
      </c>
      <c r="O365">
        <f>IFERROR(VLOOKUP($A365,[4]数据处理!$A:$N,14,0),0)</f>
        <v>9</v>
      </c>
      <c r="P365">
        <f>IFERROR(VLOOKUP($A365,[5]库存使用数据!$A:$B,2,0),"")</f>
        <v>167</v>
      </c>
      <c r="Q365">
        <f>IFERROR(VLOOKUP($A365,[5]库存使用数据!$A:$E,5,0),"")</f>
        <v>387</v>
      </c>
      <c r="R365">
        <f>IFERROR(VLOOKUP($A365,[5]库存使用数据!$A:$H,8,0),"")</f>
        <v>93</v>
      </c>
      <c r="S365">
        <f>IFERROR(VLOOKUP($A365,[5]库存使用数据!$A:$K,11,0),"")</f>
        <v>209</v>
      </c>
      <c r="T365">
        <f>IFERROR(VLOOKUP($A365,[5]库存使用数据!$A:$C,3,0),"")</f>
        <v>1</v>
      </c>
      <c r="U365">
        <f>IFERROR(VLOOKUP($A365,[5]库存使用数据!$A:$F,6,0),"")</f>
        <v>0</v>
      </c>
      <c r="V365">
        <f>IFERROR(VLOOKUP($A365,[5]库存使用数据!$A:$I,9,0),"")</f>
        <v>0</v>
      </c>
      <c r="W365">
        <f>IFERROR(VLOOKUP($A365,[5]库存使用数据!$A:$L,12,0),"")</f>
        <v>0</v>
      </c>
      <c r="X365" s="23">
        <f t="shared" si="94"/>
        <v>0.00598802395209581</v>
      </c>
      <c r="Y365" s="23">
        <f t="shared" si="95"/>
        <v>0</v>
      </c>
      <c r="Z365" s="23">
        <f t="shared" si="96"/>
        <v>0</v>
      </c>
      <c r="AA365" s="23">
        <f t="shared" si="97"/>
        <v>0</v>
      </c>
      <c r="AB365">
        <f>IFERROR(VLOOKUP($A365,[5]库存使用数据!$A:$D,4,0),"")</f>
        <v>0.28</v>
      </c>
      <c r="AC365">
        <f>IFERROR(VLOOKUP($A365,[5]库存使用数据!$A:$G,7,0),"")</f>
        <v>0</v>
      </c>
      <c r="AD365">
        <f>IFERROR(VLOOKUP($A365,[5]库存使用数据!$A:$J,10,0),"")</f>
        <v>0</v>
      </c>
      <c r="AE365">
        <f>IFERROR(VLOOKUP($A365,[5]库存使用数据!$A:$M,13,0),"")</f>
        <v>0</v>
      </c>
      <c r="AF365" s="23" t="str">
        <f t="shared" si="98"/>
        <v>无销量广告费为0.28</v>
      </c>
      <c r="AG365" s="23" t="str">
        <f t="shared" si="99"/>
        <v/>
      </c>
      <c r="AH365" s="23" t="str">
        <f t="shared" si="100"/>
        <v/>
      </c>
      <c r="AI365" s="23" t="str">
        <f t="shared" si="101"/>
        <v/>
      </c>
      <c r="AJ365">
        <f>IFERROR(VLOOKUP($B365,[1]库存报告使用数据!$A$1:$B$65536,2,0),0)</f>
        <v>1</v>
      </c>
      <c r="AK365">
        <f>IFERROR(VLOOKUP($B365,[1]库存报告使用数据!$A$1:$C$65536,3,0),0)</f>
        <v>4</v>
      </c>
      <c r="AL365">
        <f>IFERROR(VLOOKUP($B365,[1]库存报告使用数据!$A$1:$D$65536,4,0),0)</f>
        <v>1</v>
      </c>
      <c r="AM365">
        <f>IFERROR(VLOOKUP($B365,[1]库存报告使用数据!$A$1:$E$65536,5,0),0)</f>
        <v>0</v>
      </c>
      <c r="AN365" s="23">
        <f t="shared" si="102"/>
        <v>0</v>
      </c>
      <c r="AO365" s="23">
        <f t="shared" si="103"/>
        <v>0</v>
      </c>
      <c r="AP365" s="23">
        <f t="shared" si="104"/>
        <v>0</v>
      </c>
      <c r="AQ365" s="23" t="str">
        <f t="shared" si="105"/>
        <v/>
      </c>
      <c r="AR365" s="38">
        <f t="shared" si="90"/>
        <v>0</v>
      </c>
      <c r="AS365" s="38">
        <f t="shared" si="91"/>
        <v>0</v>
      </c>
      <c r="AT365" s="38">
        <f t="shared" si="92"/>
        <v>9</v>
      </c>
      <c r="AU365" s="33" t="str">
        <f t="shared" si="93"/>
        <v>库存为9</v>
      </c>
      <c r="AV365" s="39" t="str">
        <f>IFERROR(时间!$B$4+AU365,"上周无销量")</f>
        <v>上周无销量</v>
      </c>
    </row>
    <row r="366" spans="1:48">
      <c r="A366" s="35" t="s">
        <v>411</v>
      </c>
      <c r="B366" t="str">
        <f>VLOOKUP(A366,'[2]sku-asin（子）'!$A:$B,2,0)</f>
        <v>B07BKPX8X2</v>
      </c>
      <c r="C366" t="str">
        <f>VLOOKUP(A366,'[2]子sku-父sku'!$A:$B,2,0)</f>
        <v>NY-XUHM463</v>
      </c>
      <c r="D366" s="33">
        <f>IFERROR(VLOOKUP(A366,[3]库存报告使用数据处理!$A:$C,3,0),0)</f>
        <v>0</v>
      </c>
      <c r="E366" s="33">
        <f>IFERROR(VLOOKUP(A366,[3]库存报告使用数据处理!$A:$D,4,0),0)</f>
        <v>0</v>
      </c>
      <c r="F366" s="33">
        <f>IFERROR(VLOOKUP(A366,[3]库存报告使用数据处理!$A:$E,5,0),0)</f>
        <v>0</v>
      </c>
      <c r="G366" s="33">
        <f>IFERROR(VLOOKUP(A366,[3]库存报告使用数据处理!$A:$F,6,0),0)</f>
        <v>0</v>
      </c>
      <c r="H366" s="34">
        <f>IFERROR(VLOOKUP(A366,[3]库存报告使用数据处理!$A:$G,7,0),0)</f>
        <v>0</v>
      </c>
      <c r="I366">
        <f>IFERROR(VLOOKUP(A366,[4]数据处理!$A:$B,2,0),0)</f>
        <v>4</v>
      </c>
      <c r="J366" s="36">
        <f>IFERROR(VLOOKUP(A366,[4]数据处理!$A:$D,4,0),0)</f>
        <v>0</v>
      </c>
      <c r="K366" s="36">
        <f>IFERROR(VLOOKUP(A366,[4]数据处理!$A:$E,5,0),0)</f>
        <v>0</v>
      </c>
      <c r="L366" s="36">
        <f>IFERROR(VLOOKUP(A366,[4]数据处理!$A:$G,7,0),0)</f>
        <v>0</v>
      </c>
      <c r="M366">
        <f t="shared" si="89"/>
        <v>4</v>
      </c>
      <c r="N366">
        <f>IFERROR(VLOOKUP(A366,[4]数据处理!$A:$C,3,0),0)</f>
        <v>0</v>
      </c>
      <c r="O366">
        <f>IFERROR(VLOOKUP($A366,[4]数据处理!$A:$N,14,0),0)</f>
        <v>4</v>
      </c>
      <c r="P366">
        <f>IFERROR(VLOOKUP($A366,[5]库存使用数据!$A:$B,2,0),"")</f>
        <v>55</v>
      </c>
      <c r="Q366">
        <f>IFERROR(VLOOKUP($A366,[5]库存使用数据!$A:$E,5,0),"")</f>
        <v>404</v>
      </c>
      <c r="R366">
        <f>IFERROR(VLOOKUP($A366,[5]库存使用数据!$A:$H,8,0),"")</f>
        <v>473</v>
      </c>
      <c r="S366">
        <f>IFERROR(VLOOKUP($A366,[5]库存使用数据!$A:$K,11,0),"")</f>
        <v>668</v>
      </c>
      <c r="T366">
        <f>IFERROR(VLOOKUP($A366,[5]库存使用数据!$A:$C,3,0),"")</f>
        <v>0</v>
      </c>
      <c r="U366">
        <f>IFERROR(VLOOKUP($A366,[5]库存使用数据!$A:$F,6,0),"")</f>
        <v>0</v>
      </c>
      <c r="V366">
        <f>IFERROR(VLOOKUP($A366,[5]库存使用数据!$A:$I,9,0),"")</f>
        <v>1</v>
      </c>
      <c r="W366">
        <f>IFERROR(VLOOKUP($A366,[5]库存使用数据!$A:$L,12,0),"")</f>
        <v>3</v>
      </c>
      <c r="X366" s="23">
        <f t="shared" si="94"/>
        <v>0</v>
      </c>
      <c r="Y366" s="23">
        <f t="shared" si="95"/>
        <v>0</v>
      </c>
      <c r="Z366" s="23">
        <f t="shared" si="96"/>
        <v>0.00211416490486258</v>
      </c>
      <c r="AA366" s="23">
        <f t="shared" si="97"/>
        <v>0.00449101796407186</v>
      </c>
      <c r="AB366">
        <f>IFERROR(VLOOKUP($A366,[5]库存使用数据!$A:$D,4,0),"")</f>
        <v>0</v>
      </c>
      <c r="AC366">
        <f>IFERROR(VLOOKUP($A366,[5]库存使用数据!$A:$G,7,0),"")</f>
        <v>0</v>
      </c>
      <c r="AD366">
        <f>IFERROR(VLOOKUP($A366,[5]库存使用数据!$A:$J,10,0),"")</f>
        <v>0.41</v>
      </c>
      <c r="AE366">
        <f>IFERROR(VLOOKUP($A366,[5]库存使用数据!$A:$M,13,0),"")</f>
        <v>1.26</v>
      </c>
      <c r="AF366" s="23" t="str">
        <f t="shared" si="98"/>
        <v/>
      </c>
      <c r="AG366" s="23" t="str">
        <f t="shared" si="99"/>
        <v/>
      </c>
      <c r="AH366" s="23" t="str">
        <f t="shared" si="100"/>
        <v>无销量广告费为0.41</v>
      </c>
      <c r="AI366" s="23" t="str">
        <f t="shared" si="101"/>
        <v>无销量广告费为1.26</v>
      </c>
      <c r="AJ366">
        <f>IFERROR(VLOOKUP($B366,[1]库存报告使用数据!$A$1:$B$65536,2,0),0)</f>
        <v>0</v>
      </c>
      <c r="AK366">
        <f>IFERROR(VLOOKUP($B366,[1]库存报告使用数据!$A$1:$C$65536,3,0),0)</f>
        <v>3</v>
      </c>
      <c r="AL366">
        <f>IFERROR(VLOOKUP($B366,[1]库存报告使用数据!$A$1:$D$65536,4,0),0)</f>
        <v>2</v>
      </c>
      <c r="AM366">
        <f>IFERROR(VLOOKUP($B366,[1]库存报告使用数据!$A$1:$E$65536,5,0),0)</f>
        <v>3</v>
      </c>
      <c r="AN366" s="23" t="str">
        <f t="shared" si="102"/>
        <v/>
      </c>
      <c r="AO366" s="23">
        <f t="shared" si="103"/>
        <v>0</v>
      </c>
      <c r="AP366" s="23">
        <f t="shared" si="104"/>
        <v>0</v>
      </c>
      <c r="AQ366" s="23">
        <f t="shared" si="105"/>
        <v>0</v>
      </c>
      <c r="AR366" s="38">
        <f t="shared" si="90"/>
        <v>0</v>
      </c>
      <c r="AS366" s="38">
        <f t="shared" si="91"/>
        <v>0</v>
      </c>
      <c r="AT366" s="38">
        <f t="shared" si="92"/>
        <v>4</v>
      </c>
      <c r="AU366" s="33" t="str">
        <f t="shared" si="93"/>
        <v>库存为4</v>
      </c>
      <c r="AV366" s="39" t="str">
        <f>IFERROR(时间!$B$4+AU366,"上周无销量")</f>
        <v>上周无销量</v>
      </c>
    </row>
    <row r="367" spans="1:48">
      <c r="A367" s="35" t="s">
        <v>412</v>
      </c>
      <c r="B367" t="str">
        <f>VLOOKUP(A367,'[2]sku-asin（子）'!$A:$B,2,0)</f>
        <v>B07BKQDRB2</v>
      </c>
      <c r="C367" t="str">
        <f>VLOOKUP(A367,'[2]子sku-父sku'!$A:$B,2,0)</f>
        <v>NY-XUHM463</v>
      </c>
      <c r="D367" s="33">
        <f>IFERROR(VLOOKUP(A367,[3]库存报告使用数据处理!$A:$C,3,0),0)</f>
        <v>1</v>
      </c>
      <c r="E367" s="33">
        <f>IFERROR(VLOOKUP(A367,[3]库存报告使用数据处理!$A:$D,4,0),0)</f>
        <v>0</v>
      </c>
      <c r="F367" s="33">
        <f>IFERROR(VLOOKUP(A367,[3]库存报告使用数据处理!$A:$E,5,0),0)</f>
        <v>0</v>
      </c>
      <c r="G367" s="33">
        <f>IFERROR(VLOOKUP(A367,[3]库存报告使用数据处理!$A:$F,6,0),0)</f>
        <v>0</v>
      </c>
      <c r="H367" s="34">
        <f>IFERROR(VLOOKUP(A367,[3]库存报告使用数据处理!$A:$G,7,0),0)</f>
        <v>15.99</v>
      </c>
      <c r="I367">
        <f>IFERROR(VLOOKUP(A367,[4]数据处理!$A:$B,2,0),0)</f>
        <v>17</v>
      </c>
      <c r="J367" s="36">
        <f>IFERROR(VLOOKUP(A367,[4]数据处理!$A:$D,4,0),0)</f>
        <v>0</v>
      </c>
      <c r="K367" s="36">
        <f>IFERROR(VLOOKUP(A367,[4]数据处理!$A:$E,5,0),0)</f>
        <v>0</v>
      </c>
      <c r="L367" s="36">
        <f>IFERROR(VLOOKUP(A367,[4]数据处理!$A:$G,7,0),0)</f>
        <v>0</v>
      </c>
      <c r="M367">
        <f t="shared" si="89"/>
        <v>17</v>
      </c>
      <c r="N367">
        <f>IFERROR(VLOOKUP(A367,[4]数据处理!$A:$C,3,0),0)</f>
        <v>0</v>
      </c>
      <c r="O367">
        <f>IFERROR(VLOOKUP($A367,[4]数据处理!$A:$N,14,0),0)</f>
        <v>17</v>
      </c>
      <c r="P367">
        <f>IFERROR(VLOOKUP($A367,[5]库存使用数据!$A:$B,2,0),"")</f>
        <v>542</v>
      </c>
      <c r="Q367">
        <f>IFERROR(VLOOKUP($A367,[5]库存使用数据!$A:$E,5,0),"")</f>
        <v>704</v>
      </c>
      <c r="R367">
        <f>IFERROR(VLOOKUP($A367,[5]库存使用数据!$A:$H,8,0),"")</f>
        <v>881</v>
      </c>
      <c r="S367">
        <f>IFERROR(VLOOKUP($A367,[5]库存使用数据!$A:$K,11,0),"")</f>
        <v>1264</v>
      </c>
      <c r="T367">
        <f>IFERROR(VLOOKUP($A367,[5]库存使用数据!$A:$C,3,0),"")</f>
        <v>1</v>
      </c>
      <c r="U367">
        <f>IFERROR(VLOOKUP($A367,[5]库存使用数据!$A:$F,6,0),"")</f>
        <v>1</v>
      </c>
      <c r="V367">
        <f>IFERROR(VLOOKUP($A367,[5]库存使用数据!$A:$I,9,0),"")</f>
        <v>0</v>
      </c>
      <c r="W367">
        <f>IFERROR(VLOOKUP($A367,[5]库存使用数据!$A:$L,12,0),"")</f>
        <v>3</v>
      </c>
      <c r="X367" s="23">
        <f t="shared" si="94"/>
        <v>0.0018450184501845</v>
      </c>
      <c r="Y367" s="23">
        <f t="shared" si="95"/>
        <v>0.00142045454545455</v>
      </c>
      <c r="Z367" s="23">
        <f t="shared" si="96"/>
        <v>0</v>
      </c>
      <c r="AA367" s="23">
        <f t="shared" si="97"/>
        <v>0.00237341772151899</v>
      </c>
      <c r="AB367">
        <f>IFERROR(VLOOKUP($A367,[5]库存使用数据!$A:$D,4,0),"")</f>
        <v>0.19</v>
      </c>
      <c r="AC367">
        <f>IFERROR(VLOOKUP($A367,[5]库存使用数据!$A:$G,7,0),"")</f>
        <v>0.48</v>
      </c>
      <c r="AD367">
        <f>IFERROR(VLOOKUP($A367,[5]库存使用数据!$A:$J,10,0),"")</f>
        <v>0</v>
      </c>
      <c r="AE367">
        <f>IFERROR(VLOOKUP($A367,[5]库存使用数据!$A:$M,13,0),"")</f>
        <v>1.18</v>
      </c>
      <c r="AF367" s="23">
        <f t="shared" si="98"/>
        <v>0.0118824265165729</v>
      </c>
      <c r="AG367" s="23" t="str">
        <f t="shared" si="99"/>
        <v>无销量广告费为0.48</v>
      </c>
      <c r="AH367" s="23" t="str">
        <f t="shared" si="100"/>
        <v/>
      </c>
      <c r="AI367" s="23" t="str">
        <f t="shared" si="101"/>
        <v>无销量广告费为1.18</v>
      </c>
      <c r="AJ367">
        <f>IFERROR(VLOOKUP($B367,[1]库存报告使用数据!$A$1:$B$65536,2,0),0)</f>
        <v>0</v>
      </c>
      <c r="AK367">
        <f>IFERROR(VLOOKUP($B367,[1]库存报告使用数据!$A$1:$C$65536,3,0),0)</f>
        <v>2</v>
      </c>
      <c r="AL367">
        <f>IFERROR(VLOOKUP($B367,[1]库存报告使用数据!$A$1:$D$65536,4,0),0)</f>
        <v>1</v>
      </c>
      <c r="AM367">
        <f>IFERROR(VLOOKUP($B367,[1]库存报告使用数据!$A$1:$E$65536,5,0),0)</f>
        <v>4</v>
      </c>
      <c r="AN367" s="23" t="str">
        <f t="shared" si="102"/>
        <v/>
      </c>
      <c r="AO367" s="23">
        <f t="shared" si="103"/>
        <v>0</v>
      </c>
      <c r="AP367" s="23">
        <f t="shared" si="104"/>
        <v>0</v>
      </c>
      <c r="AQ367" s="23">
        <f t="shared" si="105"/>
        <v>0</v>
      </c>
      <c r="AR367" s="38">
        <f t="shared" si="90"/>
        <v>0.142857142857143</v>
      </c>
      <c r="AS367" s="38">
        <f t="shared" si="91"/>
        <v>8.57142857142857</v>
      </c>
      <c r="AT367" s="38">
        <f t="shared" si="92"/>
        <v>8.42857142857143</v>
      </c>
      <c r="AU367" s="33">
        <f t="shared" si="93"/>
        <v>119</v>
      </c>
      <c r="AV367" s="39">
        <f>IFERROR(时间!$B$4+AU367,"上周无销量")</f>
        <v>43409</v>
      </c>
    </row>
    <row r="368" spans="1:48">
      <c r="A368" s="35" t="s">
        <v>413</v>
      </c>
      <c r="B368" t="str">
        <f>VLOOKUP(A368,'[2]sku-asin（子）'!$A:$B,2,0)</f>
        <v>B073WBNY9P</v>
      </c>
      <c r="C368" t="str">
        <f>VLOOKUP(A368,'[2]子sku-父sku'!$A:$B,2,0)</f>
        <v>PYJKCX</v>
      </c>
      <c r="D368" s="33">
        <f>IFERROR(VLOOKUP(A368,[3]库存报告使用数据处理!$A:$C,3,0),0)</f>
        <v>0</v>
      </c>
      <c r="E368" s="33">
        <f>IFERROR(VLOOKUP(A368,[3]库存报告使用数据处理!$A:$D,4,0),0)</f>
        <v>0</v>
      </c>
      <c r="F368" s="33">
        <f>IFERROR(VLOOKUP(A368,[3]库存报告使用数据处理!$A:$E,5,0),0)</f>
        <v>0</v>
      </c>
      <c r="G368" s="33">
        <f>IFERROR(VLOOKUP(A368,[3]库存报告使用数据处理!$A:$F,6,0),0)</f>
        <v>0</v>
      </c>
      <c r="H368" s="34">
        <f>IFERROR(VLOOKUP(A368,[3]库存报告使用数据处理!$A:$G,7,0),0)</f>
        <v>0</v>
      </c>
      <c r="I368">
        <f>IFERROR(VLOOKUP(A368,[4]数据处理!$A:$B,2,0),0)</f>
        <v>1</v>
      </c>
      <c r="J368" s="36">
        <f>IFERROR(VLOOKUP(A368,[4]数据处理!$A:$D,4,0),0)</f>
        <v>0</v>
      </c>
      <c r="K368" s="36">
        <f>IFERROR(VLOOKUP(A368,[4]数据处理!$A:$E,5,0),0)</f>
        <v>0</v>
      </c>
      <c r="L368" s="36">
        <f>IFERROR(VLOOKUP(A368,[4]数据处理!$A:$G,7,0),0)</f>
        <v>0</v>
      </c>
      <c r="M368">
        <f t="shared" si="89"/>
        <v>1</v>
      </c>
      <c r="N368">
        <f>IFERROR(VLOOKUP(A368,[4]数据处理!$A:$C,3,0),0)</f>
        <v>0</v>
      </c>
      <c r="O368">
        <f>IFERROR(VLOOKUP($A368,[4]数据处理!$A:$N,14,0),0)</f>
        <v>1</v>
      </c>
      <c r="P368" t="str">
        <f>IFERROR(VLOOKUP($A368,[5]库存使用数据!$A:$B,2,0),"")</f>
        <v/>
      </c>
      <c r="Q368" t="str">
        <f>IFERROR(VLOOKUP($A368,[5]库存使用数据!$A:$E,5,0),"")</f>
        <v/>
      </c>
      <c r="R368" t="str">
        <f>IFERROR(VLOOKUP($A368,[5]库存使用数据!$A:$H,8,0),"")</f>
        <v/>
      </c>
      <c r="S368" t="str">
        <f>IFERROR(VLOOKUP($A368,[5]库存使用数据!$A:$K,11,0),"")</f>
        <v/>
      </c>
      <c r="T368" t="str">
        <f>IFERROR(VLOOKUP($A368,[5]库存使用数据!$A:$C,3,0),"")</f>
        <v/>
      </c>
      <c r="U368" t="str">
        <f>IFERROR(VLOOKUP($A368,[5]库存使用数据!$A:$F,6,0),"")</f>
        <v/>
      </c>
      <c r="V368" t="str">
        <f>IFERROR(VLOOKUP($A368,[5]库存使用数据!$A:$I,9,0),"")</f>
        <v/>
      </c>
      <c r="W368" t="str">
        <f>IFERROR(VLOOKUP($A368,[5]库存使用数据!$A:$L,12,0),"")</f>
        <v/>
      </c>
      <c r="X368" s="23" t="str">
        <f t="shared" si="94"/>
        <v/>
      </c>
      <c r="Y368" s="23" t="str">
        <f t="shared" si="95"/>
        <v/>
      </c>
      <c r="Z368" s="23" t="str">
        <f t="shared" si="96"/>
        <v/>
      </c>
      <c r="AA368" s="23" t="str">
        <f t="shared" si="97"/>
        <v/>
      </c>
      <c r="AB368" t="str">
        <f>IFERROR(VLOOKUP($A368,[5]库存使用数据!$A:$D,4,0),"")</f>
        <v/>
      </c>
      <c r="AC368" t="str">
        <f>IFERROR(VLOOKUP($A368,[5]库存使用数据!$A:$G,7,0),"")</f>
        <v/>
      </c>
      <c r="AD368" t="str">
        <f>IFERROR(VLOOKUP($A368,[5]库存使用数据!$A:$J,10,0),"")</f>
        <v/>
      </c>
      <c r="AE368" t="str">
        <f>IFERROR(VLOOKUP($A368,[5]库存使用数据!$A:$M,13,0),"")</f>
        <v/>
      </c>
      <c r="AF368" s="23" t="str">
        <f t="shared" si="98"/>
        <v/>
      </c>
      <c r="AG368" s="23" t="str">
        <f t="shared" si="99"/>
        <v/>
      </c>
      <c r="AH368" s="23" t="str">
        <f t="shared" si="100"/>
        <v/>
      </c>
      <c r="AI368" s="23" t="str">
        <f t="shared" si="101"/>
        <v/>
      </c>
      <c r="AJ368">
        <f>IFERROR(VLOOKUP($B368,[1]库存报告使用数据!$A$1:$B$65536,2,0),0)</f>
        <v>2</v>
      </c>
      <c r="AK368">
        <f>IFERROR(VLOOKUP($B368,[1]库存报告使用数据!$A$1:$C$65536,3,0),0)</f>
        <v>3</v>
      </c>
      <c r="AL368">
        <f>IFERROR(VLOOKUP($B368,[1]库存报告使用数据!$A$1:$D$65536,4,0),0)</f>
        <v>0</v>
      </c>
      <c r="AM368">
        <f>IFERROR(VLOOKUP($B368,[1]库存报告使用数据!$A$1:$E$65536,5,0),0)</f>
        <v>1</v>
      </c>
      <c r="AN368" s="23">
        <f t="shared" si="102"/>
        <v>0</v>
      </c>
      <c r="AO368" s="23">
        <f t="shared" si="103"/>
        <v>0</v>
      </c>
      <c r="AP368" s="23" t="str">
        <f t="shared" si="104"/>
        <v/>
      </c>
      <c r="AQ368" s="23">
        <f t="shared" si="105"/>
        <v>0</v>
      </c>
      <c r="AR368" s="38">
        <f t="shared" si="90"/>
        <v>0</v>
      </c>
      <c r="AS368" s="38">
        <f t="shared" si="91"/>
        <v>0</v>
      </c>
      <c r="AT368" s="38">
        <f t="shared" si="92"/>
        <v>1</v>
      </c>
      <c r="AU368" s="33" t="str">
        <f t="shared" si="93"/>
        <v>库存为1</v>
      </c>
      <c r="AV368" s="39" t="str">
        <f>IFERROR(时间!$B$4+AU368,"上周无销量")</f>
        <v>上周无销量</v>
      </c>
    </row>
    <row r="369" spans="1:48">
      <c r="A369" s="35" t="s">
        <v>414</v>
      </c>
      <c r="B369" t="str">
        <f>VLOOKUP(A369,'[2]sku-asin（子）'!$A:$B,2,0)</f>
        <v>B073WBR2D4</v>
      </c>
      <c r="C369" t="str">
        <f>VLOOKUP(A369,'[2]子sku-父sku'!$A:$B,2,0)</f>
        <v>PYJKDK</v>
      </c>
      <c r="D369" s="33">
        <f>IFERROR(VLOOKUP(A369,[3]库存报告使用数据处理!$A:$C,3,0),0)</f>
        <v>0</v>
      </c>
      <c r="E369" s="33">
        <f>IFERROR(VLOOKUP(A369,[3]库存报告使用数据处理!$A:$D,4,0),0)</f>
        <v>0</v>
      </c>
      <c r="F369" s="33">
        <f>IFERROR(VLOOKUP(A369,[3]库存报告使用数据处理!$A:$E,5,0),0)</f>
        <v>0</v>
      </c>
      <c r="G369" s="33">
        <f>IFERROR(VLOOKUP(A369,[3]库存报告使用数据处理!$A:$F,6,0),0)</f>
        <v>0</v>
      </c>
      <c r="H369" s="34">
        <f>IFERROR(VLOOKUP(A369,[3]库存报告使用数据处理!$A:$G,7,0),0)</f>
        <v>0</v>
      </c>
      <c r="I369">
        <f>IFERROR(VLOOKUP(A369,[4]数据处理!$A:$B,2,0),0)</f>
        <v>1</v>
      </c>
      <c r="J369" s="36">
        <f>IFERROR(VLOOKUP(A369,[4]数据处理!$A:$D,4,0),0)</f>
        <v>0</v>
      </c>
      <c r="K369" s="36">
        <f>IFERROR(VLOOKUP(A369,[4]数据处理!$A:$E,5,0),0)</f>
        <v>0</v>
      </c>
      <c r="L369" s="36">
        <f>IFERROR(VLOOKUP(A369,[4]数据处理!$A:$G,7,0),0)</f>
        <v>0</v>
      </c>
      <c r="M369">
        <f t="shared" si="89"/>
        <v>1</v>
      </c>
      <c r="N369">
        <f>IFERROR(VLOOKUP(A369,[4]数据处理!$A:$C,3,0),0)</f>
        <v>0</v>
      </c>
      <c r="O369">
        <f>IFERROR(VLOOKUP($A369,[4]数据处理!$A:$N,14,0),0)</f>
        <v>0</v>
      </c>
      <c r="P369" t="str">
        <f>IFERROR(VLOOKUP($A369,[5]库存使用数据!$A:$B,2,0),"")</f>
        <v/>
      </c>
      <c r="Q369" t="str">
        <f>IFERROR(VLOOKUP($A369,[5]库存使用数据!$A:$E,5,0),"")</f>
        <v/>
      </c>
      <c r="R369" t="str">
        <f>IFERROR(VLOOKUP($A369,[5]库存使用数据!$A:$H,8,0),"")</f>
        <v/>
      </c>
      <c r="S369" t="str">
        <f>IFERROR(VLOOKUP($A369,[5]库存使用数据!$A:$K,11,0),"")</f>
        <v/>
      </c>
      <c r="T369" t="str">
        <f>IFERROR(VLOOKUP($A369,[5]库存使用数据!$A:$C,3,0),"")</f>
        <v/>
      </c>
      <c r="U369" t="str">
        <f>IFERROR(VLOOKUP($A369,[5]库存使用数据!$A:$F,6,0),"")</f>
        <v/>
      </c>
      <c r="V369" t="str">
        <f>IFERROR(VLOOKUP($A369,[5]库存使用数据!$A:$I,9,0),"")</f>
        <v/>
      </c>
      <c r="W369" t="str">
        <f>IFERROR(VLOOKUP($A369,[5]库存使用数据!$A:$L,12,0),"")</f>
        <v/>
      </c>
      <c r="X369" s="23" t="str">
        <f t="shared" si="94"/>
        <v/>
      </c>
      <c r="Y369" s="23" t="str">
        <f t="shared" si="95"/>
        <v/>
      </c>
      <c r="Z369" s="23" t="str">
        <f t="shared" si="96"/>
        <v/>
      </c>
      <c r="AA369" s="23" t="str">
        <f t="shared" si="97"/>
        <v/>
      </c>
      <c r="AB369" t="str">
        <f>IFERROR(VLOOKUP($A369,[5]库存使用数据!$A:$D,4,0),"")</f>
        <v/>
      </c>
      <c r="AC369" t="str">
        <f>IFERROR(VLOOKUP($A369,[5]库存使用数据!$A:$G,7,0),"")</f>
        <v/>
      </c>
      <c r="AD369" t="str">
        <f>IFERROR(VLOOKUP($A369,[5]库存使用数据!$A:$J,10,0),"")</f>
        <v/>
      </c>
      <c r="AE369" t="str">
        <f>IFERROR(VLOOKUP($A369,[5]库存使用数据!$A:$M,13,0),"")</f>
        <v/>
      </c>
      <c r="AF369" s="23" t="str">
        <f t="shared" si="98"/>
        <v/>
      </c>
      <c r="AG369" s="23" t="str">
        <f t="shared" si="99"/>
        <v/>
      </c>
      <c r="AH369" s="23" t="str">
        <f t="shared" si="100"/>
        <v/>
      </c>
      <c r="AI369" s="23" t="str">
        <f t="shared" si="101"/>
        <v/>
      </c>
      <c r="AJ369">
        <f>IFERROR(VLOOKUP($B369,[1]库存报告使用数据!$A$1:$B$65536,2,0),0)</f>
        <v>3</v>
      </c>
      <c r="AK369">
        <f>IFERROR(VLOOKUP($B369,[1]库存报告使用数据!$A$1:$C$65536,3,0),0)</f>
        <v>4</v>
      </c>
      <c r="AL369">
        <f>IFERROR(VLOOKUP($B369,[1]库存报告使用数据!$A$1:$D$65536,4,0),0)</f>
        <v>2</v>
      </c>
      <c r="AM369">
        <f>IFERROR(VLOOKUP($B369,[1]库存报告使用数据!$A$1:$E$65536,5,0),0)</f>
        <v>1</v>
      </c>
      <c r="AN369" s="23">
        <f t="shared" si="102"/>
        <v>0</v>
      </c>
      <c r="AO369" s="23">
        <f t="shared" si="103"/>
        <v>0</v>
      </c>
      <c r="AP369" s="23">
        <f t="shared" si="104"/>
        <v>0</v>
      </c>
      <c r="AQ369" s="23">
        <f t="shared" si="105"/>
        <v>0</v>
      </c>
      <c r="AR369" s="38">
        <f t="shared" si="90"/>
        <v>0</v>
      </c>
      <c r="AS369" s="38">
        <f t="shared" si="91"/>
        <v>0</v>
      </c>
      <c r="AT369" s="38">
        <f t="shared" si="92"/>
        <v>1</v>
      </c>
      <c r="AU369" s="33" t="str">
        <f t="shared" si="93"/>
        <v>库存为1</v>
      </c>
      <c r="AV369" s="39" t="str">
        <f>IFERROR(时间!$B$4+AU369,"上周无销量")</f>
        <v>上周无销量</v>
      </c>
    </row>
    <row r="370" spans="1:48">
      <c r="A370" s="35" t="s">
        <v>415</v>
      </c>
      <c r="B370" t="str">
        <f>VLOOKUP(A370,'[2]sku-asin（子）'!$A:$B,2,0)</f>
        <v>B073WB3TLC</v>
      </c>
      <c r="C370" t="str">
        <f>VLOOKUP(A370,'[2]子sku-父sku'!$A:$B,2,0)</f>
        <v>PYJKDK</v>
      </c>
      <c r="D370" s="33">
        <f>IFERROR(VLOOKUP(A370,[3]库存报告使用数据处理!$A:$C,3,0),0)</f>
        <v>0</v>
      </c>
      <c r="E370" s="33">
        <f>IFERROR(VLOOKUP(A370,[3]库存报告使用数据处理!$A:$D,4,0),0)</f>
        <v>0</v>
      </c>
      <c r="F370" s="33">
        <f>IFERROR(VLOOKUP(A370,[3]库存报告使用数据处理!$A:$E,5,0),0)</f>
        <v>0</v>
      </c>
      <c r="G370" s="33">
        <f>IFERROR(VLOOKUP(A370,[3]库存报告使用数据处理!$A:$F,6,0),0)</f>
        <v>0</v>
      </c>
      <c r="H370" s="34">
        <f>IFERROR(VLOOKUP(A370,[3]库存报告使用数据处理!$A:$G,7,0),0)</f>
        <v>0</v>
      </c>
      <c r="I370">
        <f>IFERROR(VLOOKUP(A370,[4]数据处理!$A:$B,2,0),0)</f>
        <v>1</v>
      </c>
      <c r="J370" s="36">
        <f>IFERROR(VLOOKUP(A370,[4]数据处理!$A:$D,4,0),0)</f>
        <v>0</v>
      </c>
      <c r="K370" s="36">
        <f>IFERROR(VLOOKUP(A370,[4]数据处理!$A:$E,5,0),0)</f>
        <v>0</v>
      </c>
      <c r="L370" s="36">
        <f>IFERROR(VLOOKUP(A370,[4]数据处理!$A:$G,7,0),0)</f>
        <v>0</v>
      </c>
      <c r="M370">
        <f t="shared" si="89"/>
        <v>1</v>
      </c>
      <c r="N370">
        <f>IFERROR(VLOOKUP(A370,[4]数据处理!$A:$C,3,0),0)</f>
        <v>0</v>
      </c>
      <c r="O370">
        <f>IFERROR(VLOOKUP($A370,[4]数据处理!$A:$N,14,0),0)</f>
        <v>1</v>
      </c>
      <c r="P370" t="str">
        <f>IFERROR(VLOOKUP($A370,[5]库存使用数据!$A:$B,2,0),"")</f>
        <v/>
      </c>
      <c r="Q370" t="str">
        <f>IFERROR(VLOOKUP($A370,[5]库存使用数据!$A:$E,5,0),"")</f>
        <v/>
      </c>
      <c r="R370" t="str">
        <f>IFERROR(VLOOKUP($A370,[5]库存使用数据!$A:$H,8,0),"")</f>
        <v/>
      </c>
      <c r="S370" t="str">
        <f>IFERROR(VLOOKUP($A370,[5]库存使用数据!$A:$K,11,0),"")</f>
        <v/>
      </c>
      <c r="T370" t="str">
        <f>IFERROR(VLOOKUP($A370,[5]库存使用数据!$A:$C,3,0),"")</f>
        <v/>
      </c>
      <c r="U370" t="str">
        <f>IFERROR(VLOOKUP($A370,[5]库存使用数据!$A:$F,6,0),"")</f>
        <v/>
      </c>
      <c r="V370" t="str">
        <f>IFERROR(VLOOKUP($A370,[5]库存使用数据!$A:$I,9,0),"")</f>
        <v/>
      </c>
      <c r="W370" t="str">
        <f>IFERROR(VLOOKUP($A370,[5]库存使用数据!$A:$L,12,0),"")</f>
        <v/>
      </c>
      <c r="X370" s="23" t="str">
        <f t="shared" si="94"/>
        <v/>
      </c>
      <c r="Y370" s="23" t="str">
        <f t="shared" si="95"/>
        <v/>
      </c>
      <c r="Z370" s="23" t="str">
        <f t="shared" si="96"/>
        <v/>
      </c>
      <c r="AA370" s="23" t="str">
        <f t="shared" si="97"/>
        <v/>
      </c>
      <c r="AB370" t="str">
        <f>IFERROR(VLOOKUP($A370,[5]库存使用数据!$A:$D,4,0),"")</f>
        <v/>
      </c>
      <c r="AC370" t="str">
        <f>IFERROR(VLOOKUP($A370,[5]库存使用数据!$A:$G,7,0),"")</f>
        <v/>
      </c>
      <c r="AD370" t="str">
        <f>IFERROR(VLOOKUP($A370,[5]库存使用数据!$A:$J,10,0),"")</f>
        <v/>
      </c>
      <c r="AE370" t="str">
        <f>IFERROR(VLOOKUP($A370,[5]库存使用数据!$A:$M,13,0),"")</f>
        <v/>
      </c>
      <c r="AF370" s="23" t="str">
        <f t="shared" si="98"/>
        <v/>
      </c>
      <c r="AG370" s="23" t="str">
        <f t="shared" si="99"/>
        <v/>
      </c>
      <c r="AH370" s="23" t="str">
        <f t="shared" si="100"/>
        <v/>
      </c>
      <c r="AI370" s="23" t="str">
        <f t="shared" si="101"/>
        <v/>
      </c>
      <c r="AJ370">
        <f>IFERROR(VLOOKUP($B370,[1]库存报告使用数据!$A$1:$B$65536,2,0),0)</f>
        <v>1</v>
      </c>
      <c r="AK370">
        <f>IFERROR(VLOOKUP($B370,[1]库存报告使用数据!$A$1:$C$65536,3,0),0)</f>
        <v>2</v>
      </c>
      <c r="AL370">
        <f>IFERROR(VLOOKUP($B370,[1]库存报告使用数据!$A$1:$D$65536,4,0),0)</f>
        <v>2</v>
      </c>
      <c r="AM370">
        <f>IFERROR(VLOOKUP($B370,[1]库存报告使用数据!$A$1:$E$65536,5,0),0)</f>
        <v>1</v>
      </c>
      <c r="AN370" s="23">
        <f t="shared" si="102"/>
        <v>0</v>
      </c>
      <c r="AO370" s="23">
        <f t="shared" si="103"/>
        <v>0</v>
      </c>
      <c r="AP370" s="23">
        <f t="shared" si="104"/>
        <v>0</v>
      </c>
      <c r="AQ370" s="23">
        <f t="shared" si="105"/>
        <v>0</v>
      </c>
      <c r="AR370" s="38">
        <f t="shared" si="90"/>
        <v>0</v>
      </c>
      <c r="AS370" s="38">
        <f t="shared" si="91"/>
        <v>0</v>
      </c>
      <c r="AT370" s="38">
        <f t="shared" si="92"/>
        <v>1</v>
      </c>
      <c r="AU370" s="33" t="str">
        <f t="shared" si="93"/>
        <v>库存为1</v>
      </c>
      <c r="AV370" s="39" t="str">
        <f>IFERROR(时间!$B$4+AU370,"上周无销量")</f>
        <v>上周无销量</v>
      </c>
    </row>
    <row r="371" spans="1:48">
      <c r="A371" s="35" t="s">
        <v>416</v>
      </c>
      <c r="B371" t="str">
        <f>VLOOKUP(A371,'[2]sku-asin（子）'!$A:$B,2,0)</f>
        <v>B073W69WZK</v>
      </c>
      <c r="C371" t="str">
        <f>VLOOKUP(A371,'[2]子sku-父sku'!$A:$B,2,0)</f>
        <v>PYJKDK</v>
      </c>
      <c r="D371" s="33">
        <f>IFERROR(VLOOKUP(A371,[3]库存报告使用数据处理!$A:$C,3,0),0)</f>
        <v>0</v>
      </c>
      <c r="E371" s="33">
        <f>IFERROR(VLOOKUP(A371,[3]库存报告使用数据处理!$A:$D,4,0),0)</f>
        <v>0</v>
      </c>
      <c r="F371" s="33">
        <f>IFERROR(VLOOKUP(A371,[3]库存报告使用数据处理!$A:$E,5,0),0)</f>
        <v>0</v>
      </c>
      <c r="G371" s="33">
        <f>IFERROR(VLOOKUP(A371,[3]库存报告使用数据处理!$A:$F,6,0),0)</f>
        <v>0</v>
      </c>
      <c r="H371" s="34">
        <f>IFERROR(VLOOKUP(A371,[3]库存报告使用数据处理!$A:$G,7,0),0)</f>
        <v>0</v>
      </c>
      <c r="I371">
        <f>IFERROR(VLOOKUP(A371,[4]数据处理!$A:$B,2,0),0)</f>
        <v>1</v>
      </c>
      <c r="J371" s="36">
        <f>IFERROR(VLOOKUP(A371,[4]数据处理!$A:$D,4,0),0)</f>
        <v>0</v>
      </c>
      <c r="K371" s="36">
        <f>IFERROR(VLOOKUP(A371,[4]数据处理!$A:$E,5,0),0)</f>
        <v>0</v>
      </c>
      <c r="L371" s="36">
        <f>IFERROR(VLOOKUP(A371,[4]数据处理!$A:$G,7,0),0)</f>
        <v>0</v>
      </c>
      <c r="M371">
        <f t="shared" si="89"/>
        <v>1</v>
      </c>
      <c r="N371">
        <f>IFERROR(VLOOKUP(A371,[4]数据处理!$A:$C,3,0),0)</f>
        <v>0</v>
      </c>
      <c r="O371">
        <f>IFERROR(VLOOKUP($A371,[4]数据处理!$A:$N,14,0),0)</f>
        <v>1</v>
      </c>
      <c r="P371" t="str">
        <f>IFERROR(VLOOKUP($A371,[5]库存使用数据!$A:$B,2,0),"")</f>
        <v/>
      </c>
      <c r="Q371" t="str">
        <f>IFERROR(VLOOKUP($A371,[5]库存使用数据!$A:$E,5,0),"")</f>
        <v/>
      </c>
      <c r="R371" t="str">
        <f>IFERROR(VLOOKUP($A371,[5]库存使用数据!$A:$H,8,0),"")</f>
        <v/>
      </c>
      <c r="S371" t="str">
        <f>IFERROR(VLOOKUP($A371,[5]库存使用数据!$A:$K,11,0),"")</f>
        <v/>
      </c>
      <c r="T371" t="str">
        <f>IFERROR(VLOOKUP($A371,[5]库存使用数据!$A:$C,3,0),"")</f>
        <v/>
      </c>
      <c r="U371" t="str">
        <f>IFERROR(VLOOKUP($A371,[5]库存使用数据!$A:$F,6,0),"")</f>
        <v/>
      </c>
      <c r="V371" t="str">
        <f>IFERROR(VLOOKUP($A371,[5]库存使用数据!$A:$I,9,0),"")</f>
        <v/>
      </c>
      <c r="W371" t="str">
        <f>IFERROR(VLOOKUP($A371,[5]库存使用数据!$A:$L,12,0),"")</f>
        <v/>
      </c>
      <c r="X371" s="23" t="str">
        <f t="shared" si="94"/>
        <v/>
      </c>
      <c r="Y371" s="23" t="str">
        <f t="shared" si="95"/>
        <v/>
      </c>
      <c r="Z371" s="23" t="str">
        <f t="shared" si="96"/>
        <v/>
      </c>
      <c r="AA371" s="23" t="str">
        <f t="shared" si="97"/>
        <v/>
      </c>
      <c r="AB371" t="str">
        <f>IFERROR(VLOOKUP($A371,[5]库存使用数据!$A:$D,4,0),"")</f>
        <v/>
      </c>
      <c r="AC371" t="str">
        <f>IFERROR(VLOOKUP($A371,[5]库存使用数据!$A:$G,7,0),"")</f>
        <v/>
      </c>
      <c r="AD371" t="str">
        <f>IFERROR(VLOOKUP($A371,[5]库存使用数据!$A:$J,10,0),"")</f>
        <v/>
      </c>
      <c r="AE371" t="str">
        <f>IFERROR(VLOOKUP($A371,[5]库存使用数据!$A:$M,13,0),"")</f>
        <v/>
      </c>
      <c r="AF371" s="23" t="str">
        <f t="shared" si="98"/>
        <v/>
      </c>
      <c r="AG371" s="23" t="str">
        <f t="shared" si="99"/>
        <v/>
      </c>
      <c r="AH371" s="23" t="str">
        <f t="shared" si="100"/>
        <v/>
      </c>
      <c r="AI371" s="23" t="str">
        <f t="shared" si="101"/>
        <v/>
      </c>
      <c r="AJ371">
        <f>IFERROR(VLOOKUP($B371,[1]库存报告使用数据!$A$1:$B$65536,2,0),0)</f>
        <v>1</v>
      </c>
      <c r="AK371">
        <f>IFERROR(VLOOKUP($B371,[1]库存报告使用数据!$A$1:$C$65536,3,0),0)</f>
        <v>1</v>
      </c>
      <c r="AL371">
        <f>IFERROR(VLOOKUP($B371,[1]库存报告使用数据!$A$1:$D$65536,4,0),0)</f>
        <v>0</v>
      </c>
      <c r="AM371">
        <f>IFERROR(VLOOKUP($B371,[1]库存报告使用数据!$A$1:$E$65536,5,0),0)</f>
        <v>0</v>
      </c>
      <c r="AN371" s="23">
        <f t="shared" si="102"/>
        <v>0</v>
      </c>
      <c r="AO371" s="23">
        <f t="shared" si="103"/>
        <v>0</v>
      </c>
      <c r="AP371" s="23" t="str">
        <f t="shared" si="104"/>
        <v/>
      </c>
      <c r="AQ371" s="23" t="str">
        <f t="shared" si="105"/>
        <v/>
      </c>
      <c r="AR371" s="38">
        <f t="shared" si="90"/>
        <v>0</v>
      </c>
      <c r="AS371" s="38">
        <f t="shared" si="91"/>
        <v>0</v>
      </c>
      <c r="AT371" s="38">
        <f t="shared" si="92"/>
        <v>1</v>
      </c>
      <c r="AU371" s="33" t="str">
        <f t="shared" si="93"/>
        <v>库存为1</v>
      </c>
      <c r="AV371" s="39" t="str">
        <f>IFERROR(时间!$B$4+AU371,"上周无销量")</f>
        <v>上周无销量</v>
      </c>
    </row>
    <row r="372" spans="1:48">
      <c r="A372" s="35" t="s">
        <v>417</v>
      </c>
      <c r="B372" t="str">
        <f>VLOOKUP(A372,'[2]sku-asin（子）'!$A:$B,2,0)</f>
        <v>B073WTW1SS</v>
      </c>
      <c r="C372" t="str">
        <f>VLOOKUP(A372,'[2]子sku-父sku'!$A:$B,2,0)</f>
        <v>PYJKHS</v>
      </c>
      <c r="D372" s="33">
        <f>IFERROR(VLOOKUP(A372,[3]库存报告使用数据处理!$A:$C,3,0),0)</f>
        <v>0</v>
      </c>
      <c r="E372" s="33">
        <f>IFERROR(VLOOKUP(A372,[3]库存报告使用数据处理!$A:$D,4,0),0)</f>
        <v>0</v>
      </c>
      <c r="F372" s="33">
        <f>IFERROR(VLOOKUP(A372,[3]库存报告使用数据处理!$A:$E,5,0),0)</f>
        <v>0</v>
      </c>
      <c r="G372" s="33">
        <f>IFERROR(VLOOKUP(A372,[3]库存报告使用数据处理!$A:$F,6,0),0)</f>
        <v>0</v>
      </c>
      <c r="H372" s="34">
        <f>IFERROR(VLOOKUP(A372,[3]库存报告使用数据处理!$A:$G,7,0),0)</f>
        <v>0</v>
      </c>
      <c r="I372">
        <f>IFERROR(VLOOKUP(A372,[4]数据处理!$A:$B,2,0),0)</f>
        <v>1</v>
      </c>
      <c r="J372" s="36">
        <f>IFERROR(VLOOKUP(A372,[4]数据处理!$A:$D,4,0),0)</f>
        <v>0</v>
      </c>
      <c r="K372" s="36">
        <f>IFERROR(VLOOKUP(A372,[4]数据处理!$A:$E,5,0),0)</f>
        <v>0</v>
      </c>
      <c r="L372" s="36">
        <f>IFERROR(VLOOKUP(A372,[4]数据处理!$A:$G,7,0),0)</f>
        <v>0</v>
      </c>
      <c r="M372">
        <f t="shared" si="89"/>
        <v>1</v>
      </c>
      <c r="N372">
        <f>IFERROR(VLOOKUP(A372,[4]数据处理!$A:$C,3,0),0)</f>
        <v>0</v>
      </c>
      <c r="O372">
        <f>IFERROR(VLOOKUP($A372,[4]数据处理!$A:$N,14,0),0)</f>
        <v>1</v>
      </c>
      <c r="P372" t="str">
        <f>IFERROR(VLOOKUP($A372,[5]库存使用数据!$A:$B,2,0),"")</f>
        <v/>
      </c>
      <c r="Q372" t="str">
        <f>IFERROR(VLOOKUP($A372,[5]库存使用数据!$A:$E,5,0),"")</f>
        <v/>
      </c>
      <c r="R372" t="str">
        <f>IFERROR(VLOOKUP($A372,[5]库存使用数据!$A:$H,8,0),"")</f>
        <v/>
      </c>
      <c r="S372" t="str">
        <f>IFERROR(VLOOKUP($A372,[5]库存使用数据!$A:$K,11,0),"")</f>
        <v/>
      </c>
      <c r="T372" t="str">
        <f>IFERROR(VLOOKUP($A372,[5]库存使用数据!$A:$C,3,0),"")</f>
        <v/>
      </c>
      <c r="U372" t="str">
        <f>IFERROR(VLOOKUP($A372,[5]库存使用数据!$A:$F,6,0),"")</f>
        <v/>
      </c>
      <c r="V372" t="str">
        <f>IFERROR(VLOOKUP($A372,[5]库存使用数据!$A:$I,9,0),"")</f>
        <v/>
      </c>
      <c r="W372" t="str">
        <f>IFERROR(VLOOKUP($A372,[5]库存使用数据!$A:$L,12,0),"")</f>
        <v/>
      </c>
      <c r="X372" s="23" t="str">
        <f t="shared" si="94"/>
        <v/>
      </c>
      <c r="Y372" s="23" t="str">
        <f t="shared" si="95"/>
        <v/>
      </c>
      <c r="Z372" s="23" t="str">
        <f t="shared" si="96"/>
        <v/>
      </c>
      <c r="AA372" s="23" t="str">
        <f t="shared" si="97"/>
        <v/>
      </c>
      <c r="AB372" t="str">
        <f>IFERROR(VLOOKUP($A372,[5]库存使用数据!$A:$D,4,0),"")</f>
        <v/>
      </c>
      <c r="AC372" t="str">
        <f>IFERROR(VLOOKUP($A372,[5]库存使用数据!$A:$G,7,0),"")</f>
        <v/>
      </c>
      <c r="AD372" t="str">
        <f>IFERROR(VLOOKUP($A372,[5]库存使用数据!$A:$J,10,0),"")</f>
        <v/>
      </c>
      <c r="AE372" t="str">
        <f>IFERROR(VLOOKUP($A372,[5]库存使用数据!$A:$M,13,0),"")</f>
        <v/>
      </c>
      <c r="AF372" s="23" t="str">
        <f t="shared" si="98"/>
        <v/>
      </c>
      <c r="AG372" s="23" t="str">
        <f t="shared" si="99"/>
        <v/>
      </c>
      <c r="AH372" s="23" t="str">
        <f t="shared" si="100"/>
        <v/>
      </c>
      <c r="AI372" s="23" t="str">
        <f t="shared" si="101"/>
        <v/>
      </c>
      <c r="AJ372">
        <f>IFERROR(VLOOKUP($B372,[1]库存报告使用数据!$A$1:$B$65536,2,0),0)</f>
        <v>4</v>
      </c>
      <c r="AK372">
        <f>IFERROR(VLOOKUP($B372,[1]库存报告使用数据!$A$1:$C$65536,3,0),0)</f>
        <v>1</v>
      </c>
      <c r="AL372">
        <f>IFERROR(VLOOKUP($B372,[1]库存报告使用数据!$A$1:$D$65536,4,0),0)</f>
        <v>2</v>
      </c>
      <c r="AM372">
        <f>IFERROR(VLOOKUP($B372,[1]库存报告使用数据!$A$1:$E$65536,5,0),0)</f>
        <v>1</v>
      </c>
      <c r="AN372" s="23">
        <f t="shared" si="102"/>
        <v>0</v>
      </c>
      <c r="AO372" s="23">
        <f t="shared" si="103"/>
        <v>0</v>
      </c>
      <c r="AP372" s="23">
        <f t="shared" si="104"/>
        <v>0</v>
      </c>
      <c r="AQ372" s="23">
        <f t="shared" si="105"/>
        <v>0</v>
      </c>
      <c r="AR372" s="38">
        <f t="shared" si="90"/>
        <v>0</v>
      </c>
      <c r="AS372" s="38">
        <f t="shared" si="91"/>
        <v>0</v>
      </c>
      <c r="AT372" s="38">
        <f t="shared" si="92"/>
        <v>1</v>
      </c>
      <c r="AU372" s="33" t="str">
        <f t="shared" si="93"/>
        <v>库存为1</v>
      </c>
      <c r="AV372" s="39" t="str">
        <f>IFERROR(时间!$B$4+AU372,"上周无销量")</f>
        <v>上周无销量</v>
      </c>
    </row>
    <row r="373" spans="1:48">
      <c r="A373" s="35" t="s">
        <v>418</v>
      </c>
      <c r="B373" t="str">
        <f>VLOOKUP(A373,'[2]sku-asin（子）'!$A:$B,2,0)</f>
        <v>B073WTPJLR</v>
      </c>
      <c r="C373" t="str">
        <f>VLOOKUP(A373,'[2]子sku-父sku'!$A:$B,2,0)</f>
        <v>PYJKJS</v>
      </c>
      <c r="D373" s="33">
        <f>IFERROR(VLOOKUP(A373,[3]库存报告使用数据处理!$A:$C,3,0),0)</f>
        <v>0</v>
      </c>
      <c r="E373" s="33">
        <f>IFERROR(VLOOKUP(A373,[3]库存报告使用数据处理!$A:$D,4,0),0)</f>
        <v>0</v>
      </c>
      <c r="F373" s="33">
        <f>IFERROR(VLOOKUP(A373,[3]库存报告使用数据处理!$A:$E,5,0),0)</f>
        <v>0</v>
      </c>
      <c r="G373" s="33">
        <f>IFERROR(VLOOKUP(A373,[3]库存报告使用数据处理!$A:$F,6,0),0)</f>
        <v>0</v>
      </c>
      <c r="H373" s="34">
        <f>IFERROR(VLOOKUP(A373,[3]库存报告使用数据处理!$A:$G,7,0),0)</f>
        <v>0</v>
      </c>
      <c r="I373">
        <f>IFERROR(VLOOKUP(A373,[4]数据处理!$A:$B,2,0),0)</f>
        <v>4</v>
      </c>
      <c r="J373" s="36">
        <f>IFERROR(VLOOKUP(A373,[4]数据处理!$A:$D,4,0),0)</f>
        <v>0</v>
      </c>
      <c r="K373" s="36">
        <f>IFERROR(VLOOKUP(A373,[4]数据处理!$A:$E,5,0),0)</f>
        <v>0</v>
      </c>
      <c r="L373" s="36">
        <f>IFERROR(VLOOKUP(A373,[4]数据处理!$A:$G,7,0),0)</f>
        <v>0</v>
      </c>
      <c r="M373">
        <f t="shared" si="89"/>
        <v>4</v>
      </c>
      <c r="N373">
        <f>IFERROR(VLOOKUP(A373,[4]数据处理!$A:$C,3,0),0)</f>
        <v>0</v>
      </c>
      <c r="O373">
        <f>IFERROR(VLOOKUP($A373,[4]数据处理!$A:$N,14,0),0)</f>
        <v>4</v>
      </c>
      <c r="P373" t="str">
        <f>IFERROR(VLOOKUP($A373,[5]库存使用数据!$A:$B,2,0),"")</f>
        <v/>
      </c>
      <c r="Q373" t="str">
        <f>IFERROR(VLOOKUP($A373,[5]库存使用数据!$A:$E,5,0),"")</f>
        <v/>
      </c>
      <c r="R373" t="str">
        <f>IFERROR(VLOOKUP($A373,[5]库存使用数据!$A:$H,8,0),"")</f>
        <v/>
      </c>
      <c r="S373" t="str">
        <f>IFERROR(VLOOKUP($A373,[5]库存使用数据!$A:$K,11,0),"")</f>
        <v/>
      </c>
      <c r="T373" t="str">
        <f>IFERROR(VLOOKUP($A373,[5]库存使用数据!$A:$C,3,0),"")</f>
        <v/>
      </c>
      <c r="U373" t="str">
        <f>IFERROR(VLOOKUP($A373,[5]库存使用数据!$A:$F,6,0),"")</f>
        <v/>
      </c>
      <c r="V373" t="str">
        <f>IFERROR(VLOOKUP($A373,[5]库存使用数据!$A:$I,9,0),"")</f>
        <v/>
      </c>
      <c r="W373" t="str">
        <f>IFERROR(VLOOKUP($A373,[5]库存使用数据!$A:$L,12,0),"")</f>
        <v/>
      </c>
      <c r="X373" s="23" t="str">
        <f t="shared" si="94"/>
        <v/>
      </c>
      <c r="Y373" s="23" t="str">
        <f t="shared" si="95"/>
        <v/>
      </c>
      <c r="Z373" s="23" t="str">
        <f t="shared" si="96"/>
        <v/>
      </c>
      <c r="AA373" s="23" t="str">
        <f t="shared" si="97"/>
        <v/>
      </c>
      <c r="AB373" t="str">
        <f>IFERROR(VLOOKUP($A373,[5]库存使用数据!$A:$D,4,0),"")</f>
        <v/>
      </c>
      <c r="AC373" t="str">
        <f>IFERROR(VLOOKUP($A373,[5]库存使用数据!$A:$G,7,0),"")</f>
        <v/>
      </c>
      <c r="AD373" t="str">
        <f>IFERROR(VLOOKUP($A373,[5]库存使用数据!$A:$J,10,0),"")</f>
        <v/>
      </c>
      <c r="AE373" t="str">
        <f>IFERROR(VLOOKUP($A373,[5]库存使用数据!$A:$M,13,0),"")</f>
        <v/>
      </c>
      <c r="AF373" s="23" t="str">
        <f t="shared" si="98"/>
        <v/>
      </c>
      <c r="AG373" s="23" t="str">
        <f t="shared" si="99"/>
        <v/>
      </c>
      <c r="AH373" s="23" t="str">
        <f t="shared" si="100"/>
        <v/>
      </c>
      <c r="AI373" s="23" t="str">
        <f t="shared" si="101"/>
        <v/>
      </c>
      <c r="AJ373">
        <f>IFERROR(VLOOKUP($B373,[1]库存报告使用数据!$A$1:$B$65536,2,0),0)</f>
        <v>4</v>
      </c>
      <c r="AK373">
        <f>IFERROR(VLOOKUP($B373,[1]库存报告使用数据!$A$1:$C$65536,3,0),0)</f>
        <v>2</v>
      </c>
      <c r="AL373">
        <f>IFERROR(VLOOKUP($B373,[1]库存报告使用数据!$A$1:$D$65536,4,0),0)</f>
        <v>2</v>
      </c>
      <c r="AM373">
        <f>IFERROR(VLOOKUP($B373,[1]库存报告使用数据!$A$1:$E$65536,5,0),0)</f>
        <v>2</v>
      </c>
      <c r="AN373" s="23">
        <f t="shared" si="102"/>
        <v>0</v>
      </c>
      <c r="AO373" s="23">
        <f t="shared" si="103"/>
        <v>0</v>
      </c>
      <c r="AP373" s="23">
        <f t="shared" si="104"/>
        <v>0</v>
      </c>
      <c r="AQ373" s="23">
        <f t="shared" si="105"/>
        <v>0</v>
      </c>
      <c r="AR373" s="38">
        <f t="shared" si="90"/>
        <v>0</v>
      </c>
      <c r="AS373" s="38">
        <f t="shared" si="91"/>
        <v>0</v>
      </c>
      <c r="AT373" s="38">
        <f t="shared" si="92"/>
        <v>4</v>
      </c>
      <c r="AU373" s="33" t="str">
        <f t="shared" si="93"/>
        <v>库存为4</v>
      </c>
      <c r="AV373" s="39" t="str">
        <f>IFERROR(时间!$B$4+AU373,"上周无销量")</f>
        <v>上周无销量</v>
      </c>
    </row>
    <row r="374" spans="1:48">
      <c r="A374" s="35" t="s">
        <v>419</v>
      </c>
      <c r="B374" t="str">
        <f>VLOOKUP(A374,'[2]sku-asin（子）'!$A:$B,2,0)</f>
        <v>B073WTRPXK</v>
      </c>
      <c r="C374" t="str">
        <f>VLOOKUP(A374,'[2]子sku-父sku'!$A:$B,2,0)</f>
        <v>PYJKJS</v>
      </c>
      <c r="D374" s="33">
        <f>IFERROR(VLOOKUP(A374,[3]库存报告使用数据处理!$A:$C,3,0),0)</f>
        <v>0</v>
      </c>
      <c r="E374" s="33">
        <f>IFERROR(VLOOKUP(A374,[3]库存报告使用数据处理!$A:$D,4,0),0)</f>
        <v>0</v>
      </c>
      <c r="F374" s="33">
        <f>IFERROR(VLOOKUP(A374,[3]库存报告使用数据处理!$A:$E,5,0),0)</f>
        <v>0</v>
      </c>
      <c r="G374" s="33">
        <f>IFERROR(VLOOKUP(A374,[3]库存报告使用数据处理!$A:$F,6,0),0)</f>
        <v>0</v>
      </c>
      <c r="H374" s="34">
        <f>IFERROR(VLOOKUP(A374,[3]库存报告使用数据处理!$A:$G,7,0),0)</f>
        <v>0</v>
      </c>
      <c r="I374">
        <f>IFERROR(VLOOKUP(A374,[4]数据处理!$A:$B,2,0),0)</f>
        <v>2</v>
      </c>
      <c r="J374" s="36">
        <f>IFERROR(VLOOKUP(A374,[4]数据处理!$A:$D,4,0),0)</f>
        <v>0</v>
      </c>
      <c r="K374" s="36">
        <f>IFERROR(VLOOKUP(A374,[4]数据处理!$A:$E,5,0),0)</f>
        <v>0</v>
      </c>
      <c r="L374" s="36">
        <f>IFERROR(VLOOKUP(A374,[4]数据处理!$A:$G,7,0),0)</f>
        <v>0</v>
      </c>
      <c r="M374">
        <f t="shared" si="89"/>
        <v>2</v>
      </c>
      <c r="N374">
        <f>IFERROR(VLOOKUP(A374,[4]数据处理!$A:$C,3,0),0)</f>
        <v>0</v>
      </c>
      <c r="O374">
        <f>IFERROR(VLOOKUP($A374,[4]数据处理!$A:$N,14,0),0)</f>
        <v>2</v>
      </c>
      <c r="P374" t="str">
        <f>IFERROR(VLOOKUP($A374,[5]库存使用数据!$A:$B,2,0),"")</f>
        <v/>
      </c>
      <c r="Q374" t="str">
        <f>IFERROR(VLOOKUP($A374,[5]库存使用数据!$A:$E,5,0),"")</f>
        <v/>
      </c>
      <c r="R374" t="str">
        <f>IFERROR(VLOOKUP($A374,[5]库存使用数据!$A:$H,8,0),"")</f>
        <v/>
      </c>
      <c r="S374" t="str">
        <f>IFERROR(VLOOKUP($A374,[5]库存使用数据!$A:$K,11,0),"")</f>
        <v/>
      </c>
      <c r="T374" t="str">
        <f>IFERROR(VLOOKUP($A374,[5]库存使用数据!$A:$C,3,0),"")</f>
        <v/>
      </c>
      <c r="U374" t="str">
        <f>IFERROR(VLOOKUP($A374,[5]库存使用数据!$A:$F,6,0),"")</f>
        <v/>
      </c>
      <c r="V374" t="str">
        <f>IFERROR(VLOOKUP($A374,[5]库存使用数据!$A:$I,9,0),"")</f>
        <v/>
      </c>
      <c r="W374" t="str">
        <f>IFERROR(VLOOKUP($A374,[5]库存使用数据!$A:$L,12,0),"")</f>
        <v/>
      </c>
      <c r="X374" s="23" t="str">
        <f t="shared" si="94"/>
        <v/>
      </c>
      <c r="Y374" s="23" t="str">
        <f t="shared" si="95"/>
        <v/>
      </c>
      <c r="Z374" s="23" t="str">
        <f t="shared" si="96"/>
        <v/>
      </c>
      <c r="AA374" s="23" t="str">
        <f t="shared" si="97"/>
        <v/>
      </c>
      <c r="AB374" t="str">
        <f>IFERROR(VLOOKUP($A374,[5]库存使用数据!$A:$D,4,0),"")</f>
        <v/>
      </c>
      <c r="AC374" t="str">
        <f>IFERROR(VLOOKUP($A374,[5]库存使用数据!$A:$G,7,0),"")</f>
        <v/>
      </c>
      <c r="AD374" t="str">
        <f>IFERROR(VLOOKUP($A374,[5]库存使用数据!$A:$J,10,0),"")</f>
        <v/>
      </c>
      <c r="AE374" t="str">
        <f>IFERROR(VLOOKUP($A374,[5]库存使用数据!$A:$M,13,0),"")</f>
        <v/>
      </c>
      <c r="AF374" s="23" t="str">
        <f t="shared" si="98"/>
        <v/>
      </c>
      <c r="AG374" s="23" t="str">
        <f t="shared" si="99"/>
        <v/>
      </c>
      <c r="AH374" s="23" t="str">
        <f t="shared" si="100"/>
        <v/>
      </c>
      <c r="AI374" s="23" t="str">
        <f t="shared" si="101"/>
        <v/>
      </c>
      <c r="AJ374">
        <f>IFERROR(VLOOKUP($B374,[1]库存报告使用数据!$A$1:$B$65536,2,0),0)</f>
        <v>4</v>
      </c>
      <c r="AK374">
        <f>IFERROR(VLOOKUP($B374,[1]库存报告使用数据!$A$1:$C$65536,3,0),0)</f>
        <v>0</v>
      </c>
      <c r="AL374">
        <f>IFERROR(VLOOKUP($B374,[1]库存报告使用数据!$A$1:$D$65536,4,0),0)</f>
        <v>1</v>
      </c>
      <c r="AM374">
        <f>IFERROR(VLOOKUP($B374,[1]库存报告使用数据!$A$1:$E$65536,5,0),0)</f>
        <v>2</v>
      </c>
      <c r="AN374" s="23">
        <f t="shared" si="102"/>
        <v>0</v>
      </c>
      <c r="AO374" s="23" t="str">
        <f t="shared" si="103"/>
        <v/>
      </c>
      <c r="AP374" s="23">
        <f t="shared" si="104"/>
        <v>0</v>
      </c>
      <c r="AQ374" s="23">
        <f t="shared" si="105"/>
        <v>0</v>
      </c>
      <c r="AR374" s="38">
        <f t="shared" si="90"/>
        <v>0</v>
      </c>
      <c r="AS374" s="38">
        <f t="shared" si="91"/>
        <v>0</v>
      </c>
      <c r="AT374" s="38">
        <f t="shared" si="92"/>
        <v>2</v>
      </c>
      <c r="AU374" s="33" t="str">
        <f t="shared" si="93"/>
        <v>库存为2</v>
      </c>
      <c r="AV374" s="39" t="str">
        <f>IFERROR(时间!$B$4+AU374,"上周无销量")</f>
        <v>上周无销量</v>
      </c>
    </row>
    <row r="375" spans="1:48">
      <c r="A375" s="35" t="s">
        <v>420</v>
      </c>
      <c r="B375" t="str">
        <f>VLOOKUP(A375,'[2]sku-asin（子）'!$A:$B,2,0)</f>
        <v>B073WV1KVP</v>
      </c>
      <c r="C375" t="str">
        <f>VLOOKUP(A375,'[2]子sku-父sku'!$A:$B,2,0)</f>
        <v>PYJKJS</v>
      </c>
      <c r="D375" s="33">
        <f>IFERROR(VLOOKUP(A375,[3]库存报告使用数据处理!$A:$C,3,0),0)</f>
        <v>0</v>
      </c>
      <c r="E375" s="33">
        <f>IFERROR(VLOOKUP(A375,[3]库存报告使用数据处理!$A:$D,4,0),0)</f>
        <v>0</v>
      </c>
      <c r="F375" s="33">
        <f>IFERROR(VLOOKUP(A375,[3]库存报告使用数据处理!$A:$E,5,0),0)</f>
        <v>0</v>
      </c>
      <c r="G375" s="33">
        <f>IFERROR(VLOOKUP(A375,[3]库存报告使用数据处理!$A:$F,6,0),0)</f>
        <v>0</v>
      </c>
      <c r="H375" s="34">
        <f>IFERROR(VLOOKUP(A375,[3]库存报告使用数据处理!$A:$G,7,0),0)</f>
        <v>0</v>
      </c>
      <c r="I375">
        <f>IFERROR(VLOOKUP(A375,[4]数据处理!$A:$B,2,0),0)</f>
        <v>4</v>
      </c>
      <c r="J375" s="36">
        <f>IFERROR(VLOOKUP(A375,[4]数据处理!$A:$D,4,0),0)</f>
        <v>0</v>
      </c>
      <c r="K375" s="36">
        <f>IFERROR(VLOOKUP(A375,[4]数据处理!$A:$E,5,0),0)</f>
        <v>0</v>
      </c>
      <c r="L375" s="36">
        <f>IFERROR(VLOOKUP(A375,[4]数据处理!$A:$G,7,0),0)</f>
        <v>0</v>
      </c>
      <c r="M375">
        <f t="shared" si="89"/>
        <v>4</v>
      </c>
      <c r="N375">
        <f>IFERROR(VLOOKUP(A375,[4]数据处理!$A:$C,3,0),0)</f>
        <v>0</v>
      </c>
      <c r="O375">
        <f>IFERROR(VLOOKUP($A375,[4]数据处理!$A:$N,14,0),0)</f>
        <v>4</v>
      </c>
      <c r="P375" t="str">
        <f>IFERROR(VLOOKUP($A375,[5]库存使用数据!$A:$B,2,0),"")</f>
        <v/>
      </c>
      <c r="Q375" t="str">
        <f>IFERROR(VLOOKUP($A375,[5]库存使用数据!$A:$E,5,0),"")</f>
        <v/>
      </c>
      <c r="R375" t="str">
        <f>IFERROR(VLOOKUP($A375,[5]库存使用数据!$A:$H,8,0),"")</f>
        <v/>
      </c>
      <c r="S375" t="str">
        <f>IFERROR(VLOOKUP($A375,[5]库存使用数据!$A:$K,11,0),"")</f>
        <v/>
      </c>
      <c r="T375" t="str">
        <f>IFERROR(VLOOKUP($A375,[5]库存使用数据!$A:$C,3,0),"")</f>
        <v/>
      </c>
      <c r="U375" t="str">
        <f>IFERROR(VLOOKUP($A375,[5]库存使用数据!$A:$F,6,0),"")</f>
        <v/>
      </c>
      <c r="V375" t="str">
        <f>IFERROR(VLOOKUP($A375,[5]库存使用数据!$A:$I,9,0),"")</f>
        <v/>
      </c>
      <c r="W375" t="str">
        <f>IFERROR(VLOOKUP($A375,[5]库存使用数据!$A:$L,12,0),"")</f>
        <v/>
      </c>
      <c r="X375" s="23" t="str">
        <f t="shared" si="94"/>
        <v/>
      </c>
      <c r="Y375" s="23" t="str">
        <f t="shared" si="95"/>
        <v/>
      </c>
      <c r="Z375" s="23" t="str">
        <f t="shared" si="96"/>
        <v/>
      </c>
      <c r="AA375" s="23" t="str">
        <f t="shared" si="97"/>
        <v/>
      </c>
      <c r="AB375" t="str">
        <f>IFERROR(VLOOKUP($A375,[5]库存使用数据!$A:$D,4,0),"")</f>
        <v/>
      </c>
      <c r="AC375" t="str">
        <f>IFERROR(VLOOKUP($A375,[5]库存使用数据!$A:$G,7,0),"")</f>
        <v/>
      </c>
      <c r="AD375" t="str">
        <f>IFERROR(VLOOKUP($A375,[5]库存使用数据!$A:$J,10,0),"")</f>
        <v/>
      </c>
      <c r="AE375" t="str">
        <f>IFERROR(VLOOKUP($A375,[5]库存使用数据!$A:$M,13,0),"")</f>
        <v/>
      </c>
      <c r="AF375" s="23" t="str">
        <f t="shared" si="98"/>
        <v/>
      </c>
      <c r="AG375" s="23" t="str">
        <f t="shared" si="99"/>
        <v/>
      </c>
      <c r="AH375" s="23" t="str">
        <f t="shared" si="100"/>
        <v/>
      </c>
      <c r="AI375" s="23" t="str">
        <f t="shared" si="101"/>
        <v/>
      </c>
      <c r="AJ375">
        <f>IFERROR(VLOOKUP($B375,[1]库存报告使用数据!$A$1:$B$65536,2,0),0)</f>
        <v>2</v>
      </c>
      <c r="AK375">
        <f>IFERROR(VLOOKUP($B375,[1]库存报告使用数据!$A$1:$C$65536,3,0),0)</f>
        <v>1</v>
      </c>
      <c r="AL375">
        <f>IFERROR(VLOOKUP($B375,[1]库存报告使用数据!$A$1:$D$65536,4,0),0)</f>
        <v>1</v>
      </c>
      <c r="AM375">
        <f>IFERROR(VLOOKUP($B375,[1]库存报告使用数据!$A$1:$E$65536,5,0),0)</f>
        <v>2</v>
      </c>
      <c r="AN375" s="23">
        <f t="shared" si="102"/>
        <v>0</v>
      </c>
      <c r="AO375" s="23">
        <f t="shared" si="103"/>
        <v>0</v>
      </c>
      <c r="AP375" s="23">
        <f t="shared" si="104"/>
        <v>0</v>
      </c>
      <c r="AQ375" s="23">
        <f t="shared" si="105"/>
        <v>0</v>
      </c>
      <c r="AR375" s="38">
        <f t="shared" si="90"/>
        <v>0</v>
      </c>
      <c r="AS375" s="38">
        <f t="shared" si="91"/>
        <v>0</v>
      </c>
      <c r="AT375" s="38">
        <f t="shared" si="92"/>
        <v>4</v>
      </c>
      <c r="AU375" s="33" t="str">
        <f t="shared" si="93"/>
        <v>库存为4</v>
      </c>
      <c r="AV375" s="39" t="str">
        <f>IFERROR(时间!$B$4+AU375,"上周无销量")</f>
        <v>上周无销量</v>
      </c>
    </row>
    <row r="376" spans="1:48">
      <c r="A376" s="35" t="s">
        <v>421</v>
      </c>
      <c r="B376" t="str">
        <f>VLOOKUP(A376,'[2]sku-asin（子）'!$A:$B,2,0)</f>
        <v>B073WTQ7YC</v>
      </c>
      <c r="C376" t="str">
        <f>VLOOKUP(A376,'[2]子sku-父sku'!$A:$B,2,0)</f>
        <v>PYJKJS</v>
      </c>
      <c r="D376" s="33">
        <f>IFERROR(VLOOKUP(A376,[3]库存报告使用数据处理!$A:$C,3,0),0)</f>
        <v>0</v>
      </c>
      <c r="E376" s="33">
        <f>IFERROR(VLOOKUP(A376,[3]库存报告使用数据处理!$A:$D,4,0),0)</f>
        <v>0</v>
      </c>
      <c r="F376" s="33">
        <f>IFERROR(VLOOKUP(A376,[3]库存报告使用数据处理!$A:$E,5,0),0)</f>
        <v>0</v>
      </c>
      <c r="G376" s="33">
        <f>IFERROR(VLOOKUP(A376,[3]库存报告使用数据处理!$A:$F,6,0),0)</f>
        <v>0</v>
      </c>
      <c r="H376" s="34">
        <f>IFERROR(VLOOKUP(A376,[3]库存报告使用数据处理!$A:$G,7,0),0)</f>
        <v>0</v>
      </c>
      <c r="I376">
        <f>IFERROR(VLOOKUP(A376,[4]数据处理!$A:$B,2,0),0)</f>
        <v>5</v>
      </c>
      <c r="J376" s="36">
        <f>IFERROR(VLOOKUP(A376,[4]数据处理!$A:$D,4,0),0)</f>
        <v>0</v>
      </c>
      <c r="K376" s="36">
        <f>IFERROR(VLOOKUP(A376,[4]数据处理!$A:$E,5,0),0)</f>
        <v>0</v>
      </c>
      <c r="L376" s="36">
        <f>IFERROR(VLOOKUP(A376,[4]数据处理!$A:$G,7,0),0)</f>
        <v>0</v>
      </c>
      <c r="M376">
        <f t="shared" si="89"/>
        <v>5</v>
      </c>
      <c r="N376">
        <f>IFERROR(VLOOKUP(A376,[4]数据处理!$A:$C,3,0),0)</f>
        <v>0</v>
      </c>
      <c r="O376">
        <f>IFERROR(VLOOKUP($A376,[4]数据处理!$A:$N,14,0),0)</f>
        <v>5</v>
      </c>
      <c r="P376" t="str">
        <f>IFERROR(VLOOKUP($A376,[5]库存使用数据!$A:$B,2,0),"")</f>
        <v/>
      </c>
      <c r="Q376" t="str">
        <f>IFERROR(VLOOKUP($A376,[5]库存使用数据!$A:$E,5,0),"")</f>
        <v/>
      </c>
      <c r="R376" t="str">
        <f>IFERROR(VLOOKUP($A376,[5]库存使用数据!$A:$H,8,0),"")</f>
        <v/>
      </c>
      <c r="S376" t="str">
        <f>IFERROR(VLOOKUP($A376,[5]库存使用数据!$A:$K,11,0),"")</f>
        <v/>
      </c>
      <c r="T376" t="str">
        <f>IFERROR(VLOOKUP($A376,[5]库存使用数据!$A:$C,3,0),"")</f>
        <v/>
      </c>
      <c r="U376" t="str">
        <f>IFERROR(VLOOKUP($A376,[5]库存使用数据!$A:$F,6,0),"")</f>
        <v/>
      </c>
      <c r="V376" t="str">
        <f>IFERROR(VLOOKUP($A376,[5]库存使用数据!$A:$I,9,0),"")</f>
        <v/>
      </c>
      <c r="W376" t="str">
        <f>IFERROR(VLOOKUP($A376,[5]库存使用数据!$A:$L,12,0),"")</f>
        <v/>
      </c>
      <c r="X376" s="23" t="str">
        <f t="shared" si="94"/>
        <v/>
      </c>
      <c r="Y376" s="23" t="str">
        <f t="shared" si="95"/>
        <v/>
      </c>
      <c r="Z376" s="23" t="str">
        <f t="shared" si="96"/>
        <v/>
      </c>
      <c r="AA376" s="23" t="str">
        <f t="shared" si="97"/>
        <v/>
      </c>
      <c r="AB376" t="str">
        <f>IFERROR(VLOOKUP($A376,[5]库存使用数据!$A:$D,4,0),"")</f>
        <v/>
      </c>
      <c r="AC376" t="str">
        <f>IFERROR(VLOOKUP($A376,[5]库存使用数据!$A:$G,7,0),"")</f>
        <v/>
      </c>
      <c r="AD376" t="str">
        <f>IFERROR(VLOOKUP($A376,[5]库存使用数据!$A:$J,10,0),"")</f>
        <v/>
      </c>
      <c r="AE376" t="str">
        <f>IFERROR(VLOOKUP($A376,[5]库存使用数据!$A:$M,13,0),"")</f>
        <v/>
      </c>
      <c r="AF376" s="23" t="str">
        <f t="shared" si="98"/>
        <v/>
      </c>
      <c r="AG376" s="23" t="str">
        <f t="shared" si="99"/>
        <v/>
      </c>
      <c r="AH376" s="23" t="str">
        <f t="shared" si="100"/>
        <v/>
      </c>
      <c r="AI376" s="23" t="str">
        <f t="shared" si="101"/>
        <v/>
      </c>
      <c r="AJ376">
        <f>IFERROR(VLOOKUP($B376,[1]库存报告使用数据!$A$1:$B$65536,2,0),0)</f>
        <v>4</v>
      </c>
      <c r="AK376">
        <f>IFERROR(VLOOKUP($B376,[1]库存报告使用数据!$A$1:$C$65536,3,0),0)</f>
        <v>1</v>
      </c>
      <c r="AL376">
        <f>IFERROR(VLOOKUP($B376,[1]库存报告使用数据!$A$1:$D$65536,4,0),0)</f>
        <v>0</v>
      </c>
      <c r="AM376">
        <f>IFERROR(VLOOKUP($B376,[1]库存报告使用数据!$A$1:$E$65536,5,0),0)</f>
        <v>0</v>
      </c>
      <c r="AN376" s="23">
        <f t="shared" si="102"/>
        <v>0</v>
      </c>
      <c r="AO376" s="23">
        <f t="shared" si="103"/>
        <v>0</v>
      </c>
      <c r="AP376" s="23" t="str">
        <f t="shared" si="104"/>
        <v/>
      </c>
      <c r="AQ376" s="23" t="str">
        <f t="shared" si="105"/>
        <v/>
      </c>
      <c r="AR376" s="38">
        <f t="shared" si="90"/>
        <v>0</v>
      </c>
      <c r="AS376" s="38">
        <f t="shared" si="91"/>
        <v>0</v>
      </c>
      <c r="AT376" s="38">
        <f t="shared" si="92"/>
        <v>5</v>
      </c>
      <c r="AU376" s="33" t="str">
        <f t="shared" si="93"/>
        <v>库存为5</v>
      </c>
      <c r="AV376" s="39" t="str">
        <f>IFERROR(时间!$B$4+AU376,"上周无销量")</f>
        <v>上周无销量</v>
      </c>
    </row>
    <row r="377" spans="1:48">
      <c r="A377" s="35" t="s">
        <v>422</v>
      </c>
      <c r="B377" t="str">
        <f>VLOOKUP(A377,'[2]sku-asin（子）'!$A:$B,2,0)</f>
        <v>B073WTTKP4</v>
      </c>
      <c r="C377" t="str">
        <f>VLOOKUP(A377,'[2]子sku-父sku'!$A:$B,2,0)</f>
        <v>PYJKJS</v>
      </c>
      <c r="D377" s="33">
        <f>IFERROR(VLOOKUP(A377,[3]库存报告使用数据处理!$A:$C,3,0),0)</f>
        <v>0</v>
      </c>
      <c r="E377" s="33">
        <f>IFERROR(VLOOKUP(A377,[3]库存报告使用数据处理!$A:$D,4,0),0)</f>
        <v>0</v>
      </c>
      <c r="F377" s="33">
        <f>IFERROR(VLOOKUP(A377,[3]库存报告使用数据处理!$A:$E,5,0),0)</f>
        <v>0</v>
      </c>
      <c r="G377" s="33">
        <f>IFERROR(VLOOKUP(A377,[3]库存报告使用数据处理!$A:$F,6,0),0)</f>
        <v>0</v>
      </c>
      <c r="H377" s="34">
        <f>IFERROR(VLOOKUP(A377,[3]库存报告使用数据处理!$A:$G,7,0),0)</f>
        <v>0</v>
      </c>
      <c r="I377">
        <f>IFERROR(VLOOKUP(A377,[4]数据处理!$A:$B,2,0),0)</f>
        <v>1</v>
      </c>
      <c r="J377" s="36">
        <f>IFERROR(VLOOKUP(A377,[4]数据处理!$A:$D,4,0),0)</f>
        <v>0</v>
      </c>
      <c r="K377" s="36">
        <f>IFERROR(VLOOKUP(A377,[4]数据处理!$A:$E,5,0),0)</f>
        <v>0</v>
      </c>
      <c r="L377" s="36">
        <f>IFERROR(VLOOKUP(A377,[4]数据处理!$A:$G,7,0),0)</f>
        <v>0</v>
      </c>
      <c r="M377">
        <f t="shared" si="89"/>
        <v>1</v>
      </c>
      <c r="N377">
        <f>IFERROR(VLOOKUP(A377,[4]数据处理!$A:$C,3,0),0)</f>
        <v>0</v>
      </c>
      <c r="O377">
        <f>IFERROR(VLOOKUP($A377,[4]数据处理!$A:$N,14,0),0)</f>
        <v>1</v>
      </c>
      <c r="P377" t="str">
        <f>IFERROR(VLOOKUP($A377,[5]库存使用数据!$A:$B,2,0),"")</f>
        <v/>
      </c>
      <c r="Q377" t="str">
        <f>IFERROR(VLOOKUP($A377,[5]库存使用数据!$A:$E,5,0),"")</f>
        <v/>
      </c>
      <c r="R377" t="str">
        <f>IFERROR(VLOOKUP($A377,[5]库存使用数据!$A:$H,8,0),"")</f>
        <v/>
      </c>
      <c r="S377" t="str">
        <f>IFERROR(VLOOKUP($A377,[5]库存使用数据!$A:$K,11,0),"")</f>
        <v/>
      </c>
      <c r="T377" t="str">
        <f>IFERROR(VLOOKUP($A377,[5]库存使用数据!$A:$C,3,0),"")</f>
        <v/>
      </c>
      <c r="U377" t="str">
        <f>IFERROR(VLOOKUP($A377,[5]库存使用数据!$A:$F,6,0),"")</f>
        <v/>
      </c>
      <c r="V377" t="str">
        <f>IFERROR(VLOOKUP($A377,[5]库存使用数据!$A:$I,9,0),"")</f>
        <v/>
      </c>
      <c r="W377" t="str">
        <f>IFERROR(VLOOKUP($A377,[5]库存使用数据!$A:$L,12,0),"")</f>
        <v/>
      </c>
      <c r="X377" s="23" t="str">
        <f t="shared" si="94"/>
        <v/>
      </c>
      <c r="Y377" s="23" t="str">
        <f t="shared" si="95"/>
        <v/>
      </c>
      <c r="Z377" s="23" t="str">
        <f t="shared" si="96"/>
        <v/>
      </c>
      <c r="AA377" s="23" t="str">
        <f t="shared" si="97"/>
        <v/>
      </c>
      <c r="AB377" t="str">
        <f>IFERROR(VLOOKUP($A377,[5]库存使用数据!$A:$D,4,0),"")</f>
        <v/>
      </c>
      <c r="AC377" t="str">
        <f>IFERROR(VLOOKUP($A377,[5]库存使用数据!$A:$G,7,0),"")</f>
        <v/>
      </c>
      <c r="AD377" t="str">
        <f>IFERROR(VLOOKUP($A377,[5]库存使用数据!$A:$J,10,0),"")</f>
        <v/>
      </c>
      <c r="AE377" t="str">
        <f>IFERROR(VLOOKUP($A377,[5]库存使用数据!$A:$M,13,0),"")</f>
        <v/>
      </c>
      <c r="AF377" s="23" t="str">
        <f t="shared" si="98"/>
        <v/>
      </c>
      <c r="AG377" s="23" t="str">
        <f t="shared" si="99"/>
        <v/>
      </c>
      <c r="AH377" s="23" t="str">
        <f t="shared" si="100"/>
        <v/>
      </c>
      <c r="AI377" s="23" t="str">
        <f t="shared" si="101"/>
        <v/>
      </c>
      <c r="AJ377">
        <f>IFERROR(VLOOKUP($B377,[1]库存报告使用数据!$A$1:$B$65536,2,0),0)</f>
        <v>5</v>
      </c>
      <c r="AK377">
        <f>IFERROR(VLOOKUP($B377,[1]库存报告使用数据!$A$1:$C$65536,3,0),0)</f>
        <v>1</v>
      </c>
      <c r="AL377">
        <f>IFERROR(VLOOKUP($B377,[1]库存报告使用数据!$A$1:$D$65536,4,0),0)</f>
        <v>2</v>
      </c>
      <c r="AM377">
        <f>IFERROR(VLOOKUP($B377,[1]库存报告使用数据!$A$1:$E$65536,5,0),0)</f>
        <v>0</v>
      </c>
      <c r="AN377" s="23">
        <f t="shared" si="102"/>
        <v>0</v>
      </c>
      <c r="AO377" s="23">
        <f t="shared" si="103"/>
        <v>0</v>
      </c>
      <c r="AP377" s="23">
        <f t="shared" si="104"/>
        <v>0</v>
      </c>
      <c r="AQ377" s="23" t="str">
        <f t="shared" si="105"/>
        <v/>
      </c>
      <c r="AR377" s="38">
        <f t="shared" si="90"/>
        <v>0</v>
      </c>
      <c r="AS377" s="38">
        <f t="shared" si="91"/>
        <v>0</v>
      </c>
      <c r="AT377" s="38">
        <f t="shared" si="92"/>
        <v>1</v>
      </c>
      <c r="AU377" s="33" t="str">
        <f t="shared" si="93"/>
        <v>库存为1</v>
      </c>
      <c r="AV377" s="39" t="str">
        <f>IFERROR(时间!$B$4+AU377,"上周无销量")</f>
        <v>上周无销量</v>
      </c>
    </row>
    <row r="378" spans="1:48">
      <c r="A378" s="35" t="s">
        <v>423</v>
      </c>
      <c r="B378" t="str">
        <f>VLOOKUP(A378,'[2]sku-asin（子）'!$A:$B,2,0)</f>
        <v>B073TWLDHK</v>
      </c>
      <c r="C378" t="str">
        <f>VLOOKUP(A378,'[2]子sku-父sku'!$A:$B,2,0)</f>
        <v>PYJKJS</v>
      </c>
      <c r="D378" s="33">
        <f>IFERROR(VLOOKUP(A378,[3]库存报告使用数据处理!$A:$C,3,0),0)</f>
        <v>0</v>
      </c>
      <c r="E378" s="33">
        <f>IFERROR(VLOOKUP(A378,[3]库存报告使用数据处理!$A:$D,4,0),0)</f>
        <v>0</v>
      </c>
      <c r="F378" s="33">
        <f>IFERROR(VLOOKUP(A378,[3]库存报告使用数据处理!$A:$E,5,0),0)</f>
        <v>0</v>
      </c>
      <c r="G378" s="33">
        <f>IFERROR(VLOOKUP(A378,[3]库存报告使用数据处理!$A:$F,6,0),0)</f>
        <v>0</v>
      </c>
      <c r="H378" s="34">
        <f>IFERROR(VLOOKUP(A378,[3]库存报告使用数据处理!$A:$G,7,0),0)</f>
        <v>0</v>
      </c>
      <c r="I378">
        <f>IFERROR(VLOOKUP(A378,[4]数据处理!$A:$B,2,0),0)</f>
        <v>3</v>
      </c>
      <c r="J378" s="36">
        <f>IFERROR(VLOOKUP(A378,[4]数据处理!$A:$D,4,0),0)</f>
        <v>0</v>
      </c>
      <c r="K378" s="36">
        <f>IFERROR(VLOOKUP(A378,[4]数据处理!$A:$E,5,0),0)</f>
        <v>0</v>
      </c>
      <c r="L378" s="36">
        <f>IFERROR(VLOOKUP(A378,[4]数据处理!$A:$G,7,0),0)</f>
        <v>0</v>
      </c>
      <c r="M378">
        <f t="shared" si="89"/>
        <v>3</v>
      </c>
      <c r="N378">
        <f>IFERROR(VLOOKUP(A378,[4]数据处理!$A:$C,3,0),0)</f>
        <v>0</v>
      </c>
      <c r="O378">
        <f>IFERROR(VLOOKUP($A378,[4]数据处理!$A:$N,14,0),0)</f>
        <v>3</v>
      </c>
      <c r="P378" t="str">
        <f>IFERROR(VLOOKUP($A378,[5]库存使用数据!$A:$B,2,0),"")</f>
        <v/>
      </c>
      <c r="Q378" t="str">
        <f>IFERROR(VLOOKUP($A378,[5]库存使用数据!$A:$E,5,0),"")</f>
        <v/>
      </c>
      <c r="R378" t="str">
        <f>IFERROR(VLOOKUP($A378,[5]库存使用数据!$A:$H,8,0),"")</f>
        <v/>
      </c>
      <c r="S378" t="str">
        <f>IFERROR(VLOOKUP($A378,[5]库存使用数据!$A:$K,11,0),"")</f>
        <v/>
      </c>
      <c r="T378" t="str">
        <f>IFERROR(VLOOKUP($A378,[5]库存使用数据!$A:$C,3,0),"")</f>
        <v/>
      </c>
      <c r="U378" t="str">
        <f>IFERROR(VLOOKUP($A378,[5]库存使用数据!$A:$F,6,0),"")</f>
        <v/>
      </c>
      <c r="V378" t="str">
        <f>IFERROR(VLOOKUP($A378,[5]库存使用数据!$A:$I,9,0),"")</f>
        <v/>
      </c>
      <c r="W378" t="str">
        <f>IFERROR(VLOOKUP($A378,[5]库存使用数据!$A:$L,12,0),"")</f>
        <v/>
      </c>
      <c r="X378" s="23" t="str">
        <f t="shared" si="94"/>
        <v/>
      </c>
      <c r="Y378" s="23" t="str">
        <f t="shared" si="95"/>
        <v/>
      </c>
      <c r="Z378" s="23" t="str">
        <f t="shared" si="96"/>
        <v/>
      </c>
      <c r="AA378" s="23" t="str">
        <f t="shared" si="97"/>
        <v/>
      </c>
      <c r="AB378" t="str">
        <f>IFERROR(VLOOKUP($A378,[5]库存使用数据!$A:$D,4,0),"")</f>
        <v/>
      </c>
      <c r="AC378" t="str">
        <f>IFERROR(VLOOKUP($A378,[5]库存使用数据!$A:$G,7,0),"")</f>
        <v/>
      </c>
      <c r="AD378" t="str">
        <f>IFERROR(VLOOKUP($A378,[5]库存使用数据!$A:$J,10,0),"")</f>
        <v/>
      </c>
      <c r="AE378" t="str">
        <f>IFERROR(VLOOKUP($A378,[5]库存使用数据!$A:$M,13,0),"")</f>
        <v/>
      </c>
      <c r="AF378" s="23" t="str">
        <f t="shared" si="98"/>
        <v/>
      </c>
      <c r="AG378" s="23" t="str">
        <f t="shared" si="99"/>
        <v/>
      </c>
      <c r="AH378" s="23" t="str">
        <f t="shared" si="100"/>
        <v/>
      </c>
      <c r="AI378" s="23" t="str">
        <f t="shared" si="101"/>
        <v/>
      </c>
      <c r="AJ378">
        <f>IFERROR(VLOOKUP($B378,[1]库存报告使用数据!$A$1:$B$65536,2,0),0)</f>
        <v>1</v>
      </c>
      <c r="AK378">
        <f>IFERROR(VLOOKUP($B378,[1]库存报告使用数据!$A$1:$C$65536,3,0),0)</f>
        <v>1</v>
      </c>
      <c r="AL378">
        <f>IFERROR(VLOOKUP($B378,[1]库存报告使用数据!$A$1:$D$65536,4,0),0)</f>
        <v>0</v>
      </c>
      <c r="AM378">
        <f>IFERROR(VLOOKUP($B378,[1]库存报告使用数据!$A$1:$E$65536,5,0),0)</f>
        <v>1</v>
      </c>
      <c r="AN378" s="23">
        <f t="shared" si="102"/>
        <v>0</v>
      </c>
      <c r="AO378" s="23">
        <f t="shared" si="103"/>
        <v>0</v>
      </c>
      <c r="AP378" s="23" t="str">
        <f t="shared" si="104"/>
        <v/>
      </c>
      <c r="AQ378" s="23">
        <f t="shared" si="105"/>
        <v>0</v>
      </c>
      <c r="AR378" s="38">
        <f t="shared" si="90"/>
        <v>0</v>
      </c>
      <c r="AS378" s="38">
        <f t="shared" si="91"/>
        <v>0</v>
      </c>
      <c r="AT378" s="38">
        <f t="shared" si="92"/>
        <v>3</v>
      </c>
      <c r="AU378" s="33" t="str">
        <f t="shared" si="93"/>
        <v>库存为3</v>
      </c>
      <c r="AV378" s="39" t="str">
        <f>IFERROR(时间!$B$4+AU378,"上周无销量")</f>
        <v>上周无销量</v>
      </c>
    </row>
    <row r="379" spans="1:48">
      <c r="A379" s="35" t="s">
        <v>424</v>
      </c>
      <c r="B379" t="str">
        <f>VLOOKUP(A379,'[2]sku-asin（子）'!$A:$B,2,0)</f>
        <v>B073WV5CCK</v>
      </c>
      <c r="C379" t="str">
        <f>VLOOKUP(A379,'[2]子sku-父sku'!$A:$B,2,0)</f>
        <v>PYJKJS</v>
      </c>
      <c r="D379" s="33">
        <f>IFERROR(VLOOKUP(A379,[3]库存报告使用数据处理!$A:$C,3,0),0)</f>
        <v>0</v>
      </c>
      <c r="E379" s="33">
        <f>IFERROR(VLOOKUP(A379,[3]库存报告使用数据处理!$A:$D,4,0),0)</f>
        <v>0</v>
      </c>
      <c r="F379" s="33">
        <f>IFERROR(VLOOKUP(A379,[3]库存报告使用数据处理!$A:$E,5,0),0)</f>
        <v>0</v>
      </c>
      <c r="G379" s="33">
        <f>IFERROR(VLOOKUP(A379,[3]库存报告使用数据处理!$A:$F,6,0),0)</f>
        <v>0</v>
      </c>
      <c r="H379" s="34">
        <f>IFERROR(VLOOKUP(A379,[3]库存报告使用数据处理!$A:$G,7,0),0)</f>
        <v>0</v>
      </c>
      <c r="I379">
        <f>IFERROR(VLOOKUP(A379,[4]数据处理!$A:$B,2,0),0)</f>
        <v>4</v>
      </c>
      <c r="J379" s="36">
        <f>IFERROR(VLOOKUP(A379,[4]数据处理!$A:$D,4,0),0)</f>
        <v>0</v>
      </c>
      <c r="K379" s="36">
        <f>IFERROR(VLOOKUP(A379,[4]数据处理!$A:$E,5,0),0)</f>
        <v>0</v>
      </c>
      <c r="L379" s="36">
        <f>IFERROR(VLOOKUP(A379,[4]数据处理!$A:$G,7,0),0)</f>
        <v>0</v>
      </c>
      <c r="M379">
        <f t="shared" si="89"/>
        <v>4</v>
      </c>
      <c r="N379">
        <f>IFERROR(VLOOKUP(A379,[4]数据处理!$A:$C,3,0),0)</f>
        <v>0</v>
      </c>
      <c r="O379">
        <f>IFERROR(VLOOKUP($A379,[4]数据处理!$A:$N,14,0),0)</f>
        <v>4</v>
      </c>
      <c r="P379" t="str">
        <f>IFERROR(VLOOKUP($A379,[5]库存使用数据!$A:$B,2,0),"")</f>
        <v/>
      </c>
      <c r="Q379" t="str">
        <f>IFERROR(VLOOKUP($A379,[5]库存使用数据!$A:$E,5,0),"")</f>
        <v/>
      </c>
      <c r="R379" t="str">
        <f>IFERROR(VLOOKUP($A379,[5]库存使用数据!$A:$H,8,0),"")</f>
        <v/>
      </c>
      <c r="S379" t="str">
        <f>IFERROR(VLOOKUP($A379,[5]库存使用数据!$A:$K,11,0),"")</f>
        <v/>
      </c>
      <c r="T379" t="str">
        <f>IFERROR(VLOOKUP($A379,[5]库存使用数据!$A:$C,3,0),"")</f>
        <v/>
      </c>
      <c r="U379" t="str">
        <f>IFERROR(VLOOKUP($A379,[5]库存使用数据!$A:$F,6,0),"")</f>
        <v/>
      </c>
      <c r="V379" t="str">
        <f>IFERROR(VLOOKUP($A379,[5]库存使用数据!$A:$I,9,0),"")</f>
        <v/>
      </c>
      <c r="W379" t="str">
        <f>IFERROR(VLOOKUP($A379,[5]库存使用数据!$A:$L,12,0),"")</f>
        <v/>
      </c>
      <c r="X379" s="23" t="str">
        <f t="shared" si="94"/>
        <v/>
      </c>
      <c r="Y379" s="23" t="str">
        <f t="shared" si="95"/>
        <v/>
      </c>
      <c r="Z379" s="23" t="str">
        <f t="shared" si="96"/>
        <v/>
      </c>
      <c r="AA379" s="23" t="str">
        <f t="shared" si="97"/>
        <v/>
      </c>
      <c r="AB379" t="str">
        <f>IFERROR(VLOOKUP($A379,[5]库存使用数据!$A:$D,4,0),"")</f>
        <v/>
      </c>
      <c r="AC379" t="str">
        <f>IFERROR(VLOOKUP($A379,[5]库存使用数据!$A:$G,7,0),"")</f>
        <v/>
      </c>
      <c r="AD379" t="str">
        <f>IFERROR(VLOOKUP($A379,[5]库存使用数据!$A:$J,10,0),"")</f>
        <v/>
      </c>
      <c r="AE379" t="str">
        <f>IFERROR(VLOOKUP($A379,[5]库存使用数据!$A:$M,13,0),"")</f>
        <v/>
      </c>
      <c r="AF379" s="23" t="str">
        <f t="shared" si="98"/>
        <v/>
      </c>
      <c r="AG379" s="23" t="str">
        <f t="shared" si="99"/>
        <v/>
      </c>
      <c r="AH379" s="23" t="str">
        <f t="shared" si="100"/>
        <v/>
      </c>
      <c r="AI379" s="23" t="str">
        <f t="shared" si="101"/>
        <v/>
      </c>
      <c r="AJ379">
        <f>IFERROR(VLOOKUP($B379,[1]库存报告使用数据!$A$1:$B$65536,2,0),0)</f>
        <v>0</v>
      </c>
      <c r="AK379">
        <f>IFERROR(VLOOKUP($B379,[1]库存报告使用数据!$A$1:$C$65536,3,0),0)</f>
        <v>0</v>
      </c>
      <c r="AL379">
        <f>IFERROR(VLOOKUP($B379,[1]库存报告使用数据!$A$1:$D$65536,4,0),0)</f>
        <v>1</v>
      </c>
      <c r="AM379">
        <f>IFERROR(VLOOKUP($B379,[1]库存报告使用数据!$A$1:$E$65536,5,0),0)</f>
        <v>1</v>
      </c>
      <c r="AN379" s="23" t="str">
        <f t="shared" si="102"/>
        <v/>
      </c>
      <c r="AO379" s="23" t="str">
        <f t="shared" si="103"/>
        <v/>
      </c>
      <c r="AP379" s="23">
        <f t="shared" si="104"/>
        <v>0</v>
      </c>
      <c r="AQ379" s="23">
        <f t="shared" si="105"/>
        <v>0</v>
      </c>
      <c r="AR379" s="38">
        <f t="shared" si="90"/>
        <v>0</v>
      </c>
      <c r="AS379" s="38">
        <f t="shared" si="91"/>
        <v>0</v>
      </c>
      <c r="AT379" s="38">
        <f t="shared" si="92"/>
        <v>4</v>
      </c>
      <c r="AU379" s="33" t="str">
        <f t="shared" si="93"/>
        <v>库存为4</v>
      </c>
      <c r="AV379" s="39" t="str">
        <f>IFERROR(时间!$B$4+AU379,"上周无销量")</f>
        <v>上周无销量</v>
      </c>
    </row>
    <row r="380" spans="1:48">
      <c r="A380" s="35" t="s">
        <v>425</v>
      </c>
      <c r="B380" t="str">
        <f>VLOOKUP(A380,'[2]sku-asin（子）'!$A:$B,2,0)</f>
        <v>B073WTZ549</v>
      </c>
      <c r="C380" t="str">
        <f>VLOOKUP(A380,'[2]子sku-父sku'!$A:$B,2,0)</f>
        <v>PYJKTS</v>
      </c>
      <c r="D380" s="33">
        <f>IFERROR(VLOOKUP(A380,[3]库存报告使用数据处理!$A:$C,3,0),0)</f>
        <v>0</v>
      </c>
      <c r="E380" s="33">
        <f>IFERROR(VLOOKUP(A380,[3]库存报告使用数据处理!$A:$D,4,0),0)</f>
        <v>0</v>
      </c>
      <c r="F380" s="33">
        <f>IFERROR(VLOOKUP(A380,[3]库存报告使用数据处理!$A:$E,5,0),0)</f>
        <v>0</v>
      </c>
      <c r="G380" s="33">
        <f>IFERROR(VLOOKUP(A380,[3]库存报告使用数据处理!$A:$F,6,0),0)</f>
        <v>0</v>
      </c>
      <c r="H380" s="34">
        <f>IFERROR(VLOOKUP(A380,[3]库存报告使用数据处理!$A:$G,7,0),0)</f>
        <v>0</v>
      </c>
      <c r="I380">
        <f>IFERROR(VLOOKUP(A380,[4]数据处理!$A:$B,2,0),0)</f>
        <v>2</v>
      </c>
      <c r="J380" s="36">
        <f>IFERROR(VLOOKUP(A380,[4]数据处理!$A:$D,4,0),0)</f>
        <v>0</v>
      </c>
      <c r="K380" s="36">
        <f>IFERROR(VLOOKUP(A380,[4]数据处理!$A:$E,5,0),0)</f>
        <v>0</v>
      </c>
      <c r="L380" s="36">
        <f>IFERROR(VLOOKUP(A380,[4]数据处理!$A:$G,7,0),0)</f>
        <v>0</v>
      </c>
      <c r="M380">
        <f t="shared" si="89"/>
        <v>2</v>
      </c>
      <c r="N380">
        <f>IFERROR(VLOOKUP(A380,[4]数据处理!$A:$C,3,0),0)</f>
        <v>0</v>
      </c>
      <c r="O380">
        <f>IFERROR(VLOOKUP($A380,[4]数据处理!$A:$N,14,0),0)</f>
        <v>2</v>
      </c>
      <c r="P380" t="str">
        <f>IFERROR(VLOOKUP($A380,[5]库存使用数据!$A:$B,2,0),"")</f>
        <v/>
      </c>
      <c r="Q380" t="str">
        <f>IFERROR(VLOOKUP($A380,[5]库存使用数据!$A:$E,5,0),"")</f>
        <v/>
      </c>
      <c r="R380" t="str">
        <f>IFERROR(VLOOKUP($A380,[5]库存使用数据!$A:$H,8,0),"")</f>
        <v/>
      </c>
      <c r="S380" t="str">
        <f>IFERROR(VLOOKUP($A380,[5]库存使用数据!$A:$K,11,0),"")</f>
        <v/>
      </c>
      <c r="T380" t="str">
        <f>IFERROR(VLOOKUP($A380,[5]库存使用数据!$A:$C,3,0),"")</f>
        <v/>
      </c>
      <c r="U380" t="str">
        <f>IFERROR(VLOOKUP($A380,[5]库存使用数据!$A:$F,6,0),"")</f>
        <v/>
      </c>
      <c r="V380" t="str">
        <f>IFERROR(VLOOKUP($A380,[5]库存使用数据!$A:$I,9,0),"")</f>
        <v/>
      </c>
      <c r="W380" t="str">
        <f>IFERROR(VLOOKUP($A380,[5]库存使用数据!$A:$L,12,0),"")</f>
        <v/>
      </c>
      <c r="X380" s="23" t="str">
        <f t="shared" si="94"/>
        <v/>
      </c>
      <c r="Y380" s="23" t="str">
        <f t="shared" si="95"/>
        <v/>
      </c>
      <c r="Z380" s="23" t="str">
        <f t="shared" si="96"/>
        <v/>
      </c>
      <c r="AA380" s="23" t="str">
        <f t="shared" si="97"/>
        <v/>
      </c>
      <c r="AB380" t="str">
        <f>IFERROR(VLOOKUP($A380,[5]库存使用数据!$A:$D,4,0),"")</f>
        <v/>
      </c>
      <c r="AC380" t="str">
        <f>IFERROR(VLOOKUP($A380,[5]库存使用数据!$A:$G,7,0),"")</f>
        <v/>
      </c>
      <c r="AD380" t="str">
        <f>IFERROR(VLOOKUP($A380,[5]库存使用数据!$A:$J,10,0),"")</f>
        <v/>
      </c>
      <c r="AE380" t="str">
        <f>IFERROR(VLOOKUP($A380,[5]库存使用数据!$A:$M,13,0),"")</f>
        <v/>
      </c>
      <c r="AF380" s="23" t="str">
        <f t="shared" si="98"/>
        <v/>
      </c>
      <c r="AG380" s="23" t="str">
        <f t="shared" si="99"/>
        <v/>
      </c>
      <c r="AH380" s="23" t="str">
        <f t="shared" si="100"/>
        <v/>
      </c>
      <c r="AI380" s="23" t="str">
        <f t="shared" si="101"/>
        <v/>
      </c>
      <c r="AJ380">
        <f>IFERROR(VLOOKUP($B380,[1]库存报告使用数据!$A$1:$B$65536,2,0),0)</f>
        <v>1</v>
      </c>
      <c r="AK380">
        <f>IFERROR(VLOOKUP($B380,[1]库存报告使用数据!$A$1:$C$65536,3,0),0)</f>
        <v>1</v>
      </c>
      <c r="AL380">
        <f>IFERROR(VLOOKUP($B380,[1]库存报告使用数据!$A$1:$D$65536,4,0),0)</f>
        <v>1</v>
      </c>
      <c r="AM380">
        <f>IFERROR(VLOOKUP($B380,[1]库存报告使用数据!$A$1:$E$65536,5,0),0)</f>
        <v>1</v>
      </c>
      <c r="AN380" s="23">
        <f t="shared" si="102"/>
        <v>0</v>
      </c>
      <c r="AO380" s="23">
        <f t="shared" si="103"/>
        <v>0</v>
      </c>
      <c r="AP380" s="23">
        <f t="shared" si="104"/>
        <v>0</v>
      </c>
      <c r="AQ380" s="23">
        <f t="shared" si="105"/>
        <v>0</v>
      </c>
      <c r="AR380" s="38">
        <f t="shared" si="90"/>
        <v>0</v>
      </c>
      <c r="AS380" s="38">
        <f t="shared" si="91"/>
        <v>0</v>
      </c>
      <c r="AT380" s="38">
        <f t="shared" si="92"/>
        <v>2</v>
      </c>
      <c r="AU380" s="33" t="str">
        <f t="shared" si="93"/>
        <v>库存为2</v>
      </c>
      <c r="AV380" s="39" t="str">
        <f>IFERROR(时间!$B$4+AU380,"上周无销量")</f>
        <v>上周无销量</v>
      </c>
    </row>
    <row r="381" spans="1:48">
      <c r="A381" s="35" t="s">
        <v>426</v>
      </c>
      <c r="B381" t="str">
        <f>VLOOKUP(A381,'[2]sku-asin（子）'!$A:$B,2,0)</f>
        <v>B073WT7S1J</v>
      </c>
      <c r="C381" t="str">
        <f>VLOOKUP(A381,'[2]子sku-父sku'!$A:$B,2,0)</f>
        <v>PYJKTS</v>
      </c>
      <c r="D381" s="33">
        <f>IFERROR(VLOOKUP(A381,[3]库存报告使用数据处理!$A:$C,3,0),0)</f>
        <v>0</v>
      </c>
      <c r="E381" s="33">
        <f>IFERROR(VLOOKUP(A381,[3]库存报告使用数据处理!$A:$D,4,0),0)</f>
        <v>0</v>
      </c>
      <c r="F381" s="33">
        <f>IFERROR(VLOOKUP(A381,[3]库存报告使用数据处理!$A:$E,5,0),0)</f>
        <v>0</v>
      </c>
      <c r="G381" s="33">
        <f>IFERROR(VLOOKUP(A381,[3]库存报告使用数据处理!$A:$F,6,0),0)</f>
        <v>0</v>
      </c>
      <c r="H381" s="34">
        <f>IFERROR(VLOOKUP(A381,[3]库存报告使用数据处理!$A:$G,7,0),0)</f>
        <v>0</v>
      </c>
      <c r="I381">
        <f>IFERROR(VLOOKUP(A381,[4]数据处理!$A:$B,2,0),0)</f>
        <v>1</v>
      </c>
      <c r="J381" s="36">
        <f>IFERROR(VLOOKUP(A381,[4]数据处理!$A:$D,4,0),0)</f>
        <v>0</v>
      </c>
      <c r="K381" s="36">
        <f>IFERROR(VLOOKUP(A381,[4]数据处理!$A:$E,5,0),0)</f>
        <v>0</v>
      </c>
      <c r="L381" s="36">
        <f>IFERROR(VLOOKUP(A381,[4]数据处理!$A:$G,7,0),0)</f>
        <v>0</v>
      </c>
      <c r="M381">
        <f t="shared" si="89"/>
        <v>1</v>
      </c>
      <c r="N381">
        <f>IFERROR(VLOOKUP(A381,[4]数据处理!$A:$C,3,0),0)</f>
        <v>0</v>
      </c>
      <c r="O381">
        <f>IFERROR(VLOOKUP($A381,[4]数据处理!$A:$N,14,0),0)</f>
        <v>1</v>
      </c>
      <c r="P381" t="str">
        <f>IFERROR(VLOOKUP($A381,[5]库存使用数据!$A:$B,2,0),"")</f>
        <v/>
      </c>
      <c r="Q381" t="str">
        <f>IFERROR(VLOOKUP($A381,[5]库存使用数据!$A:$E,5,0),"")</f>
        <v/>
      </c>
      <c r="R381" t="str">
        <f>IFERROR(VLOOKUP($A381,[5]库存使用数据!$A:$H,8,0),"")</f>
        <v/>
      </c>
      <c r="S381" t="str">
        <f>IFERROR(VLOOKUP($A381,[5]库存使用数据!$A:$K,11,0),"")</f>
        <v/>
      </c>
      <c r="T381" t="str">
        <f>IFERROR(VLOOKUP($A381,[5]库存使用数据!$A:$C,3,0),"")</f>
        <v/>
      </c>
      <c r="U381" t="str">
        <f>IFERROR(VLOOKUP($A381,[5]库存使用数据!$A:$F,6,0),"")</f>
        <v/>
      </c>
      <c r="V381" t="str">
        <f>IFERROR(VLOOKUP($A381,[5]库存使用数据!$A:$I,9,0),"")</f>
        <v/>
      </c>
      <c r="W381" t="str">
        <f>IFERROR(VLOOKUP($A381,[5]库存使用数据!$A:$L,12,0),"")</f>
        <v/>
      </c>
      <c r="X381" s="23" t="str">
        <f t="shared" si="94"/>
        <v/>
      </c>
      <c r="Y381" s="23" t="str">
        <f t="shared" si="95"/>
        <v/>
      </c>
      <c r="Z381" s="23" t="str">
        <f t="shared" si="96"/>
        <v/>
      </c>
      <c r="AA381" s="23" t="str">
        <f t="shared" si="97"/>
        <v/>
      </c>
      <c r="AB381" t="str">
        <f>IFERROR(VLOOKUP($A381,[5]库存使用数据!$A:$D,4,0),"")</f>
        <v/>
      </c>
      <c r="AC381" t="str">
        <f>IFERROR(VLOOKUP($A381,[5]库存使用数据!$A:$G,7,0),"")</f>
        <v/>
      </c>
      <c r="AD381" t="str">
        <f>IFERROR(VLOOKUP($A381,[5]库存使用数据!$A:$J,10,0),"")</f>
        <v/>
      </c>
      <c r="AE381" t="str">
        <f>IFERROR(VLOOKUP($A381,[5]库存使用数据!$A:$M,13,0),"")</f>
        <v/>
      </c>
      <c r="AF381" s="23" t="str">
        <f t="shared" si="98"/>
        <v/>
      </c>
      <c r="AG381" s="23" t="str">
        <f t="shared" si="99"/>
        <v/>
      </c>
      <c r="AH381" s="23" t="str">
        <f t="shared" si="100"/>
        <v/>
      </c>
      <c r="AI381" s="23" t="str">
        <f t="shared" si="101"/>
        <v/>
      </c>
      <c r="AJ381">
        <f>IFERROR(VLOOKUP($B381,[1]库存报告使用数据!$A$1:$B$65536,2,0),0)</f>
        <v>4</v>
      </c>
      <c r="AK381">
        <f>IFERROR(VLOOKUP($B381,[1]库存报告使用数据!$A$1:$C$65536,3,0),0)</f>
        <v>2</v>
      </c>
      <c r="AL381">
        <f>IFERROR(VLOOKUP($B381,[1]库存报告使用数据!$A$1:$D$65536,4,0),0)</f>
        <v>0</v>
      </c>
      <c r="AM381">
        <f>IFERROR(VLOOKUP($B381,[1]库存报告使用数据!$A$1:$E$65536,5,0),0)</f>
        <v>3</v>
      </c>
      <c r="AN381" s="23">
        <f t="shared" si="102"/>
        <v>0</v>
      </c>
      <c r="AO381" s="23">
        <f t="shared" si="103"/>
        <v>0</v>
      </c>
      <c r="AP381" s="23" t="str">
        <f t="shared" si="104"/>
        <v/>
      </c>
      <c r="AQ381" s="23">
        <f t="shared" si="105"/>
        <v>0</v>
      </c>
      <c r="AR381" s="38">
        <f t="shared" si="90"/>
        <v>0</v>
      </c>
      <c r="AS381" s="38">
        <f t="shared" si="91"/>
        <v>0</v>
      </c>
      <c r="AT381" s="38">
        <f t="shared" si="92"/>
        <v>1</v>
      </c>
      <c r="AU381" s="33" t="str">
        <f t="shared" si="93"/>
        <v>库存为1</v>
      </c>
      <c r="AV381" s="39" t="str">
        <f>IFERROR(时间!$B$4+AU381,"上周无销量")</f>
        <v>上周无销量</v>
      </c>
    </row>
    <row r="382" spans="1:48">
      <c r="A382" s="35" t="s">
        <v>427</v>
      </c>
      <c r="B382" t="str">
        <f>VLOOKUP(A382,'[2]sku-asin（子）'!$A:$B,2,0)</f>
        <v>B073W6VTYY</v>
      </c>
      <c r="C382" t="str">
        <f>VLOOKUP(A382,'[2]子sku-父sku'!$A:$B,2,0)</f>
        <v>PYJKTS</v>
      </c>
      <c r="D382" s="33">
        <f>IFERROR(VLOOKUP(A382,[3]库存报告使用数据处理!$A:$C,3,0),0)</f>
        <v>0</v>
      </c>
      <c r="E382" s="33">
        <f>IFERROR(VLOOKUP(A382,[3]库存报告使用数据处理!$A:$D,4,0),0)</f>
        <v>0</v>
      </c>
      <c r="F382" s="33">
        <f>IFERROR(VLOOKUP(A382,[3]库存报告使用数据处理!$A:$E,5,0),0)</f>
        <v>0</v>
      </c>
      <c r="G382" s="33">
        <f>IFERROR(VLOOKUP(A382,[3]库存报告使用数据处理!$A:$F,6,0),0)</f>
        <v>0</v>
      </c>
      <c r="H382" s="34">
        <f>IFERROR(VLOOKUP(A382,[3]库存报告使用数据处理!$A:$G,7,0),0)</f>
        <v>0</v>
      </c>
      <c r="I382">
        <f>IFERROR(VLOOKUP(A382,[4]数据处理!$A:$B,2,0),0)</f>
        <v>2</v>
      </c>
      <c r="J382" s="36">
        <f>IFERROR(VLOOKUP(A382,[4]数据处理!$A:$D,4,0),0)</f>
        <v>0</v>
      </c>
      <c r="K382" s="36">
        <f>IFERROR(VLOOKUP(A382,[4]数据处理!$A:$E,5,0),0)</f>
        <v>0</v>
      </c>
      <c r="L382" s="36">
        <f>IFERROR(VLOOKUP(A382,[4]数据处理!$A:$G,7,0),0)</f>
        <v>0</v>
      </c>
      <c r="M382">
        <f t="shared" si="89"/>
        <v>2</v>
      </c>
      <c r="N382">
        <f>IFERROR(VLOOKUP(A382,[4]数据处理!$A:$C,3,0),0)</f>
        <v>0</v>
      </c>
      <c r="O382">
        <f>IFERROR(VLOOKUP($A382,[4]数据处理!$A:$N,14,0),0)</f>
        <v>2</v>
      </c>
      <c r="P382" t="str">
        <f>IFERROR(VLOOKUP($A382,[5]库存使用数据!$A:$B,2,0),"")</f>
        <v/>
      </c>
      <c r="Q382" t="str">
        <f>IFERROR(VLOOKUP($A382,[5]库存使用数据!$A:$E,5,0),"")</f>
        <v/>
      </c>
      <c r="R382" t="str">
        <f>IFERROR(VLOOKUP($A382,[5]库存使用数据!$A:$H,8,0),"")</f>
        <v/>
      </c>
      <c r="S382" t="str">
        <f>IFERROR(VLOOKUP($A382,[5]库存使用数据!$A:$K,11,0),"")</f>
        <v/>
      </c>
      <c r="T382" t="str">
        <f>IFERROR(VLOOKUP($A382,[5]库存使用数据!$A:$C,3,0),"")</f>
        <v/>
      </c>
      <c r="U382" t="str">
        <f>IFERROR(VLOOKUP($A382,[5]库存使用数据!$A:$F,6,0),"")</f>
        <v/>
      </c>
      <c r="V382" t="str">
        <f>IFERROR(VLOOKUP($A382,[5]库存使用数据!$A:$I,9,0),"")</f>
        <v/>
      </c>
      <c r="W382" t="str">
        <f>IFERROR(VLOOKUP($A382,[5]库存使用数据!$A:$L,12,0),"")</f>
        <v/>
      </c>
      <c r="X382" s="23" t="str">
        <f t="shared" si="94"/>
        <v/>
      </c>
      <c r="Y382" s="23" t="str">
        <f t="shared" si="95"/>
        <v/>
      </c>
      <c r="Z382" s="23" t="str">
        <f t="shared" si="96"/>
        <v/>
      </c>
      <c r="AA382" s="23" t="str">
        <f t="shared" si="97"/>
        <v/>
      </c>
      <c r="AB382" t="str">
        <f>IFERROR(VLOOKUP($A382,[5]库存使用数据!$A:$D,4,0),"")</f>
        <v/>
      </c>
      <c r="AC382" t="str">
        <f>IFERROR(VLOOKUP($A382,[5]库存使用数据!$A:$G,7,0),"")</f>
        <v/>
      </c>
      <c r="AD382" t="str">
        <f>IFERROR(VLOOKUP($A382,[5]库存使用数据!$A:$J,10,0),"")</f>
        <v/>
      </c>
      <c r="AE382" t="str">
        <f>IFERROR(VLOOKUP($A382,[5]库存使用数据!$A:$M,13,0),"")</f>
        <v/>
      </c>
      <c r="AF382" s="23" t="str">
        <f t="shared" si="98"/>
        <v/>
      </c>
      <c r="AG382" s="23" t="str">
        <f t="shared" si="99"/>
        <v/>
      </c>
      <c r="AH382" s="23" t="str">
        <f t="shared" si="100"/>
        <v/>
      </c>
      <c r="AI382" s="23" t="str">
        <f t="shared" si="101"/>
        <v/>
      </c>
      <c r="AJ382">
        <f>IFERROR(VLOOKUP($B382,[1]库存报告使用数据!$A$1:$B$65536,2,0),0)</f>
        <v>3</v>
      </c>
      <c r="AK382">
        <f>IFERROR(VLOOKUP($B382,[1]库存报告使用数据!$A$1:$C$65536,3,0),0)</f>
        <v>3</v>
      </c>
      <c r="AL382">
        <f>IFERROR(VLOOKUP($B382,[1]库存报告使用数据!$A$1:$D$65536,4,0),0)</f>
        <v>1</v>
      </c>
      <c r="AM382">
        <f>IFERROR(VLOOKUP($B382,[1]库存报告使用数据!$A$1:$E$65536,5,0),0)</f>
        <v>1</v>
      </c>
      <c r="AN382" s="23">
        <f t="shared" si="102"/>
        <v>0</v>
      </c>
      <c r="AO382" s="23">
        <f t="shared" si="103"/>
        <v>0</v>
      </c>
      <c r="AP382" s="23">
        <f t="shared" si="104"/>
        <v>0</v>
      </c>
      <c r="AQ382" s="23">
        <f t="shared" si="105"/>
        <v>0</v>
      </c>
      <c r="AR382" s="38">
        <f t="shared" si="90"/>
        <v>0</v>
      </c>
      <c r="AS382" s="38">
        <f t="shared" si="91"/>
        <v>0</v>
      </c>
      <c r="AT382" s="38">
        <f t="shared" si="92"/>
        <v>2</v>
      </c>
      <c r="AU382" s="33" t="str">
        <f t="shared" si="93"/>
        <v>库存为2</v>
      </c>
      <c r="AV382" s="39" t="str">
        <f>IFERROR(时间!$B$4+AU382,"上周无销量")</f>
        <v>上周无销量</v>
      </c>
    </row>
    <row r="383" spans="1:48">
      <c r="A383" s="35" t="s">
        <v>428</v>
      </c>
      <c r="B383" t="str">
        <f>VLOOKUP(A383,'[2]sku-asin（子）'!$A:$B,2,0)</f>
        <v>B074FP8V7K</v>
      </c>
      <c r="C383" t="str">
        <f>VLOOKUP(A383,'[2]子sku-父sku'!$A:$B,2,0)</f>
        <v>SJKTK</v>
      </c>
      <c r="D383" s="33">
        <f>IFERROR(VLOOKUP(A383,[3]库存报告使用数据处理!$A:$C,3,0),0)</f>
        <v>1</v>
      </c>
      <c r="E383" s="33">
        <f>IFERROR(VLOOKUP(A383,[3]库存报告使用数据处理!$A:$D,4,0),0)</f>
        <v>0</v>
      </c>
      <c r="F383" s="33">
        <f>IFERROR(VLOOKUP(A383,[3]库存报告使用数据处理!$A:$E,5,0),0)</f>
        <v>0</v>
      </c>
      <c r="G383" s="33">
        <f>IFERROR(VLOOKUP(A383,[3]库存报告使用数据处理!$A:$F,6,0),0)</f>
        <v>0</v>
      </c>
      <c r="H383" s="34">
        <f>IFERROR(VLOOKUP(A383,[3]库存报告使用数据处理!$A:$G,7,0),0)</f>
        <v>15.99</v>
      </c>
      <c r="I383">
        <f>IFERROR(VLOOKUP(A383,[4]数据处理!$A:$B,2,0),0)</f>
        <v>8</v>
      </c>
      <c r="J383" s="36">
        <f>IFERROR(VLOOKUP(A383,[4]数据处理!$A:$D,4,0),0)</f>
        <v>0</v>
      </c>
      <c r="K383" s="36">
        <f>IFERROR(VLOOKUP(A383,[4]数据处理!$A:$E,5,0),0)</f>
        <v>0</v>
      </c>
      <c r="L383" s="36">
        <f>IFERROR(VLOOKUP(A383,[4]数据处理!$A:$G,7,0),0)</f>
        <v>0</v>
      </c>
      <c r="M383">
        <f t="shared" si="89"/>
        <v>8</v>
      </c>
      <c r="N383">
        <f>IFERROR(VLOOKUP(A383,[4]数据处理!$A:$C,3,0),0)</f>
        <v>0</v>
      </c>
      <c r="O383">
        <f>IFERROR(VLOOKUP($A383,[4]数据处理!$A:$N,14,0),0)</f>
        <v>8</v>
      </c>
      <c r="P383">
        <f>IFERROR(VLOOKUP($A383,[5]库存使用数据!$A:$B,2,0),"")</f>
        <v>436</v>
      </c>
      <c r="Q383">
        <f>IFERROR(VLOOKUP($A383,[5]库存使用数据!$A:$E,5,0),"")</f>
        <v>257</v>
      </c>
      <c r="R383">
        <f>IFERROR(VLOOKUP($A383,[5]库存使用数据!$A:$H,8,0),"")</f>
        <v>260</v>
      </c>
      <c r="S383">
        <f>IFERROR(VLOOKUP($A383,[5]库存使用数据!$A:$K,11,0),"")</f>
        <v>350</v>
      </c>
      <c r="T383">
        <f>IFERROR(VLOOKUP($A383,[5]库存使用数据!$A:$C,3,0),"")</f>
        <v>2</v>
      </c>
      <c r="U383">
        <f>IFERROR(VLOOKUP($A383,[5]库存使用数据!$A:$F,6,0),"")</f>
        <v>0</v>
      </c>
      <c r="V383">
        <f>IFERROR(VLOOKUP($A383,[5]库存使用数据!$A:$I,9,0),"")</f>
        <v>2</v>
      </c>
      <c r="W383">
        <f>IFERROR(VLOOKUP($A383,[5]库存使用数据!$A:$L,12,0),"")</f>
        <v>1</v>
      </c>
      <c r="X383" s="23">
        <f t="shared" si="94"/>
        <v>0.00458715596330275</v>
      </c>
      <c r="Y383" s="23">
        <f t="shared" si="95"/>
        <v>0</v>
      </c>
      <c r="Z383" s="23">
        <f t="shared" si="96"/>
        <v>0.00769230769230769</v>
      </c>
      <c r="AA383" s="23">
        <f t="shared" si="97"/>
        <v>0.00285714285714286</v>
      </c>
      <c r="AB383">
        <f>IFERROR(VLOOKUP($A383,[5]库存使用数据!$A:$D,4,0),"")</f>
        <v>1.33</v>
      </c>
      <c r="AC383">
        <f>IFERROR(VLOOKUP($A383,[5]库存使用数据!$A:$G,7,0),"")</f>
        <v>0</v>
      </c>
      <c r="AD383">
        <f>IFERROR(VLOOKUP($A383,[5]库存使用数据!$A:$J,10,0),"")</f>
        <v>1.89</v>
      </c>
      <c r="AE383">
        <f>IFERROR(VLOOKUP($A383,[5]库存使用数据!$A:$M,13,0),"")</f>
        <v>0.77</v>
      </c>
      <c r="AF383" s="23">
        <f t="shared" si="98"/>
        <v>0.08317698561601</v>
      </c>
      <c r="AG383" s="23" t="str">
        <f t="shared" si="99"/>
        <v/>
      </c>
      <c r="AH383" s="23" t="str">
        <f t="shared" si="100"/>
        <v>无销量广告费为1.89</v>
      </c>
      <c r="AI383" s="23" t="str">
        <f t="shared" si="101"/>
        <v>无销量广告费为0.77</v>
      </c>
      <c r="AJ383">
        <f>IFERROR(VLOOKUP($B383,[1]库存报告使用数据!$A$1:$B$65536,2,0),0)</f>
        <v>7</v>
      </c>
      <c r="AK383">
        <f>IFERROR(VLOOKUP($B383,[1]库存报告使用数据!$A$1:$C$65536,3,0),0)</f>
        <v>4</v>
      </c>
      <c r="AL383">
        <f>IFERROR(VLOOKUP($B383,[1]库存报告使用数据!$A$1:$D$65536,4,0),0)</f>
        <v>4</v>
      </c>
      <c r="AM383">
        <f>IFERROR(VLOOKUP($B383,[1]库存报告使用数据!$A$1:$E$65536,5,0),0)</f>
        <v>3</v>
      </c>
      <c r="AN383" s="23">
        <f t="shared" si="102"/>
        <v>0.142857142857143</v>
      </c>
      <c r="AO383" s="23">
        <f t="shared" si="103"/>
        <v>0</v>
      </c>
      <c r="AP383" s="23">
        <f t="shared" si="104"/>
        <v>0</v>
      </c>
      <c r="AQ383" s="23">
        <f t="shared" si="105"/>
        <v>0</v>
      </c>
      <c r="AR383" s="38">
        <f t="shared" si="90"/>
        <v>0.142857142857143</v>
      </c>
      <c r="AS383" s="38">
        <f t="shared" si="91"/>
        <v>8.57142857142857</v>
      </c>
      <c r="AT383" s="38">
        <f t="shared" si="92"/>
        <v>-0.571428571428571</v>
      </c>
      <c r="AU383" s="33">
        <f t="shared" si="93"/>
        <v>56</v>
      </c>
      <c r="AV383" s="39">
        <f>IFERROR(时间!$B$4+AU383,"上周无销量")</f>
        <v>43346</v>
      </c>
    </row>
    <row r="384" spans="1:48">
      <c r="A384" s="35" t="s">
        <v>429</v>
      </c>
      <c r="B384" t="str">
        <f>VLOOKUP(A384,'[2]sku-asin（子）'!$A:$B,2,0)</f>
        <v>B072RD6VF2</v>
      </c>
      <c r="C384" t="str">
        <f>VLOOKUP(A384,'[2]子sku-父sku'!$A:$B,2,0)</f>
        <v>TMKTK</v>
      </c>
      <c r="D384" s="33">
        <f>IFERROR(VLOOKUP(A384,[3]库存报告使用数据处理!$A:$C,3,0),0)</f>
        <v>0</v>
      </c>
      <c r="E384" s="33">
        <f>IFERROR(VLOOKUP(A384,[3]库存报告使用数据处理!$A:$D,4,0),0)</f>
        <v>0</v>
      </c>
      <c r="F384" s="33">
        <f>IFERROR(VLOOKUP(A384,[3]库存报告使用数据处理!$A:$E,5,0),0)</f>
        <v>0</v>
      </c>
      <c r="G384" s="33">
        <f>IFERROR(VLOOKUP(A384,[3]库存报告使用数据处理!$A:$F,6,0),0)</f>
        <v>0</v>
      </c>
      <c r="H384" s="34">
        <f>IFERROR(VLOOKUP(A384,[3]库存报告使用数据处理!$A:$G,7,0),0)</f>
        <v>0</v>
      </c>
      <c r="I384">
        <f>IFERROR(VLOOKUP(A384,[4]数据处理!$A:$B,2,0),0)</f>
        <v>1</v>
      </c>
      <c r="J384" s="36">
        <f>IFERROR(VLOOKUP(A384,[4]数据处理!$A:$D,4,0),0)</f>
        <v>0</v>
      </c>
      <c r="K384" s="36">
        <f>IFERROR(VLOOKUP(A384,[4]数据处理!$A:$E,5,0),0)</f>
        <v>0</v>
      </c>
      <c r="L384" s="36">
        <f>IFERROR(VLOOKUP(A384,[4]数据处理!$A:$G,7,0),0)</f>
        <v>0</v>
      </c>
      <c r="M384">
        <f t="shared" si="89"/>
        <v>1</v>
      </c>
      <c r="N384">
        <f>IFERROR(VLOOKUP(A384,[4]数据处理!$A:$C,3,0),0)</f>
        <v>0</v>
      </c>
      <c r="O384">
        <f>IFERROR(VLOOKUP($A384,[4]数据处理!$A:$N,14,0),0)</f>
        <v>1</v>
      </c>
      <c r="P384" t="str">
        <f>IFERROR(VLOOKUP($A384,[5]库存使用数据!$A:$B,2,0),"")</f>
        <v/>
      </c>
      <c r="Q384" t="str">
        <f>IFERROR(VLOOKUP($A384,[5]库存使用数据!$A:$E,5,0),"")</f>
        <v/>
      </c>
      <c r="R384" t="str">
        <f>IFERROR(VLOOKUP($A384,[5]库存使用数据!$A:$H,8,0),"")</f>
        <v/>
      </c>
      <c r="S384" t="str">
        <f>IFERROR(VLOOKUP($A384,[5]库存使用数据!$A:$K,11,0),"")</f>
        <v/>
      </c>
      <c r="T384" t="str">
        <f>IFERROR(VLOOKUP($A384,[5]库存使用数据!$A:$C,3,0),"")</f>
        <v/>
      </c>
      <c r="U384" t="str">
        <f>IFERROR(VLOOKUP($A384,[5]库存使用数据!$A:$F,6,0),"")</f>
        <v/>
      </c>
      <c r="V384" t="str">
        <f>IFERROR(VLOOKUP($A384,[5]库存使用数据!$A:$I,9,0),"")</f>
        <v/>
      </c>
      <c r="W384" t="str">
        <f>IFERROR(VLOOKUP($A384,[5]库存使用数据!$A:$L,12,0),"")</f>
        <v/>
      </c>
      <c r="X384" s="23" t="str">
        <f t="shared" si="94"/>
        <v/>
      </c>
      <c r="Y384" s="23" t="str">
        <f t="shared" si="95"/>
        <v/>
      </c>
      <c r="Z384" s="23" t="str">
        <f t="shared" si="96"/>
        <v/>
      </c>
      <c r="AA384" s="23" t="str">
        <f t="shared" si="97"/>
        <v/>
      </c>
      <c r="AB384" t="str">
        <f>IFERROR(VLOOKUP($A384,[5]库存使用数据!$A:$D,4,0),"")</f>
        <v/>
      </c>
      <c r="AC384" t="str">
        <f>IFERROR(VLOOKUP($A384,[5]库存使用数据!$A:$G,7,0),"")</f>
        <v/>
      </c>
      <c r="AD384" t="str">
        <f>IFERROR(VLOOKUP($A384,[5]库存使用数据!$A:$J,10,0),"")</f>
        <v/>
      </c>
      <c r="AE384" t="str">
        <f>IFERROR(VLOOKUP($A384,[5]库存使用数据!$A:$M,13,0),"")</f>
        <v/>
      </c>
      <c r="AF384" s="23" t="str">
        <f t="shared" si="98"/>
        <v/>
      </c>
      <c r="AG384" s="23" t="str">
        <f t="shared" si="99"/>
        <v/>
      </c>
      <c r="AH384" s="23" t="str">
        <f t="shared" si="100"/>
        <v/>
      </c>
      <c r="AI384" s="23" t="str">
        <f t="shared" si="101"/>
        <v/>
      </c>
      <c r="AJ384">
        <f>IFERROR(VLOOKUP($B384,[1]库存报告使用数据!$A$1:$B$65536,2,0),0)</f>
        <v>1</v>
      </c>
      <c r="AK384">
        <f>IFERROR(VLOOKUP($B384,[1]库存报告使用数据!$A$1:$C$65536,3,0),0)</f>
        <v>1</v>
      </c>
      <c r="AL384">
        <f>IFERROR(VLOOKUP($B384,[1]库存报告使用数据!$A$1:$D$65536,4,0),0)</f>
        <v>1</v>
      </c>
      <c r="AM384">
        <f>IFERROR(VLOOKUP($B384,[1]库存报告使用数据!$A$1:$E$65536,5,0),0)</f>
        <v>1</v>
      </c>
      <c r="AN384" s="23">
        <f t="shared" si="102"/>
        <v>0</v>
      </c>
      <c r="AO384" s="23">
        <f t="shared" si="103"/>
        <v>0</v>
      </c>
      <c r="AP384" s="23">
        <f t="shared" si="104"/>
        <v>0</v>
      </c>
      <c r="AQ384" s="23">
        <f t="shared" si="105"/>
        <v>0</v>
      </c>
      <c r="AR384" s="38">
        <f t="shared" si="90"/>
        <v>0</v>
      </c>
      <c r="AS384" s="38">
        <f t="shared" si="91"/>
        <v>0</v>
      </c>
      <c r="AT384" s="38">
        <f t="shared" si="92"/>
        <v>1</v>
      </c>
      <c r="AU384" s="33" t="str">
        <f t="shared" si="93"/>
        <v>库存为1</v>
      </c>
      <c r="AV384" s="39" t="str">
        <f>IFERROR(时间!$B$4+AU384,"上周无销量")</f>
        <v>上周无销量</v>
      </c>
    </row>
    <row r="385" spans="1:48">
      <c r="A385" s="35" t="s">
        <v>430</v>
      </c>
      <c r="B385" t="str">
        <f>VLOOKUP(A385,'[2]sku-asin（子）'!$A:$B,2,0)</f>
        <v>B072N2WZ5J</v>
      </c>
      <c r="C385" t="str">
        <f>VLOOKUP(A385,'[2]子sku-父sku'!$A:$B,2,0)</f>
        <v>TTYCMZFCS</v>
      </c>
      <c r="D385" s="33">
        <f>IFERROR(VLOOKUP(A385,[3]库存报告使用数据处理!$A:$C,3,0),0)</f>
        <v>0</v>
      </c>
      <c r="E385" s="33">
        <f>IFERROR(VLOOKUP(A385,[3]库存报告使用数据处理!$A:$D,4,0),0)</f>
        <v>0</v>
      </c>
      <c r="F385" s="33">
        <f>IFERROR(VLOOKUP(A385,[3]库存报告使用数据处理!$A:$E,5,0),0)</f>
        <v>0</v>
      </c>
      <c r="G385" s="33">
        <f>IFERROR(VLOOKUP(A385,[3]库存报告使用数据处理!$A:$F,6,0),0)</f>
        <v>0</v>
      </c>
      <c r="H385" s="34">
        <f>IFERROR(VLOOKUP(A385,[3]库存报告使用数据处理!$A:$G,7,0),0)</f>
        <v>0</v>
      </c>
      <c r="I385">
        <f>IFERROR(VLOOKUP(A385,[4]数据处理!$A:$B,2,0),0)</f>
        <v>5</v>
      </c>
      <c r="J385" s="36">
        <f>IFERROR(VLOOKUP(A385,[4]数据处理!$A:$D,4,0),0)</f>
        <v>0</v>
      </c>
      <c r="K385" s="36">
        <f>IFERROR(VLOOKUP(A385,[4]数据处理!$A:$E,5,0),0)</f>
        <v>0</v>
      </c>
      <c r="L385" s="36">
        <f>IFERROR(VLOOKUP(A385,[4]数据处理!$A:$G,7,0),0)</f>
        <v>0</v>
      </c>
      <c r="M385">
        <f t="shared" si="89"/>
        <v>5</v>
      </c>
      <c r="N385">
        <f>IFERROR(VLOOKUP(A385,[4]数据处理!$A:$C,3,0),0)</f>
        <v>0</v>
      </c>
      <c r="O385">
        <f>IFERROR(VLOOKUP($A385,[4]数据处理!$A:$N,14,0),0)</f>
        <v>5</v>
      </c>
      <c r="P385" t="str">
        <f>IFERROR(VLOOKUP($A385,[5]库存使用数据!$A:$B,2,0),"")</f>
        <v/>
      </c>
      <c r="Q385" t="str">
        <f>IFERROR(VLOOKUP($A385,[5]库存使用数据!$A:$E,5,0),"")</f>
        <v/>
      </c>
      <c r="R385" t="str">
        <f>IFERROR(VLOOKUP($A385,[5]库存使用数据!$A:$H,8,0),"")</f>
        <v/>
      </c>
      <c r="S385" t="str">
        <f>IFERROR(VLOOKUP($A385,[5]库存使用数据!$A:$K,11,0),"")</f>
        <v/>
      </c>
      <c r="T385" t="str">
        <f>IFERROR(VLOOKUP($A385,[5]库存使用数据!$A:$C,3,0),"")</f>
        <v/>
      </c>
      <c r="U385" t="str">
        <f>IFERROR(VLOOKUP($A385,[5]库存使用数据!$A:$F,6,0),"")</f>
        <v/>
      </c>
      <c r="V385" t="str">
        <f>IFERROR(VLOOKUP($A385,[5]库存使用数据!$A:$I,9,0),"")</f>
        <v/>
      </c>
      <c r="W385" t="str">
        <f>IFERROR(VLOOKUP($A385,[5]库存使用数据!$A:$L,12,0),"")</f>
        <v/>
      </c>
      <c r="X385" s="23" t="str">
        <f t="shared" si="94"/>
        <v/>
      </c>
      <c r="Y385" s="23" t="str">
        <f t="shared" si="95"/>
        <v/>
      </c>
      <c r="Z385" s="23" t="str">
        <f t="shared" si="96"/>
        <v/>
      </c>
      <c r="AA385" s="23" t="str">
        <f t="shared" si="97"/>
        <v/>
      </c>
      <c r="AB385" t="str">
        <f>IFERROR(VLOOKUP($A385,[5]库存使用数据!$A:$D,4,0),"")</f>
        <v/>
      </c>
      <c r="AC385" t="str">
        <f>IFERROR(VLOOKUP($A385,[5]库存使用数据!$A:$G,7,0),"")</f>
        <v/>
      </c>
      <c r="AD385" t="str">
        <f>IFERROR(VLOOKUP($A385,[5]库存使用数据!$A:$J,10,0),"")</f>
        <v/>
      </c>
      <c r="AE385" t="str">
        <f>IFERROR(VLOOKUP($A385,[5]库存使用数据!$A:$M,13,0),"")</f>
        <v/>
      </c>
      <c r="AF385" s="23" t="str">
        <f t="shared" si="98"/>
        <v/>
      </c>
      <c r="AG385" s="23" t="str">
        <f t="shared" si="99"/>
        <v/>
      </c>
      <c r="AH385" s="23" t="str">
        <f t="shared" si="100"/>
        <v/>
      </c>
      <c r="AI385" s="23" t="str">
        <f t="shared" si="101"/>
        <v/>
      </c>
      <c r="AJ385">
        <f>IFERROR(VLOOKUP($B385,[1]库存报告使用数据!$A$1:$B$65536,2,0),0)</f>
        <v>1</v>
      </c>
      <c r="AK385">
        <f>IFERROR(VLOOKUP($B385,[1]库存报告使用数据!$A$1:$C$65536,3,0),0)</f>
        <v>1</v>
      </c>
      <c r="AL385">
        <f>IFERROR(VLOOKUP($B385,[1]库存报告使用数据!$A$1:$D$65536,4,0),0)</f>
        <v>2</v>
      </c>
      <c r="AM385">
        <f>IFERROR(VLOOKUP($B385,[1]库存报告使用数据!$A$1:$E$65536,5,0),0)</f>
        <v>1</v>
      </c>
      <c r="AN385" s="23">
        <f t="shared" si="102"/>
        <v>0</v>
      </c>
      <c r="AO385" s="23">
        <f t="shared" si="103"/>
        <v>0</v>
      </c>
      <c r="AP385" s="23">
        <f t="shared" si="104"/>
        <v>0</v>
      </c>
      <c r="AQ385" s="23">
        <f t="shared" si="105"/>
        <v>0</v>
      </c>
      <c r="AR385" s="38">
        <f t="shared" si="90"/>
        <v>0</v>
      </c>
      <c r="AS385" s="38">
        <f t="shared" si="91"/>
        <v>0</v>
      </c>
      <c r="AT385" s="38">
        <f t="shared" si="92"/>
        <v>5</v>
      </c>
      <c r="AU385" s="33" t="str">
        <f t="shared" si="93"/>
        <v>库存为5</v>
      </c>
      <c r="AV385" s="39" t="str">
        <f>IFERROR(时间!$B$4+AU385,"上周无销量")</f>
        <v>上周无销量</v>
      </c>
    </row>
    <row r="386" spans="1:48">
      <c r="A386" s="35" t="s">
        <v>431</v>
      </c>
      <c r="B386" t="str">
        <f>VLOOKUP(A386,'[2]sku-asin（子）'!$A:$B,2,0)</f>
        <v>B072KH5Y75</v>
      </c>
      <c r="C386" t="str">
        <f>VLOOKUP(A386,'[2]子sku-父sku'!$A:$B,2,0)</f>
        <v>TTYCMZFCS</v>
      </c>
      <c r="D386" s="33">
        <f>IFERROR(VLOOKUP(A386,[3]库存报告使用数据处理!$A:$C,3,0),0)</f>
        <v>0</v>
      </c>
      <c r="E386" s="33">
        <f>IFERROR(VLOOKUP(A386,[3]库存报告使用数据处理!$A:$D,4,0),0)</f>
        <v>0</v>
      </c>
      <c r="F386" s="33">
        <f>IFERROR(VLOOKUP(A386,[3]库存报告使用数据处理!$A:$E,5,0),0)</f>
        <v>0</v>
      </c>
      <c r="G386" s="33">
        <f>IFERROR(VLOOKUP(A386,[3]库存报告使用数据处理!$A:$F,6,0),0)</f>
        <v>0</v>
      </c>
      <c r="H386" s="34">
        <f>IFERROR(VLOOKUP(A386,[3]库存报告使用数据处理!$A:$G,7,0),0)</f>
        <v>0</v>
      </c>
      <c r="I386">
        <f>IFERROR(VLOOKUP(A386,[4]数据处理!$A:$B,2,0),0)</f>
        <v>5</v>
      </c>
      <c r="J386" s="36">
        <f>IFERROR(VLOOKUP(A386,[4]数据处理!$A:$D,4,0),0)</f>
        <v>0</v>
      </c>
      <c r="K386" s="36">
        <f>IFERROR(VLOOKUP(A386,[4]数据处理!$A:$E,5,0),0)</f>
        <v>0</v>
      </c>
      <c r="L386" s="36">
        <f>IFERROR(VLOOKUP(A386,[4]数据处理!$A:$G,7,0),0)</f>
        <v>0</v>
      </c>
      <c r="M386">
        <f t="shared" si="89"/>
        <v>5</v>
      </c>
      <c r="N386">
        <f>IFERROR(VLOOKUP(A386,[4]数据处理!$A:$C,3,0),0)</f>
        <v>0</v>
      </c>
      <c r="O386">
        <f>IFERROR(VLOOKUP($A386,[4]数据处理!$A:$N,14,0),0)</f>
        <v>5</v>
      </c>
      <c r="P386" t="str">
        <f>IFERROR(VLOOKUP($A386,[5]库存使用数据!$A:$B,2,0),"")</f>
        <v/>
      </c>
      <c r="Q386" t="str">
        <f>IFERROR(VLOOKUP($A386,[5]库存使用数据!$A:$E,5,0),"")</f>
        <v/>
      </c>
      <c r="R386" t="str">
        <f>IFERROR(VLOOKUP($A386,[5]库存使用数据!$A:$H,8,0),"")</f>
        <v/>
      </c>
      <c r="S386" t="str">
        <f>IFERROR(VLOOKUP($A386,[5]库存使用数据!$A:$K,11,0),"")</f>
        <v/>
      </c>
      <c r="T386" t="str">
        <f>IFERROR(VLOOKUP($A386,[5]库存使用数据!$A:$C,3,0),"")</f>
        <v/>
      </c>
      <c r="U386" t="str">
        <f>IFERROR(VLOOKUP($A386,[5]库存使用数据!$A:$F,6,0),"")</f>
        <v/>
      </c>
      <c r="V386" t="str">
        <f>IFERROR(VLOOKUP($A386,[5]库存使用数据!$A:$I,9,0),"")</f>
        <v/>
      </c>
      <c r="W386" t="str">
        <f>IFERROR(VLOOKUP($A386,[5]库存使用数据!$A:$L,12,0),"")</f>
        <v/>
      </c>
      <c r="X386" s="23" t="str">
        <f t="shared" si="94"/>
        <v/>
      </c>
      <c r="Y386" s="23" t="str">
        <f t="shared" si="95"/>
        <v/>
      </c>
      <c r="Z386" s="23" t="str">
        <f t="shared" si="96"/>
        <v/>
      </c>
      <c r="AA386" s="23" t="str">
        <f t="shared" si="97"/>
        <v/>
      </c>
      <c r="AB386" t="str">
        <f>IFERROR(VLOOKUP($A386,[5]库存使用数据!$A:$D,4,0),"")</f>
        <v/>
      </c>
      <c r="AC386" t="str">
        <f>IFERROR(VLOOKUP($A386,[5]库存使用数据!$A:$G,7,0),"")</f>
        <v/>
      </c>
      <c r="AD386" t="str">
        <f>IFERROR(VLOOKUP($A386,[5]库存使用数据!$A:$J,10,0),"")</f>
        <v/>
      </c>
      <c r="AE386" t="str">
        <f>IFERROR(VLOOKUP($A386,[5]库存使用数据!$A:$M,13,0),"")</f>
        <v/>
      </c>
      <c r="AF386" s="23" t="str">
        <f t="shared" si="98"/>
        <v/>
      </c>
      <c r="AG386" s="23" t="str">
        <f t="shared" si="99"/>
        <v/>
      </c>
      <c r="AH386" s="23" t="str">
        <f t="shared" si="100"/>
        <v/>
      </c>
      <c r="AI386" s="23" t="str">
        <f t="shared" si="101"/>
        <v/>
      </c>
      <c r="AJ386">
        <f>IFERROR(VLOOKUP($B386,[1]库存报告使用数据!$A$1:$B$65536,2,0),0)</f>
        <v>1</v>
      </c>
      <c r="AK386">
        <f>IFERROR(VLOOKUP($B386,[1]库存报告使用数据!$A$1:$C$65536,3,0),0)</f>
        <v>0</v>
      </c>
      <c r="AL386">
        <f>IFERROR(VLOOKUP($B386,[1]库存报告使用数据!$A$1:$D$65536,4,0),0)</f>
        <v>2</v>
      </c>
      <c r="AM386">
        <f>IFERROR(VLOOKUP($B386,[1]库存报告使用数据!$A$1:$E$65536,5,0),0)</f>
        <v>0</v>
      </c>
      <c r="AN386" s="23">
        <f t="shared" si="102"/>
        <v>0</v>
      </c>
      <c r="AO386" s="23" t="str">
        <f t="shared" si="103"/>
        <v/>
      </c>
      <c r="AP386" s="23">
        <f t="shared" si="104"/>
        <v>0</v>
      </c>
      <c r="AQ386" s="23" t="str">
        <f t="shared" si="105"/>
        <v/>
      </c>
      <c r="AR386" s="38">
        <f t="shared" si="90"/>
        <v>0</v>
      </c>
      <c r="AS386" s="38">
        <f t="shared" si="91"/>
        <v>0</v>
      </c>
      <c r="AT386" s="38">
        <f t="shared" si="92"/>
        <v>5</v>
      </c>
      <c r="AU386" s="33" t="str">
        <f t="shared" si="93"/>
        <v>库存为5</v>
      </c>
      <c r="AV386" s="39" t="str">
        <f>IFERROR(时间!$B$4+AU386,"上周无销量")</f>
        <v>上周无销量</v>
      </c>
    </row>
    <row r="387" spans="1:48">
      <c r="A387" s="35" t="s">
        <v>432</v>
      </c>
      <c r="B387" t="str">
        <f>VLOOKUP(A387,'[2]sku-asin（子）'!$A:$B,2,0)</f>
        <v>B071K8MVBL</v>
      </c>
      <c r="C387" t="str">
        <f>VLOOKUP(A387,'[2]子sku-父sku'!$A:$B,2,0)</f>
        <v>TTYCMZFCS</v>
      </c>
      <c r="D387" s="33">
        <f>IFERROR(VLOOKUP(A387,[3]库存报告使用数据处理!$A:$C,3,0),0)</f>
        <v>0</v>
      </c>
      <c r="E387" s="33">
        <f>IFERROR(VLOOKUP(A387,[3]库存报告使用数据处理!$A:$D,4,0),0)</f>
        <v>0</v>
      </c>
      <c r="F387" s="33">
        <f>IFERROR(VLOOKUP(A387,[3]库存报告使用数据处理!$A:$E,5,0),0)</f>
        <v>0</v>
      </c>
      <c r="G387" s="33">
        <f>IFERROR(VLOOKUP(A387,[3]库存报告使用数据处理!$A:$F,6,0),0)</f>
        <v>0</v>
      </c>
      <c r="H387" s="34">
        <f>IFERROR(VLOOKUP(A387,[3]库存报告使用数据处理!$A:$G,7,0),0)</f>
        <v>0</v>
      </c>
      <c r="I387">
        <f>IFERROR(VLOOKUP(A387,[4]数据处理!$A:$B,2,0),0)</f>
        <v>10</v>
      </c>
      <c r="J387" s="36">
        <f>IFERROR(VLOOKUP(A387,[4]数据处理!$A:$D,4,0),0)</f>
        <v>0</v>
      </c>
      <c r="K387" s="36">
        <f>IFERROR(VLOOKUP(A387,[4]数据处理!$A:$E,5,0),0)</f>
        <v>0</v>
      </c>
      <c r="L387" s="36">
        <f>IFERROR(VLOOKUP(A387,[4]数据处理!$A:$G,7,0),0)</f>
        <v>0</v>
      </c>
      <c r="M387">
        <f t="shared" si="89"/>
        <v>10</v>
      </c>
      <c r="N387">
        <f>IFERROR(VLOOKUP(A387,[4]数据处理!$A:$C,3,0),0)</f>
        <v>0</v>
      </c>
      <c r="O387">
        <f>IFERROR(VLOOKUP($A387,[4]数据处理!$A:$N,14,0),0)</f>
        <v>10</v>
      </c>
      <c r="P387" t="str">
        <f>IFERROR(VLOOKUP($A387,[5]库存使用数据!$A:$B,2,0),"")</f>
        <v/>
      </c>
      <c r="Q387" t="str">
        <f>IFERROR(VLOOKUP($A387,[5]库存使用数据!$A:$E,5,0),"")</f>
        <v/>
      </c>
      <c r="R387" t="str">
        <f>IFERROR(VLOOKUP($A387,[5]库存使用数据!$A:$H,8,0),"")</f>
        <v/>
      </c>
      <c r="S387" t="str">
        <f>IFERROR(VLOOKUP($A387,[5]库存使用数据!$A:$K,11,0),"")</f>
        <v/>
      </c>
      <c r="T387" t="str">
        <f>IFERROR(VLOOKUP($A387,[5]库存使用数据!$A:$C,3,0),"")</f>
        <v/>
      </c>
      <c r="U387" t="str">
        <f>IFERROR(VLOOKUP($A387,[5]库存使用数据!$A:$F,6,0),"")</f>
        <v/>
      </c>
      <c r="V387" t="str">
        <f>IFERROR(VLOOKUP($A387,[5]库存使用数据!$A:$I,9,0),"")</f>
        <v/>
      </c>
      <c r="W387" t="str">
        <f>IFERROR(VLOOKUP($A387,[5]库存使用数据!$A:$L,12,0),"")</f>
        <v/>
      </c>
      <c r="X387" s="23" t="str">
        <f t="shared" si="94"/>
        <v/>
      </c>
      <c r="Y387" s="23" t="str">
        <f t="shared" si="95"/>
        <v/>
      </c>
      <c r="Z387" s="23" t="str">
        <f t="shared" si="96"/>
        <v/>
      </c>
      <c r="AA387" s="23" t="str">
        <f t="shared" si="97"/>
        <v/>
      </c>
      <c r="AB387" t="str">
        <f>IFERROR(VLOOKUP($A387,[5]库存使用数据!$A:$D,4,0),"")</f>
        <v/>
      </c>
      <c r="AC387" t="str">
        <f>IFERROR(VLOOKUP($A387,[5]库存使用数据!$A:$G,7,0),"")</f>
        <v/>
      </c>
      <c r="AD387" t="str">
        <f>IFERROR(VLOOKUP($A387,[5]库存使用数据!$A:$J,10,0),"")</f>
        <v/>
      </c>
      <c r="AE387" t="str">
        <f>IFERROR(VLOOKUP($A387,[5]库存使用数据!$A:$M,13,0),"")</f>
        <v/>
      </c>
      <c r="AF387" s="23" t="str">
        <f t="shared" si="98"/>
        <v/>
      </c>
      <c r="AG387" s="23" t="str">
        <f t="shared" si="99"/>
        <v/>
      </c>
      <c r="AH387" s="23" t="str">
        <f t="shared" si="100"/>
        <v/>
      </c>
      <c r="AI387" s="23" t="str">
        <f t="shared" si="101"/>
        <v/>
      </c>
      <c r="AJ387">
        <f>IFERROR(VLOOKUP($B387,[1]库存报告使用数据!$A$1:$B$65536,2,0),0)</f>
        <v>1</v>
      </c>
      <c r="AK387">
        <f>IFERROR(VLOOKUP($B387,[1]库存报告使用数据!$A$1:$C$65536,3,0),0)</f>
        <v>1</v>
      </c>
      <c r="AL387">
        <f>IFERROR(VLOOKUP($B387,[1]库存报告使用数据!$A$1:$D$65536,4,0),0)</f>
        <v>0</v>
      </c>
      <c r="AM387">
        <f>IFERROR(VLOOKUP($B387,[1]库存报告使用数据!$A$1:$E$65536,5,0),0)</f>
        <v>1</v>
      </c>
      <c r="AN387" s="23">
        <f t="shared" si="102"/>
        <v>0</v>
      </c>
      <c r="AO387" s="23">
        <f t="shared" si="103"/>
        <v>0</v>
      </c>
      <c r="AP387" s="23" t="str">
        <f t="shared" si="104"/>
        <v/>
      </c>
      <c r="AQ387" s="23">
        <f t="shared" si="105"/>
        <v>0</v>
      </c>
      <c r="AR387" s="38">
        <f t="shared" si="90"/>
        <v>0</v>
      </c>
      <c r="AS387" s="38">
        <f t="shared" si="91"/>
        <v>0</v>
      </c>
      <c r="AT387" s="38">
        <f t="shared" si="92"/>
        <v>10</v>
      </c>
      <c r="AU387" s="33" t="str">
        <f t="shared" si="93"/>
        <v>库存为10</v>
      </c>
      <c r="AV387" s="39" t="str">
        <f>IFERROR(时间!$B$4+AU387,"上周无销量")</f>
        <v>上周无销量</v>
      </c>
    </row>
    <row r="388" spans="1:48">
      <c r="A388" s="35" t="s">
        <v>433</v>
      </c>
      <c r="B388" t="str">
        <f>VLOOKUP(A388,'[2]sku-asin（子）'!$A:$B,2,0)</f>
        <v>B0721PYJL2</v>
      </c>
      <c r="C388" t="str">
        <f>VLOOKUP(A388,'[2]子sku-父sku'!$A:$B,2,0)</f>
        <v>TTYCYCSH</v>
      </c>
      <c r="D388" s="33">
        <f>IFERROR(VLOOKUP(A388,[3]库存报告使用数据处理!$A:$C,3,0),0)</f>
        <v>0</v>
      </c>
      <c r="E388" s="33">
        <f>IFERROR(VLOOKUP(A388,[3]库存报告使用数据处理!$A:$D,4,0),0)</f>
        <v>0</v>
      </c>
      <c r="F388" s="33">
        <f>IFERROR(VLOOKUP(A388,[3]库存报告使用数据处理!$A:$E,5,0),0)</f>
        <v>0</v>
      </c>
      <c r="G388" s="33">
        <f>IFERROR(VLOOKUP(A388,[3]库存报告使用数据处理!$A:$F,6,0),0)</f>
        <v>0</v>
      </c>
      <c r="H388" s="34">
        <f>IFERROR(VLOOKUP(A388,[3]库存报告使用数据处理!$A:$G,7,0),0)</f>
        <v>0</v>
      </c>
      <c r="I388">
        <f>IFERROR(VLOOKUP(A388,[4]数据处理!$A:$B,2,0),0)</f>
        <v>2</v>
      </c>
      <c r="J388" s="36">
        <f>IFERROR(VLOOKUP(A388,[4]数据处理!$A:$D,4,0),0)</f>
        <v>0</v>
      </c>
      <c r="K388" s="36">
        <f>IFERROR(VLOOKUP(A388,[4]数据处理!$A:$E,5,0),0)</f>
        <v>0</v>
      </c>
      <c r="L388" s="36">
        <f>IFERROR(VLOOKUP(A388,[4]数据处理!$A:$G,7,0),0)</f>
        <v>0</v>
      </c>
      <c r="M388">
        <f t="shared" si="89"/>
        <v>2</v>
      </c>
      <c r="N388">
        <f>IFERROR(VLOOKUP(A388,[4]数据处理!$A:$C,3,0),0)</f>
        <v>0</v>
      </c>
      <c r="O388">
        <f>IFERROR(VLOOKUP($A388,[4]数据处理!$A:$N,14,0),0)</f>
        <v>2</v>
      </c>
      <c r="P388" t="str">
        <f>IFERROR(VLOOKUP($A388,[5]库存使用数据!$A:$B,2,0),"")</f>
        <v/>
      </c>
      <c r="Q388" t="str">
        <f>IFERROR(VLOOKUP($A388,[5]库存使用数据!$A:$E,5,0),"")</f>
        <v/>
      </c>
      <c r="R388" t="str">
        <f>IFERROR(VLOOKUP($A388,[5]库存使用数据!$A:$H,8,0),"")</f>
        <v/>
      </c>
      <c r="S388" t="str">
        <f>IFERROR(VLOOKUP($A388,[5]库存使用数据!$A:$K,11,0),"")</f>
        <v/>
      </c>
      <c r="T388" t="str">
        <f>IFERROR(VLOOKUP($A388,[5]库存使用数据!$A:$C,3,0),"")</f>
        <v/>
      </c>
      <c r="U388" t="str">
        <f>IFERROR(VLOOKUP($A388,[5]库存使用数据!$A:$F,6,0),"")</f>
        <v/>
      </c>
      <c r="V388" t="str">
        <f>IFERROR(VLOOKUP($A388,[5]库存使用数据!$A:$I,9,0),"")</f>
        <v/>
      </c>
      <c r="W388" t="str">
        <f>IFERROR(VLOOKUP($A388,[5]库存使用数据!$A:$L,12,0),"")</f>
        <v/>
      </c>
      <c r="X388" s="23" t="str">
        <f t="shared" si="94"/>
        <v/>
      </c>
      <c r="Y388" s="23" t="str">
        <f t="shared" si="95"/>
        <v/>
      </c>
      <c r="Z388" s="23" t="str">
        <f t="shared" si="96"/>
        <v/>
      </c>
      <c r="AA388" s="23" t="str">
        <f t="shared" si="97"/>
        <v/>
      </c>
      <c r="AB388" t="str">
        <f>IFERROR(VLOOKUP($A388,[5]库存使用数据!$A:$D,4,0),"")</f>
        <v/>
      </c>
      <c r="AC388" t="str">
        <f>IFERROR(VLOOKUP($A388,[5]库存使用数据!$A:$G,7,0),"")</f>
        <v/>
      </c>
      <c r="AD388" t="str">
        <f>IFERROR(VLOOKUP($A388,[5]库存使用数据!$A:$J,10,0),"")</f>
        <v/>
      </c>
      <c r="AE388" t="str">
        <f>IFERROR(VLOOKUP($A388,[5]库存使用数据!$A:$M,13,0),"")</f>
        <v/>
      </c>
      <c r="AF388" s="23" t="str">
        <f t="shared" si="98"/>
        <v/>
      </c>
      <c r="AG388" s="23" t="str">
        <f t="shared" si="99"/>
        <v/>
      </c>
      <c r="AH388" s="23" t="str">
        <f t="shared" si="100"/>
        <v/>
      </c>
      <c r="AI388" s="23" t="str">
        <f t="shared" si="101"/>
        <v/>
      </c>
      <c r="AJ388">
        <f>IFERROR(VLOOKUP($B388,[1]库存报告使用数据!$A$1:$B$65536,2,0),0)</f>
        <v>2</v>
      </c>
      <c r="AK388">
        <f>IFERROR(VLOOKUP($B388,[1]库存报告使用数据!$A$1:$C$65536,3,0),0)</f>
        <v>0</v>
      </c>
      <c r="AL388">
        <f>IFERROR(VLOOKUP($B388,[1]库存报告使用数据!$A$1:$D$65536,4,0),0)</f>
        <v>2</v>
      </c>
      <c r="AM388">
        <f>IFERROR(VLOOKUP($B388,[1]库存报告使用数据!$A$1:$E$65536,5,0),0)</f>
        <v>0</v>
      </c>
      <c r="AN388" s="23">
        <f t="shared" si="102"/>
        <v>0</v>
      </c>
      <c r="AO388" s="23" t="str">
        <f t="shared" si="103"/>
        <v/>
      </c>
      <c r="AP388" s="23">
        <f t="shared" si="104"/>
        <v>0</v>
      </c>
      <c r="AQ388" s="23" t="str">
        <f t="shared" si="105"/>
        <v/>
      </c>
      <c r="AR388" s="38">
        <f t="shared" si="90"/>
        <v>0</v>
      </c>
      <c r="AS388" s="38">
        <f t="shared" si="91"/>
        <v>0</v>
      </c>
      <c r="AT388" s="38">
        <f t="shared" si="92"/>
        <v>2</v>
      </c>
      <c r="AU388" s="33" t="str">
        <f t="shared" si="93"/>
        <v>库存为2</v>
      </c>
      <c r="AV388" s="39" t="str">
        <f>IFERROR(时间!$B$4+AU388,"上周无销量")</f>
        <v>上周无销量</v>
      </c>
    </row>
    <row r="389" spans="1:48">
      <c r="A389" s="35" t="s">
        <v>434</v>
      </c>
      <c r="B389" t="str">
        <f>VLOOKUP(A389,'[2]sku-asin（子）'!$A:$B,2,0)</f>
        <v>B074NYX45B</v>
      </c>
      <c r="C389" t="str">
        <f>VLOOKUP(A389,'[2]子sku-父sku'!$A:$B,2,0)</f>
        <v>XTHQ</v>
      </c>
      <c r="D389" s="33">
        <f>IFERROR(VLOOKUP(A389,[3]库存报告使用数据处理!$A:$C,3,0),0)</f>
        <v>0</v>
      </c>
      <c r="E389" s="33">
        <f>IFERROR(VLOOKUP(A389,[3]库存报告使用数据处理!$A:$D,4,0),0)</f>
        <v>0</v>
      </c>
      <c r="F389" s="33">
        <f>IFERROR(VLOOKUP(A389,[3]库存报告使用数据处理!$A:$E,5,0),0)</f>
        <v>0</v>
      </c>
      <c r="G389" s="33">
        <f>IFERROR(VLOOKUP(A389,[3]库存报告使用数据处理!$A:$F,6,0),0)</f>
        <v>0</v>
      </c>
      <c r="H389" s="34">
        <f>IFERROR(VLOOKUP(A389,[3]库存报告使用数据处理!$A:$G,7,0),0)</f>
        <v>0</v>
      </c>
      <c r="I389">
        <f>IFERROR(VLOOKUP(A389,[4]数据处理!$A:$B,2,0),0)</f>
        <v>38</v>
      </c>
      <c r="J389" s="36">
        <f>IFERROR(VLOOKUP(A389,[4]数据处理!$A:$D,4,0),0)</f>
        <v>0</v>
      </c>
      <c r="K389" s="36">
        <f>IFERROR(VLOOKUP(A389,[4]数据处理!$A:$E,5,0),0)</f>
        <v>0</v>
      </c>
      <c r="L389" s="36">
        <f>IFERROR(VLOOKUP(A389,[4]数据处理!$A:$G,7,0),0)</f>
        <v>0</v>
      </c>
      <c r="M389">
        <f t="shared" ref="M389:M401" si="106">SUM(I389:L389)</f>
        <v>38</v>
      </c>
      <c r="N389">
        <f>IFERROR(VLOOKUP(A389,[4]数据处理!$A:$C,3,0),0)</f>
        <v>0</v>
      </c>
      <c r="O389">
        <f>IFERROR(VLOOKUP($A389,[4]数据处理!$A:$N,14,0),0)</f>
        <v>38</v>
      </c>
      <c r="P389">
        <f>IFERROR(VLOOKUP($A389,[5]库存使用数据!$A:$B,2,0),"")</f>
        <v>10</v>
      </c>
      <c r="Q389">
        <f>IFERROR(VLOOKUP($A389,[5]库存使用数据!$A:$E,5,0),"")</f>
        <v>12</v>
      </c>
      <c r="R389">
        <f>IFERROR(VLOOKUP($A389,[5]库存使用数据!$A:$H,8,0),"")</f>
        <v>19</v>
      </c>
      <c r="S389">
        <f>IFERROR(VLOOKUP($A389,[5]库存使用数据!$A:$K,11,0),"")</f>
        <v>9</v>
      </c>
      <c r="T389">
        <f>IFERROR(VLOOKUP($A389,[5]库存使用数据!$A:$C,3,0),"")</f>
        <v>0</v>
      </c>
      <c r="U389">
        <f>IFERROR(VLOOKUP($A389,[5]库存使用数据!$A:$F,6,0),"")</f>
        <v>0</v>
      </c>
      <c r="V389">
        <f>IFERROR(VLOOKUP($A389,[5]库存使用数据!$A:$I,9,0),"")</f>
        <v>0</v>
      </c>
      <c r="W389">
        <f>IFERROR(VLOOKUP($A389,[5]库存使用数据!$A:$L,12,0),"")</f>
        <v>0</v>
      </c>
      <c r="X389" s="23">
        <f t="shared" si="94"/>
        <v>0</v>
      </c>
      <c r="Y389" s="23">
        <f t="shared" si="95"/>
        <v>0</v>
      </c>
      <c r="Z389" s="23">
        <f t="shared" si="96"/>
        <v>0</v>
      </c>
      <c r="AA389" s="23">
        <f t="shared" si="97"/>
        <v>0</v>
      </c>
      <c r="AB389">
        <f>IFERROR(VLOOKUP($A389,[5]库存使用数据!$A:$D,4,0),"")</f>
        <v>0</v>
      </c>
      <c r="AC389">
        <f>IFERROR(VLOOKUP($A389,[5]库存使用数据!$A:$G,7,0),"")</f>
        <v>0</v>
      </c>
      <c r="AD389">
        <f>IFERROR(VLOOKUP($A389,[5]库存使用数据!$A:$J,10,0),"")</f>
        <v>0</v>
      </c>
      <c r="AE389">
        <f>IFERROR(VLOOKUP($A389,[5]库存使用数据!$A:$M,13,0),"")</f>
        <v>0</v>
      </c>
      <c r="AF389" s="23" t="str">
        <f t="shared" si="98"/>
        <v/>
      </c>
      <c r="AG389" s="23" t="str">
        <f t="shared" si="99"/>
        <v/>
      </c>
      <c r="AH389" s="23" t="str">
        <f t="shared" si="100"/>
        <v/>
      </c>
      <c r="AI389" s="23" t="str">
        <f t="shared" si="101"/>
        <v/>
      </c>
      <c r="AJ389">
        <f>IFERROR(VLOOKUP($B389,[1]库存报告使用数据!$A$1:$B$65536,2,0),0)</f>
        <v>0</v>
      </c>
      <c r="AK389">
        <f>IFERROR(VLOOKUP($B389,[1]库存报告使用数据!$A$1:$C$65536,3,0),0)</f>
        <v>1</v>
      </c>
      <c r="AL389">
        <f>IFERROR(VLOOKUP($B389,[1]库存报告使用数据!$A$1:$D$65536,4,0),0)</f>
        <v>1</v>
      </c>
      <c r="AM389">
        <f>IFERROR(VLOOKUP($B389,[1]库存报告使用数据!$A$1:$E$65536,5,0),0)</f>
        <v>1</v>
      </c>
      <c r="AN389" s="23" t="str">
        <f t="shared" si="102"/>
        <v/>
      </c>
      <c r="AO389" s="23">
        <f t="shared" si="103"/>
        <v>0</v>
      </c>
      <c r="AP389" s="23">
        <f t="shared" si="104"/>
        <v>0</v>
      </c>
      <c r="AQ389" s="23">
        <f t="shared" si="105"/>
        <v>0</v>
      </c>
      <c r="AR389" s="38">
        <f t="shared" ref="AR389:AR401" si="107">IFERROR(D389/7,"")</f>
        <v>0</v>
      </c>
      <c r="AS389" s="38">
        <f t="shared" ref="AS389:AS401" si="108">IF(AR389="","上周无销量",60*AR389)</f>
        <v>0</v>
      </c>
      <c r="AT389" s="38">
        <f t="shared" ref="AT389:AT401" si="109">IF(AS389="上周无销量","上周无销量/总库存"&amp;M389,M389-AS389)</f>
        <v>38</v>
      </c>
      <c r="AU389" s="33" t="str">
        <f t="shared" ref="AU389:AU401" si="110">IF(AR389="","库存为"&amp;M389,IF(AS389=0,"库存为"&amp;M389,INT(M389/AR389)))</f>
        <v>库存为38</v>
      </c>
      <c r="AV389" s="39" t="str">
        <f>IFERROR(时间!$B$4+AU389,"上周无销量")</f>
        <v>上周无销量</v>
      </c>
    </row>
    <row r="390" spans="1:48">
      <c r="A390" s="35" t="s">
        <v>435</v>
      </c>
      <c r="B390" t="str">
        <f>VLOOKUP(A390,'[2]sku-asin（子）'!$A:$B,2,0)</f>
        <v>B074NWMYV7</v>
      </c>
      <c r="C390" t="str">
        <f>VLOOKUP(A390,'[2]子sku-父sku'!$A:$B,2,0)</f>
        <v>XTHQ</v>
      </c>
      <c r="D390" s="33">
        <f>IFERROR(VLOOKUP(A390,[3]库存报告使用数据处理!$A:$C,3,0),0)</f>
        <v>0</v>
      </c>
      <c r="E390" s="33">
        <f>IFERROR(VLOOKUP(A390,[3]库存报告使用数据处理!$A:$D,4,0),0)</f>
        <v>0</v>
      </c>
      <c r="F390" s="33">
        <f>IFERROR(VLOOKUP(A390,[3]库存报告使用数据处理!$A:$E,5,0),0)</f>
        <v>0</v>
      </c>
      <c r="G390" s="33">
        <f>IFERROR(VLOOKUP(A390,[3]库存报告使用数据处理!$A:$F,6,0),0)</f>
        <v>0</v>
      </c>
      <c r="H390" s="34">
        <f>IFERROR(VLOOKUP(A390,[3]库存报告使用数据处理!$A:$G,7,0),0)</f>
        <v>0</v>
      </c>
      <c r="I390">
        <f>IFERROR(VLOOKUP(A390,[4]数据处理!$A:$B,2,0),0)</f>
        <v>44</v>
      </c>
      <c r="J390" s="36">
        <f>IFERROR(VLOOKUP(A390,[4]数据处理!$A:$D,4,0),0)</f>
        <v>0</v>
      </c>
      <c r="K390" s="36">
        <f>IFERROR(VLOOKUP(A390,[4]数据处理!$A:$E,5,0),0)</f>
        <v>0</v>
      </c>
      <c r="L390" s="36">
        <f>IFERROR(VLOOKUP(A390,[4]数据处理!$A:$G,7,0),0)</f>
        <v>0</v>
      </c>
      <c r="M390">
        <f t="shared" si="106"/>
        <v>44</v>
      </c>
      <c r="N390">
        <f>IFERROR(VLOOKUP(A390,[4]数据处理!$A:$C,3,0),0)</f>
        <v>0</v>
      </c>
      <c r="O390">
        <f>IFERROR(VLOOKUP($A390,[4]数据处理!$A:$N,14,0),0)</f>
        <v>44</v>
      </c>
      <c r="P390">
        <f>IFERROR(VLOOKUP($A390,[5]库存使用数据!$A:$B,2,0),"")</f>
        <v>13</v>
      </c>
      <c r="Q390">
        <f>IFERROR(VLOOKUP($A390,[5]库存使用数据!$A:$E,5,0),"")</f>
        <v>29</v>
      </c>
      <c r="R390">
        <f>IFERROR(VLOOKUP($A390,[5]库存使用数据!$A:$H,8,0),"")</f>
        <v>57</v>
      </c>
      <c r="S390">
        <f>IFERROR(VLOOKUP($A390,[5]库存使用数据!$A:$K,11,0),"")</f>
        <v>48</v>
      </c>
      <c r="T390">
        <f>IFERROR(VLOOKUP($A390,[5]库存使用数据!$A:$C,3,0),"")</f>
        <v>0</v>
      </c>
      <c r="U390">
        <f>IFERROR(VLOOKUP($A390,[5]库存使用数据!$A:$F,6,0),"")</f>
        <v>0</v>
      </c>
      <c r="V390">
        <f>IFERROR(VLOOKUP($A390,[5]库存使用数据!$A:$I,9,0),"")</f>
        <v>0</v>
      </c>
      <c r="W390">
        <f>IFERROR(VLOOKUP($A390,[5]库存使用数据!$A:$L,12,0),"")</f>
        <v>0</v>
      </c>
      <c r="X390" s="23">
        <f t="shared" ref="X390:X401" si="111">IFERROR(T390/P390,"")</f>
        <v>0</v>
      </c>
      <c r="Y390" s="23">
        <f t="shared" ref="Y390:Y401" si="112">IFERROR(U390/Q390,"")</f>
        <v>0</v>
      </c>
      <c r="Z390" s="23">
        <f t="shared" ref="Z390:Z401" si="113">IFERROR(V390/R390,"")</f>
        <v>0</v>
      </c>
      <c r="AA390" s="23">
        <f t="shared" ref="AA390:AA401" si="114">IFERROR(W390/S390,"")</f>
        <v>0</v>
      </c>
      <c r="AB390">
        <f>IFERROR(VLOOKUP($A390,[5]库存使用数据!$A:$D,4,0),"")</f>
        <v>0</v>
      </c>
      <c r="AC390">
        <f>IFERROR(VLOOKUP($A390,[5]库存使用数据!$A:$G,7,0),"")</f>
        <v>0</v>
      </c>
      <c r="AD390">
        <f>IFERROR(VLOOKUP($A390,[5]库存使用数据!$A:$J,10,0),"")</f>
        <v>0</v>
      </c>
      <c r="AE390">
        <f>IFERROR(VLOOKUP($A390,[5]库存使用数据!$A:$M,13,0),"")</f>
        <v>0</v>
      </c>
      <c r="AF390" s="23" t="str">
        <f t="shared" ref="AF390:AF401" si="115">IF(OR(AB390="",AB390=0),"",IF(AND(D390*$H390=0,AB390&gt;0),"无销量广告费为"&amp;AB390,AB390/(D390*$H390)))</f>
        <v/>
      </c>
      <c r="AG390" s="23" t="str">
        <f t="shared" ref="AG390:AG401" si="116">IF(OR(AC390="",AC390=0),"",IF(AND(E390*$H390=0,AC390&gt;0),"无销量广告费为"&amp;AC390,AC390/(E390*$H390)))</f>
        <v/>
      </c>
      <c r="AH390" s="23" t="str">
        <f t="shared" ref="AH390:AH401" si="117">IF(OR(AD390="",AD390=0),"",IF(AND(F390*$H390=0,AD390&gt;0),"无销量广告费为"&amp;AD390,AD390/(F390*$H390)))</f>
        <v/>
      </c>
      <c r="AI390" s="23" t="str">
        <f t="shared" ref="AI390:AI401" si="118">IF(OR(AE390="",AE390=0),"",IF(AND(G390*$H390=0,AE390&gt;0),"无销量广告费为"&amp;AE390,AE390/(G390*$H390)))</f>
        <v/>
      </c>
      <c r="AJ390">
        <f>IFERROR(VLOOKUP($B390,[1]库存报告使用数据!$A$1:$B$65536,2,0),0)</f>
        <v>0</v>
      </c>
      <c r="AK390">
        <f>IFERROR(VLOOKUP($B390,[1]库存报告使用数据!$A$1:$C$65536,3,0),0)</f>
        <v>3</v>
      </c>
      <c r="AL390">
        <f>IFERROR(VLOOKUP($B390,[1]库存报告使用数据!$A$1:$D$65536,4,0),0)</f>
        <v>1</v>
      </c>
      <c r="AM390">
        <f>IFERROR(VLOOKUP($B390,[1]库存报告使用数据!$A$1:$E$65536,5,0),0)</f>
        <v>1</v>
      </c>
      <c r="AN390" s="23" t="str">
        <f t="shared" ref="AN390:AN401" si="119">IFERROR(D390/AJ390,"")</f>
        <v/>
      </c>
      <c r="AO390" s="23">
        <f t="shared" ref="AO390:AO401" si="120">IFERROR(E390/AK390,"")</f>
        <v>0</v>
      </c>
      <c r="AP390" s="23">
        <f t="shared" ref="AP390:AP401" si="121">IFERROR(F390/AL390,"")</f>
        <v>0</v>
      </c>
      <c r="AQ390" s="23">
        <f t="shared" ref="AQ390:AQ401" si="122">IFERROR(G390/AM390,"")</f>
        <v>0</v>
      </c>
      <c r="AR390" s="38">
        <f t="shared" si="107"/>
        <v>0</v>
      </c>
      <c r="AS390" s="38">
        <f t="shared" si="108"/>
        <v>0</v>
      </c>
      <c r="AT390" s="38">
        <f t="shared" si="109"/>
        <v>44</v>
      </c>
      <c r="AU390" s="33" t="str">
        <f t="shared" si="110"/>
        <v>库存为44</v>
      </c>
      <c r="AV390" s="39" t="str">
        <f>IFERROR(时间!$B$4+AU390,"上周无销量")</f>
        <v>上周无销量</v>
      </c>
    </row>
    <row r="391" spans="1:48">
      <c r="A391" s="35" t="s">
        <v>436</v>
      </c>
      <c r="B391" t="str">
        <f>VLOOKUP(A391,'[2]sku-asin（子）'!$A:$B,2,0)</f>
        <v>B074NXL8BJ</v>
      </c>
      <c r="C391" t="str">
        <f>VLOOKUP(A391,'[2]子sku-父sku'!$A:$B,2,0)</f>
        <v>XTHQ</v>
      </c>
      <c r="D391" s="33">
        <f>IFERROR(VLOOKUP(A391,[3]库存报告使用数据处理!$A:$C,3,0),0)</f>
        <v>0</v>
      </c>
      <c r="E391" s="33">
        <f>IFERROR(VLOOKUP(A391,[3]库存报告使用数据处理!$A:$D,4,0),0)</f>
        <v>0</v>
      </c>
      <c r="F391" s="33">
        <f>IFERROR(VLOOKUP(A391,[3]库存报告使用数据处理!$A:$E,5,0),0)</f>
        <v>0</v>
      </c>
      <c r="G391" s="33">
        <f>IFERROR(VLOOKUP(A391,[3]库存报告使用数据处理!$A:$F,6,0),0)</f>
        <v>0</v>
      </c>
      <c r="H391" s="34">
        <f>IFERROR(VLOOKUP(A391,[3]库存报告使用数据处理!$A:$G,7,0),0)</f>
        <v>0</v>
      </c>
      <c r="I391">
        <f>IFERROR(VLOOKUP(A391,[4]数据处理!$A:$B,2,0),0)</f>
        <v>116</v>
      </c>
      <c r="J391" s="36">
        <f>IFERROR(VLOOKUP(A391,[4]数据处理!$A:$D,4,0),0)</f>
        <v>0</v>
      </c>
      <c r="K391" s="36">
        <f>IFERROR(VLOOKUP(A391,[4]数据处理!$A:$E,5,0),0)</f>
        <v>0</v>
      </c>
      <c r="L391" s="36">
        <f>IFERROR(VLOOKUP(A391,[4]数据处理!$A:$G,7,0),0)</f>
        <v>0</v>
      </c>
      <c r="M391">
        <f t="shared" si="106"/>
        <v>116</v>
      </c>
      <c r="N391">
        <f>IFERROR(VLOOKUP(A391,[4]数据处理!$A:$C,3,0),0)</f>
        <v>0</v>
      </c>
      <c r="O391">
        <f>IFERROR(VLOOKUP($A391,[4]数据处理!$A:$N,14,0),0)</f>
        <v>116</v>
      </c>
      <c r="P391">
        <f>IFERROR(VLOOKUP($A391,[5]库存使用数据!$A:$B,2,0),"")</f>
        <v>25</v>
      </c>
      <c r="Q391">
        <f>IFERROR(VLOOKUP($A391,[5]库存使用数据!$A:$E,5,0),"")</f>
        <v>14</v>
      </c>
      <c r="R391">
        <f>IFERROR(VLOOKUP($A391,[5]库存使用数据!$A:$H,8,0),"")</f>
        <v>3</v>
      </c>
      <c r="S391">
        <f>IFERROR(VLOOKUP($A391,[5]库存使用数据!$A:$K,11,0),"")</f>
        <v>5</v>
      </c>
      <c r="T391">
        <f>IFERROR(VLOOKUP($A391,[5]库存使用数据!$A:$C,3,0),"")</f>
        <v>0</v>
      </c>
      <c r="U391">
        <f>IFERROR(VLOOKUP($A391,[5]库存使用数据!$A:$F,6,0),"")</f>
        <v>0</v>
      </c>
      <c r="V391">
        <f>IFERROR(VLOOKUP($A391,[5]库存使用数据!$A:$I,9,0),"")</f>
        <v>0</v>
      </c>
      <c r="W391">
        <f>IFERROR(VLOOKUP($A391,[5]库存使用数据!$A:$L,12,0),"")</f>
        <v>0</v>
      </c>
      <c r="X391" s="23">
        <f t="shared" si="111"/>
        <v>0</v>
      </c>
      <c r="Y391" s="23">
        <f t="shared" si="112"/>
        <v>0</v>
      </c>
      <c r="Z391" s="23">
        <f t="shared" si="113"/>
        <v>0</v>
      </c>
      <c r="AA391" s="23">
        <f t="shared" si="114"/>
        <v>0</v>
      </c>
      <c r="AB391">
        <f>IFERROR(VLOOKUP($A391,[5]库存使用数据!$A:$D,4,0),"")</f>
        <v>0</v>
      </c>
      <c r="AC391">
        <f>IFERROR(VLOOKUP($A391,[5]库存使用数据!$A:$G,7,0),"")</f>
        <v>0</v>
      </c>
      <c r="AD391">
        <f>IFERROR(VLOOKUP($A391,[5]库存使用数据!$A:$J,10,0),"")</f>
        <v>0</v>
      </c>
      <c r="AE391">
        <f>IFERROR(VLOOKUP($A391,[5]库存使用数据!$A:$M,13,0),"")</f>
        <v>0</v>
      </c>
      <c r="AF391" s="23" t="str">
        <f t="shared" si="115"/>
        <v/>
      </c>
      <c r="AG391" s="23" t="str">
        <f t="shared" si="116"/>
        <v/>
      </c>
      <c r="AH391" s="23" t="str">
        <f t="shared" si="117"/>
        <v/>
      </c>
      <c r="AI391" s="23" t="str">
        <f t="shared" si="118"/>
        <v/>
      </c>
      <c r="AJ391">
        <f>IFERROR(VLOOKUP($B391,[1]库存报告使用数据!$A$1:$B$65536,2,0),0)</f>
        <v>0</v>
      </c>
      <c r="AK391">
        <f>IFERROR(VLOOKUP($B391,[1]库存报告使用数据!$A$1:$C$65536,3,0),0)</f>
        <v>3</v>
      </c>
      <c r="AL391">
        <f>IFERROR(VLOOKUP($B391,[1]库存报告使用数据!$A$1:$D$65536,4,0),0)</f>
        <v>3</v>
      </c>
      <c r="AM391">
        <f>IFERROR(VLOOKUP($B391,[1]库存报告使用数据!$A$1:$E$65536,5,0),0)</f>
        <v>2</v>
      </c>
      <c r="AN391" s="23" t="str">
        <f t="shared" si="119"/>
        <v/>
      </c>
      <c r="AO391" s="23">
        <f t="shared" si="120"/>
        <v>0</v>
      </c>
      <c r="AP391" s="23">
        <f t="shared" si="121"/>
        <v>0</v>
      </c>
      <c r="AQ391" s="23">
        <f t="shared" si="122"/>
        <v>0</v>
      </c>
      <c r="AR391" s="38">
        <f t="shared" si="107"/>
        <v>0</v>
      </c>
      <c r="AS391" s="38">
        <f t="shared" si="108"/>
        <v>0</v>
      </c>
      <c r="AT391" s="38">
        <f t="shared" si="109"/>
        <v>116</v>
      </c>
      <c r="AU391" s="33" t="str">
        <f t="shared" si="110"/>
        <v>库存为116</v>
      </c>
      <c r="AV391" s="39" t="str">
        <f>IFERROR(时间!$B$4+AU391,"上周无销量")</f>
        <v>上周无销量</v>
      </c>
    </row>
    <row r="392" spans="1:48">
      <c r="A392" s="35" t="s">
        <v>437</v>
      </c>
      <c r="B392" t="str">
        <f>VLOOKUP(A392,'[2]sku-asin（子）'!$A:$B,2,0)</f>
        <v>B074P1H1SL</v>
      </c>
      <c r="C392" t="str">
        <f>VLOOKUP(A392,'[2]子sku-父sku'!$A:$B,2,0)</f>
        <v>XTHQ</v>
      </c>
      <c r="D392" s="33">
        <f>IFERROR(VLOOKUP(A392,[3]库存报告使用数据处理!$A:$C,3,0),0)</f>
        <v>0</v>
      </c>
      <c r="E392" s="33">
        <f>IFERROR(VLOOKUP(A392,[3]库存报告使用数据处理!$A:$D,4,0),0)</f>
        <v>0</v>
      </c>
      <c r="F392" s="33">
        <f>IFERROR(VLOOKUP(A392,[3]库存报告使用数据处理!$A:$E,5,0),0)</f>
        <v>0</v>
      </c>
      <c r="G392" s="33">
        <f>IFERROR(VLOOKUP(A392,[3]库存报告使用数据处理!$A:$F,6,0),0)</f>
        <v>0</v>
      </c>
      <c r="H392" s="34">
        <f>IFERROR(VLOOKUP(A392,[3]库存报告使用数据处理!$A:$G,7,0),0)</f>
        <v>0</v>
      </c>
      <c r="I392">
        <f>IFERROR(VLOOKUP(A392,[4]数据处理!$A:$B,2,0),0)</f>
        <v>10</v>
      </c>
      <c r="J392" s="36">
        <f>IFERROR(VLOOKUP(A392,[4]数据处理!$A:$D,4,0),0)</f>
        <v>0</v>
      </c>
      <c r="K392" s="36">
        <f>IFERROR(VLOOKUP(A392,[4]数据处理!$A:$E,5,0),0)</f>
        <v>0</v>
      </c>
      <c r="L392" s="36">
        <f>IFERROR(VLOOKUP(A392,[4]数据处理!$A:$G,7,0),0)</f>
        <v>0</v>
      </c>
      <c r="M392">
        <f t="shared" si="106"/>
        <v>10</v>
      </c>
      <c r="N392">
        <f>IFERROR(VLOOKUP(A392,[4]数据处理!$A:$C,3,0),0)</f>
        <v>0</v>
      </c>
      <c r="O392">
        <f>IFERROR(VLOOKUP($A392,[4]数据处理!$A:$N,14,0),0)</f>
        <v>10</v>
      </c>
      <c r="P392">
        <f>IFERROR(VLOOKUP($A392,[5]库存使用数据!$A:$B,2,0),"")</f>
        <v>29</v>
      </c>
      <c r="Q392">
        <f>IFERROR(VLOOKUP($A392,[5]库存使用数据!$A:$E,5,0),"")</f>
        <v>37</v>
      </c>
      <c r="R392">
        <f>IFERROR(VLOOKUP($A392,[5]库存使用数据!$A:$H,8,0),"")</f>
        <v>13</v>
      </c>
      <c r="S392">
        <f>IFERROR(VLOOKUP($A392,[5]库存使用数据!$A:$K,11,0),"")</f>
        <v>9</v>
      </c>
      <c r="T392">
        <f>IFERROR(VLOOKUP($A392,[5]库存使用数据!$A:$C,3,0),"")</f>
        <v>0</v>
      </c>
      <c r="U392">
        <f>IFERROR(VLOOKUP($A392,[5]库存使用数据!$A:$F,6,0),"")</f>
        <v>0</v>
      </c>
      <c r="V392">
        <f>IFERROR(VLOOKUP($A392,[5]库存使用数据!$A:$I,9,0),"")</f>
        <v>0</v>
      </c>
      <c r="W392">
        <f>IFERROR(VLOOKUP($A392,[5]库存使用数据!$A:$L,12,0),"")</f>
        <v>0</v>
      </c>
      <c r="X392" s="23">
        <f t="shared" si="111"/>
        <v>0</v>
      </c>
      <c r="Y392" s="23">
        <f t="shared" si="112"/>
        <v>0</v>
      </c>
      <c r="Z392" s="23">
        <f t="shared" si="113"/>
        <v>0</v>
      </c>
      <c r="AA392" s="23">
        <f t="shared" si="114"/>
        <v>0</v>
      </c>
      <c r="AB392">
        <f>IFERROR(VLOOKUP($A392,[5]库存使用数据!$A:$D,4,0),"")</f>
        <v>0</v>
      </c>
      <c r="AC392">
        <f>IFERROR(VLOOKUP($A392,[5]库存使用数据!$A:$G,7,0),"")</f>
        <v>0</v>
      </c>
      <c r="AD392">
        <f>IFERROR(VLOOKUP($A392,[5]库存使用数据!$A:$J,10,0),"")</f>
        <v>0</v>
      </c>
      <c r="AE392">
        <f>IFERROR(VLOOKUP($A392,[5]库存使用数据!$A:$M,13,0),"")</f>
        <v>0</v>
      </c>
      <c r="AF392" s="23" t="str">
        <f t="shared" si="115"/>
        <v/>
      </c>
      <c r="AG392" s="23" t="str">
        <f t="shared" si="116"/>
        <v/>
      </c>
      <c r="AH392" s="23" t="str">
        <f t="shared" si="117"/>
        <v/>
      </c>
      <c r="AI392" s="23" t="str">
        <f t="shared" si="118"/>
        <v/>
      </c>
      <c r="AJ392">
        <f>IFERROR(VLOOKUP($B392,[1]库存报告使用数据!$A$1:$B$65536,2,0),0)</f>
        <v>1</v>
      </c>
      <c r="AK392">
        <f>IFERROR(VLOOKUP($B392,[1]库存报告使用数据!$A$1:$C$65536,3,0),0)</f>
        <v>3</v>
      </c>
      <c r="AL392">
        <f>IFERROR(VLOOKUP($B392,[1]库存报告使用数据!$A$1:$D$65536,4,0),0)</f>
        <v>3</v>
      </c>
      <c r="AM392">
        <f>IFERROR(VLOOKUP($B392,[1]库存报告使用数据!$A$1:$E$65536,5,0),0)</f>
        <v>1</v>
      </c>
      <c r="AN392" s="23">
        <f t="shared" si="119"/>
        <v>0</v>
      </c>
      <c r="AO392" s="23">
        <f t="shared" si="120"/>
        <v>0</v>
      </c>
      <c r="AP392" s="23">
        <f t="shared" si="121"/>
        <v>0</v>
      </c>
      <c r="AQ392" s="23">
        <f t="shared" si="122"/>
        <v>0</v>
      </c>
      <c r="AR392" s="38">
        <f t="shared" si="107"/>
        <v>0</v>
      </c>
      <c r="AS392" s="38">
        <f t="shared" si="108"/>
        <v>0</v>
      </c>
      <c r="AT392" s="38">
        <f t="shared" si="109"/>
        <v>10</v>
      </c>
      <c r="AU392" s="33" t="str">
        <f t="shared" si="110"/>
        <v>库存为10</v>
      </c>
      <c r="AV392" s="39" t="str">
        <f>IFERROR(时间!$B$4+AU392,"上周无销量")</f>
        <v>上周无销量</v>
      </c>
    </row>
    <row r="393" spans="1:48">
      <c r="A393" s="35" t="s">
        <v>438</v>
      </c>
      <c r="B393" t="str">
        <f>VLOOKUP(A393,'[2]sku-asin（子）'!$A:$B,2,0)</f>
        <v>B074NXZPYK</v>
      </c>
      <c r="C393" t="str">
        <f>VLOOKUP(A393,'[2]子sku-父sku'!$A:$B,2,0)</f>
        <v>XTHQ</v>
      </c>
      <c r="D393" s="33">
        <f>IFERROR(VLOOKUP(A393,[3]库存报告使用数据处理!$A:$C,3,0),0)</f>
        <v>0</v>
      </c>
      <c r="E393" s="33">
        <f>IFERROR(VLOOKUP(A393,[3]库存报告使用数据处理!$A:$D,4,0),0)</f>
        <v>0</v>
      </c>
      <c r="F393" s="33">
        <f>IFERROR(VLOOKUP(A393,[3]库存报告使用数据处理!$A:$E,5,0),0)</f>
        <v>0</v>
      </c>
      <c r="G393" s="33">
        <f>IFERROR(VLOOKUP(A393,[3]库存报告使用数据处理!$A:$F,6,0),0)</f>
        <v>0</v>
      </c>
      <c r="H393" s="34">
        <f>IFERROR(VLOOKUP(A393,[3]库存报告使用数据处理!$A:$G,7,0),0)</f>
        <v>0</v>
      </c>
      <c r="I393">
        <f>IFERROR(VLOOKUP(A393,[4]数据处理!$A:$B,2,0),0)</f>
        <v>4</v>
      </c>
      <c r="J393" s="36">
        <f>IFERROR(VLOOKUP(A393,[4]数据处理!$A:$D,4,0),0)</f>
        <v>0</v>
      </c>
      <c r="K393" s="36">
        <f>IFERROR(VLOOKUP(A393,[4]数据处理!$A:$E,5,0),0)</f>
        <v>0</v>
      </c>
      <c r="L393" s="36">
        <f>IFERROR(VLOOKUP(A393,[4]数据处理!$A:$G,7,0),0)</f>
        <v>0</v>
      </c>
      <c r="M393">
        <f t="shared" si="106"/>
        <v>4</v>
      </c>
      <c r="N393">
        <f>IFERROR(VLOOKUP(A393,[4]数据处理!$A:$C,3,0),0)</f>
        <v>0</v>
      </c>
      <c r="O393">
        <f>IFERROR(VLOOKUP($A393,[4]数据处理!$A:$N,14,0),0)</f>
        <v>4</v>
      </c>
      <c r="P393">
        <f>IFERROR(VLOOKUP($A393,[5]库存使用数据!$A:$B,2,0),"")</f>
        <v>5</v>
      </c>
      <c r="Q393">
        <f>IFERROR(VLOOKUP($A393,[5]库存使用数据!$A:$E,5,0),"")</f>
        <v>7</v>
      </c>
      <c r="R393">
        <f>IFERROR(VLOOKUP($A393,[5]库存使用数据!$A:$H,8,0),"")</f>
        <v>20</v>
      </c>
      <c r="S393">
        <f>IFERROR(VLOOKUP($A393,[5]库存使用数据!$A:$K,11,0),"")</f>
        <v>9</v>
      </c>
      <c r="T393">
        <f>IFERROR(VLOOKUP($A393,[5]库存使用数据!$A:$C,3,0),"")</f>
        <v>1</v>
      </c>
      <c r="U393">
        <f>IFERROR(VLOOKUP($A393,[5]库存使用数据!$A:$F,6,0),"")</f>
        <v>0</v>
      </c>
      <c r="V393">
        <f>IFERROR(VLOOKUP($A393,[5]库存使用数据!$A:$I,9,0),"")</f>
        <v>1</v>
      </c>
      <c r="W393">
        <f>IFERROR(VLOOKUP($A393,[5]库存使用数据!$A:$L,12,0),"")</f>
        <v>0</v>
      </c>
      <c r="X393" s="23">
        <f t="shared" si="111"/>
        <v>0.2</v>
      </c>
      <c r="Y393" s="23">
        <f t="shared" si="112"/>
        <v>0</v>
      </c>
      <c r="Z393" s="23">
        <f t="shared" si="113"/>
        <v>0.05</v>
      </c>
      <c r="AA393" s="23">
        <f t="shared" si="114"/>
        <v>0</v>
      </c>
      <c r="AB393">
        <f>IFERROR(VLOOKUP($A393,[5]库存使用数据!$A:$D,4,0),"")</f>
        <v>0.21</v>
      </c>
      <c r="AC393">
        <f>IFERROR(VLOOKUP($A393,[5]库存使用数据!$A:$G,7,0),"")</f>
        <v>0</v>
      </c>
      <c r="AD393">
        <f>IFERROR(VLOOKUP($A393,[5]库存使用数据!$A:$J,10,0),"")</f>
        <v>0.16</v>
      </c>
      <c r="AE393">
        <f>IFERROR(VLOOKUP($A393,[5]库存使用数据!$A:$M,13,0),"")</f>
        <v>0</v>
      </c>
      <c r="AF393" s="23" t="str">
        <f t="shared" si="115"/>
        <v>无销量广告费为0.21</v>
      </c>
      <c r="AG393" s="23" t="str">
        <f t="shared" si="116"/>
        <v/>
      </c>
      <c r="AH393" s="23" t="str">
        <f t="shared" si="117"/>
        <v>无销量广告费为0.16</v>
      </c>
      <c r="AI393" s="23" t="str">
        <f t="shared" si="118"/>
        <v/>
      </c>
      <c r="AJ393">
        <f>IFERROR(VLOOKUP($B393,[1]库存报告使用数据!$A$1:$B$65536,2,0),0)</f>
        <v>1</v>
      </c>
      <c r="AK393">
        <f>IFERROR(VLOOKUP($B393,[1]库存报告使用数据!$A$1:$C$65536,3,0),0)</f>
        <v>2</v>
      </c>
      <c r="AL393">
        <f>IFERROR(VLOOKUP($B393,[1]库存报告使用数据!$A$1:$D$65536,4,0),0)</f>
        <v>2</v>
      </c>
      <c r="AM393">
        <f>IFERROR(VLOOKUP($B393,[1]库存报告使用数据!$A$1:$E$65536,5,0),0)</f>
        <v>0</v>
      </c>
      <c r="AN393" s="23">
        <f t="shared" si="119"/>
        <v>0</v>
      </c>
      <c r="AO393" s="23">
        <f t="shared" si="120"/>
        <v>0</v>
      </c>
      <c r="AP393" s="23">
        <f t="shared" si="121"/>
        <v>0</v>
      </c>
      <c r="AQ393" s="23" t="str">
        <f t="shared" si="122"/>
        <v/>
      </c>
      <c r="AR393" s="38">
        <f t="shared" si="107"/>
        <v>0</v>
      </c>
      <c r="AS393" s="38">
        <f t="shared" si="108"/>
        <v>0</v>
      </c>
      <c r="AT393" s="38">
        <f t="shared" si="109"/>
        <v>4</v>
      </c>
      <c r="AU393" s="33" t="str">
        <f t="shared" si="110"/>
        <v>库存为4</v>
      </c>
      <c r="AV393" s="39" t="str">
        <f>IFERROR(时间!$B$4+AU393,"上周无销量")</f>
        <v>上周无销量</v>
      </c>
    </row>
    <row r="394" spans="1:48">
      <c r="A394" s="35" t="s">
        <v>439</v>
      </c>
      <c r="B394" t="str">
        <f>VLOOKUP(A394,'[2]sku-asin（子）'!$A:$B,2,0)</f>
        <v>B074NY9YM1</v>
      </c>
      <c r="C394" t="str">
        <f>VLOOKUP(A394,'[2]子sku-父sku'!$A:$B,2,0)</f>
        <v>XTHQ</v>
      </c>
      <c r="D394" s="33">
        <f>IFERROR(VLOOKUP(A394,[3]库存报告使用数据处理!$A:$C,3,0),0)</f>
        <v>1</v>
      </c>
      <c r="E394" s="33">
        <f>IFERROR(VLOOKUP(A394,[3]库存报告使用数据处理!$A:$D,4,0),0)</f>
        <v>0</v>
      </c>
      <c r="F394" s="33">
        <f>IFERROR(VLOOKUP(A394,[3]库存报告使用数据处理!$A:$E,5,0),0)</f>
        <v>0</v>
      </c>
      <c r="G394" s="33">
        <f>IFERROR(VLOOKUP(A394,[3]库存报告使用数据处理!$A:$F,6,0),0)</f>
        <v>0</v>
      </c>
      <c r="H394" s="34">
        <f>IFERROR(VLOOKUP(A394,[3]库存报告使用数据处理!$A:$G,7,0),0)</f>
        <v>8.99</v>
      </c>
      <c r="I394">
        <f>IFERROR(VLOOKUP(A394,[4]数据处理!$A:$B,2,0),0)</f>
        <v>9</v>
      </c>
      <c r="J394" s="36">
        <f>IFERROR(VLOOKUP(A394,[4]数据处理!$A:$D,4,0),0)</f>
        <v>0</v>
      </c>
      <c r="K394" s="36">
        <f>IFERROR(VLOOKUP(A394,[4]数据处理!$A:$E,5,0),0)</f>
        <v>0</v>
      </c>
      <c r="L394" s="36">
        <f>IFERROR(VLOOKUP(A394,[4]数据处理!$A:$G,7,0),0)</f>
        <v>0</v>
      </c>
      <c r="M394">
        <f t="shared" si="106"/>
        <v>9</v>
      </c>
      <c r="N394">
        <f>IFERROR(VLOOKUP(A394,[4]数据处理!$A:$C,3,0),0)</f>
        <v>0</v>
      </c>
      <c r="O394">
        <f>IFERROR(VLOOKUP($A394,[4]数据处理!$A:$N,14,0),0)</f>
        <v>9</v>
      </c>
      <c r="P394">
        <f>IFERROR(VLOOKUP($A394,[5]库存使用数据!$A:$B,2,0),"")</f>
        <v>13</v>
      </c>
      <c r="Q394">
        <f>IFERROR(VLOOKUP($A394,[5]库存使用数据!$A:$E,5,0),"")</f>
        <v>10</v>
      </c>
      <c r="R394">
        <f>IFERROR(VLOOKUP($A394,[5]库存使用数据!$A:$H,8,0),"")</f>
        <v>15</v>
      </c>
      <c r="S394">
        <f>IFERROR(VLOOKUP($A394,[5]库存使用数据!$A:$K,11,0),"")</f>
        <v>13</v>
      </c>
      <c r="T394">
        <f>IFERROR(VLOOKUP($A394,[5]库存使用数据!$A:$C,3,0),"")</f>
        <v>0</v>
      </c>
      <c r="U394">
        <f>IFERROR(VLOOKUP($A394,[5]库存使用数据!$A:$F,6,0),"")</f>
        <v>0</v>
      </c>
      <c r="V394">
        <f>IFERROR(VLOOKUP($A394,[5]库存使用数据!$A:$I,9,0),"")</f>
        <v>0</v>
      </c>
      <c r="W394">
        <f>IFERROR(VLOOKUP($A394,[5]库存使用数据!$A:$L,12,0),"")</f>
        <v>0</v>
      </c>
      <c r="X394" s="23">
        <f t="shared" si="111"/>
        <v>0</v>
      </c>
      <c r="Y394" s="23">
        <f t="shared" si="112"/>
        <v>0</v>
      </c>
      <c r="Z394" s="23">
        <f t="shared" si="113"/>
        <v>0</v>
      </c>
      <c r="AA394" s="23">
        <f t="shared" si="114"/>
        <v>0</v>
      </c>
      <c r="AB394">
        <f>IFERROR(VLOOKUP($A394,[5]库存使用数据!$A:$D,4,0),"")</f>
        <v>0</v>
      </c>
      <c r="AC394">
        <f>IFERROR(VLOOKUP($A394,[5]库存使用数据!$A:$G,7,0),"")</f>
        <v>0</v>
      </c>
      <c r="AD394">
        <f>IFERROR(VLOOKUP($A394,[5]库存使用数据!$A:$J,10,0),"")</f>
        <v>0</v>
      </c>
      <c r="AE394">
        <f>IFERROR(VLOOKUP($A394,[5]库存使用数据!$A:$M,13,0),"")</f>
        <v>0</v>
      </c>
      <c r="AF394" s="23" t="str">
        <f t="shared" si="115"/>
        <v/>
      </c>
      <c r="AG394" s="23" t="str">
        <f t="shared" si="116"/>
        <v/>
      </c>
      <c r="AH394" s="23" t="str">
        <f t="shared" si="117"/>
        <v/>
      </c>
      <c r="AI394" s="23" t="str">
        <f t="shared" si="118"/>
        <v/>
      </c>
      <c r="AJ394">
        <f>IFERROR(VLOOKUP($B394,[1]库存报告使用数据!$A$1:$B$65536,2,0),0)</f>
        <v>2</v>
      </c>
      <c r="AK394">
        <f>IFERROR(VLOOKUP($B394,[1]库存报告使用数据!$A$1:$C$65536,3,0),0)</f>
        <v>1</v>
      </c>
      <c r="AL394">
        <f>IFERROR(VLOOKUP($B394,[1]库存报告使用数据!$A$1:$D$65536,4,0),0)</f>
        <v>0</v>
      </c>
      <c r="AM394">
        <f>IFERROR(VLOOKUP($B394,[1]库存报告使用数据!$A$1:$E$65536,5,0),0)</f>
        <v>1</v>
      </c>
      <c r="AN394" s="23">
        <f t="shared" si="119"/>
        <v>0.5</v>
      </c>
      <c r="AO394" s="23">
        <f t="shared" si="120"/>
        <v>0</v>
      </c>
      <c r="AP394" s="23" t="str">
        <f t="shared" si="121"/>
        <v/>
      </c>
      <c r="AQ394" s="23">
        <f t="shared" si="122"/>
        <v>0</v>
      </c>
      <c r="AR394" s="38">
        <f t="shared" si="107"/>
        <v>0.142857142857143</v>
      </c>
      <c r="AS394" s="38">
        <f t="shared" si="108"/>
        <v>8.57142857142857</v>
      </c>
      <c r="AT394" s="38">
        <f t="shared" si="109"/>
        <v>0.428571428571429</v>
      </c>
      <c r="AU394" s="33">
        <f t="shared" si="110"/>
        <v>63</v>
      </c>
      <c r="AV394" s="39">
        <f>IFERROR(时间!$B$4+AU394,"上周无销量")</f>
        <v>43353</v>
      </c>
    </row>
    <row r="395" spans="1:48">
      <c r="A395" s="35" t="s">
        <v>440</v>
      </c>
      <c r="B395" t="str">
        <f>VLOOKUP(A395,'[2]sku-asin（子）'!$A:$B,2,0)</f>
        <v>B074NNZXDV</v>
      </c>
      <c r="C395" t="str">
        <f>VLOOKUP(A395,'[2]子sku-父sku'!$A:$B,2,0)</f>
        <v>XTHQ</v>
      </c>
      <c r="D395" s="33">
        <f>IFERROR(VLOOKUP(A395,[3]库存报告使用数据处理!$A:$C,3,0),0)</f>
        <v>0</v>
      </c>
      <c r="E395" s="33">
        <f>IFERROR(VLOOKUP(A395,[3]库存报告使用数据处理!$A:$D,4,0),0)</f>
        <v>1</v>
      </c>
      <c r="F395" s="33">
        <f>IFERROR(VLOOKUP(A395,[3]库存报告使用数据处理!$A:$E,5,0),0)</f>
        <v>0</v>
      </c>
      <c r="G395" s="33">
        <f>IFERROR(VLOOKUP(A395,[3]库存报告使用数据处理!$A:$F,6,0),0)</f>
        <v>0</v>
      </c>
      <c r="H395" s="34">
        <f>IFERROR(VLOOKUP(A395,[3]库存报告使用数据处理!$A:$G,7,0),0)</f>
        <v>8.79</v>
      </c>
      <c r="I395">
        <f>IFERROR(VLOOKUP(A395,[4]数据处理!$A:$B,2,0),0)</f>
        <v>33</v>
      </c>
      <c r="J395" s="36">
        <f>IFERROR(VLOOKUP(A395,[4]数据处理!$A:$D,4,0),0)</f>
        <v>0</v>
      </c>
      <c r="K395" s="36">
        <f>IFERROR(VLOOKUP(A395,[4]数据处理!$A:$E,5,0),0)</f>
        <v>0</v>
      </c>
      <c r="L395" s="36">
        <f>IFERROR(VLOOKUP(A395,[4]数据处理!$A:$G,7,0),0)</f>
        <v>0</v>
      </c>
      <c r="M395">
        <f t="shared" si="106"/>
        <v>33</v>
      </c>
      <c r="N395">
        <f>IFERROR(VLOOKUP(A395,[4]数据处理!$A:$C,3,0),0)</f>
        <v>0</v>
      </c>
      <c r="O395">
        <f>IFERROR(VLOOKUP($A395,[4]数据处理!$A:$N,14,0),0)</f>
        <v>33</v>
      </c>
      <c r="P395">
        <f>IFERROR(VLOOKUP($A395,[5]库存使用数据!$A:$B,2,0),"")</f>
        <v>3</v>
      </c>
      <c r="Q395">
        <f>IFERROR(VLOOKUP($A395,[5]库存使用数据!$A:$E,5,0),"")</f>
        <v>1</v>
      </c>
      <c r="R395">
        <f>IFERROR(VLOOKUP($A395,[5]库存使用数据!$A:$H,8,0),"")</f>
        <v>5</v>
      </c>
      <c r="S395">
        <f>IFERROR(VLOOKUP($A395,[5]库存使用数据!$A:$K,11,0),"")</f>
        <v>6</v>
      </c>
      <c r="T395">
        <f>IFERROR(VLOOKUP($A395,[5]库存使用数据!$A:$C,3,0),"")</f>
        <v>0</v>
      </c>
      <c r="U395">
        <f>IFERROR(VLOOKUP($A395,[5]库存使用数据!$A:$F,6,0),"")</f>
        <v>0</v>
      </c>
      <c r="V395">
        <f>IFERROR(VLOOKUP($A395,[5]库存使用数据!$A:$I,9,0),"")</f>
        <v>0</v>
      </c>
      <c r="W395">
        <f>IFERROR(VLOOKUP($A395,[5]库存使用数据!$A:$L,12,0),"")</f>
        <v>0</v>
      </c>
      <c r="X395" s="23">
        <f t="shared" si="111"/>
        <v>0</v>
      </c>
      <c r="Y395" s="23">
        <f t="shared" si="112"/>
        <v>0</v>
      </c>
      <c r="Z395" s="23">
        <f t="shared" si="113"/>
        <v>0</v>
      </c>
      <c r="AA395" s="23">
        <f t="shared" si="114"/>
        <v>0</v>
      </c>
      <c r="AB395">
        <f>IFERROR(VLOOKUP($A395,[5]库存使用数据!$A:$D,4,0),"")</f>
        <v>0</v>
      </c>
      <c r="AC395">
        <f>IFERROR(VLOOKUP($A395,[5]库存使用数据!$A:$G,7,0),"")</f>
        <v>0</v>
      </c>
      <c r="AD395">
        <f>IFERROR(VLOOKUP($A395,[5]库存使用数据!$A:$J,10,0),"")</f>
        <v>0</v>
      </c>
      <c r="AE395">
        <f>IFERROR(VLOOKUP($A395,[5]库存使用数据!$A:$M,13,0),"")</f>
        <v>0</v>
      </c>
      <c r="AF395" s="23" t="str">
        <f t="shared" si="115"/>
        <v/>
      </c>
      <c r="AG395" s="23" t="str">
        <f t="shared" si="116"/>
        <v/>
      </c>
      <c r="AH395" s="23" t="str">
        <f t="shared" si="117"/>
        <v/>
      </c>
      <c r="AI395" s="23" t="str">
        <f t="shared" si="118"/>
        <v/>
      </c>
      <c r="AJ395">
        <f>IFERROR(VLOOKUP($B395,[1]库存报告使用数据!$A$1:$B$65536,2,0),0)</f>
        <v>3</v>
      </c>
      <c r="AK395">
        <f>IFERROR(VLOOKUP($B395,[1]库存报告使用数据!$A$1:$C$65536,3,0),0)</f>
        <v>1</v>
      </c>
      <c r="AL395">
        <f>IFERROR(VLOOKUP($B395,[1]库存报告使用数据!$A$1:$D$65536,4,0),0)</f>
        <v>2</v>
      </c>
      <c r="AM395">
        <f>IFERROR(VLOOKUP($B395,[1]库存报告使用数据!$A$1:$E$65536,5,0),0)</f>
        <v>3</v>
      </c>
      <c r="AN395" s="23">
        <f t="shared" si="119"/>
        <v>0</v>
      </c>
      <c r="AO395" s="23">
        <f t="shared" si="120"/>
        <v>1</v>
      </c>
      <c r="AP395" s="23">
        <f t="shared" si="121"/>
        <v>0</v>
      </c>
      <c r="AQ395" s="23">
        <f t="shared" si="122"/>
        <v>0</v>
      </c>
      <c r="AR395" s="38">
        <f t="shared" si="107"/>
        <v>0</v>
      </c>
      <c r="AS395" s="38">
        <f t="shared" si="108"/>
        <v>0</v>
      </c>
      <c r="AT395" s="38">
        <f t="shared" si="109"/>
        <v>33</v>
      </c>
      <c r="AU395" s="33" t="str">
        <f t="shared" si="110"/>
        <v>库存为33</v>
      </c>
      <c r="AV395" s="39" t="str">
        <f>IFERROR(时间!$B$4+AU395,"上周无销量")</f>
        <v>上周无销量</v>
      </c>
    </row>
    <row r="396" spans="1:48">
      <c r="A396" s="35" t="s">
        <v>441</v>
      </c>
      <c r="B396" t="str">
        <f>VLOOKUP(A396,'[2]sku-asin（子）'!$A:$B,2,0)</f>
        <v>B074NQW8FF</v>
      </c>
      <c r="C396" t="str">
        <f>VLOOKUP(A396,'[2]子sku-父sku'!$A:$B,2,0)</f>
        <v>XTHQ</v>
      </c>
      <c r="D396" s="33">
        <f>IFERROR(VLOOKUP(A396,[3]库存报告使用数据处理!$A:$C,3,0),0)</f>
        <v>0</v>
      </c>
      <c r="E396" s="33">
        <f>IFERROR(VLOOKUP(A396,[3]库存报告使用数据处理!$A:$D,4,0),0)</f>
        <v>0</v>
      </c>
      <c r="F396" s="33">
        <f>IFERROR(VLOOKUP(A396,[3]库存报告使用数据处理!$A:$E,5,0),0)</f>
        <v>0</v>
      </c>
      <c r="G396" s="33">
        <f>IFERROR(VLOOKUP(A396,[3]库存报告使用数据处理!$A:$F,6,0),0)</f>
        <v>0</v>
      </c>
      <c r="H396" s="34">
        <f>IFERROR(VLOOKUP(A396,[3]库存报告使用数据处理!$A:$G,7,0),0)</f>
        <v>0</v>
      </c>
      <c r="I396">
        <f>IFERROR(VLOOKUP(A396,[4]数据处理!$A:$B,2,0),0)</f>
        <v>9</v>
      </c>
      <c r="J396" s="36">
        <f>IFERROR(VLOOKUP(A396,[4]数据处理!$A:$D,4,0),0)</f>
        <v>0</v>
      </c>
      <c r="K396" s="36">
        <f>IFERROR(VLOOKUP(A396,[4]数据处理!$A:$E,5,0),0)</f>
        <v>0</v>
      </c>
      <c r="L396" s="36">
        <f>IFERROR(VLOOKUP(A396,[4]数据处理!$A:$G,7,0),0)</f>
        <v>0</v>
      </c>
      <c r="M396">
        <f t="shared" si="106"/>
        <v>9</v>
      </c>
      <c r="N396">
        <f>IFERROR(VLOOKUP(A396,[4]数据处理!$A:$C,3,0),0)</f>
        <v>0</v>
      </c>
      <c r="O396">
        <f>IFERROR(VLOOKUP($A396,[4]数据处理!$A:$N,14,0),0)</f>
        <v>9</v>
      </c>
      <c r="P396">
        <f>IFERROR(VLOOKUP($A396,[5]库存使用数据!$A:$B,2,0),"")</f>
        <v>9</v>
      </c>
      <c r="Q396">
        <f>IFERROR(VLOOKUP($A396,[5]库存使用数据!$A:$E,5,0),"")</f>
        <v>8</v>
      </c>
      <c r="R396">
        <f>IFERROR(VLOOKUP($A396,[5]库存使用数据!$A:$H,8,0),"")</f>
        <v>4</v>
      </c>
      <c r="S396">
        <f>IFERROR(VLOOKUP($A396,[5]库存使用数据!$A:$K,11,0),"")</f>
        <v>4</v>
      </c>
      <c r="T396">
        <f>IFERROR(VLOOKUP($A396,[5]库存使用数据!$A:$C,3,0),"")</f>
        <v>0</v>
      </c>
      <c r="U396">
        <f>IFERROR(VLOOKUP($A396,[5]库存使用数据!$A:$F,6,0),"")</f>
        <v>0</v>
      </c>
      <c r="V396">
        <f>IFERROR(VLOOKUP($A396,[5]库存使用数据!$A:$I,9,0),"")</f>
        <v>0</v>
      </c>
      <c r="W396">
        <f>IFERROR(VLOOKUP($A396,[5]库存使用数据!$A:$L,12,0),"")</f>
        <v>0</v>
      </c>
      <c r="X396" s="23">
        <f t="shared" si="111"/>
        <v>0</v>
      </c>
      <c r="Y396" s="23">
        <f t="shared" si="112"/>
        <v>0</v>
      </c>
      <c r="Z396" s="23">
        <f t="shared" si="113"/>
        <v>0</v>
      </c>
      <c r="AA396" s="23">
        <f t="shared" si="114"/>
        <v>0</v>
      </c>
      <c r="AB396">
        <f>IFERROR(VLOOKUP($A396,[5]库存使用数据!$A:$D,4,0),"")</f>
        <v>0</v>
      </c>
      <c r="AC396">
        <f>IFERROR(VLOOKUP($A396,[5]库存使用数据!$A:$G,7,0),"")</f>
        <v>0</v>
      </c>
      <c r="AD396">
        <f>IFERROR(VLOOKUP($A396,[5]库存使用数据!$A:$J,10,0),"")</f>
        <v>0</v>
      </c>
      <c r="AE396">
        <f>IFERROR(VLOOKUP($A396,[5]库存使用数据!$A:$M,13,0),"")</f>
        <v>0</v>
      </c>
      <c r="AF396" s="23" t="str">
        <f t="shared" si="115"/>
        <v/>
      </c>
      <c r="AG396" s="23" t="str">
        <f t="shared" si="116"/>
        <v/>
      </c>
      <c r="AH396" s="23" t="str">
        <f t="shared" si="117"/>
        <v/>
      </c>
      <c r="AI396" s="23" t="str">
        <f t="shared" si="118"/>
        <v/>
      </c>
      <c r="AJ396">
        <f>IFERROR(VLOOKUP($B396,[1]库存报告使用数据!$A$1:$B$65536,2,0),0)</f>
        <v>0</v>
      </c>
      <c r="AK396">
        <f>IFERROR(VLOOKUP($B396,[1]库存报告使用数据!$A$1:$C$65536,3,0),0)</f>
        <v>1</v>
      </c>
      <c r="AL396">
        <f>IFERROR(VLOOKUP($B396,[1]库存报告使用数据!$A$1:$D$65536,4,0),0)</f>
        <v>3</v>
      </c>
      <c r="AM396">
        <f>IFERROR(VLOOKUP($B396,[1]库存报告使用数据!$A$1:$E$65536,5,0),0)</f>
        <v>0</v>
      </c>
      <c r="AN396" s="23" t="str">
        <f t="shared" si="119"/>
        <v/>
      </c>
      <c r="AO396" s="23">
        <f t="shared" si="120"/>
        <v>0</v>
      </c>
      <c r="AP396" s="23">
        <f t="shared" si="121"/>
        <v>0</v>
      </c>
      <c r="AQ396" s="23" t="str">
        <f t="shared" si="122"/>
        <v/>
      </c>
      <c r="AR396" s="38">
        <f t="shared" si="107"/>
        <v>0</v>
      </c>
      <c r="AS396" s="38">
        <f t="shared" si="108"/>
        <v>0</v>
      </c>
      <c r="AT396" s="38">
        <f t="shared" si="109"/>
        <v>9</v>
      </c>
      <c r="AU396" s="33" t="str">
        <f t="shared" si="110"/>
        <v>库存为9</v>
      </c>
      <c r="AV396" s="39" t="str">
        <f>IFERROR(时间!$B$4+AU396,"上周无销量")</f>
        <v>上周无销量</v>
      </c>
    </row>
    <row r="397" spans="1:48">
      <c r="A397" s="35" t="s">
        <v>442</v>
      </c>
      <c r="B397" t="str">
        <f>VLOOKUP(A397,'[2]sku-asin（子）'!$A:$B,2,0)</f>
        <v>B074P2RFBZ</v>
      </c>
      <c r="C397" t="str">
        <f>VLOOKUP(A397,'[2]子sku-父sku'!$A:$B,2,0)</f>
        <v>XTLA</v>
      </c>
      <c r="D397" s="33">
        <f>IFERROR(VLOOKUP(A397,[3]库存报告使用数据处理!$A:$C,3,0),0)</f>
        <v>0</v>
      </c>
      <c r="E397" s="33">
        <f>IFERROR(VLOOKUP(A397,[3]库存报告使用数据处理!$A:$D,4,0),0)</f>
        <v>0</v>
      </c>
      <c r="F397" s="33">
        <f>IFERROR(VLOOKUP(A397,[3]库存报告使用数据处理!$A:$E,5,0),0)</f>
        <v>0</v>
      </c>
      <c r="G397" s="33">
        <f>IFERROR(VLOOKUP(A397,[3]库存报告使用数据处理!$A:$F,6,0),0)</f>
        <v>0</v>
      </c>
      <c r="H397" s="34">
        <f>IFERROR(VLOOKUP(A397,[3]库存报告使用数据处理!$A:$G,7,0),0)</f>
        <v>0</v>
      </c>
      <c r="I397">
        <f>IFERROR(VLOOKUP(A397,[4]数据处理!$A:$B,2,0),0)</f>
        <v>37</v>
      </c>
      <c r="J397" s="36">
        <f>IFERROR(VLOOKUP(A397,[4]数据处理!$A:$D,4,0),0)</f>
        <v>0</v>
      </c>
      <c r="K397" s="36">
        <f>IFERROR(VLOOKUP(A397,[4]数据处理!$A:$E,5,0),0)</f>
        <v>0</v>
      </c>
      <c r="L397" s="36">
        <f>IFERROR(VLOOKUP(A397,[4]数据处理!$A:$G,7,0),0)</f>
        <v>0</v>
      </c>
      <c r="M397">
        <f t="shared" si="106"/>
        <v>37</v>
      </c>
      <c r="N397">
        <f>IFERROR(VLOOKUP(A397,[4]数据处理!$A:$C,3,0),0)</f>
        <v>0</v>
      </c>
      <c r="O397">
        <f>IFERROR(VLOOKUP($A397,[4]数据处理!$A:$N,14,0),0)</f>
        <v>36</v>
      </c>
      <c r="P397" t="str">
        <f>IFERROR(VLOOKUP($A397,[5]库存使用数据!$A:$B,2,0),"")</f>
        <v/>
      </c>
      <c r="Q397" t="str">
        <f>IFERROR(VLOOKUP($A397,[5]库存使用数据!$A:$E,5,0),"")</f>
        <v/>
      </c>
      <c r="R397" t="str">
        <f>IFERROR(VLOOKUP($A397,[5]库存使用数据!$A:$H,8,0),"")</f>
        <v/>
      </c>
      <c r="S397" t="str">
        <f>IFERROR(VLOOKUP($A397,[5]库存使用数据!$A:$K,11,0),"")</f>
        <v/>
      </c>
      <c r="T397" t="str">
        <f>IFERROR(VLOOKUP($A397,[5]库存使用数据!$A:$C,3,0),"")</f>
        <v/>
      </c>
      <c r="U397" t="str">
        <f>IFERROR(VLOOKUP($A397,[5]库存使用数据!$A:$F,6,0),"")</f>
        <v/>
      </c>
      <c r="V397" t="str">
        <f>IFERROR(VLOOKUP($A397,[5]库存使用数据!$A:$I,9,0),"")</f>
        <v/>
      </c>
      <c r="W397" t="str">
        <f>IFERROR(VLOOKUP($A397,[5]库存使用数据!$A:$L,12,0),"")</f>
        <v/>
      </c>
      <c r="X397" s="23" t="str">
        <f t="shared" si="111"/>
        <v/>
      </c>
      <c r="Y397" s="23" t="str">
        <f t="shared" si="112"/>
        <v/>
      </c>
      <c r="Z397" s="23" t="str">
        <f t="shared" si="113"/>
        <v/>
      </c>
      <c r="AA397" s="23" t="str">
        <f t="shared" si="114"/>
        <v/>
      </c>
      <c r="AB397" t="str">
        <f>IFERROR(VLOOKUP($A397,[5]库存使用数据!$A:$D,4,0),"")</f>
        <v/>
      </c>
      <c r="AC397" t="str">
        <f>IFERROR(VLOOKUP($A397,[5]库存使用数据!$A:$G,7,0),"")</f>
        <v/>
      </c>
      <c r="AD397" t="str">
        <f>IFERROR(VLOOKUP($A397,[5]库存使用数据!$A:$J,10,0),"")</f>
        <v/>
      </c>
      <c r="AE397" t="str">
        <f>IFERROR(VLOOKUP($A397,[5]库存使用数据!$A:$M,13,0),"")</f>
        <v/>
      </c>
      <c r="AF397" s="23" t="str">
        <f t="shared" si="115"/>
        <v/>
      </c>
      <c r="AG397" s="23" t="str">
        <f t="shared" si="116"/>
        <v/>
      </c>
      <c r="AH397" s="23" t="str">
        <f t="shared" si="117"/>
        <v/>
      </c>
      <c r="AI397" s="23" t="str">
        <f t="shared" si="118"/>
        <v/>
      </c>
      <c r="AJ397">
        <f>IFERROR(VLOOKUP($B397,[1]库存报告使用数据!$A$1:$B$65536,2,0),0)</f>
        <v>0</v>
      </c>
      <c r="AK397">
        <f>IFERROR(VLOOKUP($B397,[1]库存报告使用数据!$A$1:$C$65536,3,0),0)</f>
        <v>1</v>
      </c>
      <c r="AL397">
        <f>IFERROR(VLOOKUP($B397,[1]库存报告使用数据!$A$1:$D$65536,4,0),0)</f>
        <v>3</v>
      </c>
      <c r="AM397">
        <f>IFERROR(VLOOKUP($B397,[1]库存报告使用数据!$A$1:$E$65536,5,0),0)</f>
        <v>1</v>
      </c>
      <c r="AN397" s="23" t="str">
        <f t="shared" si="119"/>
        <v/>
      </c>
      <c r="AO397" s="23">
        <f t="shared" si="120"/>
        <v>0</v>
      </c>
      <c r="AP397" s="23">
        <f t="shared" si="121"/>
        <v>0</v>
      </c>
      <c r="AQ397" s="23">
        <f t="shared" si="122"/>
        <v>0</v>
      </c>
      <c r="AR397" s="38">
        <f t="shared" si="107"/>
        <v>0</v>
      </c>
      <c r="AS397" s="38">
        <f t="shared" si="108"/>
        <v>0</v>
      </c>
      <c r="AT397" s="38">
        <f t="shared" si="109"/>
        <v>37</v>
      </c>
      <c r="AU397" s="33" t="str">
        <f t="shared" si="110"/>
        <v>库存为37</v>
      </c>
      <c r="AV397" s="39" t="str">
        <f>IFERROR(时间!$B$4+AU397,"上周无销量")</f>
        <v>上周无销量</v>
      </c>
    </row>
    <row r="398" spans="1:48">
      <c r="A398" s="35" t="s">
        <v>443</v>
      </c>
      <c r="B398" t="str">
        <f>VLOOKUP(A398,'[2]sku-asin（子）'!$A:$B,2,0)</f>
        <v>B074NQW76F</v>
      </c>
      <c r="C398" t="str">
        <f>VLOOKUP(A398,'[2]子sku-父sku'!$A:$B,2,0)</f>
        <v>XTLA</v>
      </c>
      <c r="D398" s="33">
        <f>IFERROR(VLOOKUP(A398,[3]库存报告使用数据处理!$A:$C,3,0),0)</f>
        <v>0</v>
      </c>
      <c r="E398" s="33">
        <f>IFERROR(VLOOKUP(A398,[3]库存报告使用数据处理!$A:$D,4,0),0)</f>
        <v>0</v>
      </c>
      <c r="F398" s="33">
        <f>IFERROR(VLOOKUP(A398,[3]库存报告使用数据处理!$A:$E,5,0),0)</f>
        <v>0</v>
      </c>
      <c r="G398" s="33">
        <f>IFERROR(VLOOKUP(A398,[3]库存报告使用数据处理!$A:$F,6,0),0)</f>
        <v>1</v>
      </c>
      <c r="H398" s="34">
        <f>IFERROR(VLOOKUP(A398,[3]库存报告使用数据处理!$A:$G,7,0),0)</f>
        <v>8.79</v>
      </c>
      <c r="I398">
        <f>IFERROR(VLOOKUP(A398,[4]数据处理!$A:$B,2,0),0)</f>
        <v>40</v>
      </c>
      <c r="J398" s="36">
        <f>IFERROR(VLOOKUP(A398,[4]数据处理!$A:$D,4,0),0)</f>
        <v>0</v>
      </c>
      <c r="K398" s="36">
        <f>IFERROR(VLOOKUP(A398,[4]数据处理!$A:$E,5,0),0)</f>
        <v>0</v>
      </c>
      <c r="L398" s="36">
        <f>IFERROR(VLOOKUP(A398,[4]数据处理!$A:$G,7,0),0)</f>
        <v>0</v>
      </c>
      <c r="M398">
        <f t="shared" si="106"/>
        <v>40</v>
      </c>
      <c r="N398">
        <f>IFERROR(VLOOKUP(A398,[4]数据处理!$A:$C,3,0),0)</f>
        <v>0</v>
      </c>
      <c r="O398">
        <f>IFERROR(VLOOKUP($A398,[4]数据处理!$A:$N,14,0),0)</f>
        <v>40</v>
      </c>
      <c r="P398" t="str">
        <f>IFERROR(VLOOKUP($A398,[5]库存使用数据!$A:$B,2,0),"")</f>
        <v/>
      </c>
      <c r="Q398" t="str">
        <f>IFERROR(VLOOKUP($A398,[5]库存使用数据!$A:$E,5,0),"")</f>
        <v/>
      </c>
      <c r="R398" t="str">
        <f>IFERROR(VLOOKUP($A398,[5]库存使用数据!$A:$H,8,0),"")</f>
        <v/>
      </c>
      <c r="S398" t="str">
        <f>IFERROR(VLOOKUP($A398,[5]库存使用数据!$A:$K,11,0),"")</f>
        <v/>
      </c>
      <c r="T398" t="str">
        <f>IFERROR(VLOOKUP($A398,[5]库存使用数据!$A:$C,3,0),"")</f>
        <v/>
      </c>
      <c r="U398" t="str">
        <f>IFERROR(VLOOKUP($A398,[5]库存使用数据!$A:$F,6,0),"")</f>
        <v/>
      </c>
      <c r="V398" t="str">
        <f>IFERROR(VLOOKUP($A398,[5]库存使用数据!$A:$I,9,0),"")</f>
        <v/>
      </c>
      <c r="W398" t="str">
        <f>IFERROR(VLOOKUP($A398,[5]库存使用数据!$A:$L,12,0),"")</f>
        <v/>
      </c>
      <c r="X398" s="23" t="str">
        <f t="shared" si="111"/>
        <v/>
      </c>
      <c r="Y398" s="23" t="str">
        <f t="shared" si="112"/>
        <v/>
      </c>
      <c r="Z398" s="23" t="str">
        <f t="shared" si="113"/>
        <v/>
      </c>
      <c r="AA398" s="23" t="str">
        <f t="shared" si="114"/>
        <v/>
      </c>
      <c r="AB398" t="str">
        <f>IFERROR(VLOOKUP($A398,[5]库存使用数据!$A:$D,4,0),"")</f>
        <v/>
      </c>
      <c r="AC398" t="str">
        <f>IFERROR(VLOOKUP($A398,[5]库存使用数据!$A:$G,7,0),"")</f>
        <v/>
      </c>
      <c r="AD398" t="str">
        <f>IFERROR(VLOOKUP($A398,[5]库存使用数据!$A:$J,10,0),"")</f>
        <v/>
      </c>
      <c r="AE398" t="str">
        <f>IFERROR(VLOOKUP($A398,[5]库存使用数据!$A:$M,13,0),"")</f>
        <v/>
      </c>
      <c r="AF398" s="23" t="str">
        <f t="shared" si="115"/>
        <v/>
      </c>
      <c r="AG398" s="23" t="str">
        <f t="shared" si="116"/>
        <v/>
      </c>
      <c r="AH398" s="23" t="str">
        <f t="shared" si="117"/>
        <v/>
      </c>
      <c r="AI398" s="23" t="str">
        <f t="shared" si="118"/>
        <v/>
      </c>
      <c r="AJ398">
        <f>IFERROR(VLOOKUP($B398,[1]库存报告使用数据!$A$1:$B$65536,2,0),0)</f>
        <v>1</v>
      </c>
      <c r="AK398">
        <f>IFERROR(VLOOKUP($B398,[1]库存报告使用数据!$A$1:$C$65536,3,0),0)</f>
        <v>1</v>
      </c>
      <c r="AL398">
        <f>IFERROR(VLOOKUP($B398,[1]库存报告使用数据!$A$1:$D$65536,4,0),0)</f>
        <v>2</v>
      </c>
      <c r="AM398">
        <f>IFERROR(VLOOKUP($B398,[1]库存报告使用数据!$A$1:$E$65536,5,0),0)</f>
        <v>1</v>
      </c>
      <c r="AN398" s="23">
        <f t="shared" si="119"/>
        <v>0</v>
      </c>
      <c r="AO398" s="23">
        <f t="shared" si="120"/>
        <v>0</v>
      </c>
      <c r="AP398" s="23">
        <f t="shared" si="121"/>
        <v>0</v>
      </c>
      <c r="AQ398" s="23">
        <f t="shared" si="122"/>
        <v>1</v>
      </c>
      <c r="AR398" s="38">
        <f t="shared" si="107"/>
        <v>0</v>
      </c>
      <c r="AS398" s="38">
        <f t="shared" si="108"/>
        <v>0</v>
      </c>
      <c r="AT398" s="38">
        <f t="shared" si="109"/>
        <v>40</v>
      </c>
      <c r="AU398" s="33" t="str">
        <f t="shared" si="110"/>
        <v>库存为40</v>
      </c>
      <c r="AV398" s="39" t="str">
        <f>IFERROR(时间!$B$4+AU398,"上周无销量")</f>
        <v>上周无销量</v>
      </c>
    </row>
    <row r="399" spans="1:48">
      <c r="A399" s="35" t="s">
        <v>444</v>
      </c>
      <c r="B399" t="str">
        <f>VLOOKUP(A399,'[2]sku-asin（子）'!$A:$B,2,0)</f>
        <v>B074NZSTV3</v>
      </c>
      <c r="C399" t="str">
        <f>VLOOKUP(A399,'[2]子sku-父sku'!$A:$B,2,0)</f>
        <v>XTLA</v>
      </c>
      <c r="D399" s="33">
        <f>IFERROR(VLOOKUP(A399,[3]库存报告使用数据处理!$A:$C,3,0),0)</f>
        <v>0</v>
      </c>
      <c r="E399" s="33">
        <f>IFERROR(VLOOKUP(A399,[3]库存报告使用数据处理!$A:$D,4,0),0)</f>
        <v>0</v>
      </c>
      <c r="F399" s="33">
        <f>IFERROR(VLOOKUP(A399,[3]库存报告使用数据处理!$A:$E,5,0),0)</f>
        <v>0</v>
      </c>
      <c r="G399" s="33">
        <f>IFERROR(VLOOKUP(A399,[3]库存报告使用数据处理!$A:$F,6,0),0)</f>
        <v>0</v>
      </c>
      <c r="H399" s="34">
        <f>IFERROR(VLOOKUP(A399,[3]库存报告使用数据处理!$A:$G,7,0),0)</f>
        <v>0</v>
      </c>
      <c r="I399">
        <f>IFERROR(VLOOKUP(A399,[4]数据处理!$A:$B,2,0),0)</f>
        <v>25</v>
      </c>
      <c r="J399" s="36">
        <f>IFERROR(VLOOKUP(A399,[4]数据处理!$A:$D,4,0),0)</f>
        <v>0</v>
      </c>
      <c r="K399" s="36">
        <f>IFERROR(VLOOKUP(A399,[4]数据处理!$A:$E,5,0),0)</f>
        <v>0</v>
      </c>
      <c r="L399" s="36">
        <f>IFERROR(VLOOKUP(A399,[4]数据处理!$A:$G,7,0),0)</f>
        <v>0</v>
      </c>
      <c r="M399">
        <f t="shared" si="106"/>
        <v>25</v>
      </c>
      <c r="N399">
        <f>IFERROR(VLOOKUP(A399,[4]数据处理!$A:$C,3,0),0)</f>
        <v>0</v>
      </c>
      <c r="O399">
        <f>IFERROR(VLOOKUP($A399,[4]数据处理!$A:$N,14,0),0)</f>
        <v>25</v>
      </c>
      <c r="P399" t="str">
        <f>IFERROR(VLOOKUP($A399,[5]库存使用数据!$A:$B,2,0),"")</f>
        <v/>
      </c>
      <c r="Q399" t="str">
        <f>IFERROR(VLOOKUP($A399,[5]库存使用数据!$A:$E,5,0),"")</f>
        <v/>
      </c>
      <c r="R399" t="str">
        <f>IFERROR(VLOOKUP($A399,[5]库存使用数据!$A:$H,8,0),"")</f>
        <v/>
      </c>
      <c r="S399" t="str">
        <f>IFERROR(VLOOKUP($A399,[5]库存使用数据!$A:$K,11,0),"")</f>
        <v/>
      </c>
      <c r="T399" t="str">
        <f>IFERROR(VLOOKUP($A399,[5]库存使用数据!$A:$C,3,0),"")</f>
        <v/>
      </c>
      <c r="U399" t="str">
        <f>IFERROR(VLOOKUP($A399,[5]库存使用数据!$A:$F,6,0),"")</f>
        <v/>
      </c>
      <c r="V399" t="str">
        <f>IFERROR(VLOOKUP($A399,[5]库存使用数据!$A:$I,9,0),"")</f>
        <v/>
      </c>
      <c r="W399" t="str">
        <f>IFERROR(VLOOKUP($A399,[5]库存使用数据!$A:$L,12,0),"")</f>
        <v/>
      </c>
      <c r="X399" s="23" t="str">
        <f t="shared" si="111"/>
        <v/>
      </c>
      <c r="Y399" s="23" t="str">
        <f t="shared" si="112"/>
        <v/>
      </c>
      <c r="Z399" s="23" t="str">
        <f t="shared" si="113"/>
        <v/>
      </c>
      <c r="AA399" s="23" t="str">
        <f t="shared" si="114"/>
        <v/>
      </c>
      <c r="AB399" t="str">
        <f>IFERROR(VLOOKUP($A399,[5]库存使用数据!$A:$D,4,0),"")</f>
        <v/>
      </c>
      <c r="AC399" t="str">
        <f>IFERROR(VLOOKUP($A399,[5]库存使用数据!$A:$G,7,0),"")</f>
        <v/>
      </c>
      <c r="AD399" t="str">
        <f>IFERROR(VLOOKUP($A399,[5]库存使用数据!$A:$J,10,0),"")</f>
        <v/>
      </c>
      <c r="AE399" t="str">
        <f>IFERROR(VLOOKUP($A399,[5]库存使用数据!$A:$M,13,0),"")</f>
        <v/>
      </c>
      <c r="AF399" s="23" t="str">
        <f t="shared" si="115"/>
        <v/>
      </c>
      <c r="AG399" s="23" t="str">
        <f t="shared" si="116"/>
        <v/>
      </c>
      <c r="AH399" s="23" t="str">
        <f t="shared" si="117"/>
        <v/>
      </c>
      <c r="AI399" s="23" t="str">
        <f t="shared" si="118"/>
        <v/>
      </c>
      <c r="AJ399">
        <f>IFERROR(VLOOKUP($B399,[1]库存报告使用数据!$A$1:$B$65536,2,0),0)</f>
        <v>0</v>
      </c>
      <c r="AK399">
        <f>IFERROR(VLOOKUP($B399,[1]库存报告使用数据!$A$1:$C$65536,3,0),0)</f>
        <v>1</v>
      </c>
      <c r="AL399">
        <f>IFERROR(VLOOKUP($B399,[1]库存报告使用数据!$A$1:$D$65536,4,0),0)</f>
        <v>4</v>
      </c>
      <c r="AM399">
        <f>IFERROR(VLOOKUP($B399,[1]库存报告使用数据!$A$1:$E$65536,5,0),0)</f>
        <v>0</v>
      </c>
      <c r="AN399" s="23" t="str">
        <f t="shared" si="119"/>
        <v/>
      </c>
      <c r="AO399" s="23">
        <f t="shared" si="120"/>
        <v>0</v>
      </c>
      <c r="AP399" s="23">
        <f t="shared" si="121"/>
        <v>0</v>
      </c>
      <c r="AQ399" s="23" t="str">
        <f t="shared" si="122"/>
        <v/>
      </c>
      <c r="AR399" s="38">
        <f t="shared" si="107"/>
        <v>0</v>
      </c>
      <c r="AS399" s="38">
        <f t="shared" si="108"/>
        <v>0</v>
      </c>
      <c r="AT399" s="38">
        <f t="shared" si="109"/>
        <v>25</v>
      </c>
      <c r="AU399" s="33" t="str">
        <f t="shared" si="110"/>
        <v>库存为25</v>
      </c>
      <c r="AV399" s="39" t="str">
        <f>IFERROR(时间!$B$4+AU399,"上周无销量")</f>
        <v>上周无销量</v>
      </c>
    </row>
    <row r="400" spans="1:48">
      <c r="A400" s="35" t="s">
        <v>445</v>
      </c>
      <c r="B400" t="str">
        <f>VLOOKUP(A400,'[2]sku-asin（子）'!$A:$B,2,0)</f>
        <v>B071YQ9S6C</v>
      </c>
      <c r="C400" t="str">
        <f>VLOOKUP(A400,'[2]子sku-父sku'!$A:$B,2,0)</f>
        <v>XXBF</v>
      </c>
      <c r="D400" s="33">
        <f>IFERROR(VLOOKUP(A400,[3]库存报告使用数据处理!$A:$C,3,0),0)</f>
        <v>0</v>
      </c>
      <c r="E400" s="33">
        <f>IFERROR(VLOOKUP(A400,[3]库存报告使用数据处理!$A:$D,4,0),0)</f>
        <v>0</v>
      </c>
      <c r="F400" s="33">
        <f>IFERROR(VLOOKUP(A400,[3]库存报告使用数据处理!$A:$E,5,0),0)</f>
        <v>0</v>
      </c>
      <c r="G400" s="33">
        <f>IFERROR(VLOOKUP(A400,[3]库存报告使用数据处理!$A:$F,6,0),0)</f>
        <v>0</v>
      </c>
      <c r="H400" s="34">
        <f>IFERROR(VLOOKUP(A400,[3]库存报告使用数据处理!$A:$G,7,0),0)</f>
        <v>0</v>
      </c>
      <c r="I400">
        <f>IFERROR(VLOOKUP(A400,[4]数据处理!$A:$B,2,0),0)</f>
        <v>3</v>
      </c>
      <c r="J400" s="36">
        <f>IFERROR(VLOOKUP(A400,[4]数据处理!$A:$D,4,0),0)</f>
        <v>0</v>
      </c>
      <c r="K400" s="36">
        <f>IFERROR(VLOOKUP(A400,[4]数据处理!$A:$E,5,0),0)</f>
        <v>0</v>
      </c>
      <c r="L400" s="36">
        <f>IFERROR(VLOOKUP(A400,[4]数据处理!$A:$G,7,0),0)</f>
        <v>0</v>
      </c>
      <c r="M400">
        <f t="shared" si="106"/>
        <v>3</v>
      </c>
      <c r="N400">
        <f>IFERROR(VLOOKUP(A400,[4]数据处理!$A:$C,3,0),0)</f>
        <v>0</v>
      </c>
      <c r="O400">
        <f>IFERROR(VLOOKUP($A400,[4]数据处理!$A:$N,14,0),0)</f>
        <v>3</v>
      </c>
      <c r="P400" t="str">
        <f>IFERROR(VLOOKUP($A400,[5]库存使用数据!$A:$B,2,0),"")</f>
        <v/>
      </c>
      <c r="Q400" t="str">
        <f>IFERROR(VLOOKUP($A400,[5]库存使用数据!$A:$E,5,0),"")</f>
        <v/>
      </c>
      <c r="R400" t="str">
        <f>IFERROR(VLOOKUP($A400,[5]库存使用数据!$A:$H,8,0),"")</f>
        <v/>
      </c>
      <c r="S400" t="str">
        <f>IFERROR(VLOOKUP($A400,[5]库存使用数据!$A:$K,11,0),"")</f>
        <v/>
      </c>
      <c r="T400" t="str">
        <f>IFERROR(VLOOKUP($A400,[5]库存使用数据!$A:$C,3,0),"")</f>
        <v/>
      </c>
      <c r="U400" t="str">
        <f>IFERROR(VLOOKUP($A400,[5]库存使用数据!$A:$F,6,0),"")</f>
        <v/>
      </c>
      <c r="V400" t="str">
        <f>IFERROR(VLOOKUP($A400,[5]库存使用数据!$A:$I,9,0),"")</f>
        <v/>
      </c>
      <c r="W400" t="str">
        <f>IFERROR(VLOOKUP($A400,[5]库存使用数据!$A:$L,12,0),"")</f>
        <v/>
      </c>
      <c r="X400" s="23" t="str">
        <f t="shared" si="111"/>
        <v/>
      </c>
      <c r="Y400" s="23" t="str">
        <f t="shared" si="112"/>
        <v/>
      </c>
      <c r="Z400" s="23" t="str">
        <f t="shared" si="113"/>
        <v/>
      </c>
      <c r="AA400" s="23" t="str">
        <f t="shared" si="114"/>
        <v/>
      </c>
      <c r="AB400" t="str">
        <f>IFERROR(VLOOKUP($A400,[5]库存使用数据!$A:$D,4,0),"")</f>
        <v/>
      </c>
      <c r="AC400" t="str">
        <f>IFERROR(VLOOKUP($A400,[5]库存使用数据!$A:$G,7,0),"")</f>
        <v/>
      </c>
      <c r="AD400" t="str">
        <f>IFERROR(VLOOKUP($A400,[5]库存使用数据!$A:$J,10,0),"")</f>
        <v/>
      </c>
      <c r="AE400" t="str">
        <f>IFERROR(VLOOKUP($A400,[5]库存使用数据!$A:$M,13,0),"")</f>
        <v/>
      </c>
      <c r="AF400" s="23" t="str">
        <f t="shared" si="115"/>
        <v/>
      </c>
      <c r="AG400" s="23" t="str">
        <f t="shared" si="116"/>
        <v/>
      </c>
      <c r="AH400" s="23" t="str">
        <f t="shared" si="117"/>
        <v/>
      </c>
      <c r="AI400" s="23" t="str">
        <f t="shared" si="118"/>
        <v/>
      </c>
      <c r="AJ400">
        <f>IFERROR(VLOOKUP($B400,[1]库存报告使用数据!$A$1:$B$65536,2,0),0)</f>
        <v>3</v>
      </c>
      <c r="AK400">
        <f>IFERROR(VLOOKUP($B400,[1]库存报告使用数据!$A$1:$C$65536,3,0),0)</f>
        <v>3</v>
      </c>
      <c r="AL400">
        <f>IFERROR(VLOOKUP($B400,[1]库存报告使用数据!$A$1:$D$65536,4,0),0)</f>
        <v>0</v>
      </c>
      <c r="AM400">
        <f>IFERROR(VLOOKUP($B400,[1]库存报告使用数据!$A$1:$E$65536,5,0),0)</f>
        <v>1</v>
      </c>
      <c r="AN400" s="23">
        <f t="shared" si="119"/>
        <v>0</v>
      </c>
      <c r="AO400" s="23">
        <f t="shared" si="120"/>
        <v>0</v>
      </c>
      <c r="AP400" s="23" t="str">
        <f t="shared" si="121"/>
        <v/>
      </c>
      <c r="AQ400" s="23">
        <f t="shared" si="122"/>
        <v>0</v>
      </c>
      <c r="AR400" s="38">
        <f t="shared" si="107"/>
        <v>0</v>
      </c>
      <c r="AS400" s="38">
        <f t="shared" si="108"/>
        <v>0</v>
      </c>
      <c r="AT400" s="38">
        <f t="shared" si="109"/>
        <v>3</v>
      </c>
      <c r="AU400" s="33" t="str">
        <f t="shared" si="110"/>
        <v>库存为3</v>
      </c>
      <c r="AV400" s="39" t="str">
        <f>IFERROR(时间!$B$4+AU400,"上周无销量")</f>
        <v>上周无销量</v>
      </c>
    </row>
    <row r="401" spans="1:48">
      <c r="A401" s="35" t="s">
        <v>446</v>
      </c>
      <c r="B401" t="str">
        <f>VLOOKUP(A401,'[2]sku-asin（子）'!$A:$B,2,0)</f>
        <v>B0722LHQ3T</v>
      </c>
      <c r="C401" t="str">
        <f>VLOOKUP(A401,'[2]子sku-父sku'!$A:$B,2,0)</f>
        <v>XXGNW</v>
      </c>
      <c r="D401" s="33">
        <f>IFERROR(VLOOKUP(A401,[3]库存报告使用数据处理!$A:$C,3,0),0)</f>
        <v>0</v>
      </c>
      <c r="E401" s="33">
        <f>IFERROR(VLOOKUP(A401,[3]库存报告使用数据处理!$A:$D,4,0),0)</f>
        <v>0</v>
      </c>
      <c r="F401" s="33">
        <f>IFERROR(VLOOKUP(A401,[3]库存报告使用数据处理!$A:$E,5,0),0)</f>
        <v>0</v>
      </c>
      <c r="G401" s="33">
        <f>IFERROR(VLOOKUP(A401,[3]库存报告使用数据处理!$A:$F,6,0),0)</f>
        <v>0</v>
      </c>
      <c r="H401" s="34">
        <f>IFERROR(VLOOKUP(A401,[3]库存报告使用数据处理!$A:$G,7,0),0)</f>
        <v>0</v>
      </c>
      <c r="I401">
        <f>IFERROR(VLOOKUP(A401,[4]数据处理!$A:$B,2,0),0)</f>
        <v>3</v>
      </c>
      <c r="J401" s="36">
        <f>IFERROR(VLOOKUP(A401,[4]数据处理!$A:$D,4,0),0)</f>
        <v>0</v>
      </c>
      <c r="K401" s="36">
        <f>IFERROR(VLOOKUP(A401,[4]数据处理!$A:$E,5,0),0)</f>
        <v>0</v>
      </c>
      <c r="L401" s="36">
        <f>IFERROR(VLOOKUP(A401,[4]数据处理!$A:$G,7,0),0)</f>
        <v>0</v>
      </c>
      <c r="M401">
        <f t="shared" si="106"/>
        <v>3</v>
      </c>
      <c r="N401">
        <f>IFERROR(VLOOKUP(A401,[4]数据处理!$A:$C,3,0),0)</f>
        <v>0</v>
      </c>
      <c r="O401">
        <f>IFERROR(VLOOKUP($A401,[4]数据处理!$A:$N,14,0),0)</f>
        <v>3</v>
      </c>
      <c r="P401" t="str">
        <f>IFERROR(VLOOKUP($A401,[5]库存使用数据!$A:$B,2,0),"")</f>
        <v/>
      </c>
      <c r="Q401" t="str">
        <f>IFERROR(VLOOKUP($A401,[5]库存使用数据!$A:$E,5,0),"")</f>
        <v/>
      </c>
      <c r="R401" t="str">
        <f>IFERROR(VLOOKUP($A401,[5]库存使用数据!$A:$H,8,0),"")</f>
        <v/>
      </c>
      <c r="S401" t="str">
        <f>IFERROR(VLOOKUP($A401,[5]库存使用数据!$A:$K,11,0),"")</f>
        <v/>
      </c>
      <c r="T401" t="str">
        <f>IFERROR(VLOOKUP($A401,[5]库存使用数据!$A:$C,3,0),"")</f>
        <v/>
      </c>
      <c r="U401" t="str">
        <f>IFERROR(VLOOKUP($A401,[5]库存使用数据!$A:$F,6,0),"")</f>
        <v/>
      </c>
      <c r="V401" t="str">
        <f>IFERROR(VLOOKUP($A401,[5]库存使用数据!$A:$I,9,0),"")</f>
        <v/>
      </c>
      <c r="W401" t="str">
        <f>IFERROR(VLOOKUP($A401,[5]库存使用数据!$A:$L,12,0),"")</f>
        <v/>
      </c>
      <c r="X401" s="23" t="str">
        <f t="shared" si="111"/>
        <v/>
      </c>
      <c r="Y401" s="23" t="str">
        <f t="shared" si="112"/>
        <v/>
      </c>
      <c r="Z401" s="23" t="str">
        <f t="shared" si="113"/>
        <v/>
      </c>
      <c r="AA401" s="23" t="str">
        <f t="shared" si="114"/>
        <v/>
      </c>
      <c r="AB401" t="str">
        <f>IFERROR(VLOOKUP($A401,[5]库存使用数据!$A:$D,4,0),"")</f>
        <v/>
      </c>
      <c r="AC401" t="str">
        <f>IFERROR(VLOOKUP($A401,[5]库存使用数据!$A:$G,7,0),"")</f>
        <v/>
      </c>
      <c r="AD401" t="str">
        <f>IFERROR(VLOOKUP($A401,[5]库存使用数据!$A:$J,10,0),"")</f>
        <v/>
      </c>
      <c r="AE401" t="str">
        <f>IFERROR(VLOOKUP($A401,[5]库存使用数据!$A:$M,13,0),"")</f>
        <v/>
      </c>
      <c r="AF401" s="23" t="str">
        <f t="shared" si="115"/>
        <v/>
      </c>
      <c r="AG401" s="23" t="str">
        <f t="shared" si="116"/>
        <v/>
      </c>
      <c r="AH401" s="23" t="str">
        <f t="shared" si="117"/>
        <v/>
      </c>
      <c r="AI401" s="23" t="str">
        <f t="shared" si="118"/>
        <v/>
      </c>
      <c r="AJ401">
        <f>IFERROR(VLOOKUP($B401,[1]库存报告使用数据!$A$1:$B$65536,2,0),0)</f>
        <v>3</v>
      </c>
      <c r="AK401">
        <f>IFERROR(VLOOKUP($B401,[1]库存报告使用数据!$A$1:$C$65536,3,0),0)</f>
        <v>1</v>
      </c>
      <c r="AL401">
        <f>IFERROR(VLOOKUP($B401,[1]库存报告使用数据!$A$1:$D$65536,4,0),0)</f>
        <v>0</v>
      </c>
      <c r="AM401">
        <f>IFERROR(VLOOKUP($B401,[1]库存报告使用数据!$A$1:$E$65536,5,0),0)</f>
        <v>1</v>
      </c>
      <c r="AN401" s="23">
        <f t="shared" si="119"/>
        <v>0</v>
      </c>
      <c r="AO401" s="23">
        <f t="shared" si="120"/>
        <v>0</v>
      </c>
      <c r="AP401" s="23" t="str">
        <f t="shared" si="121"/>
        <v/>
      </c>
      <c r="AQ401" s="23">
        <f t="shared" si="122"/>
        <v>0</v>
      </c>
      <c r="AR401" s="38">
        <f t="shared" si="107"/>
        <v>0</v>
      </c>
      <c r="AS401" s="38">
        <f t="shared" si="108"/>
        <v>0</v>
      </c>
      <c r="AT401" s="38">
        <f t="shared" si="109"/>
        <v>3</v>
      </c>
      <c r="AU401" s="33" t="str">
        <f t="shared" si="110"/>
        <v>库存为3</v>
      </c>
      <c r="AV401" s="39" t="str">
        <f>IFERROR(时间!$B$4+AU401,"上周无销量")</f>
        <v>上周无销量</v>
      </c>
    </row>
    <row r="402" spans="1:48">
      <c r="A402" s="21"/>
      <c r="B402"/>
      <c r="C402"/>
      <c r="D402" s="33"/>
      <c r="E402" s="33"/>
      <c r="F402" s="33"/>
      <c r="G402" s="33"/>
      <c r="H402" s="34"/>
      <c r="I402"/>
      <c r="J402" s="36"/>
      <c r="K402" s="36"/>
      <c r="L402" s="36"/>
      <c r="M402"/>
      <c r="N402"/>
      <c r="O402"/>
      <c r="P402"/>
      <c r="Q402"/>
      <c r="R402"/>
      <c r="S402"/>
      <c r="T402"/>
      <c r="U402"/>
      <c r="V402"/>
      <c r="W402"/>
      <c r="X402" s="23"/>
      <c r="Y402" s="23"/>
      <c r="Z402" s="23"/>
      <c r="AA402" s="23"/>
      <c r="AB402"/>
      <c r="AC402"/>
      <c r="AD402"/>
      <c r="AE402"/>
      <c r="AF402" s="23"/>
      <c r="AG402" s="23"/>
      <c r="AH402" s="23"/>
      <c r="AI402" s="23"/>
      <c r="AJ402"/>
      <c r="AK402"/>
      <c r="AL402"/>
      <c r="AM402"/>
      <c r="AN402" s="23"/>
      <c r="AO402" s="23"/>
      <c r="AP402" s="23"/>
      <c r="AQ402" s="23"/>
      <c r="AR402" s="38"/>
      <c r="AS402" s="38"/>
      <c r="AT402" s="38"/>
      <c r="AU402" s="33"/>
      <c r="AV402" s="39"/>
    </row>
    <row r="403" spans="1:48">
      <c r="A403" s="1"/>
      <c r="D403" s="33"/>
      <c r="E403" s="33"/>
      <c r="F403" s="33"/>
      <c r="G403" s="33"/>
      <c r="H403" s="34"/>
      <c r="J403" s="36"/>
      <c r="K403" s="36"/>
      <c r="L403" s="36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8"/>
      <c r="AS403" s="38"/>
      <c r="AT403" s="38"/>
      <c r="AU403" s="33"/>
      <c r="AV403" s="39"/>
    </row>
    <row r="404" spans="1:48">
      <c r="A404" s="1"/>
      <c r="D404" s="33"/>
      <c r="E404" s="33"/>
      <c r="F404" s="33"/>
      <c r="G404" s="33"/>
      <c r="H404" s="34"/>
      <c r="J404" s="36"/>
      <c r="K404" s="36"/>
      <c r="L404" s="36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8"/>
      <c r="AS404" s="38"/>
      <c r="AT404" s="38"/>
      <c r="AU404" s="33"/>
      <c r="AV404" s="39"/>
    </row>
    <row r="405" spans="1:48">
      <c r="A405" s="1"/>
      <c r="D405" s="33"/>
      <c r="E405" s="33"/>
      <c r="F405" s="33"/>
      <c r="G405" s="33"/>
      <c r="H405" s="34"/>
      <c r="J405" s="36"/>
      <c r="K405" s="36"/>
      <c r="L405" s="36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8"/>
      <c r="AS405" s="38"/>
      <c r="AT405" s="38"/>
      <c r="AU405" s="33"/>
      <c r="AV405" s="39"/>
    </row>
    <row r="406" spans="1:48">
      <c r="A406" s="1"/>
      <c r="D406" s="33"/>
      <c r="E406" s="33"/>
      <c r="F406" s="33"/>
      <c r="G406" s="33"/>
      <c r="H406" s="34"/>
      <c r="J406" s="36"/>
      <c r="K406" s="36"/>
      <c r="L406" s="36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8"/>
      <c r="AS406" s="38"/>
      <c r="AT406" s="38"/>
      <c r="AU406" s="33"/>
      <c r="AV406" s="39"/>
    </row>
    <row r="407" spans="1:48">
      <c r="A407" s="1"/>
      <c r="D407" s="33"/>
      <c r="E407" s="33"/>
      <c r="F407" s="33"/>
      <c r="G407" s="33"/>
      <c r="H407" s="34"/>
      <c r="J407" s="36"/>
      <c r="K407" s="36"/>
      <c r="L407" s="36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8"/>
      <c r="AS407" s="38"/>
      <c r="AT407" s="38"/>
      <c r="AU407" s="33"/>
      <c r="AV407" s="39"/>
    </row>
    <row r="408" spans="1:48">
      <c r="A408" s="1"/>
      <c r="D408" s="33"/>
      <c r="E408" s="33"/>
      <c r="F408" s="33"/>
      <c r="G408" s="33"/>
      <c r="H408" s="34"/>
      <c r="J408" s="36"/>
      <c r="K408" s="36"/>
      <c r="L408" s="36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8"/>
      <c r="AS408" s="38"/>
      <c r="AT408" s="38"/>
      <c r="AU408" s="33"/>
      <c r="AV408" s="39"/>
    </row>
    <row r="409" spans="1:48">
      <c r="A409" s="1"/>
      <c r="D409" s="33"/>
      <c r="E409" s="33"/>
      <c r="F409" s="33"/>
      <c r="G409" s="33"/>
      <c r="H409" s="34"/>
      <c r="J409" s="36"/>
      <c r="K409" s="36"/>
      <c r="L409" s="36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8"/>
      <c r="AS409" s="38"/>
      <c r="AT409" s="38"/>
      <c r="AU409" s="33"/>
      <c r="AV409" s="39"/>
    </row>
    <row r="410" spans="1:48">
      <c r="A410" s="1"/>
      <c r="D410" s="33"/>
      <c r="E410" s="33"/>
      <c r="F410" s="33"/>
      <c r="G410" s="33"/>
      <c r="H410" s="34"/>
      <c r="J410" s="36"/>
      <c r="K410" s="36"/>
      <c r="L410" s="36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8"/>
      <c r="AS410" s="38"/>
      <c r="AT410" s="38"/>
      <c r="AU410" s="33"/>
      <c r="AV410" s="39"/>
    </row>
    <row r="411" spans="1:48">
      <c r="A411" s="1"/>
      <c r="D411" s="33"/>
      <c r="E411" s="33"/>
      <c r="F411" s="33"/>
      <c r="G411" s="33"/>
      <c r="H411" s="34"/>
      <c r="J411" s="36"/>
      <c r="K411" s="36"/>
      <c r="L411" s="36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8"/>
      <c r="AS411" s="38"/>
      <c r="AT411" s="38"/>
      <c r="AU411" s="33"/>
      <c r="AV411" s="39"/>
    </row>
    <row r="412" spans="1:48">
      <c r="A412" s="1"/>
      <c r="D412" s="33"/>
      <c r="E412" s="33"/>
      <c r="F412" s="33"/>
      <c r="G412" s="33"/>
      <c r="H412" s="34"/>
      <c r="J412" s="36"/>
      <c r="K412" s="36"/>
      <c r="L412" s="36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8"/>
      <c r="AS412" s="38"/>
      <c r="AT412" s="38"/>
      <c r="AU412" s="33"/>
      <c r="AV412" s="39"/>
    </row>
    <row r="413" spans="1:48">
      <c r="A413" s="1"/>
      <c r="D413" s="33"/>
      <c r="E413" s="33"/>
      <c r="F413" s="33"/>
      <c r="G413" s="33"/>
      <c r="H413" s="34"/>
      <c r="J413" s="36"/>
      <c r="K413" s="36"/>
      <c r="L413" s="36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8"/>
      <c r="AS413" s="38"/>
      <c r="AT413" s="38"/>
      <c r="AU413" s="33"/>
      <c r="AV413" s="39"/>
    </row>
    <row r="414" spans="1:48">
      <c r="A414" s="1"/>
      <c r="D414" s="33"/>
      <c r="E414" s="33"/>
      <c r="F414" s="33"/>
      <c r="G414" s="33"/>
      <c r="H414" s="34"/>
      <c r="J414" s="36"/>
      <c r="K414" s="36"/>
      <c r="L414" s="36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8"/>
      <c r="AS414" s="38"/>
      <c r="AT414" s="38"/>
      <c r="AU414" s="33"/>
      <c r="AV414" s="39"/>
    </row>
    <row r="415" spans="1:48">
      <c r="A415" s="1"/>
      <c r="D415" s="33"/>
      <c r="E415" s="33"/>
      <c r="F415" s="33"/>
      <c r="G415" s="33"/>
      <c r="H415" s="34"/>
      <c r="J415" s="36"/>
      <c r="K415" s="36"/>
      <c r="L415" s="36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8"/>
      <c r="AS415" s="38"/>
      <c r="AT415" s="38"/>
      <c r="AU415" s="33"/>
      <c r="AV415" s="39"/>
    </row>
    <row r="416" spans="1:48">
      <c r="A416" s="1"/>
      <c r="D416" s="33"/>
      <c r="E416" s="33"/>
      <c r="F416" s="33"/>
      <c r="G416" s="33"/>
      <c r="H416" s="34"/>
      <c r="J416" s="36"/>
      <c r="K416" s="36"/>
      <c r="L416" s="36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8"/>
      <c r="AS416" s="38"/>
      <c r="AT416" s="38"/>
      <c r="AU416" s="33"/>
      <c r="AV416" s="39"/>
    </row>
    <row r="417" spans="1:48">
      <c r="A417" s="1"/>
      <c r="D417" s="33"/>
      <c r="E417" s="33"/>
      <c r="F417" s="33"/>
      <c r="G417" s="33"/>
      <c r="H417" s="34"/>
      <c r="J417" s="36"/>
      <c r="K417" s="36"/>
      <c r="L417" s="36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8"/>
      <c r="AS417" s="38"/>
      <c r="AT417" s="38"/>
      <c r="AU417" s="33"/>
      <c r="AV417" s="39"/>
    </row>
    <row r="418" spans="1:48">
      <c r="A418" s="1"/>
      <c r="D418" s="33"/>
      <c r="E418" s="33"/>
      <c r="F418" s="33"/>
      <c r="G418" s="33"/>
      <c r="H418" s="34"/>
      <c r="J418" s="36"/>
      <c r="K418" s="36"/>
      <c r="L418" s="36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8"/>
      <c r="AS418" s="38"/>
      <c r="AT418" s="38"/>
      <c r="AU418" s="33"/>
      <c r="AV418" s="39"/>
    </row>
    <row r="419" spans="1:48">
      <c r="A419" s="1"/>
      <c r="D419" s="33"/>
      <c r="E419" s="33"/>
      <c r="F419" s="33"/>
      <c r="G419" s="33"/>
      <c r="H419" s="34"/>
      <c r="J419" s="36"/>
      <c r="K419" s="36"/>
      <c r="L419" s="36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8"/>
      <c r="AS419" s="38"/>
      <c r="AT419" s="38"/>
      <c r="AU419" s="33"/>
      <c r="AV419" s="39"/>
    </row>
    <row r="420" spans="1:48">
      <c r="A420" s="1"/>
      <c r="D420" s="33"/>
      <c r="E420" s="33"/>
      <c r="F420" s="33"/>
      <c r="G420" s="33"/>
      <c r="H420" s="34"/>
      <c r="J420" s="36"/>
      <c r="K420" s="36"/>
      <c r="L420" s="36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8"/>
      <c r="AS420" s="38"/>
      <c r="AT420" s="38"/>
      <c r="AU420" s="33"/>
      <c r="AV420" s="39"/>
    </row>
    <row r="421" spans="1:48">
      <c r="A421" s="1"/>
      <c r="D421" s="33"/>
      <c r="E421" s="33"/>
      <c r="F421" s="33"/>
      <c r="G421" s="33"/>
      <c r="H421" s="34"/>
      <c r="J421" s="36"/>
      <c r="K421" s="36"/>
      <c r="L421" s="36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8"/>
      <c r="AS421" s="38"/>
      <c r="AT421" s="38"/>
      <c r="AU421" s="33"/>
      <c r="AV421" s="39"/>
    </row>
    <row r="422" spans="1:48">
      <c r="A422" s="1"/>
      <c r="D422" s="33"/>
      <c r="E422" s="33"/>
      <c r="F422" s="33"/>
      <c r="G422" s="33"/>
      <c r="H422" s="34"/>
      <c r="J422" s="36"/>
      <c r="K422" s="36"/>
      <c r="L422" s="36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8"/>
      <c r="AS422" s="38"/>
      <c r="AT422" s="38"/>
      <c r="AU422" s="33"/>
      <c r="AV422" s="39"/>
    </row>
    <row r="423" spans="1:48">
      <c r="A423" s="1"/>
      <c r="D423" s="33"/>
      <c r="E423" s="33"/>
      <c r="F423" s="33"/>
      <c r="G423" s="33"/>
      <c r="H423" s="34"/>
      <c r="J423" s="36"/>
      <c r="K423" s="36"/>
      <c r="L423" s="36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8"/>
      <c r="AS423" s="38"/>
      <c r="AT423" s="38"/>
      <c r="AU423" s="33"/>
      <c r="AV423" s="39"/>
    </row>
    <row r="424" spans="1:48">
      <c r="A424" s="1"/>
      <c r="D424" s="33"/>
      <c r="E424" s="33"/>
      <c r="F424" s="33"/>
      <c r="G424" s="33"/>
      <c r="H424" s="34"/>
      <c r="J424" s="36"/>
      <c r="K424" s="36"/>
      <c r="L424" s="36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8"/>
      <c r="AS424" s="38"/>
      <c r="AT424" s="38"/>
      <c r="AU424" s="33"/>
      <c r="AV424" s="39"/>
    </row>
    <row r="425" spans="1:48">
      <c r="A425" s="1"/>
      <c r="D425" s="33"/>
      <c r="E425" s="33"/>
      <c r="F425" s="33"/>
      <c r="G425" s="33"/>
      <c r="H425" s="34"/>
      <c r="J425" s="36"/>
      <c r="K425" s="36"/>
      <c r="L425" s="36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8"/>
      <c r="AS425" s="38"/>
      <c r="AT425" s="38"/>
      <c r="AU425" s="33"/>
      <c r="AV425" s="39"/>
    </row>
    <row r="426" spans="1:48">
      <c r="A426" s="1"/>
      <c r="D426" s="33"/>
      <c r="E426" s="33"/>
      <c r="F426" s="33"/>
      <c r="G426" s="33"/>
      <c r="H426" s="34"/>
      <c r="J426" s="36"/>
      <c r="K426" s="36"/>
      <c r="L426" s="36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8"/>
      <c r="AS426" s="38"/>
      <c r="AT426" s="38"/>
      <c r="AU426" s="33"/>
      <c r="AV426" s="39"/>
    </row>
    <row r="427" spans="1:48">
      <c r="A427" s="1"/>
      <c r="D427" s="33"/>
      <c r="E427" s="33"/>
      <c r="F427" s="33"/>
      <c r="G427" s="33"/>
      <c r="H427" s="34"/>
      <c r="J427" s="36"/>
      <c r="K427" s="36"/>
      <c r="L427" s="36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8"/>
      <c r="AS427" s="38"/>
      <c r="AT427" s="38"/>
      <c r="AU427" s="33"/>
      <c r="AV427" s="39"/>
    </row>
    <row r="428" spans="1:48">
      <c r="A428" s="1"/>
      <c r="D428" s="33"/>
      <c r="E428" s="33"/>
      <c r="F428" s="33"/>
      <c r="G428" s="33"/>
      <c r="H428" s="34"/>
      <c r="J428" s="36"/>
      <c r="K428" s="36"/>
      <c r="L428" s="36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8"/>
      <c r="AS428" s="38"/>
      <c r="AT428" s="38"/>
      <c r="AU428" s="33"/>
      <c r="AV428" s="39"/>
    </row>
    <row r="429" spans="1:48">
      <c r="A429" s="1"/>
      <c r="D429" s="33"/>
      <c r="E429" s="33"/>
      <c r="F429" s="33"/>
      <c r="G429" s="33"/>
      <c r="H429" s="34"/>
      <c r="J429" s="36"/>
      <c r="K429" s="36"/>
      <c r="L429" s="36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8"/>
      <c r="AS429" s="38"/>
      <c r="AT429" s="38"/>
      <c r="AU429" s="33"/>
      <c r="AV429" s="39"/>
    </row>
    <row r="430" spans="1:48">
      <c r="A430" s="1"/>
      <c r="D430" s="33"/>
      <c r="E430" s="33"/>
      <c r="F430" s="33"/>
      <c r="G430" s="33"/>
      <c r="H430" s="34"/>
      <c r="J430" s="36"/>
      <c r="K430" s="36"/>
      <c r="L430" s="36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8"/>
      <c r="AS430" s="38"/>
      <c r="AT430" s="38"/>
      <c r="AU430" s="33"/>
      <c r="AV430" s="39"/>
    </row>
    <row r="431" spans="1:48">
      <c r="A431" s="1"/>
      <c r="D431" s="33"/>
      <c r="E431" s="33"/>
      <c r="F431" s="33"/>
      <c r="G431" s="33"/>
      <c r="H431" s="34"/>
      <c r="J431" s="36"/>
      <c r="K431" s="36"/>
      <c r="L431" s="36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8"/>
      <c r="AS431" s="38"/>
      <c r="AT431" s="38"/>
      <c r="AU431" s="33"/>
      <c r="AV431" s="39"/>
    </row>
    <row r="432" spans="1:48">
      <c r="A432" s="1"/>
      <c r="D432" s="33"/>
      <c r="E432" s="33"/>
      <c r="F432" s="33"/>
      <c r="G432" s="33"/>
      <c r="H432" s="34"/>
      <c r="J432" s="36"/>
      <c r="K432" s="36"/>
      <c r="L432" s="36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8"/>
      <c r="AS432" s="38"/>
      <c r="AT432" s="38"/>
      <c r="AU432" s="33"/>
      <c r="AV432" s="39"/>
    </row>
    <row r="433" spans="1:48">
      <c r="A433" s="1"/>
      <c r="D433" s="33"/>
      <c r="E433" s="33"/>
      <c r="F433" s="33"/>
      <c r="G433" s="33"/>
      <c r="H433" s="34"/>
      <c r="J433" s="36"/>
      <c r="K433" s="36"/>
      <c r="L433" s="36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8"/>
      <c r="AS433" s="38"/>
      <c r="AT433" s="38"/>
      <c r="AU433" s="33"/>
      <c r="AV433" s="39"/>
    </row>
    <row r="434" spans="1:48">
      <c r="A434" s="1"/>
      <c r="D434" s="33"/>
      <c r="E434" s="33"/>
      <c r="F434" s="33"/>
      <c r="G434" s="33"/>
      <c r="H434" s="34"/>
      <c r="J434" s="36"/>
      <c r="K434" s="36"/>
      <c r="L434" s="36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8"/>
      <c r="AS434" s="38"/>
      <c r="AT434" s="38"/>
      <c r="AU434" s="33"/>
      <c r="AV434" s="39"/>
    </row>
    <row r="435" spans="1:48">
      <c r="A435" s="1"/>
      <c r="D435" s="33"/>
      <c r="E435" s="33"/>
      <c r="F435" s="33"/>
      <c r="G435" s="33"/>
      <c r="H435" s="34"/>
      <c r="J435" s="36"/>
      <c r="K435" s="36"/>
      <c r="L435" s="36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8"/>
      <c r="AS435" s="38"/>
      <c r="AT435" s="38"/>
      <c r="AU435" s="33"/>
      <c r="AV435" s="39"/>
    </row>
    <row r="436" spans="1:48">
      <c r="A436" s="1"/>
      <c r="D436" s="33"/>
      <c r="E436" s="33"/>
      <c r="F436" s="33"/>
      <c r="G436" s="33"/>
      <c r="H436" s="34"/>
      <c r="J436" s="36"/>
      <c r="K436" s="36"/>
      <c r="L436" s="36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8"/>
      <c r="AS436" s="38"/>
      <c r="AT436" s="38"/>
      <c r="AU436" s="33"/>
      <c r="AV436" s="39"/>
    </row>
    <row r="437" spans="1:48">
      <c r="A437" s="1"/>
      <c r="D437" s="33"/>
      <c r="E437" s="33"/>
      <c r="F437" s="33"/>
      <c r="G437" s="33"/>
      <c r="H437" s="34"/>
      <c r="J437" s="36"/>
      <c r="K437" s="36"/>
      <c r="L437" s="36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8"/>
      <c r="AS437" s="38"/>
      <c r="AT437" s="38"/>
      <c r="AU437" s="33"/>
      <c r="AV437" s="39"/>
    </row>
    <row r="438" spans="1:48">
      <c r="A438" s="1"/>
      <c r="D438" s="33"/>
      <c r="E438" s="33"/>
      <c r="F438" s="33"/>
      <c r="G438" s="33"/>
      <c r="H438" s="34"/>
      <c r="J438" s="36"/>
      <c r="K438" s="36"/>
      <c r="L438" s="36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8"/>
      <c r="AS438" s="38"/>
      <c r="AT438" s="38"/>
      <c r="AU438" s="33"/>
      <c r="AV438" s="39"/>
    </row>
    <row r="439" spans="1:48">
      <c r="A439" s="1"/>
      <c r="D439" s="33"/>
      <c r="E439" s="33"/>
      <c r="F439" s="33"/>
      <c r="G439" s="33"/>
      <c r="H439" s="34"/>
      <c r="J439" s="36"/>
      <c r="K439" s="36"/>
      <c r="L439" s="36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8"/>
      <c r="AS439" s="38"/>
      <c r="AT439" s="38"/>
      <c r="AU439" s="33"/>
      <c r="AV439" s="39"/>
    </row>
    <row r="440" spans="1:48">
      <c r="A440" s="1"/>
      <c r="D440" s="33"/>
      <c r="E440" s="33"/>
      <c r="F440" s="33"/>
      <c r="G440" s="33"/>
      <c r="H440" s="34"/>
      <c r="J440" s="36"/>
      <c r="K440" s="36"/>
      <c r="L440" s="36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8"/>
      <c r="AS440" s="38"/>
      <c r="AT440" s="38"/>
      <c r="AU440" s="33"/>
      <c r="AV440" s="39"/>
    </row>
    <row r="441" spans="1:48">
      <c r="A441" s="1"/>
      <c r="D441" s="33"/>
      <c r="E441" s="33"/>
      <c r="F441" s="33"/>
      <c r="G441" s="33"/>
      <c r="H441" s="34"/>
      <c r="J441" s="36"/>
      <c r="K441" s="36"/>
      <c r="L441" s="36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8"/>
      <c r="AS441" s="38"/>
      <c r="AT441" s="38"/>
      <c r="AU441" s="33"/>
      <c r="AV441" s="39"/>
    </row>
    <row r="442" spans="1:48">
      <c r="A442" s="1"/>
      <c r="D442" s="33"/>
      <c r="E442" s="33"/>
      <c r="F442" s="33"/>
      <c r="G442" s="33"/>
      <c r="H442" s="34"/>
      <c r="J442" s="36"/>
      <c r="K442" s="36"/>
      <c r="L442" s="36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8"/>
      <c r="AS442" s="38"/>
      <c r="AT442" s="38"/>
      <c r="AU442" s="33"/>
      <c r="AV442" s="39"/>
    </row>
    <row r="443" spans="1:48">
      <c r="A443" s="1"/>
      <c r="D443" s="33"/>
      <c r="E443" s="33"/>
      <c r="F443" s="33"/>
      <c r="G443" s="33"/>
      <c r="H443" s="34"/>
      <c r="J443" s="36"/>
      <c r="K443" s="36"/>
      <c r="L443" s="36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8"/>
      <c r="AS443" s="38"/>
      <c r="AT443" s="38"/>
      <c r="AU443" s="33"/>
      <c r="AV443" s="39"/>
    </row>
    <row r="444" spans="1:48">
      <c r="A444" s="1"/>
      <c r="D444" s="33"/>
      <c r="E444" s="33"/>
      <c r="F444" s="33"/>
      <c r="G444" s="33"/>
      <c r="H444" s="34"/>
      <c r="J444" s="36"/>
      <c r="K444" s="36"/>
      <c r="L444" s="36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8"/>
      <c r="AS444" s="38"/>
      <c r="AT444" s="38"/>
      <c r="AU444" s="33"/>
      <c r="AV444" s="39"/>
    </row>
    <row r="445" spans="1:48">
      <c r="A445" s="1"/>
      <c r="D445" s="33"/>
      <c r="E445" s="33"/>
      <c r="F445" s="33"/>
      <c r="G445" s="33"/>
      <c r="H445" s="34"/>
      <c r="J445" s="36"/>
      <c r="K445" s="36"/>
      <c r="L445" s="36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8"/>
      <c r="AS445" s="38"/>
      <c r="AT445" s="38"/>
      <c r="AU445" s="33"/>
      <c r="AV445" s="39"/>
    </row>
    <row r="446" spans="1:48">
      <c r="A446" s="1"/>
      <c r="D446" s="33"/>
      <c r="E446" s="33"/>
      <c r="F446" s="33"/>
      <c r="G446" s="33"/>
      <c r="H446" s="34"/>
      <c r="J446" s="36"/>
      <c r="K446" s="36"/>
      <c r="L446" s="36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8"/>
      <c r="AS446" s="38"/>
      <c r="AT446" s="38"/>
      <c r="AU446" s="33"/>
      <c r="AV446" s="39"/>
    </row>
    <row r="447" spans="1:48">
      <c r="A447" s="1"/>
      <c r="D447" s="33"/>
      <c r="E447" s="33"/>
      <c r="F447" s="33"/>
      <c r="G447" s="33"/>
      <c r="H447" s="34"/>
      <c r="J447" s="36"/>
      <c r="K447" s="36"/>
      <c r="L447" s="36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8"/>
      <c r="AS447" s="38"/>
      <c r="AT447" s="38"/>
      <c r="AU447" s="33"/>
      <c r="AV447" s="39"/>
    </row>
    <row r="448" spans="1:48">
      <c r="A448" s="1"/>
      <c r="D448" s="33"/>
      <c r="E448" s="33"/>
      <c r="F448" s="33"/>
      <c r="G448" s="33"/>
      <c r="H448" s="34"/>
      <c r="J448" s="36"/>
      <c r="K448" s="36"/>
      <c r="L448" s="36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8"/>
      <c r="AS448" s="38"/>
      <c r="AT448" s="38"/>
      <c r="AU448" s="33"/>
      <c r="AV448" s="39"/>
    </row>
    <row r="449" spans="1:48">
      <c r="A449" s="1"/>
      <c r="D449" s="33"/>
      <c r="E449" s="33"/>
      <c r="F449" s="33"/>
      <c r="G449" s="33"/>
      <c r="H449" s="34"/>
      <c r="J449" s="36"/>
      <c r="K449" s="36"/>
      <c r="L449" s="36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8"/>
      <c r="AS449" s="38"/>
      <c r="AT449" s="38"/>
      <c r="AU449" s="33"/>
      <c r="AV449" s="39"/>
    </row>
    <row r="450" spans="1:48">
      <c r="A450" s="1"/>
      <c r="D450" s="33"/>
      <c r="E450" s="33"/>
      <c r="F450" s="33"/>
      <c r="G450" s="33"/>
      <c r="H450" s="34"/>
      <c r="J450" s="36"/>
      <c r="K450" s="36"/>
      <c r="L450" s="36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8"/>
      <c r="AS450" s="38"/>
      <c r="AT450" s="38"/>
      <c r="AU450" s="33"/>
      <c r="AV450" s="39"/>
    </row>
    <row r="451" spans="1:48">
      <c r="A451" s="1"/>
      <c r="D451" s="33"/>
      <c r="E451" s="33"/>
      <c r="F451" s="33"/>
      <c r="G451" s="33"/>
      <c r="H451" s="34"/>
      <c r="J451" s="36"/>
      <c r="K451" s="36"/>
      <c r="L451" s="36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8"/>
      <c r="AS451" s="38"/>
      <c r="AT451" s="38"/>
      <c r="AU451" s="33"/>
      <c r="AV451" s="39"/>
    </row>
    <row r="452" spans="1:48">
      <c r="A452" s="1"/>
      <c r="D452" s="33"/>
      <c r="E452" s="33"/>
      <c r="F452" s="33"/>
      <c r="G452" s="33"/>
      <c r="H452" s="34"/>
      <c r="J452" s="36"/>
      <c r="K452" s="36"/>
      <c r="L452" s="36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8"/>
      <c r="AS452" s="38"/>
      <c r="AT452" s="38"/>
      <c r="AU452" s="33"/>
      <c r="AV452" s="39"/>
    </row>
    <row r="453" spans="1:48">
      <c r="A453" s="1"/>
      <c r="D453" s="33"/>
      <c r="E453" s="33"/>
      <c r="F453" s="33"/>
      <c r="G453" s="33"/>
      <c r="H453" s="34"/>
      <c r="J453" s="36"/>
      <c r="K453" s="36"/>
      <c r="L453" s="36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8"/>
      <c r="AS453" s="38"/>
      <c r="AT453" s="38"/>
      <c r="AU453" s="33"/>
      <c r="AV453" s="39"/>
    </row>
    <row r="454" spans="1:48">
      <c r="A454" s="1"/>
      <c r="D454" s="33"/>
      <c r="E454" s="33"/>
      <c r="F454" s="33"/>
      <c r="G454" s="33"/>
      <c r="H454" s="34"/>
      <c r="J454" s="36"/>
      <c r="K454" s="36"/>
      <c r="L454" s="36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8"/>
      <c r="AS454" s="38"/>
      <c r="AT454" s="38"/>
      <c r="AU454" s="33"/>
      <c r="AV454" s="39"/>
    </row>
    <row r="455" spans="1:48">
      <c r="A455" s="1"/>
      <c r="D455" s="33"/>
      <c r="E455" s="33"/>
      <c r="F455" s="33"/>
      <c r="G455" s="33"/>
      <c r="H455" s="34"/>
      <c r="J455" s="36"/>
      <c r="K455" s="36"/>
      <c r="L455" s="36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8"/>
      <c r="AS455" s="38"/>
      <c r="AT455" s="38"/>
      <c r="AU455" s="33"/>
      <c r="AV455" s="39"/>
    </row>
    <row r="456" spans="1:48">
      <c r="A456" s="1"/>
      <c r="D456" s="33"/>
      <c r="E456" s="33"/>
      <c r="F456" s="33"/>
      <c r="G456" s="33"/>
      <c r="H456" s="34"/>
      <c r="J456" s="36"/>
      <c r="K456" s="36"/>
      <c r="L456" s="36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8"/>
      <c r="AS456" s="38"/>
      <c r="AT456" s="38"/>
      <c r="AU456" s="33"/>
      <c r="AV456" s="39"/>
    </row>
    <row r="457" spans="1:48">
      <c r="A457" s="1"/>
      <c r="D457" s="33"/>
      <c r="E457" s="33"/>
      <c r="F457" s="33"/>
      <c r="G457" s="33"/>
      <c r="H457" s="34"/>
      <c r="J457" s="36"/>
      <c r="K457" s="36"/>
      <c r="L457" s="36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8"/>
      <c r="AS457" s="38"/>
      <c r="AT457" s="38"/>
      <c r="AU457" s="33"/>
      <c r="AV457" s="39"/>
    </row>
    <row r="458" spans="1:48">
      <c r="A458" s="1"/>
      <c r="D458" s="33"/>
      <c r="E458" s="33"/>
      <c r="F458" s="33"/>
      <c r="G458" s="33"/>
      <c r="H458" s="34"/>
      <c r="J458" s="36"/>
      <c r="K458" s="36"/>
      <c r="L458" s="36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8"/>
      <c r="AS458" s="38"/>
      <c r="AT458" s="38"/>
      <c r="AU458" s="33"/>
      <c r="AV458" s="39"/>
    </row>
    <row r="459" spans="1:48">
      <c r="A459" s="1"/>
      <c r="D459" s="33"/>
      <c r="E459" s="33"/>
      <c r="F459" s="33"/>
      <c r="G459" s="33"/>
      <c r="H459" s="34"/>
      <c r="J459" s="36"/>
      <c r="K459" s="36"/>
      <c r="L459" s="36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8"/>
      <c r="AS459" s="38"/>
      <c r="AT459" s="38"/>
      <c r="AU459" s="33"/>
      <c r="AV459" s="39"/>
    </row>
    <row r="460" spans="1:48">
      <c r="A460" s="1"/>
      <c r="D460" s="33"/>
      <c r="E460" s="33"/>
      <c r="F460" s="33"/>
      <c r="G460" s="33"/>
      <c r="H460" s="34"/>
      <c r="J460" s="36"/>
      <c r="K460" s="36"/>
      <c r="L460" s="36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8"/>
      <c r="AS460" s="38"/>
      <c r="AT460" s="38"/>
      <c r="AU460" s="33"/>
      <c r="AV460" s="39"/>
    </row>
    <row r="461" spans="1:48">
      <c r="A461" s="1"/>
      <c r="D461" s="33"/>
      <c r="E461" s="33"/>
      <c r="F461" s="33"/>
      <c r="G461" s="33"/>
      <c r="H461" s="34"/>
      <c r="J461" s="36"/>
      <c r="K461" s="36"/>
      <c r="L461" s="36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8"/>
      <c r="AS461" s="38"/>
      <c r="AT461" s="38"/>
      <c r="AU461" s="33"/>
      <c r="AV461" s="39"/>
    </row>
    <row r="462" spans="1:48">
      <c r="A462" s="1"/>
      <c r="D462" s="33"/>
      <c r="E462" s="33"/>
      <c r="F462" s="33"/>
      <c r="G462" s="33"/>
      <c r="H462" s="34"/>
      <c r="J462" s="36"/>
      <c r="K462" s="36"/>
      <c r="L462" s="36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8"/>
      <c r="AS462" s="38"/>
      <c r="AT462" s="38"/>
      <c r="AU462" s="33"/>
      <c r="AV462" s="39"/>
    </row>
    <row r="463" spans="1:48">
      <c r="A463" s="1"/>
      <c r="D463" s="33"/>
      <c r="E463" s="33"/>
      <c r="F463" s="33"/>
      <c r="G463" s="33"/>
      <c r="H463" s="34"/>
      <c r="J463" s="36"/>
      <c r="K463" s="36"/>
      <c r="L463" s="36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8"/>
      <c r="AS463" s="38"/>
      <c r="AT463" s="38"/>
      <c r="AU463" s="33"/>
      <c r="AV463" s="39"/>
    </row>
    <row r="464" spans="1:48">
      <c r="A464" s="1"/>
      <c r="D464" s="33"/>
      <c r="E464" s="33"/>
      <c r="F464" s="33"/>
      <c r="G464" s="33"/>
      <c r="H464" s="34"/>
      <c r="J464" s="36"/>
      <c r="K464" s="36"/>
      <c r="L464" s="36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8"/>
      <c r="AS464" s="38"/>
      <c r="AT464" s="38"/>
      <c r="AU464" s="33"/>
      <c r="AV464" s="39"/>
    </row>
    <row r="465" spans="1:48">
      <c r="A465" s="1"/>
      <c r="D465" s="33"/>
      <c r="E465" s="33"/>
      <c r="F465" s="33"/>
      <c r="G465" s="33"/>
      <c r="H465" s="34"/>
      <c r="J465" s="36"/>
      <c r="K465" s="36"/>
      <c r="L465" s="36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8"/>
      <c r="AS465" s="38"/>
      <c r="AT465" s="38"/>
      <c r="AU465" s="33"/>
      <c r="AV465" s="39"/>
    </row>
    <row r="466" spans="1:48">
      <c r="A466" s="1"/>
      <c r="D466" s="33"/>
      <c r="E466" s="33"/>
      <c r="F466" s="33"/>
      <c r="G466" s="33"/>
      <c r="H466" s="34"/>
      <c r="J466" s="36"/>
      <c r="K466" s="36"/>
      <c r="L466" s="36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8"/>
      <c r="AS466" s="38"/>
      <c r="AT466" s="38"/>
      <c r="AU466" s="33"/>
      <c r="AV466" s="39"/>
    </row>
    <row r="467" spans="1:48">
      <c r="A467" s="1"/>
      <c r="D467" s="33"/>
      <c r="E467" s="33"/>
      <c r="F467" s="33"/>
      <c r="G467" s="33"/>
      <c r="H467" s="34"/>
      <c r="J467" s="36"/>
      <c r="K467" s="36"/>
      <c r="L467" s="36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8"/>
      <c r="AS467" s="38"/>
      <c r="AT467" s="38"/>
      <c r="AU467" s="33"/>
      <c r="AV467" s="39"/>
    </row>
    <row r="468" spans="1:48">
      <c r="A468" s="1"/>
      <c r="D468" s="33"/>
      <c r="E468" s="33"/>
      <c r="F468" s="33"/>
      <c r="G468" s="33"/>
      <c r="H468" s="34"/>
      <c r="J468" s="36"/>
      <c r="K468" s="36"/>
      <c r="L468" s="36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8"/>
      <c r="AS468" s="38"/>
      <c r="AT468" s="38"/>
      <c r="AU468" s="33"/>
      <c r="AV468" s="39"/>
    </row>
    <row r="469" spans="1:48">
      <c r="A469" s="1"/>
      <c r="D469" s="33"/>
      <c r="E469" s="33"/>
      <c r="F469" s="33"/>
      <c r="G469" s="33"/>
      <c r="H469" s="34"/>
      <c r="J469" s="36"/>
      <c r="K469" s="36"/>
      <c r="L469" s="36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8"/>
      <c r="AS469" s="38"/>
      <c r="AT469" s="38"/>
      <c r="AU469" s="33"/>
      <c r="AV469" s="39"/>
    </row>
    <row r="470" spans="1:48">
      <c r="A470" s="1"/>
      <c r="D470" s="33"/>
      <c r="E470" s="33"/>
      <c r="F470" s="33"/>
      <c r="G470" s="33"/>
      <c r="H470" s="34"/>
      <c r="J470" s="36"/>
      <c r="K470" s="36"/>
      <c r="L470" s="36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8"/>
      <c r="AS470" s="38"/>
      <c r="AT470" s="38"/>
      <c r="AU470" s="33"/>
      <c r="AV470" s="39"/>
    </row>
    <row r="471" spans="1:48">
      <c r="A471" s="1"/>
      <c r="D471" s="33"/>
      <c r="E471" s="33"/>
      <c r="F471" s="33"/>
      <c r="G471" s="33"/>
      <c r="H471" s="34"/>
      <c r="J471" s="36"/>
      <c r="K471" s="36"/>
      <c r="L471" s="36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8"/>
      <c r="AS471" s="38"/>
      <c r="AT471" s="38"/>
      <c r="AU471" s="33"/>
      <c r="AV471" s="39"/>
    </row>
    <row r="472" spans="1:48">
      <c r="A472" s="1"/>
      <c r="D472" s="33"/>
      <c r="E472" s="33"/>
      <c r="F472" s="33"/>
      <c r="G472" s="33"/>
      <c r="H472" s="34"/>
      <c r="J472" s="36"/>
      <c r="K472" s="36"/>
      <c r="L472" s="36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8"/>
      <c r="AS472" s="38"/>
      <c r="AT472" s="38"/>
      <c r="AU472" s="33"/>
      <c r="AV472" s="39"/>
    </row>
    <row r="473" spans="1:48">
      <c r="A473" s="1"/>
      <c r="D473" s="33"/>
      <c r="E473" s="33"/>
      <c r="F473" s="33"/>
      <c r="G473" s="33"/>
      <c r="H473" s="34"/>
      <c r="J473" s="36"/>
      <c r="K473" s="36"/>
      <c r="L473" s="36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8"/>
      <c r="AS473" s="38"/>
      <c r="AT473" s="38"/>
      <c r="AU473" s="33"/>
      <c r="AV473" s="39"/>
    </row>
    <row r="474" spans="1:48">
      <c r="A474" s="1"/>
      <c r="D474" s="33"/>
      <c r="E474" s="33"/>
      <c r="F474" s="33"/>
      <c r="G474" s="33"/>
      <c r="H474" s="34"/>
      <c r="J474" s="36"/>
      <c r="K474" s="36"/>
      <c r="L474" s="36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8"/>
      <c r="AS474" s="38"/>
      <c r="AT474" s="38"/>
      <c r="AU474" s="33"/>
      <c r="AV474" s="39"/>
    </row>
    <row r="475" spans="1:48">
      <c r="A475" s="1"/>
      <c r="D475" s="33"/>
      <c r="E475" s="33"/>
      <c r="F475" s="33"/>
      <c r="G475" s="33"/>
      <c r="H475" s="34"/>
      <c r="J475" s="36"/>
      <c r="K475" s="36"/>
      <c r="L475" s="36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8"/>
      <c r="AS475" s="38"/>
      <c r="AT475" s="38"/>
      <c r="AU475" s="33"/>
      <c r="AV475" s="39"/>
    </row>
    <row r="476" spans="1:48">
      <c r="A476" s="1"/>
      <c r="D476" s="33"/>
      <c r="E476" s="33"/>
      <c r="F476" s="33"/>
      <c r="G476" s="33"/>
      <c r="H476" s="34"/>
      <c r="J476" s="36"/>
      <c r="K476" s="36"/>
      <c r="L476" s="36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8"/>
      <c r="AS476" s="38"/>
      <c r="AT476" s="38"/>
      <c r="AU476" s="33"/>
      <c r="AV476" s="39"/>
    </row>
    <row r="477" spans="1:48">
      <c r="A477" s="1"/>
      <c r="D477" s="33"/>
      <c r="E477" s="33"/>
      <c r="F477" s="33"/>
      <c r="G477" s="33"/>
      <c r="H477" s="34"/>
      <c r="J477" s="36"/>
      <c r="K477" s="36"/>
      <c r="L477" s="36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8"/>
      <c r="AS477" s="38"/>
      <c r="AT477" s="38"/>
      <c r="AU477" s="33"/>
      <c r="AV477" s="39"/>
    </row>
    <row r="478" spans="1:48">
      <c r="A478" s="1"/>
      <c r="D478" s="33"/>
      <c r="E478" s="33"/>
      <c r="F478" s="33"/>
      <c r="G478" s="33"/>
      <c r="H478" s="34"/>
      <c r="J478" s="36"/>
      <c r="K478" s="36"/>
      <c r="L478" s="36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8"/>
      <c r="AS478" s="38"/>
      <c r="AT478" s="38"/>
      <c r="AU478" s="33"/>
      <c r="AV478" s="39"/>
    </row>
    <row r="479" spans="1:48">
      <c r="A479" s="1"/>
      <c r="D479" s="33"/>
      <c r="E479" s="33"/>
      <c r="F479" s="33"/>
      <c r="G479" s="33"/>
      <c r="H479" s="34"/>
      <c r="J479" s="36"/>
      <c r="K479" s="36"/>
      <c r="L479" s="36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8"/>
      <c r="AS479" s="38"/>
      <c r="AT479" s="38"/>
      <c r="AU479" s="33"/>
      <c r="AV479" s="39"/>
    </row>
    <row r="480" spans="1:48">
      <c r="A480" s="1"/>
      <c r="D480" s="33"/>
      <c r="E480" s="33"/>
      <c r="F480" s="33"/>
      <c r="G480" s="33"/>
      <c r="H480" s="34"/>
      <c r="J480" s="36"/>
      <c r="K480" s="36"/>
      <c r="L480" s="36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8"/>
      <c r="AS480" s="38"/>
      <c r="AT480" s="38"/>
      <c r="AU480" s="33"/>
      <c r="AV480" s="39"/>
    </row>
    <row r="481" spans="1:48">
      <c r="A481" s="1"/>
      <c r="D481" s="33"/>
      <c r="E481" s="33"/>
      <c r="F481" s="33"/>
      <c r="G481" s="33"/>
      <c r="H481" s="34"/>
      <c r="J481" s="36"/>
      <c r="K481" s="36"/>
      <c r="L481" s="36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8"/>
      <c r="AS481" s="38"/>
      <c r="AT481" s="38"/>
      <c r="AU481" s="33"/>
      <c r="AV481" s="39"/>
    </row>
    <row r="482" spans="1:48">
      <c r="A482" s="1"/>
      <c r="D482" s="33"/>
      <c r="E482" s="33"/>
      <c r="F482" s="33"/>
      <c r="G482" s="33"/>
      <c r="H482" s="34"/>
      <c r="J482" s="36"/>
      <c r="K482" s="36"/>
      <c r="L482" s="36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8"/>
      <c r="AS482" s="38"/>
      <c r="AT482" s="38"/>
      <c r="AU482" s="33"/>
      <c r="AV482" s="39"/>
    </row>
    <row r="483" spans="1:48">
      <c r="A483" s="1"/>
      <c r="D483" s="33"/>
      <c r="E483" s="33"/>
      <c r="F483" s="33"/>
      <c r="G483" s="33"/>
      <c r="H483" s="34"/>
      <c r="J483" s="36"/>
      <c r="K483" s="36"/>
      <c r="L483" s="36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8"/>
      <c r="AS483" s="38"/>
      <c r="AT483" s="38"/>
      <c r="AU483" s="33"/>
      <c r="AV483" s="39"/>
    </row>
    <row r="484" spans="1:48">
      <c r="A484" s="1"/>
      <c r="D484" s="33"/>
      <c r="E484" s="33"/>
      <c r="F484" s="33"/>
      <c r="G484" s="33"/>
      <c r="H484" s="34"/>
      <c r="J484" s="36"/>
      <c r="K484" s="36"/>
      <c r="L484" s="36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8"/>
      <c r="AS484" s="38"/>
      <c r="AT484" s="38"/>
      <c r="AU484" s="33"/>
      <c r="AV484" s="39"/>
    </row>
    <row r="485" spans="1:48">
      <c r="A485" s="1"/>
      <c r="D485" s="33"/>
      <c r="E485" s="33"/>
      <c r="F485" s="33"/>
      <c r="G485" s="33"/>
      <c r="H485" s="34"/>
      <c r="J485" s="36"/>
      <c r="K485" s="36"/>
      <c r="L485" s="36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8"/>
      <c r="AS485" s="38"/>
      <c r="AT485" s="38"/>
      <c r="AU485" s="33"/>
      <c r="AV485" s="39"/>
    </row>
    <row r="486" spans="1:48">
      <c r="A486" s="1"/>
      <c r="D486" s="33"/>
      <c r="E486" s="33"/>
      <c r="F486" s="33"/>
      <c r="G486" s="33"/>
      <c r="H486" s="34"/>
      <c r="J486" s="36"/>
      <c r="K486" s="36"/>
      <c r="L486" s="36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8"/>
      <c r="AS486" s="38"/>
      <c r="AT486" s="38"/>
      <c r="AU486" s="33"/>
      <c r="AV486" s="39"/>
    </row>
    <row r="487" spans="1:48">
      <c r="A487" s="1"/>
      <c r="D487" s="33"/>
      <c r="E487" s="33"/>
      <c r="F487" s="33"/>
      <c r="G487" s="33"/>
      <c r="H487" s="34"/>
      <c r="J487" s="36"/>
      <c r="K487" s="36"/>
      <c r="L487" s="36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8"/>
      <c r="AS487" s="38"/>
      <c r="AT487" s="38"/>
      <c r="AU487" s="33"/>
      <c r="AV487" s="39"/>
    </row>
    <row r="488" spans="1:48">
      <c r="A488" s="1"/>
      <c r="D488" s="33"/>
      <c r="E488" s="33"/>
      <c r="F488" s="33"/>
      <c r="G488" s="33"/>
      <c r="H488" s="34"/>
      <c r="J488" s="36"/>
      <c r="K488" s="36"/>
      <c r="L488" s="36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8"/>
      <c r="AS488" s="38"/>
      <c r="AT488" s="38"/>
      <c r="AU488" s="33"/>
      <c r="AV488" s="39"/>
    </row>
    <row r="489" spans="1:48">
      <c r="A489" s="1"/>
      <c r="D489" s="33"/>
      <c r="E489" s="33"/>
      <c r="F489" s="33"/>
      <c r="G489" s="33"/>
      <c r="H489" s="34"/>
      <c r="J489" s="36"/>
      <c r="K489" s="36"/>
      <c r="L489" s="36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8"/>
      <c r="AS489" s="38"/>
      <c r="AT489" s="38"/>
      <c r="AU489" s="33"/>
      <c r="AV489" s="39"/>
    </row>
    <row r="490" spans="1:48">
      <c r="A490" s="1"/>
      <c r="D490" s="33"/>
      <c r="E490" s="33"/>
      <c r="F490" s="33"/>
      <c r="G490" s="33"/>
      <c r="H490" s="34"/>
      <c r="J490" s="36"/>
      <c r="K490" s="36"/>
      <c r="L490" s="36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8"/>
      <c r="AS490" s="38"/>
      <c r="AT490" s="38"/>
      <c r="AU490" s="33"/>
      <c r="AV490" s="39"/>
    </row>
    <row r="491" spans="1:48">
      <c r="A491" s="1"/>
      <c r="D491" s="33"/>
      <c r="E491" s="33"/>
      <c r="F491" s="33"/>
      <c r="G491" s="33"/>
      <c r="H491" s="34"/>
      <c r="J491" s="36"/>
      <c r="K491" s="36"/>
      <c r="L491" s="36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8"/>
      <c r="AS491" s="38"/>
      <c r="AT491" s="38"/>
      <c r="AU491" s="33"/>
      <c r="AV491" s="39"/>
    </row>
    <row r="492" spans="1:48">
      <c r="A492" s="1"/>
      <c r="D492" s="33"/>
      <c r="E492" s="33"/>
      <c r="F492" s="33"/>
      <c r="G492" s="33"/>
      <c r="H492" s="34"/>
      <c r="J492" s="36"/>
      <c r="K492" s="36"/>
      <c r="L492" s="36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8"/>
      <c r="AS492" s="38"/>
      <c r="AT492" s="38"/>
      <c r="AU492" s="33"/>
      <c r="AV492" s="39"/>
    </row>
    <row r="493" spans="1:48">
      <c r="A493" s="1"/>
      <c r="D493" s="33"/>
      <c r="E493" s="33"/>
      <c r="F493" s="33"/>
      <c r="G493" s="33"/>
      <c r="H493" s="34"/>
      <c r="J493" s="36"/>
      <c r="K493" s="36"/>
      <c r="L493" s="36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8"/>
      <c r="AS493" s="38"/>
      <c r="AT493" s="38"/>
      <c r="AU493" s="33"/>
      <c r="AV493" s="39"/>
    </row>
    <row r="494" spans="1:48">
      <c r="A494" s="1"/>
      <c r="D494" s="33"/>
      <c r="E494" s="33"/>
      <c r="F494" s="33"/>
      <c r="G494" s="33"/>
      <c r="H494" s="34"/>
      <c r="J494" s="36"/>
      <c r="K494" s="36"/>
      <c r="L494" s="36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8"/>
      <c r="AS494" s="38"/>
      <c r="AT494" s="38"/>
      <c r="AU494" s="33"/>
      <c r="AV494" s="39"/>
    </row>
    <row r="495" spans="1:48">
      <c r="A495" s="1"/>
      <c r="D495" s="33"/>
      <c r="E495" s="33"/>
      <c r="F495" s="33"/>
      <c r="G495" s="33"/>
      <c r="H495" s="34"/>
      <c r="J495" s="36"/>
      <c r="K495" s="36"/>
      <c r="L495" s="36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8"/>
      <c r="AS495" s="38"/>
      <c r="AT495" s="38"/>
      <c r="AU495" s="33"/>
      <c r="AV495" s="39"/>
    </row>
    <row r="496" spans="1:48">
      <c r="A496" s="1"/>
      <c r="D496" s="33"/>
      <c r="E496" s="33"/>
      <c r="F496" s="33"/>
      <c r="G496" s="33"/>
      <c r="H496" s="34"/>
      <c r="J496" s="36"/>
      <c r="K496" s="36"/>
      <c r="L496" s="36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8"/>
      <c r="AS496" s="38"/>
      <c r="AT496" s="38"/>
      <c r="AU496" s="33"/>
      <c r="AV496" s="39"/>
    </row>
    <row r="497" spans="1:48">
      <c r="A497" s="1"/>
      <c r="D497" s="33"/>
      <c r="E497" s="33"/>
      <c r="F497" s="33"/>
      <c r="G497" s="33"/>
      <c r="H497" s="34"/>
      <c r="J497" s="36"/>
      <c r="K497" s="36"/>
      <c r="L497" s="36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8"/>
      <c r="AS497" s="38"/>
      <c r="AT497" s="38"/>
      <c r="AU497" s="33"/>
      <c r="AV497" s="39"/>
    </row>
    <row r="498" spans="1:48">
      <c r="A498" s="1"/>
      <c r="D498" s="33"/>
      <c r="E498" s="33"/>
      <c r="F498" s="33"/>
      <c r="G498" s="33"/>
      <c r="H498" s="34"/>
      <c r="J498" s="36"/>
      <c r="K498" s="36"/>
      <c r="L498" s="36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8"/>
      <c r="AS498" s="38"/>
      <c r="AT498" s="38"/>
      <c r="AU498" s="33"/>
      <c r="AV498" s="39"/>
    </row>
    <row r="499" spans="1:48">
      <c r="A499" s="1"/>
      <c r="D499" s="33"/>
      <c r="E499" s="33"/>
      <c r="F499" s="33"/>
      <c r="G499" s="33"/>
      <c r="H499" s="34"/>
      <c r="J499" s="36"/>
      <c r="K499" s="36"/>
      <c r="L499" s="36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8"/>
      <c r="AS499" s="38"/>
      <c r="AT499" s="38"/>
      <c r="AU499" s="33"/>
      <c r="AV499" s="39"/>
    </row>
    <row r="500" spans="1:48">
      <c r="A500" s="1"/>
      <c r="D500" s="33"/>
      <c r="E500" s="33"/>
      <c r="F500" s="33"/>
      <c r="G500" s="33"/>
      <c r="H500" s="34"/>
      <c r="J500" s="36"/>
      <c r="K500" s="36"/>
      <c r="L500" s="36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8"/>
      <c r="AS500" s="38"/>
      <c r="AT500" s="38"/>
      <c r="AU500" s="33"/>
      <c r="AV500" s="39"/>
    </row>
    <row r="501" spans="1:48">
      <c r="A501" s="1"/>
      <c r="D501" s="33"/>
      <c r="E501" s="33"/>
      <c r="F501" s="33"/>
      <c r="G501" s="33"/>
      <c r="H501" s="34"/>
      <c r="J501" s="36"/>
      <c r="K501" s="36"/>
      <c r="L501" s="36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8"/>
      <c r="AS501" s="38"/>
      <c r="AT501" s="38"/>
      <c r="AU501" s="33"/>
      <c r="AV501" s="39"/>
    </row>
    <row r="502" spans="1:48">
      <c r="A502" s="1"/>
      <c r="D502" s="33"/>
      <c r="E502" s="33"/>
      <c r="F502" s="33"/>
      <c r="G502" s="33"/>
      <c r="H502" s="34"/>
      <c r="J502" s="36"/>
      <c r="K502" s="36"/>
      <c r="L502" s="36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8"/>
      <c r="AS502" s="38"/>
      <c r="AT502" s="38"/>
      <c r="AU502" s="33"/>
      <c r="AV502" s="39"/>
    </row>
    <row r="503" spans="1:48">
      <c r="A503" s="1"/>
      <c r="D503" s="33"/>
      <c r="E503" s="33"/>
      <c r="F503" s="33"/>
      <c r="G503" s="33"/>
      <c r="H503" s="34"/>
      <c r="J503" s="36"/>
      <c r="K503" s="36"/>
      <c r="L503" s="36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8"/>
      <c r="AS503" s="38"/>
      <c r="AT503" s="38"/>
      <c r="AU503" s="33"/>
      <c r="AV503" s="39"/>
    </row>
    <row r="504" spans="1:48">
      <c r="A504" s="1"/>
      <c r="D504" s="33"/>
      <c r="E504" s="33"/>
      <c r="F504" s="33"/>
      <c r="G504" s="33"/>
      <c r="H504" s="34"/>
      <c r="J504" s="36"/>
      <c r="K504" s="36"/>
      <c r="L504" s="36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8"/>
      <c r="AS504" s="38"/>
      <c r="AT504" s="38"/>
      <c r="AU504" s="33"/>
      <c r="AV504" s="39"/>
    </row>
    <row r="505" spans="1:48">
      <c r="A505" s="1"/>
      <c r="D505" s="33"/>
      <c r="E505" s="33"/>
      <c r="F505" s="33"/>
      <c r="G505" s="33"/>
      <c r="H505" s="34"/>
      <c r="J505" s="36"/>
      <c r="K505" s="36"/>
      <c r="L505" s="36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8"/>
      <c r="AS505" s="38"/>
      <c r="AT505" s="38"/>
      <c r="AU505" s="33"/>
      <c r="AV505" s="39"/>
    </row>
    <row r="506" spans="1:48">
      <c r="A506" s="1"/>
      <c r="D506" s="33"/>
      <c r="E506" s="33"/>
      <c r="F506" s="33"/>
      <c r="G506" s="33"/>
      <c r="H506" s="34"/>
      <c r="J506" s="36"/>
      <c r="K506" s="36"/>
      <c r="L506" s="36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8"/>
      <c r="AS506" s="38"/>
      <c r="AT506" s="38"/>
      <c r="AU506" s="33"/>
      <c r="AV506" s="39"/>
    </row>
    <row r="507" spans="1:48">
      <c r="A507" s="1"/>
      <c r="D507" s="33"/>
      <c r="E507" s="33"/>
      <c r="F507" s="33"/>
      <c r="G507" s="33"/>
      <c r="H507" s="34"/>
      <c r="J507" s="36"/>
      <c r="K507" s="36"/>
      <c r="L507" s="36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8"/>
      <c r="AS507" s="38"/>
      <c r="AT507" s="38"/>
      <c r="AU507" s="33"/>
      <c r="AV507" s="39"/>
    </row>
    <row r="508" spans="1:48">
      <c r="A508" s="1"/>
      <c r="D508" s="33"/>
      <c r="E508" s="33"/>
      <c r="F508" s="33"/>
      <c r="G508" s="33"/>
      <c r="H508" s="34"/>
      <c r="J508" s="36"/>
      <c r="K508" s="36"/>
      <c r="L508" s="36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8"/>
      <c r="AS508" s="38"/>
      <c r="AT508" s="38"/>
      <c r="AU508" s="33"/>
      <c r="AV508" s="39"/>
    </row>
    <row r="509" spans="1:48">
      <c r="A509" s="1"/>
      <c r="D509" s="33"/>
      <c r="E509" s="33"/>
      <c r="F509" s="33"/>
      <c r="G509" s="33"/>
      <c r="H509" s="34"/>
      <c r="J509" s="36"/>
      <c r="K509" s="36"/>
      <c r="L509" s="36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8"/>
      <c r="AS509" s="38"/>
      <c r="AT509" s="38"/>
      <c r="AU509" s="33"/>
      <c r="AV509" s="39"/>
    </row>
    <row r="510" spans="1:48">
      <c r="A510" s="1"/>
      <c r="D510" s="33"/>
      <c r="E510" s="33"/>
      <c r="F510" s="33"/>
      <c r="G510" s="33"/>
      <c r="H510" s="34"/>
      <c r="J510" s="36"/>
      <c r="K510" s="36"/>
      <c r="L510" s="36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8"/>
      <c r="AS510" s="38"/>
      <c r="AT510" s="38"/>
      <c r="AU510" s="33"/>
      <c r="AV510" s="39"/>
    </row>
    <row r="511" spans="1:48">
      <c r="A511" s="1"/>
      <c r="D511" s="33"/>
      <c r="E511" s="33"/>
      <c r="F511" s="33"/>
      <c r="G511" s="33"/>
      <c r="H511" s="34"/>
      <c r="J511" s="36"/>
      <c r="K511" s="36"/>
      <c r="L511" s="36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8"/>
      <c r="AS511" s="38"/>
      <c r="AT511" s="38"/>
      <c r="AU511" s="33"/>
      <c r="AV511" s="39"/>
    </row>
    <row r="512" spans="1:48">
      <c r="A512" s="1"/>
      <c r="D512" s="33"/>
      <c r="E512" s="33"/>
      <c r="F512" s="33"/>
      <c r="G512" s="33"/>
      <c r="H512" s="34"/>
      <c r="J512" s="36"/>
      <c r="K512" s="36"/>
      <c r="L512" s="36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8"/>
      <c r="AS512" s="38"/>
      <c r="AT512" s="38"/>
      <c r="AU512" s="33"/>
      <c r="AV512" s="39"/>
    </row>
    <row r="513" spans="1:48">
      <c r="A513" s="1"/>
      <c r="D513" s="33"/>
      <c r="E513" s="33"/>
      <c r="F513" s="33"/>
      <c r="G513" s="33"/>
      <c r="H513" s="34"/>
      <c r="J513" s="36"/>
      <c r="K513" s="36"/>
      <c r="L513" s="36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8"/>
      <c r="AS513" s="38"/>
      <c r="AT513" s="38"/>
      <c r="AU513" s="33"/>
      <c r="AV513" s="39"/>
    </row>
    <row r="514" spans="1:48">
      <c r="A514" s="1"/>
      <c r="D514" s="33"/>
      <c r="E514" s="33"/>
      <c r="F514" s="33"/>
      <c r="G514" s="33"/>
      <c r="H514" s="34"/>
      <c r="J514" s="36"/>
      <c r="K514" s="36"/>
      <c r="L514" s="36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8"/>
      <c r="AS514" s="38"/>
      <c r="AT514" s="38"/>
      <c r="AU514" s="33"/>
      <c r="AV514" s="39"/>
    </row>
    <row r="515" spans="1:48">
      <c r="A515" s="1"/>
      <c r="D515" s="33"/>
      <c r="E515" s="33"/>
      <c r="F515" s="33"/>
      <c r="G515" s="33"/>
      <c r="H515" s="34"/>
      <c r="J515" s="36"/>
      <c r="K515" s="36"/>
      <c r="L515" s="36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8"/>
      <c r="AS515" s="38"/>
      <c r="AT515" s="38"/>
      <c r="AU515" s="33"/>
      <c r="AV515" s="39"/>
    </row>
    <row r="516" spans="1:48">
      <c r="A516" s="1"/>
      <c r="D516" s="33"/>
      <c r="E516" s="33"/>
      <c r="F516" s="33"/>
      <c r="G516" s="33"/>
      <c r="H516" s="34"/>
      <c r="J516" s="36"/>
      <c r="K516" s="36"/>
      <c r="L516" s="36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8"/>
      <c r="AS516" s="38"/>
      <c r="AT516" s="38"/>
      <c r="AU516" s="33"/>
      <c r="AV516" s="39"/>
    </row>
    <row r="517" spans="1:48">
      <c r="A517" s="1"/>
      <c r="D517" s="33"/>
      <c r="E517" s="33"/>
      <c r="F517" s="33"/>
      <c r="G517" s="33"/>
      <c r="H517" s="34"/>
      <c r="J517" s="36"/>
      <c r="K517" s="36"/>
      <c r="L517" s="36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8"/>
      <c r="AS517" s="38"/>
      <c r="AT517" s="38"/>
      <c r="AU517" s="33"/>
      <c r="AV517" s="39"/>
    </row>
    <row r="518" spans="1:48">
      <c r="A518" s="1"/>
      <c r="D518" s="33"/>
      <c r="E518" s="33"/>
      <c r="F518" s="33"/>
      <c r="G518" s="33"/>
      <c r="H518" s="34"/>
      <c r="J518" s="36"/>
      <c r="K518" s="36"/>
      <c r="L518" s="36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8"/>
      <c r="AS518" s="38"/>
      <c r="AT518" s="38"/>
      <c r="AU518" s="33"/>
      <c r="AV518" s="39"/>
    </row>
    <row r="519" spans="1:48">
      <c r="A519" s="1"/>
      <c r="D519" s="33"/>
      <c r="E519" s="33"/>
      <c r="F519" s="33"/>
      <c r="G519" s="33"/>
      <c r="H519" s="34"/>
      <c r="J519" s="36"/>
      <c r="K519" s="36"/>
      <c r="L519" s="36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8"/>
      <c r="AS519" s="38"/>
      <c r="AT519" s="38"/>
      <c r="AU519" s="33"/>
      <c r="AV519" s="39"/>
    </row>
    <row r="520" spans="1:48">
      <c r="A520" s="1"/>
      <c r="D520" s="33"/>
      <c r="E520" s="33"/>
      <c r="F520" s="33"/>
      <c r="G520" s="33"/>
      <c r="H520" s="34"/>
      <c r="J520" s="36"/>
      <c r="K520" s="36"/>
      <c r="L520" s="36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8"/>
      <c r="AS520" s="38"/>
      <c r="AT520" s="38"/>
      <c r="AU520" s="33"/>
      <c r="AV520" s="39"/>
    </row>
    <row r="521" spans="1:48">
      <c r="A521" s="1"/>
      <c r="D521" s="33"/>
      <c r="E521" s="33"/>
      <c r="F521" s="33"/>
      <c r="G521" s="33"/>
      <c r="H521" s="34"/>
      <c r="J521" s="36"/>
      <c r="K521" s="36"/>
      <c r="L521" s="36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8"/>
      <c r="AS521" s="38"/>
      <c r="AT521" s="38"/>
      <c r="AU521" s="33"/>
      <c r="AV521" s="39"/>
    </row>
    <row r="522" spans="1:48">
      <c r="A522" s="1"/>
      <c r="D522" s="33"/>
      <c r="E522" s="33"/>
      <c r="F522" s="33"/>
      <c r="G522" s="33"/>
      <c r="H522" s="34"/>
      <c r="J522" s="36"/>
      <c r="K522" s="36"/>
      <c r="L522" s="36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8"/>
      <c r="AS522" s="38"/>
      <c r="AT522" s="38"/>
      <c r="AU522" s="33"/>
      <c r="AV522" s="39"/>
    </row>
    <row r="523" spans="1:48">
      <c r="A523" s="1"/>
      <c r="D523" s="33"/>
      <c r="E523" s="33"/>
      <c r="F523" s="33"/>
      <c r="G523" s="33"/>
      <c r="H523" s="34"/>
      <c r="J523" s="36"/>
      <c r="K523" s="36"/>
      <c r="L523" s="36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8"/>
      <c r="AS523" s="38"/>
      <c r="AT523" s="38"/>
      <c r="AU523" s="33"/>
      <c r="AV523" s="39"/>
    </row>
    <row r="524" spans="1:48">
      <c r="A524" s="1"/>
      <c r="D524" s="33"/>
      <c r="E524" s="33"/>
      <c r="F524" s="33"/>
      <c r="G524" s="33"/>
      <c r="H524" s="34"/>
      <c r="J524" s="36"/>
      <c r="K524" s="36"/>
      <c r="L524" s="36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8"/>
      <c r="AS524" s="38"/>
      <c r="AT524" s="38"/>
      <c r="AU524" s="33"/>
      <c r="AV524" s="39"/>
    </row>
    <row r="525" spans="1:48">
      <c r="A525" s="1"/>
      <c r="D525" s="33"/>
      <c r="E525" s="33"/>
      <c r="F525" s="33"/>
      <c r="G525" s="33"/>
      <c r="H525" s="34"/>
      <c r="J525" s="36"/>
      <c r="K525" s="36"/>
      <c r="L525" s="36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8"/>
      <c r="AS525" s="38"/>
      <c r="AT525" s="38"/>
      <c r="AU525" s="33"/>
      <c r="AV525" s="39"/>
    </row>
    <row r="526" spans="1:48">
      <c r="A526" s="1"/>
      <c r="D526" s="33"/>
      <c r="E526" s="33"/>
      <c r="F526" s="33"/>
      <c r="G526" s="33"/>
      <c r="H526" s="34"/>
      <c r="J526" s="36"/>
      <c r="K526" s="36"/>
      <c r="L526" s="36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8"/>
      <c r="AS526" s="38"/>
      <c r="AT526" s="38"/>
      <c r="AU526" s="33"/>
      <c r="AV526" s="39"/>
    </row>
    <row r="527" spans="1:48">
      <c r="A527" s="1"/>
      <c r="D527" s="33"/>
      <c r="E527" s="33"/>
      <c r="F527" s="33"/>
      <c r="G527" s="33"/>
      <c r="H527" s="34"/>
      <c r="J527" s="36"/>
      <c r="K527" s="36"/>
      <c r="L527" s="36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8"/>
      <c r="AS527" s="38"/>
      <c r="AT527" s="38"/>
      <c r="AU527" s="33"/>
      <c r="AV527" s="39"/>
    </row>
    <row r="528" spans="1:48">
      <c r="A528" s="1"/>
      <c r="D528" s="33"/>
      <c r="E528" s="33"/>
      <c r="F528" s="33"/>
      <c r="G528" s="33"/>
      <c r="H528" s="34"/>
      <c r="J528" s="36"/>
      <c r="K528" s="36"/>
      <c r="L528" s="36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8"/>
      <c r="AS528" s="38"/>
      <c r="AT528" s="38"/>
      <c r="AU528" s="33"/>
      <c r="AV528" s="39"/>
    </row>
    <row r="529" spans="1:48">
      <c r="A529" s="1"/>
      <c r="D529" s="33"/>
      <c r="E529" s="33"/>
      <c r="F529" s="33"/>
      <c r="G529" s="33"/>
      <c r="H529" s="34"/>
      <c r="J529" s="36"/>
      <c r="K529" s="36"/>
      <c r="L529" s="36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8"/>
      <c r="AS529" s="38"/>
      <c r="AT529" s="38"/>
      <c r="AU529" s="33"/>
      <c r="AV529" s="39"/>
    </row>
    <row r="530" spans="1:48">
      <c r="A530" s="1"/>
      <c r="D530" s="33"/>
      <c r="E530" s="33"/>
      <c r="F530" s="33"/>
      <c r="G530" s="33"/>
      <c r="H530" s="34"/>
      <c r="J530" s="36"/>
      <c r="K530" s="36"/>
      <c r="L530" s="36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8"/>
      <c r="AS530" s="38"/>
      <c r="AT530" s="38"/>
      <c r="AU530" s="33"/>
      <c r="AV530" s="39"/>
    </row>
    <row r="531" spans="1:48">
      <c r="A531" s="1"/>
      <c r="D531" s="33"/>
      <c r="E531" s="33"/>
      <c r="F531" s="33"/>
      <c r="G531" s="33"/>
      <c r="H531" s="34"/>
      <c r="J531" s="36"/>
      <c r="K531" s="36"/>
      <c r="L531" s="36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8"/>
      <c r="AS531" s="38"/>
      <c r="AT531" s="38"/>
      <c r="AU531" s="33"/>
      <c r="AV531" s="39"/>
    </row>
    <row r="532" spans="1:48">
      <c r="A532" s="1"/>
      <c r="D532" s="33"/>
      <c r="E532" s="33"/>
      <c r="F532" s="33"/>
      <c r="G532" s="33"/>
      <c r="H532" s="34"/>
      <c r="J532" s="36"/>
      <c r="K532" s="36"/>
      <c r="L532" s="36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8"/>
      <c r="AS532" s="38"/>
      <c r="AT532" s="38"/>
      <c r="AU532" s="33"/>
      <c r="AV532" s="39"/>
    </row>
    <row r="533" spans="1:48">
      <c r="A533" s="1"/>
      <c r="D533" s="33"/>
      <c r="E533" s="33"/>
      <c r="F533" s="33"/>
      <c r="G533" s="33"/>
      <c r="H533" s="34"/>
      <c r="J533" s="36"/>
      <c r="K533" s="36"/>
      <c r="L533" s="36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8"/>
      <c r="AS533" s="38"/>
      <c r="AT533" s="38"/>
      <c r="AU533" s="33"/>
      <c r="AV533" s="39"/>
    </row>
    <row r="534" spans="1:48">
      <c r="A534" s="1"/>
      <c r="D534" s="33"/>
      <c r="E534" s="33"/>
      <c r="F534" s="33"/>
      <c r="G534" s="33"/>
      <c r="H534" s="34"/>
      <c r="J534" s="36"/>
      <c r="K534" s="36"/>
      <c r="L534" s="36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8"/>
      <c r="AS534" s="38"/>
      <c r="AT534" s="38"/>
      <c r="AU534" s="33"/>
      <c r="AV534" s="39"/>
    </row>
    <row r="535" spans="1:48">
      <c r="A535" s="1"/>
      <c r="D535" s="33"/>
      <c r="E535" s="33"/>
      <c r="F535" s="33"/>
      <c r="G535" s="33"/>
      <c r="H535" s="34"/>
      <c r="J535" s="36"/>
      <c r="K535" s="36"/>
      <c r="L535" s="36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8"/>
      <c r="AS535" s="38"/>
      <c r="AT535" s="38"/>
      <c r="AU535" s="33"/>
      <c r="AV535" s="39"/>
    </row>
    <row r="536" spans="1:48">
      <c r="A536" s="1"/>
      <c r="D536" s="33"/>
      <c r="E536" s="33"/>
      <c r="F536" s="33"/>
      <c r="G536" s="33"/>
      <c r="H536" s="34"/>
      <c r="J536" s="36"/>
      <c r="K536" s="36"/>
      <c r="L536" s="36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8"/>
      <c r="AS536" s="38"/>
      <c r="AT536" s="38"/>
      <c r="AU536" s="33"/>
      <c r="AV536" s="39"/>
    </row>
    <row r="537" spans="1:48">
      <c r="A537" s="1"/>
      <c r="D537" s="33"/>
      <c r="E537" s="33"/>
      <c r="F537" s="33"/>
      <c r="G537" s="33"/>
      <c r="H537" s="34"/>
      <c r="J537" s="36"/>
      <c r="K537" s="36"/>
      <c r="L537" s="36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8"/>
      <c r="AS537" s="38"/>
      <c r="AT537" s="38"/>
      <c r="AU537" s="33"/>
      <c r="AV537" s="39"/>
    </row>
    <row r="538" spans="1:48">
      <c r="A538" s="1"/>
      <c r="D538" s="33"/>
      <c r="E538" s="33"/>
      <c r="F538" s="33"/>
      <c r="G538" s="33"/>
      <c r="H538" s="34"/>
      <c r="J538" s="36"/>
      <c r="K538" s="36"/>
      <c r="L538" s="36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8"/>
      <c r="AS538" s="38"/>
      <c r="AT538" s="38"/>
      <c r="AU538" s="33"/>
      <c r="AV538" s="39"/>
    </row>
    <row r="539" spans="1:48">
      <c r="A539" s="1"/>
      <c r="D539" s="33"/>
      <c r="E539" s="33"/>
      <c r="F539" s="33"/>
      <c r="G539" s="33"/>
      <c r="H539" s="34"/>
      <c r="J539" s="36"/>
      <c r="K539" s="36"/>
      <c r="L539" s="36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8"/>
      <c r="AS539" s="38"/>
      <c r="AT539" s="38"/>
      <c r="AU539" s="33"/>
      <c r="AV539" s="39"/>
    </row>
    <row r="540" spans="1:48">
      <c r="A540" s="1"/>
      <c r="D540" s="33"/>
      <c r="E540" s="33"/>
      <c r="F540" s="33"/>
      <c r="G540" s="33"/>
      <c r="H540" s="34"/>
      <c r="J540" s="36"/>
      <c r="K540" s="36"/>
      <c r="L540" s="36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8"/>
      <c r="AS540" s="38"/>
      <c r="AT540" s="38"/>
      <c r="AU540" s="33"/>
      <c r="AV540" s="39"/>
    </row>
    <row r="541" spans="1:48">
      <c r="A541" s="1"/>
      <c r="D541" s="33"/>
      <c r="E541" s="33"/>
      <c r="F541" s="33"/>
      <c r="G541" s="33"/>
      <c r="H541" s="34"/>
      <c r="J541" s="36"/>
      <c r="K541" s="36"/>
      <c r="L541" s="36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8"/>
      <c r="AS541" s="38"/>
      <c r="AT541" s="38"/>
      <c r="AU541" s="33"/>
      <c r="AV541" s="39"/>
    </row>
    <row r="542" spans="1:48">
      <c r="A542" s="1"/>
      <c r="D542" s="33"/>
      <c r="E542" s="33"/>
      <c r="F542" s="33"/>
      <c r="G542" s="33"/>
      <c r="H542" s="34"/>
      <c r="J542" s="36"/>
      <c r="K542" s="36"/>
      <c r="L542" s="36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8"/>
      <c r="AS542" s="38"/>
      <c r="AT542" s="38"/>
      <c r="AU542" s="33"/>
      <c r="AV542" s="39"/>
    </row>
    <row r="543" spans="1:48">
      <c r="A543" s="1"/>
      <c r="D543" s="33"/>
      <c r="E543" s="33"/>
      <c r="F543" s="33"/>
      <c r="G543" s="33"/>
      <c r="H543" s="34"/>
      <c r="J543" s="36"/>
      <c r="K543" s="36"/>
      <c r="L543" s="36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8"/>
      <c r="AS543" s="38"/>
      <c r="AT543" s="38"/>
      <c r="AU543" s="33"/>
      <c r="AV543" s="39"/>
    </row>
    <row r="544" spans="1:48">
      <c r="A544" s="1"/>
      <c r="D544" s="33"/>
      <c r="E544" s="33"/>
      <c r="F544" s="33"/>
      <c r="G544" s="33"/>
      <c r="H544" s="34"/>
      <c r="J544" s="36"/>
      <c r="K544" s="36"/>
      <c r="L544" s="36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8"/>
      <c r="AS544" s="38"/>
      <c r="AT544" s="38"/>
      <c r="AU544" s="33"/>
      <c r="AV544" s="39"/>
    </row>
    <row r="545" spans="1:48">
      <c r="A545" s="1"/>
      <c r="D545" s="33"/>
      <c r="E545" s="33"/>
      <c r="F545" s="33"/>
      <c r="G545" s="33"/>
      <c r="H545" s="34"/>
      <c r="J545" s="36"/>
      <c r="K545" s="36"/>
      <c r="L545" s="36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8"/>
      <c r="AS545" s="38"/>
      <c r="AT545" s="38"/>
      <c r="AU545" s="33"/>
      <c r="AV545" s="39"/>
    </row>
    <row r="546" spans="1:48">
      <c r="A546" s="1"/>
      <c r="D546" s="33"/>
      <c r="E546" s="33"/>
      <c r="F546" s="33"/>
      <c r="G546" s="33"/>
      <c r="H546" s="34"/>
      <c r="J546" s="36"/>
      <c r="K546" s="36"/>
      <c r="L546" s="36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8"/>
      <c r="AS546" s="38"/>
      <c r="AT546" s="38"/>
      <c r="AU546" s="33"/>
      <c r="AV546" s="39"/>
    </row>
    <row r="547" spans="1:48">
      <c r="A547" s="1"/>
      <c r="D547" s="33"/>
      <c r="E547" s="33"/>
      <c r="F547" s="33"/>
      <c r="G547" s="33"/>
      <c r="H547" s="34"/>
      <c r="J547" s="36"/>
      <c r="K547" s="36"/>
      <c r="L547" s="36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8"/>
      <c r="AS547" s="38"/>
      <c r="AT547" s="38"/>
      <c r="AU547" s="33"/>
      <c r="AV547" s="39"/>
    </row>
    <row r="548" spans="1:48">
      <c r="A548" s="1"/>
      <c r="D548" s="33"/>
      <c r="E548" s="33"/>
      <c r="F548" s="33"/>
      <c r="G548" s="33"/>
      <c r="H548" s="34"/>
      <c r="J548" s="36"/>
      <c r="K548" s="36"/>
      <c r="L548" s="36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8"/>
      <c r="AS548" s="38"/>
      <c r="AT548" s="38"/>
      <c r="AU548" s="33"/>
      <c r="AV548" s="39"/>
    </row>
    <row r="549" spans="1:48">
      <c r="A549" s="1"/>
      <c r="D549" s="33"/>
      <c r="E549" s="33"/>
      <c r="F549" s="33"/>
      <c r="G549" s="33"/>
      <c r="H549" s="34"/>
      <c r="J549" s="36"/>
      <c r="K549" s="36"/>
      <c r="L549" s="36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8"/>
      <c r="AS549" s="38"/>
      <c r="AT549" s="38"/>
      <c r="AU549" s="33"/>
      <c r="AV549" s="39"/>
    </row>
    <row r="550" spans="1:48">
      <c r="A550" s="1"/>
      <c r="D550" s="33"/>
      <c r="E550" s="33"/>
      <c r="F550" s="33"/>
      <c r="G550" s="33"/>
      <c r="H550" s="34"/>
      <c r="J550" s="36"/>
      <c r="K550" s="36"/>
      <c r="L550" s="36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8"/>
      <c r="AS550" s="38"/>
      <c r="AT550" s="38"/>
      <c r="AU550" s="33"/>
      <c r="AV550" s="39"/>
    </row>
    <row r="551" spans="1:48">
      <c r="A551" s="1"/>
      <c r="D551" s="33"/>
      <c r="E551" s="33"/>
      <c r="F551" s="33"/>
      <c r="G551" s="33"/>
      <c r="H551" s="34"/>
      <c r="J551" s="36"/>
      <c r="K551" s="36"/>
      <c r="L551" s="36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8"/>
      <c r="AS551" s="38"/>
      <c r="AT551" s="38"/>
      <c r="AU551" s="33"/>
      <c r="AV551" s="39"/>
    </row>
    <row r="552" spans="1:48">
      <c r="A552" s="1"/>
      <c r="D552" s="33"/>
      <c r="E552" s="33"/>
      <c r="F552" s="33"/>
      <c r="G552" s="33"/>
      <c r="H552" s="34"/>
      <c r="J552" s="36"/>
      <c r="K552" s="36"/>
      <c r="L552" s="36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8"/>
      <c r="AS552" s="38"/>
      <c r="AT552" s="38"/>
      <c r="AU552" s="33"/>
      <c r="AV552" s="39"/>
    </row>
    <row r="553" spans="1:48">
      <c r="A553" s="1"/>
      <c r="D553" s="33"/>
      <c r="E553" s="33"/>
      <c r="F553" s="33"/>
      <c r="G553" s="33"/>
      <c r="H553" s="34"/>
      <c r="J553" s="36"/>
      <c r="K553" s="36"/>
      <c r="L553" s="36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8"/>
      <c r="AS553" s="38"/>
      <c r="AT553" s="38"/>
      <c r="AU553" s="33"/>
      <c r="AV553" s="39"/>
    </row>
    <row r="554" spans="1:48">
      <c r="A554" s="1"/>
      <c r="D554" s="33"/>
      <c r="E554" s="33"/>
      <c r="F554" s="33"/>
      <c r="G554" s="33"/>
      <c r="H554" s="34"/>
      <c r="J554" s="36"/>
      <c r="K554" s="36"/>
      <c r="L554" s="36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8"/>
      <c r="AS554" s="38"/>
      <c r="AT554" s="38"/>
      <c r="AU554" s="33"/>
      <c r="AV554" s="39"/>
    </row>
    <row r="555" spans="1:48">
      <c r="A555" s="1"/>
      <c r="D555" s="33"/>
      <c r="E555" s="33"/>
      <c r="F555" s="33"/>
      <c r="G555" s="33"/>
      <c r="H555" s="34"/>
      <c r="J555" s="36"/>
      <c r="K555" s="36"/>
      <c r="L555" s="36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8"/>
      <c r="AS555" s="38"/>
      <c r="AT555" s="38"/>
      <c r="AU555" s="33"/>
      <c r="AV555" s="39"/>
    </row>
    <row r="556" spans="1:48">
      <c r="A556" s="1"/>
      <c r="D556" s="33"/>
      <c r="E556" s="33"/>
      <c r="F556" s="33"/>
      <c r="G556" s="33"/>
      <c r="H556" s="34"/>
      <c r="J556" s="36"/>
      <c r="K556" s="36"/>
      <c r="L556" s="36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8"/>
      <c r="AS556" s="38"/>
      <c r="AT556" s="38"/>
      <c r="AU556" s="33"/>
      <c r="AV556" s="39"/>
    </row>
    <row r="557" spans="1:48">
      <c r="A557" s="1"/>
      <c r="D557" s="33"/>
      <c r="E557" s="33"/>
      <c r="F557" s="33"/>
      <c r="G557" s="33"/>
      <c r="H557" s="34"/>
      <c r="J557" s="36"/>
      <c r="K557" s="36"/>
      <c r="L557" s="36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8"/>
      <c r="AS557" s="38"/>
      <c r="AT557" s="38"/>
      <c r="AU557" s="33"/>
      <c r="AV557" s="39"/>
    </row>
    <row r="558" spans="1:48">
      <c r="A558" s="1"/>
      <c r="D558" s="33"/>
      <c r="E558" s="33"/>
      <c r="F558" s="33"/>
      <c r="G558" s="33"/>
      <c r="H558" s="34"/>
      <c r="J558" s="36"/>
      <c r="K558" s="36"/>
      <c r="L558" s="36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8"/>
      <c r="AS558" s="38"/>
      <c r="AT558" s="38"/>
      <c r="AU558" s="33"/>
      <c r="AV558" s="39"/>
    </row>
    <row r="559" spans="1:48">
      <c r="A559" s="1"/>
      <c r="D559" s="33"/>
      <c r="E559" s="33"/>
      <c r="F559" s="33"/>
      <c r="G559" s="33"/>
      <c r="H559" s="34"/>
      <c r="J559" s="36"/>
      <c r="K559" s="36"/>
      <c r="L559" s="36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8"/>
      <c r="AS559" s="38"/>
      <c r="AT559" s="38"/>
      <c r="AU559" s="33"/>
      <c r="AV559" s="39"/>
    </row>
    <row r="560" spans="1:48">
      <c r="A560" s="1"/>
      <c r="D560" s="33"/>
      <c r="E560" s="33"/>
      <c r="F560" s="33"/>
      <c r="G560" s="33"/>
      <c r="H560" s="34"/>
      <c r="J560" s="36"/>
      <c r="K560" s="36"/>
      <c r="L560" s="36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8"/>
      <c r="AS560" s="38"/>
      <c r="AT560" s="38"/>
      <c r="AU560" s="33"/>
      <c r="AV560" s="39"/>
    </row>
    <row r="561" spans="1:48">
      <c r="A561" s="1"/>
      <c r="D561" s="33"/>
      <c r="E561" s="33"/>
      <c r="F561" s="33"/>
      <c r="G561" s="33"/>
      <c r="H561" s="34"/>
      <c r="J561" s="36"/>
      <c r="K561" s="36"/>
      <c r="L561" s="36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8"/>
      <c r="AS561" s="38"/>
      <c r="AT561" s="38"/>
      <c r="AU561" s="33"/>
      <c r="AV561" s="39"/>
    </row>
    <row r="562" spans="1:48">
      <c r="A562" s="1"/>
      <c r="D562" s="33"/>
      <c r="E562" s="33"/>
      <c r="F562" s="33"/>
      <c r="G562" s="33"/>
      <c r="H562" s="34"/>
      <c r="J562" s="36"/>
      <c r="K562" s="36"/>
      <c r="L562" s="36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8"/>
      <c r="AS562" s="38"/>
      <c r="AT562" s="38"/>
      <c r="AU562" s="33"/>
      <c r="AV562" s="39"/>
    </row>
    <row r="563" spans="1:48">
      <c r="A563" s="1"/>
      <c r="D563" s="33"/>
      <c r="E563" s="33"/>
      <c r="F563" s="33"/>
      <c r="G563" s="33"/>
      <c r="H563" s="34"/>
      <c r="J563" s="36"/>
      <c r="K563" s="36"/>
      <c r="L563" s="36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8"/>
      <c r="AS563" s="38"/>
      <c r="AT563" s="38"/>
      <c r="AU563" s="33"/>
      <c r="AV563" s="39"/>
    </row>
    <row r="564" spans="1:48">
      <c r="A564" s="1"/>
      <c r="D564" s="33"/>
      <c r="E564" s="33"/>
      <c r="F564" s="33"/>
      <c r="G564" s="33"/>
      <c r="H564" s="34"/>
      <c r="J564" s="36"/>
      <c r="K564" s="36"/>
      <c r="L564" s="36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8"/>
      <c r="AS564" s="38"/>
      <c r="AT564" s="38"/>
      <c r="AU564" s="33"/>
      <c r="AV564" s="39"/>
    </row>
    <row r="565" spans="1:48">
      <c r="A565" s="1"/>
      <c r="D565" s="33"/>
      <c r="E565" s="33"/>
      <c r="F565" s="33"/>
      <c r="G565" s="33"/>
      <c r="H565" s="34"/>
      <c r="J565" s="36"/>
      <c r="K565" s="36"/>
      <c r="L565" s="36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8"/>
      <c r="AS565" s="38"/>
      <c r="AT565" s="38"/>
      <c r="AU565" s="33"/>
      <c r="AV565" s="39"/>
    </row>
    <row r="566" spans="1:48">
      <c r="A566" s="1"/>
      <c r="D566" s="33"/>
      <c r="E566" s="33"/>
      <c r="F566" s="33"/>
      <c r="G566" s="33"/>
      <c r="H566" s="34"/>
      <c r="J566" s="36"/>
      <c r="K566" s="36"/>
      <c r="L566" s="36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8"/>
      <c r="AS566" s="38"/>
      <c r="AT566" s="38"/>
      <c r="AU566" s="33"/>
      <c r="AV566" s="39"/>
    </row>
    <row r="567" spans="1:48">
      <c r="A567" s="1"/>
      <c r="D567" s="33"/>
      <c r="E567" s="33"/>
      <c r="F567" s="33"/>
      <c r="G567" s="33"/>
      <c r="H567" s="34"/>
      <c r="J567" s="36"/>
      <c r="K567" s="36"/>
      <c r="L567" s="36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8"/>
      <c r="AS567" s="38"/>
      <c r="AT567" s="38"/>
      <c r="AU567" s="33"/>
      <c r="AV567" s="39"/>
    </row>
    <row r="568" spans="1:48">
      <c r="A568" s="1"/>
      <c r="D568" s="33"/>
      <c r="E568" s="33"/>
      <c r="F568" s="33"/>
      <c r="G568" s="33"/>
      <c r="H568" s="34"/>
      <c r="J568" s="36"/>
      <c r="K568" s="36"/>
      <c r="L568" s="36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8"/>
      <c r="AS568" s="38"/>
      <c r="AT568" s="38"/>
      <c r="AU568" s="33"/>
      <c r="AV568" s="39"/>
    </row>
    <row r="569" spans="1:48">
      <c r="A569" s="1"/>
      <c r="D569" s="33"/>
      <c r="E569" s="33"/>
      <c r="F569" s="33"/>
      <c r="G569" s="33"/>
      <c r="H569" s="34"/>
      <c r="J569" s="36"/>
      <c r="K569" s="36"/>
      <c r="L569" s="36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8"/>
      <c r="AS569" s="38"/>
      <c r="AT569" s="38"/>
      <c r="AU569" s="33"/>
      <c r="AV569" s="39"/>
    </row>
    <row r="570" spans="1:48">
      <c r="A570" s="1"/>
      <c r="D570" s="33"/>
      <c r="E570" s="33"/>
      <c r="F570" s="33"/>
      <c r="G570" s="33"/>
      <c r="H570" s="34"/>
      <c r="J570" s="36"/>
      <c r="K570" s="36"/>
      <c r="L570" s="36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8"/>
      <c r="AS570" s="38"/>
      <c r="AT570" s="38"/>
      <c r="AU570" s="33"/>
      <c r="AV570" s="39"/>
    </row>
    <row r="571" spans="1:48">
      <c r="A571" s="1"/>
      <c r="D571" s="33"/>
      <c r="E571" s="33"/>
      <c r="F571" s="33"/>
      <c r="G571" s="33"/>
      <c r="H571" s="34"/>
      <c r="J571" s="36"/>
      <c r="K571" s="36"/>
      <c r="L571" s="36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8"/>
      <c r="AS571" s="38"/>
      <c r="AT571" s="38"/>
      <c r="AU571" s="33"/>
      <c r="AV571" s="39"/>
    </row>
    <row r="572" spans="1:48">
      <c r="A572" s="1"/>
      <c r="D572" s="33"/>
      <c r="E572" s="33"/>
      <c r="F572" s="33"/>
      <c r="G572" s="33"/>
      <c r="H572" s="34"/>
      <c r="J572" s="36"/>
      <c r="K572" s="36"/>
      <c r="L572" s="36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8"/>
      <c r="AS572" s="38"/>
      <c r="AT572" s="38"/>
      <c r="AU572" s="33"/>
      <c r="AV572" s="39"/>
    </row>
    <row r="573" spans="1:48">
      <c r="A573" s="1"/>
      <c r="D573" s="33"/>
      <c r="E573" s="33"/>
      <c r="F573" s="33"/>
      <c r="G573" s="33"/>
      <c r="H573" s="34"/>
      <c r="J573" s="36"/>
      <c r="K573" s="36"/>
      <c r="L573" s="36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8"/>
      <c r="AS573" s="38"/>
      <c r="AT573" s="38"/>
      <c r="AU573" s="33"/>
      <c r="AV573" s="39"/>
    </row>
    <row r="574" spans="1:48">
      <c r="A574" s="1"/>
      <c r="D574" s="33"/>
      <c r="E574" s="33"/>
      <c r="F574" s="33"/>
      <c r="G574" s="33"/>
      <c r="H574" s="34"/>
      <c r="J574" s="36"/>
      <c r="K574" s="36"/>
      <c r="L574" s="36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8"/>
      <c r="AS574" s="38"/>
      <c r="AT574" s="38"/>
      <c r="AU574" s="33"/>
      <c r="AV574" s="39"/>
    </row>
    <row r="575" spans="1:48">
      <c r="A575" s="1"/>
      <c r="D575" s="33"/>
      <c r="E575" s="33"/>
      <c r="F575" s="33"/>
      <c r="G575" s="33"/>
      <c r="H575" s="34"/>
      <c r="J575" s="36"/>
      <c r="K575" s="36"/>
      <c r="L575" s="36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8"/>
      <c r="AS575" s="38"/>
      <c r="AT575" s="38"/>
      <c r="AU575" s="33"/>
      <c r="AV575" s="39"/>
    </row>
    <row r="576" spans="1:48">
      <c r="A576" s="1"/>
      <c r="D576" s="33"/>
      <c r="E576" s="33"/>
      <c r="F576" s="33"/>
      <c r="G576" s="33"/>
      <c r="H576" s="34"/>
      <c r="J576" s="36"/>
      <c r="K576" s="36"/>
      <c r="L576" s="36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8"/>
      <c r="AS576" s="38"/>
      <c r="AT576" s="38"/>
      <c r="AU576" s="33"/>
      <c r="AV576" s="39"/>
    </row>
    <row r="577" spans="1:48">
      <c r="A577" s="1"/>
      <c r="D577" s="33"/>
      <c r="E577" s="33"/>
      <c r="F577" s="33"/>
      <c r="G577" s="33"/>
      <c r="H577" s="34"/>
      <c r="J577" s="36"/>
      <c r="K577" s="36"/>
      <c r="L577" s="36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8"/>
      <c r="AS577" s="38"/>
      <c r="AT577" s="38"/>
      <c r="AU577" s="33"/>
      <c r="AV577" s="39"/>
    </row>
    <row r="578" spans="1:48">
      <c r="A578" s="1"/>
      <c r="D578" s="33"/>
      <c r="E578" s="33"/>
      <c r="F578" s="33"/>
      <c r="G578" s="33"/>
      <c r="H578" s="34"/>
      <c r="J578" s="36"/>
      <c r="K578" s="36"/>
      <c r="L578" s="36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8"/>
      <c r="AS578" s="38"/>
      <c r="AT578" s="38"/>
      <c r="AU578" s="33"/>
      <c r="AV578" s="39"/>
    </row>
    <row r="579" spans="1:48">
      <c r="A579" s="1"/>
      <c r="D579" s="33"/>
      <c r="E579" s="33"/>
      <c r="F579" s="33"/>
      <c r="G579" s="33"/>
      <c r="H579" s="34"/>
      <c r="J579" s="36"/>
      <c r="K579" s="36"/>
      <c r="L579" s="36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8"/>
      <c r="AS579" s="38"/>
      <c r="AT579" s="38"/>
      <c r="AU579" s="33"/>
      <c r="AV579" s="39"/>
    </row>
    <row r="580" spans="1:48">
      <c r="A580" s="1"/>
      <c r="D580" s="33"/>
      <c r="E580" s="33"/>
      <c r="F580" s="33"/>
      <c r="G580" s="33"/>
      <c r="H580" s="34"/>
      <c r="J580" s="36"/>
      <c r="K580" s="36"/>
      <c r="L580" s="36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8"/>
      <c r="AS580" s="38"/>
      <c r="AT580" s="38"/>
      <c r="AU580" s="33"/>
      <c r="AV580" s="39"/>
    </row>
    <row r="581" spans="1:48">
      <c r="A581" s="1"/>
      <c r="D581" s="33"/>
      <c r="E581" s="33"/>
      <c r="F581" s="33"/>
      <c r="G581" s="33"/>
      <c r="H581" s="34"/>
      <c r="J581" s="36"/>
      <c r="K581" s="36"/>
      <c r="L581" s="36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8"/>
      <c r="AS581" s="38"/>
      <c r="AT581" s="38"/>
      <c r="AU581" s="33"/>
      <c r="AV581" s="39"/>
    </row>
    <row r="582" spans="1:48">
      <c r="A582" s="1"/>
      <c r="D582" s="33"/>
      <c r="E582" s="33"/>
      <c r="F582" s="33"/>
      <c r="G582" s="33"/>
      <c r="H582" s="34"/>
      <c r="J582" s="36"/>
      <c r="K582" s="36"/>
      <c r="L582" s="36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8"/>
      <c r="AS582" s="38"/>
      <c r="AT582" s="38"/>
      <c r="AU582" s="33"/>
      <c r="AV582" s="39"/>
    </row>
    <row r="583" spans="1:48">
      <c r="A583" s="1"/>
      <c r="D583" s="33"/>
      <c r="E583" s="33"/>
      <c r="F583" s="33"/>
      <c r="G583" s="33"/>
      <c r="H583" s="34"/>
      <c r="J583" s="36"/>
      <c r="K583" s="36"/>
      <c r="L583" s="36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8"/>
      <c r="AS583" s="38"/>
      <c r="AT583" s="38"/>
      <c r="AU583" s="33"/>
      <c r="AV583" s="39"/>
    </row>
    <row r="584" spans="1:48">
      <c r="A584" s="1"/>
      <c r="D584" s="33"/>
      <c r="E584" s="33"/>
      <c r="F584" s="33"/>
      <c r="G584" s="33"/>
      <c r="H584" s="34"/>
      <c r="J584" s="36"/>
      <c r="K584" s="36"/>
      <c r="L584" s="36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8"/>
      <c r="AS584" s="38"/>
      <c r="AT584" s="38"/>
      <c r="AU584" s="33"/>
      <c r="AV584" s="39"/>
    </row>
    <row r="585" spans="1:48">
      <c r="A585" s="1"/>
      <c r="D585" s="33"/>
      <c r="E585" s="33"/>
      <c r="F585" s="33"/>
      <c r="G585" s="33"/>
      <c r="H585" s="34"/>
      <c r="J585" s="36"/>
      <c r="K585" s="36"/>
      <c r="L585" s="36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8"/>
      <c r="AS585" s="38"/>
      <c r="AT585" s="38"/>
      <c r="AU585" s="33"/>
      <c r="AV585" s="39"/>
    </row>
    <row r="586" spans="1:48">
      <c r="A586" s="1"/>
      <c r="D586" s="33"/>
      <c r="E586" s="33"/>
      <c r="F586" s="33"/>
      <c r="G586" s="33"/>
      <c r="H586" s="34"/>
      <c r="J586" s="36"/>
      <c r="K586" s="36"/>
      <c r="L586" s="36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8"/>
      <c r="AS586" s="38"/>
      <c r="AT586" s="38"/>
      <c r="AU586" s="33"/>
      <c r="AV586" s="39"/>
    </row>
    <row r="587" spans="1:48">
      <c r="A587" s="1"/>
      <c r="D587" s="33"/>
      <c r="E587" s="33"/>
      <c r="F587" s="33"/>
      <c r="G587" s="33"/>
      <c r="H587" s="34"/>
      <c r="J587" s="36"/>
      <c r="K587" s="36"/>
      <c r="L587" s="36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8"/>
      <c r="AS587" s="38"/>
      <c r="AT587" s="38"/>
      <c r="AU587" s="33"/>
      <c r="AV587" s="39"/>
    </row>
    <row r="588" spans="1:48">
      <c r="A588" s="1"/>
      <c r="D588" s="33"/>
      <c r="E588" s="33"/>
      <c r="F588" s="33"/>
      <c r="G588" s="33"/>
      <c r="H588" s="34"/>
      <c r="J588" s="36"/>
      <c r="K588" s="36"/>
      <c r="L588" s="36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8"/>
      <c r="AS588" s="38"/>
      <c r="AT588" s="38"/>
      <c r="AU588" s="33"/>
      <c r="AV588" s="39"/>
    </row>
    <row r="589" spans="1:48">
      <c r="A589" s="1"/>
      <c r="D589" s="33"/>
      <c r="E589" s="33"/>
      <c r="F589" s="33"/>
      <c r="G589" s="33"/>
      <c r="H589" s="34"/>
      <c r="J589" s="36"/>
      <c r="K589" s="36"/>
      <c r="L589" s="36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8"/>
      <c r="AS589" s="38"/>
      <c r="AT589" s="38"/>
      <c r="AU589" s="33"/>
      <c r="AV589" s="39"/>
    </row>
    <row r="590" spans="1:48">
      <c r="A590" s="1"/>
      <c r="D590" s="33"/>
      <c r="E590" s="33"/>
      <c r="F590" s="33"/>
      <c r="G590" s="33"/>
      <c r="H590" s="34"/>
      <c r="J590" s="36"/>
      <c r="K590" s="36"/>
      <c r="L590" s="36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8"/>
      <c r="AS590" s="38"/>
      <c r="AT590" s="38"/>
      <c r="AU590" s="33"/>
      <c r="AV590" s="39"/>
    </row>
    <row r="591" spans="1:48">
      <c r="A591" s="1"/>
      <c r="D591" s="33"/>
      <c r="E591" s="33"/>
      <c r="F591" s="33"/>
      <c r="G591" s="33"/>
      <c r="H591" s="34"/>
      <c r="J591" s="36"/>
      <c r="K591" s="36"/>
      <c r="L591" s="36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8"/>
      <c r="AS591" s="38"/>
      <c r="AT591" s="38"/>
      <c r="AU591" s="33"/>
      <c r="AV591" s="39"/>
    </row>
    <row r="592" spans="1:48">
      <c r="A592" s="1"/>
      <c r="D592" s="33"/>
      <c r="E592" s="33"/>
      <c r="F592" s="33"/>
      <c r="G592" s="33"/>
      <c r="H592" s="34"/>
      <c r="J592" s="36"/>
      <c r="K592" s="36"/>
      <c r="L592" s="36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8"/>
      <c r="AS592" s="38"/>
      <c r="AT592" s="38"/>
      <c r="AU592" s="33"/>
      <c r="AV592" s="39"/>
    </row>
    <row r="593" spans="1:48">
      <c r="A593" s="1"/>
      <c r="D593" s="33"/>
      <c r="E593" s="33"/>
      <c r="F593" s="33"/>
      <c r="G593" s="33"/>
      <c r="H593" s="34"/>
      <c r="J593" s="36"/>
      <c r="K593" s="36"/>
      <c r="L593" s="36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8"/>
      <c r="AS593" s="38"/>
      <c r="AT593" s="38"/>
      <c r="AU593" s="33"/>
      <c r="AV593" s="39"/>
    </row>
    <row r="594" spans="1:48">
      <c r="A594" s="1"/>
      <c r="D594" s="33"/>
      <c r="E594" s="33"/>
      <c r="F594" s="33"/>
      <c r="G594" s="33"/>
      <c r="H594" s="34"/>
      <c r="J594" s="36"/>
      <c r="K594" s="36"/>
      <c r="L594" s="36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8"/>
      <c r="AS594" s="38"/>
      <c r="AT594" s="38"/>
      <c r="AU594" s="33"/>
      <c r="AV594" s="39"/>
    </row>
    <row r="595" spans="1:48">
      <c r="A595" s="1"/>
      <c r="D595" s="33"/>
      <c r="E595" s="33"/>
      <c r="F595" s="33"/>
      <c r="G595" s="33"/>
      <c r="H595" s="34"/>
      <c r="J595" s="36"/>
      <c r="K595" s="36"/>
      <c r="L595" s="36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8"/>
      <c r="AS595" s="38"/>
      <c r="AT595" s="38"/>
      <c r="AU595" s="33"/>
      <c r="AV595" s="39"/>
    </row>
    <row r="596" spans="1:48">
      <c r="A596" s="1"/>
      <c r="D596" s="33"/>
      <c r="E596" s="33"/>
      <c r="F596" s="33"/>
      <c r="G596" s="33"/>
      <c r="H596" s="34"/>
      <c r="J596" s="36"/>
      <c r="K596" s="36"/>
      <c r="L596" s="36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8"/>
      <c r="AS596" s="38"/>
      <c r="AT596" s="38"/>
      <c r="AU596" s="33"/>
      <c r="AV596" s="39"/>
    </row>
    <row r="597" spans="1:48">
      <c r="A597" s="1"/>
      <c r="D597" s="33"/>
      <c r="E597" s="33"/>
      <c r="F597" s="33"/>
      <c r="G597" s="33"/>
      <c r="H597" s="34"/>
      <c r="J597" s="36"/>
      <c r="K597" s="36"/>
      <c r="L597" s="36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8"/>
      <c r="AS597" s="38"/>
      <c r="AT597" s="38"/>
      <c r="AU597" s="33"/>
      <c r="AV597" s="39"/>
    </row>
    <row r="598" spans="1:48">
      <c r="A598" s="1"/>
      <c r="D598" s="33"/>
      <c r="E598" s="33"/>
      <c r="F598" s="33"/>
      <c r="G598" s="33"/>
      <c r="H598" s="34"/>
      <c r="J598" s="36"/>
      <c r="K598" s="36"/>
      <c r="L598" s="36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8"/>
      <c r="AS598" s="38"/>
      <c r="AT598" s="38"/>
      <c r="AU598" s="33"/>
      <c r="AV598" s="39"/>
    </row>
    <row r="599" spans="1:48">
      <c r="A599" s="1"/>
      <c r="D599" s="33"/>
      <c r="E599" s="33"/>
      <c r="F599" s="33"/>
      <c r="G599" s="33"/>
      <c r="H599" s="34"/>
      <c r="J599" s="36"/>
      <c r="K599" s="36"/>
      <c r="L599" s="36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8"/>
      <c r="AS599" s="38"/>
      <c r="AT599" s="38"/>
      <c r="AU599" s="33"/>
      <c r="AV599" s="39"/>
    </row>
    <row r="600" spans="1:48">
      <c r="A600" s="1"/>
      <c r="D600" s="33"/>
      <c r="E600" s="33"/>
      <c r="F600" s="33"/>
      <c r="G600" s="33"/>
      <c r="H600" s="34"/>
      <c r="J600" s="36"/>
      <c r="K600" s="36"/>
      <c r="L600" s="36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8"/>
      <c r="AS600" s="38"/>
      <c r="AT600" s="38"/>
      <c r="AU600" s="33"/>
      <c r="AV600" s="39"/>
    </row>
    <row r="601" spans="1:48">
      <c r="A601" s="1"/>
      <c r="D601" s="33"/>
      <c r="E601" s="33"/>
      <c r="F601" s="33"/>
      <c r="G601" s="33"/>
      <c r="H601" s="34"/>
      <c r="J601" s="36"/>
      <c r="K601" s="36"/>
      <c r="L601" s="36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8"/>
      <c r="AS601" s="38"/>
      <c r="AT601" s="38"/>
      <c r="AU601" s="33"/>
      <c r="AV601" s="39"/>
    </row>
    <row r="602" spans="1:48">
      <c r="A602" s="1"/>
      <c r="D602" s="33"/>
      <c r="E602" s="33"/>
      <c r="F602" s="33"/>
      <c r="G602" s="33"/>
      <c r="H602" s="34"/>
      <c r="J602" s="36"/>
      <c r="K602" s="36"/>
      <c r="L602" s="36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8"/>
      <c r="AS602" s="38"/>
      <c r="AT602" s="38"/>
      <c r="AU602" s="33"/>
      <c r="AV602" s="39"/>
    </row>
    <row r="603" spans="1:48">
      <c r="A603" s="1"/>
      <c r="D603" s="33"/>
      <c r="E603" s="33"/>
      <c r="F603" s="33"/>
      <c r="G603" s="33"/>
      <c r="H603" s="34"/>
      <c r="J603" s="36"/>
      <c r="K603" s="36"/>
      <c r="L603" s="36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8"/>
      <c r="AS603" s="38"/>
      <c r="AT603" s="38"/>
      <c r="AU603" s="33"/>
      <c r="AV603" s="39"/>
    </row>
    <row r="604" spans="1:48">
      <c r="A604" s="1"/>
      <c r="D604" s="33"/>
      <c r="E604" s="33"/>
      <c r="F604" s="33"/>
      <c r="G604" s="33"/>
      <c r="H604" s="34"/>
      <c r="J604" s="36"/>
      <c r="K604" s="36"/>
      <c r="L604" s="36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8"/>
      <c r="AS604" s="38"/>
      <c r="AT604" s="38"/>
      <c r="AU604" s="33"/>
      <c r="AV604" s="39"/>
    </row>
    <row r="605" spans="1:48">
      <c r="A605" s="1"/>
      <c r="D605" s="33"/>
      <c r="E605" s="33"/>
      <c r="F605" s="33"/>
      <c r="G605" s="33"/>
      <c r="H605" s="34"/>
      <c r="J605" s="36"/>
      <c r="K605" s="36"/>
      <c r="L605" s="36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8"/>
      <c r="AS605" s="38"/>
      <c r="AT605" s="38"/>
      <c r="AU605" s="33"/>
      <c r="AV605" s="39"/>
    </row>
    <row r="606" spans="1:48">
      <c r="A606" s="1"/>
      <c r="D606" s="33"/>
      <c r="E606" s="33"/>
      <c r="F606" s="33"/>
      <c r="G606" s="33"/>
      <c r="H606" s="34"/>
      <c r="J606" s="36"/>
      <c r="K606" s="36"/>
      <c r="L606" s="36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8"/>
      <c r="AS606" s="38"/>
      <c r="AT606" s="38"/>
      <c r="AU606" s="33"/>
      <c r="AV606" s="39"/>
    </row>
    <row r="607" spans="1:48">
      <c r="A607" s="1"/>
      <c r="D607" s="33"/>
      <c r="E607" s="33"/>
      <c r="F607" s="33"/>
      <c r="G607" s="33"/>
      <c r="H607" s="34"/>
      <c r="J607" s="36"/>
      <c r="K607" s="36"/>
      <c r="L607" s="36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8"/>
      <c r="AS607" s="38"/>
      <c r="AT607" s="38"/>
      <c r="AU607" s="33"/>
      <c r="AV607" s="39"/>
    </row>
    <row r="608" spans="1:48">
      <c r="A608" s="1"/>
      <c r="D608" s="33"/>
      <c r="E608" s="33"/>
      <c r="F608" s="33"/>
      <c r="G608" s="33"/>
      <c r="H608" s="34"/>
      <c r="J608" s="36"/>
      <c r="K608" s="36"/>
      <c r="L608" s="36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8"/>
      <c r="AS608" s="38"/>
      <c r="AT608" s="38"/>
      <c r="AU608" s="33"/>
      <c r="AV608" s="39"/>
    </row>
    <row r="609" spans="1:48">
      <c r="A609" s="1"/>
      <c r="D609" s="33"/>
      <c r="E609" s="33"/>
      <c r="F609" s="33"/>
      <c r="G609" s="33"/>
      <c r="H609" s="34"/>
      <c r="J609" s="36"/>
      <c r="K609" s="36"/>
      <c r="L609" s="36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8"/>
      <c r="AS609" s="38"/>
      <c r="AT609" s="38"/>
      <c r="AU609" s="33"/>
      <c r="AV609" s="39"/>
    </row>
    <row r="610" spans="1:48">
      <c r="A610" s="1"/>
      <c r="D610" s="33"/>
      <c r="E610" s="33"/>
      <c r="F610" s="33"/>
      <c r="G610" s="33"/>
      <c r="H610" s="34"/>
      <c r="J610" s="36"/>
      <c r="K610" s="36"/>
      <c r="L610" s="36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8"/>
      <c r="AS610" s="38"/>
      <c r="AT610" s="38"/>
      <c r="AU610" s="33"/>
      <c r="AV610" s="39"/>
    </row>
    <row r="611" spans="1:48">
      <c r="A611" s="1"/>
      <c r="D611" s="33"/>
      <c r="E611" s="33"/>
      <c r="F611" s="33"/>
      <c r="G611" s="33"/>
      <c r="H611" s="34"/>
      <c r="J611" s="36"/>
      <c r="K611" s="36"/>
      <c r="L611" s="36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8"/>
      <c r="AS611" s="38"/>
      <c r="AT611" s="38"/>
      <c r="AU611" s="33"/>
      <c r="AV611" s="39"/>
    </row>
    <row r="612" spans="1:48">
      <c r="A612" s="1"/>
      <c r="D612" s="33"/>
      <c r="E612" s="33"/>
      <c r="F612" s="33"/>
      <c r="G612" s="33"/>
      <c r="H612" s="34"/>
      <c r="J612" s="36"/>
      <c r="K612" s="36"/>
      <c r="L612" s="36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8"/>
      <c r="AS612" s="38"/>
      <c r="AT612" s="38"/>
      <c r="AU612" s="33"/>
      <c r="AV612" s="39"/>
    </row>
    <row r="613" spans="1:48">
      <c r="A613" s="1"/>
      <c r="D613" s="33"/>
      <c r="E613" s="33"/>
      <c r="F613" s="33"/>
      <c r="G613" s="33"/>
      <c r="H613" s="34"/>
      <c r="J613" s="36"/>
      <c r="K613" s="36"/>
      <c r="L613" s="36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8"/>
      <c r="AS613" s="38"/>
      <c r="AT613" s="38"/>
      <c r="AU613" s="33"/>
      <c r="AV613" s="39"/>
    </row>
    <row r="614" spans="1:48">
      <c r="A614" s="1"/>
      <c r="D614" s="33"/>
      <c r="E614" s="33"/>
      <c r="F614" s="33"/>
      <c r="G614" s="33"/>
      <c r="H614" s="34"/>
      <c r="J614" s="36"/>
      <c r="K614" s="36"/>
      <c r="L614" s="36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8"/>
      <c r="AS614" s="38"/>
      <c r="AT614" s="38"/>
      <c r="AU614" s="33"/>
      <c r="AV614" s="39"/>
    </row>
    <row r="615" spans="1:48">
      <c r="A615" s="1"/>
      <c r="D615" s="33"/>
      <c r="E615" s="33"/>
      <c r="F615" s="33"/>
      <c r="G615" s="33"/>
      <c r="H615" s="34"/>
      <c r="J615" s="36"/>
      <c r="K615" s="36"/>
      <c r="L615" s="36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8"/>
      <c r="AS615" s="38"/>
      <c r="AT615" s="38"/>
      <c r="AU615" s="33"/>
      <c r="AV615" s="39"/>
    </row>
    <row r="616" spans="1:48">
      <c r="A616" s="1"/>
      <c r="D616" s="33"/>
      <c r="E616" s="33"/>
      <c r="F616" s="33"/>
      <c r="G616" s="33"/>
      <c r="H616" s="34"/>
      <c r="J616" s="36"/>
      <c r="K616" s="36"/>
      <c r="L616" s="36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8"/>
      <c r="AS616" s="38"/>
      <c r="AT616" s="38"/>
      <c r="AU616" s="33"/>
      <c r="AV616" s="39"/>
    </row>
    <row r="617" spans="1:48">
      <c r="A617" s="1"/>
      <c r="D617" s="33"/>
      <c r="E617" s="33"/>
      <c r="F617" s="33"/>
      <c r="G617" s="33"/>
      <c r="H617" s="34"/>
      <c r="J617" s="36"/>
      <c r="K617" s="36"/>
      <c r="L617" s="36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8"/>
      <c r="AS617" s="38"/>
      <c r="AT617" s="38"/>
      <c r="AU617" s="33"/>
      <c r="AV617" s="39"/>
    </row>
    <row r="618" spans="1:48">
      <c r="A618" s="1"/>
      <c r="D618" s="33"/>
      <c r="E618" s="33"/>
      <c r="F618" s="33"/>
      <c r="G618" s="33"/>
      <c r="H618" s="34"/>
      <c r="J618" s="36"/>
      <c r="K618" s="36"/>
      <c r="L618" s="36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8"/>
      <c r="AS618" s="38"/>
      <c r="AT618" s="38"/>
      <c r="AU618" s="33"/>
      <c r="AV618" s="39"/>
    </row>
    <row r="619" spans="1:48">
      <c r="A619" s="1"/>
      <c r="D619" s="33"/>
      <c r="E619" s="33"/>
      <c r="F619" s="33"/>
      <c r="G619" s="33"/>
      <c r="H619" s="34"/>
      <c r="J619" s="36"/>
      <c r="K619" s="36"/>
      <c r="L619" s="36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8"/>
      <c r="AS619" s="38"/>
      <c r="AT619" s="38"/>
      <c r="AU619" s="33"/>
      <c r="AV619" s="39"/>
    </row>
    <row r="620" spans="1:48">
      <c r="A620" s="1"/>
      <c r="D620" s="33"/>
      <c r="E620" s="33"/>
      <c r="F620" s="33"/>
      <c r="G620" s="33"/>
      <c r="H620" s="34"/>
      <c r="J620" s="36"/>
      <c r="K620" s="36"/>
      <c r="L620" s="36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8"/>
      <c r="AS620" s="38"/>
      <c r="AT620" s="38"/>
      <c r="AU620" s="33"/>
      <c r="AV620" s="39"/>
    </row>
    <row r="621" spans="1:48">
      <c r="A621" s="1"/>
      <c r="D621" s="33"/>
      <c r="E621" s="33"/>
      <c r="F621" s="33"/>
      <c r="G621" s="33"/>
      <c r="H621" s="34"/>
      <c r="J621" s="36"/>
      <c r="K621" s="36"/>
      <c r="L621" s="36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8"/>
      <c r="AS621" s="38"/>
      <c r="AT621" s="38"/>
      <c r="AU621" s="33"/>
      <c r="AV621" s="39"/>
    </row>
    <row r="622" spans="1:48">
      <c r="A622" s="1"/>
      <c r="D622" s="33"/>
      <c r="E622" s="33"/>
      <c r="F622" s="33"/>
      <c r="G622" s="33"/>
      <c r="H622" s="34"/>
      <c r="J622" s="36"/>
      <c r="K622" s="36"/>
      <c r="L622" s="36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8"/>
      <c r="AS622" s="38"/>
      <c r="AT622" s="38"/>
      <c r="AU622" s="33"/>
      <c r="AV622" s="39"/>
    </row>
    <row r="623" spans="1:48">
      <c r="A623" s="1"/>
      <c r="D623" s="33"/>
      <c r="E623" s="33"/>
      <c r="F623" s="33"/>
      <c r="G623" s="33"/>
      <c r="H623" s="34"/>
      <c r="J623" s="36"/>
      <c r="K623" s="36"/>
      <c r="L623" s="36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8"/>
      <c r="AS623" s="38"/>
      <c r="AT623" s="38"/>
      <c r="AU623" s="33"/>
      <c r="AV623" s="39"/>
    </row>
    <row r="624" spans="1:48">
      <c r="A624" s="1"/>
      <c r="D624" s="33"/>
      <c r="E624" s="33"/>
      <c r="F624" s="33"/>
      <c r="G624" s="33"/>
      <c r="H624" s="34"/>
      <c r="J624" s="36"/>
      <c r="K624" s="36"/>
      <c r="L624" s="36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8"/>
      <c r="AS624" s="38"/>
      <c r="AT624" s="38"/>
      <c r="AU624" s="33"/>
      <c r="AV624" s="39"/>
    </row>
    <row r="625" spans="1:48">
      <c r="A625" s="1"/>
      <c r="D625" s="33"/>
      <c r="E625" s="33"/>
      <c r="F625" s="33"/>
      <c r="G625" s="33"/>
      <c r="H625" s="34"/>
      <c r="J625" s="36"/>
      <c r="K625" s="36"/>
      <c r="L625" s="36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8"/>
      <c r="AS625" s="38"/>
      <c r="AT625" s="38"/>
      <c r="AU625" s="33"/>
      <c r="AV625" s="39"/>
    </row>
    <row r="626" spans="1:48">
      <c r="A626" s="1"/>
      <c r="D626" s="33"/>
      <c r="E626" s="33"/>
      <c r="F626" s="33"/>
      <c r="G626" s="33"/>
      <c r="H626" s="34"/>
      <c r="J626" s="36"/>
      <c r="K626" s="36"/>
      <c r="L626" s="36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8"/>
      <c r="AS626" s="38"/>
      <c r="AT626" s="38"/>
      <c r="AU626" s="33"/>
      <c r="AV626" s="39"/>
    </row>
    <row r="627" spans="1:48">
      <c r="A627" s="1"/>
      <c r="D627" s="33"/>
      <c r="E627" s="33"/>
      <c r="F627" s="33"/>
      <c r="G627" s="33"/>
      <c r="H627" s="34"/>
      <c r="J627" s="36"/>
      <c r="K627" s="36"/>
      <c r="L627" s="36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8"/>
      <c r="AS627" s="38"/>
      <c r="AT627" s="38"/>
      <c r="AU627" s="33"/>
      <c r="AV627" s="39"/>
    </row>
    <row r="628" spans="1:48">
      <c r="A628" s="1"/>
      <c r="D628" s="33"/>
      <c r="E628" s="33"/>
      <c r="F628" s="33"/>
      <c r="G628" s="33"/>
      <c r="H628" s="34"/>
      <c r="J628" s="36"/>
      <c r="K628" s="36"/>
      <c r="L628" s="36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8"/>
      <c r="AS628" s="38"/>
      <c r="AT628" s="38"/>
      <c r="AU628" s="33"/>
      <c r="AV628" s="39"/>
    </row>
    <row r="629" spans="1:48">
      <c r="A629" s="1"/>
      <c r="D629" s="33"/>
      <c r="E629" s="33"/>
      <c r="F629" s="33"/>
      <c r="G629" s="33"/>
      <c r="H629" s="34"/>
      <c r="J629" s="36"/>
      <c r="K629" s="36"/>
      <c r="L629" s="36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8"/>
      <c r="AS629" s="38"/>
      <c r="AT629" s="38"/>
      <c r="AU629" s="33"/>
      <c r="AV629" s="39"/>
    </row>
    <row r="630" spans="1:48">
      <c r="A630" s="1"/>
      <c r="D630" s="33"/>
      <c r="E630" s="33"/>
      <c r="F630" s="33"/>
      <c r="G630" s="33"/>
      <c r="H630" s="34"/>
      <c r="J630" s="36"/>
      <c r="K630" s="36"/>
      <c r="L630" s="36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8"/>
      <c r="AS630" s="38"/>
      <c r="AT630" s="38"/>
      <c r="AU630" s="33"/>
      <c r="AV630" s="39"/>
    </row>
    <row r="631" spans="1:48">
      <c r="A631" s="1"/>
      <c r="D631" s="33"/>
      <c r="E631" s="33"/>
      <c r="F631" s="33"/>
      <c r="G631" s="33"/>
      <c r="H631" s="34"/>
      <c r="J631" s="36"/>
      <c r="K631" s="36"/>
      <c r="L631" s="36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8"/>
      <c r="AS631" s="38"/>
      <c r="AT631" s="38"/>
      <c r="AU631" s="33"/>
      <c r="AV631" s="39"/>
    </row>
    <row r="632" spans="1:48">
      <c r="A632" s="1"/>
      <c r="D632" s="33"/>
      <c r="E632" s="33"/>
      <c r="F632" s="33"/>
      <c r="G632" s="33"/>
      <c r="H632" s="34"/>
      <c r="J632" s="36"/>
      <c r="K632" s="36"/>
      <c r="L632" s="36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8"/>
      <c r="AS632" s="38"/>
      <c r="AT632" s="38"/>
      <c r="AU632" s="33"/>
      <c r="AV632" s="39"/>
    </row>
    <row r="633" spans="1:48">
      <c r="A633" s="1"/>
      <c r="D633" s="33"/>
      <c r="E633" s="33"/>
      <c r="F633" s="33"/>
      <c r="G633" s="33"/>
      <c r="H633" s="34"/>
      <c r="J633" s="36"/>
      <c r="K633" s="36"/>
      <c r="L633" s="36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8"/>
      <c r="AS633" s="38"/>
      <c r="AT633" s="38"/>
      <c r="AU633" s="33"/>
      <c r="AV633" s="39"/>
    </row>
    <row r="634" spans="1:48">
      <c r="A634" s="1"/>
      <c r="D634" s="33"/>
      <c r="E634" s="33"/>
      <c r="F634" s="33"/>
      <c r="G634" s="33"/>
      <c r="H634" s="34"/>
      <c r="J634" s="36"/>
      <c r="K634" s="36"/>
      <c r="L634" s="36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8"/>
      <c r="AS634" s="38"/>
      <c r="AT634" s="38"/>
      <c r="AU634" s="33"/>
      <c r="AV634" s="39"/>
    </row>
    <row r="635" spans="1:48">
      <c r="A635" s="1"/>
      <c r="D635" s="33"/>
      <c r="E635" s="33"/>
      <c r="F635" s="33"/>
      <c r="G635" s="33"/>
      <c r="H635" s="34"/>
      <c r="J635" s="36"/>
      <c r="K635" s="36"/>
      <c r="L635" s="36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8"/>
      <c r="AS635" s="38"/>
      <c r="AT635" s="38"/>
      <c r="AU635" s="33"/>
      <c r="AV635" s="39"/>
    </row>
    <row r="636" spans="1:48">
      <c r="A636" s="1"/>
      <c r="D636" s="33"/>
      <c r="E636" s="33"/>
      <c r="F636" s="33"/>
      <c r="G636" s="33"/>
      <c r="H636" s="34"/>
      <c r="J636" s="36"/>
      <c r="K636" s="36"/>
      <c r="L636" s="36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8"/>
      <c r="AS636" s="38"/>
      <c r="AT636" s="38"/>
      <c r="AU636" s="33"/>
      <c r="AV636" s="39"/>
    </row>
    <row r="637" spans="1:48">
      <c r="A637" s="1"/>
      <c r="D637" s="33"/>
      <c r="E637" s="33"/>
      <c r="F637" s="33"/>
      <c r="G637" s="33"/>
      <c r="H637" s="34"/>
      <c r="J637" s="36"/>
      <c r="K637" s="36"/>
      <c r="L637" s="36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8"/>
      <c r="AS637" s="38"/>
      <c r="AT637" s="38"/>
      <c r="AU637" s="33"/>
      <c r="AV637" s="39"/>
    </row>
    <row r="638" spans="1:48">
      <c r="A638" s="1"/>
      <c r="D638" s="33"/>
      <c r="E638" s="33"/>
      <c r="F638" s="33"/>
      <c r="G638" s="33"/>
      <c r="H638" s="34"/>
      <c r="J638" s="36"/>
      <c r="K638" s="36"/>
      <c r="L638" s="36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8"/>
      <c r="AS638" s="38"/>
      <c r="AT638" s="38"/>
      <c r="AU638" s="33"/>
      <c r="AV638" s="39"/>
    </row>
    <row r="639" spans="1:48">
      <c r="A639" s="1"/>
      <c r="D639" s="33"/>
      <c r="E639" s="33"/>
      <c r="F639" s="33"/>
      <c r="G639" s="33"/>
      <c r="H639" s="34"/>
      <c r="J639" s="36"/>
      <c r="K639" s="36"/>
      <c r="L639" s="36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8"/>
      <c r="AS639" s="38"/>
      <c r="AT639" s="38"/>
      <c r="AU639" s="33"/>
      <c r="AV639" s="39"/>
    </row>
    <row r="640" spans="1:48">
      <c r="A640" s="1"/>
      <c r="D640" s="33"/>
      <c r="E640" s="33"/>
      <c r="F640" s="33"/>
      <c r="G640" s="33"/>
      <c r="H640" s="34"/>
      <c r="J640" s="36"/>
      <c r="K640" s="36"/>
      <c r="L640" s="36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8"/>
      <c r="AS640" s="38"/>
      <c r="AT640" s="38"/>
      <c r="AU640" s="33"/>
      <c r="AV640" s="39"/>
    </row>
    <row r="641" spans="1:48">
      <c r="A641" s="1"/>
      <c r="D641" s="33"/>
      <c r="E641" s="33"/>
      <c r="F641" s="33"/>
      <c r="G641" s="33"/>
      <c r="H641" s="34"/>
      <c r="J641" s="36"/>
      <c r="K641" s="36"/>
      <c r="L641" s="36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8"/>
      <c r="AS641" s="38"/>
      <c r="AT641" s="38"/>
      <c r="AU641" s="33"/>
      <c r="AV641" s="39"/>
    </row>
    <row r="642" spans="1:48">
      <c r="A642" s="1"/>
      <c r="D642" s="33"/>
      <c r="E642" s="33"/>
      <c r="F642" s="33"/>
      <c r="G642" s="33"/>
      <c r="H642" s="34"/>
      <c r="J642" s="36"/>
      <c r="K642" s="36"/>
      <c r="L642" s="36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8"/>
      <c r="AS642" s="38"/>
      <c r="AT642" s="38"/>
      <c r="AU642" s="33"/>
      <c r="AV642" s="39"/>
    </row>
    <row r="643" spans="1:48">
      <c r="A643" s="1"/>
      <c r="D643" s="33"/>
      <c r="E643" s="33"/>
      <c r="F643" s="33"/>
      <c r="G643" s="33"/>
      <c r="H643" s="34"/>
      <c r="J643" s="36"/>
      <c r="K643" s="36"/>
      <c r="L643" s="36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8"/>
      <c r="AS643" s="38"/>
      <c r="AT643" s="38"/>
      <c r="AU643" s="33"/>
      <c r="AV643" s="39"/>
    </row>
    <row r="644" spans="1:48">
      <c r="A644" s="1"/>
      <c r="D644" s="33"/>
      <c r="E644" s="33"/>
      <c r="F644" s="33"/>
      <c r="G644" s="33"/>
      <c r="H644" s="34"/>
      <c r="J644" s="36"/>
      <c r="K644" s="36"/>
      <c r="L644" s="36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8"/>
      <c r="AS644" s="38"/>
      <c r="AT644" s="38"/>
      <c r="AU644" s="33"/>
      <c r="AV644" s="39"/>
    </row>
    <row r="645" spans="1:48">
      <c r="A645" s="1"/>
      <c r="D645" s="33"/>
      <c r="E645" s="33"/>
      <c r="F645" s="33"/>
      <c r="G645" s="33"/>
      <c r="H645" s="34"/>
      <c r="J645" s="36"/>
      <c r="K645" s="36"/>
      <c r="L645" s="36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8"/>
      <c r="AS645" s="38"/>
      <c r="AT645" s="38"/>
      <c r="AU645" s="33"/>
      <c r="AV645" s="39"/>
    </row>
    <row r="646" spans="1:48">
      <c r="A646" s="1"/>
      <c r="D646" s="33"/>
      <c r="E646" s="33"/>
      <c r="F646" s="33"/>
      <c r="G646" s="33"/>
      <c r="H646" s="34"/>
      <c r="J646" s="36"/>
      <c r="K646" s="36"/>
      <c r="L646" s="36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8"/>
      <c r="AS646" s="38"/>
      <c r="AT646" s="38"/>
      <c r="AU646" s="33"/>
      <c r="AV646" s="39"/>
    </row>
    <row r="647" spans="1:48">
      <c r="A647" s="1"/>
      <c r="D647" s="33"/>
      <c r="E647" s="33"/>
      <c r="F647" s="33"/>
      <c r="G647" s="33"/>
      <c r="H647" s="34"/>
      <c r="J647" s="36"/>
      <c r="K647" s="36"/>
      <c r="L647" s="36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8"/>
      <c r="AS647" s="38"/>
      <c r="AT647" s="38"/>
      <c r="AU647" s="33"/>
      <c r="AV647" s="39"/>
    </row>
    <row r="648" spans="1:48">
      <c r="A648" s="1"/>
      <c r="D648" s="33"/>
      <c r="E648" s="33"/>
      <c r="F648" s="33"/>
      <c r="G648" s="33"/>
      <c r="H648" s="34"/>
      <c r="J648" s="36"/>
      <c r="K648" s="36"/>
      <c r="L648" s="36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8"/>
      <c r="AS648" s="38"/>
      <c r="AT648" s="38"/>
      <c r="AU648" s="33"/>
      <c r="AV648" s="39"/>
    </row>
    <row r="649" spans="1:48">
      <c r="A649" s="1"/>
      <c r="D649" s="33"/>
      <c r="E649" s="33"/>
      <c r="F649" s="33"/>
      <c r="G649" s="33"/>
      <c r="H649" s="34"/>
      <c r="J649" s="36"/>
      <c r="K649" s="36"/>
      <c r="L649" s="36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8"/>
      <c r="AS649" s="38"/>
      <c r="AT649" s="38"/>
      <c r="AU649" s="33"/>
      <c r="AV649" s="39"/>
    </row>
    <row r="650" spans="1:48">
      <c r="A650" s="1"/>
      <c r="D650" s="33"/>
      <c r="E650" s="33"/>
      <c r="F650" s="33"/>
      <c r="G650" s="33"/>
      <c r="H650" s="34"/>
      <c r="J650" s="36"/>
      <c r="K650" s="36"/>
      <c r="L650" s="36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8"/>
      <c r="AS650" s="38"/>
      <c r="AT650" s="38"/>
      <c r="AU650" s="33"/>
      <c r="AV650" s="39"/>
    </row>
    <row r="651" spans="1:48">
      <c r="A651" s="1"/>
      <c r="D651" s="33"/>
      <c r="E651" s="33"/>
      <c r="F651" s="33"/>
      <c r="G651" s="33"/>
      <c r="H651" s="34"/>
      <c r="J651" s="36"/>
      <c r="K651" s="36"/>
      <c r="L651" s="36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8"/>
      <c r="AS651" s="38"/>
      <c r="AT651" s="38"/>
      <c r="AU651" s="33"/>
      <c r="AV651" s="39"/>
    </row>
    <row r="652" spans="1:48">
      <c r="A652" s="1"/>
      <c r="D652" s="33"/>
      <c r="E652" s="33"/>
      <c r="F652" s="33"/>
      <c r="G652" s="33"/>
      <c r="H652" s="34"/>
      <c r="J652" s="36"/>
      <c r="K652" s="36"/>
      <c r="L652" s="36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8"/>
      <c r="AS652" s="38"/>
      <c r="AT652" s="38"/>
      <c r="AU652" s="33"/>
      <c r="AV652" s="39"/>
    </row>
    <row r="653" spans="1:48">
      <c r="A653" s="1"/>
      <c r="D653" s="33"/>
      <c r="E653" s="33"/>
      <c r="F653" s="33"/>
      <c r="G653" s="33"/>
      <c r="H653" s="34"/>
      <c r="J653" s="36"/>
      <c r="K653" s="36"/>
      <c r="L653" s="36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8"/>
      <c r="AS653" s="38"/>
      <c r="AT653" s="38"/>
      <c r="AU653" s="33"/>
      <c r="AV653" s="39"/>
    </row>
    <row r="654" spans="1:48">
      <c r="A654" s="1"/>
      <c r="D654" s="33"/>
      <c r="E654" s="33"/>
      <c r="F654" s="33"/>
      <c r="G654" s="33"/>
      <c r="H654" s="34"/>
      <c r="J654" s="36"/>
      <c r="K654" s="36"/>
      <c r="L654" s="36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8"/>
      <c r="AS654" s="38"/>
      <c r="AT654" s="38"/>
      <c r="AU654" s="33"/>
      <c r="AV654" s="39"/>
    </row>
    <row r="655" spans="1:48">
      <c r="A655" s="1"/>
      <c r="D655" s="33"/>
      <c r="E655" s="33"/>
      <c r="F655" s="33"/>
      <c r="G655" s="33"/>
      <c r="H655" s="34"/>
      <c r="J655" s="36"/>
      <c r="K655" s="36"/>
      <c r="L655" s="36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8"/>
      <c r="AS655" s="38"/>
      <c r="AT655" s="38"/>
      <c r="AU655" s="33"/>
      <c r="AV655" s="39"/>
    </row>
    <row r="656" spans="1:48">
      <c r="A656" s="1"/>
      <c r="D656" s="33"/>
      <c r="E656" s="33"/>
      <c r="F656" s="33"/>
      <c r="G656" s="33"/>
      <c r="H656" s="34"/>
      <c r="J656" s="36"/>
      <c r="K656" s="36"/>
      <c r="L656" s="36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8"/>
      <c r="AS656" s="38"/>
      <c r="AT656" s="38"/>
      <c r="AU656" s="33"/>
      <c r="AV656" s="39"/>
    </row>
    <row r="657" spans="1:48">
      <c r="A657" s="1"/>
      <c r="D657" s="33"/>
      <c r="E657" s="33"/>
      <c r="F657" s="33"/>
      <c r="G657" s="33"/>
      <c r="H657" s="34"/>
      <c r="J657" s="36"/>
      <c r="K657" s="36"/>
      <c r="L657" s="36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8"/>
      <c r="AS657" s="38"/>
      <c r="AT657" s="38"/>
      <c r="AU657" s="33"/>
      <c r="AV657" s="39"/>
    </row>
    <row r="658" spans="1:48">
      <c r="A658" s="1"/>
      <c r="D658" s="33"/>
      <c r="E658" s="33"/>
      <c r="F658" s="33"/>
      <c r="G658" s="33"/>
      <c r="H658" s="34"/>
      <c r="J658" s="36"/>
      <c r="K658" s="36"/>
      <c r="L658" s="36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8"/>
      <c r="AS658" s="38"/>
      <c r="AT658" s="38"/>
      <c r="AU658" s="33"/>
      <c r="AV658" s="39"/>
    </row>
    <row r="659" spans="1:48">
      <c r="A659" s="1"/>
      <c r="D659" s="33"/>
      <c r="E659" s="33"/>
      <c r="F659" s="33"/>
      <c r="G659" s="33"/>
      <c r="H659" s="34"/>
      <c r="J659" s="36"/>
      <c r="K659" s="36"/>
      <c r="L659" s="36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8"/>
      <c r="AS659" s="38"/>
      <c r="AT659" s="38"/>
      <c r="AU659" s="33"/>
      <c r="AV659" s="39"/>
    </row>
    <row r="660" spans="1:48">
      <c r="A660" s="1"/>
      <c r="D660" s="33"/>
      <c r="E660" s="33"/>
      <c r="F660" s="33"/>
      <c r="G660" s="33"/>
      <c r="H660" s="34"/>
      <c r="J660" s="36"/>
      <c r="K660" s="36"/>
      <c r="L660" s="36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8"/>
      <c r="AS660" s="38"/>
      <c r="AT660" s="38"/>
      <c r="AU660" s="33"/>
      <c r="AV660" s="39"/>
    </row>
    <row r="661" spans="1:48">
      <c r="A661" s="1"/>
      <c r="D661" s="33"/>
      <c r="E661" s="33"/>
      <c r="F661" s="33"/>
      <c r="G661" s="33"/>
      <c r="H661" s="34"/>
      <c r="J661" s="36"/>
      <c r="K661" s="36"/>
      <c r="L661" s="36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8"/>
      <c r="AS661" s="38"/>
      <c r="AT661" s="38"/>
      <c r="AU661" s="33"/>
      <c r="AV661" s="39"/>
    </row>
    <row r="662" spans="1:48">
      <c r="A662" s="1"/>
      <c r="D662" s="33"/>
      <c r="E662" s="33"/>
      <c r="F662" s="33"/>
      <c r="G662" s="33"/>
      <c r="H662" s="34"/>
      <c r="J662" s="36"/>
      <c r="K662" s="36"/>
      <c r="L662" s="36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8"/>
      <c r="AS662" s="38"/>
      <c r="AT662" s="38"/>
      <c r="AU662" s="33"/>
      <c r="AV662" s="39"/>
    </row>
    <row r="663" spans="1:48">
      <c r="A663" s="1"/>
      <c r="D663" s="33"/>
      <c r="E663" s="33"/>
      <c r="F663" s="33"/>
      <c r="G663" s="33"/>
      <c r="H663" s="34"/>
      <c r="J663" s="36"/>
      <c r="K663" s="36"/>
      <c r="L663" s="36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8"/>
      <c r="AS663" s="38"/>
      <c r="AT663" s="38"/>
      <c r="AU663" s="33"/>
      <c r="AV663" s="39"/>
    </row>
    <row r="664" spans="1:48">
      <c r="A664" s="1"/>
      <c r="D664" s="33"/>
      <c r="E664" s="33"/>
      <c r="F664" s="33"/>
      <c r="G664" s="33"/>
      <c r="H664" s="34"/>
      <c r="J664" s="36"/>
      <c r="K664" s="36"/>
      <c r="L664" s="36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8"/>
      <c r="AS664" s="38"/>
      <c r="AT664" s="38"/>
      <c r="AU664" s="33"/>
      <c r="AV664" s="39"/>
    </row>
    <row r="665" spans="1:48">
      <c r="A665" s="1"/>
      <c r="D665" s="33"/>
      <c r="E665" s="33"/>
      <c r="F665" s="33"/>
      <c r="G665" s="33"/>
      <c r="H665" s="34"/>
      <c r="J665" s="36"/>
      <c r="K665" s="36"/>
      <c r="L665" s="36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8"/>
      <c r="AS665" s="38"/>
      <c r="AT665" s="38"/>
      <c r="AU665" s="33"/>
      <c r="AV665" s="39"/>
    </row>
    <row r="666" spans="1:48">
      <c r="A666" s="1"/>
      <c r="D666" s="33"/>
      <c r="E666" s="33"/>
      <c r="F666" s="33"/>
      <c r="G666" s="33"/>
      <c r="H666" s="34"/>
      <c r="J666" s="36"/>
      <c r="K666" s="36"/>
      <c r="L666" s="36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8"/>
      <c r="AS666" s="38"/>
      <c r="AT666" s="38"/>
      <c r="AU666" s="33"/>
      <c r="AV666" s="39"/>
    </row>
    <row r="667" spans="1:48">
      <c r="A667" s="1"/>
      <c r="D667" s="33"/>
      <c r="E667" s="33"/>
      <c r="F667" s="33"/>
      <c r="G667" s="33"/>
      <c r="H667" s="34"/>
      <c r="J667" s="36"/>
      <c r="K667" s="36"/>
      <c r="L667" s="36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8"/>
      <c r="AS667" s="38"/>
      <c r="AT667" s="38"/>
      <c r="AU667" s="33"/>
      <c r="AV667" s="39"/>
    </row>
    <row r="668" spans="1:48">
      <c r="A668" s="1"/>
      <c r="D668" s="33"/>
      <c r="E668" s="33"/>
      <c r="F668" s="33"/>
      <c r="G668" s="33"/>
      <c r="H668" s="34"/>
      <c r="J668" s="36"/>
      <c r="K668" s="36"/>
      <c r="L668" s="36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8"/>
      <c r="AS668" s="38"/>
      <c r="AT668" s="38"/>
      <c r="AU668" s="33"/>
      <c r="AV668" s="39"/>
    </row>
    <row r="669" spans="1:48">
      <c r="A669" s="1"/>
      <c r="D669" s="33"/>
      <c r="E669" s="33"/>
      <c r="F669" s="33"/>
      <c r="G669" s="33"/>
      <c r="H669" s="34"/>
      <c r="J669" s="36"/>
      <c r="K669" s="36"/>
      <c r="L669" s="36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8"/>
      <c r="AS669" s="38"/>
      <c r="AT669" s="38"/>
      <c r="AU669" s="33"/>
      <c r="AV669" s="39"/>
    </row>
    <row r="670" spans="1:48">
      <c r="A670" s="1"/>
      <c r="D670" s="33"/>
      <c r="E670" s="33"/>
      <c r="F670" s="33"/>
      <c r="G670" s="33"/>
      <c r="H670" s="34"/>
      <c r="J670" s="36"/>
      <c r="K670" s="36"/>
      <c r="L670" s="36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8"/>
      <c r="AS670" s="38"/>
      <c r="AT670" s="38"/>
      <c r="AU670" s="33"/>
      <c r="AV670" s="39"/>
    </row>
    <row r="671" spans="1:48">
      <c r="A671" s="1"/>
      <c r="D671" s="33"/>
      <c r="E671" s="33"/>
      <c r="F671" s="33"/>
      <c r="G671" s="33"/>
      <c r="H671" s="34"/>
      <c r="J671" s="36"/>
      <c r="K671" s="36"/>
      <c r="L671" s="36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8"/>
      <c r="AS671" s="38"/>
      <c r="AT671" s="38"/>
      <c r="AU671" s="33"/>
      <c r="AV671" s="39"/>
    </row>
    <row r="672" spans="1:48">
      <c r="A672" s="1"/>
      <c r="D672" s="33"/>
      <c r="E672" s="33"/>
      <c r="F672" s="33"/>
      <c r="G672" s="33"/>
      <c r="H672" s="34"/>
      <c r="J672" s="36"/>
      <c r="K672" s="36"/>
      <c r="L672" s="36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8"/>
      <c r="AS672" s="38"/>
      <c r="AT672" s="38"/>
      <c r="AU672" s="33"/>
      <c r="AV672" s="39"/>
    </row>
    <row r="673" spans="1:48">
      <c r="A673" s="1"/>
      <c r="D673" s="33"/>
      <c r="E673" s="33"/>
      <c r="F673" s="33"/>
      <c r="G673" s="33"/>
      <c r="H673" s="34"/>
      <c r="J673" s="36"/>
      <c r="K673" s="36"/>
      <c r="L673" s="36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8"/>
      <c r="AS673" s="38"/>
      <c r="AT673" s="38"/>
      <c r="AU673" s="33"/>
      <c r="AV673" s="39"/>
    </row>
    <row r="674" spans="1:48">
      <c r="A674" s="1"/>
      <c r="D674" s="33"/>
      <c r="E674" s="33"/>
      <c r="F674" s="33"/>
      <c r="G674" s="33"/>
      <c r="H674" s="34"/>
      <c r="J674" s="36"/>
      <c r="K674" s="36"/>
      <c r="L674" s="36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8"/>
      <c r="AS674" s="38"/>
      <c r="AT674" s="38"/>
      <c r="AU674" s="33"/>
      <c r="AV674" s="39"/>
    </row>
    <row r="675" spans="1:48">
      <c r="A675" s="1"/>
      <c r="D675" s="33"/>
      <c r="E675" s="33"/>
      <c r="F675" s="33"/>
      <c r="G675" s="33"/>
      <c r="H675" s="34"/>
      <c r="J675" s="36"/>
      <c r="K675" s="36"/>
      <c r="L675" s="36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8"/>
      <c r="AS675" s="38"/>
      <c r="AT675" s="38"/>
      <c r="AU675" s="33"/>
      <c r="AV675" s="39"/>
    </row>
    <row r="676" spans="1:48">
      <c r="A676" s="1"/>
      <c r="D676" s="33"/>
      <c r="E676" s="33"/>
      <c r="F676" s="33"/>
      <c r="G676" s="33"/>
      <c r="H676" s="34"/>
      <c r="J676" s="36"/>
      <c r="K676" s="36"/>
      <c r="L676" s="36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8"/>
      <c r="AS676" s="38"/>
      <c r="AT676" s="38"/>
      <c r="AU676" s="33"/>
      <c r="AV676" s="39"/>
    </row>
    <row r="677" spans="1:48">
      <c r="A677" s="1"/>
      <c r="D677" s="33"/>
      <c r="E677" s="33"/>
      <c r="F677" s="33"/>
      <c r="G677" s="33"/>
      <c r="H677" s="34"/>
      <c r="J677" s="36"/>
      <c r="K677" s="36"/>
      <c r="L677" s="36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8"/>
      <c r="AS677" s="38"/>
      <c r="AT677" s="38"/>
      <c r="AU677" s="33"/>
      <c r="AV677" s="39"/>
    </row>
    <row r="678" spans="1:48">
      <c r="A678" s="1"/>
      <c r="D678" s="33"/>
      <c r="E678" s="33"/>
      <c r="F678" s="33"/>
      <c r="G678" s="33"/>
      <c r="H678" s="34"/>
      <c r="J678" s="36"/>
      <c r="K678" s="36"/>
      <c r="L678" s="36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8"/>
      <c r="AS678" s="38"/>
      <c r="AT678" s="38"/>
      <c r="AU678" s="33"/>
      <c r="AV678" s="39"/>
    </row>
    <row r="679" spans="1:48">
      <c r="A679" s="1"/>
      <c r="D679" s="33"/>
      <c r="E679" s="33"/>
      <c r="F679" s="33"/>
      <c r="G679" s="33"/>
      <c r="H679" s="34"/>
      <c r="J679" s="36"/>
      <c r="K679" s="36"/>
      <c r="L679" s="36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8"/>
      <c r="AS679" s="38"/>
      <c r="AT679" s="38"/>
      <c r="AU679" s="33"/>
      <c r="AV679" s="39"/>
    </row>
    <row r="680" spans="1:48">
      <c r="A680" s="1"/>
      <c r="D680" s="33"/>
      <c r="E680" s="33"/>
      <c r="F680" s="33"/>
      <c r="G680" s="33"/>
      <c r="H680" s="34"/>
      <c r="J680" s="36"/>
      <c r="K680" s="36"/>
      <c r="L680" s="36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8"/>
      <c r="AS680" s="38"/>
      <c r="AT680" s="38"/>
      <c r="AU680" s="33"/>
      <c r="AV680" s="39"/>
    </row>
    <row r="681" spans="1:48">
      <c r="A681" s="1"/>
      <c r="D681" s="33"/>
      <c r="E681" s="33"/>
      <c r="F681" s="33"/>
      <c r="G681" s="33"/>
      <c r="H681" s="34"/>
      <c r="J681" s="36"/>
      <c r="K681" s="36"/>
      <c r="L681" s="36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8"/>
      <c r="AS681" s="38"/>
      <c r="AT681" s="38"/>
      <c r="AU681" s="33"/>
      <c r="AV681" s="39"/>
    </row>
    <row r="682" spans="1:48">
      <c r="A682" s="1"/>
      <c r="D682" s="33"/>
      <c r="E682" s="33"/>
      <c r="F682" s="33"/>
      <c r="G682" s="33"/>
      <c r="H682" s="34"/>
      <c r="J682" s="36"/>
      <c r="K682" s="36"/>
      <c r="L682" s="36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8"/>
      <c r="AS682" s="38"/>
      <c r="AT682" s="38"/>
      <c r="AU682" s="33"/>
      <c r="AV682" s="39"/>
    </row>
    <row r="683" spans="1:48">
      <c r="A683" s="1"/>
      <c r="D683" s="33"/>
      <c r="E683" s="33"/>
      <c r="F683" s="33"/>
      <c r="G683" s="33"/>
      <c r="H683" s="34"/>
      <c r="J683" s="36"/>
      <c r="K683" s="36"/>
      <c r="L683" s="36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8"/>
      <c r="AS683" s="38"/>
      <c r="AT683" s="38"/>
      <c r="AU683" s="33"/>
      <c r="AV683" s="39"/>
    </row>
    <row r="684" spans="1:48">
      <c r="A684" s="1"/>
      <c r="D684" s="33"/>
      <c r="E684" s="33"/>
      <c r="F684" s="33"/>
      <c r="G684" s="33"/>
      <c r="H684" s="34"/>
      <c r="J684" s="36"/>
      <c r="K684" s="36"/>
      <c r="L684" s="36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8"/>
      <c r="AS684" s="38"/>
      <c r="AT684" s="38"/>
      <c r="AU684" s="33"/>
      <c r="AV684" s="39"/>
    </row>
    <row r="685" spans="1:48">
      <c r="A685" s="1"/>
      <c r="D685" s="33"/>
      <c r="E685" s="33"/>
      <c r="F685" s="33"/>
      <c r="G685" s="33"/>
      <c r="H685" s="34"/>
      <c r="J685" s="36"/>
      <c r="K685" s="36"/>
      <c r="L685" s="36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8"/>
      <c r="AS685" s="38"/>
      <c r="AT685" s="38"/>
      <c r="AU685" s="33"/>
      <c r="AV685" s="39"/>
    </row>
    <row r="686" spans="1:48">
      <c r="A686" s="1"/>
      <c r="D686" s="33"/>
      <c r="E686" s="33"/>
      <c r="F686" s="33"/>
      <c r="G686" s="33"/>
      <c r="H686" s="34"/>
      <c r="J686" s="36"/>
      <c r="K686" s="36"/>
      <c r="L686" s="36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8"/>
      <c r="AS686" s="38"/>
      <c r="AT686" s="38"/>
      <c r="AU686" s="33"/>
      <c r="AV686" s="39"/>
    </row>
    <row r="687" spans="1:48">
      <c r="A687" s="1"/>
      <c r="D687" s="33"/>
      <c r="E687" s="33"/>
      <c r="F687" s="33"/>
      <c r="G687" s="33"/>
      <c r="H687" s="34"/>
      <c r="J687" s="36"/>
      <c r="K687" s="36"/>
      <c r="L687" s="36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8"/>
      <c r="AS687" s="38"/>
      <c r="AT687" s="38"/>
      <c r="AU687" s="33"/>
      <c r="AV687" s="39"/>
    </row>
    <row r="688" spans="1:48">
      <c r="A688" s="1"/>
      <c r="D688" s="33"/>
      <c r="E688" s="33"/>
      <c r="F688" s="33"/>
      <c r="G688" s="33"/>
      <c r="H688" s="34"/>
      <c r="J688" s="36"/>
      <c r="K688" s="36"/>
      <c r="L688" s="36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8"/>
      <c r="AS688" s="38"/>
      <c r="AT688" s="38"/>
      <c r="AU688" s="33"/>
      <c r="AV688" s="39"/>
    </row>
    <row r="689" spans="1:48">
      <c r="A689" s="1"/>
      <c r="D689" s="33"/>
      <c r="E689" s="33"/>
      <c r="F689" s="33"/>
      <c r="G689" s="33"/>
      <c r="H689" s="34"/>
      <c r="J689" s="36"/>
      <c r="K689" s="36"/>
      <c r="L689" s="36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8"/>
      <c r="AS689" s="38"/>
      <c r="AT689" s="38"/>
      <c r="AU689" s="33"/>
      <c r="AV689" s="39"/>
    </row>
    <row r="690" spans="1:48">
      <c r="A690" s="1"/>
      <c r="D690" s="33"/>
      <c r="E690" s="33"/>
      <c r="F690" s="33"/>
      <c r="G690" s="33"/>
      <c r="H690" s="34"/>
      <c r="J690" s="36"/>
      <c r="K690" s="36"/>
      <c r="L690" s="36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8"/>
      <c r="AS690" s="38"/>
      <c r="AT690" s="38"/>
      <c r="AU690" s="33"/>
      <c r="AV690" s="39"/>
    </row>
    <row r="691" spans="1:48">
      <c r="A691" s="1"/>
      <c r="D691" s="33"/>
      <c r="E691" s="33"/>
      <c r="F691" s="33"/>
      <c r="G691" s="33"/>
      <c r="H691" s="34"/>
      <c r="J691" s="36"/>
      <c r="K691" s="36"/>
      <c r="L691" s="36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8"/>
      <c r="AS691" s="38"/>
      <c r="AT691" s="38"/>
      <c r="AU691" s="33"/>
      <c r="AV691" s="39"/>
    </row>
    <row r="692" spans="1:48">
      <c r="A692" s="1"/>
      <c r="D692" s="33"/>
      <c r="E692" s="33"/>
      <c r="F692" s="33"/>
      <c r="G692" s="33"/>
      <c r="H692" s="34"/>
      <c r="J692" s="36"/>
      <c r="K692" s="36"/>
      <c r="L692" s="36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8"/>
      <c r="AS692" s="38"/>
      <c r="AT692" s="38"/>
      <c r="AU692" s="33"/>
      <c r="AV692" s="39"/>
    </row>
    <row r="693" spans="1:48">
      <c r="A693" s="1"/>
      <c r="D693" s="33"/>
      <c r="E693" s="33"/>
      <c r="F693" s="33"/>
      <c r="G693" s="33"/>
      <c r="H693" s="34"/>
      <c r="J693" s="36"/>
      <c r="K693" s="36"/>
      <c r="L693" s="36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8"/>
      <c r="AS693" s="38"/>
      <c r="AT693" s="38"/>
      <c r="AU693" s="33"/>
      <c r="AV693" s="39"/>
    </row>
    <row r="694" spans="1:48">
      <c r="A694" s="1"/>
      <c r="D694" s="33"/>
      <c r="E694" s="33"/>
      <c r="F694" s="33"/>
      <c r="G694" s="33"/>
      <c r="H694" s="34"/>
      <c r="J694" s="36"/>
      <c r="K694" s="36"/>
      <c r="L694" s="36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8"/>
      <c r="AS694" s="38"/>
      <c r="AT694" s="38"/>
      <c r="AU694" s="33"/>
      <c r="AV694" s="39"/>
    </row>
    <row r="695" spans="1:48">
      <c r="A695" s="1"/>
      <c r="D695" s="33"/>
      <c r="E695" s="33"/>
      <c r="F695" s="33"/>
      <c r="G695" s="33"/>
      <c r="H695" s="34"/>
      <c r="J695" s="36"/>
      <c r="K695" s="36"/>
      <c r="L695" s="36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8"/>
      <c r="AS695" s="38"/>
      <c r="AT695" s="38"/>
      <c r="AU695" s="33"/>
      <c r="AV695" s="39"/>
    </row>
    <row r="696" spans="1:48">
      <c r="A696" s="1"/>
      <c r="D696" s="33"/>
      <c r="E696" s="33"/>
      <c r="F696" s="33"/>
      <c r="G696" s="33"/>
      <c r="H696" s="34"/>
      <c r="J696" s="36"/>
      <c r="K696" s="36"/>
      <c r="L696" s="36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8"/>
      <c r="AS696" s="38"/>
      <c r="AT696" s="38"/>
      <c r="AU696" s="33"/>
      <c r="AV696" s="39"/>
    </row>
    <row r="697" spans="1:48">
      <c r="A697" s="1"/>
      <c r="D697" s="33"/>
      <c r="E697" s="33"/>
      <c r="F697" s="33"/>
      <c r="G697" s="33"/>
      <c r="H697" s="34"/>
      <c r="J697" s="36"/>
      <c r="K697" s="36"/>
      <c r="L697" s="36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8"/>
      <c r="AS697" s="38"/>
      <c r="AT697" s="38"/>
      <c r="AU697" s="33"/>
      <c r="AV697" s="39"/>
    </row>
    <row r="698" spans="1:48">
      <c r="A698" s="1"/>
      <c r="D698" s="33"/>
      <c r="E698" s="33"/>
      <c r="F698" s="33"/>
      <c r="G698" s="33"/>
      <c r="H698" s="34"/>
      <c r="J698" s="36"/>
      <c r="K698" s="36"/>
      <c r="L698" s="36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8"/>
      <c r="AS698" s="38"/>
      <c r="AT698" s="38"/>
      <c r="AU698" s="33"/>
      <c r="AV698" s="39"/>
    </row>
    <row r="699" spans="1:48">
      <c r="A699" s="1"/>
      <c r="D699" s="33"/>
      <c r="E699" s="33"/>
      <c r="F699" s="33"/>
      <c r="G699" s="33"/>
      <c r="H699" s="34"/>
      <c r="J699" s="36"/>
      <c r="K699" s="36"/>
      <c r="L699" s="36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8"/>
      <c r="AS699" s="38"/>
      <c r="AT699" s="38"/>
      <c r="AU699" s="33"/>
      <c r="AV699" s="39"/>
    </row>
    <row r="700" spans="1:48">
      <c r="A700" s="1"/>
      <c r="D700" s="33"/>
      <c r="E700" s="33"/>
      <c r="F700" s="33"/>
      <c r="G700" s="33"/>
      <c r="H700" s="34"/>
      <c r="J700" s="36"/>
      <c r="K700" s="36"/>
      <c r="L700" s="36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8"/>
      <c r="AS700" s="38"/>
      <c r="AT700" s="38"/>
      <c r="AU700" s="33"/>
      <c r="AV700" s="39"/>
    </row>
    <row r="701" spans="1:48">
      <c r="A701" s="1"/>
      <c r="D701" s="33"/>
      <c r="E701" s="33"/>
      <c r="F701" s="33"/>
      <c r="G701" s="33"/>
      <c r="H701" s="34"/>
      <c r="J701" s="36"/>
      <c r="K701" s="36"/>
      <c r="L701" s="36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8"/>
      <c r="AS701" s="38"/>
      <c r="AT701" s="38"/>
      <c r="AU701" s="33"/>
      <c r="AV701" s="39"/>
    </row>
    <row r="702" spans="1:48">
      <c r="A702" s="1"/>
      <c r="D702" s="33"/>
      <c r="E702" s="33"/>
      <c r="F702" s="33"/>
      <c r="G702" s="33"/>
      <c r="H702" s="34"/>
      <c r="J702" s="36"/>
      <c r="K702" s="36"/>
      <c r="L702" s="36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8"/>
      <c r="AS702" s="38"/>
      <c r="AT702" s="38"/>
      <c r="AU702" s="33"/>
      <c r="AV702" s="39"/>
    </row>
    <row r="703" spans="1:48">
      <c r="A703" s="1"/>
      <c r="D703" s="33"/>
      <c r="E703" s="33"/>
      <c r="F703" s="33"/>
      <c r="G703" s="33"/>
      <c r="H703" s="34"/>
      <c r="J703" s="36"/>
      <c r="K703" s="36"/>
      <c r="L703" s="36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8"/>
      <c r="AS703" s="38"/>
      <c r="AT703" s="38"/>
      <c r="AU703" s="33"/>
      <c r="AV703" s="39"/>
    </row>
    <row r="704" spans="1:48">
      <c r="A704" s="1"/>
      <c r="D704" s="33"/>
      <c r="E704" s="33"/>
      <c r="F704" s="33"/>
      <c r="G704" s="33"/>
      <c r="H704" s="34"/>
      <c r="J704" s="36"/>
      <c r="K704" s="36"/>
      <c r="L704" s="36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8"/>
      <c r="AS704" s="38"/>
      <c r="AT704" s="38"/>
      <c r="AU704" s="33"/>
      <c r="AV704" s="39"/>
    </row>
    <row r="705" spans="1:48">
      <c r="A705" s="1"/>
      <c r="D705" s="33"/>
      <c r="E705" s="33"/>
      <c r="F705" s="33"/>
      <c r="G705" s="33"/>
      <c r="H705" s="34"/>
      <c r="J705" s="36"/>
      <c r="K705" s="36"/>
      <c r="L705" s="36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8"/>
      <c r="AS705" s="38"/>
      <c r="AT705" s="38"/>
      <c r="AU705" s="33"/>
      <c r="AV705" s="39"/>
    </row>
    <row r="706" spans="1:48">
      <c r="A706" s="1"/>
      <c r="D706" s="33"/>
      <c r="E706" s="33"/>
      <c r="F706" s="33"/>
      <c r="G706" s="33"/>
      <c r="H706" s="34"/>
      <c r="J706" s="36"/>
      <c r="K706" s="36"/>
      <c r="L706" s="36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8"/>
      <c r="AS706" s="38"/>
      <c r="AT706" s="38"/>
      <c r="AU706" s="33"/>
      <c r="AV706" s="39"/>
    </row>
    <row r="707" spans="1:48">
      <c r="A707" s="1"/>
      <c r="D707" s="33"/>
      <c r="E707" s="33"/>
      <c r="F707" s="33"/>
      <c r="G707" s="33"/>
      <c r="H707" s="34"/>
      <c r="J707" s="36"/>
      <c r="K707" s="36"/>
      <c r="L707" s="36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8"/>
      <c r="AS707" s="38"/>
      <c r="AT707" s="38"/>
      <c r="AU707" s="33"/>
      <c r="AV707" s="39"/>
    </row>
    <row r="708" spans="1:48">
      <c r="A708" s="1"/>
      <c r="D708" s="33"/>
      <c r="E708" s="33"/>
      <c r="F708" s="33"/>
      <c r="G708" s="33"/>
      <c r="H708" s="34"/>
      <c r="J708" s="36"/>
      <c r="K708" s="36"/>
      <c r="L708" s="36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8"/>
      <c r="AS708" s="38"/>
      <c r="AT708" s="38"/>
      <c r="AU708" s="33"/>
      <c r="AV708" s="39"/>
    </row>
    <row r="709" spans="1:48">
      <c r="A709" s="1"/>
      <c r="D709" s="33"/>
      <c r="E709" s="33"/>
      <c r="F709" s="33"/>
      <c r="G709" s="33"/>
      <c r="H709" s="34"/>
      <c r="J709" s="36"/>
      <c r="K709" s="36"/>
      <c r="L709" s="36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8"/>
      <c r="AS709" s="38"/>
      <c r="AT709" s="38"/>
      <c r="AU709" s="33"/>
      <c r="AV709" s="39"/>
    </row>
    <row r="710" spans="1:48">
      <c r="A710" s="1"/>
      <c r="D710" s="33"/>
      <c r="E710" s="33"/>
      <c r="F710" s="33"/>
      <c r="G710" s="33"/>
      <c r="H710" s="34"/>
      <c r="J710" s="36"/>
      <c r="K710" s="36"/>
      <c r="L710" s="36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8"/>
      <c r="AS710" s="38"/>
      <c r="AT710" s="38"/>
      <c r="AU710" s="33"/>
      <c r="AV710" s="39"/>
    </row>
    <row r="711" spans="1:48">
      <c r="A711" s="1"/>
      <c r="D711" s="33"/>
      <c r="E711" s="33"/>
      <c r="F711" s="33"/>
      <c r="G711" s="33"/>
      <c r="H711" s="34"/>
      <c r="J711" s="36"/>
      <c r="K711" s="36"/>
      <c r="L711" s="36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8"/>
      <c r="AS711" s="38"/>
      <c r="AT711" s="38"/>
      <c r="AU711" s="33"/>
      <c r="AV711" s="39"/>
    </row>
    <row r="712" spans="1:48">
      <c r="A712" s="1"/>
      <c r="D712" s="33"/>
      <c r="E712" s="33"/>
      <c r="F712" s="33"/>
      <c r="G712" s="33"/>
      <c r="H712" s="34"/>
      <c r="J712" s="36"/>
      <c r="K712" s="36"/>
      <c r="L712" s="36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8"/>
      <c r="AS712" s="38"/>
      <c r="AT712" s="38"/>
      <c r="AU712" s="33"/>
      <c r="AV712" s="39"/>
    </row>
    <row r="713" spans="1:48">
      <c r="A713" s="1"/>
      <c r="D713" s="33"/>
      <c r="E713" s="33"/>
      <c r="F713" s="33"/>
      <c r="G713" s="33"/>
      <c r="H713" s="34"/>
      <c r="J713" s="36"/>
      <c r="K713" s="36"/>
      <c r="L713" s="36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8"/>
      <c r="AS713" s="38"/>
      <c r="AT713" s="38"/>
      <c r="AU713" s="33"/>
      <c r="AV713" s="39"/>
    </row>
    <row r="714" spans="1:48">
      <c r="A714" s="1"/>
      <c r="D714" s="33"/>
      <c r="E714" s="33"/>
      <c r="F714" s="33"/>
      <c r="G714" s="33"/>
      <c r="H714" s="34"/>
      <c r="J714" s="36"/>
      <c r="K714" s="36"/>
      <c r="L714" s="36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8"/>
      <c r="AS714" s="38"/>
      <c r="AT714" s="38"/>
      <c r="AU714" s="33"/>
      <c r="AV714" s="39"/>
    </row>
    <row r="715" spans="1:48">
      <c r="A715" s="1"/>
      <c r="D715" s="33"/>
      <c r="E715" s="33"/>
      <c r="F715" s="33"/>
      <c r="G715" s="33"/>
      <c r="H715" s="34"/>
      <c r="J715" s="36"/>
      <c r="K715" s="36"/>
      <c r="L715" s="36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8"/>
      <c r="AS715" s="38"/>
      <c r="AT715" s="38"/>
      <c r="AU715" s="33"/>
      <c r="AV715" s="39"/>
    </row>
    <row r="716" spans="1:48">
      <c r="A716" s="1"/>
      <c r="D716" s="33"/>
      <c r="E716" s="33"/>
      <c r="F716" s="33"/>
      <c r="G716" s="33"/>
      <c r="H716" s="34"/>
      <c r="J716" s="36"/>
      <c r="K716" s="36"/>
      <c r="L716" s="36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8"/>
      <c r="AS716" s="38"/>
      <c r="AT716" s="38"/>
      <c r="AU716" s="33"/>
      <c r="AV716" s="39"/>
    </row>
    <row r="717" spans="1:48">
      <c r="A717" s="1"/>
      <c r="D717" s="33"/>
      <c r="E717" s="33"/>
      <c r="F717" s="33"/>
      <c r="G717" s="33"/>
      <c r="H717" s="34"/>
      <c r="J717" s="36"/>
      <c r="K717" s="36"/>
      <c r="L717" s="36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8"/>
      <c r="AS717" s="38"/>
      <c r="AT717" s="38"/>
      <c r="AU717" s="33"/>
      <c r="AV717" s="39"/>
    </row>
    <row r="718" spans="1:48">
      <c r="A718" s="1"/>
      <c r="D718" s="33"/>
      <c r="E718" s="33"/>
      <c r="F718" s="33"/>
      <c r="G718" s="33"/>
      <c r="H718" s="34"/>
      <c r="J718" s="36"/>
      <c r="K718" s="36"/>
      <c r="L718" s="36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8"/>
      <c r="AS718" s="38"/>
      <c r="AT718" s="38"/>
      <c r="AU718" s="33"/>
      <c r="AV718" s="39"/>
    </row>
    <row r="719" spans="1:48">
      <c r="A719" s="1"/>
      <c r="D719" s="33"/>
      <c r="E719" s="33"/>
      <c r="F719" s="33"/>
      <c r="G719" s="33"/>
      <c r="H719" s="34"/>
      <c r="J719" s="36"/>
      <c r="K719" s="36"/>
      <c r="L719" s="36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8"/>
      <c r="AS719" s="38"/>
      <c r="AT719" s="38"/>
      <c r="AU719" s="33"/>
      <c r="AV719" s="39"/>
    </row>
    <row r="720" spans="1:48">
      <c r="A720" s="1"/>
      <c r="D720" s="33"/>
      <c r="E720" s="33"/>
      <c r="F720" s="33"/>
      <c r="G720" s="33"/>
      <c r="H720" s="34"/>
      <c r="J720" s="36"/>
      <c r="K720" s="36"/>
      <c r="L720" s="36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8"/>
      <c r="AS720" s="38"/>
      <c r="AT720" s="38"/>
      <c r="AU720" s="33"/>
      <c r="AV720" s="39"/>
    </row>
    <row r="721" spans="1:48">
      <c r="A721" s="1"/>
      <c r="D721" s="33"/>
      <c r="E721" s="33"/>
      <c r="F721" s="33"/>
      <c r="G721" s="33"/>
      <c r="H721" s="34"/>
      <c r="J721" s="36"/>
      <c r="K721" s="36"/>
      <c r="L721" s="36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8"/>
      <c r="AS721" s="38"/>
      <c r="AT721" s="38"/>
      <c r="AU721" s="33"/>
      <c r="AV721" s="39"/>
    </row>
    <row r="722" spans="1:48">
      <c r="A722" s="1"/>
      <c r="D722" s="33"/>
      <c r="E722" s="33"/>
      <c r="F722" s="33"/>
      <c r="G722" s="33"/>
      <c r="H722" s="34"/>
      <c r="J722" s="36"/>
      <c r="K722" s="36"/>
      <c r="L722" s="36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8"/>
      <c r="AS722" s="38"/>
      <c r="AT722" s="38"/>
      <c r="AU722" s="33"/>
      <c r="AV722" s="39"/>
    </row>
    <row r="723" spans="1:48">
      <c r="A723" s="1"/>
      <c r="D723" s="33"/>
      <c r="E723" s="33"/>
      <c r="F723" s="33"/>
      <c r="G723" s="33"/>
      <c r="H723" s="34"/>
      <c r="J723" s="36"/>
      <c r="K723" s="36"/>
      <c r="L723" s="36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8"/>
      <c r="AS723" s="38"/>
      <c r="AT723" s="38"/>
      <c r="AU723" s="33"/>
      <c r="AV723" s="39"/>
    </row>
    <row r="724" spans="1:48">
      <c r="A724" s="1"/>
      <c r="D724" s="33"/>
      <c r="E724" s="33"/>
      <c r="F724" s="33"/>
      <c r="G724" s="33"/>
      <c r="H724" s="34"/>
      <c r="J724" s="36"/>
      <c r="K724" s="36"/>
      <c r="L724" s="36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8"/>
      <c r="AS724" s="38"/>
      <c r="AT724" s="38"/>
      <c r="AU724" s="33"/>
      <c r="AV724" s="39"/>
    </row>
    <row r="725" spans="1:48">
      <c r="A725" s="1"/>
      <c r="D725" s="33"/>
      <c r="E725" s="33"/>
      <c r="F725" s="33"/>
      <c r="G725" s="33"/>
      <c r="H725" s="34"/>
      <c r="J725" s="36"/>
      <c r="K725" s="36"/>
      <c r="L725" s="36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8"/>
      <c r="AS725" s="38"/>
      <c r="AT725" s="38"/>
      <c r="AU725" s="33"/>
      <c r="AV725" s="39"/>
    </row>
    <row r="726" spans="1:48">
      <c r="A726" s="1"/>
      <c r="D726" s="33"/>
      <c r="E726" s="33"/>
      <c r="F726" s="33"/>
      <c r="G726" s="33"/>
      <c r="H726" s="34"/>
      <c r="J726" s="36"/>
      <c r="K726" s="36"/>
      <c r="L726" s="36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8"/>
      <c r="AS726" s="38"/>
      <c r="AT726" s="38"/>
      <c r="AU726" s="33"/>
      <c r="AV726" s="39"/>
    </row>
    <row r="727" spans="1:48">
      <c r="A727" s="1"/>
      <c r="D727" s="33"/>
      <c r="E727" s="33"/>
      <c r="F727" s="33"/>
      <c r="G727" s="33"/>
      <c r="H727" s="34"/>
      <c r="J727" s="36"/>
      <c r="K727" s="36"/>
      <c r="L727" s="36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8"/>
      <c r="AS727" s="38"/>
      <c r="AT727" s="38"/>
      <c r="AU727" s="33"/>
      <c r="AV727" s="39"/>
    </row>
    <row r="728" spans="1:48">
      <c r="A728" s="1"/>
      <c r="D728" s="33"/>
      <c r="E728" s="33"/>
      <c r="F728" s="33"/>
      <c r="G728" s="33"/>
      <c r="H728" s="34"/>
      <c r="J728" s="36"/>
      <c r="K728" s="36"/>
      <c r="L728" s="36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8"/>
      <c r="AS728" s="38"/>
      <c r="AT728" s="38"/>
      <c r="AU728" s="33"/>
      <c r="AV728" s="39"/>
    </row>
    <row r="729" spans="1:48">
      <c r="A729" s="1"/>
      <c r="D729" s="33"/>
      <c r="E729" s="33"/>
      <c r="F729" s="33"/>
      <c r="G729" s="33"/>
      <c r="H729" s="34"/>
      <c r="J729" s="36"/>
      <c r="K729" s="36"/>
      <c r="L729" s="36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8"/>
      <c r="AS729" s="38"/>
      <c r="AT729" s="38"/>
      <c r="AU729" s="33"/>
      <c r="AV729" s="39"/>
    </row>
    <row r="730" spans="1:48">
      <c r="A730" s="1"/>
      <c r="D730" s="33"/>
      <c r="E730" s="33"/>
      <c r="F730" s="33"/>
      <c r="G730" s="33"/>
      <c r="H730" s="34"/>
      <c r="J730" s="36"/>
      <c r="K730" s="36"/>
      <c r="L730" s="36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8"/>
      <c r="AS730" s="38"/>
      <c r="AT730" s="38"/>
      <c r="AU730" s="33"/>
      <c r="AV730" s="39"/>
    </row>
    <row r="731" spans="1:48">
      <c r="A731" s="1"/>
      <c r="D731" s="33"/>
      <c r="E731" s="33"/>
      <c r="F731" s="33"/>
      <c r="G731" s="33"/>
      <c r="H731" s="34"/>
      <c r="J731" s="36"/>
      <c r="K731" s="36"/>
      <c r="L731" s="36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8"/>
      <c r="AS731" s="38"/>
      <c r="AT731" s="38"/>
      <c r="AU731" s="33"/>
      <c r="AV731" s="39"/>
    </row>
    <row r="732" spans="1:48">
      <c r="A732" s="1"/>
      <c r="D732" s="33"/>
      <c r="E732" s="33"/>
      <c r="F732" s="33"/>
      <c r="G732" s="33"/>
      <c r="H732" s="34"/>
      <c r="J732" s="36"/>
      <c r="K732" s="36"/>
      <c r="L732" s="36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8"/>
      <c r="AS732" s="38"/>
      <c r="AT732" s="38"/>
      <c r="AU732" s="33"/>
      <c r="AV732" s="39"/>
    </row>
    <row r="733" spans="1:48">
      <c r="A733" s="1"/>
      <c r="D733" s="33"/>
      <c r="E733" s="33"/>
      <c r="F733" s="33"/>
      <c r="G733" s="33"/>
      <c r="H733" s="34"/>
      <c r="J733" s="36"/>
      <c r="K733" s="36"/>
      <c r="L733" s="36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8"/>
      <c r="AS733" s="38"/>
      <c r="AT733" s="38"/>
      <c r="AU733" s="33"/>
      <c r="AV733" s="39"/>
    </row>
    <row r="734" spans="1:48">
      <c r="A734" s="1"/>
      <c r="D734" s="33"/>
      <c r="E734" s="33"/>
      <c r="F734" s="33"/>
      <c r="G734" s="33"/>
      <c r="H734" s="34"/>
      <c r="J734" s="36"/>
      <c r="K734" s="36"/>
      <c r="L734" s="36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8"/>
      <c r="AS734" s="38"/>
      <c r="AT734" s="38"/>
      <c r="AU734" s="33"/>
      <c r="AV734" s="39"/>
    </row>
    <row r="735" spans="1:48">
      <c r="A735" s="1"/>
      <c r="D735" s="33"/>
      <c r="E735" s="33"/>
      <c r="F735" s="33"/>
      <c r="G735" s="33"/>
      <c r="H735" s="34"/>
      <c r="J735" s="36"/>
      <c r="K735" s="36"/>
      <c r="L735" s="36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8"/>
      <c r="AS735" s="38"/>
      <c r="AT735" s="38"/>
      <c r="AU735" s="33"/>
      <c r="AV735" s="39"/>
    </row>
    <row r="736" spans="1:48">
      <c r="A736" s="1"/>
      <c r="D736" s="33"/>
      <c r="E736" s="33"/>
      <c r="F736" s="33"/>
      <c r="G736" s="33"/>
      <c r="H736" s="34"/>
      <c r="J736" s="36"/>
      <c r="K736" s="36"/>
      <c r="L736" s="36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8"/>
      <c r="AS736" s="38"/>
      <c r="AT736" s="38"/>
      <c r="AU736" s="33"/>
      <c r="AV736" s="39"/>
    </row>
    <row r="737" spans="1:48">
      <c r="A737" s="1"/>
      <c r="D737" s="33"/>
      <c r="E737" s="33"/>
      <c r="F737" s="33"/>
      <c r="G737" s="33"/>
      <c r="H737" s="34"/>
      <c r="J737" s="36"/>
      <c r="K737" s="36"/>
      <c r="L737" s="36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8"/>
      <c r="AS737" s="38"/>
      <c r="AT737" s="38"/>
      <c r="AU737" s="33"/>
      <c r="AV737" s="39"/>
    </row>
    <row r="738" spans="1:48">
      <c r="A738" s="1"/>
      <c r="D738" s="33"/>
      <c r="E738" s="33"/>
      <c r="F738" s="33"/>
      <c r="G738" s="33"/>
      <c r="H738" s="34"/>
      <c r="J738" s="36"/>
      <c r="K738" s="36"/>
      <c r="L738" s="36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8"/>
      <c r="AS738" s="38"/>
      <c r="AT738" s="38"/>
      <c r="AU738" s="33"/>
      <c r="AV738" s="39"/>
    </row>
    <row r="739" spans="1:48">
      <c r="A739" s="1"/>
      <c r="D739" s="33"/>
      <c r="E739" s="33"/>
      <c r="F739" s="33"/>
      <c r="G739" s="33"/>
      <c r="H739" s="34"/>
      <c r="J739" s="36"/>
      <c r="K739" s="36"/>
      <c r="L739" s="36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8"/>
      <c r="AS739" s="38"/>
      <c r="AT739" s="38"/>
      <c r="AU739" s="33"/>
      <c r="AV739" s="39"/>
    </row>
    <row r="740" spans="1:48">
      <c r="A740" s="1"/>
      <c r="D740" s="33"/>
      <c r="E740" s="33"/>
      <c r="F740" s="33"/>
      <c r="G740" s="33"/>
      <c r="H740" s="34"/>
      <c r="J740" s="36"/>
      <c r="K740" s="36"/>
      <c r="L740" s="36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8"/>
      <c r="AS740" s="38"/>
      <c r="AT740" s="38"/>
      <c r="AU740" s="33"/>
      <c r="AV740" s="39"/>
    </row>
    <row r="741" spans="1:48">
      <c r="A741" s="1"/>
      <c r="D741" s="33"/>
      <c r="E741" s="33"/>
      <c r="F741" s="33"/>
      <c r="G741" s="33"/>
      <c r="H741" s="34"/>
      <c r="J741" s="36"/>
      <c r="K741" s="36"/>
      <c r="L741" s="36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8"/>
      <c r="AS741" s="38"/>
      <c r="AT741" s="38"/>
      <c r="AU741" s="33"/>
      <c r="AV741" s="39"/>
    </row>
    <row r="742" spans="1:48">
      <c r="A742" s="1"/>
      <c r="D742" s="33"/>
      <c r="E742" s="33"/>
      <c r="F742" s="33"/>
      <c r="G742" s="33"/>
      <c r="H742" s="34"/>
      <c r="J742" s="36"/>
      <c r="K742" s="36"/>
      <c r="L742" s="36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8"/>
      <c r="AS742" s="38"/>
      <c r="AT742" s="38"/>
      <c r="AU742" s="33"/>
      <c r="AV742" s="39"/>
    </row>
    <row r="743" spans="1:48">
      <c r="A743" s="1"/>
      <c r="D743" s="33"/>
      <c r="E743" s="33"/>
      <c r="F743" s="33"/>
      <c r="G743" s="33"/>
      <c r="H743" s="34"/>
      <c r="J743" s="36"/>
      <c r="K743" s="36"/>
      <c r="L743" s="36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8"/>
      <c r="AS743" s="38"/>
      <c r="AT743" s="38"/>
      <c r="AU743" s="33"/>
      <c r="AV743" s="39"/>
    </row>
    <row r="744" spans="1:48">
      <c r="A744" s="1"/>
      <c r="D744" s="33"/>
      <c r="E744" s="33"/>
      <c r="F744" s="33"/>
      <c r="G744" s="33"/>
      <c r="H744" s="34"/>
      <c r="J744" s="36"/>
      <c r="K744" s="36"/>
      <c r="L744" s="36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8"/>
      <c r="AS744" s="38"/>
      <c r="AT744" s="38"/>
      <c r="AU744" s="33"/>
      <c r="AV744" s="39"/>
    </row>
    <row r="745" spans="1:48">
      <c r="A745" s="1"/>
      <c r="D745" s="33"/>
      <c r="E745" s="33"/>
      <c r="F745" s="33"/>
      <c r="G745" s="33"/>
      <c r="H745" s="34"/>
      <c r="J745" s="36"/>
      <c r="K745" s="36"/>
      <c r="L745" s="36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8"/>
      <c r="AS745" s="38"/>
      <c r="AT745" s="38"/>
      <c r="AU745" s="33"/>
      <c r="AV745" s="39"/>
    </row>
    <row r="746" spans="1:48">
      <c r="A746" s="1"/>
      <c r="D746" s="33"/>
      <c r="E746" s="33"/>
      <c r="F746" s="33"/>
      <c r="G746" s="33"/>
      <c r="H746" s="34"/>
      <c r="J746" s="36"/>
      <c r="K746" s="36"/>
      <c r="L746" s="36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8"/>
      <c r="AS746" s="38"/>
      <c r="AT746" s="38"/>
      <c r="AU746" s="33"/>
      <c r="AV746" s="39"/>
    </row>
    <row r="747" spans="1:48">
      <c r="A747" s="1"/>
      <c r="D747" s="33"/>
      <c r="E747" s="33"/>
      <c r="F747" s="33"/>
      <c r="G747" s="33"/>
      <c r="H747" s="34"/>
      <c r="J747" s="36"/>
      <c r="K747" s="36"/>
      <c r="L747" s="36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8"/>
      <c r="AS747" s="38"/>
      <c r="AT747" s="38"/>
      <c r="AU747" s="33"/>
      <c r="AV747" s="39"/>
    </row>
    <row r="748" spans="1:48">
      <c r="A748" s="1"/>
      <c r="D748" s="33"/>
      <c r="E748" s="33"/>
      <c r="F748" s="33"/>
      <c r="G748" s="33"/>
      <c r="H748" s="34"/>
      <c r="J748" s="36"/>
      <c r="K748" s="36"/>
      <c r="L748" s="36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8"/>
      <c r="AS748" s="38"/>
      <c r="AT748" s="38"/>
      <c r="AU748" s="33"/>
      <c r="AV748" s="39"/>
    </row>
    <row r="749" spans="1:48">
      <c r="A749" s="1"/>
      <c r="D749" s="33"/>
      <c r="E749" s="33"/>
      <c r="F749" s="33"/>
      <c r="G749" s="33"/>
      <c r="H749" s="34"/>
      <c r="J749" s="36"/>
      <c r="K749" s="36"/>
      <c r="L749" s="36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8"/>
      <c r="AS749" s="38"/>
      <c r="AT749" s="38"/>
      <c r="AU749" s="33"/>
      <c r="AV749" s="39"/>
    </row>
    <row r="750" spans="1:48">
      <c r="A750" s="1"/>
      <c r="D750" s="33"/>
      <c r="E750" s="33"/>
      <c r="F750" s="33"/>
      <c r="G750" s="33"/>
      <c r="H750" s="34"/>
      <c r="J750" s="36"/>
      <c r="K750" s="36"/>
      <c r="L750" s="36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8"/>
      <c r="AS750" s="38"/>
      <c r="AT750" s="38"/>
      <c r="AU750" s="33"/>
      <c r="AV750" s="39"/>
    </row>
    <row r="751" spans="1:48">
      <c r="A751" s="1"/>
      <c r="D751" s="33"/>
      <c r="E751" s="33"/>
      <c r="F751" s="33"/>
      <c r="G751" s="33"/>
      <c r="H751" s="34"/>
      <c r="J751" s="36"/>
      <c r="K751" s="36"/>
      <c r="L751" s="36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8"/>
      <c r="AS751" s="38"/>
      <c r="AT751" s="38"/>
      <c r="AU751" s="33"/>
      <c r="AV751" s="39"/>
    </row>
    <row r="752" spans="1:48">
      <c r="A752" s="1"/>
      <c r="D752" s="33"/>
      <c r="E752" s="33"/>
      <c r="F752" s="33"/>
      <c r="G752" s="33"/>
      <c r="H752" s="34"/>
      <c r="J752" s="36"/>
      <c r="K752" s="36"/>
      <c r="L752" s="36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8"/>
      <c r="AS752" s="38"/>
      <c r="AT752" s="38"/>
      <c r="AU752" s="33"/>
      <c r="AV752" s="39"/>
    </row>
    <row r="753" spans="1:48">
      <c r="A753" s="1"/>
      <c r="D753" s="33"/>
      <c r="E753" s="33"/>
      <c r="F753" s="33"/>
      <c r="G753" s="33"/>
      <c r="H753" s="34"/>
      <c r="J753" s="36"/>
      <c r="K753" s="36"/>
      <c r="L753" s="36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8"/>
      <c r="AS753" s="38"/>
      <c r="AT753" s="38"/>
      <c r="AU753" s="33"/>
      <c r="AV753" s="39"/>
    </row>
    <row r="754" spans="1:48">
      <c r="A754" s="1"/>
      <c r="D754" s="33"/>
      <c r="E754" s="33"/>
      <c r="F754" s="33"/>
      <c r="G754" s="33"/>
      <c r="H754" s="34"/>
      <c r="J754" s="36"/>
      <c r="K754" s="36"/>
      <c r="L754" s="36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8"/>
      <c r="AS754" s="38"/>
      <c r="AT754" s="38"/>
      <c r="AU754" s="33"/>
      <c r="AV754" s="39"/>
    </row>
    <row r="755" spans="1:48">
      <c r="A755" s="1"/>
      <c r="D755" s="33"/>
      <c r="E755" s="33"/>
      <c r="F755" s="33"/>
      <c r="G755" s="33"/>
      <c r="H755" s="34"/>
      <c r="J755" s="36"/>
      <c r="K755" s="36"/>
      <c r="L755" s="36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8"/>
      <c r="AS755" s="38"/>
      <c r="AT755" s="38"/>
      <c r="AU755" s="33"/>
      <c r="AV755" s="39"/>
    </row>
    <row r="756" spans="1:48">
      <c r="A756" s="1"/>
      <c r="D756" s="33"/>
      <c r="E756" s="33"/>
      <c r="F756" s="33"/>
      <c r="G756" s="33"/>
      <c r="H756" s="34"/>
      <c r="J756" s="36"/>
      <c r="K756" s="36"/>
      <c r="L756" s="36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8"/>
      <c r="AS756" s="38"/>
      <c r="AT756" s="38"/>
      <c r="AU756" s="33"/>
      <c r="AV756" s="39"/>
    </row>
    <row r="757" spans="1:48">
      <c r="A757" s="1"/>
      <c r="D757" s="33"/>
      <c r="E757" s="33"/>
      <c r="F757" s="33"/>
      <c r="G757" s="33"/>
      <c r="H757" s="34"/>
      <c r="J757" s="36"/>
      <c r="K757" s="36"/>
      <c r="L757" s="36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8"/>
      <c r="AS757" s="38"/>
      <c r="AT757" s="38"/>
      <c r="AU757" s="33"/>
      <c r="AV757" s="39"/>
    </row>
    <row r="758" spans="1:48">
      <c r="A758" s="1"/>
      <c r="D758" s="33"/>
      <c r="E758" s="33"/>
      <c r="F758" s="33"/>
      <c r="G758" s="33"/>
      <c r="H758" s="34"/>
      <c r="J758" s="36"/>
      <c r="K758" s="36"/>
      <c r="L758" s="36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8"/>
      <c r="AS758" s="38"/>
      <c r="AT758" s="38"/>
      <c r="AU758" s="33"/>
      <c r="AV758" s="39"/>
    </row>
    <row r="759" spans="1:48">
      <c r="A759" s="1"/>
      <c r="D759" s="33"/>
      <c r="E759" s="33"/>
      <c r="F759" s="33"/>
      <c r="G759" s="33"/>
      <c r="H759" s="34"/>
      <c r="J759" s="36"/>
      <c r="K759" s="36"/>
      <c r="L759" s="36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8"/>
      <c r="AS759" s="38"/>
      <c r="AT759" s="38"/>
      <c r="AU759" s="33"/>
      <c r="AV759" s="39"/>
    </row>
    <row r="760" spans="1:48">
      <c r="A760" s="1"/>
      <c r="D760" s="33"/>
      <c r="E760" s="33"/>
      <c r="F760" s="33"/>
      <c r="G760" s="33"/>
      <c r="H760" s="34"/>
      <c r="J760" s="36"/>
      <c r="K760" s="36"/>
      <c r="L760" s="36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8"/>
      <c r="AS760" s="38"/>
      <c r="AT760" s="38"/>
      <c r="AU760" s="33"/>
      <c r="AV760" s="39"/>
    </row>
    <row r="761" spans="1:48">
      <c r="A761" s="1"/>
      <c r="D761" s="33"/>
      <c r="E761" s="33"/>
      <c r="F761" s="33"/>
      <c r="G761" s="33"/>
      <c r="H761" s="34"/>
      <c r="J761" s="36"/>
      <c r="K761" s="36"/>
      <c r="L761" s="36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8"/>
      <c r="AS761" s="38"/>
      <c r="AT761" s="38"/>
      <c r="AU761" s="33"/>
      <c r="AV761" s="39"/>
    </row>
    <row r="762" spans="1:48">
      <c r="A762" s="1"/>
      <c r="D762" s="33"/>
      <c r="E762" s="33"/>
      <c r="F762" s="33"/>
      <c r="G762" s="33"/>
      <c r="H762" s="34"/>
      <c r="J762" s="36"/>
      <c r="K762" s="36"/>
      <c r="L762" s="36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8"/>
      <c r="AS762" s="38"/>
      <c r="AT762" s="38"/>
      <c r="AU762" s="33"/>
      <c r="AV762" s="39"/>
    </row>
    <row r="763" spans="1:48">
      <c r="A763" s="1"/>
      <c r="D763" s="33"/>
      <c r="E763" s="33"/>
      <c r="F763" s="33"/>
      <c r="G763" s="33"/>
      <c r="H763" s="34"/>
      <c r="J763" s="36"/>
      <c r="K763" s="36"/>
      <c r="L763" s="36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8"/>
      <c r="AS763" s="38"/>
      <c r="AT763" s="38"/>
      <c r="AU763" s="33"/>
      <c r="AV763" s="39"/>
    </row>
    <row r="764" spans="1:48">
      <c r="A764" s="1"/>
      <c r="D764" s="33"/>
      <c r="E764" s="33"/>
      <c r="F764" s="33"/>
      <c r="G764" s="33"/>
      <c r="H764" s="34"/>
      <c r="J764" s="36"/>
      <c r="K764" s="36"/>
      <c r="L764" s="36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8"/>
      <c r="AS764" s="38"/>
      <c r="AT764" s="38"/>
      <c r="AU764" s="33"/>
      <c r="AV764" s="39"/>
    </row>
    <row r="765" spans="1:48">
      <c r="A765" s="1"/>
      <c r="D765" s="33"/>
      <c r="E765" s="33"/>
      <c r="F765" s="33"/>
      <c r="G765" s="33"/>
      <c r="H765" s="34"/>
      <c r="J765" s="36"/>
      <c r="K765" s="36"/>
      <c r="L765" s="36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8"/>
      <c r="AS765" s="38"/>
      <c r="AT765" s="38"/>
      <c r="AU765" s="33"/>
      <c r="AV765" s="39"/>
    </row>
    <row r="766" spans="1:48">
      <c r="A766" s="1"/>
      <c r="D766" s="33"/>
      <c r="E766" s="33"/>
      <c r="F766" s="33"/>
      <c r="G766" s="33"/>
      <c r="H766" s="34"/>
      <c r="J766" s="36"/>
      <c r="K766" s="36"/>
      <c r="L766" s="36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8"/>
      <c r="AS766" s="38"/>
      <c r="AT766" s="38"/>
      <c r="AU766" s="33"/>
      <c r="AV766" s="39"/>
    </row>
    <row r="767" spans="1:48">
      <c r="A767" s="1"/>
      <c r="D767" s="33"/>
      <c r="E767" s="33"/>
      <c r="F767" s="33"/>
      <c r="G767" s="33"/>
      <c r="H767" s="34"/>
      <c r="J767" s="36"/>
      <c r="K767" s="36"/>
      <c r="L767" s="36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8"/>
      <c r="AS767" s="38"/>
      <c r="AT767" s="38"/>
      <c r="AU767" s="33"/>
      <c r="AV767" s="39"/>
    </row>
    <row r="768" spans="1:48">
      <c r="A768" s="1"/>
      <c r="D768" s="33"/>
      <c r="E768" s="33"/>
      <c r="F768" s="33"/>
      <c r="G768" s="33"/>
      <c r="H768" s="34"/>
      <c r="J768" s="36"/>
      <c r="K768" s="36"/>
      <c r="L768" s="36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8"/>
      <c r="AS768" s="38"/>
      <c r="AT768" s="38"/>
      <c r="AU768" s="33"/>
      <c r="AV768" s="39"/>
    </row>
    <row r="769" spans="1:48">
      <c r="A769" s="1"/>
      <c r="D769" s="33"/>
      <c r="E769" s="33"/>
      <c r="F769" s="33"/>
      <c r="G769" s="33"/>
      <c r="H769" s="34"/>
      <c r="J769" s="36"/>
      <c r="K769" s="36"/>
      <c r="L769" s="36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8"/>
      <c r="AS769" s="38"/>
      <c r="AT769" s="38"/>
      <c r="AU769" s="33"/>
      <c r="AV769" s="39"/>
    </row>
    <row r="770" spans="1:48">
      <c r="A770" s="1"/>
      <c r="D770" s="33"/>
      <c r="E770" s="33"/>
      <c r="F770" s="33"/>
      <c r="G770" s="33"/>
      <c r="H770" s="34"/>
      <c r="J770" s="36"/>
      <c r="K770" s="36"/>
      <c r="L770" s="36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8"/>
      <c r="AS770" s="38"/>
      <c r="AT770" s="38"/>
      <c r="AU770" s="33"/>
      <c r="AV770" s="39"/>
    </row>
    <row r="771" spans="1:48">
      <c r="A771" s="1"/>
      <c r="D771" s="33"/>
      <c r="E771" s="33"/>
      <c r="F771" s="33"/>
      <c r="G771" s="33"/>
      <c r="H771" s="34"/>
      <c r="J771" s="36"/>
      <c r="K771" s="36"/>
      <c r="L771" s="36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8"/>
      <c r="AS771" s="38"/>
      <c r="AT771" s="38"/>
      <c r="AU771" s="33"/>
      <c r="AV771" s="39"/>
    </row>
    <row r="772" spans="1:48">
      <c r="A772" s="1"/>
      <c r="D772" s="33"/>
      <c r="E772" s="33"/>
      <c r="F772" s="33"/>
      <c r="G772" s="33"/>
      <c r="H772" s="34"/>
      <c r="J772" s="36"/>
      <c r="K772" s="36"/>
      <c r="L772" s="36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8"/>
      <c r="AS772" s="38"/>
      <c r="AT772" s="38"/>
      <c r="AU772" s="33"/>
      <c r="AV772" s="39"/>
    </row>
    <row r="773" spans="1:48">
      <c r="A773" s="1"/>
      <c r="D773" s="33"/>
      <c r="E773" s="33"/>
      <c r="F773" s="33"/>
      <c r="G773" s="33"/>
      <c r="H773" s="34"/>
      <c r="J773" s="36"/>
      <c r="K773" s="36"/>
      <c r="L773" s="36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8"/>
      <c r="AS773" s="38"/>
      <c r="AT773" s="38"/>
      <c r="AU773" s="33"/>
      <c r="AV773" s="39"/>
    </row>
    <row r="774" spans="1:48">
      <c r="A774" s="1"/>
      <c r="D774" s="33"/>
      <c r="E774" s="33"/>
      <c r="F774" s="33"/>
      <c r="G774" s="33"/>
      <c r="H774" s="34"/>
      <c r="J774" s="36"/>
      <c r="K774" s="36"/>
      <c r="L774" s="36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8"/>
      <c r="AS774" s="38"/>
      <c r="AT774" s="38"/>
      <c r="AU774" s="33"/>
      <c r="AV774" s="39"/>
    </row>
    <row r="775" spans="1:48">
      <c r="A775" s="1"/>
      <c r="D775" s="33"/>
      <c r="E775" s="33"/>
      <c r="F775" s="33"/>
      <c r="G775" s="33"/>
      <c r="H775" s="34"/>
      <c r="J775" s="36"/>
      <c r="K775" s="36"/>
      <c r="L775" s="36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8"/>
      <c r="AS775" s="38"/>
      <c r="AT775" s="38"/>
      <c r="AU775" s="33"/>
      <c r="AV775" s="39"/>
    </row>
    <row r="776" spans="1:48">
      <c r="A776" s="1"/>
      <c r="D776" s="33"/>
      <c r="E776" s="33"/>
      <c r="F776" s="33"/>
      <c r="G776" s="33"/>
      <c r="H776" s="34"/>
      <c r="J776" s="36"/>
      <c r="K776" s="36"/>
      <c r="L776" s="36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8"/>
      <c r="AS776" s="38"/>
      <c r="AT776" s="38"/>
      <c r="AU776" s="33"/>
      <c r="AV776" s="39"/>
    </row>
    <row r="777" spans="1:48">
      <c r="A777" s="1"/>
      <c r="D777" s="33"/>
      <c r="E777" s="33"/>
      <c r="F777" s="33"/>
      <c r="G777" s="33"/>
      <c r="H777" s="34"/>
      <c r="J777" s="36"/>
      <c r="K777" s="36"/>
      <c r="L777" s="36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8"/>
      <c r="AS777" s="38"/>
      <c r="AT777" s="38"/>
      <c r="AU777" s="33"/>
      <c r="AV777" s="39"/>
    </row>
    <row r="778" spans="1:48">
      <c r="A778" s="1"/>
      <c r="D778" s="33"/>
      <c r="E778" s="33"/>
      <c r="F778" s="33"/>
      <c r="G778" s="33"/>
      <c r="H778" s="34"/>
      <c r="J778" s="36"/>
      <c r="K778" s="36"/>
      <c r="L778" s="36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8"/>
      <c r="AS778" s="38"/>
      <c r="AT778" s="38"/>
      <c r="AU778" s="33"/>
      <c r="AV778" s="39"/>
    </row>
    <row r="779" spans="1:48">
      <c r="A779" s="1"/>
      <c r="D779" s="33"/>
      <c r="E779" s="33"/>
      <c r="F779" s="33"/>
      <c r="G779" s="33"/>
      <c r="H779" s="34"/>
      <c r="J779" s="36"/>
      <c r="K779" s="36"/>
      <c r="L779" s="36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8"/>
      <c r="AS779" s="38"/>
      <c r="AT779" s="38"/>
      <c r="AU779" s="33"/>
      <c r="AV779" s="39"/>
    </row>
    <row r="780" spans="1:48">
      <c r="A780" s="1"/>
      <c r="D780" s="33"/>
      <c r="E780" s="33"/>
      <c r="F780" s="33"/>
      <c r="G780" s="33"/>
      <c r="H780" s="34"/>
      <c r="J780" s="36"/>
      <c r="K780" s="36"/>
      <c r="L780" s="36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8"/>
      <c r="AS780" s="38"/>
      <c r="AT780" s="38"/>
      <c r="AU780" s="33"/>
      <c r="AV780" s="39"/>
    </row>
    <row r="781" spans="1:48">
      <c r="A781" s="1"/>
      <c r="D781" s="33"/>
      <c r="E781" s="33"/>
      <c r="F781" s="33"/>
      <c r="G781" s="33"/>
      <c r="H781" s="34"/>
      <c r="J781" s="36"/>
      <c r="K781" s="36"/>
      <c r="L781" s="36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8"/>
      <c r="AS781" s="38"/>
      <c r="AT781" s="38"/>
      <c r="AU781" s="33"/>
      <c r="AV781" s="39"/>
    </row>
    <row r="782" spans="1:48">
      <c r="A782" s="1"/>
      <c r="D782" s="33"/>
      <c r="E782" s="33"/>
      <c r="F782" s="33"/>
      <c r="G782" s="33"/>
      <c r="H782" s="34"/>
      <c r="J782" s="36"/>
      <c r="K782" s="36"/>
      <c r="L782" s="36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8"/>
      <c r="AS782" s="38"/>
      <c r="AT782" s="38"/>
      <c r="AU782" s="33"/>
      <c r="AV782" s="39"/>
    </row>
    <row r="783" spans="1:48">
      <c r="A783" s="1"/>
      <c r="D783" s="33"/>
      <c r="E783" s="33"/>
      <c r="F783" s="33"/>
      <c r="G783" s="33"/>
      <c r="H783" s="34"/>
      <c r="J783" s="36"/>
      <c r="K783" s="36"/>
      <c r="L783" s="36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8"/>
      <c r="AS783" s="38"/>
      <c r="AT783" s="38"/>
      <c r="AU783" s="33"/>
      <c r="AV783" s="39"/>
    </row>
    <row r="784" spans="1:48">
      <c r="A784" s="1"/>
      <c r="D784" s="33"/>
      <c r="E784" s="33"/>
      <c r="F784" s="33"/>
      <c r="G784" s="33"/>
      <c r="H784" s="34"/>
      <c r="J784" s="36"/>
      <c r="K784" s="36"/>
      <c r="L784" s="36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8"/>
      <c r="AS784" s="38"/>
      <c r="AT784" s="38"/>
      <c r="AU784" s="33"/>
      <c r="AV784" s="39"/>
    </row>
    <row r="785" spans="1:48">
      <c r="A785" s="1"/>
      <c r="D785" s="33"/>
      <c r="E785" s="33"/>
      <c r="F785" s="33"/>
      <c r="G785" s="33"/>
      <c r="H785" s="34"/>
      <c r="J785" s="36"/>
      <c r="K785" s="36"/>
      <c r="L785" s="36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8"/>
      <c r="AS785" s="38"/>
      <c r="AT785" s="38"/>
      <c r="AU785" s="33"/>
      <c r="AV785" s="39"/>
    </row>
    <row r="786" spans="1:48">
      <c r="A786" s="1"/>
      <c r="D786" s="33"/>
      <c r="E786" s="33"/>
      <c r="F786" s="33"/>
      <c r="G786" s="33"/>
      <c r="H786" s="34"/>
      <c r="J786" s="36"/>
      <c r="K786" s="36"/>
      <c r="L786" s="36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8"/>
      <c r="AS786" s="38"/>
      <c r="AT786" s="38"/>
      <c r="AU786" s="33"/>
      <c r="AV786" s="39"/>
    </row>
    <row r="787" spans="1:48">
      <c r="A787" s="1"/>
      <c r="D787" s="33"/>
      <c r="E787" s="33"/>
      <c r="F787" s="33"/>
      <c r="G787" s="33"/>
      <c r="H787" s="34"/>
      <c r="J787" s="36"/>
      <c r="K787" s="36"/>
      <c r="L787" s="36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8"/>
      <c r="AS787" s="38"/>
      <c r="AT787" s="38"/>
      <c r="AU787" s="33"/>
      <c r="AV787" s="39"/>
    </row>
    <row r="788" spans="1:48">
      <c r="A788" s="1"/>
      <c r="D788" s="33"/>
      <c r="E788" s="33"/>
      <c r="F788" s="33"/>
      <c r="G788" s="33"/>
      <c r="H788" s="34"/>
      <c r="J788" s="36"/>
      <c r="K788" s="36"/>
      <c r="L788" s="36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8"/>
      <c r="AS788" s="38"/>
      <c r="AT788" s="38"/>
      <c r="AU788" s="33"/>
      <c r="AV788" s="39"/>
    </row>
    <row r="789" spans="1:48">
      <c r="A789" s="1"/>
      <c r="D789" s="33"/>
      <c r="E789" s="33"/>
      <c r="F789" s="33"/>
      <c r="G789" s="33"/>
      <c r="H789" s="34"/>
      <c r="J789" s="36"/>
      <c r="K789" s="36"/>
      <c r="L789" s="36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8"/>
      <c r="AS789" s="38"/>
      <c r="AT789" s="38"/>
      <c r="AU789" s="33"/>
      <c r="AV789" s="39"/>
    </row>
    <row r="790" spans="1:48">
      <c r="A790" s="1"/>
      <c r="D790" s="33"/>
      <c r="E790" s="33"/>
      <c r="F790" s="33"/>
      <c r="G790" s="33"/>
      <c r="H790" s="34"/>
      <c r="J790" s="36"/>
      <c r="K790" s="36"/>
      <c r="L790" s="36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8"/>
      <c r="AS790" s="38"/>
      <c r="AT790" s="38"/>
      <c r="AU790" s="33"/>
      <c r="AV790" s="39"/>
    </row>
    <row r="791" spans="1:48">
      <c r="A791" s="1"/>
      <c r="D791" s="33"/>
      <c r="E791" s="33"/>
      <c r="F791" s="33"/>
      <c r="G791" s="33"/>
      <c r="H791" s="34"/>
      <c r="J791" s="36"/>
      <c r="K791" s="36"/>
      <c r="L791" s="36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8"/>
      <c r="AS791" s="38"/>
      <c r="AT791" s="38"/>
      <c r="AU791" s="33"/>
      <c r="AV791" s="39"/>
    </row>
    <row r="792" spans="1:48">
      <c r="A792" s="1"/>
      <c r="D792" s="33"/>
      <c r="E792" s="33"/>
      <c r="F792" s="33"/>
      <c r="G792" s="33"/>
      <c r="H792" s="34"/>
      <c r="J792" s="36"/>
      <c r="K792" s="36"/>
      <c r="L792" s="36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8"/>
      <c r="AS792" s="38"/>
      <c r="AT792" s="38"/>
      <c r="AU792" s="33"/>
      <c r="AV792" s="39"/>
    </row>
    <row r="793" spans="1:48">
      <c r="A793" s="1"/>
      <c r="D793" s="33"/>
      <c r="E793" s="33"/>
      <c r="F793" s="33"/>
      <c r="G793" s="33"/>
      <c r="H793" s="34"/>
      <c r="J793" s="36"/>
      <c r="K793" s="36"/>
      <c r="L793" s="36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8"/>
      <c r="AS793" s="38"/>
      <c r="AT793" s="38"/>
      <c r="AU793" s="33"/>
      <c r="AV793" s="39"/>
    </row>
    <row r="794" spans="1:48">
      <c r="A794" s="1"/>
      <c r="D794" s="33"/>
      <c r="E794" s="33"/>
      <c r="F794" s="33"/>
      <c r="G794" s="33"/>
      <c r="H794" s="34"/>
      <c r="J794" s="36"/>
      <c r="K794" s="36"/>
      <c r="L794" s="36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8"/>
      <c r="AS794" s="38"/>
      <c r="AT794" s="38"/>
      <c r="AU794" s="33"/>
      <c r="AV794" s="39"/>
    </row>
    <row r="795" spans="1:48">
      <c r="A795" s="1"/>
      <c r="D795" s="33"/>
      <c r="E795" s="33"/>
      <c r="F795" s="33"/>
      <c r="G795" s="33"/>
      <c r="H795" s="34"/>
      <c r="J795" s="36"/>
      <c r="K795" s="36"/>
      <c r="L795" s="36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8"/>
      <c r="AS795" s="38"/>
      <c r="AT795" s="38"/>
      <c r="AU795" s="33"/>
      <c r="AV795" s="39"/>
    </row>
    <row r="796" spans="1:48">
      <c r="A796" s="1"/>
      <c r="D796" s="33"/>
      <c r="E796" s="33"/>
      <c r="F796" s="33"/>
      <c r="G796" s="33"/>
      <c r="H796" s="34"/>
      <c r="J796" s="36"/>
      <c r="K796" s="36"/>
      <c r="L796" s="36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8"/>
      <c r="AS796" s="38"/>
      <c r="AT796" s="38"/>
      <c r="AU796" s="33"/>
      <c r="AV796" s="39"/>
    </row>
    <row r="797" spans="1:48">
      <c r="A797" s="1"/>
      <c r="D797" s="33"/>
      <c r="E797" s="33"/>
      <c r="F797" s="33"/>
      <c r="G797" s="33"/>
      <c r="H797" s="34"/>
      <c r="J797" s="36"/>
      <c r="K797" s="36"/>
      <c r="L797" s="36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8"/>
      <c r="AS797" s="38"/>
      <c r="AT797" s="38"/>
      <c r="AU797" s="33"/>
      <c r="AV797" s="39"/>
    </row>
    <row r="798" spans="1:48">
      <c r="A798" s="1"/>
      <c r="D798" s="33"/>
      <c r="E798" s="33"/>
      <c r="F798" s="33"/>
      <c r="G798" s="33"/>
      <c r="H798" s="34"/>
      <c r="J798" s="36"/>
      <c r="K798" s="36"/>
      <c r="L798" s="36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8"/>
      <c r="AS798" s="38"/>
      <c r="AT798" s="38"/>
      <c r="AU798" s="33"/>
      <c r="AV798" s="39"/>
    </row>
    <row r="799" spans="1:48">
      <c r="A799" s="1"/>
      <c r="D799" s="33"/>
      <c r="E799" s="33"/>
      <c r="F799" s="33"/>
      <c r="G799" s="33"/>
      <c r="H799" s="34"/>
      <c r="J799" s="36"/>
      <c r="K799" s="36"/>
      <c r="L799" s="36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8"/>
      <c r="AS799" s="38"/>
      <c r="AT799" s="38"/>
      <c r="AU799" s="33"/>
      <c r="AV799" s="39"/>
    </row>
    <row r="800" spans="1:48">
      <c r="A800" s="1"/>
      <c r="D800" s="33"/>
      <c r="E800" s="33"/>
      <c r="F800" s="33"/>
      <c r="G800" s="33"/>
      <c r="H800" s="34"/>
      <c r="J800" s="36"/>
      <c r="K800" s="36"/>
      <c r="L800" s="36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8"/>
      <c r="AS800" s="38"/>
      <c r="AT800" s="38"/>
      <c r="AU800" s="33"/>
      <c r="AV800" s="39"/>
    </row>
    <row r="801" spans="1:48">
      <c r="A801" s="1"/>
      <c r="D801" s="33"/>
      <c r="E801" s="33"/>
      <c r="F801" s="33"/>
      <c r="G801" s="33"/>
      <c r="H801" s="34"/>
      <c r="J801" s="36"/>
      <c r="K801" s="36"/>
      <c r="L801" s="36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8"/>
      <c r="AS801" s="38"/>
      <c r="AT801" s="38"/>
      <c r="AU801" s="33"/>
      <c r="AV801" s="39"/>
    </row>
    <row r="802" spans="1:48">
      <c r="A802" s="1"/>
      <c r="D802" s="33"/>
      <c r="E802" s="33"/>
      <c r="F802" s="33"/>
      <c r="G802" s="33"/>
      <c r="H802" s="34"/>
      <c r="J802" s="36"/>
      <c r="K802" s="36"/>
      <c r="L802" s="36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8"/>
      <c r="AS802" s="38"/>
      <c r="AT802" s="38"/>
      <c r="AU802" s="33"/>
      <c r="AV802" s="39"/>
    </row>
    <row r="803" spans="1:48">
      <c r="A803" s="1"/>
      <c r="D803" s="33"/>
      <c r="E803" s="33"/>
      <c r="F803" s="33"/>
      <c r="G803" s="33"/>
      <c r="H803" s="34"/>
      <c r="J803" s="36"/>
      <c r="K803" s="36"/>
      <c r="L803" s="36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8"/>
      <c r="AS803" s="38"/>
      <c r="AT803" s="38"/>
      <c r="AU803" s="33"/>
      <c r="AV803" s="39"/>
    </row>
    <row r="804" spans="1:48">
      <c r="A804" s="1"/>
      <c r="D804" s="33"/>
      <c r="E804" s="33"/>
      <c r="F804" s="33"/>
      <c r="G804" s="33"/>
      <c r="H804" s="34"/>
      <c r="J804" s="36"/>
      <c r="K804" s="36"/>
      <c r="L804" s="36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8"/>
      <c r="AS804" s="38"/>
      <c r="AT804" s="38"/>
      <c r="AU804" s="33"/>
      <c r="AV804" s="39"/>
    </row>
    <row r="805" spans="1:48">
      <c r="A805" s="1"/>
      <c r="D805" s="33"/>
      <c r="E805" s="33"/>
      <c r="F805" s="33"/>
      <c r="G805" s="33"/>
      <c r="H805" s="34"/>
      <c r="J805" s="36"/>
      <c r="K805" s="36"/>
      <c r="L805" s="36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8"/>
      <c r="AS805" s="38"/>
      <c r="AT805" s="38"/>
      <c r="AU805" s="33"/>
      <c r="AV805" s="39"/>
    </row>
    <row r="806" spans="1:48">
      <c r="A806" s="1"/>
      <c r="D806" s="33"/>
      <c r="E806" s="33"/>
      <c r="F806" s="33"/>
      <c r="G806" s="33"/>
      <c r="H806" s="34"/>
      <c r="J806" s="36"/>
      <c r="K806" s="36"/>
      <c r="L806" s="36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8"/>
      <c r="AS806" s="38"/>
      <c r="AT806" s="38"/>
      <c r="AU806" s="33"/>
      <c r="AV806" s="39"/>
    </row>
    <row r="807" spans="1:48">
      <c r="A807" s="1"/>
      <c r="D807" s="33"/>
      <c r="E807" s="33"/>
      <c r="F807" s="33"/>
      <c r="G807" s="33"/>
      <c r="H807" s="34"/>
      <c r="J807" s="36"/>
      <c r="K807" s="36"/>
      <c r="L807" s="36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8"/>
      <c r="AS807" s="38"/>
      <c r="AT807" s="38"/>
      <c r="AU807" s="33"/>
      <c r="AV807" s="39"/>
    </row>
    <row r="808" spans="1:48">
      <c r="A808" s="1"/>
      <c r="D808" s="33"/>
      <c r="E808" s="33"/>
      <c r="F808" s="33"/>
      <c r="G808" s="33"/>
      <c r="H808" s="34"/>
      <c r="J808" s="36"/>
      <c r="K808" s="36"/>
      <c r="L808" s="36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8"/>
      <c r="AS808" s="38"/>
      <c r="AT808" s="38"/>
      <c r="AU808" s="33"/>
      <c r="AV808" s="39"/>
    </row>
    <row r="809" spans="1:48">
      <c r="A809" s="1"/>
      <c r="D809" s="33"/>
      <c r="E809" s="33"/>
      <c r="F809" s="33"/>
      <c r="G809" s="33"/>
      <c r="H809" s="34"/>
      <c r="J809" s="36"/>
      <c r="K809" s="36"/>
      <c r="L809" s="36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8"/>
      <c r="AS809" s="38"/>
      <c r="AT809" s="38"/>
      <c r="AU809" s="33"/>
      <c r="AV809" s="39"/>
    </row>
    <row r="810" spans="1:48">
      <c r="A810" s="1"/>
      <c r="D810" s="33"/>
      <c r="E810" s="33"/>
      <c r="F810" s="33"/>
      <c r="G810" s="33"/>
      <c r="H810" s="34"/>
      <c r="J810" s="36"/>
      <c r="K810" s="36"/>
      <c r="L810" s="36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8"/>
      <c r="AS810" s="38"/>
      <c r="AT810" s="38"/>
      <c r="AU810" s="33"/>
      <c r="AV810" s="39"/>
    </row>
    <row r="811" spans="1:48">
      <c r="A811" s="1"/>
      <c r="D811" s="33"/>
      <c r="E811" s="33"/>
      <c r="F811" s="33"/>
      <c r="G811" s="33"/>
      <c r="H811" s="34"/>
      <c r="J811" s="36"/>
      <c r="K811" s="36"/>
      <c r="L811" s="36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8"/>
      <c r="AS811" s="38"/>
      <c r="AT811" s="38"/>
      <c r="AU811" s="33"/>
      <c r="AV811" s="39"/>
    </row>
    <row r="812" spans="1:48">
      <c r="A812" s="1"/>
      <c r="D812" s="33"/>
      <c r="E812" s="33"/>
      <c r="F812" s="33"/>
      <c r="G812" s="33"/>
      <c r="H812" s="34"/>
      <c r="J812" s="36"/>
      <c r="K812" s="36"/>
      <c r="L812" s="36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8"/>
      <c r="AS812" s="38"/>
      <c r="AT812" s="38"/>
      <c r="AU812" s="33"/>
      <c r="AV812" s="39"/>
    </row>
    <row r="813" spans="1:48">
      <c r="A813" s="1"/>
      <c r="D813" s="33"/>
      <c r="E813" s="33"/>
      <c r="F813" s="33"/>
      <c r="G813" s="33"/>
      <c r="H813" s="34"/>
      <c r="J813" s="36"/>
      <c r="K813" s="36"/>
      <c r="L813" s="36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8"/>
      <c r="AS813" s="38"/>
      <c r="AT813" s="38"/>
      <c r="AU813" s="33"/>
      <c r="AV813" s="39"/>
    </row>
    <row r="814" spans="1:48">
      <c r="A814" s="1"/>
      <c r="D814" s="33"/>
      <c r="E814" s="33"/>
      <c r="F814" s="33"/>
      <c r="G814" s="33"/>
      <c r="H814" s="34"/>
      <c r="J814" s="36"/>
      <c r="K814" s="36"/>
      <c r="L814" s="36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8"/>
      <c r="AS814" s="38"/>
      <c r="AT814" s="38"/>
      <c r="AU814" s="33"/>
      <c r="AV814" s="39"/>
    </row>
    <row r="815" spans="1:48">
      <c r="A815" s="1"/>
      <c r="D815" s="33"/>
      <c r="E815" s="33"/>
      <c r="F815" s="33"/>
      <c r="G815" s="33"/>
      <c r="H815" s="34"/>
      <c r="J815" s="36"/>
      <c r="K815" s="36"/>
      <c r="L815" s="36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8"/>
      <c r="AS815" s="38"/>
      <c r="AT815" s="38"/>
      <c r="AU815" s="33"/>
      <c r="AV815" s="39"/>
    </row>
    <row r="816" spans="1:48">
      <c r="A816" s="1"/>
      <c r="D816" s="33"/>
      <c r="E816" s="33"/>
      <c r="F816" s="33"/>
      <c r="G816" s="33"/>
      <c r="H816" s="34"/>
      <c r="J816" s="36"/>
      <c r="K816" s="36"/>
      <c r="L816" s="36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8"/>
      <c r="AS816" s="38"/>
      <c r="AT816" s="38"/>
      <c r="AU816" s="33"/>
      <c r="AV816" s="39"/>
    </row>
    <row r="817" spans="1:48">
      <c r="A817" s="1"/>
      <c r="D817" s="33"/>
      <c r="E817" s="33"/>
      <c r="F817" s="33"/>
      <c r="G817" s="33"/>
      <c r="H817" s="34"/>
      <c r="J817" s="36"/>
      <c r="K817" s="36"/>
      <c r="L817" s="36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8"/>
      <c r="AS817" s="38"/>
      <c r="AT817" s="38"/>
      <c r="AU817" s="33"/>
      <c r="AV817" s="39"/>
    </row>
    <row r="818" spans="1:48">
      <c r="A818" s="1"/>
      <c r="D818" s="33"/>
      <c r="E818" s="33"/>
      <c r="F818" s="33"/>
      <c r="G818" s="33"/>
      <c r="H818" s="34"/>
      <c r="J818" s="36"/>
      <c r="K818" s="36"/>
      <c r="L818" s="36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8"/>
      <c r="AS818" s="38"/>
      <c r="AT818" s="38"/>
      <c r="AU818" s="33"/>
      <c r="AV818" s="39"/>
    </row>
    <row r="819" spans="1:48">
      <c r="A819" s="1"/>
      <c r="D819" s="33"/>
      <c r="E819" s="33"/>
      <c r="F819" s="33"/>
      <c r="G819" s="33"/>
      <c r="H819" s="34"/>
      <c r="J819" s="36"/>
      <c r="K819" s="36"/>
      <c r="L819" s="36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8"/>
      <c r="AS819" s="38"/>
      <c r="AT819" s="38"/>
      <c r="AU819" s="33"/>
      <c r="AV819" s="39"/>
    </row>
    <row r="820" spans="1:48">
      <c r="A820" s="1"/>
      <c r="D820" s="33"/>
      <c r="E820" s="33"/>
      <c r="F820" s="33"/>
      <c r="G820" s="33"/>
      <c r="H820" s="34"/>
      <c r="J820" s="36"/>
      <c r="K820" s="36"/>
      <c r="L820" s="36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8"/>
      <c r="AS820" s="38"/>
      <c r="AT820" s="38"/>
      <c r="AU820" s="33"/>
      <c r="AV820" s="39"/>
    </row>
    <row r="821" spans="1:48">
      <c r="A821" s="1"/>
      <c r="D821" s="33"/>
      <c r="E821" s="33"/>
      <c r="F821" s="33"/>
      <c r="G821" s="33"/>
      <c r="H821" s="34"/>
      <c r="J821" s="36"/>
      <c r="K821" s="36"/>
      <c r="L821" s="36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8"/>
      <c r="AS821" s="38"/>
      <c r="AT821" s="38"/>
      <c r="AU821" s="33"/>
      <c r="AV821" s="39"/>
    </row>
    <row r="822" spans="1:48">
      <c r="A822" s="1"/>
      <c r="D822" s="33"/>
      <c r="E822" s="33"/>
      <c r="F822" s="33"/>
      <c r="G822" s="33"/>
      <c r="H822" s="34"/>
      <c r="J822" s="36"/>
      <c r="K822" s="36"/>
      <c r="L822" s="36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8"/>
      <c r="AS822" s="38"/>
      <c r="AT822" s="38"/>
      <c r="AU822" s="33"/>
      <c r="AV822" s="39"/>
    </row>
    <row r="823" spans="1:48">
      <c r="A823" s="1"/>
      <c r="D823" s="33"/>
      <c r="E823" s="33"/>
      <c r="F823" s="33"/>
      <c r="G823" s="33"/>
      <c r="H823" s="34"/>
      <c r="J823" s="36"/>
      <c r="K823" s="36"/>
      <c r="L823" s="36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8"/>
      <c r="AS823" s="38"/>
      <c r="AT823" s="38"/>
      <c r="AU823" s="33"/>
      <c r="AV823" s="39"/>
    </row>
    <row r="824" spans="1:48">
      <c r="A824" s="1"/>
      <c r="D824" s="33"/>
      <c r="E824" s="33"/>
      <c r="F824" s="33"/>
      <c r="G824" s="33"/>
      <c r="H824" s="34"/>
      <c r="J824" s="36"/>
      <c r="K824" s="36"/>
      <c r="L824" s="36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8"/>
      <c r="AS824" s="38"/>
      <c r="AT824" s="38"/>
      <c r="AU824" s="33"/>
      <c r="AV824" s="39"/>
    </row>
    <row r="825" spans="1:48">
      <c r="A825" s="1"/>
      <c r="D825" s="33"/>
      <c r="E825" s="33"/>
      <c r="F825" s="33"/>
      <c r="G825" s="33"/>
      <c r="H825" s="34"/>
      <c r="J825" s="36"/>
      <c r="K825" s="36"/>
      <c r="L825" s="36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8"/>
      <c r="AS825" s="38"/>
      <c r="AT825" s="38"/>
      <c r="AU825" s="33"/>
      <c r="AV825" s="39"/>
    </row>
    <row r="826" spans="1:48">
      <c r="A826" s="1"/>
      <c r="D826" s="33"/>
      <c r="E826" s="33"/>
      <c r="F826" s="33"/>
      <c r="G826" s="33"/>
      <c r="H826" s="34"/>
      <c r="J826" s="36"/>
      <c r="K826" s="36"/>
      <c r="L826" s="36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8"/>
      <c r="AS826" s="38"/>
      <c r="AT826" s="38"/>
      <c r="AU826" s="33"/>
      <c r="AV826" s="39"/>
    </row>
    <row r="827" spans="1:48">
      <c r="A827" s="1"/>
      <c r="D827" s="33"/>
      <c r="E827" s="33"/>
      <c r="F827" s="33"/>
      <c r="G827" s="33"/>
      <c r="H827" s="34"/>
      <c r="J827" s="36"/>
      <c r="K827" s="36"/>
      <c r="L827" s="36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8"/>
      <c r="AS827" s="38"/>
      <c r="AT827" s="38"/>
      <c r="AU827" s="33"/>
      <c r="AV827" s="39"/>
    </row>
    <row r="828" spans="1:48">
      <c r="A828" s="1"/>
      <c r="D828" s="33"/>
      <c r="E828" s="33"/>
      <c r="F828" s="33"/>
      <c r="G828" s="33"/>
      <c r="H828" s="34"/>
      <c r="J828" s="36"/>
      <c r="K828" s="36"/>
      <c r="L828" s="36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8"/>
      <c r="AS828" s="38"/>
      <c r="AT828" s="38"/>
      <c r="AU828" s="33"/>
      <c r="AV828" s="39"/>
    </row>
    <row r="829" spans="1:48">
      <c r="A829" s="1"/>
      <c r="D829" s="33"/>
      <c r="E829" s="33"/>
      <c r="F829" s="33"/>
      <c r="G829" s="33"/>
      <c r="H829" s="34"/>
      <c r="J829" s="36"/>
      <c r="K829" s="36"/>
      <c r="L829" s="36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8"/>
      <c r="AS829" s="38"/>
      <c r="AT829" s="38"/>
      <c r="AU829" s="33"/>
      <c r="AV829" s="39"/>
    </row>
    <row r="830" spans="1:48">
      <c r="A830" s="1"/>
      <c r="D830" s="33"/>
      <c r="E830" s="33"/>
      <c r="F830" s="33"/>
      <c r="G830" s="33"/>
      <c r="H830" s="34"/>
      <c r="J830" s="36"/>
      <c r="K830" s="36"/>
      <c r="L830" s="36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8"/>
      <c r="AS830" s="38"/>
      <c r="AT830" s="38"/>
      <c r="AU830" s="33"/>
      <c r="AV830" s="39"/>
    </row>
    <row r="831" spans="1:48">
      <c r="A831" s="1"/>
      <c r="D831" s="33"/>
      <c r="E831" s="33"/>
      <c r="F831" s="33"/>
      <c r="G831" s="33"/>
      <c r="H831" s="34"/>
      <c r="J831" s="36"/>
      <c r="K831" s="36"/>
      <c r="L831" s="36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8"/>
      <c r="AS831" s="38"/>
      <c r="AT831" s="38"/>
      <c r="AU831" s="33"/>
      <c r="AV831" s="39"/>
    </row>
    <row r="832" spans="1:48">
      <c r="A832" s="1"/>
      <c r="D832" s="33"/>
      <c r="E832" s="33"/>
      <c r="F832" s="33"/>
      <c r="G832" s="33"/>
      <c r="H832" s="34"/>
      <c r="J832" s="36"/>
      <c r="K832" s="36"/>
      <c r="L832" s="36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8"/>
      <c r="AS832" s="38"/>
      <c r="AT832" s="38"/>
      <c r="AU832" s="33"/>
      <c r="AV832" s="39"/>
    </row>
    <row r="833" spans="1:48">
      <c r="A833" s="1"/>
      <c r="D833" s="33"/>
      <c r="E833" s="33"/>
      <c r="F833" s="33"/>
      <c r="G833" s="33"/>
      <c r="H833" s="34"/>
      <c r="J833" s="36"/>
      <c r="K833" s="36"/>
      <c r="L833" s="36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8"/>
      <c r="AS833" s="38"/>
      <c r="AT833" s="38"/>
      <c r="AU833" s="33"/>
      <c r="AV833" s="39"/>
    </row>
    <row r="834" spans="1:48">
      <c r="A834" s="1"/>
      <c r="D834" s="33"/>
      <c r="E834" s="33"/>
      <c r="F834" s="33"/>
      <c r="G834" s="33"/>
      <c r="H834" s="34"/>
      <c r="J834" s="36"/>
      <c r="K834" s="36"/>
      <c r="L834" s="36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8"/>
      <c r="AS834" s="38"/>
      <c r="AT834" s="38"/>
      <c r="AU834" s="33"/>
      <c r="AV834" s="39"/>
    </row>
    <row r="835" spans="1:48">
      <c r="A835" s="1"/>
      <c r="D835" s="33"/>
      <c r="E835" s="33"/>
      <c r="F835" s="33"/>
      <c r="G835" s="33"/>
      <c r="H835" s="34"/>
      <c r="J835" s="36"/>
      <c r="K835" s="36"/>
      <c r="L835" s="36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8"/>
      <c r="AS835" s="38"/>
      <c r="AT835" s="38"/>
      <c r="AU835" s="33"/>
      <c r="AV835" s="39"/>
    </row>
    <row r="836" spans="1:48">
      <c r="A836" s="1"/>
      <c r="D836" s="33"/>
      <c r="E836" s="33"/>
      <c r="F836" s="33"/>
      <c r="G836" s="33"/>
      <c r="H836" s="34"/>
      <c r="J836" s="36"/>
      <c r="K836" s="36"/>
      <c r="L836" s="36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8"/>
      <c r="AS836" s="38"/>
      <c r="AT836" s="38"/>
      <c r="AU836" s="33"/>
      <c r="AV836" s="39"/>
    </row>
    <row r="837" spans="1:48">
      <c r="A837" s="1"/>
      <c r="D837" s="33"/>
      <c r="E837" s="33"/>
      <c r="F837" s="33"/>
      <c r="G837" s="33"/>
      <c r="H837" s="34"/>
      <c r="J837" s="36"/>
      <c r="K837" s="36"/>
      <c r="L837" s="36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8"/>
      <c r="AS837" s="38"/>
      <c r="AT837" s="38"/>
      <c r="AU837" s="33"/>
      <c r="AV837" s="39"/>
    </row>
    <row r="838" spans="1:48">
      <c r="A838" s="1"/>
      <c r="D838" s="33"/>
      <c r="E838" s="33"/>
      <c r="F838" s="33"/>
      <c r="G838" s="33"/>
      <c r="H838" s="34"/>
      <c r="J838" s="36"/>
      <c r="K838" s="36"/>
      <c r="L838" s="36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8"/>
      <c r="AS838" s="38"/>
      <c r="AT838" s="38"/>
      <c r="AU838" s="33"/>
      <c r="AV838" s="39"/>
    </row>
    <row r="839" spans="1:48">
      <c r="A839" s="1"/>
      <c r="D839" s="33"/>
      <c r="E839" s="33"/>
      <c r="F839" s="33"/>
      <c r="G839" s="33"/>
      <c r="H839" s="34"/>
      <c r="J839" s="36"/>
      <c r="K839" s="36"/>
      <c r="L839" s="36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8"/>
      <c r="AS839" s="38"/>
      <c r="AT839" s="38"/>
      <c r="AU839" s="33"/>
      <c r="AV839" s="39"/>
    </row>
    <row r="840" spans="1:48">
      <c r="A840" s="1"/>
      <c r="D840" s="33"/>
      <c r="E840" s="33"/>
      <c r="F840" s="33"/>
      <c r="G840" s="33"/>
      <c r="H840" s="34"/>
      <c r="J840" s="36"/>
      <c r="K840" s="36"/>
      <c r="L840" s="36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8"/>
      <c r="AS840" s="38"/>
      <c r="AT840" s="38"/>
      <c r="AU840" s="33"/>
      <c r="AV840" s="39"/>
    </row>
    <row r="841" spans="1:48">
      <c r="A841" s="1"/>
      <c r="D841" s="33"/>
      <c r="E841" s="33"/>
      <c r="F841" s="33"/>
      <c r="G841" s="33"/>
      <c r="H841" s="34"/>
      <c r="J841" s="36"/>
      <c r="K841" s="36"/>
      <c r="L841" s="36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8"/>
      <c r="AS841" s="38"/>
      <c r="AT841" s="38"/>
      <c r="AU841" s="33"/>
      <c r="AV841" s="39"/>
    </row>
    <row r="842" spans="1:48">
      <c r="A842" s="1"/>
      <c r="D842" s="33"/>
      <c r="E842" s="33"/>
      <c r="F842" s="33"/>
      <c r="G842" s="33"/>
      <c r="H842" s="34"/>
      <c r="J842" s="36"/>
      <c r="K842" s="36"/>
      <c r="L842" s="36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8"/>
      <c r="AS842" s="38"/>
      <c r="AT842" s="38"/>
      <c r="AU842" s="33"/>
      <c r="AV842" s="39"/>
    </row>
    <row r="843" spans="1:48">
      <c r="A843" s="1"/>
      <c r="D843" s="33"/>
      <c r="E843" s="33"/>
      <c r="F843" s="33"/>
      <c r="G843" s="33"/>
      <c r="H843" s="34"/>
      <c r="J843" s="36"/>
      <c r="K843" s="36"/>
      <c r="L843" s="36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8"/>
      <c r="AS843" s="38"/>
      <c r="AT843" s="38"/>
      <c r="AU843" s="33"/>
      <c r="AV843" s="39"/>
    </row>
    <row r="844" spans="1:48">
      <c r="A844" s="1"/>
      <c r="D844" s="33"/>
      <c r="E844" s="33"/>
      <c r="F844" s="33"/>
      <c r="G844" s="33"/>
      <c r="H844" s="34"/>
      <c r="J844" s="36"/>
      <c r="K844" s="36"/>
      <c r="L844" s="36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8"/>
      <c r="AS844" s="38"/>
      <c r="AT844" s="38"/>
      <c r="AU844" s="33"/>
      <c r="AV844" s="39"/>
    </row>
    <row r="845" spans="1:48">
      <c r="A845" s="1"/>
      <c r="D845" s="33"/>
      <c r="E845" s="33"/>
      <c r="F845" s="33"/>
      <c r="G845" s="33"/>
      <c r="H845" s="34"/>
      <c r="J845" s="36"/>
      <c r="K845" s="36"/>
      <c r="L845" s="36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8"/>
      <c r="AS845" s="38"/>
      <c r="AT845" s="38"/>
      <c r="AU845" s="33"/>
      <c r="AV845" s="39"/>
    </row>
    <row r="846" spans="1:48">
      <c r="A846" s="1"/>
      <c r="D846" s="33"/>
      <c r="E846" s="33"/>
      <c r="F846" s="33"/>
      <c r="G846" s="33"/>
      <c r="H846" s="34"/>
      <c r="J846" s="36"/>
      <c r="K846" s="36"/>
      <c r="L846" s="36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8"/>
      <c r="AS846" s="38"/>
      <c r="AT846" s="38"/>
      <c r="AU846" s="33"/>
      <c r="AV846" s="39"/>
    </row>
    <row r="847" spans="1:48">
      <c r="A847" s="1"/>
      <c r="D847" s="33"/>
      <c r="E847" s="33"/>
      <c r="F847" s="33"/>
      <c r="G847" s="33"/>
      <c r="H847" s="34"/>
      <c r="J847" s="36"/>
      <c r="K847" s="36"/>
      <c r="L847" s="36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8"/>
      <c r="AS847" s="38"/>
      <c r="AT847" s="38"/>
      <c r="AU847" s="33"/>
      <c r="AV847" s="39"/>
    </row>
    <row r="848" spans="1:48">
      <c r="A848" s="1"/>
      <c r="D848" s="33"/>
      <c r="E848" s="33"/>
      <c r="F848" s="33"/>
      <c r="G848" s="33"/>
      <c r="H848" s="34"/>
      <c r="J848" s="36"/>
      <c r="K848" s="36"/>
      <c r="L848" s="36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8"/>
      <c r="AS848" s="38"/>
      <c r="AT848" s="38"/>
      <c r="AU848" s="33"/>
      <c r="AV848" s="39"/>
    </row>
    <row r="849" spans="1:48">
      <c r="A849" s="1"/>
      <c r="D849" s="33"/>
      <c r="E849" s="33"/>
      <c r="F849" s="33"/>
      <c r="G849" s="33"/>
      <c r="H849" s="34"/>
      <c r="J849" s="36"/>
      <c r="K849" s="36"/>
      <c r="L849" s="36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8"/>
      <c r="AS849" s="38"/>
      <c r="AT849" s="38"/>
      <c r="AU849" s="33"/>
      <c r="AV849" s="39"/>
    </row>
    <row r="850" spans="1:48">
      <c r="A850" s="1"/>
      <c r="D850" s="33"/>
      <c r="E850" s="33"/>
      <c r="F850" s="33"/>
      <c r="G850" s="33"/>
      <c r="H850" s="34"/>
      <c r="J850" s="36"/>
      <c r="K850" s="36"/>
      <c r="L850" s="36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8"/>
      <c r="AS850" s="38"/>
      <c r="AT850" s="38"/>
      <c r="AU850" s="33"/>
      <c r="AV850" s="39"/>
    </row>
    <row r="851" spans="4:48">
      <c r="D851" s="33"/>
      <c r="E851" s="33"/>
      <c r="F851" s="33"/>
      <c r="G851" s="33"/>
      <c r="H851" s="34"/>
      <c r="J851" s="36"/>
      <c r="K851" s="36"/>
      <c r="L851" s="36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8"/>
      <c r="AS851" s="38"/>
      <c r="AT851" s="38"/>
      <c r="AU851" s="33"/>
      <c r="AV851" s="39"/>
    </row>
    <row r="852" spans="4:48">
      <c r="D852" s="33"/>
      <c r="E852" s="33"/>
      <c r="F852" s="33"/>
      <c r="G852" s="33"/>
      <c r="H852" s="34"/>
      <c r="J852" s="36"/>
      <c r="K852" s="36"/>
      <c r="L852" s="36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8"/>
      <c r="AS852" s="38"/>
      <c r="AT852" s="38"/>
      <c r="AU852" s="33"/>
      <c r="AV852" s="39"/>
    </row>
    <row r="853" spans="4:48">
      <c r="D853" s="33"/>
      <c r="E853" s="33"/>
      <c r="F853" s="33"/>
      <c r="G853" s="33"/>
      <c r="H853" s="34"/>
      <c r="J853" s="36"/>
      <c r="K853" s="36"/>
      <c r="L853" s="36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8"/>
      <c r="AS853" s="38"/>
      <c r="AT853" s="38"/>
      <c r="AU853" s="33"/>
      <c r="AV853" s="39"/>
    </row>
    <row r="854" spans="4:48">
      <c r="D854" s="33"/>
      <c r="E854" s="33"/>
      <c r="F854" s="33"/>
      <c r="G854" s="33"/>
      <c r="H854" s="34"/>
      <c r="J854" s="36"/>
      <c r="K854" s="36"/>
      <c r="L854" s="36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8"/>
      <c r="AS854" s="38"/>
      <c r="AT854" s="38"/>
      <c r="AU854" s="33"/>
      <c r="AV854" s="39"/>
    </row>
    <row r="855" spans="4:48">
      <c r="D855" s="33"/>
      <c r="E855" s="33"/>
      <c r="F855" s="33"/>
      <c r="G855" s="33"/>
      <c r="H855" s="34"/>
      <c r="J855" s="36"/>
      <c r="K855" s="36"/>
      <c r="L855" s="36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8"/>
      <c r="AS855" s="38"/>
      <c r="AT855" s="38"/>
      <c r="AU855" s="33"/>
      <c r="AV855" s="39"/>
    </row>
    <row r="856" spans="4:48">
      <c r="D856" s="33"/>
      <c r="E856" s="33"/>
      <c r="F856" s="33"/>
      <c r="G856" s="33"/>
      <c r="H856" s="34"/>
      <c r="J856" s="36"/>
      <c r="K856" s="36"/>
      <c r="L856" s="36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8"/>
      <c r="AS856" s="38"/>
      <c r="AT856" s="38"/>
      <c r="AU856" s="33"/>
      <c r="AV856" s="39"/>
    </row>
    <row r="857" spans="4:48">
      <c r="D857" s="33"/>
      <c r="E857" s="33"/>
      <c r="F857" s="33"/>
      <c r="G857" s="33"/>
      <c r="H857" s="34"/>
      <c r="J857" s="36"/>
      <c r="K857" s="36"/>
      <c r="L857" s="36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8"/>
      <c r="AS857" s="38"/>
      <c r="AT857" s="38"/>
      <c r="AU857" s="33"/>
      <c r="AV857" s="39"/>
    </row>
    <row r="858" spans="4:48">
      <c r="D858" s="33"/>
      <c r="E858" s="33"/>
      <c r="F858" s="33"/>
      <c r="G858" s="33"/>
      <c r="H858" s="34"/>
      <c r="J858" s="36"/>
      <c r="K858" s="36"/>
      <c r="L858" s="36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8"/>
      <c r="AS858" s="38"/>
      <c r="AT858" s="38"/>
      <c r="AU858" s="33"/>
      <c r="AV858" s="39"/>
    </row>
    <row r="859" spans="4:48">
      <c r="D859" s="33"/>
      <c r="E859" s="33"/>
      <c r="F859" s="33"/>
      <c r="G859" s="33"/>
      <c r="H859" s="34"/>
      <c r="J859" s="36"/>
      <c r="K859" s="36"/>
      <c r="L859" s="36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8"/>
      <c r="AS859" s="38"/>
      <c r="AT859" s="38"/>
      <c r="AU859" s="33"/>
      <c r="AV859" s="39"/>
    </row>
    <row r="860" spans="4:48">
      <c r="D860" s="33"/>
      <c r="E860" s="33"/>
      <c r="F860" s="33"/>
      <c r="G860" s="33"/>
      <c r="H860" s="34"/>
      <c r="J860" s="36"/>
      <c r="K860" s="36"/>
      <c r="L860" s="36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8"/>
      <c r="AS860" s="38"/>
      <c r="AT860" s="38"/>
      <c r="AU860" s="33"/>
      <c r="AV860" s="39"/>
    </row>
    <row r="861" spans="4:48">
      <c r="D861" s="33"/>
      <c r="E861" s="33"/>
      <c r="F861" s="33"/>
      <c r="G861" s="33"/>
      <c r="H861" s="34"/>
      <c r="J861" s="36"/>
      <c r="K861" s="36"/>
      <c r="L861" s="36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8"/>
      <c r="AS861" s="38"/>
      <c r="AT861" s="38"/>
      <c r="AU861" s="33"/>
      <c r="AV861" s="39"/>
    </row>
    <row r="862" spans="4:48">
      <c r="D862" s="33"/>
      <c r="E862" s="33"/>
      <c r="F862" s="33"/>
      <c r="G862" s="33"/>
      <c r="H862" s="34"/>
      <c r="J862" s="36"/>
      <c r="K862" s="36"/>
      <c r="L862" s="36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8"/>
      <c r="AS862" s="38"/>
      <c r="AT862" s="38"/>
      <c r="AU862" s="33"/>
      <c r="AV862" s="39"/>
    </row>
    <row r="863" spans="4:48">
      <c r="D863" s="33"/>
      <c r="E863" s="33"/>
      <c r="F863" s="33"/>
      <c r="G863" s="33"/>
      <c r="H863" s="34"/>
      <c r="J863" s="36"/>
      <c r="K863" s="36"/>
      <c r="L863" s="36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8"/>
      <c r="AS863" s="38"/>
      <c r="AT863" s="38"/>
      <c r="AU863" s="33"/>
      <c r="AV863" s="39"/>
    </row>
    <row r="864" spans="4:48">
      <c r="D864" s="33"/>
      <c r="E864" s="33"/>
      <c r="F864" s="33"/>
      <c r="G864" s="33"/>
      <c r="H864" s="34"/>
      <c r="J864" s="36"/>
      <c r="K864" s="36"/>
      <c r="L864" s="36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8"/>
      <c r="AS864" s="38"/>
      <c r="AT864" s="38"/>
      <c r="AU864" s="33"/>
      <c r="AV864" s="39"/>
    </row>
    <row r="865" spans="4:48">
      <c r="D865" s="33"/>
      <c r="E865" s="33"/>
      <c r="F865" s="33"/>
      <c r="G865" s="33"/>
      <c r="H865" s="34"/>
      <c r="J865" s="36"/>
      <c r="K865" s="36"/>
      <c r="L865" s="36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8"/>
      <c r="AS865" s="38"/>
      <c r="AT865" s="38"/>
      <c r="AU865" s="33"/>
      <c r="AV865" s="39"/>
    </row>
    <row r="866" spans="4:48">
      <c r="D866" s="33"/>
      <c r="E866" s="33"/>
      <c r="F866" s="33"/>
      <c r="G866" s="33"/>
      <c r="H866" s="34"/>
      <c r="J866" s="36"/>
      <c r="K866" s="36"/>
      <c r="L866" s="36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8"/>
      <c r="AS866" s="38"/>
      <c r="AT866" s="38"/>
      <c r="AU866" s="33"/>
      <c r="AV866" s="39"/>
    </row>
    <row r="867" spans="4:48">
      <c r="D867" s="33"/>
      <c r="E867" s="33"/>
      <c r="F867" s="33"/>
      <c r="G867" s="33"/>
      <c r="H867" s="34"/>
      <c r="J867" s="36"/>
      <c r="K867" s="36"/>
      <c r="L867" s="36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8"/>
      <c r="AS867" s="38"/>
      <c r="AT867" s="38"/>
      <c r="AU867" s="33"/>
      <c r="AV867" s="39"/>
    </row>
    <row r="868" spans="4:48">
      <c r="D868" s="33"/>
      <c r="E868" s="33"/>
      <c r="F868" s="33"/>
      <c r="G868" s="33"/>
      <c r="H868" s="34"/>
      <c r="J868" s="36"/>
      <c r="K868" s="36"/>
      <c r="L868" s="36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8"/>
      <c r="AS868" s="38"/>
      <c r="AT868" s="38"/>
      <c r="AU868" s="33"/>
      <c r="AV868" s="39"/>
    </row>
    <row r="869" spans="4:48">
      <c r="D869" s="33"/>
      <c r="E869" s="33"/>
      <c r="F869" s="33"/>
      <c r="G869" s="33"/>
      <c r="H869" s="34"/>
      <c r="J869" s="36"/>
      <c r="K869" s="36"/>
      <c r="L869" s="36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8"/>
      <c r="AS869" s="38"/>
      <c r="AT869" s="38"/>
      <c r="AU869" s="33"/>
      <c r="AV869" s="39"/>
    </row>
    <row r="870" spans="4:48">
      <c r="D870" s="33"/>
      <c r="E870" s="33"/>
      <c r="F870" s="33"/>
      <c r="G870" s="33"/>
      <c r="H870" s="34"/>
      <c r="J870" s="36"/>
      <c r="K870" s="36"/>
      <c r="L870" s="36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8"/>
      <c r="AS870" s="38"/>
      <c r="AT870" s="38"/>
      <c r="AU870" s="33"/>
      <c r="AV870" s="39"/>
    </row>
    <row r="871" spans="4:48">
      <c r="D871" s="33"/>
      <c r="E871" s="33"/>
      <c r="F871" s="33"/>
      <c r="G871" s="33"/>
      <c r="H871" s="34"/>
      <c r="J871" s="36"/>
      <c r="K871" s="36"/>
      <c r="L871" s="36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8"/>
      <c r="AS871" s="38"/>
      <c r="AT871" s="38"/>
      <c r="AU871" s="33"/>
      <c r="AV871" s="39"/>
    </row>
    <row r="872" spans="4:48">
      <c r="D872" s="33"/>
      <c r="E872" s="33"/>
      <c r="F872" s="33"/>
      <c r="G872" s="33"/>
      <c r="H872" s="34"/>
      <c r="J872" s="36"/>
      <c r="K872" s="36"/>
      <c r="L872" s="36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8"/>
      <c r="AS872" s="38"/>
      <c r="AT872" s="38"/>
      <c r="AU872" s="33"/>
      <c r="AV872" s="39"/>
    </row>
    <row r="873" spans="4:48">
      <c r="D873" s="33"/>
      <c r="E873" s="33"/>
      <c r="F873" s="33"/>
      <c r="G873" s="33"/>
      <c r="H873" s="34"/>
      <c r="J873" s="36"/>
      <c r="K873" s="36"/>
      <c r="L873" s="36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8"/>
      <c r="AS873" s="38"/>
      <c r="AT873" s="38"/>
      <c r="AU873" s="33"/>
      <c r="AV873" s="39"/>
    </row>
    <row r="874" spans="4:48">
      <c r="D874" s="33"/>
      <c r="E874" s="33"/>
      <c r="F874" s="33"/>
      <c r="G874" s="33"/>
      <c r="H874" s="34"/>
      <c r="J874" s="36"/>
      <c r="K874" s="36"/>
      <c r="L874" s="36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8"/>
      <c r="AS874" s="38"/>
      <c r="AT874" s="38"/>
      <c r="AU874" s="33"/>
      <c r="AV874" s="39"/>
    </row>
    <row r="875" spans="4:48">
      <c r="D875" s="33"/>
      <c r="E875" s="33"/>
      <c r="F875" s="33"/>
      <c r="G875" s="33"/>
      <c r="H875" s="34"/>
      <c r="J875" s="36"/>
      <c r="K875" s="36"/>
      <c r="L875" s="36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8"/>
      <c r="AS875" s="38"/>
      <c r="AT875" s="38"/>
      <c r="AU875" s="33"/>
      <c r="AV875" s="39"/>
    </row>
    <row r="876" spans="4:48">
      <c r="D876" s="33"/>
      <c r="E876" s="33"/>
      <c r="F876" s="33"/>
      <c r="G876" s="33"/>
      <c r="H876" s="34"/>
      <c r="J876" s="36"/>
      <c r="K876" s="36"/>
      <c r="L876" s="36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8"/>
      <c r="AS876" s="38"/>
      <c r="AT876" s="38"/>
      <c r="AU876" s="33"/>
      <c r="AV876" s="39"/>
    </row>
    <row r="877" spans="4:48">
      <c r="D877" s="33"/>
      <c r="E877" s="33"/>
      <c r="F877" s="33"/>
      <c r="G877" s="33"/>
      <c r="H877" s="34"/>
      <c r="J877" s="36"/>
      <c r="K877" s="36"/>
      <c r="L877" s="36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8"/>
      <c r="AS877" s="38"/>
      <c r="AT877" s="38"/>
      <c r="AU877" s="33"/>
      <c r="AV877" s="39"/>
    </row>
    <row r="878" spans="4:48">
      <c r="D878" s="33"/>
      <c r="E878" s="33"/>
      <c r="F878" s="33"/>
      <c r="G878" s="33"/>
      <c r="H878" s="34"/>
      <c r="J878" s="36"/>
      <c r="K878" s="36"/>
      <c r="L878" s="36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8"/>
      <c r="AS878" s="38"/>
      <c r="AT878" s="38"/>
      <c r="AU878" s="33"/>
      <c r="AV878" s="39"/>
    </row>
    <row r="879" spans="4:48">
      <c r="D879" s="33"/>
      <c r="E879" s="33"/>
      <c r="F879" s="33"/>
      <c r="G879" s="33"/>
      <c r="H879" s="34"/>
      <c r="J879" s="36"/>
      <c r="K879" s="36"/>
      <c r="L879" s="36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8"/>
      <c r="AS879" s="38"/>
      <c r="AT879" s="38"/>
      <c r="AU879" s="33"/>
      <c r="AV879" s="39"/>
    </row>
    <row r="880" spans="4:48">
      <c r="D880" s="33"/>
      <c r="E880" s="33"/>
      <c r="F880" s="33"/>
      <c r="G880" s="33"/>
      <c r="H880" s="34"/>
      <c r="J880" s="36"/>
      <c r="K880" s="36"/>
      <c r="L880" s="36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8"/>
      <c r="AS880" s="38"/>
      <c r="AT880" s="38"/>
      <c r="AU880" s="33"/>
      <c r="AV880" s="39"/>
    </row>
    <row r="881" spans="4:48">
      <c r="D881" s="33"/>
      <c r="E881" s="33"/>
      <c r="F881" s="33"/>
      <c r="G881" s="33"/>
      <c r="H881" s="34"/>
      <c r="J881" s="36"/>
      <c r="K881" s="36"/>
      <c r="L881" s="36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8"/>
      <c r="AS881" s="38"/>
      <c r="AT881" s="38"/>
      <c r="AU881" s="33"/>
      <c r="AV881" s="39"/>
    </row>
    <row r="882" spans="4:48">
      <c r="D882" s="33"/>
      <c r="E882" s="33"/>
      <c r="F882" s="33"/>
      <c r="G882" s="33"/>
      <c r="H882" s="34"/>
      <c r="J882" s="36"/>
      <c r="K882" s="36"/>
      <c r="L882" s="36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8"/>
      <c r="AS882" s="38"/>
      <c r="AT882" s="38"/>
      <c r="AU882" s="33"/>
      <c r="AV882" s="39"/>
    </row>
    <row r="883" spans="4:48">
      <c r="D883" s="33"/>
      <c r="E883" s="33"/>
      <c r="F883" s="33"/>
      <c r="G883" s="33"/>
      <c r="H883" s="34"/>
      <c r="J883" s="36"/>
      <c r="K883" s="36"/>
      <c r="L883" s="36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8"/>
      <c r="AS883" s="38"/>
      <c r="AT883" s="38"/>
      <c r="AU883" s="33"/>
      <c r="AV883" s="39"/>
    </row>
    <row r="884" spans="4:48">
      <c r="D884" s="33"/>
      <c r="E884" s="33"/>
      <c r="F884" s="33"/>
      <c r="G884" s="33"/>
      <c r="H884" s="34"/>
      <c r="J884" s="36"/>
      <c r="K884" s="36"/>
      <c r="L884" s="36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8"/>
      <c r="AS884" s="38"/>
      <c r="AT884" s="38"/>
      <c r="AU884" s="33"/>
      <c r="AV884" s="39"/>
    </row>
    <row r="885" spans="4:48">
      <c r="D885" s="33"/>
      <c r="E885" s="33"/>
      <c r="F885" s="33"/>
      <c r="G885" s="33"/>
      <c r="H885" s="34"/>
      <c r="J885" s="36"/>
      <c r="K885" s="36"/>
      <c r="L885" s="36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8"/>
      <c r="AS885" s="38"/>
      <c r="AT885" s="38"/>
      <c r="AU885" s="33"/>
      <c r="AV885" s="39"/>
    </row>
    <row r="886" spans="4:48">
      <c r="D886" s="33"/>
      <c r="E886" s="33"/>
      <c r="F886" s="33"/>
      <c r="G886" s="33"/>
      <c r="H886" s="34"/>
      <c r="J886" s="36"/>
      <c r="K886" s="36"/>
      <c r="L886" s="36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8"/>
      <c r="AS886" s="38"/>
      <c r="AT886" s="38"/>
      <c r="AU886" s="33"/>
      <c r="AV886" s="39"/>
    </row>
    <row r="887" spans="4:48">
      <c r="D887" s="33"/>
      <c r="E887" s="33"/>
      <c r="F887" s="33"/>
      <c r="G887" s="33"/>
      <c r="H887" s="34"/>
      <c r="J887" s="36"/>
      <c r="K887" s="36"/>
      <c r="L887" s="36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8"/>
      <c r="AS887" s="38"/>
      <c r="AT887" s="38"/>
      <c r="AU887" s="33"/>
      <c r="AV887" s="39"/>
    </row>
    <row r="888" spans="4:48">
      <c r="D888" s="33"/>
      <c r="E888" s="33"/>
      <c r="F888" s="33"/>
      <c r="G888" s="33"/>
      <c r="H888" s="34"/>
      <c r="J888" s="36"/>
      <c r="K888" s="36"/>
      <c r="L888" s="36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8"/>
      <c r="AS888" s="38"/>
      <c r="AT888" s="38"/>
      <c r="AU888" s="33"/>
      <c r="AV888" s="39"/>
    </row>
    <row r="889" spans="4:48">
      <c r="D889" s="33"/>
      <c r="E889" s="33"/>
      <c r="F889" s="33"/>
      <c r="G889" s="33"/>
      <c r="H889" s="34"/>
      <c r="J889" s="36"/>
      <c r="K889" s="36"/>
      <c r="L889" s="36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8"/>
      <c r="AS889" s="38"/>
      <c r="AT889" s="38"/>
      <c r="AU889" s="33"/>
      <c r="AV889" s="39"/>
    </row>
    <row r="890" spans="4:48">
      <c r="D890" s="33"/>
      <c r="E890" s="33"/>
      <c r="F890" s="33"/>
      <c r="G890" s="33"/>
      <c r="H890" s="34"/>
      <c r="J890" s="36"/>
      <c r="K890" s="36"/>
      <c r="L890" s="36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8"/>
      <c r="AS890" s="38"/>
      <c r="AT890" s="38"/>
      <c r="AU890" s="33"/>
      <c r="AV890" s="39"/>
    </row>
    <row r="891" spans="4:48">
      <c r="D891" s="33"/>
      <c r="E891" s="33"/>
      <c r="F891" s="33"/>
      <c r="G891" s="33"/>
      <c r="H891" s="34"/>
      <c r="J891" s="36"/>
      <c r="K891" s="36"/>
      <c r="L891" s="36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8"/>
      <c r="AS891" s="38"/>
      <c r="AT891" s="38"/>
      <c r="AU891" s="33"/>
      <c r="AV891" s="39"/>
    </row>
    <row r="892" spans="4:48">
      <c r="D892" s="33"/>
      <c r="E892" s="33"/>
      <c r="F892" s="33"/>
      <c r="G892" s="33"/>
      <c r="H892" s="34"/>
      <c r="J892" s="36"/>
      <c r="K892" s="36"/>
      <c r="L892" s="36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8"/>
      <c r="AS892" s="38"/>
      <c r="AT892" s="38"/>
      <c r="AU892" s="33"/>
      <c r="AV892" s="39"/>
    </row>
    <row r="893" spans="4:48">
      <c r="D893" s="33"/>
      <c r="E893" s="33"/>
      <c r="F893" s="33"/>
      <c r="G893" s="33"/>
      <c r="H893" s="34"/>
      <c r="J893" s="36"/>
      <c r="K893" s="36"/>
      <c r="L893" s="36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8"/>
      <c r="AS893" s="38"/>
      <c r="AT893" s="38"/>
      <c r="AU893" s="33"/>
      <c r="AV893" s="39"/>
    </row>
    <row r="894" spans="4:48">
      <c r="D894" s="33"/>
      <c r="E894" s="33"/>
      <c r="F894" s="33"/>
      <c r="G894" s="33"/>
      <c r="H894" s="34"/>
      <c r="J894" s="36"/>
      <c r="K894" s="36"/>
      <c r="L894" s="36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8"/>
      <c r="AS894" s="38"/>
      <c r="AT894" s="38"/>
      <c r="AU894" s="33"/>
      <c r="AV894" s="39"/>
    </row>
    <row r="895" spans="4:48">
      <c r="D895" s="33"/>
      <c r="E895" s="33"/>
      <c r="F895" s="33"/>
      <c r="G895" s="33"/>
      <c r="H895" s="34"/>
      <c r="J895" s="36"/>
      <c r="K895" s="36"/>
      <c r="L895" s="36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8"/>
      <c r="AS895" s="38"/>
      <c r="AT895" s="38"/>
      <c r="AU895" s="33"/>
      <c r="AV895" s="39"/>
    </row>
    <row r="896" spans="4:48">
      <c r="D896" s="33"/>
      <c r="E896" s="33"/>
      <c r="F896" s="33"/>
      <c r="G896" s="33"/>
      <c r="H896" s="34"/>
      <c r="J896" s="36"/>
      <c r="K896" s="36"/>
      <c r="L896" s="36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8"/>
      <c r="AS896" s="38"/>
      <c r="AT896" s="38"/>
      <c r="AU896" s="33"/>
      <c r="AV896" s="39"/>
    </row>
    <row r="897" spans="4:48">
      <c r="D897" s="33"/>
      <c r="E897" s="33"/>
      <c r="F897" s="33"/>
      <c r="G897" s="33"/>
      <c r="H897" s="34"/>
      <c r="J897" s="36"/>
      <c r="K897" s="36"/>
      <c r="L897" s="36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8"/>
      <c r="AS897" s="38"/>
      <c r="AT897" s="38"/>
      <c r="AU897" s="33"/>
      <c r="AV897" s="39"/>
    </row>
    <row r="898" spans="4:48">
      <c r="D898" s="33"/>
      <c r="E898" s="33"/>
      <c r="F898" s="33"/>
      <c r="G898" s="33"/>
      <c r="H898" s="34"/>
      <c r="J898" s="36"/>
      <c r="K898" s="36"/>
      <c r="L898" s="36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8"/>
      <c r="AS898" s="38"/>
      <c r="AT898" s="38"/>
      <c r="AU898" s="33"/>
      <c r="AV898" s="39"/>
    </row>
    <row r="899" spans="4:48">
      <c r="D899" s="33"/>
      <c r="E899" s="33"/>
      <c r="F899" s="33"/>
      <c r="G899" s="33"/>
      <c r="H899" s="34"/>
      <c r="J899" s="36"/>
      <c r="K899" s="36"/>
      <c r="L899" s="36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8"/>
      <c r="AS899" s="38"/>
      <c r="AT899" s="38"/>
      <c r="AU899" s="33"/>
      <c r="AV899" s="39"/>
    </row>
    <row r="900" spans="4:48">
      <c r="D900" s="33"/>
      <c r="E900" s="33"/>
      <c r="F900" s="33"/>
      <c r="G900" s="33"/>
      <c r="H900" s="34"/>
      <c r="J900" s="36"/>
      <c r="K900" s="36"/>
      <c r="L900" s="36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8"/>
      <c r="AS900" s="38"/>
      <c r="AT900" s="38"/>
      <c r="AU900" s="33"/>
      <c r="AV900" s="39"/>
    </row>
    <row r="901" spans="4:48">
      <c r="D901" s="33"/>
      <c r="E901" s="33"/>
      <c r="F901" s="33"/>
      <c r="G901" s="33"/>
      <c r="H901" s="34"/>
      <c r="J901" s="36"/>
      <c r="K901" s="36"/>
      <c r="L901" s="36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8"/>
      <c r="AS901" s="38"/>
      <c r="AT901" s="38"/>
      <c r="AU901" s="33"/>
      <c r="AV901" s="39"/>
    </row>
    <row r="902" spans="4:48">
      <c r="D902" s="33"/>
      <c r="E902" s="33"/>
      <c r="F902" s="33"/>
      <c r="G902" s="33"/>
      <c r="H902" s="34"/>
      <c r="J902" s="36"/>
      <c r="K902" s="36"/>
      <c r="L902" s="36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8"/>
      <c r="AS902" s="38"/>
      <c r="AT902" s="38"/>
      <c r="AU902" s="33"/>
      <c r="AV902" s="39"/>
    </row>
    <row r="903" spans="4:48">
      <c r="D903" s="33"/>
      <c r="E903" s="33"/>
      <c r="F903" s="33"/>
      <c r="G903" s="33"/>
      <c r="H903" s="34"/>
      <c r="J903" s="36"/>
      <c r="K903" s="36"/>
      <c r="L903" s="36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8"/>
      <c r="AS903" s="38"/>
      <c r="AT903" s="38"/>
      <c r="AU903" s="33"/>
      <c r="AV903" s="39"/>
    </row>
    <row r="904" spans="4:48">
      <c r="D904" s="33"/>
      <c r="E904" s="33"/>
      <c r="F904" s="33"/>
      <c r="G904" s="33"/>
      <c r="H904" s="34"/>
      <c r="J904" s="36"/>
      <c r="K904" s="36"/>
      <c r="L904" s="36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8"/>
      <c r="AS904" s="38"/>
      <c r="AT904" s="38"/>
      <c r="AU904" s="33"/>
      <c r="AV904" s="39"/>
    </row>
    <row r="905" spans="4:48">
      <c r="D905" s="33"/>
      <c r="E905" s="33"/>
      <c r="F905" s="33"/>
      <c r="G905" s="33"/>
      <c r="H905" s="34"/>
      <c r="J905" s="36"/>
      <c r="K905" s="36"/>
      <c r="L905" s="36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8"/>
      <c r="AS905" s="38"/>
      <c r="AT905" s="38"/>
      <c r="AU905" s="33"/>
      <c r="AV905" s="39"/>
    </row>
    <row r="906" spans="4:48">
      <c r="D906" s="33"/>
      <c r="E906" s="33"/>
      <c r="F906" s="33"/>
      <c r="G906" s="33"/>
      <c r="H906" s="34"/>
      <c r="J906" s="36"/>
      <c r="K906" s="36"/>
      <c r="L906" s="36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8"/>
      <c r="AS906" s="38"/>
      <c r="AT906" s="38"/>
      <c r="AU906" s="33"/>
      <c r="AV906" s="39"/>
    </row>
    <row r="907" spans="4:48">
      <c r="D907" s="33"/>
      <c r="E907" s="33"/>
      <c r="F907" s="33"/>
      <c r="G907" s="33"/>
      <c r="H907" s="34"/>
      <c r="J907" s="36"/>
      <c r="K907" s="36"/>
      <c r="L907" s="36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8"/>
      <c r="AS907" s="38"/>
      <c r="AT907" s="38"/>
      <c r="AU907" s="33"/>
      <c r="AV907" s="39"/>
    </row>
    <row r="908" spans="4:48">
      <c r="D908" s="33"/>
      <c r="E908" s="33"/>
      <c r="F908" s="33"/>
      <c r="G908" s="33"/>
      <c r="H908" s="34"/>
      <c r="J908" s="36"/>
      <c r="K908" s="36"/>
      <c r="L908" s="36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8"/>
      <c r="AS908" s="38"/>
      <c r="AT908" s="38"/>
      <c r="AU908" s="33"/>
      <c r="AV908" s="39"/>
    </row>
    <row r="909" spans="4:48">
      <c r="D909" s="33"/>
      <c r="E909" s="33"/>
      <c r="F909" s="33"/>
      <c r="G909" s="33"/>
      <c r="H909" s="34"/>
      <c r="J909" s="36"/>
      <c r="K909" s="36"/>
      <c r="L909" s="36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8"/>
      <c r="AS909" s="38"/>
      <c r="AT909" s="38"/>
      <c r="AU909" s="33"/>
      <c r="AV909" s="39"/>
    </row>
    <row r="910" spans="4:48">
      <c r="D910" s="33"/>
      <c r="E910" s="33"/>
      <c r="F910" s="33"/>
      <c r="G910" s="33"/>
      <c r="H910" s="34"/>
      <c r="J910" s="36"/>
      <c r="K910" s="36"/>
      <c r="L910" s="36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8"/>
      <c r="AS910" s="38"/>
      <c r="AT910" s="38"/>
      <c r="AU910" s="33"/>
      <c r="AV910" s="39"/>
    </row>
    <row r="911" spans="4:48">
      <c r="D911" s="33"/>
      <c r="E911" s="33"/>
      <c r="F911" s="33"/>
      <c r="G911" s="33"/>
      <c r="H911" s="34"/>
      <c r="J911" s="36"/>
      <c r="K911" s="36"/>
      <c r="L911" s="36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8"/>
      <c r="AS911" s="38"/>
      <c r="AT911" s="38"/>
      <c r="AU911" s="33"/>
      <c r="AV911" s="39"/>
    </row>
    <row r="912" spans="4:48">
      <c r="D912" s="33"/>
      <c r="E912" s="33"/>
      <c r="F912" s="33"/>
      <c r="G912" s="33"/>
      <c r="H912" s="34"/>
      <c r="J912" s="36"/>
      <c r="K912" s="36"/>
      <c r="L912" s="36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8"/>
      <c r="AS912" s="38"/>
      <c r="AT912" s="38"/>
      <c r="AU912" s="33"/>
      <c r="AV912" s="39"/>
    </row>
    <row r="913" spans="4:48">
      <c r="D913" s="33"/>
      <c r="E913" s="33"/>
      <c r="F913" s="33"/>
      <c r="G913" s="33"/>
      <c r="H913" s="34"/>
      <c r="J913" s="36"/>
      <c r="K913" s="36"/>
      <c r="L913" s="36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8"/>
      <c r="AS913" s="38"/>
      <c r="AT913" s="38"/>
      <c r="AU913" s="33"/>
      <c r="AV913" s="39"/>
    </row>
    <row r="914" spans="4:48">
      <c r="D914" s="33"/>
      <c r="E914" s="33"/>
      <c r="F914" s="33"/>
      <c r="G914" s="33"/>
      <c r="H914" s="34"/>
      <c r="J914" s="36"/>
      <c r="K914" s="36"/>
      <c r="L914" s="36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8"/>
      <c r="AS914" s="38"/>
      <c r="AT914" s="38"/>
      <c r="AU914" s="33"/>
      <c r="AV914" s="39"/>
    </row>
    <row r="915" spans="4:48">
      <c r="D915" s="33"/>
      <c r="E915" s="33"/>
      <c r="F915" s="33"/>
      <c r="G915" s="33"/>
      <c r="H915" s="34"/>
      <c r="J915" s="36"/>
      <c r="K915" s="36"/>
      <c r="L915" s="36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8"/>
      <c r="AS915" s="38"/>
      <c r="AT915" s="38"/>
      <c r="AU915" s="33"/>
      <c r="AV915" s="39"/>
    </row>
    <row r="916" spans="4:48">
      <c r="D916" s="33"/>
      <c r="E916" s="33"/>
      <c r="F916" s="33"/>
      <c r="G916" s="33"/>
      <c r="H916" s="34"/>
      <c r="J916" s="36"/>
      <c r="K916" s="36"/>
      <c r="L916" s="36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8"/>
      <c r="AS916" s="38"/>
      <c r="AT916" s="38"/>
      <c r="AU916" s="33"/>
      <c r="AV916" s="39"/>
    </row>
    <row r="917" spans="4:48">
      <c r="D917" s="33"/>
      <c r="E917" s="33"/>
      <c r="F917" s="33"/>
      <c r="G917" s="33"/>
      <c r="H917" s="34"/>
      <c r="J917" s="36"/>
      <c r="K917" s="36"/>
      <c r="L917" s="36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8"/>
      <c r="AS917" s="38"/>
      <c r="AT917" s="38"/>
      <c r="AU917" s="33"/>
      <c r="AV917" s="39"/>
    </row>
    <row r="918" spans="4:48">
      <c r="D918" s="33"/>
      <c r="E918" s="33"/>
      <c r="F918" s="33"/>
      <c r="G918" s="33"/>
      <c r="H918" s="34"/>
      <c r="J918" s="36"/>
      <c r="K918" s="36"/>
      <c r="L918" s="36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8"/>
      <c r="AS918" s="38"/>
      <c r="AT918" s="38"/>
      <c r="AU918" s="33"/>
      <c r="AV918" s="39"/>
    </row>
    <row r="919" spans="4:48">
      <c r="D919" s="33"/>
      <c r="E919" s="33"/>
      <c r="F919" s="33"/>
      <c r="G919" s="33"/>
      <c r="H919" s="34"/>
      <c r="J919" s="36"/>
      <c r="K919" s="36"/>
      <c r="L919" s="36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8"/>
      <c r="AS919" s="38"/>
      <c r="AT919" s="38"/>
      <c r="AU919" s="33"/>
      <c r="AV919" s="39"/>
    </row>
    <row r="920" spans="4:48">
      <c r="D920" s="33"/>
      <c r="E920" s="33"/>
      <c r="F920" s="33"/>
      <c r="G920" s="33"/>
      <c r="H920" s="34"/>
      <c r="J920" s="36"/>
      <c r="K920" s="36"/>
      <c r="L920" s="36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8"/>
      <c r="AS920" s="38"/>
      <c r="AT920" s="38"/>
      <c r="AU920" s="33"/>
      <c r="AV920" s="39"/>
    </row>
    <row r="921" spans="4:48">
      <c r="D921" s="33"/>
      <c r="E921" s="33"/>
      <c r="F921" s="33"/>
      <c r="G921" s="33"/>
      <c r="H921" s="34"/>
      <c r="J921" s="36"/>
      <c r="K921" s="36"/>
      <c r="L921" s="36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8"/>
      <c r="AS921" s="38"/>
      <c r="AT921" s="38"/>
      <c r="AU921" s="33"/>
      <c r="AV921" s="39"/>
    </row>
    <row r="922" spans="4:48">
      <c r="D922" s="33"/>
      <c r="E922" s="33"/>
      <c r="F922" s="33"/>
      <c r="G922" s="33"/>
      <c r="H922" s="34"/>
      <c r="J922" s="36"/>
      <c r="K922" s="36"/>
      <c r="L922" s="36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8"/>
      <c r="AS922" s="38"/>
      <c r="AT922" s="38"/>
      <c r="AU922" s="33"/>
      <c r="AV922" s="39"/>
    </row>
    <row r="923" spans="4:48">
      <c r="D923" s="33"/>
      <c r="E923" s="33"/>
      <c r="F923" s="33"/>
      <c r="G923" s="33"/>
      <c r="H923" s="34"/>
      <c r="J923" s="36"/>
      <c r="K923" s="36"/>
      <c r="L923" s="36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8"/>
      <c r="AS923" s="38"/>
      <c r="AT923" s="38"/>
      <c r="AU923" s="33"/>
      <c r="AV923" s="39"/>
    </row>
    <row r="924" spans="4:48">
      <c r="D924" s="33"/>
      <c r="E924" s="33"/>
      <c r="F924" s="33"/>
      <c r="G924" s="33"/>
      <c r="H924" s="34"/>
      <c r="J924" s="36"/>
      <c r="K924" s="36"/>
      <c r="L924" s="36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8"/>
      <c r="AS924" s="38"/>
      <c r="AT924" s="38"/>
      <c r="AU924" s="33"/>
      <c r="AV924" s="39"/>
    </row>
    <row r="925" spans="4:48">
      <c r="D925" s="33"/>
      <c r="E925" s="33"/>
      <c r="F925" s="33"/>
      <c r="G925" s="33"/>
      <c r="H925" s="34"/>
      <c r="J925" s="36"/>
      <c r="K925" s="36"/>
      <c r="L925" s="36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8"/>
      <c r="AS925" s="38"/>
      <c r="AT925" s="38"/>
      <c r="AU925" s="33"/>
      <c r="AV925" s="39"/>
    </row>
    <row r="926" spans="4:48">
      <c r="D926" s="33"/>
      <c r="E926" s="33"/>
      <c r="F926" s="33"/>
      <c r="G926" s="33"/>
      <c r="H926" s="34"/>
      <c r="J926" s="36"/>
      <c r="K926" s="36"/>
      <c r="L926" s="36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8"/>
      <c r="AS926" s="38"/>
      <c r="AT926" s="38"/>
      <c r="AU926" s="33"/>
      <c r="AV926" s="39"/>
    </row>
    <row r="927" spans="4:48">
      <c r="D927" s="33"/>
      <c r="E927" s="33"/>
      <c r="F927" s="33"/>
      <c r="G927" s="33"/>
      <c r="H927" s="34"/>
      <c r="J927" s="36"/>
      <c r="K927" s="36"/>
      <c r="L927" s="36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8"/>
      <c r="AS927" s="38"/>
      <c r="AT927" s="38"/>
      <c r="AU927" s="33"/>
      <c r="AV927" s="39"/>
    </row>
    <row r="928" spans="4:48">
      <c r="D928" s="33"/>
      <c r="E928" s="33"/>
      <c r="F928" s="33"/>
      <c r="G928" s="33"/>
      <c r="H928" s="34"/>
      <c r="J928" s="36"/>
      <c r="K928" s="36"/>
      <c r="L928" s="36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8"/>
      <c r="AS928" s="38"/>
      <c r="AT928" s="38"/>
      <c r="AU928" s="33"/>
      <c r="AV928" s="39"/>
    </row>
    <row r="929" spans="4:48">
      <c r="D929" s="33"/>
      <c r="E929" s="33"/>
      <c r="F929" s="33"/>
      <c r="G929" s="33"/>
      <c r="H929" s="34"/>
      <c r="J929" s="36"/>
      <c r="K929" s="36"/>
      <c r="L929" s="36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8"/>
      <c r="AS929" s="38"/>
      <c r="AT929" s="38"/>
      <c r="AU929" s="33"/>
      <c r="AV929" s="39"/>
    </row>
    <row r="930" spans="4:48">
      <c r="D930" s="33"/>
      <c r="E930" s="33"/>
      <c r="F930" s="33"/>
      <c r="G930" s="33"/>
      <c r="H930" s="34"/>
      <c r="J930" s="36"/>
      <c r="K930" s="36"/>
      <c r="L930" s="36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8"/>
      <c r="AS930" s="38"/>
      <c r="AT930" s="38"/>
      <c r="AU930" s="33"/>
      <c r="AV930" s="39"/>
    </row>
    <row r="931" spans="4:48">
      <c r="D931" s="33"/>
      <c r="E931" s="33"/>
      <c r="F931" s="33"/>
      <c r="G931" s="33"/>
      <c r="H931" s="34"/>
      <c r="J931" s="36"/>
      <c r="K931" s="36"/>
      <c r="L931" s="36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8"/>
      <c r="AS931" s="38"/>
      <c r="AT931" s="38"/>
      <c r="AU931" s="33"/>
      <c r="AV931" s="39"/>
    </row>
    <row r="932" spans="4:48">
      <c r="D932" s="33"/>
      <c r="E932" s="33"/>
      <c r="F932" s="33"/>
      <c r="G932" s="33"/>
      <c r="H932" s="34"/>
      <c r="J932" s="36"/>
      <c r="K932" s="36"/>
      <c r="L932" s="36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8"/>
      <c r="AS932" s="38"/>
      <c r="AT932" s="38"/>
      <c r="AU932" s="33"/>
      <c r="AV932" s="39"/>
    </row>
    <row r="933" spans="4:48">
      <c r="D933" s="33"/>
      <c r="E933" s="33"/>
      <c r="F933" s="33"/>
      <c r="G933" s="33"/>
      <c r="H933" s="34"/>
      <c r="J933" s="36"/>
      <c r="K933" s="36"/>
      <c r="L933" s="36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8"/>
      <c r="AS933" s="38"/>
      <c r="AT933" s="38"/>
      <c r="AU933" s="33"/>
      <c r="AV933" s="39"/>
    </row>
    <row r="934" spans="4:48">
      <c r="D934" s="33"/>
      <c r="E934" s="33"/>
      <c r="F934" s="33"/>
      <c r="G934" s="33"/>
      <c r="H934" s="34"/>
      <c r="J934" s="36"/>
      <c r="K934" s="36"/>
      <c r="L934" s="36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8"/>
      <c r="AS934" s="38"/>
      <c r="AT934" s="38"/>
      <c r="AU934" s="33"/>
      <c r="AV934" s="39"/>
    </row>
    <row r="935" spans="4:48">
      <c r="D935" s="33"/>
      <c r="E935" s="33"/>
      <c r="F935" s="33"/>
      <c r="G935" s="33"/>
      <c r="H935" s="34"/>
      <c r="J935" s="36"/>
      <c r="K935" s="36"/>
      <c r="L935" s="36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8"/>
      <c r="AS935" s="38"/>
      <c r="AT935" s="38"/>
      <c r="AU935" s="33"/>
      <c r="AV935" s="39"/>
    </row>
    <row r="936" spans="4:48">
      <c r="D936" s="33"/>
      <c r="E936" s="33"/>
      <c r="F936" s="33"/>
      <c r="G936" s="33"/>
      <c r="H936" s="34"/>
      <c r="J936" s="36"/>
      <c r="K936" s="36"/>
      <c r="L936" s="36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8"/>
      <c r="AS936" s="38"/>
      <c r="AT936" s="38"/>
      <c r="AU936" s="33"/>
      <c r="AV936" s="39"/>
    </row>
    <row r="937" spans="4:48">
      <c r="D937" s="33"/>
      <c r="E937" s="33"/>
      <c r="F937" s="33"/>
      <c r="G937" s="33"/>
      <c r="H937" s="34"/>
      <c r="J937" s="36"/>
      <c r="K937" s="36"/>
      <c r="L937" s="36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8"/>
      <c r="AS937" s="38"/>
      <c r="AT937" s="38"/>
      <c r="AU937" s="33"/>
      <c r="AV937" s="39"/>
    </row>
    <row r="938" spans="4:48">
      <c r="D938" s="33"/>
      <c r="E938" s="33"/>
      <c r="F938" s="33"/>
      <c r="G938" s="33"/>
      <c r="H938" s="34"/>
      <c r="J938" s="36"/>
      <c r="K938" s="36"/>
      <c r="L938" s="36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8"/>
      <c r="AS938" s="38"/>
      <c r="AT938" s="38"/>
      <c r="AU938" s="33"/>
      <c r="AV938" s="39"/>
    </row>
    <row r="939" spans="4:48">
      <c r="D939" s="33"/>
      <c r="E939" s="33"/>
      <c r="F939" s="33"/>
      <c r="G939" s="33"/>
      <c r="H939" s="34"/>
      <c r="J939" s="36"/>
      <c r="K939" s="36"/>
      <c r="L939" s="36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8"/>
      <c r="AS939" s="38"/>
      <c r="AT939" s="38"/>
      <c r="AU939" s="33"/>
      <c r="AV939" s="39"/>
    </row>
    <row r="940" spans="4:48">
      <c r="D940" s="33"/>
      <c r="E940" s="33"/>
      <c r="F940" s="33"/>
      <c r="G940" s="33"/>
      <c r="H940" s="34"/>
      <c r="J940" s="36"/>
      <c r="K940" s="36"/>
      <c r="L940" s="36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8"/>
      <c r="AS940" s="38"/>
      <c r="AT940" s="38"/>
      <c r="AU940" s="33"/>
      <c r="AV940" s="39"/>
    </row>
    <row r="941" spans="4:48">
      <c r="D941" s="33"/>
      <c r="E941" s="33"/>
      <c r="F941" s="33"/>
      <c r="G941" s="33"/>
      <c r="H941" s="34"/>
      <c r="J941" s="36"/>
      <c r="K941" s="36"/>
      <c r="L941" s="36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8"/>
      <c r="AS941" s="38"/>
      <c r="AT941" s="38"/>
      <c r="AU941" s="33"/>
      <c r="AV941" s="39"/>
    </row>
    <row r="942" spans="4:48">
      <c r="D942" s="33"/>
      <c r="E942" s="33"/>
      <c r="F942" s="33"/>
      <c r="G942" s="33"/>
      <c r="H942" s="34"/>
      <c r="J942" s="36"/>
      <c r="K942" s="36"/>
      <c r="L942" s="36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8"/>
      <c r="AS942" s="38"/>
      <c r="AT942" s="38"/>
      <c r="AU942" s="33"/>
      <c r="AV942" s="39"/>
    </row>
    <row r="943" spans="4:48">
      <c r="D943" s="33"/>
      <c r="E943" s="33"/>
      <c r="F943" s="33"/>
      <c r="G943" s="33"/>
      <c r="H943" s="34"/>
      <c r="J943" s="36"/>
      <c r="K943" s="36"/>
      <c r="L943" s="36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8"/>
      <c r="AS943" s="38"/>
      <c r="AT943" s="38"/>
      <c r="AU943" s="33"/>
      <c r="AV943" s="39"/>
    </row>
    <row r="944" spans="4:48">
      <c r="D944" s="33"/>
      <c r="E944" s="33"/>
      <c r="F944" s="33"/>
      <c r="G944" s="33"/>
      <c r="H944" s="34"/>
      <c r="J944" s="36"/>
      <c r="K944" s="36"/>
      <c r="L944" s="36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8"/>
      <c r="AS944" s="38"/>
      <c r="AT944" s="38"/>
      <c r="AU944" s="33"/>
      <c r="AV944" s="39"/>
    </row>
    <row r="945" spans="4:48">
      <c r="D945" s="33"/>
      <c r="E945" s="33"/>
      <c r="F945" s="33"/>
      <c r="G945" s="33"/>
      <c r="H945" s="34"/>
      <c r="J945" s="36"/>
      <c r="K945" s="36"/>
      <c r="L945" s="36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8"/>
      <c r="AS945" s="38"/>
      <c r="AT945" s="38"/>
      <c r="AU945" s="33"/>
      <c r="AV945" s="39"/>
    </row>
    <row r="946" spans="4:48">
      <c r="D946" s="33"/>
      <c r="E946" s="33"/>
      <c r="F946" s="33"/>
      <c r="G946" s="33"/>
      <c r="H946" s="34"/>
      <c r="J946" s="36"/>
      <c r="K946" s="36"/>
      <c r="L946" s="36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8"/>
      <c r="AS946" s="38"/>
      <c r="AT946" s="38"/>
      <c r="AU946" s="33"/>
      <c r="AV946" s="39"/>
    </row>
    <row r="947" spans="4:48">
      <c r="D947" s="33"/>
      <c r="E947" s="33"/>
      <c r="F947" s="33"/>
      <c r="G947" s="33"/>
      <c r="H947" s="34"/>
      <c r="J947" s="36"/>
      <c r="K947" s="36"/>
      <c r="L947" s="36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8"/>
      <c r="AS947" s="38"/>
      <c r="AT947" s="38"/>
      <c r="AU947" s="33"/>
      <c r="AV947" s="39"/>
    </row>
    <row r="948" spans="4:48">
      <c r="D948" s="33"/>
      <c r="E948" s="33"/>
      <c r="F948" s="33"/>
      <c r="G948" s="33"/>
      <c r="H948" s="34"/>
      <c r="J948" s="36"/>
      <c r="K948" s="36"/>
      <c r="L948" s="36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8"/>
      <c r="AS948" s="38"/>
      <c r="AT948" s="38"/>
      <c r="AU948" s="33"/>
      <c r="AV948" s="39"/>
    </row>
    <row r="949" spans="4:48">
      <c r="D949" s="33"/>
      <c r="E949" s="33"/>
      <c r="F949" s="33"/>
      <c r="G949" s="33"/>
      <c r="H949" s="34"/>
      <c r="J949" s="36"/>
      <c r="K949" s="36"/>
      <c r="L949" s="36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8"/>
      <c r="AS949" s="38"/>
      <c r="AT949" s="38"/>
      <c r="AU949" s="33"/>
      <c r="AV949" s="39"/>
    </row>
    <row r="950" spans="4:48">
      <c r="D950" s="33"/>
      <c r="E950" s="33"/>
      <c r="F950" s="33"/>
      <c r="G950" s="33"/>
      <c r="H950" s="34"/>
      <c r="J950" s="36"/>
      <c r="K950" s="36"/>
      <c r="L950" s="36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8"/>
      <c r="AS950" s="38"/>
      <c r="AT950" s="38"/>
      <c r="AU950" s="33"/>
      <c r="AV950" s="39"/>
    </row>
    <row r="951" spans="4:48">
      <c r="D951" s="33"/>
      <c r="E951" s="33"/>
      <c r="F951" s="33"/>
      <c r="G951" s="33"/>
      <c r="H951" s="34"/>
      <c r="J951" s="36"/>
      <c r="K951" s="36"/>
      <c r="L951" s="36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8"/>
      <c r="AS951" s="38"/>
      <c r="AT951" s="38"/>
      <c r="AU951" s="33"/>
      <c r="AV951" s="39"/>
    </row>
    <row r="952" spans="4:48">
      <c r="D952" s="33"/>
      <c r="E952" s="33"/>
      <c r="F952" s="33"/>
      <c r="G952" s="33"/>
      <c r="H952" s="34"/>
      <c r="J952" s="36"/>
      <c r="K952" s="36"/>
      <c r="L952" s="36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8"/>
      <c r="AS952" s="38"/>
      <c r="AT952" s="38"/>
      <c r="AU952" s="33"/>
      <c r="AV952" s="39"/>
    </row>
    <row r="953" spans="4:48">
      <c r="D953" s="33"/>
      <c r="E953" s="33"/>
      <c r="F953" s="33"/>
      <c r="G953" s="33"/>
      <c r="H953" s="34"/>
      <c r="J953" s="36"/>
      <c r="K953" s="36"/>
      <c r="L953" s="36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8"/>
      <c r="AS953" s="38"/>
      <c r="AT953" s="38"/>
      <c r="AU953" s="33"/>
      <c r="AV953" s="39"/>
    </row>
    <row r="954" spans="4:48">
      <c r="D954" s="33"/>
      <c r="E954" s="33"/>
      <c r="F954" s="33"/>
      <c r="G954" s="33"/>
      <c r="H954" s="34"/>
      <c r="J954" s="36"/>
      <c r="K954" s="36"/>
      <c r="L954" s="36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8"/>
      <c r="AS954" s="38"/>
      <c r="AT954" s="38"/>
      <c r="AU954" s="33"/>
      <c r="AV954" s="39"/>
    </row>
    <row r="955" spans="4:48">
      <c r="D955" s="33"/>
      <c r="E955" s="33"/>
      <c r="F955" s="33"/>
      <c r="G955" s="33"/>
      <c r="H955" s="34"/>
      <c r="J955" s="36"/>
      <c r="K955" s="36"/>
      <c r="L955" s="36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8"/>
      <c r="AS955" s="38"/>
      <c r="AT955" s="38"/>
      <c r="AU955" s="33"/>
      <c r="AV955" s="39"/>
    </row>
    <row r="956" spans="4:48">
      <c r="D956" s="33"/>
      <c r="E956" s="33"/>
      <c r="F956" s="33"/>
      <c r="G956" s="33"/>
      <c r="H956" s="34"/>
      <c r="J956" s="36"/>
      <c r="K956" s="36"/>
      <c r="L956" s="36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8"/>
      <c r="AS956" s="38"/>
      <c r="AT956" s="38"/>
      <c r="AU956" s="33"/>
      <c r="AV956" s="39"/>
    </row>
    <row r="957" spans="4:48">
      <c r="D957" s="33"/>
      <c r="E957" s="33"/>
      <c r="F957" s="33"/>
      <c r="G957" s="33"/>
      <c r="H957" s="34"/>
      <c r="J957" s="36"/>
      <c r="K957" s="36"/>
      <c r="L957" s="36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8"/>
      <c r="AS957" s="38"/>
      <c r="AT957" s="38"/>
      <c r="AU957" s="33"/>
      <c r="AV957" s="39"/>
    </row>
    <row r="958" spans="4:48">
      <c r="D958" s="33"/>
      <c r="E958" s="33"/>
      <c r="F958" s="33"/>
      <c r="G958" s="33"/>
      <c r="H958" s="34"/>
      <c r="J958" s="36"/>
      <c r="K958" s="36"/>
      <c r="L958" s="36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8"/>
      <c r="AS958" s="38"/>
      <c r="AT958" s="38"/>
      <c r="AU958" s="33"/>
      <c r="AV958" s="39"/>
    </row>
    <row r="959" spans="4:48">
      <c r="D959" s="33"/>
      <c r="E959" s="33"/>
      <c r="F959" s="33"/>
      <c r="G959" s="33"/>
      <c r="H959" s="34"/>
      <c r="J959" s="36"/>
      <c r="K959" s="36"/>
      <c r="L959" s="36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8"/>
      <c r="AS959" s="38"/>
      <c r="AT959" s="38"/>
      <c r="AU959" s="33"/>
      <c r="AV959" s="39"/>
    </row>
    <row r="960" spans="4:48">
      <c r="D960" s="33"/>
      <c r="E960" s="33"/>
      <c r="F960" s="33"/>
      <c r="G960" s="33"/>
      <c r="H960" s="34"/>
      <c r="J960" s="36"/>
      <c r="K960" s="36"/>
      <c r="L960" s="36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8"/>
      <c r="AS960" s="38"/>
      <c r="AT960" s="38"/>
      <c r="AU960" s="33"/>
      <c r="AV960" s="39"/>
    </row>
    <row r="961" spans="4:48">
      <c r="D961" s="33"/>
      <c r="E961" s="33"/>
      <c r="F961" s="33"/>
      <c r="G961" s="33"/>
      <c r="H961" s="34"/>
      <c r="J961" s="36"/>
      <c r="K961" s="36"/>
      <c r="L961" s="36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8"/>
      <c r="AS961" s="38"/>
      <c r="AT961" s="38"/>
      <c r="AU961" s="33"/>
      <c r="AV961" s="39"/>
    </row>
    <row r="962" spans="4:48">
      <c r="D962" s="33"/>
      <c r="E962" s="33"/>
      <c r="F962" s="33"/>
      <c r="G962" s="33"/>
      <c r="H962" s="34"/>
      <c r="J962" s="36"/>
      <c r="K962" s="36"/>
      <c r="L962" s="36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8"/>
      <c r="AS962" s="38"/>
      <c r="AT962" s="38"/>
      <c r="AU962" s="33"/>
      <c r="AV962" s="39"/>
    </row>
    <row r="963" spans="4:48">
      <c r="D963" s="33"/>
      <c r="E963" s="33"/>
      <c r="F963" s="33"/>
      <c r="G963" s="33"/>
      <c r="H963" s="34"/>
      <c r="J963" s="36"/>
      <c r="K963" s="36"/>
      <c r="L963" s="36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8"/>
      <c r="AS963" s="38"/>
      <c r="AT963" s="38"/>
      <c r="AU963" s="33"/>
      <c r="AV963" s="39"/>
    </row>
    <row r="964" spans="4:48">
      <c r="D964" s="33"/>
      <c r="E964" s="33"/>
      <c r="F964" s="33"/>
      <c r="G964" s="33"/>
      <c r="H964" s="34"/>
      <c r="J964" s="36"/>
      <c r="K964" s="36"/>
      <c r="L964" s="36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8"/>
      <c r="AS964" s="38"/>
      <c r="AT964" s="38"/>
      <c r="AU964" s="33"/>
      <c r="AV964" s="39"/>
    </row>
    <row r="965" spans="4:48">
      <c r="D965" s="33"/>
      <c r="E965" s="33"/>
      <c r="F965" s="33"/>
      <c r="G965" s="33"/>
      <c r="H965" s="34"/>
      <c r="J965" s="36"/>
      <c r="K965" s="36"/>
      <c r="L965" s="36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8"/>
      <c r="AS965" s="38"/>
      <c r="AT965" s="38"/>
      <c r="AU965" s="33"/>
      <c r="AV965" s="39"/>
    </row>
    <row r="966" spans="4:48">
      <c r="D966" s="33"/>
      <c r="E966" s="33"/>
      <c r="F966" s="33"/>
      <c r="G966" s="33"/>
      <c r="H966" s="34"/>
      <c r="J966" s="36"/>
      <c r="K966" s="36"/>
      <c r="L966" s="36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8"/>
      <c r="AS966" s="38"/>
      <c r="AT966" s="38"/>
      <c r="AU966" s="33"/>
      <c r="AV966" s="39"/>
    </row>
    <row r="967" spans="4:48">
      <c r="D967" s="33"/>
      <c r="E967" s="33"/>
      <c r="F967" s="33"/>
      <c r="G967" s="33"/>
      <c r="H967" s="34"/>
      <c r="J967" s="36"/>
      <c r="K967" s="36"/>
      <c r="L967" s="36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8"/>
      <c r="AS967" s="38"/>
      <c r="AT967" s="38"/>
      <c r="AU967" s="33"/>
      <c r="AV967" s="39"/>
    </row>
    <row r="968" spans="4:48">
      <c r="D968" s="33"/>
      <c r="E968" s="33"/>
      <c r="F968" s="33"/>
      <c r="G968" s="33"/>
      <c r="H968" s="34"/>
      <c r="J968" s="36"/>
      <c r="K968" s="36"/>
      <c r="L968" s="36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8"/>
      <c r="AS968" s="38"/>
      <c r="AT968" s="38"/>
      <c r="AU968" s="33"/>
      <c r="AV968" s="39"/>
    </row>
    <row r="969" spans="4:48">
      <c r="D969" s="33"/>
      <c r="E969" s="33"/>
      <c r="F969" s="33"/>
      <c r="G969" s="33"/>
      <c r="H969" s="34"/>
      <c r="J969" s="36"/>
      <c r="K969" s="36"/>
      <c r="L969" s="36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8"/>
      <c r="AS969" s="38"/>
      <c r="AT969" s="38"/>
      <c r="AU969" s="33"/>
      <c r="AV969" s="39"/>
    </row>
    <row r="970" spans="4:48">
      <c r="D970" s="33"/>
      <c r="E970" s="33"/>
      <c r="F970" s="33"/>
      <c r="G970" s="33"/>
      <c r="H970" s="34"/>
      <c r="J970" s="36"/>
      <c r="K970" s="36"/>
      <c r="L970" s="36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8"/>
      <c r="AS970" s="38"/>
      <c r="AT970" s="38"/>
      <c r="AU970" s="33"/>
      <c r="AV970" s="39"/>
    </row>
    <row r="971" spans="4:48">
      <c r="D971" s="33"/>
      <c r="E971" s="33"/>
      <c r="F971" s="33"/>
      <c r="G971" s="33"/>
      <c r="H971" s="34"/>
      <c r="J971" s="36"/>
      <c r="K971" s="36"/>
      <c r="L971" s="36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8"/>
      <c r="AS971" s="38"/>
      <c r="AT971" s="38"/>
      <c r="AU971" s="33"/>
      <c r="AV971" s="39"/>
    </row>
    <row r="972" spans="4:48">
      <c r="D972" s="33"/>
      <c r="E972" s="33"/>
      <c r="F972" s="33"/>
      <c r="G972" s="33"/>
      <c r="H972" s="34"/>
      <c r="J972" s="36"/>
      <c r="K972" s="36"/>
      <c r="L972" s="36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8"/>
      <c r="AS972" s="38"/>
      <c r="AT972" s="38"/>
      <c r="AU972" s="33"/>
      <c r="AV972" s="39"/>
    </row>
    <row r="973" spans="4:48">
      <c r="D973" s="33"/>
      <c r="E973" s="33"/>
      <c r="F973" s="33"/>
      <c r="G973" s="33"/>
      <c r="H973" s="34"/>
      <c r="J973" s="36"/>
      <c r="K973" s="36"/>
      <c r="L973" s="36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8"/>
      <c r="AS973" s="38"/>
      <c r="AT973" s="38"/>
      <c r="AU973" s="33"/>
      <c r="AV973" s="39"/>
    </row>
    <row r="974" spans="4:48">
      <c r="D974" s="33"/>
      <c r="E974" s="33"/>
      <c r="F974" s="33"/>
      <c r="G974" s="33"/>
      <c r="H974" s="34"/>
      <c r="J974" s="36"/>
      <c r="K974" s="36"/>
      <c r="L974" s="36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8"/>
      <c r="AS974" s="38"/>
      <c r="AT974" s="38"/>
      <c r="AU974" s="33"/>
      <c r="AV974" s="39"/>
    </row>
    <row r="975" spans="4:48">
      <c r="D975" s="33"/>
      <c r="E975" s="33"/>
      <c r="F975" s="33"/>
      <c r="G975" s="33"/>
      <c r="H975" s="34"/>
      <c r="J975" s="36"/>
      <c r="K975" s="36"/>
      <c r="L975" s="36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8"/>
      <c r="AS975" s="38"/>
      <c r="AT975" s="38"/>
      <c r="AU975" s="33"/>
      <c r="AV975" s="39"/>
    </row>
    <row r="976" spans="4:48">
      <c r="D976" s="33"/>
      <c r="E976" s="33"/>
      <c r="F976" s="33"/>
      <c r="G976" s="33"/>
      <c r="H976" s="34"/>
      <c r="J976" s="36"/>
      <c r="K976" s="36"/>
      <c r="L976" s="36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8"/>
      <c r="AS976" s="38"/>
      <c r="AT976" s="38"/>
      <c r="AU976" s="33"/>
      <c r="AV976" s="39"/>
    </row>
    <row r="977" spans="4:48">
      <c r="D977" s="33"/>
      <c r="E977" s="33"/>
      <c r="F977" s="33"/>
      <c r="G977" s="33"/>
      <c r="H977" s="34"/>
      <c r="J977" s="36"/>
      <c r="K977" s="36"/>
      <c r="L977" s="36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8"/>
      <c r="AS977" s="38"/>
      <c r="AT977" s="38"/>
      <c r="AU977" s="33"/>
      <c r="AV977" s="39"/>
    </row>
    <row r="978" spans="4:48">
      <c r="D978" s="33"/>
      <c r="E978" s="33"/>
      <c r="F978" s="33"/>
      <c r="G978" s="33"/>
      <c r="H978" s="34"/>
      <c r="J978" s="36"/>
      <c r="K978" s="36"/>
      <c r="L978" s="36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8"/>
      <c r="AS978" s="38"/>
      <c r="AT978" s="38"/>
      <c r="AU978" s="33"/>
      <c r="AV978" s="39"/>
    </row>
    <row r="979" spans="4:48">
      <c r="D979" s="33"/>
      <c r="E979" s="33"/>
      <c r="F979" s="33"/>
      <c r="G979" s="33"/>
      <c r="H979" s="34"/>
      <c r="J979" s="36"/>
      <c r="K979" s="36"/>
      <c r="L979" s="36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8"/>
      <c r="AS979" s="38"/>
      <c r="AT979" s="38"/>
      <c r="AU979" s="33"/>
      <c r="AV979" s="39"/>
    </row>
    <row r="980" spans="4:48">
      <c r="D980" s="33"/>
      <c r="E980" s="33"/>
      <c r="F980" s="33"/>
      <c r="G980" s="33"/>
      <c r="H980" s="34"/>
      <c r="J980" s="36"/>
      <c r="K980" s="36"/>
      <c r="L980" s="36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8"/>
      <c r="AS980" s="38"/>
      <c r="AT980" s="38"/>
      <c r="AU980" s="33"/>
      <c r="AV980" s="39"/>
    </row>
    <row r="981" spans="4:48">
      <c r="D981" s="33"/>
      <c r="E981" s="33"/>
      <c r="F981" s="33"/>
      <c r="G981" s="33"/>
      <c r="H981" s="34"/>
      <c r="J981" s="36"/>
      <c r="K981" s="36"/>
      <c r="L981" s="36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8"/>
      <c r="AS981" s="38"/>
      <c r="AT981" s="38"/>
      <c r="AU981" s="33"/>
      <c r="AV981" s="39"/>
    </row>
    <row r="982" spans="4:48">
      <c r="D982" s="33"/>
      <c r="E982" s="33"/>
      <c r="F982" s="33"/>
      <c r="G982" s="33"/>
      <c r="H982" s="34"/>
      <c r="J982" s="36"/>
      <c r="K982" s="36"/>
      <c r="L982" s="36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8"/>
      <c r="AS982" s="38"/>
      <c r="AT982" s="38"/>
      <c r="AU982" s="33"/>
      <c r="AV982" s="39"/>
    </row>
    <row r="983" spans="4:48">
      <c r="D983" s="33"/>
      <c r="E983" s="33"/>
      <c r="F983" s="33"/>
      <c r="G983" s="33"/>
      <c r="H983" s="34"/>
      <c r="J983" s="36"/>
      <c r="K983" s="36"/>
      <c r="L983" s="36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8"/>
      <c r="AS983" s="38"/>
      <c r="AT983" s="38"/>
      <c r="AU983" s="33"/>
      <c r="AV983" s="39"/>
    </row>
    <row r="984" spans="4:48">
      <c r="D984" s="33"/>
      <c r="E984" s="33"/>
      <c r="F984" s="33"/>
      <c r="G984" s="33"/>
      <c r="H984" s="34"/>
      <c r="J984" s="36"/>
      <c r="K984" s="36"/>
      <c r="L984" s="36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8"/>
      <c r="AS984" s="38"/>
      <c r="AT984" s="38"/>
      <c r="AU984" s="33"/>
      <c r="AV984" s="39"/>
    </row>
    <row r="985" spans="4:48">
      <c r="D985" s="33"/>
      <c r="E985" s="33"/>
      <c r="F985" s="33"/>
      <c r="G985" s="33"/>
      <c r="H985" s="34"/>
      <c r="J985" s="36"/>
      <c r="K985" s="36"/>
      <c r="L985" s="36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8"/>
      <c r="AS985" s="38"/>
      <c r="AT985" s="38"/>
      <c r="AU985" s="33"/>
      <c r="AV985" s="39"/>
    </row>
    <row r="986" spans="4:48">
      <c r="D986" s="33"/>
      <c r="E986" s="33"/>
      <c r="F986" s="33"/>
      <c r="G986" s="33"/>
      <c r="H986" s="34"/>
      <c r="J986" s="36"/>
      <c r="K986" s="36"/>
      <c r="L986" s="36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8"/>
      <c r="AS986" s="38"/>
      <c r="AT986" s="38"/>
      <c r="AU986" s="33"/>
      <c r="AV986" s="39"/>
    </row>
    <row r="987" spans="4:48">
      <c r="D987" s="33"/>
      <c r="E987" s="33"/>
      <c r="F987" s="33"/>
      <c r="G987" s="33"/>
      <c r="H987" s="34"/>
      <c r="J987" s="36"/>
      <c r="K987" s="36"/>
      <c r="L987" s="36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8"/>
      <c r="AS987" s="38"/>
      <c r="AT987" s="38"/>
      <c r="AU987" s="33"/>
      <c r="AV987" s="39"/>
    </row>
    <row r="988" spans="4:48">
      <c r="D988" s="33"/>
      <c r="E988" s="33"/>
      <c r="F988" s="33"/>
      <c r="G988" s="33"/>
      <c r="H988" s="34"/>
      <c r="J988" s="36"/>
      <c r="K988" s="36"/>
      <c r="L988" s="36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8"/>
      <c r="AS988" s="38"/>
      <c r="AT988" s="38"/>
      <c r="AU988" s="33"/>
      <c r="AV988" s="39"/>
    </row>
    <row r="989" spans="4:48">
      <c r="D989" s="33"/>
      <c r="E989" s="33"/>
      <c r="F989" s="33"/>
      <c r="G989" s="33"/>
      <c r="H989" s="34"/>
      <c r="J989" s="36"/>
      <c r="K989" s="36"/>
      <c r="L989" s="36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8"/>
      <c r="AS989" s="38"/>
      <c r="AT989" s="38"/>
      <c r="AU989" s="33"/>
      <c r="AV989" s="39"/>
    </row>
    <row r="990" spans="4:48">
      <c r="D990" s="33"/>
      <c r="E990" s="33"/>
      <c r="F990" s="33"/>
      <c r="G990" s="33"/>
      <c r="H990" s="34"/>
      <c r="J990" s="36"/>
      <c r="K990" s="36"/>
      <c r="L990" s="36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8"/>
      <c r="AS990" s="38"/>
      <c r="AT990" s="38"/>
      <c r="AU990" s="33"/>
      <c r="AV990" s="39"/>
    </row>
    <row r="991" spans="4:48">
      <c r="D991" s="33"/>
      <c r="E991" s="33"/>
      <c r="F991" s="33"/>
      <c r="G991" s="33"/>
      <c r="H991" s="34"/>
      <c r="J991" s="36"/>
      <c r="K991" s="36"/>
      <c r="L991" s="36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8"/>
      <c r="AS991" s="38"/>
      <c r="AT991" s="38"/>
      <c r="AU991" s="33"/>
      <c r="AV991" s="39"/>
    </row>
    <row r="992" spans="4:48">
      <c r="D992" s="33"/>
      <c r="E992" s="33"/>
      <c r="F992" s="33"/>
      <c r="G992" s="33"/>
      <c r="H992" s="34"/>
      <c r="J992" s="36"/>
      <c r="K992" s="36"/>
      <c r="L992" s="36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8"/>
      <c r="AS992" s="38"/>
      <c r="AT992" s="38"/>
      <c r="AU992" s="33"/>
      <c r="AV992" s="39"/>
    </row>
    <row r="993" spans="4:48">
      <c r="D993" s="33"/>
      <c r="E993" s="33"/>
      <c r="F993" s="33"/>
      <c r="G993" s="33"/>
      <c r="H993" s="34"/>
      <c r="J993" s="36"/>
      <c r="K993" s="36"/>
      <c r="L993" s="36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8"/>
      <c r="AS993" s="38"/>
      <c r="AT993" s="38"/>
      <c r="AU993" s="33"/>
      <c r="AV993" s="39"/>
    </row>
    <row r="994" spans="4:48">
      <c r="D994" s="33"/>
      <c r="E994" s="33"/>
      <c r="F994" s="33"/>
      <c r="G994" s="33"/>
      <c r="H994" s="34"/>
      <c r="J994" s="36"/>
      <c r="K994" s="36"/>
      <c r="L994" s="36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8"/>
      <c r="AS994" s="38"/>
      <c r="AT994" s="38"/>
      <c r="AU994" s="33"/>
      <c r="AV994" s="39"/>
    </row>
    <row r="995" spans="4:48">
      <c r="D995" s="33"/>
      <c r="E995" s="33"/>
      <c r="F995" s="33"/>
      <c r="G995" s="33"/>
      <c r="H995" s="34"/>
      <c r="J995" s="36"/>
      <c r="K995" s="36"/>
      <c r="L995" s="36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8"/>
      <c r="AS995" s="38"/>
      <c r="AT995" s="38"/>
      <c r="AU995" s="33"/>
      <c r="AV995" s="39"/>
    </row>
    <row r="996" spans="4:48">
      <c r="D996" s="33"/>
      <c r="E996" s="33"/>
      <c r="F996" s="33"/>
      <c r="G996" s="33"/>
      <c r="H996" s="34"/>
      <c r="J996" s="36"/>
      <c r="K996" s="36"/>
      <c r="L996" s="36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8"/>
      <c r="AS996" s="38"/>
      <c r="AT996" s="38"/>
      <c r="AU996" s="33"/>
      <c r="AV996" s="39"/>
    </row>
    <row r="997" spans="4:48">
      <c r="D997" s="33"/>
      <c r="E997" s="33"/>
      <c r="F997" s="33"/>
      <c r="G997" s="33"/>
      <c r="H997" s="34"/>
      <c r="J997" s="36"/>
      <c r="K997" s="36"/>
      <c r="L997" s="36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8"/>
      <c r="AS997" s="38"/>
      <c r="AT997" s="38"/>
      <c r="AU997" s="33"/>
      <c r="AV997" s="39"/>
    </row>
    <row r="998" spans="4:48">
      <c r="D998" s="33"/>
      <c r="E998" s="33"/>
      <c r="F998" s="33"/>
      <c r="G998" s="33"/>
      <c r="H998" s="34"/>
      <c r="J998" s="36"/>
      <c r="K998" s="36"/>
      <c r="L998" s="36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8"/>
      <c r="AS998" s="38"/>
      <c r="AT998" s="38"/>
      <c r="AU998" s="33"/>
      <c r="AV998" s="39"/>
    </row>
    <row r="999" spans="4:48">
      <c r="D999" s="33"/>
      <c r="E999" s="33"/>
      <c r="F999" s="33"/>
      <c r="G999" s="33"/>
      <c r="H999" s="34"/>
      <c r="J999" s="36"/>
      <c r="K999" s="36"/>
      <c r="L999" s="36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8"/>
      <c r="AS999" s="38"/>
      <c r="AT999" s="38"/>
      <c r="AU999" s="33"/>
      <c r="AV999" s="39"/>
    </row>
    <row r="1000" spans="4:48">
      <c r="D1000" s="33"/>
      <c r="E1000" s="33"/>
      <c r="F1000" s="33"/>
      <c r="G1000" s="33"/>
      <c r="H1000" s="34"/>
      <c r="J1000" s="36"/>
      <c r="K1000" s="36"/>
      <c r="L1000" s="36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8"/>
      <c r="AS1000" s="38"/>
      <c r="AT1000" s="38"/>
      <c r="AU1000" s="33"/>
      <c r="AV1000" s="39"/>
    </row>
    <row r="1001" spans="4:48">
      <c r="D1001" s="33"/>
      <c r="E1001" s="33"/>
      <c r="F1001" s="33"/>
      <c r="G1001" s="33"/>
      <c r="H1001" s="34"/>
      <c r="J1001" s="36"/>
      <c r="K1001" s="36"/>
      <c r="L1001" s="36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8"/>
      <c r="AS1001" s="38"/>
      <c r="AT1001" s="38"/>
      <c r="AU1001" s="33"/>
      <c r="AV1001" s="39"/>
    </row>
    <row r="1002" spans="4:48">
      <c r="D1002" s="33"/>
      <c r="E1002" s="33"/>
      <c r="F1002" s="33"/>
      <c r="G1002" s="33"/>
      <c r="H1002" s="34"/>
      <c r="J1002" s="36"/>
      <c r="K1002" s="36"/>
      <c r="L1002" s="36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8"/>
      <c r="AS1002" s="38"/>
      <c r="AT1002" s="38"/>
      <c r="AU1002" s="33"/>
      <c r="AV1002" s="39"/>
    </row>
    <row r="1003" spans="4:48">
      <c r="D1003" s="33"/>
      <c r="E1003" s="33"/>
      <c r="F1003" s="33"/>
      <c r="G1003" s="33"/>
      <c r="H1003" s="34"/>
      <c r="J1003" s="36"/>
      <c r="K1003" s="36"/>
      <c r="L1003" s="36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8"/>
      <c r="AS1003" s="38"/>
      <c r="AT1003" s="38"/>
      <c r="AU1003" s="33"/>
      <c r="AV1003" s="39"/>
    </row>
    <row r="1004" spans="4:48">
      <c r="D1004" s="33"/>
      <c r="E1004" s="33"/>
      <c r="F1004" s="33"/>
      <c r="G1004" s="33"/>
      <c r="H1004" s="34"/>
      <c r="J1004" s="36"/>
      <c r="K1004" s="36"/>
      <c r="L1004" s="36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8"/>
      <c r="AS1004" s="38"/>
      <c r="AT1004" s="38"/>
      <c r="AU1004" s="33"/>
      <c r="AV1004" s="39"/>
    </row>
    <row r="1005" spans="4:48">
      <c r="D1005" s="33"/>
      <c r="E1005" s="33"/>
      <c r="F1005" s="33"/>
      <c r="G1005" s="33"/>
      <c r="H1005" s="34"/>
      <c r="J1005" s="36"/>
      <c r="K1005" s="36"/>
      <c r="L1005" s="36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8"/>
      <c r="AS1005" s="38"/>
      <c r="AT1005" s="38"/>
      <c r="AU1005" s="33"/>
      <c r="AV1005" s="39"/>
    </row>
    <row r="1006" spans="4:48">
      <c r="D1006" s="33"/>
      <c r="E1006" s="33"/>
      <c r="F1006" s="33"/>
      <c r="G1006" s="33"/>
      <c r="H1006" s="34"/>
      <c r="J1006" s="36"/>
      <c r="K1006" s="36"/>
      <c r="L1006" s="36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8"/>
      <c r="AS1006" s="38"/>
      <c r="AT1006" s="38"/>
      <c r="AU1006" s="33"/>
      <c r="AV1006" s="39"/>
    </row>
    <row r="1007" spans="4:48">
      <c r="D1007" s="33"/>
      <c r="E1007" s="33"/>
      <c r="F1007" s="33"/>
      <c r="G1007" s="33"/>
      <c r="H1007" s="34"/>
      <c r="J1007" s="36"/>
      <c r="K1007" s="36"/>
      <c r="L1007" s="36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8"/>
      <c r="AS1007" s="38"/>
      <c r="AT1007" s="38"/>
      <c r="AU1007" s="33"/>
      <c r="AV1007" s="39"/>
    </row>
    <row r="1008" spans="4:48">
      <c r="D1008" s="33"/>
      <c r="E1008" s="33"/>
      <c r="F1008" s="33"/>
      <c r="G1008" s="33"/>
      <c r="H1008" s="34"/>
      <c r="J1008" s="36"/>
      <c r="K1008" s="36"/>
      <c r="L1008" s="36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8"/>
      <c r="AS1008" s="38"/>
      <c r="AT1008" s="38"/>
      <c r="AU1008" s="33"/>
      <c r="AV1008" s="39"/>
    </row>
    <row r="1009" spans="4:48">
      <c r="D1009" s="33"/>
      <c r="E1009" s="33"/>
      <c r="F1009" s="33"/>
      <c r="G1009" s="33"/>
      <c r="H1009" s="34"/>
      <c r="J1009" s="36"/>
      <c r="K1009" s="36"/>
      <c r="L1009" s="36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8"/>
      <c r="AS1009" s="38"/>
      <c r="AT1009" s="38"/>
      <c r="AU1009" s="33"/>
      <c r="AV1009" s="39"/>
    </row>
    <row r="1010" spans="4:48">
      <c r="D1010" s="33"/>
      <c r="E1010" s="33"/>
      <c r="F1010" s="33"/>
      <c r="G1010" s="33"/>
      <c r="H1010" s="34"/>
      <c r="J1010" s="36"/>
      <c r="K1010" s="36"/>
      <c r="L1010" s="36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8"/>
      <c r="AS1010" s="38"/>
      <c r="AT1010" s="38"/>
      <c r="AU1010" s="33"/>
      <c r="AV1010" s="39"/>
    </row>
    <row r="1011" spans="4:48">
      <c r="D1011" s="33"/>
      <c r="E1011" s="33"/>
      <c r="F1011" s="33"/>
      <c r="G1011" s="33"/>
      <c r="H1011" s="34"/>
      <c r="J1011" s="36"/>
      <c r="K1011" s="36"/>
      <c r="L1011" s="36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8"/>
      <c r="AS1011" s="38"/>
      <c r="AT1011" s="38"/>
      <c r="AU1011" s="33"/>
      <c r="AV1011" s="39"/>
    </row>
    <row r="1012" spans="4:48">
      <c r="D1012" s="33"/>
      <c r="E1012" s="33"/>
      <c r="F1012" s="33"/>
      <c r="G1012" s="33"/>
      <c r="H1012" s="34"/>
      <c r="J1012" s="36"/>
      <c r="K1012" s="36"/>
      <c r="L1012" s="36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8"/>
      <c r="AS1012" s="38"/>
      <c r="AT1012" s="38"/>
      <c r="AU1012" s="33"/>
      <c r="AV1012" s="39"/>
    </row>
    <row r="1013" spans="4:48">
      <c r="D1013" s="33"/>
      <c r="E1013" s="33"/>
      <c r="F1013" s="33"/>
      <c r="G1013" s="33"/>
      <c r="H1013" s="34"/>
      <c r="J1013" s="36"/>
      <c r="K1013" s="36"/>
      <c r="L1013" s="36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8"/>
      <c r="AS1013" s="38"/>
      <c r="AT1013" s="38"/>
      <c r="AU1013" s="33"/>
      <c r="AV1013" s="39"/>
    </row>
    <row r="1014" spans="4:48">
      <c r="D1014" s="33"/>
      <c r="E1014" s="33"/>
      <c r="F1014" s="33"/>
      <c r="G1014" s="33"/>
      <c r="H1014" s="34"/>
      <c r="J1014" s="36"/>
      <c r="K1014" s="36"/>
      <c r="L1014" s="36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8"/>
      <c r="AS1014" s="38"/>
      <c r="AT1014" s="38"/>
      <c r="AU1014" s="33"/>
      <c r="AV1014" s="39"/>
    </row>
    <row r="1015" spans="4:48">
      <c r="D1015" s="33"/>
      <c r="E1015" s="33"/>
      <c r="F1015" s="33"/>
      <c r="G1015" s="33"/>
      <c r="H1015" s="34"/>
      <c r="J1015" s="36"/>
      <c r="K1015" s="36"/>
      <c r="L1015" s="36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8"/>
      <c r="AS1015" s="38"/>
      <c r="AT1015" s="38"/>
      <c r="AU1015" s="33"/>
      <c r="AV1015" s="39"/>
    </row>
    <row r="1016" spans="4:48">
      <c r="D1016" s="33"/>
      <c r="E1016" s="33"/>
      <c r="F1016" s="33"/>
      <c r="G1016" s="33"/>
      <c r="H1016" s="34"/>
      <c r="J1016" s="36"/>
      <c r="K1016" s="36"/>
      <c r="L1016" s="36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8"/>
      <c r="AS1016" s="38"/>
      <c r="AT1016" s="38"/>
      <c r="AU1016" s="33"/>
      <c r="AV1016" s="39"/>
    </row>
    <row r="1017" spans="4:48">
      <c r="D1017" s="33"/>
      <c r="E1017" s="33"/>
      <c r="F1017" s="33"/>
      <c r="G1017" s="33"/>
      <c r="H1017" s="34"/>
      <c r="J1017" s="36"/>
      <c r="K1017" s="36"/>
      <c r="L1017" s="36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8"/>
      <c r="AS1017" s="38"/>
      <c r="AT1017" s="38"/>
      <c r="AU1017" s="33"/>
      <c r="AV1017" s="39"/>
    </row>
    <row r="1018" spans="4:48">
      <c r="D1018" s="33"/>
      <c r="E1018" s="33"/>
      <c r="F1018" s="33"/>
      <c r="G1018" s="33"/>
      <c r="H1018" s="34"/>
      <c r="J1018" s="36"/>
      <c r="K1018" s="36"/>
      <c r="L1018" s="36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8"/>
      <c r="AS1018" s="38"/>
      <c r="AT1018" s="38"/>
      <c r="AU1018" s="33"/>
      <c r="AV1018" s="39"/>
    </row>
    <row r="1019" spans="4:48">
      <c r="D1019" s="33"/>
      <c r="E1019" s="33"/>
      <c r="F1019" s="33"/>
      <c r="G1019" s="33"/>
      <c r="H1019" s="34"/>
      <c r="J1019" s="36"/>
      <c r="K1019" s="36"/>
      <c r="L1019" s="36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8"/>
      <c r="AS1019" s="38"/>
      <c r="AT1019" s="38"/>
      <c r="AU1019" s="33"/>
      <c r="AV1019" s="39"/>
    </row>
    <row r="1020" spans="4:48">
      <c r="D1020" s="33"/>
      <c r="E1020" s="33"/>
      <c r="F1020" s="33"/>
      <c r="G1020" s="33"/>
      <c r="H1020" s="34"/>
      <c r="J1020" s="36"/>
      <c r="K1020" s="36"/>
      <c r="L1020" s="36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8"/>
      <c r="AS1020" s="38"/>
      <c r="AT1020" s="38"/>
      <c r="AU1020" s="33"/>
      <c r="AV1020" s="39"/>
    </row>
    <row r="1021" spans="4:48">
      <c r="D1021" s="33"/>
      <c r="E1021" s="33"/>
      <c r="F1021" s="33"/>
      <c r="G1021" s="33"/>
      <c r="H1021" s="34"/>
      <c r="J1021" s="36"/>
      <c r="K1021" s="36"/>
      <c r="L1021" s="36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8"/>
      <c r="AS1021" s="38"/>
      <c r="AT1021" s="38"/>
      <c r="AU1021" s="33"/>
      <c r="AV1021" s="39"/>
    </row>
    <row r="1022" spans="4:48">
      <c r="D1022" s="33"/>
      <c r="E1022" s="33"/>
      <c r="F1022" s="33"/>
      <c r="G1022" s="33"/>
      <c r="H1022" s="34"/>
      <c r="J1022" s="36"/>
      <c r="K1022" s="36"/>
      <c r="L1022" s="36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8"/>
      <c r="AS1022" s="38"/>
      <c r="AT1022" s="38"/>
      <c r="AU1022" s="33"/>
      <c r="AV1022" s="39"/>
    </row>
    <row r="1023" spans="4:48">
      <c r="D1023" s="33"/>
      <c r="E1023" s="33"/>
      <c r="F1023" s="33"/>
      <c r="G1023" s="33"/>
      <c r="H1023" s="34"/>
      <c r="J1023" s="36"/>
      <c r="K1023" s="36"/>
      <c r="L1023" s="36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8"/>
      <c r="AS1023" s="38"/>
      <c r="AT1023" s="38"/>
      <c r="AU1023" s="33"/>
      <c r="AV1023" s="39"/>
    </row>
    <row r="1024" spans="4:48">
      <c r="D1024" s="33"/>
      <c r="E1024" s="33"/>
      <c r="F1024" s="33"/>
      <c r="G1024" s="33"/>
      <c r="H1024" s="34"/>
      <c r="J1024" s="36"/>
      <c r="K1024" s="36"/>
      <c r="L1024" s="36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8"/>
      <c r="AS1024" s="38"/>
      <c r="AT1024" s="38"/>
      <c r="AU1024" s="33"/>
      <c r="AV1024" s="39"/>
    </row>
    <row r="1025" spans="4:48">
      <c r="D1025" s="33"/>
      <c r="E1025" s="33"/>
      <c r="F1025" s="33"/>
      <c r="G1025" s="33"/>
      <c r="H1025" s="34"/>
      <c r="J1025" s="36"/>
      <c r="K1025" s="36"/>
      <c r="L1025" s="36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8"/>
      <c r="AS1025" s="38"/>
      <c r="AT1025" s="38"/>
      <c r="AU1025" s="33"/>
      <c r="AV1025" s="39"/>
    </row>
    <row r="1026" spans="4:48">
      <c r="D1026" s="33"/>
      <c r="E1026" s="33"/>
      <c r="F1026" s="33"/>
      <c r="G1026" s="33"/>
      <c r="H1026" s="34"/>
      <c r="J1026" s="36"/>
      <c r="K1026" s="36"/>
      <c r="L1026" s="36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8"/>
      <c r="AS1026" s="38"/>
      <c r="AT1026" s="38"/>
      <c r="AU1026" s="33"/>
      <c r="AV1026" s="39"/>
    </row>
    <row r="1027" spans="4:48">
      <c r="D1027" s="33"/>
      <c r="E1027" s="33"/>
      <c r="F1027" s="33"/>
      <c r="G1027" s="33"/>
      <c r="H1027" s="34"/>
      <c r="J1027" s="36"/>
      <c r="K1027" s="36"/>
      <c r="L1027" s="36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8"/>
      <c r="AS1027" s="38"/>
      <c r="AT1027" s="38"/>
      <c r="AU1027" s="33"/>
      <c r="AV1027" s="39"/>
    </row>
    <row r="1028" spans="4:48">
      <c r="D1028" s="33"/>
      <c r="E1028" s="33"/>
      <c r="F1028" s="33"/>
      <c r="G1028" s="33"/>
      <c r="H1028" s="34"/>
      <c r="J1028" s="36"/>
      <c r="K1028" s="36"/>
      <c r="L1028" s="36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8"/>
      <c r="AS1028" s="38"/>
      <c r="AT1028" s="38"/>
      <c r="AU1028" s="33"/>
      <c r="AV1028" s="39"/>
    </row>
    <row r="1029" spans="4:48">
      <c r="D1029" s="33"/>
      <c r="E1029" s="33"/>
      <c r="F1029" s="33"/>
      <c r="G1029" s="33"/>
      <c r="H1029" s="34"/>
      <c r="J1029" s="36"/>
      <c r="K1029" s="36"/>
      <c r="L1029" s="36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8"/>
      <c r="AS1029" s="38"/>
      <c r="AT1029" s="38"/>
      <c r="AU1029" s="33"/>
      <c r="AV1029" s="39"/>
    </row>
    <row r="1030" spans="4:48">
      <c r="D1030" s="33"/>
      <c r="E1030" s="33"/>
      <c r="F1030" s="33"/>
      <c r="G1030" s="33"/>
      <c r="H1030" s="34"/>
      <c r="J1030" s="36"/>
      <c r="K1030" s="36"/>
      <c r="L1030" s="36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8"/>
      <c r="AS1030" s="38"/>
      <c r="AT1030" s="38"/>
      <c r="AU1030" s="33"/>
      <c r="AV1030" s="39"/>
    </row>
    <row r="1031" spans="4:48">
      <c r="D1031" s="33"/>
      <c r="E1031" s="33"/>
      <c r="F1031" s="33"/>
      <c r="G1031" s="33"/>
      <c r="H1031" s="34"/>
      <c r="J1031" s="36"/>
      <c r="K1031" s="36"/>
      <c r="L1031" s="36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8"/>
      <c r="AS1031" s="38"/>
      <c r="AT1031" s="38"/>
      <c r="AU1031" s="33"/>
      <c r="AV1031" s="39"/>
    </row>
    <row r="1032" spans="4:48">
      <c r="D1032" s="33"/>
      <c r="E1032" s="33"/>
      <c r="F1032" s="33"/>
      <c r="G1032" s="33"/>
      <c r="H1032" s="34"/>
      <c r="J1032" s="36"/>
      <c r="K1032" s="36"/>
      <c r="L1032" s="36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8"/>
      <c r="AS1032" s="38"/>
      <c r="AT1032" s="38"/>
      <c r="AU1032" s="33"/>
      <c r="AV1032" s="39"/>
    </row>
    <row r="1033" spans="4:48">
      <c r="D1033" s="33"/>
      <c r="E1033" s="33"/>
      <c r="F1033" s="33"/>
      <c r="G1033" s="33"/>
      <c r="H1033" s="34"/>
      <c r="J1033" s="36"/>
      <c r="K1033" s="36"/>
      <c r="L1033" s="36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8"/>
      <c r="AS1033" s="38"/>
      <c r="AT1033" s="38"/>
      <c r="AU1033" s="33"/>
      <c r="AV1033" s="39"/>
    </row>
    <row r="1034" spans="4:48">
      <c r="D1034" s="33"/>
      <c r="E1034" s="33"/>
      <c r="F1034" s="33"/>
      <c r="G1034" s="33"/>
      <c r="H1034" s="34"/>
      <c r="J1034" s="36"/>
      <c r="K1034" s="36"/>
      <c r="L1034" s="36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8"/>
      <c r="AS1034" s="38"/>
      <c r="AT1034" s="38"/>
      <c r="AU1034" s="33"/>
      <c r="AV1034" s="39"/>
    </row>
    <row r="1035" spans="4:48">
      <c r="D1035" s="33"/>
      <c r="E1035" s="33"/>
      <c r="F1035" s="33"/>
      <c r="G1035" s="33"/>
      <c r="H1035" s="34"/>
      <c r="J1035" s="36"/>
      <c r="K1035" s="36"/>
      <c r="L1035" s="36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8"/>
      <c r="AS1035" s="38"/>
      <c r="AT1035" s="38"/>
      <c r="AU1035" s="33"/>
      <c r="AV1035" s="39"/>
    </row>
    <row r="1036" spans="4:48">
      <c r="D1036" s="33"/>
      <c r="E1036" s="33"/>
      <c r="F1036" s="33"/>
      <c r="G1036" s="33"/>
      <c r="H1036" s="34"/>
      <c r="J1036" s="36"/>
      <c r="K1036" s="36"/>
      <c r="L1036" s="36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8"/>
      <c r="AS1036" s="38"/>
      <c r="AT1036" s="38"/>
      <c r="AU1036" s="33"/>
      <c r="AV1036" s="39"/>
    </row>
    <row r="1037" spans="4:48">
      <c r="D1037" s="33"/>
      <c r="E1037" s="33"/>
      <c r="F1037" s="33"/>
      <c r="G1037" s="33"/>
      <c r="H1037" s="34"/>
      <c r="J1037" s="36"/>
      <c r="K1037" s="36"/>
      <c r="L1037" s="36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8"/>
      <c r="AS1037" s="38"/>
      <c r="AT1037" s="38"/>
      <c r="AU1037" s="33"/>
      <c r="AV1037" s="39"/>
    </row>
    <row r="1038" spans="4:48">
      <c r="D1038" s="33"/>
      <c r="E1038" s="33"/>
      <c r="F1038" s="33"/>
      <c r="G1038" s="33"/>
      <c r="H1038" s="34"/>
      <c r="J1038" s="36"/>
      <c r="K1038" s="36"/>
      <c r="L1038" s="36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8"/>
      <c r="AS1038" s="38"/>
      <c r="AT1038" s="38"/>
      <c r="AU1038" s="33"/>
      <c r="AV1038" s="39"/>
    </row>
    <row r="1039" spans="4:48">
      <c r="D1039" s="33"/>
      <c r="E1039" s="33"/>
      <c r="F1039" s="33"/>
      <c r="G1039" s="33"/>
      <c r="H1039" s="34"/>
      <c r="J1039" s="36"/>
      <c r="K1039" s="36"/>
      <c r="L1039" s="36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8"/>
      <c r="AS1039" s="38"/>
      <c r="AT1039" s="38"/>
      <c r="AU1039" s="33"/>
      <c r="AV1039" s="39"/>
    </row>
    <row r="1040" spans="4:48">
      <c r="D1040" s="33"/>
      <c r="E1040" s="33"/>
      <c r="F1040" s="33"/>
      <c r="G1040" s="33"/>
      <c r="H1040" s="34"/>
      <c r="J1040" s="36"/>
      <c r="K1040" s="36"/>
      <c r="L1040" s="36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8"/>
      <c r="AS1040" s="38"/>
      <c r="AT1040" s="38"/>
      <c r="AU1040" s="33"/>
      <c r="AV1040" s="39"/>
    </row>
    <row r="1041" spans="4:48">
      <c r="D1041" s="33"/>
      <c r="E1041" s="33"/>
      <c r="F1041" s="33"/>
      <c r="G1041" s="33"/>
      <c r="H1041" s="34"/>
      <c r="J1041" s="36"/>
      <c r="K1041" s="36"/>
      <c r="L1041" s="36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8"/>
      <c r="AS1041" s="38"/>
      <c r="AT1041" s="38"/>
      <c r="AU1041" s="33"/>
      <c r="AV1041" s="39"/>
    </row>
    <row r="1042" spans="4:48">
      <c r="D1042" s="33"/>
      <c r="E1042" s="33"/>
      <c r="F1042" s="33"/>
      <c r="G1042" s="33"/>
      <c r="H1042" s="34"/>
      <c r="J1042" s="36"/>
      <c r="K1042" s="36"/>
      <c r="L1042" s="36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8"/>
      <c r="AS1042" s="38"/>
      <c r="AT1042" s="38"/>
      <c r="AU1042" s="33"/>
      <c r="AV1042" s="39"/>
    </row>
    <row r="1043" spans="4:48">
      <c r="D1043" s="33"/>
      <c r="E1043" s="33"/>
      <c r="F1043" s="33"/>
      <c r="G1043" s="33"/>
      <c r="H1043" s="34"/>
      <c r="J1043" s="36"/>
      <c r="K1043" s="36"/>
      <c r="L1043" s="36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8"/>
      <c r="AS1043" s="38"/>
      <c r="AT1043" s="38"/>
      <c r="AU1043" s="33"/>
      <c r="AV1043" s="39"/>
    </row>
    <row r="1044" spans="4:48">
      <c r="D1044" s="33"/>
      <c r="E1044" s="33"/>
      <c r="F1044" s="33"/>
      <c r="G1044" s="33"/>
      <c r="H1044" s="34"/>
      <c r="J1044" s="36"/>
      <c r="K1044" s="36"/>
      <c r="L1044" s="36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8"/>
      <c r="AS1044" s="38"/>
      <c r="AT1044" s="38"/>
      <c r="AU1044" s="33"/>
      <c r="AV1044" s="39"/>
    </row>
    <row r="1045" spans="4:48">
      <c r="D1045" s="33"/>
      <c r="E1045" s="33"/>
      <c r="F1045" s="33"/>
      <c r="G1045" s="33"/>
      <c r="H1045" s="34"/>
      <c r="J1045" s="36"/>
      <c r="K1045" s="36"/>
      <c r="L1045" s="36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8"/>
      <c r="AS1045" s="38"/>
      <c r="AT1045" s="38"/>
      <c r="AU1045" s="33"/>
      <c r="AV1045" s="39"/>
    </row>
    <row r="1046" spans="4:48">
      <c r="D1046" s="33"/>
      <c r="E1046" s="33"/>
      <c r="F1046" s="33"/>
      <c r="G1046" s="33"/>
      <c r="H1046" s="34"/>
      <c r="J1046" s="36"/>
      <c r="K1046" s="36"/>
      <c r="L1046" s="36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8"/>
      <c r="AS1046" s="38"/>
      <c r="AT1046" s="38"/>
      <c r="AU1046" s="33"/>
      <c r="AV1046" s="39"/>
    </row>
    <row r="1047" spans="4:48">
      <c r="D1047" s="33"/>
      <c r="E1047" s="33"/>
      <c r="F1047" s="33"/>
      <c r="G1047" s="33"/>
      <c r="H1047" s="34"/>
      <c r="J1047" s="36"/>
      <c r="K1047" s="36"/>
      <c r="L1047" s="36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8"/>
      <c r="AS1047" s="38"/>
      <c r="AT1047" s="38"/>
      <c r="AU1047" s="33"/>
      <c r="AV1047" s="39"/>
    </row>
    <row r="1048" spans="4:48">
      <c r="D1048" s="33"/>
      <c r="E1048" s="33"/>
      <c r="F1048" s="33"/>
      <c r="G1048" s="33"/>
      <c r="H1048" s="34"/>
      <c r="J1048" s="36"/>
      <c r="K1048" s="36"/>
      <c r="L1048" s="36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8"/>
      <c r="AS1048" s="38"/>
      <c r="AT1048" s="38"/>
      <c r="AU1048" s="33"/>
      <c r="AV1048" s="39"/>
    </row>
    <row r="1049" spans="4:48">
      <c r="D1049" s="33"/>
      <c r="E1049" s="33"/>
      <c r="F1049" s="33"/>
      <c r="G1049" s="33"/>
      <c r="H1049" s="34"/>
      <c r="J1049" s="36"/>
      <c r="K1049" s="36"/>
      <c r="L1049" s="36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8"/>
      <c r="AS1049" s="38"/>
      <c r="AT1049" s="38"/>
      <c r="AU1049" s="33"/>
      <c r="AV1049" s="39"/>
    </row>
    <row r="1050" spans="4:48">
      <c r="D1050" s="33"/>
      <c r="E1050" s="33"/>
      <c r="F1050" s="33"/>
      <c r="G1050" s="33"/>
      <c r="H1050" s="34"/>
      <c r="J1050" s="36"/>
      <c r="K1050" s="36"/>
      <c r="L1050" s="36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8"/>
      <c r="AS1050" s="38"/>
      <c r="AT1050" s="38"/>
      <c r="AU1050" s="33"/>
      <c r="AV1050" s="39"/>
    </row>
    <row r="1051" spans="4:48">
      <c r="D1051" s="33"/>
      <c r="E1051" s="33"/>
      <c r="F1051" s="33"/>
      <c r="G1051" s="33"/>
      <c r="H1051" s="34"/>
      <c r="J1051" s="36"/>
      <c r="K1051" s="36"/>
      <c r="L1051" s="36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8"/>
      <c r="AS1051" s="38"/>
      <c r="AT1051" s="38"/>
      <c r="AU1051" s="33"/>
      <c r="AV1051" s="39"/>
    </row>
    <row r="1052" spans="4:48">
      <c r="D1052" s="33"/>
      <c r="E1052" s="33"/>
      <c r="F1052" s="33"/>
      <c r="G1052" s="33"/>
      <c r="H1052" s="34"/>
      <c r="J1052" s="36"/>
      <c r="K1052" s="36"/>
      <c r="L1052" s="36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8"/>
      <c r="AS1052" s="38"/>
      <c r="AT1052" s="38"/>
      <c r="AU1052" s="33"/>
      <c r="AV1052" s="39"/>
    </row>
    <row r="1053" spans="4:48">
      <c r="D1053" s="33"/>
      <c r="E1053" s="33"/>
      <c r="F1053" s="33"/>
      <c r="G1053" s="33"/>
      <c r="H1053" s="34"/>
      <c r="J1053" s="36"/>
      <c r="K1053" s="36"/>
      <c r="L1053" s="36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8"/>
      <c r="AS1053" s="38"/>
      <c r="AT1053" s="38"/>
      <c r="AU1053" s="33"/>
      <c r="AV1053" s="39"/>
    </row>
    <row r="1054" spans="4:48">
      <c r="D1054" s="33"/>
      <c r="E1054" s="33"/>
      <c r="F1054" s="33"/>
      <c r="G1054" s="33"/>
      <c r="H1054" s="34"/>
      <c r="J1054" s="36"/>
      <c r="K1054" s="36"/>
      <c r="L1054" s="36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8"/>
      <c r="AS1054" s="38"/>
      <c r="AT1054" s="38"/>
      <c r="AU1054" s="33"/>
      <c r="AV1054" s="39"/>
    </row>
    <row r="1055" spans="4:48">
      <c r="D1055" s="33"/>
      <c r="E1055" s="33"/>
      <c r="F1055" s="33"/>
      <c r="G1055" s="33"/>
      <c r="H1055" s="34"/>
      <c r="J1055" s="36"/>
      <c r="K1055" s="36"/>
      <c r="L1055" s="36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8"/>
      <c r="AS1055" s="38"/>
      <c r="AT1055" s="38"/>
      <c r="AU1055" s="33"/>
      <c r="AV1055" s="39"/>
    </row>
    <row r="1056" spans="4:48">
      <c r="D1056" s="33"/>
      <c r="E1056" s="33"/>
      <c r="F1056" s="33"/>
      <c r="G1056" s="33"/>
      <c r="H1056" s="34"/>
      <c r="J1056" s="36"/>
      <c r="K1056" s="36"/>
      <c r="L1056" s="36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8"/>
      <c r="AS1056" s="38"/>
      <c r="AT1056" s="38"/>
      <c r="AU1056" s="33"/>
      <c r="AV1056" s="39"/>
    </row>
    <row r="1057" spans="4:48">
      <c r="D1057" s="33"/>
      <c r="E1057" s="33"/>
      <c r="F1057" s="33"/>
      <c r="G1057" s="33"/>
      <c r="H1057" s="34"/>
      <c r="J1057" s="36"/>
      <c r="K1057" s="36"/>
      <c r="L1057" s="36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8"/>
      <c r="AS1057" s="38"/>
      <c r="AT1057" s="38"/>
      <c r="AU1057" s="33"/>
      <c r="AV1057" s="39"/>
    </row>
    <row r="1058" spans="4:48">
      <c r="D1058" s="33"/>
      <c r="E1058" s="33"/>
      <c r="F1058" s="33"/>
      <c r="G1058" s="33"/>
      <c r="H1058" s="34"/>
      <c r="J1058" s="36"/>
      <c r="K1058" s="36"/>
      <c r="L1058" s="36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8"/>
      <c r="AS1058" s="38"/>
      <c r="AT1058" s="38"/>
      <c r="AU1058" s="33"/>
      <c r="AV1058" s="39"/>
    </row>
    <row r="1059" spans="4:48">
      <c r="D1059" s="33"/>
      <c r="E1059" s="33"/>
      <c r="F1059" s="33"/>
      <c r="G1059" s="33"/>
      <c r="H1059" s="34"/>
      <c r="J1059" s="36"/>
      <c r="K1059" s="36"/>
      <c r="L1059" s="36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8"/>
      <c r="AS1059" s="38"/>
      <c r="AT1059" s="38"/>
      <c r="AU1059" s="33"/>
      <c r="AV1059" s="39"/>
    </row>
    <row r="1060" spans="4:48">
      <c r="D1060" s="33"/>
      <c r="E1060" s="33"/>
      <c r="F1060" s="33"/>
      <c r="G1060" s="33"/>
      <c r="H1060" s="34"/>
      <c r="J1060" s="36"/>
      <c r="K1060" s="36"/>
      <c r="L1060" s="36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8"/>
      <c r="AS1060" s="38"/>
      <c r="AT1060" s="38"/>
      <c r="AU1060" s="33"/>
      <c r="AV1060" s="39"/>
    </row>
    <row r="1061" spans="4:48">
      <c r="D1061" s="33"/>
      <c r="E1061" s="33"/>
      <c r="F1061" s="33"/>
      <c r="G1061" s="33"/>
      <c r="H1061" s="34"/>
      <c r="J1061" s="36"/>
      <c r="K1061" s="36"/>
      <c r="L1061" s="36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8"/>
      <c r="AS1061" s="38"/>
      <c r="AT1061" s="38"/>
      <c r="AU1061" s="33"/>
      <c r="AV1061" s="39"/>
    </row>
    <row r="1062" spans="4:48">
      <c r="D1062" s="33"/>
      <c r="E1062" s="33"/>
      <c r="F1062" s="33"/>
      <c r="G1062" s="33"/>
      <c r="H1062" s="34"/>
      <c r="J1062" s="36"/>
      <c r="K1062" s="36"/>
      <c r="L1062" s="36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8"/>
      <c r="AS1062" s="38"/>
      <c r="AT1062" s="38"/>
      <c r="AU1062" s="33"/>
      <c r="AV1062" s="39"/>
    </row>
    <row r="1063" spans="4:48">
      <c r="D1063" s="33"/>
      <c r="E1063" s="33"/>
      <c r="F1063" s="33"/>
      <c r="G1063" s="33"/>
      <c r="H1063" s="34"/>
      <c r="J1063" s="36"/>
      <c r="K1063" s="36"/>
      <c r="L1063" s="36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8"/>
      <c r="AS1063" s="38"/>
      <c r="AT1063" s="38"/>
      <c r="AU1063" s="33"/>
      <c r="AV1063" s="39"/>
    </row>
    <row r="1064" spans="4:48">
      <c r="D1064" s="33"/>
      <c r="E1064" s="33"/>
      <c r="F1064" s="33"/>
      <c r="G1064" s="33"/>
      <c r="H1064" s="34"/>
      <c r="J1064" s="36"/>
      <c r="K1064" s="36"/>
      <c r="L1064" s="36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8"/>
      <c r="AS1064" s="38"/>
      <c r="AT1064" s="38"/>
      <c r="AU1064" s="33"/>
      <c r="AV1064" s="39"/>
    </row>
    <row r="1065" spans="4:48">
      <c r="D1065" s="33"/>
      <c r="E1065" s="33"/>
      <c r="F1065" s="33"/>
      <c r="G1065" s="33"/>
      <c r="H1065" s="34"/>
      <c r="J1065" s="36"/>
      <c r="K1065" s="36"/>
      <c r="L1065" s="36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8"/>
      <c r="AS1065" s="38"/>
      <c r="AT1065" s="38"/>
      <c r="AU1065" s="33"/>
      <c r="AV1065" s="39"/>
    </row>
    <row r="1066" spans="4:48">
      <c r="D1066" s="33"/>
      <c r="E1066" s="33"/>
      <c r="F1066" s="33"/>
      <c r="G1066" s="33"/>
      <c r="H1066" s="34"/>
      <c r="J1066" s="36"/>
      <c r="K1066" s="36"/>
      <c r="L1066" s="36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8"/>
      <c r="AS1066" s="38"/>
      <c r="AT1066" s="38"/>
      <c r="AU1066" s="33"/>
      <c r="AV1066" s="39"/>
    </row>
    <row r="1067" spans="4:48">
      <c r="D1067" s="33"/>
      <c r="E1067" s="33"/>
      <c r="F1067" s="33"/>
      <c r="G1067" s="33"/>
      <c r="H1067" s="34"/>
      <c r="J1067" s="36"/>
      <c r="K1067" s="36"/>
      <c r="L1067" s="36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8"/>
      <c r="AS1067" s="38"/>
      <c r="AT1067" s="38"/>
      <c r="AU1067" s="33"/>
      <c r="AV1067" s="39"/>
    </row>
    <row r="1068" spans="4:48">
      <c r="D1068" s="33"/>
      <c r="E1068" s="33"/>
      <c r="F1068" s="33"/>
      <c r="G1068" s="33"/>
      <c r="H1068" s="34"/>
      <c r="J1068" s="36"/>
      <c r="K1068" s="36"/>
      <c r="L1068" s="36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8"/>
      <c r="AS1068" s="38"/>
      <c r="AT1068" s="38"/>
      <c r="AU1068" s="33"/>
      <c r="AV1068" s="39"/>
    </row>
    <row r="1069" spans="4:48">
      <c r="D1069" s="33"/>
      <c r="E1069" s="33"/>
      <c r="F1069" s="33"/>
      <c r="G1069" s="33"/>
      <c r="H1069" s="34"/>
      <c r="J1069" s="36"/>
      <c r="K1069" s="36"/>
      <c r="L1069" s="36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8"/>
      <c r="AS1069" s="38"/>
      <c r="AT1069" s="38"/>
      <c r="AU1069" s="33"/>
      <c r="AV1069" s="39"/>
    </row>
    <row r="1070" spans="4:48">
      <c r="D1070" s="33"/>
      <c r="E1070" s="33"/>
      <c r="F1070" s="33"/>
      <c r="G1070" s="33"/>
      <c r="H1070" s="34"/>
      <c r="J1070" s="36"/>
      <c r="K1070" s="36"/>
      <c r="L1070" s="36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8"/>
      <c r="AS1070" s="38"/>
      <c r="AT1070" s="38"/>
      <c r="AU1070" s="33"/>
      <c r="AV1070" s="39"/>
    </row>
    <row r="1071" spans="4:48">
      <c r="D1071" s="33"/>
      <c r="E1071" s="33"/>
      <c r="F1071" s="33"/>
      <c r="G1071" s="33"/>
      <c r="H1071" s="34"/>
      <c r="J1071" s="36"/>
      <c r="K1071" s="36"/>
      <c r="L1071" s="36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8"/>
      <c r="AS1071" s="38"/>
      <c r="AT1071" s="38"/>
      <c r="AU1071" s="33"/>
      <c r="AV1071" s="39"/>
    </row>
    <row r="1072" spans="4:48">
      <c r="D1072" s="33"/>
      <c r="E1072" s="33"/>
      <c r="F1072" s="33"/>
      <c r="G1072" s="33"/>
      <c r="H1072" s="34"/>
      <c r="J1072" s="36"/>
      <c r="K1072" s="36"/>
      <c r="L1072" s="36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8"/>
      <c r="AS1072" s="38"/>
      <c r="AT1072" s="38"/>
      <c r="AU1072" s="33"/>
      <c r="AV1072" s="39"/>
    </row>
    <row r="1073" spans="4:48">
      <c r="D1073" s="33"/>
      <c r="E1073" s="33"/>
      <c r="F1073" s="33"/>
      <c r="G1073" s="33"/>
      <c r="H1073" s="34"/>
      <c r="J1073" s="36"/>
      <c r="K1073" s="36"/>
      <c r="L1073" s="36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8"/>
      <c r="AS1073" s="38"/>
      <c r="AT1073" s="38"/>
      <c r="AU1073" s="33"/>
      <c r="AV1073" s="39"/>
    </row>
    <row r="1074" spans="4:48">
      <c r="D1074" s="33"/>
      <c r="E1074" s="33"/>
      <c r="F1074" s="33"/>
      <c r="G1074" s="33"/>
      <c r="H1074" s="34"/>
      <c r="J1074" s="36"/>
      <c r="K1074" s="36"/>
      <c r="L1074" s="36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8"/>
      <c r="AS1074" s="38"/>
      <c r="AT1074" s="38"/>
      <c r="AU1074" s="33"/>
      <c r="AV1074" s="39"/>
    </row>
    <row r="1075" spans="4:48">
      <c r="D1075" s="33"/>
      <c r="E1075" s="33"/>
      <c r="F1075" s="33"/>
      <c r="G1075" s="33"/>
      <c r="H1075" s="34"/>
      <c r="J1075" s="36"/>
      <c r="K1075" s="36"/>
      <c r="L1075" s="36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8"/>
      <c r="AS1075" s="38"/>
      <c r="AT1075" s="38"/>
      <c r="AU1075" s="33"/>
      <c r="AV1075" s="39"/>
    </row>
    <row r="1076" spans="4:48">
      <c r="D1076" s="33"/>
      <c r="E1076" s="33"/>
      <c r="F1076" s="33"/>
      <c r="G1076" s="33"/>
      <c r="H1076" s="34"/>
      <c r="J1076" s="36"/>
      <c r="K1076" s="36"/>
      <c r="L1076" s="36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8"/>
      <c r="AS1076" s="38"/>
      <c r="AT1076" s="38"/>
      <c r="AU1076" s="33"/>
      <c r="AV1076" s="39"/>
    </row>
    <row r="1077" spans="4:48">
      <c r="D1077" s="33"/>
      <c r="E1077" s="33"/>
      <c r="F1077" s="33"/>
      <c r="G1077" s="33"/>
      <c r="H1077" s="34"/>
      <c r="J1077" s="36"/>
      <c r="K1077" s="36"/>
      <c r="L1077" s="36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8"/>
      <c r="AS1077" s="38"/>
      <c r="AT1077" s="38"/>
      <c r="AU1077" s="33"/>
      <c r="AV1077" s="39"/>
    </row>
    <row r="1078" spans="4:48">
      <c r="D1078" s="33"/>
      <c r="E1078" s="33"/>
      <c r="F1078" s="33"/>
      <c r="G1078" s="33"/>
      <c r="H1078" s="34"/>
      <c r="J1078" s="36"/>
      <c r="K1078" s="36"/>
      <c r="L1078" s="36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8"/>
      <c r="AS1078" s="38"/>
      <c r="AT1078" s="38"/>
      <c r="AU1078" s="33"/>
      <c r="AV1078" s="39"/>
    </row>
    <row r="1079" spans="4:48">
      <c r="D1079" s="33"/>
      <c r="E1079" s="33"/>
      <c r="F1079" s="33"/>
      <c r="G1079" s="33"/>
      <c r="H1079" s="34"/>
      <c r="J1079" s="36"/>
      <c r="K1079" s="36"/>
      <c r="L1079" s="36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8"/>
      <c r="AS1079" s="38"/>
      <c r="AT1079" s="38"/>
      <c r="AU1079" s="33"/>
      <c r="AV1079" s="39"/>
    </row>
    <row r="1080" spans="4:48">
      <c r="D1080" s="33"/>
      <c r="E1080" s="33"/>
      <c r="F1080" s="33"/>
      <c r="G1080" s="33"/>
      <c r="H1080" s="34"/>
      <c r="J1080" s="36"/>
      <c r="K1080" s="36"/>
      <c r="L1080" s="36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8"/>
      <c r="AS1080" s="38"/>
      <c r="AT1080" s="38"/>
      <c r="AU1080" s="33"/>
      <c r="AV1080" s="39"/>
    </row>
    <row r="1081" spans="4:48">
      <c r="D1081" s="33"/>
      <c r="E1081" s="33"/>
      <c r="F1081" s="33"/>
      <c r="G1081" s="33"/>
      <c r="H1081" s="34"/>
      <c r="J1081" s="36"/>
      <c r="K1081" s="36"/>
      <c r="L1081" s="36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8"/>
      <c r="AS1081" s="38"/>
      <c r="AT1081" s="38"/>
      <c r="AU1081" s="33"/>
      <c r="AV1081" s="39"/>
    </row>
    <row r="1082" spans="4:48">
      <c r="D1082" s="33"/>
      <c r="E1082" s="33"/>
      <c r="F1082" s="33"/>
      <c r="G1082" s="33"/>
      <c r="H1082" s="34"/>
      <c r="J1082" s="36"/>
      <c r="K1082" s="36"/>
      <c r="L1082" s="36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8"/>
      <c r="AS1082" s="38"/>
      <c r="AT1082" s="38"/>
      <c r="AU1082" s="33"/>
      <c r="AV1082" s="39"/>
    </row>
    <row r="1083" spans="4:48">
      <c r="D1083" s="33"/>
      <c r="E1083" s="33"/>
      <c r="F1083" s="33"/>
      <c r="G1083" s="33"/>
      <c r="H1083" s="34"/>
      <c r="J1083" s="36"/>
      <c r="K1083" s="36"/>
      <c r="L1083" s="36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8"/>
      <c r="AS1083" s="38"/>
      <c r="AT1083" s="38"/>
      <c r="AU1083" s="33"/>
      <c r="AV1083" s="39"/>
    </row>
    <row r="1084" spans="4:48">
      <c r="D1084" s="33"/>
      <c r="E1084" s="33"/>
      <c r="F1084" s="33"/>
      <c r="G1084" s="33"/>
      <c r="H1084" s="34"/>
      <c r="J1084" s="36"/>
      <c r="K1084" s="36"/>
      <c r="L1084" s="36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8"/>
      <c r="AS1084" s="38"/>
      <c r="AT1084" s="38"/>
      <c r="AU1084" s="33"/>
      <c r="AV1084" s="39"/>
    </row>
    <row r="1085" spans="4:48">
      <c r="D1085" s="33"/>
      <c r="E1085" s="33"/>
      <c r="F1085" s="33"/>
      <c r="G1085" s="33"/>
      <c r="H1085" s="34"/>
      <c r="J1085" s="36"/>
      <c r="K1085" s="36"/>
      <c r="L1085" s="36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8"/>
      <c r="AS1085" s="38"/>
      <c r="AT1085" s="38"/>
      <c r="AU1085" s="33"/>
      <c r="AV1085" s="39"/>
    </row>
    <row r="1086" spans="4:48">
      <c r="D1086" s="33"/>
      <c r="E1086" s="33"/>
      <c r="F1086" s="33"/>
      <c r="G1086" s="33"/>
      <c r="H1086" s="34"/>
      <c r="J1086" s="36"/>
      <c r="K1086" s="36"/>
      <c r="L1086" s="36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8"/>
      <c r="AS1086" s="38"/>
      <c r="AT1086" s="38"/>
      <c r="AU1086" s="33"/>
      <c r="AV1086" s="39"/>
    </row>
    <row r="1087" spans="4:48">
      <c r="D1087" s="33"/>
      <c r="E1087" s="33"/>
      <c r="F1087" s="33"/>
      <c r="G1087" s="33"/>
      <c r="H1087" s="34"/>
      <c r="J1087" s="36"/>
      <c r="K1087" s="36"/>
      <c r="L1087" s="36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8"/>
      <c r="AS1087" s="38"/>
      <c r="AT1087" s="38"/>
      <c r="AU1087" s="33"/>
      <c r="AV1087" s="39"/>
    </row>
    <row r="1088" spans="4:48">
      <c r="D1088" s="33"/>
      <c r="E1088" s="33"/>
      <c r="F1088" s="33"/>
      <c r="G1088" s="33"/>
      <c r="H1088" s="34"/>
      <c r="J1088" s="36"/>
      <c r="K1088" s="36"/>
      <c r="L1088" s="36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8"/>
      <c r="AS1088" s="38"/>
      <c r="AT1088" s="38"/>
      <c r="AU1088" s="33"/>
      <c r="AV1088" s="39"/>
    </row>
    <row r="1089" spans="4:48">
      <c r="D1089" s="33"/>
      <c r="E1089" s="33"/>
      <c r="F1089" s="33"/>
      <c r="G1089" s="33"/>
      <c r="H1089" s="34"/>
      <c r="J1089" s="36"/>
      <c r="K1089" s="36"/>
      <c r="L1089" s="36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8"/>
      <c r="AS1089" s="38"/>
      <c r="AT1089" s="38"/>
      <c r="AU1089" s="33"/>
      <c r="AV1089" s="39"/>
    </row>
    <row r="1090" spans="4:48">
      <c r="D1090" s="33"/>
      <c r="E1090" s="33"/>
      <c r="F1090" s="33"/>
      <c r="G1090" s="33"/>
      <c r="H1090" s="34"/>
      <c r="J1090" s="36"/>
      <c r="K1090" s="36"/>
      <c r="L1090" s="36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8"/>
      <c r="AS1090" s="38"/>
      <c r="AT1090" s="38"/>
      <c r="AU1090" s="33"/>
      <c r="AV1090" s="39"/>
    </row>
    <row r="1091" spans="4:48">
      <c r="D1091" s="33"/>
      <c r="E1091" s="33"/>
      <c r="F1091" s="33"/>
      <c r="G1091" s="33"/>
      <c r="H1091" s="34"/>
      <c r="J1091" s="36"/>
      <c r="K1091" s="36"/>
      <c r="L1091" s="36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8"/>
      <c r="AS1091" s="38"/>
      <c r="AT1091" s="38"/>
      <c r="AU1091" s="33"/>
      <c r="AV1091" s="39"/>
    </row>
    <row r="1092" spans="4:48">
      <c r="D1092" s="33"/>
      <c r="E1092" s="33"/>
      <c r="F1092" s="33"/>
      <c r="G1092" s="33"/>
      <c r="H1092" s="34"/>
      <c r="J1092" s="36"/>
      <c r="K1092" s="36"/>
      <c r="L1092" s="36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8"/>
      <c r="AS1092" s="38"/>
      <c r="AT1092" s="38"/>
      <c r="AU1092" s="33"/>
      <c r="AV1092" s="39"/>
    </row>
    <row r="1093" spans="4:48">
      <c r="D1093" s="33"/>
      <c r="E1093" s="33"/>
      <c r="F1093" s="33"/>
      <c r="G1093" s="33"/>
      <c r="H1093" s="34"/>
      <c r="J1093" s="36"/>
      <c r="K1093" s="36"/>
      <c r="L1093" s="36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8"/>
      <c r="AS1093" s="38"/>
      <c r="AT1093" s="38"/>
      <c r="AU1093" s="33"/>
      <c r="AV1093" s="39"/>
    </row>
    <row r="1094" spans="4:48">
      <c r="D1094" s="33"/>
      <c r="E1094" s="33"/>
      <c r="F1094" s="33"/>
      <c r="G1094" s="33"/>
      <c r="H1094" s="34"/>
      <c r="J1094" s="36"/>
      <c r="K1094" s="36"/>
      <c r="L1094" s="36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8"/>
      <c r="AS1094" s="38"/>
      <c r="AT1094" s="38"/>
      <c r="AU1094" s="33"/>
      <c r="AV1094" s="39"/>
    </row>
    <row r="1095" spans="4:48">
      <c r="D1095" s="33"/>
      <c r="E1095" s="33"/>
      <c r="F1095" s="33"/>
      <c r="G1095" s="33"/>
      <c r="H1095" s="34"/>
      <c r="J1095" s="36"/>
      <c r="K1095" s="36"/>
      <c r="L1095" s="36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8"/>
      <c r="AS1095" s="38"/>
      <c r="AT1095" s="38"/>
      <c r="AU1095" s="33"/>
      <c r="AV1095" s="39"/>
    </row>
    <row r="1096" spans="4:48">
      <c r="D1096" s="33"/>
      <c r="E1096" s="33"/>
      <c r="F1096" s="33"/>
      <c r="G1096" s="33"/>
      <c r="H1096" s="34"/>
      <c r="J1096" s="36"/>
      <c r="K1096" s="36"/>
      <c r="L1096" s="36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8"/>
      <c r="AS1096" s="38"/>
      <c r="AT1096" s="38"/>
      <c r="AU1096" s="33"/>
      <c r="AV1096" s="39"/>
    </row>
    <row r="1097" spans="4:48">
      <c r="D1097" s="33"/>
      <c r="E1097" s="33"/>
      <c r="F1097" s="33"/>
      <c r="G1097" s="33"/>
      <c r="H1097" s="34"/>
      <c r="J1097" s="36"/>
      <c r="K1097" s="36"/>
      <c r="L1097" s="36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8"/>
      <c r="AS1097" s="38"/>
      <c r="AT1097" s="38"/>
      <c r="AU1097" s="33"/>
      <c r="AV1097" s="39"/>
    </row>
    <row r="1098" spans="4:48">
      <c r="D1098" s="33"/>
      <c r="E1098" s="33"/>
      <c r="F1098" s="33"/>
      <c r="G1098" s="33"/>
      <c r="H1098" s="34"/>
      <c r="J1098" s="36"/>
      <c r="K1098" s="36"/>
      <c r="L1098" s="36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8"/>
      <c r="AS1098" s="38"/>
      <c r="AT1098" s="38"/>
      <c r="AU1098" s="33"/>
      <c r="AV1098" s="39"/>
    </row>
    <row r="1099" spans="4:48">
      <c r="D1099" s="33"/>
      <c r="E1099" s="33"/>
      <c r="F1099" s="33"/>
      <c r="G1099" s="33"/>
      <c r="H1099" s="34"/>
      <c r="J1099" s="36"/>
      <c r="K1099" s="36"/>
      <c r="L1099" s="36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8"/>
      <c r="AS1099" s="38"/>
      <c r="AT1099" s="38"/>
      <c r="AU1099" s="33"/>
      <c r="AV1099" s="39"/>
    </row>
    <row r="1100" spans="4:48">
      <c r="D1100" s="33"/>
      <c r="E1100" s="33"/>
      <c r="F1100" s="33"/>
      <c r="G1100" s="33"/>
      <c r="H1100" s="34"/>
      <c r="J1100" s="36"/>
      <c r="K1100" s="36"/>
      <c r="L1100" s="36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8"/>
      <c r="AS1100" s="38"/>
      <c r="AT1100" s="38"/>
      <c r="AU1100" s="33"/>
      <c r="AV1100" s="39"/>
    </row>
    <row r="1101" spans="4:48">
      <c r="D1101" s="33"/>
      <c r="E1101" s="33"/>
      <c r="F1101" s="33"/>
      <c r="G1101" s="33"/>
      <c r="H1101" s="34"/>
      <c r="J1101" s="36"/>
      <c r="K1101" s="36"/>
      <c r="L1101" s="36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8"/>
      <c r="AS1101" s="38"/>
      <c r="AT1101" s="38"/>
      <c r="AU1101" s="33"/>
      <c r="AV1101" s="39"/>
    </row>
    <row r="1102" spans="4:48">
      <c r="D1102" s="33"/>
      <c r="E1102" s="33"/>
      <c r="F1102" s="33"/>
      <c r="G1102" s="33"/>
      <c r="H1102" s="34"/>
      <c r="J1102" s="36"/>
      <c r="K1102" s="36"/>
      <c r="L1102" s="36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8"/>
      <c r="AS1102" s="38"/>
      <c r="AT1102" s="38"/>
      <c r="AU1102" s="33"/>
      <c r="AV1102" s="39"/>
    </row>
    <row r="1103" spans="4:48">
      <c r="D1103" s="33"/>
      <c r="E1103" s="33"/>
      <c r="F1103" s="33"/>
      <c r="G1103" s="33"/>
      <c r="H1103" s="34"/>
      <c r="J1103" s="36"/>
      <c r="K1103" s="36"/>
      <c r="L1103" s="36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8"/>
      <c r="AS1103" s="38"/>
      <c r="AT1103" s="38"/>
      <c r="AU1103" s="33"/>
      <c r="AV1103" s="39"/>
    </row>
    <row r="1104" spans="4:48">
      <c r="D1104" s="33"/>
      <c r="E1104" s="33"/>
      <c r="F1104" s="33"/>
      <c r="G1104" s="33"/>
      <c r="H1104" s="34"/>
      <c r="J1104" s="36"/>
      <c r="K1104" s="36"/>
      <c r="L1104" s="36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8"/>
      <c r="AS1104" s="38"/>
      <c r="AT1104" s="38"/>
      <c r="AU1104" s="33"/>
      <c r="AV1104" s="39"/>
    </row>
    <row r="1105" spans="4:48">
      <c r="D1105" s="33"/>
      <c r="E1105" s="33"/>
      <c r="F1105" s="33"/>
      <c r="G1105" s="33"/>
      <c r="H1105" s="34"/>
      <c r="J1105" s="36"/>
      <c r="K1105" s="36"/>
      <c r="L1105" s="36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8"/>
      <c r="AS1105" s="38"/>
      <c r="AT1105" s="38"/>
      <c r="AU1105" s="33"/>
      <c r="AV1105" s="39"/>
    </row>
    <row r="1106" spans="4:48">
      <c r="D1106" s="33"/>
      <c r="E1106" s="33"/>
      <c r="F1106" s="33"/>
      <c r="G1106" s="33"/>
      <c r="H1106" s="34"/>
      <c r="J1106" s="36"/>
      <c r="K1106" s="36"/>
      <c r="L1106" s="36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8"/>
      <c r="AS1106" s="38"/>
      <c r="AT1106" s="38"/>
      <c r="AU1106" s="33"/>
      <c r="AV1106" s="39"/>
    </row>
    <row r="1107" spans="4:48">
      <c r="D1107" s="33"/>
      <c r="E1107" s="33"/>
      <c r="F1107" s="33"/>
      <c r="G1107" s="33"/>
      <c r="H1107" s="34"/>
      <c r="J1107" s="36"/>
      <c r="K1107" s="36"/>
      <c r="L1107" s="36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8"/>
      <c r="AS1107" s="38"/>
      <c r="AT1107" s="38"/>
      <c r="AU1107" s="33"/>
      <c r="AV1107" s="39"/>
    </row>
    <row r="1108" spans="4:48">
      <c r="D1108" s="33"/>
      <c r="E1108" s="33"/>
      <c r="F1108" s="33"/>
      <c r="G1108" s="33"/>
      <c r="H1108" s="34"/>
      <c r="J1108" s="36"/>
      <c r="K1108" s="36"/>
      <c r="L1108" s="36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8"/>
      <c r="AS1108" s="38"/>
      <c r="AT1108" s="38"/>
      <c r="AU1108" s="33"/>
      <c r="AV1108" s="39"/>
    </row>
    <row r="1109" spans="4:48">
      <c r="D1109" s="33"/>
      <c r="E1109" s="33"/>
      <c r="F1109" s="33"/>
      <c r="G1109" s="33"/>
      <c r="H1109" s="34"/>
      <c r="J1109" s="36"/>
      <c r="K1109" s="36"/>
      <c r="L1109" s="36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8"/>
      <c r="AS1109" s="38"/>
      <c r="AT1109" s="38"/>
      <c r="AU1109" s="33"/>
      <c r="AV1109" s="39"/>
    </row>
    <row r="1110" spans="4:48">
      <c r="D1110" s="33"/>
      <c r="E1110" s="33"/>
      <c r="F1110" s="33"/>
      <c r="G1110" s="33"/>
      <c r="H1110" s="34"/>
      <c r="J1110" s="36"/>
      <c r="K1110" s="36"/>
      <c r="L1110" s="36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8"/>
      <c r="AS1110" s="38"/>
      <c r="AT1110" s="38"/>
      <c r="AU1110" s="33"/>
      <c r="AV1110" s="39"/>
    </row>
    <row r="1111" spans="4:48">
      <c r="D1111" s="33"/>
      <c r="E1111" s="33"/>
      <c r="F1111" s="33"/>
      <c r="G1111" s="33"/>
      <c r="H1111" s="34"/>
      <c r="J1111" s="36"/>
      <c r="K1111" s="36"/>
      <c r="L1111" s="36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8"/>
      <c r="AS1111" s="38"/>
      <c r="AT1111" s="38"/>
      <c r="AU1111" s="33"/>
      <c r="AV1111" s="39"/>
    </row>
    <row r="1112" spans="4:48">
      <c r="D1112" s="33"/>
      <c r="E1112" s="33"/>
      <c r="F1112" s="33"/>
      <c r="G1112" s="33"/>
      <c r="H1112" s="34"/>
      <c r="J1112" s="36"/>
      <c r="K1112" s="36"/>
      <c r="L1112" s="36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8"/>
      <c r="AS1112" s="38"/>
      <c r="AT1112" s="38"/>
      <c r="AU1112" s="33"/>
      <c r="AV1112" s="39"/>
    </row>
    <row r="1113" spans="4:48">
      <c r="D1113" s="33"/>
      <c r="E1113" s="33"/>
      <c r="F1113" s="33"/>
      <c r="G1113" s="33"/>
      <c r="H1113" s="34"/>
      <c r="J1113" s="36"/>
      <c r="K1113" s="36"/>
      <c r="L1113" s="36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8"/>
      <c r="AS1113" s="38"/>
      <c r="AT1113" s="38"/>
      <c r="AU1113" s="33"/>
      <c r="AV1113" s="39"/>
    </row>
    <row r="1114" spans="4:48">
      <c r="D1114" s="33"/>
      <c r="E1114" s="33"/>
      <c r="F1114" s="33"/>
      <c r="G1114" s="33"/>
      <c r="H1114" s="34"/>
      <c r="J1114" s="36"/>
      <c r="K1114" s="36"/>
      <c r="L1114" s="36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8"/>
      <c r="AS1114" s="38"/>
      <c r="AT1114" s="38"/>
      <c r="AU1114" s="33"/>
      <c r="AV1114" s="39"/>
    </row>
    <row r="1115" spans="4:48">
      <c r="D1115" s="33"/>
      <c r="E1115" s="33"/>
      <c r="F1115" s="33"/>
      <c r="G1115" s="33"/>
      <c r="H1115" s="34"/>
      <c r="J1115" s="36"/>
      <c r="K1115" s="36"/>
      <c r="L1115" s="36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8"/>
      <c r="AS1115" s="38"/>
      <c r="AT1115" s="38"/>
      <c r="AU1115" s="33"/>
      <c r="AV1115" s="39"/>
    </row>
    <row r="1116" spans="4:48">
      <c r="D1116" s="33"/>
      <c r="E1116" s="33"/>
      <c r="F1116" s="33"/>
      <c r="G1116" s="33"/>
      <c r="H1116" s="34"/>
      <c r="J1116" s="36"/>
      <c r="K1116" s="36"/>
      <c r="L1116" s="36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8"/>
      <c r="AS1116" s="38"/>
      <c r="AT1116" s="38"/>
      <c r="AU1116" s="33"/>
      <c r="AV1116" s="39"/>
    </row>
    <row r="1117" spans="4:48">
      <c r="D1117" s="33"/>
      <c r="E1117" s="33"/>
      <c r="F1117" s="33"/>
      <c r="G1117" s="33"/>
      <c r="H1117" s="34"/>
      <c r="J1117" s="36"/>
      <c r="K1117" s="36"/>
      <c r="L1117" s="36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8"/>
      <c r="AS1117" s="38"/>
      <c r="AT1117" s="38"/>
      <c r="AU1117" s="33"/>
      <c r="AV1117" s="39"/>
    </row>
    <row r="1118" spans="4:48">
      <c r="D1118" s="33"/>
      <c r="E1118" s="33"/>
      <c r="F1118" s="33"/>
      <c r="G1118" s="33"/>
      <c r="H1118" s="34"/>
      <c r="J1118" s="36"/>
      <c r="K1118" s="36"/>
      <c r="L1118" s="36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8"/>
      <c r="AS1118" s="38"/>
      <c r="AT1118" s="38"/>
      <c r="AU1118" s="33"/>
      <c r="AV1118" s="39"/>
    </row>
    <row r="1119" spans="4:48">
      <c r="D1119" s="33"/>
      <c r="E1119" s="33"/>
      <c r="F1119" s="33"/>
      <c r="G1119" s="33"/>
      <c r="H1119" s="34"/>
      <c r="J1119" s="36"/>
      <c r="K1119" s="36"/>
      <c r="L1119" s="36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8"/>
      <c r="AS1119" s="38"/>
      <c r="AT1119" s="38"/>
      <c r="AU1119" s="33"/>
      <c r="AV1119" s="39"/>
    </row>
    <row r="1120" spans="4:48">
      <c r="D1120" s="33"/>
      <c r="E1120" s="33"/>
      <c r="F1120" s="33"/>
      <c r="G1120" s="33"/>
      <c r="H1120" s="34"/>
      <c r="J1120" s="36"/>
      <c r="K1120" s="36"/>
      <c r="L1120" s="36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8"/>
      <c r="AS1120" s="38"/>
      <c r="AT1120" s="38"/>
      <c r="AU1120" s="33"/>
      <c r="AV1120" s="39"/>
    </row>
    <row r="1121" spans="4:48">
      <c r="D1121" s="33"/>
      <c r="E1121" s="33"/>
      <c r="F1121" s="33"/>
      <c r="G1121" s="33"/>
      <c r="H1121" s="34"/>
      <c r="J1121" s="36"/>
      <c r="K1121" s="36"/>
      <c r="L1121" s="36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8"/>
      <c r="AS1121" s="38"/>
      <c r="AT1121" s="38"/>
      <c r="AU1121" s="33"/>
      <c r="AV1121" s="39"/>
    </row>
    <row r="1122" spans="4:48">
      <c r="D1122" s="33"/>
      <c r="E1122" s="33"/>
      <c r="F1122" s="33"/>
      <c r="G1122" s="33"/>
      <c r="H1122" s="34"/>
      <c r="J1122" s="36"/>
      <c r="K1122" s="36"/>
      <c r="L1122" s="36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8"/>
      <c r="AS1122" s="38"/>
      <c r="AT1122" s="38"/>
      <c r="AU1122" s="33"/>
      <c r="AV1122" s="39"/>
    </row>
    <row r="1123" spans="4:48">
      <c r="D1123" s="33"/>
      <c r="E1123" s="33"/>
      <c r="F1123" s="33"/>
      <c r="G1123" s="33"/>
      <c r="H1123" s="34"/>
      <c r="J1123" s="36"/>
      <c r="K1123" s="36"/>
      <c r="L1123" s="36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8"/>
      <c r="AS1123" s="38"/>
      <c r="AT1123" s="38"/>
      <c r="AU1123" s="33"/>
      <c r="AV1123" s="39"/>
    </row>
    <row r="1124" spans="4:48">
      <c r="D1124" s="33"/>
      <c r="E1124" s="33"/>
      <c r="F1124" s="33"/>
      <c r="G1124" s="33"/>
      <c r="H1124" s="34"/>
      <c r="J1124" s="36"/>
      <c r="K1124" s="36"/>
      <c r="L1124" s="36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8"/>
      <c r="AS1124" s="38"/>
      <c r="AT1124" s="38"/>
      <c r="AU1124" s="33"/>
      <c r="AV1124" s="39"/>
    </row>
    <row r="1125" spans="4:48">
      <c r="D1125" s="33"/>
      <c r="E1125" s="33"/>
      <c r="F1125" s="33"/>
      <c r="G1125" s="33"/>
      <c r="H1125" s="34"/>
      <c r="J1125" s="36"/>
      <c r="K1125" s="36"/>
      <c r="L1125" s="36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8"/>
      <c r="AS1125" s="38"/>
      <c r="AT1125" s="38"/>
      <c r="AU1125" s="33"/>
      <c r="AV1125" s="39"/>
    </row>
    <row r="1126" spans="4:48">
      <c r="D1126" s="33"/>
      <c r="E1126" s="33"/>
      <c r="F1126" s="33"/>
      <c r="G1126" s="33"/>
      <c r="H1126" s="34"/>
      <c r="J1126" s="36"/>
      <c r="K1126" s="36"/>
      <c r="L1126" s="36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8"/>
      <c r="AS1126" s="38"/>
      <c r="AT1126" s="38"/>
      <c r="AU1126" s="33"/>
      <c r="AV1126" s="39"/>
    </row>
    <row r="1127" spans="4:48">
      <c r="D1127" s="33"/>
      <c r="E1127" s="33"/>
      <c r="F1127" s="33"/>
      <c r="G1127" s="33"/>
      <c r="H1127" s="34"/>
      <c r="J1127" s="36"/>
      <c r="K1127" s="36"/>
      <c r="L1127" s="36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8"/>
      <c r="AS1127" s="38"/>
      <c r="AT1127" s="38"/>
      <c r="AU1127" s="33"/>
      <c r="AV1127" s="39"/>
    </row>
    <row r="1128" spans="4:48">
      <c r="D1128" s="33"/>
      <c r="E1128" s="33"/>
      <c r="F1128" s="33"/>
      <c r="G1128" s="33"/>
      <c r="H1128" s="34"/>
      <c r="J1128" s="36"/>
      <c r="K1128" s="36"/>
      <c r="L1128" s="36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8"/>
      <c r="AS1128" s="38"/>
      <c r="AT1128" s="38"/>
      <c r="AU1128" s="33"/>
      <c r="AV1128" s="39"/>
    </row>
    <row r="1129" spans="4:48">
      <c r="D1129" s="33"/>
      <c r="E1129" s="33"/>
      <c r="F1129" s="33"/>
      <c r="G1129" s="33"/>
      <c r="H1129" s="34"/>
      <c r="J1129" s="36"/>
      <c r="K1129" s="36"/>
      <c r="L1129" s="36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8"/>
      <c r="AS1129" s="38"/>
      <c r="AT1129" s="38"/>
      <c r="AU1129" s="33"/>
      <c r="AV1129" s="39"/>
    </row>
    <row r="1130" spans="4:48">
      <c r="D1130" s="33"/>
      <c r="E1130" s="33"/>
      <c r="F1130" s="33"/>
      <c r="G1130" s="33"/>
      <c r="H1130" s="34"/>
      <c r="J1130" s="36"/>
      <c r="K1130" s="36"/>
      <c r="L1130" s="36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8"/>
      <c r="AS1130" s="38"/>
      <c r="AT1130" s="38"/>
      <c r="AU1130" s="33"/>
      <c r="AV1130" s="39"/>
    </row>
    <row r="1131" spans="4:48">
      <c r="D1131" s="33"/>
      <c r="E1131" s="33"/>
      <c r="F1131" s="33"/>
      <c r="G1131" s="33"/>
      <c r="H1131" s="34"/>
      <c r="J1131" s="36"/>
      <c r="K1131" s="36"/>
      <c r="L1131" s="36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8"/>
      <c r="AS1131" s="38"/>
      <c r="AT1131" s="38"/>
      <c r="AU1131" s="33"/>
      <c r="AV1131" s="39"/>
    </row>
    <row r="1132" spans="4:48">
      <c r="D1132" s="33"/>
      <c r="E1132" s="33"/>
      <c r="F1132" s="33"/>
      <c r="G1132" s="33"/>
      <c r="H1132" s="34"/>
      <c r="J1132" s="36"/>
      <c r="K1132" s="36"/>
      <c r="L1132" s="36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8"/>
      <c r="AS1132" s="38"/>
      <c r="AT1132" s="38"/>
      <c r="AU1132" s="33"/>
      <c r="AV1132" s="39"/>
    </row>
    <row r="1133" spans="4:48">
      <c r="D1133" s="33"/>
      <c r="E1133" s="33"/>
      <c r="F1133" s="33"/>
      <c r="G1133" s="33"/>
      <c r="H1133" s="34"/>
      <c r="J1133" s="36"/>
      <c r="K1133" s="36"/>
      <c r="L1133" s="36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8"/>
      <c r="AS1133" s="38"/>
      <c r="AT1133" s="38"/>
      <c r="AU1133" s="33"/>
      <c r="AV1133" s="39"/>
    </row>
    <row r="1134" spans="4:48">
      <c r="D1134" s="33"/>
      <c r="E1134" s="33"/>
      <c r="F1134" s="33"/>
      <c r="G1134" s="33"/>
      <c r="H1134" s="34"/>
      <c r="J1134" s="36"/>
      <c r="K1134" s="36"/>
      <c r="L1134" s="36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8"/>
      <c r="AS1134" s="38"/>
      <c r="AT1134" s="38"/>
      <c r="AU1134" s="33"/>
      <c r="AV1134" s="39"/>
    </row>
    <row r="1135" spans="4:48">
      <c r="D1135" s="33"/>
      <c r="E1135" s="33"/>
      <c r="F1135" s="33"/>
      <c r="G1135" s="33"/>
      <c r="H1135" s="34"/>
      <c r="J1135" s="36"/>
      <c r="K1135" s="36"/>
      <c r="L1135" s="36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8"/>
      <c r="AS1135" s="38"/>
      <c r="AT1135" s="38"/>
      <c r="AU1135" s="33"/>
      <c r="AV1135" s="39"/>
    </row>
    <row r="1136" spans="4:48">
      <c r="D1136" s="33"/>
      <c r="E1136" s="33"/>
      <c r="F1136" s="33"/>
      <c r="G1136" s="33"/>
      <c r="H1136" s="34"/>
      <c r="J1136" s="36"/>
      <c r="K1136" s="36"/>
      <c r="L1136" s="36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8"/>
      <c r="AS1136" s="38"/>
      <c r="AT1136" s="38"/>
      <c r="AU1136" s="33"/>
      <c r="AV1136" s="39"/>
    </row>
    <row r="1137" spans="4:48">
      <c r="D1137" s="33"/>
      <c r="E1137" s="33"/>
      <c r="F1137" s="33"/>
      <c r="G1137" s="33"/>
      <c r="H1137" s="34"/>
      <c r="J1137" s="36"/>
      <c r="K1137" s="36"/>
      <c r="L1137" s="36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8"/>
      <c r="AS1137" s="38"/>
      <c r="AT1137" s="38"/>
      <c r="AU1137" s="33"/>
      <c r="AV1137" s="39"/>
    </row>
    <row r="1138" spans="4:48">
      <c r="D1138" s="33"/>
      <c r="E1138" s="33"/>
      <c r="F1138" s="33"/>
      <c r="G1138" s="33"/>
      <c r="H1138" s="34"/>
      <c r="J1138" s="36"/>
      <c r="K1138" s="36"/>
      <c r="L1138" s="36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8"/>
      <c r="AS1138" s="38"/>
      <c r="AT1138" s="38"/>
      <c r="AU1138" s="33"/>
      <c r="AV1138" s="39"/>
    </row>
    <row r="1139" spans="4:48">
      <c r="D1139" s="33"/>
      <c r="E1139" s="33"/>
      <c r="F1139" s="33"/>
      <c r="G1139" s="33"/>
      <c r="H1139" s="34"/>
      <c r="J1139" s="36"/>
      <c r="K1139" s="36"/>
      <c r="L1139" s="36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8"/>
      <c r="AS1139" s="38"/>
      <c r="AT1139" s="38"/>
      <c r="AU1139" s="33"/>
      <c r="AV1139" s="39"/>
    </row>
    <row r="1140" spans="4:48">
      <c r="D1140" s="33"/>
      <c r="E1140" s="33"/>
      <c r="F1140" s="33"/>
      <c r="G1140" s="33"/>
      <c r="H1140" s="34"/>
      <c r="J1140" s="36"/>
      <c r="K1140" s="36"/>
      <c r="L1140" s="36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8"/>
      <c r="AS1140" s="38"/>
      <c r="AT1140" s="38"/>
      <c r="AU1140" s="33"/>
      <c r="AV1140" s="39"/>
    </row>
    <row r="1141" spans="4:48">
      <c r="D1141" s="33"/>
      <c r="E1141" s="33"/>
      <c r="F1141" s="33"/>
      <c r="G1141" s="33"/>
      <c r="H1141" s="34"/>
      <c r="J1141" s="36"/>
      <c r="K1141" s="36"/>
      <c r="L1141" s="36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8"/>
      <c r="AS1141" s="38"/>
      <c r="AT1141" s="38"/>
      <c r="AU1141" s="33"/>
      <c r="AV1141" s="39"/>
    </row>
    <row r="1142" spans="4:48">
      <c r="D1142" s="33"/>
      <c r="E1142" s="33"/>
      <c r="F1142" s="33"/>
      <c r="G1142" s="33"/>
      <c r="H1142" s="34"/>
      <c r="J1142" s="36"/>
      <c r="K1142" s="36"/>
      <c r="L1142" s="36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8"/>
      <c r="AS1142" s="38"/>
      <c r="AT1142" s="38"/>
      <c r="AU1142" s="33"/>
      <c r="AV1142" s="39"/>
    </row>
    <row r="1143" spans="4:48">
      <c r="D1143" s="33"/>
      <c r="E1143" s="33"/>
      <c r="F1143" s="33"/>
      <c r="G1143" s="33"/>
      <c r="H1143" s="34"/>
      <c r="J1143" s="36"/>
      <c r="K1143" s="36"/>
      <c r="L1143" s="36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8"/>
      <c r="AS1143" s="38"/>
      <c r="AT1143" s="38"/>
      <c r="AU1143" s="33"/>
      <c r="AV1143" s="39"/>
    </row>
    <row r="1144" spans="4:48">
      <c r="D1144" s="33"/>
      <c r="E1144" s="33"/>
      <c r="F1144" s="33"/>
      <c r="G1144" s="33"/>
      <c r="H1144" s="34"/>
      <c r="J1144" s="36"/>
      <c r="K1144" s="36"/>
      <c r="L1144" s="36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8"/>
      <c r="AS1144" s="38"/>
      <c r="AT1144" s="38"/>
      <c r="AU1144" s="33"/>
      <c r="AV1144" s="39"/>
    </row>
    <row r="1145" spans="4:48">
      <c r="D1145" s="33"/>
      <c r="E1145" s="33"/>
      <c r="F1145" s="33"/>
      <c r="G1145" s="33"/>
      <c r="H1145" s="34"/>
      <c r="J1145" s="36"/>
      <c r="K1145" s="36"/>
      <c r="L1145" s="36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8"/>
      <c r="AS1145" s="38"/>
      <c r="AT1145" s="38"/>
      <c r="AU1145" s="33"/>
      <c r="AV1145" s="39"/>
    </row>
    <row r="1146" spans="4:48">
      <c r="D1146" s="33"/>
      <c r="E1146" s="33"/>
      <c r="F1146" s="33"/>
      <c r="G1146" s="33"/>
      <c r="H1146" s="34"/>
      <c r="J1146" s="36"/>
      <c r="K1146" s="36"/>
      <c r="L1146" s="36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8"/>
      <c r="AS1146" s="38"/>
      <c r="AT1146" s="38"/>
      <c r="AU1146" s="33"/>
      <c r="AV1146" s="39"/>
    </row>
    <row r="1147" spans="4:48">
      <c r="D1147" s="33"/>
      <c r="E1147" s="33"/>
      <c r="F1147" s="33"/>
      <c r="G1147" s="33"/>
      <c r="H1147" s="34"/>
      <c r="J1147" s="36"/>
      <c r="K1147" s="36"/>
      <c r="L1147" s="36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8"/>
      <c r="AS1147" s="38"/>
      <c r="AT1147" s="38"/>
      <c r="AU1147" s="33"/>
      <c r="AV1147" s="39"/>
    </row>
    <row r="1148" spans="4:48">
      <c r="D1148" s="33"/>
      <c r="E1148" s="33"/>
      <c r="F1148" s="33"/>
      <c r="G1148" s="33"/>
      <c r="H1148" s="34"/>
      <c r="J1148" s="36"/>
      <c r="K1148" s="36"/>
      <c r="L1148" s="36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8"/>
      <c r="AS1148" s="38"/>
      <c r="AT1148" s="38"/>
      <c r="AU1148" s="33"/>
      <c r="AV1148" s="39"/>
    </row>
    <row r="1149" spans="4:48">
      <c r="D1149" s="33"/>
      <c r="E1149" s="33"/>
      <c r="F1149" s="33"/>
      <c r="G1149" s="33"/>
      <c r="H1149" s="34"/>
      <c r="J1149" s="36"/>
      <c r="K1149" s="36"/>
      <c r="L1149" s="36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8"/>
      <c r="AS1149" s="38"/>
      <c r="AT1149" s="38"/>
      <c r="AU1149" s="33"/>
      <c r="AV1149" s="39"/>
    </row>
    <row r="1150" spans="4:48">
      <c r="D1150" s="33"/>
      <c r="E1150" s="33"/>
      <c r="F1150" s="33"/>
      <c r="G1150" s="33"/>
      <c r="H1150" s="34"/>
      <c r="J1150" s="36"/>
      <c r="K1150" s="36"/>
      <c r="L1150" s="36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8"/>
      <c r="AS1150" s="38"/>
      <c r="AT1150" s="38"/>
      <c r="AU1150" s="33"/>
      <c r="AV1150" s="39"/>
    </row>
    <row r="1151" spans="4:48">
      <c r="D1151" s="33"/>
      <c r="E1151" s="33"/>
      <c r="F1151" s="33"/>
      <c r="G1151" s="33"/>
      <c r="H1151" s="34"/>
      <c r="J1151" s="36"/>
      <c r="K1151" s="36"/>
      <c r="L1151" s="36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8"/>
      <c r="AS1151" s="38"/>
      <c r="AT1151" s="38"/>
      <c r="AU1151" s="33"/>
      <c r="AV1151" s="39"/>
    </row>
    <row r="1152" spans="4:48">
      <c r="D1152" s="33"/>
      <c r="E1152" s="33"/>
      <c r="F1152" s="33"/>
      <c r="G1152" s="33"/>
      <c r="H1152" s="34"/>
      <c r="J1152" s="36"/>
      <c r="K1152" s="36"/>
      <c r="L1152" s="36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8"/>
      <c r="AS1152" s="38"/>
      <c r="AT1152" s="38"/>
      <c r="AU1152" s="33"/>
      <c r="AV1152" s="39"/>
    </row>
    <row r="1153" spans="4:48">
      <c r="D1153" s="33"/>
      <c r="E1153" s="33"/>
      <c r="F1153" s="33"/>
      <c r="G1153" s="33"/>
      <c r="H1153" s="34"/>
      <c r="J1153" s="36"/>
      <c r="K1153" s="36"/>
      <c r="L1153" s="36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8"/>
      <c r="AS1153" s="38"/>
      <c r="AT1153" s="38"/>
      <c r="AU1153" s="33"/>
      <c r="AV1153" s="39"/>
    </row>
    <row r="1154" spans="4:48">
      <c r="D1154" s="33"/>
      <c r="E1154" s="33"/>
      <c r="F1154" s="33"/>
      <c r="G1154" s="33"/>
      <c r="H1154" s="34"/>
      <c r="J1154" s="36"/>
      <c r="K1154" s="36"/>
      <c r="L1154" s="36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8"/>
      <c r="AS1154" s="38"/>
      <c r="AT1154" s="38"/>
      <c r="AU1154" s="33"/>
      <c r="AV1154" s="39"/>
    </row>
    <row r="1155" spans="4:48">
      <c r="D1155" s="33"/>
      <c r="E1155" s="33"/>
      <c r="F1155" s="33"/>
      <c r="G1155" s="33"/>
      <c r="H1155" s="34"/>
      <c r="J1155" s="36"/>
      <c r="K1155" s="36"/>
      <c r="L1155" s="36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8"/>
      <c r="AS1155" s="38"/>
      <c r="AT1155" s="38"/>
      <c r="AU1155" s="33"/>
      <c r="AV1155" s="39"/>
    </row>
    <row r="1156" spans="4:48">
      <c r="D1156" s="33"/>
      <c r="E1156" s="33"/>
      <c r="F1156" s="33"/>
      <c r="G1156" s="33"/>
      <c r="H1156" s="34"/>
      <c r="J1156" s="36"/>
      <c r="K1156" s="36"/>
      <c r="L1156" s="36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8"/>
      <c r="AS1156" s="38"/>
      <c r="AT1156" s="38"/>
      <c r="AU1156" s="33"/>
      <c r="AV1156" s="39"/>
    </row>
    <row r="1157" spans="4:48">
      <c r="D1157" s="33"/>
      <c r="E1157" s="33"/>
      <c r="F1157" s="33"/>
      <c r="G1157" s="33"/>
      <c r="H1157" s="34"/>
      <c r="J1157" s="36"/>
      <c r="K1157" s="36"/>
      <c r="L1157" s="36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8"/>
      <c r="AS1157" s="38"/>
      <c r="AT1157" s="38"/>
      <c r="AU1157" s="33"/>
      <c r="AV1157" s="39"/>
    </row>
    <row r="1158" spans="4:48">
      <c r="D1158" s="33"/>
      <c r="E1158" s="33"/>
      <c r="F1158" s="33"/>
      <c r="G1158" s="33"/>
      <c r="H1158" s="34"/>
      <c r="J1158" s="36"/>
      <c r="K1158" s="36"/>
      <c r="L1158" s="36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8"/>
      <c r="AS1158" s="38"/>
      <c r="AT1158" s="38"/>
      <c r="AU1158" s="33"/>
      <c r="AV1158" s="39"/>
    </row>
    <row r="1159" spans="4:48">
      <c r="D1159" s="33"/>
      <c r="E1159" s="33"/>
      <c r="F1159" s="33"/>
      <c r="G1159" s="33"/>
      <c r="H1159" s="34"/>
      <c r="J1159" s="36"/>
      <c r="K1159" s="36"/>
      <c r="L1159" s="36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8"/>
      <c r="AS1159" s="38"/>
      <c r="AT1159" s="38"/>
      <c r="AU1159" s="33"/>
      <c r="AV1159" s="39"/>
    </row>
    <row r="1160" spans="4:48">
      <c r="D1160" s="33"/>
      <c r="E1160" s="33"/>
      <c r="F1160" s="33"/>
      <c r="G1160" s="33"/>
      <c r="H1160" s="34"/>
      <c r="J1160" s="36"/>
      <c r="K1160" s="36"/>
      <c r="L1160" s="36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8"/>
      <c r="AS1160" s="38"/>
      <c r="AT1160" s="38"/>
      <c r="AU1160" s="33"/>
      <c r="AV1160" s="39"/>
    </row>
    <row r="1161" spans="4:48">
      <c r="D1161" s="33"/>
      <c r="E1161" s="33"/>
      <c r="F1161" s="33"/>
      <c r="G1161" s="33"/>
      <c r="H1161" s="34"/>
      <c r="J1161" s="36"/>
      <c r="K1161" s="36"/>
      <c r="L1161" s="36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8"/>
      <c r="AS1161" s="38"/>
      <c r="AT1161" s="38"/>
      <c r="AU1161" s="33"/>
      <c r="AV1161" s="39"/>
    </row>
    <row r="1162" spans="4:48">
      <c r="D1162" s="33"/>
      <c r="E1162" s="33"/>
      <c r="F1162" s="33"/>
      <c r="G1162" s="33"/>
      <c r="H1162" s="34"/>
      <c r="J1162" s="36"/>
      <c r="K1162" s="36"/>
      <c r="L1162" s="36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8"/>
      <c r="AS1162" s="38"/>
      <c r="AT1162" s="38"/>
      <c r="AU1162" s="33"/>
      <c r="AV1162" s="39"/>
    </row>
    <row r="1163" spans="4:48">
      <c r="D1163" s="33"/>
      <c r="E1163" s="33"/>
      <c r="F1163" s="33"/>
      <c r="G1163" s="33"/>
      <c r="H1163" s="34"/>
      <c r="J1163" s="36"/>
      <c r="K1163" s="36"/>
      <c r="L1163" s="36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8"/>
      <c r="AS1163" s="38"/>
      <c r="AT1163" s="38"/>
      <c r="AU1163" s="33"/>
      <c r="AV1163" s="39"/>
    </row>
    <row r="1164" spans="4:48">
      <c r="D1164" s="33"/>
      <c r="E1164" s="33"/>
      <c r="F1164" s="33"/>
      <c r="G1164" s="33"/>
      <c r="H1164" s="34"/>
      <c r="J1164" s="36"/>
      <c r="K1164" s="36"/>
      <c r="L1164" s="36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8"/>
      <c r="AS1164" s="38"/>
      <c r="AT1164" s="38"/>
      <c r="AU1164" s="33"/>
      <c r="AV1164" s="39"/>
    </row>
    <row r="1165" spans="4:48">
      <c r="D1165" s="33"/>
      <c r="E1165" s="33"/>
      <c r="F1165" s="33"/>
      <c r="G1165" s="33"/>
      <c r="H1165" s="34"/>
      <c r="J1165" s="36"/>
      <c r="K1165" s="36"/>
      <c r="L1165" s="36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8"/>
      <c r="AS1165" s="38"/>
      <c r="AT1165" s="38"/>
      <c r="AU1165" s="33"/>
      <c r="AV1165" s="39"/>
    </row>
    <row r="1166" spans="4:48">
      <c r="D1166" s="33"/>
      <c r="E1166" s="33"/>
      <c r="F1166" s="33"/>
      <c r="G1166" s="33"/>
      <c r="H1166" s="34"/>
      <c r="J1166" s="36"/>
      <c r="K1166" s="36"/>
      <c r="L1166" s="36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8"/>
      <c r="AS1166" s="38"/>
      <c r="AT1166" s="38"/>
      <c r="AU1166" s="33"/>
      <c r="AV1166" s="39"/>
    </row>
    <row r="1167" spans="4:48">
      <c r="D1167" s="33"/>
      <c r="E1167" s="33"/>
      <c r="F1167" s="33"/>
      <c r="G1167" s="33"/>
      <c r="H1167" s="34"/>
      <c r="J1167" s="36"/>
      <c r="K1167" s="36"/>
      <c r="L1167" s="36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8"/>
      <c r="AS1167" s="38"/>
      <c r="AT1167" s="38"/>
      <c r="AU1167" s="33"/>
      <c r="AV1167" s="39"/>
    </row>
    <row r="1168" spans="4:48">
      <c r="D1168" s="33"/>
      <c r="E1168" s="33"/>
      <c r="F1168" s="33"/>
      <c r="G1168" s="33"/>
      <c r="H1168" s="34"/>
      <c r="J1168" s="36"/>
      <c r="K1168" s="36"/>
      <c r="L1168" s="36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8"/>
      <c r="AS1168" s="38"/>
      <c r="AT1168" s="38"/>
      <c r="AU1168" s="33"/>
      <c r="AV1168" s="39"/>
    </row>
    <row r="1169" spans="4:48">
      <c r="D1169" s="33"/>
      <c r="E1169" s="33"/>
      <c r="F1169" s="33"/>
      <c r="G1169" s="33"/>
      <c r="H1169" s="34"/>
      <c r="J1169" s="36"/>
      <c r="K1169" s="36"/>
      <c r="L1169" s="36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8"/>
      <c r="AS1169" s="38"/>
      <c r="AT1169" s="38"/>
      <c r="AU1169" s="33"/>
      <c r="AV1169" s="39"/>
    </row>
    <row r="1170" spans="4:48">
      <c r="D1170" s="33"/>
      <c r="E1170" s="33"/>
      <c r="F1170" s="33"/>
      <c r="G1170" s="33"/>
      <c r="H1170" s="34"/>
      <c r="J1170" s="36"/>
      <c r="K1170" s="36"/>
      <c r="L1170" s="36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8"/>
      <c r="AS1170" s="38"/>
      <c r="AT1170" s="38"/>
      <c r="AU1170" s="33"/>
      <c r="AV1170" s="39"/>
    </row>
    <row r="1171" spans="4:48">
      <c r="D1171" s="33"/>
      <c r="E1171" s="33"/>
      <c r="F1171" s="33"/>
      <c r="G1171" s="33"/>
      <c r="H1171" s="34"/>
      <c r="J1171" s="36"/>
      <c r="K1171" s="36"/>
      <c r="L1171" s="36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8"/>
      <c r="AS1171" s="38"/>
      <c r="AT1171" s="38"/>
      <c r="AU1171" s="33"/>
      <c r="AV1171" s="39"/>
    </row>
    <row r="1172" spans="4:48">
      <c r="D1172" s="33"/>
      <c r="E1172" s="33"/>
      <c r="F1172" s="33"/>
      <c r="G1172" s="33"/>
      <c r="H1172" s="34"/>
      <c r="J1172" s="36"/>
      <c r="K1172" s="36"/>
      <c r="L1172" s="36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8"/>
      <c r="AS1172" s="38"/>
      <c r="AT1172" s="38"/>
      <c r="AU1172" s="33"/>
      <c r="AV1172" s="39"/>
    </row>
    <row r="1173" spans="4:48">
      <c r="D1173" s="33"/>
      <c r="E1173" s="33"/>
      <c r="F1173" s="33"/>
      <c r="G1173" s="33"/>
      <c r="H1173" s="34"/>
      <c r="J1173" s="36"/>
      <c r="K1173" s="36"/>
      <c r="L1173" s="36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8"/>
      <c r="AS1173" s="38"/>
      <c r="AT1173" s="38"/>
      <c r="AU1173" s="33"/>
      <c r="AV1173" s="39"/>
    </row>
    <row r="1174" spans="4:48">
      <c r="D1174" s="33"/>
      <c r="E1174" s="33"/>
      <c r="F1174" s="33"/>
      <c r="G1174" s="33"/>
      <c r="H1174" s="34"/>
      <c r="J1174" s="36"/>
      <c r="K1174" s="36"/>
      <c r="L1174" s="36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8"/>
      <c r="AS1174" s="38"/>
      <c r="AT1174" s="38"/>
      <c r="AU1174" s="33"/>
      <c r="AV1174" s="39"/>
    </row>
    <row r="1175" spans="4:48">
      <c r="D1175" s="33"/>
      <c r="E1175" s="33"/>
      <c r="F1175" s="33"/>
      <c r="G1175" s="33"/>
      <c r="H1175" s="34"/>
      <c r="J1175" s="36"/>
      <c r="K1175" s="36"/>
      <c r="L1175" s="36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8"/>
      <c r="AS1175" s="38"/>
      <c r="AT1175" s="38"/>
      <c r="AU1175" s="33"/>
      <c r="AV1175" s="39"/>
    </row>
    <row r="1176" spans="4:48">
      <c r="D1176" s="33"/>
      <c r="E1176" s="33"/>
      <c r="F1176" s="33"/>
      <c r="G1176" s="33"/>
      <c r="H1176" s="34"/>
      <c r="J1176" s="36"/>
      <c r="K1176" s="36"/>
      <c r="L1176" s="36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8"/>
      <c r="AS1176" s="38"/>
      <c r="AT1176" s="38"/>
      <c r="AU1176" s="33"/>
      <c r="AV1176" s="39"/>
    </row>
    <row r="1177" spans="4:48">
      <c r="D1177" s="33"/>
      <c r="E1177" s="33"/>
      <c r="F1177" s="33"/>
      <c r="G1177" s="33"/>
      <c r="H1177" s="34"/>
      <c r="J1177" s="36"/>
      <c r="K1177" s="36"/>
      <c r="L1177" s="36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8"/>
      <c r="AS1177" s="38"/>
      <c r="AT1177" s="38"/>
      <c r="AU1177" s="33"/>
      <c r="AV1177" s="39"/>
    </row>
    <row r="1178" spans="4:48">
      <c r="D1178" s="33"/>
      <c r="E1178" s="33"/>
      <c r="F1178" s="33"/>
      <c r="G1178" s="33"/>
      <c r="H1178" s="34"/>
      <c r="J1178" s="36"/>
      <c r="K1178" s="36"/>
      <c r="L1178" s="36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8"/>
      <c r="AS1178" s="38"/>
      <c r="AT1178" s="38"/>
      <c r="AU1178" s="33"/>
      <c r="AV1178" s="39"/>
    </row>
    <row r="1179" spans="4:48">
      <c r="D1179" s="33"/>
      <c r="E1179" s="33"/>
      <c r="F1179" s="33"/>
      <c r="G1179" s="33"/>
      <c r="H1179" s="34"/>
      <c r="J1179" s="36"/>
      <c r="K1179" s="36"/>
      <c r="L1179" s="36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8"/>
      <c r="AS1179" s="38"/>
      <c r="AT1179" s="38"/>
      <c r="AU1179" s="33"/>
      <c r="AV1179" s="39"/>
    </row>
    <row r="1180" spans="4:48">
      <c r="D1180" s="33"/>
      <c r="E1180" s="33"/>
      <c r="F1180" s="33"/>
      <c r="G1180" s="33"/>
      <c r="H1180" s="34"/>
      <c r="J1180" s="36"/>
      <c r="K1180" s="36"/>
      <c r="L1180" s="36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8"/>
      <c r="AS1180" s="38"/>
      <c r="AT1180" s="38"/>
      <c r="AU1180" s="33"/>
      <c r="AV1180" s="39"/>
    </row>
    <row r="1181" spans="4:48">
      <c r="D1181" s="33"/>
      <c r="E1181" s="33"/>
      <c r="F1181" s="33"/>
      <c r="G1181" s="33"/>
      <c r="H1181" s="34"/>
      <c r="J1181" s="36"/>
      <c r="K1181" s="36"/>
      <c r="L1181" s="36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8"/>
      <c r="AS1181" s="38"/>
      <c r="AT1181" s="38"/>
      <c r="AU1181" s="33"/>
      <c r="AV1181" s="39"/>
    </row>
    <row r="1182" spans="4:48">
      <c r="D1182" s="33"/>
      <c r="E1182" s="33"/>
      <c r="F1182" s="33"/>
      <c r="G1182" s="33"/>
      <c r="H1182" s="34"/>
      <c r="J1182" s="36"/>
      <c r="K1182" s="36"/>
      <c r="L1182" s="36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8"/>
      <c r="AS1182" s="38"/>
      <c r="AT1182" s="38"/>
      <c r="AU1182" s="33"/>
      <c r="AV1182" s="39"/>
    </row>
    <row r="1183" spans="4:48">
      <c r="D1183" s="33"/>
      <c r="E1183" s="33"/>
      <c r="F1183" s="33"/>
      <c r="G1183" s="33"/>
      <c r="H1183" s="34"/>
      <c r="J1183" s="36"/>
      <c r="K1183" s="36"/>
      <c r="L1183" s="36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8"/>
      <c r="AS1183" s="38"/>
      <c r="AT1183" s="38"/>
      <c r="AU1183" s="33"/>
      <c r="AV1183" s="39"/>
    </row>
    <row r="1184" spans="4:48">
      <c r="D1184" s="33"/>
      <c r="E1184" s="33"/>
      <c r="F1184" s="33"/>
      <c r="G1184" s="33"/>
      <c r="H1184" s="34"/>
      <c r="J1184" s="36"/>
      <c r="K1184" s="36"/>
      <c r="L1184" s="36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8"/>
      <c r="AS1184" s="38"/>
      <c r="AT1184" s="38"/>
      <c r="AU1184" s="33"/>
      <c r="AV1184" s="39"/>
    </row>
    <row r="1185" spans="4:48">
      <c r="D1185" s="33"/>
      <c r="E1185" s="33"/>
      <c r="F1185" s="33"/>
      <c r="G1185" s="33"/>
      <c r="H1185" s="34"/>
      <c r="J1185" s="36"/>
      <c r="K1185" s="36"/>
      <c r="L1185" s="36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8"/>
      <c r="AS1185" s="38"/>
      <c r="AT1185" s="38"/>
      <c r="AU1185" s="33"/>
      <c r="AV1185" s="39"/>
    </row>
    <row r="1186" spans="4:48">
      <c r="D1186" s="33"/>
      <c r="E1186" s="33"/>
      <c r="F1186" s="33"/>
      <c r="G1186" s="33"/>
      <c r="H1186" s="34"/>
      <c r="J1186" s="36"/>
      <c r="K1186" s="36"/>
      <c r="L1186" s="36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8"/>
      <c r="AS1186" s="38"/>
      <c r="AT1186" s="38"/>
      <c r="AU1186" s="33"/>
      <c r="AV1186" s="39"/>
    </row>
    <row r="1187" spans="4:48">
      <c r="D1187" s="33"/>
      <c r="E1187" s="33"/>
      <c r="F1187" s="33"/>
      <c r="G1187" s="33"/>
      <c r="H1187" s="34"/>
      <c r="J1187" s="36"/>
      <c r="K1187" s="36"/>
      <c r="L1187" s="36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8"/>
      <c r="AS1187" s="38"/>
      <c r="AT1187" s="38"/>
      <c r="AU1187" s="33"/>
      <c r="AV1187" s="39"/>
    </row>
    <row r="1188" spans="4:48">
      <c r="D1188" s="33"/>
      <c r="E1188" s="33"/>
      <c r="F1188" s="33"/>
      <c r="G1188" s="33"/>
      <c r="H1188" s="34"/>
      <c r="J1188" s="36"/>
      <c r="K1188" s="36"/>
      <c r="L1188" s="36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8"/>
      <c r="AS1188" s="38"/>
      <c r="AT1188" s="38"/>
      <c r="AU1188" s="33"/>
      <c r="AV1188" s="39"/>
    </row>
    <row r="1189" spans="4:48">
      <c r="D1189" s="33"/>
      <c r="E1189" s="33"/>
      <c r="F1189" s="33"/>
      <c r="G1189" s="33"/>
      <c r="H1189" s="34"/>
      <c r="J1189" s="36"/>
      <c r="K1189" s="36"/>
      <c r="L1189" s="36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8"/>
      <c r="AS1189" s="38"/>
      <c r="AT1189" s="38"/>
      <c r="AU1189" s="33"/>
      <c r="AV1189" s="39"/>
    </row>
    <row r="1190" spans="4:48">
      <c r="D1190" s="33"/>
      <c r="E1190" s="33"/>
      <c r="F1190" s="33"/>
      <c r="G1190" s="33"/>
      <c r="H1190" s="34"/>
      <c r="J1190" s="36"/>
      <c r="K1190" s="36"/>
      <c r="L1190" s="36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8"/>
      <c r="AS1190" s="38"/>
      <c r="AT1190" s="38"/>
      <c r="AU1190" s="33"/>
      <c r="AV1190" s="39"/>
    </row>
    <row r="1191" spans="4:48">
      <c r="D1191" s="33"/>
      <c r="E1191" s="33"/>
      <c r="F1191" s="33"/>
      <c r="G1191" s="33"/>
      <c r="H1191" s="34"/>
      <c r="J1191" s="36"/>
      <c r="K1191" s="36"/>
      <c r="L1191" s="36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8"/>
      <c r="AS1191" s="38"/>
      <c r="AT1191" s="38"/>
      <c r="AU1191" s="33"/>
      <c r="AV1191" s="39"/>
    </row>
    <row r="1192" spans="4:48">
      <c r="D1192" s="33"/>
      <c r="E1192" s="33"/>
      <c r="F1192" s="33"/>
      <c r="G1192" s="33"/>
      <c r="H1192" s="34"/>
      <c r="J1192" s="36"/>
      <c r="K1192" s="36"/>
      <c r="L1192" s="36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8"/>
      <c r="AS1192" s="38"/>
      <c r="AT1192" s="38"/>
      <c r="AU1192" s="33"/>
      <c r="AV1192" s="39"/>
    </row>
    <row r="1193" spans="4:48">
      <c r="D1193" s="33"/>
      <c r="E1193" s="33"/>
      <c r="F1193" s="33"/>
      <c r="G1193" s="33"/>
      <c r="H1193" s="34"/>
      <c r="J1193" s="36"/>
      <c r="K1193" s="36"/>
      <c r="L1193" s="36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8"/>
      <c r="AS1193" s="38"/>
      <c r="AT1193" s="38"/>
      <c r="AU1193" s="33"/>
      <c r="AV1193" s="39"/>
    </row>
    <row r="1194" spans="4:48">
      <c r="D1194" s="33"/>
      <c r="E1194" s="33"/>
      <c r="F1194" s="33"/>
      <c r="G1194" s="33"/>
      <c r="H1194" s="34"/>
      <c r="J1194" s="36"/>
      <c r="K1194" s="36"/>
      <c r="L1194" s="36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8"/>
      <c r="AS1194" s="38"/>
      <c r="AT1194" s="38"/>
      <c r="AU1194" s="33"/>
      <c r="AV1194" s="39"/>
    </row>
    <row r="1195" spans="4:48">
      <c r="D1195" s="33"/>
      <c r="E1195" s="33"/>
      <c r="F1195" s="33"/>
      <c r="G1195" s="33"/>
      <c r="H1195" s="34"/>
      <c r="J1195" s="36"/>
      <c r="K1195" s="36"/>
      <c r="L1195" s="36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8"/>
      <c r="AS1195" s="38"/>
      <c r="AT1195" s="38"/>
      <c r="AU1195" s="33"/>
      <c r="AV1195" s="39"/>
    </row>
    <row r="1196" spans="4:48">
      <c r="D1196" s="33"/>
      <c r="E1196" s="33"/>
      <c r="F1196" s="33"/>
      <c r="G1196" s="33"/>
      <c r="H1196" s="34"/>
      <c r="J1196" s="36"/>
      <c r="K1196" s="36"/>
      <c r="L1196" s="36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8"/>
      <c r="AS1196" s="38"/>
      <c r="AT1196" s="38"/>
      <c r="AU1196" s="33"/>
      <c r="AV1196" s="39"/>
    </row>
    <row r="1197" spans="4:48">
      <c r="D1197" s="33"/>
      <c r="E1197" s="33"/>
      <c r="F1197" s="33"/>
      <c r="G1197" s="33"/>
      <c r="H1197" s="34"/>
      <c r="J1197" s="36"/>
      <c r="K1197" s="36"/>
      <c r="L1197" s="36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8"/>
      <c r="AS1197" s="38"/>
      <c r="AT1197" s="38"/>
      <c r="AU1197" s="33"/>
      <c r="AV1197" s="39"/>
    </row>
    <row r="1198" spans="4:48">
      <c r="D1198" s="33"/>
      <c r="E1198" s="33"/>
      <c r="F1198" s="33"/>
      <c r="G1198" s="33"/>
      <c r="H1198" s="34"/>
      <c r="J1198" s="36"/>
      <c r="K1198" s="36"/>
      <c r="L1198" s="36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8"/>
      <c r="AS1198" s="38"/>
      <c r="AT1198" s="38"/>
      <c r="AU1198" s="33"/>
      <c r="AV1198" s="39"/>
    </row>
    <row r="1199" spans="4:48">
      <c r="D1199" s="33"/>
      <c r="E1199" s="33"/>
      <c r="F1199" s="33"/>
      <c r="G1199" s="33"/>
      <c r="H1199" s="34"/>
      <c r="J1199" s="36"/>
      <c r="K1199" s="36"/>
      <c r="L1199" s="36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8"/>
      <c r="AS1199" s="38"/>
      <c r="AT1199" s="38"/>
      <c r="AU1199" s="33"/>
      <c r="AV1199" s="39"/>
    </row>
    <row r="1200" spans="4:48">
      <c r="D1200" s="33"/>
      <c r="E1200" s="33"/>
      <c r="F1200" s="33"/>
      <c r="G1200" s="33"/>
      <c r="H1200" s="34"/>
      <c r="J1200" s="36"/>
      <c r="K1200" s="36"/>
      <c r="L1200" s="36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8"/>
      <c r="AS1200" s="38"/>
      <c r="AT1200" s="38"/>
      <c r="AU1200" s="33"/>
      <c r="AV1200" s="39"/>
    </row>
    <row r="1201" spans="4:48">
      <c r="D1201" s="33"/>
      <c r="E1201" s="33"/>
      <c r="F1201" s="33"/>
      <c r="G1201" s="33"/>
      <c r="H1201" s="34"/>
      <c r="J1201" s="36"/>
      <c r="K1201" s="36"/>
      <c r="L1201" s="36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8"/>
      <c r="AS1201" s="38"/>
      <c r="AT1201" s="38"/>
      <c r="AU1201" s="33"/>
      <c r="AV1201" s="39"/>
    </row>
    <row r="1202" spans="4:48">
      <c r="D1202" s="33"/>
      <c r="E1202" s="33"/>
      <c r="F1202" s="33"/>
      <c r="G1202" s="33"/>
      <c r="H1202" s="34"/>
      <c r="J1202" s="36"/>
      <c r="K1202" s="36"/>
      <c r="L1202" s="36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8"/>
      <c r="AS1202" s="38"/>
      <c r="AT1202" s="38"/>
      <c r="AU1202" s="33"/>
      <c r="AV1202" s="39"/>
    </row>
    <row r="1203" spans="4:48">
      <c r="D1203" s="33"/>
      <c r="E1203" s="33"/>
      <c r="F1203" s="33"/>
      <c r="G1203" s="33"/>
      <c r="H1203" s="34"/>
      <c r="J1203" s="36"/>
      <c r="K1203" s="36"/>
      <c r="L1203" s="36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8"/>
      <c r="AS1203" s="38"/>
      <c r="AT1203" s="38"/>
      <c r="AU1203" s="33"/>
      <c r="AV1203" s="39"/>
    </row>
    <row r="1204" spans="4:48">
      <c r="D1204" s="33"/>
      <c r="E1204" s="33"/>
      <c r="F1204" s="33"/>
      <c r="G1204" s="33"/>
      <c r="H1204" s="34"/>
      <c r="J1204" s="36"/>
      <c r="K1204" s="36"/>
      <c r="L1204" s="36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8"/>
      <c r="AS1204" s="38"/>
      <c r="AT1204" s="38"/>
      <c r="AU1204" s="33"/>
      <c r="AV1204" s="39"/>
    </row>
    <row r="1205" spans="4:48">
      <c r="D1205" s="33"/>
      <c r="E1205" s="33"/>
      <c r="F1205" s="33"/>
      <c r="G1205" s="33"/>
      <c r="H1205" s="34"/>
      <c r="J1205" s="36"/>
      <c r="K1205" s="36"/>
      <c r="L1205" s="36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8"/>
      <c r="AS1205" s="38"/>
      <c r="AT1205" s="38"/>
      <c r="AU1205" s="33"/>
      <c r="AV1205" s="39"/>
    </row>
    <row r="1206" spans="4:48">
      <c r="D1206" s="33"/>
      <c r="E1206" s="33"/>
      <c r="F1206" s="33"/>
      <c r="G1206" s="33"/>
      <c r="H1206" s="34"/>
      <c r="J1206" s="36"/>
      <c r="K1206" s="36"/>
      <c r="L1206" s="36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8"/>
      <c r="AS1206" s="38"/>
      <c r="AT1206" s="38"/>
      <c r="AU1206" s="33"/>
      <c r="AV1206" s="39"/>
    </row>
    <row r="1207" spans="4:48">
      <c r="D1207" s="33"/>
      <c r="E1207" s="33"/>
      <c r="F1207" s="33"/>
      <c r="G1207" s="33"/>
      <c r="H1207" s="34"/>
      <c r="J1207" s="36"/>
      <c r="K1207" s="36"/>
      <c r="L1207" s="36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8"/>
      <c r="AS1207" s="38"/>
      <c r="AT1207" s="38"/>
      <c r="AU1207" s="33"/>
      <c r="AV1207" s="39"/>
    </row>
    <row r="1208" spans="4:48">
      <c r="D1208" s="33"/>
      <c r="E1208" s="33"/>
      <c r="F1208" s="33"/>
      <c r="G1208" s="33"/>
      <c r="H1208" s="34"/>
      <c r="J1208" s="36"/>
      <c r="K1208" s="36"/>
      <c r="L1208" s="36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8"/>
      <c r="AS1208" s="38"/>
      <c r="AT1208" s="38"/>
      <c r="AU1208" s="33"/>
      <c r="AV1208" s="39"/>
    </row>
    <row r="1209" spans="4:48">
      <c r="D1209" s="33"/>
      <c r="E1209" s="33"/>
      <c r="F1209" s="33"/>
      <c r="G1209" s="33"/>
      <c r="H1209" s="34"/>
      <c r="J1209" s="36"/>
      <c r="K1209" s="36"/>
      <c r="L1209" s="36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8"/>
      <c r="AS1209" s="38"/>
      <c r="AT1209" s="38"/>
      <c r="AU1209" s="33"/>
      <c r="AV1209" s="39"/>
    </row>
    <row r="1210" spans="4:48">
      <c r="D1210" s="33"/>
      <c r="E1210" s="33"/>
      <c r="F1210" s="33"/>
      <c r="G1210" s="33"/>
      <c r="H1210" s="34"/>
      <c r="J1210" s="36"/>
      <c r="K1210" s="36"/>
      <c r="L1210" s="36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8"/>
      <c r="AS1210" s="38"/>
      <c r="AT1210" s="38"/>
      <c r="AU1210" s="33"/>
      <c r="AV1210" s="39"/>
    </row>
    <row r="1211" spans="4:48">
      <c r="D1211" s="33"/>
      <c r="E1211" s="33"/>
      <c r="F1211" s="33"/>
      <c r="G1211" s="33"/>
      <c r="H1211" s="34"/>
      <c r="J1211" s="36"/>
      <c r="K1211" s="36"/>
      <c r="L1211" s="36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8"/>
      <c r="AS1211" s="38"/>
      <c r="AT1211" s="38"/>
      <c r="AU1211" s="33"/>
      <c r="AV1211" s="39"/>
    </row>
    <row r="1212" spans="4:48">
      <c r="D1212" s="33"/>
      <c r="E1212" s="33"/>
      <c r="F1212" s="33"/>
      <c r="G1212" s="33"/>
      <c r="H1212" s="34"/>
      <c r="J1212" s="36"/>
      <c r="K1212" s="36"/>
      <c r="L1212" s="36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8"/>
      <c r="AS1212" s="38"/>
      <c r="AT1212" s="38"/>
      <c r="AU1212" s="33"/>
      <c r="AV1212" s="39"/>
    </row>
    <row r="1213" spans="4:48">
      <c r="D1213" s="33"/>
      <c r="E1213" s="33"/>
      <c r="F1213" s="33"/>
      <c r="G1213" s="33"/>
      <c r="H1213" s="34"/>
      <c r="J1213" s="36"/>
      <c r="K1213" s="36"/>
      <c r="L1213" s="36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8"/>
      <c r="AS1213" s="38"/>
      <c r="AT1213" s="38"/>
      <c r="AU1213" s="33"/>
      <c r="AV1213" s="39"/>
    </row>
    <row r="1214" spans="4:48">
      <c r="D1214" s="33"/>
      <c r="E1214" s="33"/>
      <c r="F1214" s="33"/>
      <c r="G1214" s="33"/>
      <c r="H1214" s="34"/>
      <c r="J1214" s="36"/>
      <c r="K1214" s="36"/>
      <c r="L1214" s="36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8"/>
      <c r="AS1214" s="38"/>
      <c r="AT1214" s="38"/>
      <c r="AU1214" s="33"/>
      <c r="AV1214" s="39"/>
    </row>
    <row r="1215" spans="4:48">
      <c r="D1215" s="33"/>
      <c r="E1215" s="33"/>
      <c r="F1215" s="33"/>
      <c r="G1215" s="33"/>
      <c r="H1215" s="34"/>
      <c r="J1215" s="36"/>
      <c r="K1215" s="36"/>
      <c r="L1215" s="36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8"/>
      <c r="AS1215" s="38"/>
      <c r="AT1215" s="38"/>
      <c r="AU1215" s="33"/>
      <c r="AV1215" s="39"/>
    </row>
    <row r="1216" spans="4:48">
      <c r="D1216" s="33"/>
      <c r="E1216" s="33"/>
      <c r="F1216" s="33"/>
      <c r="G1216" s="33"/>
      <c r="H1216" s="34"/>
      <c r="J1216" s="36"/>
      <c r="K1216" s="36"/>
      <c r="L1216" s="36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8"/>
      <c r="AS1216" s="38"/>
      <c r="AT1216" s="38"/>
      <c r="AU1216" s="33"/>
      <c r="AV1216" s="39"/>
    </row>
    <row r="1217" spans="4:48">
      <c r="D1217" s="33"/>
      <c r="E1217" s="33"/>
      <c r="F1217" s="33"/>
      <c r="G1217" s="33"/>
      <c r="H1217" s="34"/>
      <c r="J1217" s="36"/>
      <c r="K1217" s="36"/>
      <c r="L1217" s="36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8"/>
      <c r="AS1217" s="38"/>
      <c r="AT1217" s="38"/>
      <c r="AU1217" s="33"/>
      <c r="AV1217" s="39"/>
    </row>
    <row r="1218" spans="4:48">
      <c r="D1218" s="33"/>
      <c r="E1218" s="33"/>
      <c r="F1218" s="33"/>
      <c r="G1218" s="33"/>
      <c r="H1218" s="34"/>
      <c r="J1218" s="36"/>
      <c r="K1218" s="36"/>
      <c r="L1218" s="36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8"/>
      <c r="AS1218" s="38"/>
      <c r="AT1218" s="38"/>
      <c r="AU1218" s="33"/>
      <c r="AV1218" s="39"/>
    </row>
    <row r="1219" spans="4:48">
      <c r="D1219" s="33"/>
      <c r="E1219" s="33"/>
      <c r="F1219" s="33"/>
      <c r="G1219" s="33"/>
      <c r="H1219" s="34"/>
      <c r="J1219" s="36"/>
      <c r="K1219" s="36"/>
      <c r="L1219" s="36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8"/>
      <c r="AS1219" s="38"/>
      <c r="AT1219" s="38"/>
      <c r="AU1219" s="33"/>
      <c r="AV1219" s="39"/>
    </row>
    <row r="1220" spans="4:48">
      <c r="D1220" s="33"/>
      <c r="E1220" s="33"/>
      <c r="F1220" s="33"/>
      <c r="G1220" s="33"/>
      <c r="H1220" s="34"/>
      <c r="J1220" s="36"/>
      <c r="K1220" s="36"/>
      <c r="L1220" s="36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8"/>
      <c r="AS1220" s="38"/>
      <c r="AT1220" s="38"/>
      <c r="AU1220" s="33"/>
      <c r="AV1220" s="39"/>
    </row>
    <row r="1221" spans="4:48">
      <c r="D1221" s="33"/>
      <c r="E1221" s="33"/>
      <c r="F1221" s="33"/>
      <c r="G1221" s="33"/>
      <c r="H1221" s="34"/>
      <c r="J1221" s="36"/>
      <c r="K1221" s="36"/>
      <c r="L1221" s="36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8"/>
      <c r="AS1221" s="38"/>
      <c r="AT1221" s="38"/>
      <c r="AU1221" s="33"/>
      <c r="AV1221" s="39"/>
    </row>
    <row r="1222" spans="4:48">
      <c r="D1222" s="33"/>
      <c r="E1222" s="33"/>
      <c r="F1222" s="33"/>
      <c r="G1222" s="33"/>
      <c r="H1222" s="34"/>
      <c r="J1222" s="36"/>
      <c r="K1222" s="36"/>
      <c r="L1222" s="36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8"/>
      <c r="AS1222" s="38"/>
      <c r="AT1222" s="38"/>
      <c r="AU1222" s="33"/>
      <c r="AV1222" s="39"/>
    </row>
    <row r="1223" spans="4:48">
      <c r="D1223" s="33"/>
      <c r="E1223" s="33"/>
      <c r="F1223" s="33"/>
      <c r="G1223" s="33"/>
      <c r="H1223" s="34"/>
      <c r="J1223" s="36"/>
      <c r="K1223" s="36"/>
      <c r="L1223" s="36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8"/>
      <c r="AS1223" s="38"/>
      <c r="AT1223" s="38"/>
      <c r="AU1223" s="33"/>
      <c r="AV1223" s="39"/>
    </row>
    <row r="1224" spans="4:48">
      <c r="D1224" s="33"/>
      <c r="E1224" s="33"/>
      <c r="F1224" s="33"/>
      <c r="G1224" s="33"/>
      <c r="H1224" s="34"/>
      <c r="J1224" s="36"/>
      <c r="K1224" s="36"/>
      <c r="L1224" s="36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8"/>
      <c r="AS1224" s="38"/>
      <c r="AT1224" s="38"/>
      <c r="AU1224" s="33"/>
      <c r="AV1224" s="39"/>
    </row>
    <row r="1225" spans="4:48">
      <c r="D1225" s="33"/>
      <c r="E1225" s="33"/>
      <c r="F1225" s="33"/>
      <c r="G1225" s="33"/>
      <c r="H1225" s="34"/>
      <c r="J1225" s="36"/>
      <c r="K1225" s="36"/>
      <c r="L1225" s="36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8"/>
      <c r="AS1225" s="38"/>
      <c r="AT1225" s="38"/>
      <c r="AU1225" s="33"/>
      <c r="AV1225" s="39"/>
    </row>
    <row r="1226" spans="4:48">
      <c r="D1226" s="33"/>
      <c r="E1226" s="33"/>
      <c r="F1226" s="33"/>
      <c r="G1226" s="33"/>
      <c r="H1226" s="34"/>
      <c r="J1226" s="36"/>
      <c r="K1226" s="36"/>
      <c r="L1226" s="36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8"/>
      <c r="AS1226" s="38"/>
      <c r="AT1226" s="38"/>
      <c r="AU1226" s="33"/>
      <c r="AV1226" s="39"/>
    </row>
    <row r="1227" spans="4:48">
      <c r="D1227" s="33"/>
      <c r="E1227" s="33"/>
      <c r="F1227" s="33"/>
      <c r="G1227" s="33"/>
      <c r="H1227" s="34"/>
      <c r="J1227" s="36"/>
      <c r="K1227" s="36"/>
      <c r="L1227" s="36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8"/>
      <c r="AS1227" s="38"/>
      <c r="AT1227" s="38"/>
      <c r="AU1227" s="33"/>
      <c r="AV1227" s="39"/>
    </row>
    <row r="1228" spans="4:48">
      <c r="D1228" s="33"/>
      <c r="E1228" s="33"/>
      <c r="F1228" s="33"/>
      <c r="G1228" s="33"/>
      <c r="H1228" s="34"/>
      <c r="J1228" s="36"/>
      <c r="K1228" s="36"/>
      <c r="L1228" s="36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8"/>
      <c r="AS1228" s="38"/>
      <c r="AT1228" s="38"/>
      <c r="AU1228" s="33"/>
      <c r="AV1228" s="39"/>
    </row>
    <row r="1229" spans="4:48">
      <c r="D1229" s="33"/>
      <c r="E1229" s="33"/>
      <c r="F1229" s="33"/>
      <c r="G1229" s="33"/>
      <c r="H1229" s="34"/>
      <c r="J1229" s="36"/>
      <c r="K1229" s="36"/>
      <c r="L1229" s="36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8"/>
      <c r="AS1229" s="38"/>
      <c r="AT1229" s="38"/>
      <c r="AU1229" s="33"/>
      <c r="AV1229" s="39"/>
    </row>
    <row r="1230" spans="4:48">
      <c r="D1230" s="33"/>
      <c r="E1230" s="33"/>
      <c r="F1230" s="33"/>
      <c r="G1230" s="33"/>
      <c r="H1230" s="34"/>
      <c r="J1230" s="36"/>
      <c r="K1230" s="36"/>
      <c r="L1230" s="36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8"/>
      <c r="AS1230" s="38"/>
      <c r="AT1230" s="38"/>
      <c r="AU1230" s="33"/>
      <c r="AV1230" s="39"/>
    </row>
    <row r="1231" spans="4:48">
      <c r="D1231" s="33"/>
      <c r="E1231" s="33"/>
      <c r="F1231" s="33"/>
      <c r="G1231" s="33"/>
      <c r="H1231" s="34"/>
      <c r="J1231" s="36"/>
      <c r="K1231" s="36"/>
      <c r="L1231" s="36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8"/>
      <c r="AS1231" s="38"/>
      <c r="AT1231" s="38"/>
      <c r="AU1231" s="33"/>
      <c r="AV1231" s="39"/>
    </row>
    <row r="1232" spans="4:48">
      <c r="D1232" s="33"/>
      <c r="E1232" s="33"/>
      <c r="F1232" s="33"/>
      <c r="G1232" s="33"/>
      <c r="H1232" s="34"/>
      <c r="J1232" s="36"/>
      <c r="K1232" s="36"/>
      <c r="L1232" s="36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8"/>
      <c r="AS1232" s="38"/>
      <c r="AT1232" s="38"/>
      <c r="AU1232" s="33"/>
      <c r="AV1232" s="39"/>
    </row>
    <row r="1233" spans="4:48">
      <c r="D1233" s="33"/>
      <c r="E1233" s="33"/>
      <c r="F1233" s="33"/>
      <c r="G1233" s="33"/>
      <c r="H1233" s="34"/>
      <c r="J1233" s="36"/>
      <c r="K1233" s="36"/>
      <c r="L1233" s="36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8"/>
      <c r="AS1233" s="38"/>
      <c r="AT1233" s="38"/>
      <c r="AU1233" s="33"/>
      <c r="AV1233" s="39"/>
    </row>
    <row r="1234" spans="4:48">
      <c r="D1234" s="33"/>
      <c r="E1234" s="33"/>
      <c r="F1234" s="33"/>
      <c r="G1234" s="33"/>
      <c r="H1234" s="34"/>
      <c r="J1234" s="36"/>
      <c r="K1234" s="36"/>
      <c r="L1234" s="36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8"/>
      <c r="AS1234" s="38"/>
      <c r="AT1234" s="38"/>
      <c r="AU1234" s="33"/>
      <c r="AV1234" s="39"/>
    </row>
    <row r="1235" spans="4:48">
      <c r="D1235" s="33"/>
      <c r="E1235" s="33"/>
      <c r="F1235" s="33"/>
      <c r="G1235" s="33"/>
      <c r="H1235" s="34"/>
      <c r="J1235" s="36"/>
      <c r="K1235" s="36"/>
      <c r="L1235" s="36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8"/>
      <c r="AS1235" s="38"/>
      <c r="AT1235" s="38"/>
      <c r="AU1235" s="33"/>
      <c r="AV1235" s="39"/>
    </row>
    <row r="1236" spans="4:48">
      <c r="D1236" s="33"/>
      <c r="E1236" s="33"/>
      <c r="F1236" s="33"/>
      <c r="G1236" s="33"/>
      <c r="H1236" s="34"/>
      <c r="J1236" s="36"/>
      <c r="K1236" s="36"/>
      <c r="L1236" s="36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8"/>
      <c r="AS1236" s="38"/>
      <c r="AT1236" s="38"/>
      <c r="AU1236" s="33"/>
      <c r="AV1236" s="39"/>
    </row>
    <row r="1237" spans="4:48">
      <c r="D1237" s="33"/>
      <c r="E1237" s="33"/>
      <c r="F1237" s="33"/>
      <c r="G1237" s="33"/>
      <c r="H1237" s="34"/>
      <c r="J1237" s="36"/>
      <c r="K1237" s="36"/>
      <c r="L1237" s="36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8"/>
      <c r="AS1237" s="38"/>
      <c r="AT1237" s="38"/>
      <c r="AU1237" s="33"/>
      <c r="AV1237" s="39"/>
    </row>
    <row r="1238" spans="4:48">
      <c r="D1238" s="33"/>
      <c r="E1238" s="33"/>
      <c r="F1238" s="33"/>
      <c r="G1238" s="33"/>
      <c r="H1238" s="34"/>
      <c r="J1238" s="36"/>
      <c r="K1238" s="36"/>
      <c r="L1238" s="36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8"/>
      <c r="AS1238" s="38"/>
      <c r="AT1238" s="38"/>
      <c r="AU1238" s="33"/>
      <c r="AV1238" s="39"/>
    </row>
    <row r="1239" spans="4:48">
      <c r="D1239" s="33"/>
      <c r="E1239" s="33"/>
      <c r="F1239" s="33"/>
      <c r="G1239" s="33"/>
      <c r="H1239" s="34"/>
      <c r="J1239" s="36"/>
      <c r="K1239" s="36"/>
      <c r="L1239" s="36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8"/>
      <c r="AS1239" s="38"/>
      <c r="AT1239" s="38"/>
      <c r="AU1239" s="33"/>
      <c r="AV1239" s="39"/>
    </row>
    <row r="1240" spans="4:48">
      <c r="D1240" s="33"/>
      <c r="E1240" s="33"/>
      <c r="F1240" s="33"/>
      <c r="G1240" s="33"/>
      <c r="H1240" s="34"/>
      <c r="J1240" s="36"/>
      <c r="K1240" s="36"/>
      <c r="L1240" s="36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8"/>
      <c r="AS1240" s="38"/>
      <c r="AT1240" s="38"/>
      <c r="AU1240" s="33"/>
      <c r="AV1240" s="39"/>
    </row>
    <row r="1241" spans="4:48">
      <c r="D1241" s="33"/>
      <c r="E1241" s="33"/>
      <c r="F1241" s="33"/>
      <c r="G1241" s="33"/>
      <c r="H1241" s="34"/>
      <c r="J1241" s="36"/>
      <c r="K1241" s="36"/>
      <c r="L1241" s="36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8"/>
      <c r="AS1241" s="38"/>
      <c r="AT1241" s="38"/>
      <c r="AU1241" s="33"/>
      <c r="AV1241" s="39"/>
    </row>
    <row r="1242" spans="4:48">
      <c r="D1242" s="33"/>
      <c r="E1242" s="33"/>
      <c r="F1242" s="33"/>
      <c r="G1242" s="33"/>
      <c r="H1242" s="34"/>
      <c r="J1242" s="36"/>
      <c r="K1242" s="36"/>
      <c r="L1242" s="36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8"/>
      <c r="AS1242" s="38"/>
      <c r="AT1242" s="38"/>
      <c r="AU1242" s="33"/>
      <c r="AV1242" s="39"/>
    </row>
    <row r="1243" spans="4:48">
      <c r="D1243" s="33"/>
      <c r="E1243" s="33"/>
      <c r="F1243" s="33"/>
      <c r="G1243" s="33"/>
      <c r="H1243" s="34"/>
      <c r="J1243" s="36"/>
      <c r="K1243" s="36"/>
      <c r="L1243" s="36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8"/>
      <c r="AS1243" s="38"/>
      <c r="AT1243" s="38"/>
      <c r="AU1243" s="33"/>
      <c r="AV1243" s="39"/>
    </row>
    <row r="1244" spans="4:48">
      <c r="D1244" s="33"/>
      <c r="E1244" s="33"/>
      <c r="F1244" s="33"/>
      <c r="G1244" s="33"/>
      <c r="H1244" s="34"/>
      <c r="J1244" s="36"/>
      <c r="K1244" s="36"/>
      <c r="L1244" s="36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8"/>
      <c r="AS1244" s="38"/>
      <c r="AT1244" s="38"/>
      <c r="AU1244" s="33"/>
      <c r="AV1244" s="39"/>
    </row>
    <row r="1245" spans="4:48">
      <c r="D1245" s="33"/>
      <c r="E1245" s="33"/>
      <c r="F1245" s="33"/>
      <c r="G1245" s="33"/>
      <c r="H1245" s="34"/>
      <c r="J1245" s="36"/>
      <c r="K1245" s="36"/>
      <c r="L1245" s="36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8"/>
      <c r="AS1245" s="38"/>
      <c r="AT1245" s="38"/>
      <c r="AU1245" s="33"/>
      <c r="AV1245" s="39"/>
    </row>
    <row r="1246" spans="4:48">
      <c r="D1246" s="33"/>
      <c r="E1246" s="33"/>
      <c r="F1246" s="33"/>
      <c r="G1246" s="33"/>
      <c r="H1246" s="34"/>
      <c r="J1246" s="36"/>
      <c r="K1246" s="36"/>
      <c r="L1246" s="36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8"/>
      <c r="AS1246" s="38"/>
      <c r="AT1246" s="38"/>
      <c r="AU1246" s="33"/>
      <c r="AV1246" s="39"/>
    </row>
    <row r="1247" spans="4:48">
      <c r="D1247" s="33"/>
      <c r="E1247" s="33"/>
      <c r="F1247" s="33"/>
      <c r="G1247" s="33"/>
      <c r="H1247" s="34"/>
      <c r="J1247" s="36"/>
      <c r="K1247" s="36"/>
      <c r="L1247" s="36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8"/>
      <c r="AS1247" s="38"/>
      <c r="AT1247" s="38"/>
      <c r="AU1247" s="33"/>
      <c r="AV1247" s="39"/>
    </row>
    <row r="1248" spans="4:48">
      <c r="D1248" s="33"/>
      <c r="E1248" s="33"/>
      <c r="F1248" s="33"/>
      <c r="G1248" s="33"/>
      <c r="H1248" s="34"/>
      <c r="J1248" s="36"/>
      <c r="K1248" s="36"/>
      <c r="L1248" s="36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8"/>
      <c r="AS1248" s="38"/>
      <c r="AT1248" s="38"/>
      <c r="AU1248" s="33"/>
      <c r="AV1248" s="39"/>
    </row>
    <row r="1249" spans="4:48">
      <c r="D1249" s="33"/>
      <c r="E1249" s="33"/>
      <c r="F1249" s="33"/>
      <c r="G1249" s="33"/>
      <c r="H1249" s="34"/>
      <c r="J1249" s="36"/>
      <c r="K1249" s="36"/>
      <c r="L1249" s="36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8"/>
      <c r="AS1249" s="38"/>
      <c r="AT1249" s="38"/>
      <c r="AU1249" s="33"/>
      <c r="AV1249" s="39"/>
    </row>
    <row r="1250" spans="4:48">
      <c r="D1250" s="33"/>
      <c r="E1250" s="33"/>
      <c r="F1250" s="33"/>
      <c r="G1250" s="33"/>
      <c r="H1250" s="34"/>
      <c r="J1250" s="36"/>
      <c r="K1250" s="36"/>
      <c r="L1250" s="36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8"/>
      <c r="AS1250" s="38"/>
      <c r="AT1250" s="38"/>
      <c r="AU1250" s="33"/>
      <c r="AV1250" s="39"/>
    </row>
    <row r="1251" spans="4:48">
      <c r="D1251" s="33"/>
      <c r="E1251" s="33"/>
      <c r="F1251" s="33"/>
      <c r="G1251" s="33"/>
      <c r="H1251" s="34"/>
      <c r="J1251" s="36"/>
      <c r="K1251" s="36"/>
      <c r="L1251" s="36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8"/>
      <c r="AS1251" s="38"/>
      <c r="AT1251" s="38"/>
      <c r="AU1251" s="33"/>
      <c r="AV1251" s="39"/>
    </row>
    <row r="1252" spans="4:48">
      <c r="D1252" s="33"/>
      <c r="E1252" s="33"/>
      <c r="F1252" s="33"/>
      <c r="G1252" s="33"/>
      <c r="H1252" s="34"/>
      <c r="J1252" s="36"/>
      <c r="K1252" s="36"/>
      <c r="L1252" s="36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8"/>
      <c r="AS1252" s="38"/>
      <c r="AT1252" s="38"/>
      <c r="AU1252" s="33"/>
      <c r="AV1252" s="39"/>
    </row>
    <row r="1253" spans="4:48">
      <c r="D1253" s="33"/>
      <c r="E1253" s="33"/>
      <c r="F1253" s="33"/>
      <c r="G1253" s="33"/>
      <c r="H1253" s="34"/>
      <c r="J1253" s="36"/>
      <c r="K1253" s="36"/>
      <c r="L1253" s="36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8"/>
      <c r="AS1253" s="38"/>
      <c r="AT1253" s="38"/>
      <c r="AU1253" s="33"/>
      <c r="AV1253" s="39"/>
    </row>
    <row r="1254" spans="4:48">
      <c r="D1254" s="33"/>
      <c r="E1254" s="33"/>
      <c r="F1254" s="33"/>
      <c r="G1254" s="33"/>
      <c r="H1254" s="34"/>
      <c r="J1254" s="36"/>
      <c r="K1254" s="36"/>
      <c r="L1254" s="36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8"/>
      <c r="AS1254" s="38"/>
      <c r="AT1254" s="38"/>
      <c r="AU1254" s="33"/>
      <c r="AV1254" s="39"/>
    </row>
    <row r="1255" spans="4:48">
      <c r="D1255" s="33"/>
      <c r="E1255" s="33"/>
      <c r="F1255" s="33"/>
      <c r="G1255" s="33"/>
      <c r="H1255" s="34"/>
      <c r="J1255" s="36"/>
      <c r="K1255" s="36"/>
      <c r="L1255" s="36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8"/>
      <c r="AS1255" s="38"/>
      <c r="AT1255" s="38"/>
      <c r="AU1255" s="33"/>
      <c r="AV1255" s="39"/>
    </row>
    <row r="1256" spans="4:48">
      <c r="D1256" s="33"/>
      <c r="E1256" s="33"/>
      <c r="F1256" s="33"/>
      <c r="G1256" s="33"/>
      <c r="H1256" s="34"/>
      <c r="J1256" s="36"/>
      <c r="K1256" s="36"/>
      <c r="L1256" s="36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8"/>
      <c r="AS1256" s="38"/>
      <c r="AT1256" s="38"/>
      <c r="AU1256" s="33"/>
      <c r="AV1256" s="39"/>
    </row>
    <row r="1257" spans="4:48">
      <c r="D1257" s="33"/>
      <c r="E1257" s="33"/>
      <c r="F1257" s="33"/>
      <c r="G1257" s="33"/>
      <c r="H1257" s="34"/>
      <c r="J1257" s="36"/>
      <c r="K1257" s="36"/>
      <c r="L1257" s="36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8"/>
      <c r="AS1257" s="38"/>
      <c r="AT1257" s="38"/>
      <c r="AU1257" s="33"/>
      <c r="AV1257" s="39"/>
    </row>
    <row r="1258" spans="4:48">
      <c r="D1258" s="33"/>
      <c r="E1258" s="33"/>
      <c r="F1258" s="33"/>
      <c r="G1258" s="33"/>
      <c r="H1258" s="34"/>
      <c r="J1258" s="36"/>
      <c r="K1258" s="36"/>
      <c r="L1258" s="36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8"/>
      <c r="AS1258" s="38"/>
      <c r="AT1258" s="38"/>
      <c r="AU1258" s="33"/>
      <c r="AV1258" s="39"/>
    </row>
    <row r="1259" spans="4:48">
      <c r="D1259" s="33"/>
      <c r="E1259" s="33"/>
      <c r="F1259" s="33"/>
      <c r="G1259" s="33"/>
      <c r="H1259" s="34"/>
      <c r="J1259" s="36"/>
      <c r="K1259" s="36"/>
      <c r="L1259" s="36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8"/>
      <c r="AS1259" s="38"/>
      <c r="AT1259" s="38"/>
      <c r="AU1259" s="33"/>
      <c r="AV1259" s="39"/>
    </row>
    <row r="1260" spans="4:48">
      <c r="D1260" s="33"/>
      <c r="E1260" s="33"/>
      <c r="F1260" s="33"/>
      <c r="G1260" s="33"/>
      <c r="H1260" s="34"/>
      <c r="J1260" s="36"/>
      <c r="K1260" s="36"/>
      <c r="L1260" s="36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8"/>
      <c r="AS1260" s="38"/>
      <c r="AT1260" s="38"/>
      <c r="AU1260" s="33"/>
      <c r="AV1260" s="39"/>
    </row>
    <row r="1261" spans="4:48">
      <c r="D1261" s="33"/>
      <c r="E1261" s="33"/>
      <c r="F1261" s="33"/>
      <c r="G1261" s="33"/>
      <c r="H1261" s="34"/>
      <c r="J1261" s="36"/>
      <c r="K1261" s="36"/>
      <c r="L1261" s="36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8"/>
      <c r="AS1261" s="38"/>
      <c r="AT1261" s="38"/>
      <c r="AU1261" s="33"/>
      <c r="AV1261" s="39"/>
    </row>
    <row r="1262" spans="4:48">
      <c r="D1262" s="33"/>
      <c r="E1262" s="33"/>
      <c r="F1262" s="33"/>
      <c r="G1262" s="33"/>
      <c r="H1262" s="34"/>
      <c r="J1262" s="36"/>
      <c r="K1262" s="36"/>
      <c r="L1262" s="36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8"/>
      <c r="AS1262" s="38"/>
      <c r="AT1262" s="38"/>
      <c r="AU1262" s="33"/>
      <c r="AV1262" s="39"/>
    </row>
    <row r="1263" spans="4:48">
      <c r="D1263" s="33"/>
      <c r="E1263" s="33"/>
      <c r="F1263" s="33"/>
      <c r="G1263" s="33"/>
      <c r="H1263" s="34"/>
      <c r="J1263" s="36"/>
      <c r="K1263" s="36"/>
      <c r="L1263" s="36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8"/>
      <c r="AS1263" s="38"/>
      <c r="AT1263" s="38"/>
      <c r="AU1263" s="33"/>
      <c r="AV1263" s="39"/>
    </row>
    <row r="1264" spans="4:48">
      <c r="D1264" s="33"/>
      <c r="E1264" s="33"/>
      <c r="F1264" s="33"/>
      <c r="G1264" s="33"/>
      <c r="H1264" s="34"/>
      <c r="J1264" s="36"/>
      <c r="K1264" s="36"/>
      <c r="L1264" s="36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8"/>
      <c r="AS1264" s="38"/>
      <c r="AT1264" s="38"/>
      <c r="AU1264" s="33"/>
      <c r="AV1264" s="39"/>
    </row>
    <row r="1265" spans="4:48">
      <c r="D1265" s="33"/>
      <c r="E1265" s="33"/>
      <c r="F1265" s="33"/>
      <c r="G1265" s="33"/>
      <c r="H1265" s="34"/>
      <c r="J1265" s="36"/>
      <c r="K1265" s="36"/>
      <c r="L1265" s="36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8"/>
      <c r="AS1265" s="38"/>
      <c r="AT1265" s="38"/>
      <c r="AU1265" s="33"/>
      <c r="AV1265" s="39"/>
    </row>
    <row r="1266" spans="4:48">
      <c r="D1266" s="33"/>
      <c r="E1266" s="33"/>
      <c r="F1266" s="33"/>
      <c r="G1266" s="33"/>
      <c r="H1266" s="34"/>
      <c r="J1266" s="36"/>
      <c r="K1266" s="36"/>
      <c r="L1266" s="36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8"/>
      <c r="AS1266" s="38"/>
      <c r="AT1266" s="38"/>
      <c r="AU1266" s="33"/>
      <c r="AV1266" s="39"/>
    </row>
    <row r="1267" spans="4:48">
      <c r="D1267" s="33"/>
      <c r="E1267" s="33"/>
      <c r="F1267" s="33"/>
      <c r="G1267" s="33"/>
      <c r="H1267" s="34"/>
      <c r="J1267" s="36"/>
      <c r="K1267" s="36"/>
      <c r="L1267" s="36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8"/>
      <c r="AS1267" s="38"/>
      <c r="AT1267" s="38"/>
      <c r="AU1267" s="33"/>
      <c r="AV1267" s="39"/>
    </row>
    <row r="1268" spans="4:48">
      <c r="D1268" s="33"/>
      <c r="E1268" s="33"/>
      <c r="F1268" s="33"/>
      <c r="G1268" s="33"/>
      <c r="H1268" s="34"/>
      <c r="J1268" s="36"/>
      <c r="K1268" s="36"/>
      <c r="L1268" s="36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8"/>
      <c r="AS1268" s="38"/>
      <c r="AT1268" s="38"/>
      <c r="AU1268" s="33"/>
      <c r="AV1268" s="39"/>
    </row>
    <row r="1269" spans="4:48">
      <c r="D1269" s="33"/>
      <c r="E1269" s="33"/>
      <c r="F1269" s="33"/>
      <c r="G1269" s="33"/>
      <c r="H1269" s="34"/>
      <c r="J1269" s="36"/>
      <c r="K1269" s="36"/>
      <c r="L1269" s="36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8"/>
      <c r="AS1269" s="38"/>
      <c r="AT1269" s="38"/>
      <c r="AU1269" s="33"/>
      <c r="AV1269" s="39"/>
    </row>
    <row r="1270" spans="4:48">
      <c r="D1270" s="33"/>
      <c r="E1270" s="33"/>
      <c r="F1270" s="33"/>
      <c r="G1270" s="33"/>
      <c r="H1270" s="34"/>
      <c r="J1270" s="36"/>
      <c r="K1270" s="36"/>
      <c r="L1270" s="36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8"/>
      <c r="AS1270" s="38"/>
      <c r="AT1270" s="38"/>
      <c r="AU1270" s="33"/>
      <c r="AV1270" s="39"/>
    </row>
    <row r="1271" spans="4:48">
      <c r="D1271" s="33"/>
      <c r="E1271" s="33"/>
      <c r="F1271" s="33"/>
      <c r="G1271" s="33"/>
      <c r="H1271" s="34"/>
      <c r="J1271" s="36"/>
      <c r="K1271" s="36"/>
      <c r="L1271" s="36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8"/>
      <c r="AS1271" s="38"/>
      <c r="AT1271" s="38"/>
      <c r="AU1271" s="33"/>
      <c r="AV1271" s="39"/>
    </row>
    <row r="1272" spans="4:48">
      <c r="D1272" s="33"/>
      <c r="E1272" s="33"/>
      <c r="F1272" s="33"/>
      <c r="G1272" s="33"/>
      <c r="H1272" s="34"/>
      <c r="J1272" s="36"/>
      <c r="K1272" s="36"/>
      <c r="L1272" s="36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8"/>
      <c r="AS1272" s="38"/>
      <c r="AT1272" s="38"/>
      <c r="AU1272" s="33"/>
      <c r="AV1272" s="39"/>
    </row>
    <row r="1273" spans="4:48">
      <c r="D1273" s="33"/>
      <c r="E1273" s="33"/>
      <c r="F1273" s="33"/>
      <c r="G1273" s="33"/>
      <c r="H1273" s="34"/>
      <c r="J1273" s="36"/>
      <c r="K1273" s="36"/>
      <c r="L1273" s="36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8"/>
      <c r="AS1273" s="38"/>
      <c r="AT1273" s="38"/>
      <c r="AU1273" s="33"/>
      <c r="AV1273" s="39"/>
    </row>
    <row r="1274" spans="4:48">
      <c r="D1274" s="33"/>
      <c r="E1274" s="33"/>
      <c r="F1274" s="33"/>
      <c r="G1274" s="33"/>
      <c r="H1274" s="34"/>
      <c r="J1274" s="36"/>
      <c r="K1274" s="36"/>
      <c r="L1274" s="36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8"/>
      <c r="AS1274" s="38"/>
      <c r="AT1274" s="38"/>
      <c r="AU1274" s="33"/>
      <c r="AV1274" s="39"/>
    </row>
    <row r="1275" spans="4:48">
      <c r="D1275" s="33"/>
      <c r="E1275" s="33"/>
      <c r="F1275" s="33"/>
      <c r="G1275" s="33"/>
      <c r="H1275" s="34"/>
      <c r="J1275" s="36"/>
      <c r="K1275" s="36"/>
      <c r="L1275" s="36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8"/>
      <c r="AS1275" s="38"/>
      <c r="AT1275" s="38"/>
      <c r="AU1275" s="33"/>
      <c r="AV1275" s="39"/>
    </row>
    <row r="1276" spans="4:48">
      <c r="D1276" s="33"/>
      <c r="E1276" s="33"/>
      <c r="F1276" s="33"/>
      <c r="G1276" s="33"/>
      <c r="H1276" s="34"/>
      <c r="J1276" s="36"/>
      <c r="K1276" s="36"/>
      <c r="L1276" s="36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8"/>
      <c r="AS1276" s="38"/>
      <c r="AT1276" s="38"/>
      <c r="AU1276" s="33"/>
      <c r="AV1276" s="39"/>
    </row>
    <row r="1277" spans="4:48">
      <c r="D1277" s="33"/>
      <c r="E1277" s="33"/>
      <c r="F1277" s="33"/>
      <c r="G1277" s="33"/>
      <c r="H1277" s="34"/>
      <c r="J1277" s="36"/>
      <c r="K1277" s="36"/>
      <c r="L1277" s="36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8"/>
      <c r="AS1277" s="38"/>
      <c r="AT1277" s="38"/>
      <c r="AU1277" s="33"/>
      <c r="AV1277" s="39"/>
    </row>
    <row r="1278" spans="4:48">
      <c r="D1278" s="33"/>
      <c r="E1278" s="33"/>
      <c r="F1278" s="33"/>
      <c r="G1278" s="33"/>
      <c r="H1278" s="34"/>
      <c r="J1278" s="36"/>
      <c r="K1278" s="36"/>
      <c r="L1278" s="36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8"/>
      <c r="AS1278" s="38"/>
      <c r="AT1278" s="38"/>
      <c r="AU1278" s="33"/>
      <c r="AV1278" s="39"/>
    </row>
    <row r="1279" spans="4:48">
      <c r="D1279" s="33"/>
      <c r="E1279" s="33"/>
      <c r="F1279" s="33"/>
      <c r="G1279" s="33"/>
      <c r="H1279" s="34"/>
      <c r="J1279" s="36"/>
      <c r="K1279" s="36"/>
      <c r="L1279" s="36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8"/>
      <c r="AS1279" s="38"/>
      <c r="AT1279" s="38"/>
      <c r="AU1279" s="33"/>
      <c r="AV1279" s="39"/>
    </row>
    <row r="1280" spans="4:48">
      <c r="D1280" s="33"/>
      <c r="E1280" s="33"/>
      <c r="F1280" s="33"/>
      <c r="G1280" s="33"/>
      <c r="H1280" s="34"/>
      <c r="J1280" s="36"/>
      <c r="K1280" s="36"/>
      <c r="L1280" s="36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8"/>
      <c r="AS1280" s="38"/>
      <c r="AT1280" s="38"/>
      <c r="AU1280" s="33"/>
      <c r="AV1280" s="39"/>
    </row>
    <row r="1281" spans="4:48">
      <c r="D1281" s="33"/>
      <c r="E1281" s="33"/>
      <c r="F1281" s="33"/>
      <c r="G1281" s="33"/>
      <c r="H1281" s="34"/>
      <c r="J1281" s="36"/>
      <c r="K1281" s="36"/>
      <c r="L1281" s="36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8"/>
      <c r="AS1281" s="38"/>
      <c r="AT1281" s="38"/>
      <c r="AU1281" s="33"/>
      <c r="AV1281" s="39"/>
    </row>
    <row r="1282" spans="4:48">
      <c r="D1282" s="33"/>
      <c r="E1282" s="33"/>
      <c r="F1282" s="33"/>
      <c r="G1282" s="33"/>
      <c r="H1282" s="34"/>
      <c r="J1282" s="36"/>
      <c r="K1282" s="36"/>
      <c r="L1282" s="36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8"/>
      <c r="AS1282" s="38"/>
      <c r="AT1282" s="38"/>
      <c r="AU1282" s="33"/>
      <c r="AV1282" s="39"/>
    </row>
    <row r="1283" spans="4:48">
      <c r="D1283" s="33"/>
      <c r="E1283" s="33"/>
      <c r="F1283" s="33"/>
      <c r="G1283" s="33"/>
      <c r="H1283" s="34"/>
      <c r="J1283" s="36"/>
      <c r="K1283" s="36"/>
      <c r="L1283" s="36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8"/>
      <c r="AS1283" s="38"/>
      <c r="AT1283" s="38"/>
      <c r="AU1283" s="33"/>
      <c r="AV1283" s="39"/>
    </row>
    <row r="1284" spans="4:48">
      <c r="D1284" s="33"/>
      <c r="E1284" s="33"/>
      <c r="F1284" s="33"/>
      <c r="G1284" s="33"/>
      <c r="H1284" s="34"/>
      <c r="J1284" s="36"/>
      <c r="K1284" s="36"/>
      <c r="L1284" s="36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8"/>
      <c r="AS1284" s="38"/>
      <c r="AT1284" s="38"/>
      <c r="AU1284" s="33"/>
      <c r="AV1284" s="39"/>
    </row>
    <row r="1285" spans="4:48">
      <c r="D1285" s="33"/>
      <c r="E1285" s="33"/>
      <c r="F1285" s="33"/>
      <c r="G1285" s="33"/>
      <c r="H1285" s="34"/>
      <c r="J1285" s="36"/>
      <c r="K1285" s="36"/>
      <c r="L1285" s="36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8"/>
      <c r="AS1285" s="38"/>
      <c r="AT1285" s="38"/>
      <c r="AU1285" s="33"/>
      <c r="AV1285" s="39"/>
    </row>
    <row r="1286" spans="4:48">
      <c r="D1286" s="33"/>
      <c r="E1286" s="33"/>
      <c r="F1286" s="33"/>
      <c r="G1286" s="33"/>
      <c r="H1286" s="34"/>
      <c r="J1286" s="36"/>
      <c r="K1286" s="36"/>
      <c r="L1286" s="36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8"/>
      <c r="AS1286" s="38"/>
      <c r="AT1286" s="38"/>
      <c r="AU1286" s="33"/>
      <c r="AV1286" s="39"/>
    </row>
    <row r="1287" spans="4:48">
      <c r="D1287" s="33"/>
      <c r="E1287" s="33"/>
      <c r="F1287" s="33"/>
      <c r="G1287" s="33"/>
      <c r="H1287" s="34"/>
      <c r="J1287" s="36"/>
      <c r="K1287" s="36"/>
      <c r="L1287" s="36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8"/>
      <c r="AS1287" s="38"/>
      <c r="AT1287" s="38"/>
      <c r="AU1287" s="33"/>
      <c r="AV1287" s="39"/>
    </row>
    <row r="1288" spans="4:48">
      <c r="D1288" s="33"/>
      <c r="E1288" s="33"/>
      <c r="F1288" s="33"/>
      <c r="G1288" s="33"/>
      <c r="H1288" s="34"/>
      <c r="J1288" s="36"/>
      <c r="K1288" s="36"/>
      <c r="L1288" s="36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8"/>
      <c r="AS1288" s="38"/>
      <c r="AT1288" s="38"/>
      <c r="AU1288" s="33"/>
      <c r="AV1288" s="39"/>
    </row>
    <row r="1289" spans="4:48">
      <c r="D1289" s="33"/>
      <c r="E1289" s="33"/>
      <c r="F1289" s="33"/>
      <c r="G1289" s="33"/>
      <c r="H1289" s="34"/>
      <c r="J1289" s="36"/>
      <c r="K1289" s="36"/>
      <c r="L1289" s="36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8"/>
      <c r="AS1289" s="38"/>
      <c r="AT1289" s="38"/>
      <c r="AU1289" s="33"/>
      <c r="AV1289" s="39"/>
    </row>
    <row r="1290" spans="4:48">
      <c r="D1290" s="33"/>
      <c r="E1290" s="33"/>
      <c r="F1290" s="33"/>
      <c r="G1290" s="33"/>
      <c r="H1290" s="34"/>
      <c r="J1290" s="36"/>
      <c r="K1290" s="36"/>
      <c r="L1290" s="36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8"/>
      <c r="AS1290" s="38"/>
      <c r="AT1290" s="38"/>
      <c r="AU1290" s="33"/>
      <c r="AV1290" s="39"/>
    </row>
    <row r="1291" spans="4:48">
      <c r="D1291" s="33"/>
      <c r="E1291" s="33"/>
      <c r="F1291" s="33"/>
      <c r="G1291" s="33"/>
      <c r="H1291" s="34"/>
      <c r="J1291" s="36"/>
      <c r="K1291" s="36"/>
      <c r="L1291" s="36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8"/>
      <c r="AS1291" s="38"/>
      <c r="AT1291" s="38"/>
      <c r="AU1291" s="33"/>
      <c r="AV1291" s="39"/>
    </row>
    <row r="1292" spans="4:48">
      <c r="D1292" s="33"/>
      <c r="E1292" s="33"/>
      <c r="F1292" s="33"/>
      <c r="G1292" s="33"/>
      <c r="H1292" s="34"/>
      <c r="J1292" s="36"/>
      <c r="K1292" s="36"/>
      <c r="L1292" s="36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8"/>
      <c r="AS1292" s="38"/>
      <c r="AT1292" s="38"/>
      <c r="AU1292" s="33"/>
      <c r="AV1292" s="39"/>
    </row>
    <row r="1293" spans="4:48">
      <c r="D1293" s="33"/>
      <c r="E1293" s="33"/>
      <c r="F1293" s="33"/>
      <c r="G1293" s="33"/>
      <c r="H1293" s="34"/>
      <c r="J1293" s="36"/>
      <c r="K1293" s="36"/>
      <c r="L1293" s="36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8"/>
      <c r="AS1293" s="38"/>
      <c r="AT1293" s="38"/>
      <c r="AU1293" s="33"/>
      <c r="AV1293" s="39"/>
    </row>
    <row r="1294" spans="4:48">
      <c r="D1294" s="33"/>
      <c r="E1294" s="33"/>
      <c r="F1294" s="33"/>
      <c r="G1294" s="33"/>
      <c r="H1294" s="34"/>
      <c r="J1294" s="36"/>
      <c r="K1294" s="36"/>
      <c r="L1294" s="36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8"/>
      <c r="AS1294" s="38"/>
      <c r="AT1294" s="38"/>
      <c r="AU1294" s="33"/>
      <c r="AV1294" s="39"/>
    </row>
    <row r="1295" spans="4:48">
      <c r="D1295" s="33"/>
      <c r="E1295" s="33"/>
      <c r="F1295" s="33"/>
      <c r="G1295" s="33"/>
      <c r="H1295" s="34"/>
      <c r="J1295" s="36"/>
      <c r="K1295" s="36"/>
      <c r="L1295" s="36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8"/>
      <c r="AS1295" s="38"/>
      <c r="AT1295" s="38"/>
      <c r="AU1295" s="33"/>
      <c r="AV1295" s="39"/>
    </row>
    <row r="1296" spans="4:48">
      <c r="D1296" s="33"/>
      <c r="E1296" s="33"/>
      <c r="F1296" s="33"/>
      <c r="G1296" s="33"/>
      <c r="H1296" s="34"/>
      <c r="J1296" s="36"/>
      <c r="K1296" s="36"/>
      <c r="L1296" s="36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8"/>
      <c r="AS1296" s="38"/>
      <c r="AT1296" s="38"/>
      <c r="AU1296" s="33"/>
      <c r="AV1296" s="39"/>
    </row>
    <row r="1297" spans="4:48">
      <c r="D1297" s="33"/>
      <c r="E1297" s="33"/>
      <c r="F1297" s="33"/>
      <c r="G1297" s="33"/>
      <c r="H1297" s="34"/>
      <c r="J1297" s="36"/>
      <c r="K1297" s="36"/>
      <c r="L1297" s="36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8"/>
      <c r="AS1297" s="38"/>
      <c r="AT1297" s="38"/>
      <c r="AU1297" s="33"/>
      <c r="AV1297" s="39"/>
    </row>
    <row r="1298" spans="4:48">
      <c r="D1298" s="33"/>
      <c r="E1298" s="33"/>
      <c r="F1298" s="33"/>
      <c r="G1298" s="33"/>
      <c r="H1298" s="34"/>
      <c r="J1298" s="36"/>
      <c r="K1298" s="36"/>
      <c r="L1298" s="36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8"/>
      <c r="AS1298" s="38"/>
      <c r="AT1298" s="38"/>
      <c r="AU1298" s="33"/>
      <c r="AV1298" s="39"/>
    </row>
    <row r="1299" spans="4:48">
      <c r="D1299" s="33"/>
      <c r="E1299" s="33"/>
      <c r="F1299" s="33"/>
      <c r="G1299" s="33"/>
      <c r="H1299" s="34"/>
      <c r="J1299" s="36"/>
      <c r="K1299" s="36"/>
      <c r="L1299" s="36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8"/>
      <c r="AS1299" s="38"/>
      <c r="AT1299" s="38"/>
      <c r="AU1299" s="33"/>
      <c r="AV1299" s="39"/>
    </row>
    <row r="1300" spans="4:48">
      <c r="D1300" s="33"/>
      <c r="E1300" s="33"/>
      <c r="F1300" s="33"/>
      <c r="G1300" s="33"/>
      <c r="H1300" s="34"/>
      <c r="J1300" s="36"/>
      <c r="K1300" s="36"/>
      <c r="L1300" s="36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8"/>
      <c r="AS1300" s="38"/>
      <c r="AT1300" s="38"/>
      <c r="AU1300" s="33"/>
      <c r="AV1300" s="39"/>
    </row>
    <row r="1301" spans="4:48">
      <c r="D1301" s="33"/>
      <c r="E1301" s="33"/>
      <c r="F1301" s="33"/>
      <c r="G1301" s="33"/>
      <c r="H1301" s="34"/>
      <c r="J1301" s="36"/>
      <c r="K1301" s="36"/>
      <c r="L1301" s="36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8"/>
      <c r="AS1301" s="38"/>
      <c r="AT1301" s="38"/>
      <c r="AU1301" s="33"/>
      <c r="AV1301" s="39"/>
    </row>
    <row r="1302" spans="4:48">
      <c r="D1302" s="33"/>
      <c r="E1302" s="33"/>
      <c r="F1302" s="33"/>
      <c r="G1302" s="33"/>
      <c r="H1302" s="34"/>
      <c r="J1302" s="36"/>
      <c r="K1302" s="36"/>
      <c r="L1302" s="36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8"/>
      <c r="AS1302" s="38"/>
      <c r="AT1302" s="38"/>
      <c r="AU1302" s="33"/>
      <c r="AV1302" s="39"/>
    </row>
    <row r="1303" spans="4:48">
      <c r="D1303" s="33"/>
      <c r="E1303" s="33"/>
      <c r="F1303" s="33"/>
      <c r="G1303" s="33"/>
      <c r="H1303" s="34"/>
      <c r="J1303" s="36"/>
      <c r="K1303" s="36"/>
      <c r="L1303" s="36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8"/>
      <c r="AS1303" s="38"/>
      <c r="AT1303" s="38"/>
      <c r="AU1303" s="33"/>
      <c r="AV1303" s="39"/>
    </row>
    <row r="1304" spans="4:48">
      <c r="D1304" s="33"/>
      <c r="E1304" s="33"/>
      <c r="F1304" s="33"/>
      <c r="G1304" s="33"/>
      <c r="H1304" s="34"/>
      <c r="J1304" s="36"/>
      <c r="K1304" s="36"/>
      <c r="L1304" s="36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8"/>
      <c r="AS1304" s="38"/>
      <c r="AT1304" s="38"/>
      <c r="AU1304" s="33"/>
      <c r="AV1304" s="39"/>
    </row>
    <row r="1305" spans="4:48">
      <c r="D1305" s="33"/>
      <c r="E1305" s="33"/>
      <c r="F1305" s="33"/>
      <c r="G1305" s="33"/>
      <c r="H1305" s="34"/>
      <c r="J1305" s="36"/>
      <c r="K1305" s="36"/>
      <c r="L1305" s="36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8"/>
      <c r="AS1305" s="38"/>
      <c r="AT1305" s="38"/>
      <c r="AU1305" s="33"/>
      <c r="AV1305" s="39"/>
    </row>
    <row r="1306" spans="4:48">
      <c r="D1306" s="33"/>
      <c r="E1306" s="33"/>
      <c r="F1306" s="33"/>
      <c r="G1306" s="33"/>
      <c r="H1306" s="34"/>
      <c r="J1306" s="36"/>
      <c r="K1306" s="36"/>
      <c r="L1306" s="36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8"/>
      <c r="AS1306" s="38"/>
      <c r="AT1306" s="38"/>
      <c r="AU1306" s="33"/>
      <c r="AV1306" s="39"/>
    </row>
    <row r="1307" spans="4:48">
      <c r="D1307" s="33"/>
      <c r="E1307" s="33"/>
      <c r="F1307" s="33"/>
      <c r="G1307" s="33"/>
      <c r="H1307" s="34"/>
      <c r="J1307" s="36"/>
      <c r="K1307" s="36"/>
      <c r="L1307" s="36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8"/>
      <c r="AS1307" s="38"/>
      <c r="AT1307" s="38"/>
      <c r="AU1307" s="33"/>
      <c r="AV1307" s="39"/>
    </row>
    <row r="1308" spans="4:48">
      <c r="D1308" s="33"/>
      <c r="E1308" s="33"/>
      <c r="F1308" s="33"/>
      <c r="G1308" s="33"/>
      <c r="H1308" s="34"/>
      <c r="J1308" s="36"/>
      <c r="K1308" s="36"/>
      <c r="L1308" s="36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8"/>
      <c r="AS1308" s="38"/>
      <c r="AT1308" s="38"/>
      <c r="AU1308" s="33"/>
      <c r="AV1308" s="39"/>
    </row>
    <row r="1309" spans="4:48">
      <c r="D1309" s="33"/>
      <c r="E1309" s="33"/>
      <c r="F1309" s="33"/>
      <c r="G1309" s="33"/>
      <c r="H1309" s="34"/>
      <c r="J1309" s="36"/>
      <c r="K1309" s="36"/>
      <c r="L1309" s="36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8"/>
      <c r="AS1309" s="38"/>
      <c r="AT1309" s="38"/>
      <c r="AU1309" s="33"/>
      <c r="AV1309" s="39"/>
    </row>
    <row r="1310" spans="4:48">
      <c r="D1310" s="33"/>
      <c r="E1310" s="33"/>
      <c r="F1310" s="33"/>
      <c r="G1310" s="33"/>
      <c r="H1310" s="34"/>
      <c r="J1310" s="36"/>
      <c r="K1310" s="36"/>
      <c r="L1310" s="36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8"/>
      <c r="AS1310" s="38"/>
      <c r="AT1310" s="38"/>
      <c r="AU1310" s="33"/>
      <c r="AV1310" s="39"/>
    </row>
    <row r="1311" spans="4:48">
      <c r="D1311" s="33"/>
      <c r="E1311" s="33"/>
      <c r="F1311" s="33"/>
      <c r="G1311" s="33"/>
      <c r="H1311" s="34"/>
      <c r="J1311" s="36"/>
      <c r="K1311" s="36"/>
      <c r="L1311" s="36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8"/>
      <c r="AS1311" s="38"/>
      <c r="AT1311" s="38"/>
      <c r="AU1311" s="33"/>
      <c r="AV1311" s="39"/>
    </row>
    <row r="1312" spans="4:48">
      <c r="D1312" s="33"/>
      <c r="E1312" s="33"/>
      <c r="F1312" s="33"/>
      <c r="G1312" s="33"/>
      <c r="H1312" s="34"/>
      <c r="J1312" s="36"/>
      <c r="K1312" s="36"/>
      <c r="L1312" s="36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8"/>
      <c r="AS1312" s="38"/>
      <c r="AT1312" s="38"/>
      <c r="AU1312" s="33"/>
      <c r="AV1312" s="39"/>
    </row>
    <row r="1313" spans="4:48">
      <c r="D1313" s="33"/>
      <c r="E1313" s="33"/>
      <c r="F1313" s="33"/>
      <c r="G1313" s="33"/>
      <c r="H1313" s="34"/>
      <c r="J1313" s="36"/>
      <c r="K1313" s="36"/>
      <c r="L1313" s="36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8"/>
      <c r="AS1313" s="38"/>
      <c r="AT1313" s="38"/>
      <c r="AU1313" s="33"/>
      <c r="AV1313" s="39"/>
    </row>
    <row r="1314" spans="4:48">
      <c r="D1314" s="33"/>
      <c r="E1314" s="33"/>
      <c r="F1314" s="33"/>
      <c r="G1314" s="33"/>
      <c r="H1314" s="34"/>
      <c r="J1314" s="36"/>
      <c r="K1314" s="36"/>
      <c r="L1314" s="36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8"/>
      <c r="AS1314" s="38"/>
      <c r="AT1314" s="38"/>
      <c r="AU1314" s="33"/>
      <c r="AV1314" s="39"/>
    </row>
    <row r="1315" spans="4:48">
      <c r="D1315" s="33"/>
      <c r="E1315" s="33"/>
      <c r="F1315" s="33"/>
      <c r="G1315" s="33"/>
      <c r="H1315" s="34"/>
      <c r="J1315" s="36"/>
      <c r="K1315" s="36"/>
      <c r="L1315" s="36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8"/>
      <c r="AS1315" s="38"/>
      <c r="AT1315" s="38"/>
      <c r="AU1315" s="33"/>
      <c r="AV1315" s="39"/>
    </row>
    <row r="1316" spans="4:48">
      <c r="D1316" s="33"/>
      <c r="E1316" s="33"/>
      <c r="F1316" s="33"/>
      <c r="G1316" s="33"/>
      <c r="H1316" s="34"/>
      <c r="J1316" s="36"/>
      <c r="K1316" s="36"/>
      <c r="L1316" s="36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8"/>
      <c r="AS1316" s="38"/>
      <c r="AT1316" s="38"/>
      <c r="AU1316" s="33"/>
      <c r="AV1316" s="39"/>
    </row>
    <row r="1317" spans="4:48">
      <c r="D1317" s="33"/>
      <c r="E1317" s="33"/>
      <c r="F1317" s="33"/>
      <c r="G1317" s="33"/>
      <c r="H1317" s="34"/>
      <c r="J1317" s="36"/>
      <c r="K1317" s="36"/>
      <c r="L1317" s="36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8"/>
      <c r="AS1317" s="38"/>
      <c r="AT1317" s="38"/>
      <c r="AU1317" s="33"/>
      <c r="AV1317" s="39"/>
    </row>
    <row r="1318" spans="4:48">
      <c r="D1318" s="33"/>
      <c r="E1318" s="33"/>
      <c r="F1318" s="33"/>
      <c r="G1318" s="33"/>
      <c r="H1318" s="34"/>
      <c r="J1318" s="36"/>
      <c r="K1318" s="36"/>
      <c r="L1318" s="36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8"/>
      <c r="AS1318" s="38"/>
      <c r="AT1318" s="38"/>
      <c r="AU1318" s="33"/>
      <c r="AV1318" s="39"/>
    </row>
    <row r="1319" spans="4:48">
      <c r="D1319" s="33"/>
      <c r="E1319" s="33"/>
      <c r="F1319" s="33"/>
      <c r="G1319" s="33"/>
      <c r="H1319" s="34"/>
      <c r="J1319" s="36"/>
      <c r="K1319" s="36"/>
      <c r="L1319" s="36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8"/>
      <c r="AS1319" s="38"/>
      <c r="AT1319" s="38"/>
      <c r="AU1319" s="33"/>
      <c r="AV1319" s="39"/>
    </row>
    <row r="1320" spans="4:48">
      <c r="D1320" s="33"/>
      <c r="E1320" s="33"/>
      <c r="F1320" s="33"/>
      <c r="G1320" s="33"/>
      <c r="H1320" s="34"/>
      <c r="J1320" s="36"/>
      <c r="K1320" s="36"/>
      <c r="L1320" s="36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8"/>
      <c r="AS1320" s="38"/>
      <c r="AT1320" s="38"/>
      <c r="AU1320" s="33"/>
      <c r="AV1320" s="39"/>
    </row>
    <row r="1321" spans="4:48">
      <c r="D1321" s="33"/>
      <c r="E1321" s="33"/>
      <c r="F1321" s="33"/>
      <c r="G1321" s="33"/>
      <c r="H1321" s="34"/>
      <c r="J1321" s="36"/>
      <c r="K1321" s="36"/>
      <c r="L1321" s="36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8"/>
      <c r="AS1321" s="38"/>
      <c r="AT1321" s="38"/>
      <c r="AU1321" s="33"/>
      <c r="AV1321" s="39"/>
    </row>
    <row r="1322" spans="4:48">
      <c r="D1322" s="33"/>
      <c r="E1322" s="33"/>
      <c r="F1322" s="33"/>
      <c r="G1322" s="33"/>
      <c r="H1322" s="34"/>
      <c r="J1322" s="36"/>
      <c r="K1322" s="36"/>
      <c r="L1322" s="36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8"/>
      <c r="AS1322" s="38"/>
      <c r="AT1322" s="38"/>
      <c r="AU1322" s="33"/>
      <c r="AV1322" s="39"/>
    </row>
    <row r="1323" spans="4:48">
      <c r="D1323" s="33"/>
      <c r="E1323" s="33"/>
      <c r="F1323" s="33"/>
      <c r="G1323" s="33"/>
      <c r="H1323" s="34"/>
      <c r="J1323" s="36"/>
      <c r="K1323" s="36"/>
      <c r="L1323" s="36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8"/>
      <c r="AS1323" s="38"/>
      <c r="AT1323" s="38"/>
      <c r="AU1323" s="33"/>
      <c r="AV1323" s="39"/>
    </row>
    <row r="1324" spans="4:48">
      <c r="D1324" s="33"/>
      <c r="E1324" s="33"/>
      <c r="F1324" s="33"/>
      <c r="G1324" s="33"/>
      <c r="H1324" s="34"/>
      <c r="J1324" s="36"/>
      <c r="K1324" s="36"/>
      <c r="L1324" s="36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8"/>
      <c r="AS1324" s="38"/>
      <c r="AT1324" s="38"/>
      <c r="AU1324" s="33"/>
      <c r="AV1324" s="39"/>
    </row>
    <row r="1325" spans="4:48">
      <c r="D1325" s="33"/>
      <c r="E1325" s="33"/>
      <c r="F1325" s="33"/>
      <c r="G1325" s="33"/>
      <c r="H1325" s="34"/>
      <c r="J1325" s="36"/>
      <c r="K1325" s="36"/>
      <c r="L1325" s="36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8"/>
      <c r="AS1325" s="38"/>
      <c r="AT1325" s="38"/>
      <c r="AU1325" s="33"/>
      <c r="AV1325" s="39"/>
    </row>
    <row r="1326" spans="4:48">
      <c r="D1326" s="33"/>
      <c r="E1326" s="33"/>
      <c r="F1326" s="33"/>
      <c r="G1326" s="33"/>
      <c r="H1326" s="34"/>
      <c r="J1326" s="36"/>
      <c r="K1326" s="36"/>
      <c r="L1326" s="36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8"/>
      <c r="AS1326" s="38"/>
      <c r="AT1326" s="38"/>
      <c r="AU1326" s="33"/>
      <c r="AV1326" s="39"/>
    </row>
    <row r="1327" spans="4:48">
      <c r="D1327" s="33"/>
      <c r="E1327" s="33"/>
      <c r="F1327" s="33"/>
      <c r="G1327" s="33"/>
      <c r="H1327" s="34"/>
      <c r="J1327" s="36"/>
      <c r="K1327" s="36"/>
      <c r="L1327" s="36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8"/>
      <c r="AS1327" s="38"/>
      <c r="AT1327" s="38"/>
      <c r="AU1327" s="33"/>
      <c r="AV1327" s="39"/>
    </row>
    <row r="1328" spans="4:48">
      <c r="D1328" s="33"/>
      <c r="E1328" s="33"/>
      <c r="F1328" s="33"/>
      <c r="G1328" s="33"/>
      <c r="H1328" s="34"/>
      <c r="J1328" s="36"/>
      <c r="K1328" s="36"/>
      <c r="L1328" s="36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8"/>
      <c r="AS1328" s="38"/>
      <c r="AT1328" s="38"/>
      <c r="AU1328" s="33"/>
      <c r="AV1328" s="39"/>
    </row>
    <row r="1329" spans="4:48">
      <c r="D1329" s="33"/>
      <c r="E1329" s="33"/>
      <c r="F1329" s="33"/>
      <c r="G1329" s="33"/>
      <c r="H1329" s="34"/>
      <c r="J1329" s="36"/>
      <c r="K1329" s="36"/>
      <c r="L1329" s="36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8"/>
      <c r="AS1329" s="38"/>
      <c r="AT1329" s="38"/>
      <c r="AU1329" s="33"/>
      <c r="AV1329" s="39"/>
    </row>
    <row r="1330" spans="4:48">
      <c r="D1330" s="33"/>
      <c r="E1330" s="33"/>
      <c r="F1330" s="33"/>
      <c r="G1330" s="33"/>
      <c r="H1330" s="34"/>
      <c r="J1330" s="36"/>
      <c r="K1330" s="36"/>
      <c r="L1330" s="36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8"/>
      <c r="AS1330" s="38"/>
      <c r="AT1330" s="38"/>
      <c r="AU1330" s="33"/>
      <c r="AV1330" s="39"/>
    </row>
    <row r="1331" spans="4:48">
      <c r="D1331" s="33"/>
      <c r="E1331" s="33"/>
      <c r="F1331" s="33"/>
      <c r="G1331" s="33"/>
      <c r="H1331" s="34"/>
      <c r="J1331" s="36"/>
      <c r="K1331" s="36"/>
      <c r="L1331" s="36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8"/>
      <c r="AS1331" s="38"/>
      <c r="AT1331" s="38"/>
      <c r="AU1331" s="33"/>
      <c r="AV1331" s="39"/>
    </row>
    <row r="1332" spans="4:48">
      <c r="D1332" s="33"/>
      <c r="E1332" s="33"/>
      <c r="F1332" s="33"/>
      <c r="G1332" s="33"/>
      <c r="H1332" s="34"/>
      <c r="J1332" s="36"/>
      <c r="K1332" s="36"/>
      <c r="L1332" s="36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8"/>
      <c r="AS1332" s="38"/>
      <c r="AT1332" s="38"/>
      <c r="AU1332" s="33"/>
      <c r="AV1332" s="39"/>
    </row>
    <row r="1333" spans="4:48">
      <c r="D1333" s="33"/>
      <c r="E1333" s="33"/>
      <c r="F1333" s="33"/>
      <c r="G1333" s="33"/>
      <c r="H1333" s="34"/>
      <c r="J1333" s="36"/>
      <c r="K1333" s="36"/>
      <c r="L1333" s="36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8"/>
      <c r="AS1333" s="38"/>
      <c r="AT1333" s="38"/>
      <c r="AU1333" s="33"/>
      <c r="AV1333" s="39"/>
    </row>
    <row r="1334" spans="4:48">
      <c r="D1334" s="33"/>
      <c r="E1334" s="33"/>
      <c r="F1334" s="33"/>
      <c r="G1334" s="33"/>
      <c r="H1334" s="34"/>
      <c r="J1334" s="36"/>
      <c r="K1334" s="36"/>
      <c r="L1334" s="36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8"/>
      <c r="AS1334" s="38"/>
      <c r="AT1334" s="38"/>
      <c r="AU1334" s="33"/>
      <c r="AV1334" s="39"/>
    </row>
    <row r="1335" spans="4:48">
      <c r="D1335" s="33"/>
      <c r="E1335" s="33"/>
      <c r="F1335" s="33"/>
      <c r="G1335" s="33"/>
      <c r="H1335" s="34"/>
      <c r="J1335" s="36"/>
      <c r="K1335" s="36"/>
      <c r="L1335" s="36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8"/>
      <c r="AS1335" s="38"/>
      <c r="AT1335" s="38"/>
      <c r="AU1335" s="33"/>
      <c r="AV1335" s="39"/>
    </row>
    <row r="1336" spans="4:48">
      <c r="D1336" s="33"/>
      <c r="E1336" s="33"/>
      <c r="F1336" s="33"/>
      <c r="G1336" s="33"/>
      <c r="H1336" s="34"/>
      <c r="J1336" s="36"/>
      <c r="K1336" s="36"/>
      <c r="L1336" s="36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8"/>
      <c r="AS1336" s="38"/>
      <c r="AT1336" s="38"/>
      <c r="AU1336" s="33"/>
      <c r="AV1336" s="39"/>
    </row>
    <row r="1337" spans="4:48">
      <c r="D1337" s="33"/>
      <c r="E1337" s="33"/>
      <c r="F1337" s="33"/>
      <c r="G1337" s="33"/>
      <c r="H1337" s="34"/>
      <c r="J1337" s="36"/>
      <c r="K1337" s="36"/>
      <c r="L1337" s="36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8"/>
      <c r="AS1337" s="38"/>
      <c r="AT1337" s="38"/>
      <c r="AU1337" s="33"/>
      <c r="AV1337" s="39"/>
    </row>
    <row r="1338" spans="4:48">
      <c r="D1338" s="33"/>
      <c r="E1338" s="33"/>
      <c r="F1338" s="33"/>
      <c r="G1338" s="33"/>
      <c r="H1338" s="34"/>
      <c r="J1338" s="36"/>
      <c r="K1338" s="36"/>
      <c r="L1338" s="36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8"/>
      <c r="AS1338" s="38"/>
      <c r="AT1338" s="38"/>
      <c r="AU1338" s="33"/>
      <c r="AV1338" s="39"/>
    </row>
    <row r="1339" spans="4:48">
      <c r="D1339" s="33"/>
      <c r="E1339" s="33"/>
      <c r="F1339" s="33"/>
      <c r="G1339" s="33"/>
      <c r="H1339" s="34"/>
      <c r="J1339" s="36"/>
      <c r="K1339" s="36"/>
      <c r="L1339" s="36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8"/>
      <c r="AS1339" s="38"/>
      <c r="AT1339" s="38"/>
      <c r="AU1339" s="33"/>
      <c r="AV1339" s="39"/>
    </row>
    <row r="1340" spans="4:48">
      <c r="D1340" s="33"/>
      <c r="E1340" s="33"/>
      <c r="F1340" s="33"/>
      <c r="G1340" s="33"/>
      <c r="H1340" s="34"/>
      <c r="J1340" s="36"/>
      <c r="K1340" s="36"/>
      <c r="L1340" s="36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8"/>
      <c r="AS1340" s="38"/>
      <c r="AT1340" s="38"/>
      <c r="AU1340" s="33"/>
      <c r="AV1340" s="39"/>
    </row>
    <row r="1341" spans="4:48">
      <c r="D1341" s="33"/>
      <c r="E1341" s="33"/>
      <c r="F1341" s="33"/>
      <c r="G1341" s="33"/>
      <c r="H1341" s="34"/>
      <c r="J1341" s="36"/>
      <c r="K1341" s="36"/>
      <c r="L1341" s="36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8"/>
      <c r="AS1341" s="38"/>
      <c r="AT1341" s="38"/>
      <c r="AU1341" s="33"/>
      <c r="AV1341" s="39"/>
    </row>
    <row r="1342" spans="4:48">
      <c r="D1342" s="33"/>
      <c r="E1342" s="33"/>
      <c r="F1342" s="33"/>
      <c r="G1342" s="33"/>
      <c r="H1342" s="34"/>
      <c r="J1342" s="36"/>
      <c r="K1342" s="36"/>
      <c r="L1342" s="36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8"/>
      <c r="AS1342" s="38"/>
      <c r="AT1342" s="38"/>
      <c r="AU1342" s="33"/>
      <c r="AV1342" s="39"/>
    </row>
    <row r="1343" spans="4:48">
      <c r="D1343" s="33"/>
      <c r="E1343" s="33"/>
      <c r="F1343" s="33"/>
      <c r="G1343" s="33"/>
      <c r="H1343" s="34"/>
      <c r="J1343" s="36"/>
      <c r="K1343" s="36"/>
      <c r="L1343" s="36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8"/>
      <c r="AS1343" s="38"/>
      <c r="AT1343" s="38"/>
      <c r="AU1343" s="33"/>
      <c r="AV1343" s="39"/>
    </row>
    <row r="1344" spans="4:48">
      <c r="D1344" s="33"/>
      <c r="E1344" s="33"/>
      <c r="F1344" s="33"/>
      <c r="G1344" s="33"/>
      <c r="H1344" s="34"/>
      <c r="J1344" s="36"/>
      <c r="K1344" s="36"/>
      <c r="L1344" s="36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8"/>
      <c r="AS1344" s="38"/>
      <c r="AT1344" s="38"/>
      <c r="AU1344" s="33"/>
      <c r="AV1344" s="39"/>
    </row>
    <row r="1345" spans="4:48">
      <c r="D1345" s="33"/>
      <c r="E1345" s="33"/>
      <c r="F1345" s="33"/>
      <c r="G1345" s="33"/>
      <c r="H1345" s="34"/>
      <c r="J1345" s="36"/>
      <c r="K1345" s="36"/>
      <c r="L1345" s="36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8"/>
      <c r="AS1345" s="38"/>
      <c r="AT1345" s="38"/>
      <c r="AU1345" s="33"/>
      <c r="AV1345" s="39"/>
    </row>
    <row r="1346" spans="4:48">
      <c r="D1346" s="33"/>
      <c r="E1346" s="33"/>
      <c r="F1346" s="33"/>
      <c r="G1346" s="33"/>
      <c r="H1346" s="34"/>
      <c r="J1346" s="36"/>
      <c r="K1346" s="36"/>
      <c r="L1346" s="36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8"/>
      <c r="AS1346" s="38"/>
      <c r="AT1346" s="38"/>
      <c r="AU1346" s="33"/>
      <c r="AV1346" s="39"/>
    </row>
    <row r="1347" spans="4:48">
      <c r="D1347" s="33"/>
      <c r="E1347" s="33"/>
      <c r="F1347" s="33"/>
      <c r="G1347" s="33"/>
      <c r="H1347" s="34"/>
      <c r="J1347" s="36"/>
      <c r="K1347" s="36"/>
      <c r="L1347" s="36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8"/>
      <c r="AS1347" s="38"/>
      <c r="AT1347" s="38"/>
      <c r="AU1347" s="33"/>
      <c r="AV1347" s="39"/>
    </row>
    <row r="1348" spans="4:48">
      <c r="D1348" s="33"/>
      <c r="E1348" s="33"/>
      <c r="F1348" s="33"/>
      <c r="G1348" s="33"/>
      <c r="H1348" s="34"/>
      <c r="J1348" s="36"/>
      <c r="K1348" s="36"/>
      <c r="L1348" s="36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8"/>
      <c r="AS1348" s="38"/>
      <c r="AT1348" s="38"/>
      <c r="AU1348" s="33"/>
      <c r="AV1348" s="39"/>
    </row>
    <row r="1349" spans="4:48">
      <c r="D1349" s="33"/>
      <c r="E1349" s="33"/>
      <c r="F1349" s="33"/>
      <c r="G1349" s="33"/>
      <c r="H1349" s="34"/>
      <c r="J1349" s="36"/>
      <c r="K1349" s="36"/>
      <c r="L1349" s="36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8"/>
      <c r="AS1349" s="38"/>
      <c r="AT1349" s="38"/>
      <c r="AU1349" s="33"/>
      <c r="AV1349" s="39"/>
    </row>
    <row r="1350" spans="4:48">
      <c r="D1350" s="33"/>
      <c r="E1350" s="33"/>
      <c r="F1350" s="33"/>
      <c r="G1350" s="33"/>
      <c r="H1350" s="34"/>
      <c r="J1350" s="36"/>
      <c r="K1350" s="36"/>
      <c r="L1350" s="36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8"/>
      <c r="AS1350" s="38"/>
      <c r="AT1350" s="38"/>
      <c r="AU1350" s="33"/>
      <c r="AV1350" s="39"/>
    </row>
    <row r="1351" spans="4:48">
      <c r="D1351" s="33"/>
      <c r="E1351" s="33"/>
      <c r="F1351" s="33"/>
      <c r="G1351" s="33"/>
      <c r="H1351" s="34"/>
      <c r="J1351" s="36"/>
      <c r="K1351" s="36"/>
      <c r="L1351" s="36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8"/>
      <c r="AS1351" s="38"/>
      <c r="AT1351" s="38"/>
      <c r="AU1351" s="33"/>
      <c r="AV1351" s="39"/>
    </row>
    <row r="1352" spans="4:48">
      <c r="D1352" s="33"/>
      <c r="E1352" s="33"/>
      <c r="F1352" s="33"/>
      <c r="G1352" s="33"/>
      <c r="H1352" s="34"/>
      <c r="J1352" s="36"/>
      <c r="K1352" s="36"/>
      <c r="L1352" s="36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8"/>
      <c r="AS1352" s="38"/>
      <c r="AT1352" s="38"/>
      <c r="AU1352" s="33"/>
      <c r="AV1352" s="39"/>
    </row>
    <row r="1353" spans="4:48">
      <c r="D1353" s="33"/>
      <c r="E1353" s="33"/>
      <c r="F1353" s="33"/>
      <c r="G1353" s="33"/>
      <c r="H1353" s="34"/>
      <c r="J1353" s="36"/>
      <c r="K1353" s="36"/>
      <c r="L1353" s="36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8"/>
      <c r="AS1353" s="38"/>
      <c r="AT1353" s="38"/>
      <c r="AU1353" s="33"/>
      <c r="AV1353" s="39"/>
    </row>
    <row r="1354" spans="4:48">
      <c r="D1354" s="33"/>
      <c r="E1354" s="33"/>
      <c r="F1354" s="33"/>
      <c r="G1354" s="33"/>
      <c r="H1354" s="34"/>
      <c r="J1354" s="36"/>
      <c r="K1354" s="36"/>
      <c r="L1354" s="36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8"/>
      <c r="AS1354" s="38"/>
      <c r="AT1354" s="38"/>
      <c r="AU1354" s="33"/>
      <c r="AV1354" s="39"/>
    </row>
    <row r="1355" spans="4:48">
      <c r="D1355" s="33"/>
      <c r="E1355" s="33"/>
      <c r="F1355" s="33"/>
      <c r="G1355" s="33"/>
      <c r="H1355" s="34"/>
      <c r="J1355" s="36"/>
      <c r="K1355" s="36"/>
      <c r="L1355" s="36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8"/>
      <c r="AS1355" s="38"/>
      <c r="AT1355" s="38"/>
      <c r="AU1355" s="33"/>
      <c r="AV1355" s="39"/>
    </row>
    <row r="1356" spans="4:48">
      <c r="D1356" s="33"/>
      <c r="E1356" s="33"/>
      <c r="F1356" s="33"/>
      <c r="G1356" s="33"/>
      <c r="H1356" s="34"/>
      <c r="J1356" s="36"/>
      <c r="K1356" s="36"/>
      <c r="L1356" s="36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8"/>
      <c r="AS1356" s="38"/>
      <c r="AT1356" s="38"/>
      <c r="AU1356" s="33"/>
      <c r="AV1356" s="39"/>
    </row>
    <row r="1357" spans="4:48">
      <c r="D1357" s="33"/>
      <c r="E1357" s="33"/>
      <c r="F1357" s="33"/>
      <c r="G1357" s="33"/>
      <c r="H1357" s="34"/>
      <c r="J1357" s="36"/>
      <c r="K1357" s="36"/>
      <c r="L1357" s="36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8"/>
      <c r="AS1357" s="38"/>
      <c r="AT1357" s="38"/>
      <c r="AU1357" s="33"/>
      <c r="AV1357" s="39"/>
    </row>
    <row r="1358" spans="4:48">
      <c r="D1358" s="33"/>
      <c r="E1358" s="33"/>
      <c r="F1358" s="33"/>
      <c r="G1358" s="33"/>
      <c r="H1358" s="34"/>
      <c r="J1358" s="36"/>
      <c r="K1358" s="36"/>
      <c r="L1358" s="36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8"/>
      <c r="AS1358" s="38"/>
      <c r="AT1358" s="38"/>
      <c r="AU1358" s="33"/>
      <c r="AV1358" s="39"/>
    </row>
    <row r="1359" spans="4:48">
      <c r="D1359" s="33"/>
      <c r="E1359" s="33"/>
      <c r="F1359" s="33"/>
      <c r="G1359" s="33"/>
      <c r="H1359" s="34"/>
      <c r="J1359" s="36"/>
      <c r="K1359" s="36"/>
      <c r="L1359" s="36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8"/>
      <c r="AS1359" s="38"/>
      <c r="AT1359" s="38"/>
      <c r="AU1359" s="33"/>
      <c r="AV1359" s="39"/>
    </row>
    <row r="1360" spans="4:48">
      <c r="D1360" s="33"/>
      <c r="E1360" s="33"/>
      <c r="F1360" s="33"/>
      <c r="G1360" s="33"/>
      <c r="H1360" s="34"/>
      <c r="J1360" s="36"/>
      <c r="K1360" s="36"/>
      <c r="L1360" s="36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8"/>
      <c r="AS1360" s="38"/>
      <c r="AT1360" s="38"/>
      <c r="AU1360" s="33"/>
      <c r="AV1360" s="39"/>
    </row>
    <row r="1361" spans="4:48">
      <c r="D1361" s="33"/>
      <c r="E1361" s="33"/>
      <c r="F1361" s="33"/>
      <c r="G1361" s="33"/>
      <c r="H1361" s="34"/>
      <c r="J1361" s="36"/>
      <c r="K1361" s="36"/>
      <c r="L1361" s="36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8"/>
      <c r="AS1361" s="38"/>
      <c r="AT1361" s="38"/>
      <c r="AU1361" s="33"/>
      <c r="AV1361" s="39"/>
    </row>
    <row r="1362" spans="4:48">
      <c r="D1362" s="33"/>
      <c r="E1362" s="33"/>
      <c r="F1362" s="33"/>
      <c r="G1362" s="33"/>
      <c r="H1362" s="34"/>
      <c r="J1362" s="36"/>
      <c r="K1362" s="36"/>
      <c r="L1362" s="36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8"/>
      <c r="AS1362" s="38"/>
      <c r="AT1362" s="38"/>
      <c r="AU1362" s="33"/>
      <c r="AV1362" s="39"/>
    </row>
    <row r="1363" spans="4:48">
      <c r="D1363" s="33"/>
      <c r="E1363" s="33"/>
      <c r="F1363" s="33"/>
      <c r="G1363" s="33"/>
      <c r="H1363" s="34"/>
      <c r="J1363" s="36"/>
      <c r="K1363" s="36"/>
      <c r="L1363" s="36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8"/>
      <c r="AS1363" s="38"/>
      <c r="AT1363" s="38"/>
      <c r="AU1363" s="33"/>
      <c r="AV1363" s="39"/>
    </row>
    <row r="1364" spans="4:48">
      <c r="D1364" s="33"/>
      <c r="E1364" s="33"/>
      <c r="F1364" s="33"/>
      <c r="G1364" s="33"/>
      <c r="H1364" s="34"/>
      <c r="J1364" s="36"/>
      <c r="K1364" s="36"/>
      <c r="L1364" s="36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8"/>
      <c r="AS1364" s="38"/>
      <c r="AT1364" s="38"/>
      <c r="AU1364" s="33"/>
      <c r="AV1364" s="39"/>
    </row>
    <row r="1365" spans="4:48">
      <c r="D1365" s="33"/>
      <c r="E1365" s="33"/>
      <c r="F1365" s="33"/>
      <c r="G1365" s="33"/>
      <c r="H1365" s="34"/>
      <c r="J1365" s="36"/>
      <c r="K1365" s="36"/>
      <c r="L1365" s="36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8"/>
      <c r="AS1365" s="38"/>
      <c r="AT1365" s="38"/>
      <c r="AU1365" s="33"/>
      <c r="AV1365" s="39"/>
    </row>
    <row r="1366" spans="4:48">
      <c r="D1366" s="33"/>
      <c r="E1366" s="33"/>
      <c r="F1366" s="33"/>
      <c r="G1366" s="33"/>
      <c r="H1366" s="34"/>
      <c r="J1366" s="36"/>
      <c r="K1366" s="36"/>
      <c r="L1366" s="36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8"/>
      <c r="AS1366" s="38"/>
      <c r="AT1366" s="38"/>
      <c r="AU1366" s="33"/>
      <c r="AV1366" s="39"/>
    </row>
    <row r="1367" spans="4:48">
      <c r="D1367" s="33"/>
      <c r="E1367" s="33"/>
      <c r="F1367" s="33"/>
      <c r="G1367" s="33"/>
      <c r="H1367" s="34"/>
      <c r="J1367" s="36"/>
      <c r="K1367" s="36"/>
      <c r="L1367" s="36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8"/>
      <c r="AS1367" s="38"/>
      <c r="AT1367" s="38"/>
      <c r="AU1367" s="33"/>
      <c r="AV1367" s="39"/>
    </row>
    <row r="1368" spans="4:48">
      <c r="D1368" s="33"/>
      <c r="E1368" s="33"/>
      <c r="F1368" s="33"/>
      <c r="G1368" s="33"/>
      <c r="H1368" s="34"/>
      <c r="J1368" s="36"/>
      <c r="K1368" s="36"/>
      <c r="L1368" s="36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8"/>
      <c r="AS1368" s="38"/>
      <c r="AT1368" s="38"/>
      <c r="AU1368" s="33"/>
      <c r="AV1368" s="39"/>
    </row>
    <row r="1369" spans="4:48">
      <c r="D1369" s="33"/>
      <c r="E1369" s="33"/>
      <c r="F1369" s="33"/>
      <c r="G1369" s="33"/>
      <c r="H1369" s="34"/>
      <c r="J1369" s="36"/>
      <c r="K1369" s="36"/>
      <c r="L1369" s="36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8"/>
      <c r="AS1369" s="38"/>
      <c r="AT1369" s="38"/>
      <c r="AU1369" s="33"/>
      <c r="AV1369" s="39"/>
    </row>
    <row r="1370" spans="4:48">
      <c r="D1370" s="33"/>
      <c r="E1370" s="33"/>
      <c r="F1370" s="33"/>
      <c r="G1370" s="33"/>
      <c r="H1370" s="34"/>
      <c r="J1370" s="36"/>
      <c r="K1370" s="36"/>
      <c r="L1370" s="36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8"/>
      <c r="AS1370" s="38"/>
      <c r="AT1370" s="38"/>
      <c r="AU1370" s="33"/>
      <c r="AV1370" s="39"/>
    </row>
    <row r="1371" spans="4:48">
      <c r="D1371" s="33"/>
      <c r="E1371" s="33"/>
      <c r="F1371" s="33"/>
      <c r="G1371" s="33"/>
      <c r="H1371" s="34"/>
      <c r="J1371" s="36"/>
      <c r="K1371" s="36"/>
      <c r="L1371" s="36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8"/>
      <c r="AS1371" s="38"/>
      <c r="AT1371" s="38"/>
      <c r="AU1371" s="33"/>
      <c r="AV1371" s="39"/>
    </row>
    <row r="1372" spans="4:48">
      <c r="D1372" s="33"/>
      <c r="E1372" s="33"/>
      <c r="F1372" s="33"/>
      <c r="G1372" s="33"/>
      <c r="H1372" s="34"/>
      <c r="J1372" s="36"/>
      <c r="K1372" s="36"/>
      <c r="L1372" s="36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8"/>
      <c r="AS1372" s="38"/>
      <c r="AT1372" s="38"/>
      <c r="AU1372" s="33"/>
      <c r="AV1372" s="39"/>
    </row>
    <row r="1373" spans="4:48">
      <c r="D1373" s="33"/>
      <c r="E1373" s="33"/>
      <c r="F1373" s="33"/>
      <c r="G1373" s="33"/>
      <c r="H1373" s="34"/>
      <c r="J1373" s="36"/>
      <c r="K1373" s="36"/>
      <c r="L1373" s="36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8"/>
      <c r="AS1373" s="38"/>
      <c r="AT1373" s="38"/>
      <c r="AU1373" s="33"/>
      <c r="AV1373" s="39"/>
    </row>
    <row r="1374" spans="4:48">
      <c r="D1374" s="33"/>
      <c r="E1374" s="33"/>
      <c r="F1374" s="33"/>
      <c r="G1374" s="33"/>
      <c r="H1374" s="34"/>
      <c r="J1374" s="36"/>
      <c r="K1374" s="36"/>
      <c r="L1374" s="36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8"/>
      <c r="AS1374" s="38"/>
      <c r="AT1374" s="38"/>
      <c r="AU1374" s="33"/>
      <c r="AV1374" s="39"/>
    </row>
    <row r="1375" spans="4:48">
      <c r="D1375" s="33"/>
      <c r="E1375" s="33"/>
      <c r="F1375" s="33"/>
      <c r="G1375" s="33"/>
      <c r="H1375" s="34"/>
      <c r="J1375" s="36"/>
      <c r="K1375" s="36"/>
      <c r="L1375" s="36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8"/>
      <c r="AS1375" s="38"/>
      <c r="AT1375" s="38"/>
      <c r="AU1375" s="33"/>
      <c r="AV1375" s="39"/>
    </row>
    <row r="1376" spans="4:48">
      <c r="D1376" s="33"/>
      <c r="E1376" s="33"/>
      <c r="F1376" s="33"/>
      <c r="G1376" s="33"/>
      <c r="H1376" s="34"/>
      <c r="J1376" s="36"/>
      <c r="K1376" s="36"/>
      <c r="L1376" s="36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8"/>
      <c r="AS1376" s="38"/>
      <c r="AT1376" s="38"/>
      <c r="AU1376" s="33"/>
      <c r="AV1376" s="39"/>
    </row>
    <row r="1377" spans="4:48">
      <c r="D1377" s="33"/>
      <c r="E1377" s="33"/>
      <c r="F1377" s="33"/>
      <c r="G1377" s="33"/>
      <c r="H1377" s="34"/>
      <c r="J1377" s="36"/>
      <c r="K1377" s="36"/>
      <c r="L1377" s="36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8"/>
      <c r="AS1377" s="38"/>
      <c r="AT1377" s="38"/>
      <c r="AU1377" s="33"/>
      <c r="AV1377" s="39"/>
    </row>
    <row r="1378" spans="4:48">
      <c r="D1378" s="33"/>
      <c r="E1378" s="33"/>
      <c r="F1378" s="33"/>
      <c r="G1378" s="33"/>
      <c r="H1378" s="34"/>
      <c r="J1378" s="36"/>
      <c r="K1378" s="36"/>
      <c r="L1378" s="36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8"/>
      <c r="AS1378" s="38"/>
      <c r="AT1378" s="38"/>
      <c r="AU1378" s="33"/>
      <c r="AV1378" s="39"/>
    </row>
    <row r="1379" spans="4:48">
      <c r="D1379" s="33"/>
      <c r="E1379" s="33"/>
      <c r="F1379" s="33"/>
      <c r="G1379" s="33"/>
      <c r="H1379" s="34"/>
      <c r="J1379" s="36"/>
      <c r="K1379" s="36"/>
      <c r="L1379" s="36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8"/>
      <c r="AS1379" s="38"/>
      <c r="AT1379" s="38"/>
      <c r="AU1379" s="33"/>
      <c r="AV1379" s="39"/>
    </row>
    <row r="1380" spans="4:48">
      <c r="D1380" s="33"/>
      <c r="E1380" s="33"/>
      <c r="F1380" s="33"/>
      <c r="G1380" s="33"/>
      <c r="H1380" s="34"/>
      <c r="J1380" s="36"/>
      <c r="K1380" s="36"/>
      <c r="L1380" s="36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8"/>
      <c r="AS1380" s="38"/>
      <c r="AT1380" s="38"/>
      <c r="AU1380" s="33"/>
      <c r="AV1380" s="39"/>
    </row>
    <row r="1381" spans="4:48">
      <c r="D1381" s="33"/>
      <c r="E1381" s="33"/>
      <c r="F1381" s="33"/>
      <c r="G1381" s="33"/>
      <c r="H1381" s="34"/>
      <c r="J1381" s="36"/>
      <c r="K1381" s="36"/>
      <c r="L1381" s="36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8"/>
      <c r="AS1381" s="38"/>
      <c r="AT1381" s="38"/>
      <c r="AU1381" s="33"/>
      <c r="AV1381" s="39"/>
    </row>
    <row r="1382" spans="4:48">
      <c r="D1382" s="33"/>
      <c r="E1382" s="33"/>
      <c r="F1382" s="33"/>
      <c r="G1382" s="33"/>
      <c r="H1382" s="34"/>
      <c r="J1382" s="36"/>
      <c r="K1382" s="36"/>
      <c r="L1382" s="36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8"/>
      <c r="AS1382" s="38"/>
      <c r="AT1382" s="38"/>
      <c r="AU1382" s="33"/>
      <c r="AV1382" s="39"/>
    </row>
    <row r="1383" spans="4:48">
      <c r="D1383" s="33"/>
      <c r="E1383" s="33"/>
      <c r="F1383" s="33"/>
      <c r="G1383" s="33"/>
      <c r="H1383" s="34"/>
      <c r="J1383" s="36"/>
      <c r="K1383" s="36"/>
      <c r="L1383" s="36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8"/>
      <c r="AS1383" s="38"/>
      <c r="AT1383" s="38"/>
      <c r="AU1383" s="33"/>
      <c r="AV1383" s="39"/>
    </row>
    <row r="1384" spans="4:48">
      <c r="D1384" s="33"/>
      <c r="E1384" s="33"/>
      <c r="F1384" s="33"/>
      <c r="G1384" s="33"/>
      <c r="H1384" s="34"/>
      <c r="J1384" s="36"/>
      <c r="K1384" s="36"/>
      <c r="L1384" s="36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8"/>
      <c r="AS1384" s="38"/>
      <c r="AT1384" s="38"/>
      <c r="AU1384" s="33"/>
      <c r="AV1384" s="39"/>
    </row>
    <row r="1385" spans="4:48">
      <c r="D1385" s="33"/>
      <c r="E1385" s="33"/>
      <c r="F1385" s="33"/>
      <c r="G1385" s="33"/>
      <c r="H1385" s="34"/>
      <c r="J1385" s="36"/>
      <c r="K1385" s="36"/>
      <c r="L1385" s="36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8"/>
      <c r="AS1385" s="38"/>
      <c r="AT1385" s="38"/>
      <c r="AU1385" s="33"/>
      <c r="AV1385" s="39"/>
    </row>
    <row r="1386" spans="4:48">
      <c r="D1386" s="33"/>
      <c r="E1386" s="33"/>
      <c r="F1386" s="33"/>
      <c r="G1386" s="33"/>
      <c r="H1386" s="34"/>
      <c r="J1386" s="36"/>
      <c r="K1386" s="36"/>
      <c r="L1386" s="36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8"/>
      <c r="AS1386" s="38"/>
      <c r="AT1386" s="38"/>
      <c r="AU1386" s="33"/>
      <c r="AV1386" s="39"/>
    </row>
    <row r="1387" spans="4:48">
      <c r="D1387" s="33"/>
      <c r="E1387" s="33"/>
      <c r="F1387" s="33"/>
      <c r="G1387" s="33"/>
      <c r="H1387" s="34"/>
      <c r="J1387" s="36"/>
      <c r="K1387" s="36"/>
      <c r="L1387" s="36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8"/>
      <c r="AS1387" s="38"/>
      <c r="AT1387" s="38"/>
      <c r="AU1387" s="33"/>
      <c r="AV1387" s="39"/>
    </row>
    <row r="1388" spans="4:48">
      <c r="D1388" s="33"/>
      <c r="E1388" s="33"/>
      <c r="F1388" s="33"/>
      <c r="G1388" s="33"/>
      <c r="H1388" s="34"/>
      <c r="J1388" s="36"/>
      <c r="K1388" s="36"/>
      <c r="L1388" s="36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8"/>
      <c r="AS1388" s="38"/>
      <c r="AT1388" s="38"/>
      <c r="AU1388" s="33"/>
      <c r="AV1388" s="39"/>
    </row>
    <row r="1389" spans="4:48">
      <c r="D1389" s="33"/>
      <c r="E1389" s="33"/>
      <c r="F1389" s="33"/>
      <c r="G1389" s="33"/>
      <c r="H1389" s="34"/>
      <c r="J1389" s="36"/>
      <c r="K1389" s="36"/>
      <c r="L1389" s="36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8"/>
      <c r="AS1389" s="38"/>
      <c r="AT1389" s="38"/>
      <c r="AU1389" s="33"/>
      <c r="AV1389" s="39"/>
    </row>
    <row r="1390" spans="4:48">
      <c r="D1390" s="33"/>
      <c r="E1390" s="33"/>
      <c r="F1390" s="33"/>
      <c r="G1390" s="33"/>
      <c r="H1390" s="34"/>
      <c r="J1390" s="36"/>
      <c r="K1390" s="36"/>
      <c r="L1390" s="36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8"/>
      <c r="AS1390" s="38"/>
      <c r="AT1390" s="38"/>
      <c r="AU1390" s="33"/>
      <c r="AV1390" s="39"/>
    </row>
    <row r="1391" spans="4:48">
      <c r="D1391" s="33"/>
      <c r="E1391" s="33"/>
      <c r="F1391" s="33"/>
      <c r="G1391" s="33"/>
      <c r="H1391" s="34"/>
      <c r="J1391" s="36"/>
      <c r="K1391" s="36"/>
      <c r="L1391" s="36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8"/>
      <c r="AS1391" s="38"/>
      <c r="AT1391" s="38"/>
      <c r="AU1391" s="33"/>
      <c r="AV1391" s="39"/>
    </row>
    <row r="1392" spans="4:48">
      <c r="D1392" s="33"/>
      <c r="E1392" s="33"/>
      <c r="F1392" s="33"/>
      <c r="G1392" s="33"/>
      <c r="H1392" s="34"/>
      <c r="J1392" s="36"/>
      <c r="K1392" s="36"/>
      <c r="L1392" s="36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8"/>
      <c r="AS1392" s="38"/>
      <c r="AT1392" s="38"/>
      <c r="AU1392" s="33"/>
      <c r="AV1392" s="39"/>
    </row>
    <row r="1393" spans="4:48">
      <c r="D1393" s="33"/>
      <c r="E1393" s="33"/>
      <c r="F1393" s="33"/>
      <c r="G1393" s="33"/>
      <c r="H1393" s="34"/>
      <c r="J1393" s="36"/>
      <c r="K1393" s="36"/>
      <c r="L1393" s="36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8"/>
      <c r="AS1393" s="38"/>
      <c r="AT1393" s="38"/>
      <c r="AU1393" s="33"/>
      <c r="AV1393" s="39"/>
    </row>
    <row r="1394" spans="4:48">
      <c r="D1394" s="33"/>
      <c r="E1394" s="33"/>
      <c r="F1394" s="33"/>
      <c r="G1394" s="33"/>
      <c r="H1394" s="34"/>
      <c r="J1394" s="36"/>
      <c r="K1394" s="36"/>
      <c r="L1394" s="36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8"/>
      <c r="AS1394" s="38"/>
      <c r="AT1394" s="38"/>
      <c r="AU1394" s="33"/>
      <c r="AV1394" s="39"/>
    </row>
    <row r="1395" spans="4:48">
      <c r="D1395" s="33"/>
      <c r="E1395" s="33"/>
      <c r="F1395" s="33"/>
      <c r="G1395" s="33"/>
      <c r="H1395" s="34"/>
      <c r="J1395" s="36"/>
      <c r="K1395" s="36"/>
      <c r="L1395" s="36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8"/>
      <c r="AS1395" s="38"/>
      <c r="AT1395" s="38"/>
      <c r="AU1395" s="33"/>
      <c r="AV1395" s="39"/>
    </row>
    <row r="1396" spans="4:48">
      <c r="D1396" s="33"/>
      <c r="E1396" s="33"/>
      <c r="F1396" s="33"/>
      <c r="G1396" s="33"/>
      <c r="H1396" s="34"/>
      <c r="J1396" s="36"/>
      <c r="K1396" s="36"/>
      <c r="L1396" s="36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8"/>
      <c r="AS1396" s="38"/>
      <c r="AT1396" s="38"/>
      <c r="AU1396" s="33"/>
      <c r="AV1396" s="39"/>
    </row>
    <row r="1397" spans="4:48">
      <c r="D1397" s="33"/>
      <c r="E1397" s="33"/>
      <c r="F1397" s="33"/>
      <c r="G1397" s="33"/>
      <c r="H1397" s="34"/>
      <c r="J1397" s="36"/>
      <c r="K1397" s="36"/>
      <c r="L1397" s="36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8"/>
      <c r="AS1397" s="38"/>
      <c r="AT1397" s="38"/>
      <c r="AU1397" s="33"/>
      <c r="AV1397" s="39"/>
    </row>
    <row r="1398" spans="4:48">
      <c r="D1398" s="33"/>
      <c r="E1398" s="33"/>
      <c r="F1398" s="33"/>
      <c r="G1398" s="33"/>
      <c r="H1398" s="34"/>
      <c r="J1398" s="36"/>
      <c r="K1398" s="36"/>
      <c r="L1398" s="36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8"/>
      <c r="AS1398" s="38"/>
      <c r="AT1398" s="38"/>
      <c r="AU1398" s="33"/>
      <c r="AV1398" s="39"/>
    </row>
    <row r="1399" spans="4:48">
      <c r="D1399" s="33"/>
      <c r="E1399" s="33"/>
      <c r="F1399" s="33"/>
      <c r="G1399" s="33"/>
      <c r="H1399" s="34"/>
      <c r="J1399" s="36"/>
      <c r="K1399" s="36"/>
      <c r="L1399" s="36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8"/>
      <c r="AS1399" s="38"/>
      <c r="AT1399" s="38"/>
      <c r="AU1399" s="33"/>
      <c r="AV1399" s="39"/>
    </row>
    <row r="1400" spans="4:48">
      <c r="D1400" s="33"/>
      <c r="E1400" s="33"/>
      <c r="F1400" s="33"/>
      <c r="G1400" s="33"/>
      <c r="H1400" s="34"/>
      <c r="J1400" s="36"/>
      <c r="K1400" s="36"/>
      <c r="L1400" s="36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8"/>
      <c r="AS1400" s="38"/>
      <c r="AT1400" s="38"/>
      <c r="AU1400" s="33"/>
      <c r="AV1400" s="39"/>
    </row>
    <row r="1401" spans="4:48">
      <c r="D1401" s="33"/>
      <c r="E1401" s="33"/>
      <c r="F1401" s="33"/>
      <c r="G1401" s="33"/>
      <c r="H1401" s="34"/>
      <c r="J1401" s="36"/>
      <c r="K1401" s="36"/>
      <c r="L1401" s="36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8"/>
      <c r="AS1401" s="38"/>
      <c r="AT1401" s="38"/>
      <c r="AU1401" s="33"/>
      <c r="AV1401" s="39"/>
    </row>
    <row r="1402" spans="4:48">
      <c r="D1402" s="33"/>
      <c r="E1402" s="33"/>
      <c r="F1402" s="33"/>
      <c r="G1402" s="33"/>
      <c r="H1402" s="34"/>
      <c r="J1402" s="36"/>
      <c r="K1402" s="36"/>
      <c r="L1402" s="36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8"/>
      <c r="AS1402" s="38"/>
      <c r="AT1402" s="38"/>
      <c r="AU1402" s="33"/>
      <c r="AV1402" s="39"/>
    </row>
    <row r="1403" spans="4:48">
      <c r="D1403" s="33"/>
      <c r="E1403" s="33"/>
      <c r="F1403" s="33"/>
      <c r="G1403" s="33"/>
      <c r="H1403" s="34"/>
      <c r="J1403" s="36"/>
      <c r="K1403" s="36"/>
      <c r="L1403" s="36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8"/>
      <c r="AS1403" s="38"/>
      <c r="AT1403" s="38"/>
      <c r="AU1403" s="33"/>
      <c r="AV1403" s="39"/>
    </row>
    <row r="1404" spans="4:48">
      <c r="D1404" s="33"/>
      <c r="E1404" s="33"/>
      <c r="F1404" s="33"/>
      <c r="G1404" s="33"/>
      <c r="H1404" s="34"/>
      <c r="J1404" s="36"/>
      <c r="K1404" s="36"/>
      <c r="L1404" s="36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8"/>
      <c r="AS1404" s="38"/>
      <c r="AT1404" s="38"/>
      <c r="AU1404" s="33"/>
      <c r="AV1404" s="39"/>
    </row>
    <row r="1405" spans="4:48">
      <c r="D1405" s="33"/>
      <c r="E1405" s="33"/>
      <c r="F1405" s="33"/>
      <c r="G1405" s="33"/>
      <c r="H1405" s="34"/>
      <c r="J1405" s="36"/>
      <c r="K1405" s="36"/>
      <c r="L1405" s="36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8"/>
      <c r="AS1405" s="38"/>
      <c r="AT1405" s="38"/>
      <c r="AU1405" s="33"/>
      <c r="AV1405" s="39"/>
    </row>
    <row r="1406" spans="4:48">
      <c r="D1406" s="33"/>
      <c r="E1406" s="33"/>
      <c r="F1406" s="33"/>
      <c r="G1406" s="33"/>
      <c r="H1406" s="34"/>
      <c r="J1406" s="36"/>
      <c r="K1406" s="36"/>
      <c r="L1406" s="36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8"/>
      <c r="AS1406" s="38"/>
      <c r="AT1406" s="38"/>
      <c r="AU1406" s="33"/>
      <c r="AV1406" s="39"/>
    </row>
    <row r="1407" spans="4:48">
      <c r="D1407" s="33"/>
      <c r="E1407" s="33"/>
      <c r="F1407" s="33"/>
      <c r="G1407" s="33"/>
      <c r="H1407" s="34"/>
      <c r="J1407" s="36"/>
      <c r="K1407" s="36"/>
      <c r="L1407" s="36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8"/>
      <c r="AS1407" s="38"/>
      <c r="AT1407" s="38"/>
      <c r="AU1407" s="33"/>
      <c r="AV1407" s="39"/>
    </row>
    <row r="1408" spans="4:48">
      <c r="D1408" s="33"/>
      <c r="E1408" s="33"/>
      <c r="F1408" s="33"/>
      <c r="G1408" s="33"/>
      <c r="H1408" s="34"/>
      <c r="J1408" s="36"/>
      <c r="K1408" s="36"/>
      <c r="L1408" s="36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8"/>
      <c r="AS1408" s="38"/>
      <c r="AT1408" s="38"/>
      <c r="AU1408" s="33"/>
      <c r="AV1408" s="39"/>
    </row>
    <row r="1409" spans="4:48">
      <c r="D1409" s="33"/>
      <c r="E1409" s="33"/>
      <c r="F1409" s="33"/>
      <c r="G1409" s="33"/>
      <c r="H1409" s="34"/>
      <c r="J1409" s="36"/>
      <c r="K1409" s="36"/>
      <c r="L1409" s="36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8"/>
      <c r="AS1409" s="38"/>
      <c r="AT1409" s="38"/>
      <c r="AU1409" s="33"/>
      <c r="AV1409" s="39"/>
    </row>
    <row r="1410" spans="4:48">
      <c r="D1410" s="33"/>
      <c r="E1410" s="33"/>
      <c r="F1410" s="33"/>
      <c r="G1410" s="33"/>
      <c r="H1410" s="34"/>
      <c r="J1410" s="36"/>
      <c r="K1410" s="36"/>
      <c r="L1410" s="36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8"/>
      <c r="AS1410" s="38"/>
      <c r="AT1410" s="38"/>
      <c r="AU1410" s="33"/>
      <c r="AV1410" s="39"/>
    </row>
    <row r="1411" spans="4:48">
      <c r="D1411" s="33"/>
      <c r="E1411" s="33"/>
      <c r="F1411" s="33"/>
      <c r="G1411" s="33"/>
      <c r="H1411" s="34"/>
      <c r="J1411" s="36"/>
      <c r="K1411" s="36"/>
      <c r="L1411" s="36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8"/>
      <c r="AS1411" s="38"/>
      <c r="AT1411" s="38"/>
      <c r="AU1411" s="33"/>
      <c r="AV1411" s="39"/>
    </row>
    <row r="1412" spans="4:48">
      <c r="D1412" s="33"/>
      <c r="E1412" s="33"/>
      <c r="F1412" s="33"/>
      <c r="G1412" s="33"/>
      <c r="H1412" s="34"/>
      <c r="J1412" s="36"/>
      <c r="K1412" s="36"/>
      <c r="L1412" s="36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8"/>
      <c r="AS1412" s="38"/>
      <c r="AT1412" s="38"/>
      <c r="AU1412" s="33"/>
      <c r="AV1412" s="39"/>
    </row>
    <row r="1413" spans="4:48">
      <c r="D1413" s="33"/>
      <c r="E1413" s="33"/>
      <c r="F1413" s="33"/>
      <c r="G1413" s="33"/>
      <c r="H1413" s="34"/>
      <c r="J1413" s="36"/>
      <c r="K1413" s="36"/>
      <c r="L1413" s="36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8"/>
      <c r="AS1413" s="38"/>
      <c r="AT1413" s="38"/>
      <c r="AU1413" s="33"/>
      <c r="AV1413" s="39"/>
    </row>
    <row r="1414" spans="4:48">
      <c r="D1414" s="33"/>
      <c r="E1414" s="33"/>
      <c r="F1414" s="33"/>
      <c r="G1414" s="33"/>
      <c r="H1414" s="34"/>
      <c r="J1414" s="36"/>
      <c r="K1414" s="36"/>
      <c r="L1414" s="36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8"/>
      <c r="AS1414" s="38"/>
      <c r="AT1414" s="38"/>
      <c r="AU1414" s="33"/>
      <c r="AV1414" s="39"/>
    </row>
    <row r="1415" spans="4:48">
      <c r="D1415" s="33"/>
      <c r="E1415" s="33"/>
      <c r="F1415" s="33"/>
      <c r="G1415" s="33"/>
      <c r="H1415" s="34"/>
      <c r="J1415" s="36"/>
      <c r="K1415" s="36"/>
      <c r="L1415" s="36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8"/>
      <c r="AS1415" s="38"/>
      <c r="AT1415" s="38"/>
      <c r="AU1415" s="33"/>
      <c r="AV1415" s="39"/>
    </row>
    <row r="1416" spans="4:48">
      <c r="D1416" s="33"/>
      <c r="E1416" s="33"/>
      <c r="F1416" s="33"/>
      <c r="G1416" s="33"/>
      <c r="H1416" s="34"/>
      <c r="J1416" s="36"/>
      <c r="K1416" s="36"/>
      <c r="L1416" s="36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8"/>
      <c r="AS1416" s="38"/>
      <c r="AT1416" s="38"/>
      <c r="AU1416" s="33"/>
      <c r="AV1416" s="39"/>
    </row>
    <row r="1417" spans="4:48">
      <c r="D1417" s="33"/>
      <c r="E1417" s="33"/>
      <c r="F1417" s="33"/>
      <c r="G1417" s="33"/>
      <c r="H1417" s="34"/>
      <c r="J1417" s="36"/>
      <c r="K1417" s="36"/>
      <c r="L1417" s="36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8"/>
      <c r="AS1417" s="38"/>
      <c r="AT1417" s="38"/>
      <c r="AU1417" s="33"/>
      <c r="AV1417" s="39"/>
    </row>
    <row r="1418" spans="4:48">
      <c r="D1418" s="33"/>
      <c r="E1418" s="33"/>
      <c r="F1418" s="33"/>
      <c r="G1418" s="33"/>
      <c r="H1418" s="34"/>
      <c r="J1418" s="36"/>
      <c r="K1418" s="36"/>
      <c r="L1418" s="36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8"/>
      <c r="AS1418" s="38"/>
      <c r="AT1418" s="38"/>
      <c r="AU1418" s="33"/>
      <c r="AV1418" s="39"/>
    </row>
    <row r="1419" spans="4:48">
      <c r="D1419" s="33"/>
      <c r="E1419" s="33"/>
      <c r="F1419" s="33"/>
      <c r="G1419" s="33"/>
      <c r="H1419" s="34"/>
      <c r="J1419" s="36"/>
      <c r="K1419" s="36"/>
      <c r="L1419" s="36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8"/>
      <c r="AS1419" s="38"/>
      <c r="AT1419" s="38"/>
      <c r="AU1419" s="33"/>
      <c r="AV1419" s="39"/>
    </row>
    <row r="1420" spans="4:48">
      <c r="D1420" s="33"/>
      <c r="E1420" s="33"/>
      <c r="F1420" s="33"/>
      <c r="G1420" s="33"/>
      <c r="H1420" s="34"/>
      <c r="J1420" s="36"/>
      <c r="K1420" s="36"/>
      <c r="L1420" s="36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8"/>
      <c r="AS1420" s="38"/>
      <c r="AT1420" s="38"/>
      <c r="AU1420" s="33"/>
      <c r="AV1420" s="39"/>
    </row>
    <row r="1421" spans="4:48">
      <c r="D1421" s="33"/>
      <c r="E1421" s="33"/>
      <c r="F1421" s="33"/>
      <c r="G1421" s="33"/>
      <c r="H1421" s="34"/>
      <c r="J1421" s="36"/>
      <c r="K1421" s="36"/>
      <c r="L1421" s="36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8"/>
      <c r="AS1421" s="38"/>
      <c r="AT1421" s="38"/>
      <c r="AU1421" s="33"/>
      <c r="AV1421" s="39"/>
    </row>
    <row r="1422" spans="4:48">
      <c r="D1422" s="33"/>
      <c r="E1422" s="33"/>
      <c r="F1422" s="33"/>
      <c r="G1422" s="33"/>
      <c r="H1422" s="34"/>
      <c r="J1422" s="36"/>
      <c r="K1422" s="36"/>
      <c r="L1422" s="36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8"/>
      <c r="AS1422" s="38"/>
      <c r="AT1422" s="38"/>
      <c r="AU1422" s="33"/>
      <c r="AV1422" s="39"/>
    </row>
    <row r="1423" spans="4:48">
      <c r="D1423" s="33"/>
      <c r="E1423" s="33"/>
      <c r="F1423" s="33"/>
      <c r="G1423" s="33"/>
      <c r="H1423" s="34"/>
      <c r="J1423" s="36"/>
      <c r="K1423" s="36"/>
      <c r="L1423" s="36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8"/>
      <c r="AS1423" s="38"/>
      <c r="AT1423" s="38"/>
      <c r="AU1423" s="33"/>
      <c r="AV1423" s="39"/>
    </row>
    <row r="1424" spans="4:48">
      <c r="D1424" s="33"/>
      <c r="E1424" s="33"/>
      <c r="F1424" s="33"/>
      <c r="G1424" s="33"/>
      <c r="H1424" s="34"/>
      <c r="J1424" s="36"/>
      <c r="K1424" s="36"/>
      <c r="L1424" s="36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8"/>
      <c r="AS1424" s="38"/>
      <c r="AT1424" s="38"/>
      <c r="AU1424" s="33"/>
      <c r="AV1424" s="39"/>
    </row>
    <row r="1425" spans="4:48">
      <c r="D1425" s="33"/>
      <c r="E1425" s="33"/>
      <c r="F1425" s="33"/>
      <c r="G1425" s="33"/>
      <c r="H1425" s="34"/>
      <c r="J1425" s="36"/>
      <c r="K1425" s="36"/>
      <c r="L1425" s="36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8"/>
      <c r="AS1425" s="38"/>
      <c r="AT1425" s="38"/>
      <c r="AU1425" s="33"/>
      <c r="AV1425" s="39"/>
    </row>
    <row r="1426" spans="4:48">
      <c r="D1426" s="33"/>
      <c r="E1426" s="33"/>
      <c r="F1426" s="33"/>
      <c r="G1426" s="33"/>
      <c r="H1426" s="34"/>
      <c r="J1426" s="36"/>
      <c r="K1426" s="36"/>
      <c r="L1426" s="36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8"/>
      <c r="AS1426" s="38"/>
      <c r="AT1426" s="38"/>
      <c r="AU1426" s="33"/>
      <c r="AV1426" s="39"/>
    </row>
    <row r="1427" spans="4:48">
      <c r="D1427" s="33"/>
      <c r="E1427" s="33"/>
      <c r="F1427" s="33"/>
      <c r="G1427" s="33"/>
      <c r="H1427" s="34"/>
      <c r="J1427" s="36"/>
      <c r="K1427" s="36"/>
      <c r="L1427" s="36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8"/>
      <c r="AS1427" s="38"/>
      <c r="AT1427" s="38"/>
      <c r="AU1427" s="33"/>
      <c r="AV1427" s="39"/>
    </row>
    <row r="1428" spans="4:48">
      <c r="D1428" s="33"/>
      <c r="E1428" s="33"/>
      <c r="F1428" s="33"/>
      <c r="G1428" s="33"/>
      <c r="H1428" s="34"/>
      <c r="J1428" s="36"/>
      <c r="K1428" s="36"/>
      <c r="L1428" s="36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8"/>
      <c r="AS1428" s="38"/>
      <c r="AT1428" s="38"/>
      <c r="AU1428" s="33"/>
      <c r="AV1428" s="39"/>
    </row>
    <row r="1429" spans="4:48">
      <c r="D1429" s="33"/>
      <c r="E1429" s="33"/>
      <c r="F1429" s="33"/>
      <c r="G1429" s="33"/>
      <c r="H1429" s="34"/>
      <c r="J1429" s="36"/>
      <c r="K1429" s="36"/>
      <c r="L1429" s="36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8"/>
      <c r="AS1429" s="38"/>
      <c r="AT1429" s="38"/>
      <c r="AU1429" s="33"/>
      <c r="AV1429" s="39"/>
    </row>
    <row r="1430" spans="4:48">
      <c r="D1430" s="33"/>
      <c r="E1430" s="33"/>
      <c r="F1430" s="33"/>
      <c r="G1430" s="33"/>
      <c r="H1430" s="34"/>
      <c r="J1430" s="36"/>
      <c r="K1430" s="36"/>
      <c r="L1430" s="36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8"/>
      <c r="AS1430" s="38"/>
      <c r="AT1430" s="38"/>
      <c r="AU1430" s="33"/>
      <c r="AV1430" s="39"/>
    </row>
    <row r="1431" spans="4:48">
      <c r="D1431" s="33"/>
      <c r="E1431" s="33"/>
      <c r="F1431" s="33"/>
      <c r="G1431" s="33"/>
      <c r="H1431" s="34"/>
      <c r="J1431" s="36"/>
      <c r="K1431" s="36"/>
      <c r="L1431" s="36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8"/>
      <c r="AS1431" s="38"/>
      <c r="AT1431" s="38"/>
      <c r="AU1431" s="33"/>
      <c r="AV1431" s="39"/>
    </row>
    <row r="1432" spans="4:48">
      <c r="D1432" s="33"/>
      <c r="E1432" s="33"/>
      <c r="F1432" s="33"/>
      <c r="G1432" s="33"/>
      <c r="H1432" s="34"/>
      <c r="J1432" s="36"/>
      <c r="K1432" s="36"/>
      <c r="L1432" s="36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8"/>
      <c r="AS1432" s="38"/>
      <c r="AT1432" s="38"/>
      <c r="AU1432" s="33"/>
      <c r="AV1432" s="39"/>
    </row>
    <row r="1433" spans="4:48">
      <c r="D1433" s="33"/>
      <c r="E1433" s="33"/>
      <c r="F1433" s="33"/>
      <c r="G1433" s="33"/>
      <c r="H1433" s="34"/>
      <c r="J1433" s="36"/>
      <c r="K1433" s="36"/>
      <c r="L1433" s="36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8"/>
      <c r="AS1433" s="38"/>
      <c r="AT1433" s="38"/>
      <c r="AU1433" s="33"/>
      <c r="AV1433" s="39"/>
    </row>
    <row r="1434" spans="4:48">
      <c r="D1434" s="33"/>
      <c r="E1434" s="33"/>
      <c r="F1434" s="33"/>
      <c r="G1434" s="33"/>
      <c r="H1434" s="34"/>
      <c r="J1434" s="36"/>
      <c r="K1434" s="36"/>
      <c r="L1434" s="36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8"/>
      <c r="AS1434" s="38"/>
      <c r="AT1434" s="38"/>
      <c r="AU1434" s="33"/>
      <c r="AV1434" s="39"/>
    </row>
    <row r="1435" spans="4:48">
      <c r="D1435" s="33"/>
      <c r="E1435" s="33"/>
      <c r="F1435" s="33"/>
      <c r="G1435" s="33"/>
      <c r="H1435" s="34"/>
      <c r="J1435" s="36"/>
      <c r="K1435" s="36"/>
      <c r="L1435" s="36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8"/>
      <c r="AS1435" s="38"/>
      <c r="AT1435" s="38"/>
      <c r="AU1435" s="33"/>
      <c r="AV1435" s="39"/>
    </row>
    <row r="1436" spans="4:48">
      <c r="D1436" s="33"/>
      <c r="E1436" s="33"/>
      <c r="F1436" s="33"/>
      <c r="G1436" s="33"/>
      <c r="H1436" s="34"/>
      <c r="J1436" s="36"/>
      <c r="K1436" s="36"/>
      <c r="L1436" s="36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8"/>
      <c r="AS1436" s="38"/>
      <c r="AT1436" s="38"/>
      <c r="AU1436" s="33"/>
      <c r="AV1436" s="39"/>
    </row>
    <row r="1437" spans="4:48">
      <c r="D1437" s="33"/>
      <c r="E1437" s="33"/>
      <c r="F1437" s="33"/>
      <c r="G1437" s="33"/>
      <c r="H1437" s="34"/>
      <c r="J1437" s="36"/>
      <c r="K1437" s="36"/>
      <c r="L1437" s="36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8"/>
      <c r="AS1437" s="38"/>
      <c r="AT1437" s="38"/>
      <c r="AU1437" s="33"/>
      <c r="AV1437" s="39"/>
    </row>
    <row r="1438" spans="4:48">
      <c r="D1438" s="33"/>
      <c r="E1438" s="33"/>
      <c r="F1438" s="33"/>
      <c r="G1438" s="33"/>
      <c r="H1438" s="34"/>
      <c r="J1438" s="36"/>
      <c r="K1438" s="36"/>
      <c r="L1438" s="36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8"/>
      <c r="AS1438" s="38"/>
      <c r="AT1438" s="38"/>
      <c r="AU1438" s="33"/>
      <c r="AV1438" s="39"/>
    </row>
    <row r="1439" spans="4:48">
      <c r="D1439" s="33"/>
      <c r="E1439" s="33"/>
      <c r="F1439" s="33"/>
      <c r="G1439" s="33"/>
      <c r="H1439" s="34"/>
      <c r="J1439" s="36"/>
      <c r="K1439" s="36"/>
      <c r="L1439" s="36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8"/>
      <c r="AS1439" s="38"/>
      <c r="AT1439" s="38"/>
      <c r="AU1439" s="33"/>
      <c r="AV1439" s="39"/>
    </row>
    <row r="1440" spans="4:48">
      <c r="D1440" s="33"/>
      <c r="E1440" s="33"/>
      <c r="F1440" s="33"/>
      <c r="G1440" s="33"/>
      <c r="H1440" s="34"/>
      <c r="J1440" s="36"/>
      <c r="K1440" s="36"/>
      <c r="L1440" s="36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8"/>
      <c r="AS1440" s="38"/>
      <c r="AT1440" s="38"/>
      <c r="AU1440" s="33"/>
      <c r="AV1440" s="39"/>
    </row>
    <row r="1441" spans="4:48">
      <c r="D1441" s="33"/>
      <c r="E1441" s="33"/>
      <c r="F1441" s="33"/>
      <c r="G1441" s="33"/>
      <c r="H1441" s="34"/>
      <c r="J1441" s="36"/>
      <c r="K1441" s="36"/>
      <c r="L1441" s="36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8"/>
      <c r="AS1441" s="38"/>
      <c r="AT1441" s="38"/>
      <c r="AU1441" s="33"/>
      <c r="AV1441" s="39"/>
    </row>
    <row r="1442" spans="4:48">
      <c r="D1442" s="33"/>
      <c r="E1442" s="33"/>
      <c r="F1442" s="33"/>
      <c r="G1442" s="33"/>
      <c r="H1442" s="34"/>
      <c r="J1442" s="36"/>
      <c r="K1442" s="36"/>
      <c r="L1442" s="36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8"/>
      <c r="AS1442" s="38"/>
      <c r="AT1442" s="38"/>
      <c r="AU1442" s="33"/>
      <c r="AV1442" s="39"/>
    </row>
    <row r="1443" spans="4:48">
      <c r="D1443" s="33"/>
      <c r="E1443" s="33"/>
      <c r="F1443" s="33"/>
      <c r="G1443" s="33"/>
      <c r="H1443" s="34"/>
      <c r="J1443" s="36"/>
      <c r="K1443" s="36"/>
      <c r="L1443" s="36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8"/>
      <c r="AS1443" s="38"/>
      <c r="AT1443" s="38"/>
      <c r="AU1443" s="33"/>
      <c r="AV1443" s="39"/>
    </row>
    <row r="1444" spans="4:48">
      <c r="D1444" s="33"/>
      <c r="E1444" s="33"/>
      <c r="F1444" s="33"/>
      <c r="G1444" s="33"/>
      <c r="H1444" s="34"/>
      <c r="J1444" s="36"/>
      <c r="K1444" s="36"/>
      <c r="L1444" s="36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8"/>
      <c r="AS1444" s="38"/>
      <c r="AT1444" s="38"/>
      <c r="AU1444" s="33"/>
      <c r="AV1444" s="39"/>
    </row>
    <row r="1445" spans="4:48">
      <c r="D1445" s="33"/>
      <c r="E1445" s="33"/>
      <c r="F1445" s="33"/>
      <c r="G1445" s="33"/>
      <c r="H1445" s="34"/>
      <c r="J1445" s="36"/>
      <c r="K1445" s="36"/>
      <c r="L1445" s="36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8"/>
      <c r="AS1445" s="38"/>
      <c r="AT1445" s="38"/>
      <c r="AU1445" s="33"/>
      <c r="AV1445" s="39"/>
    </row>
    <row r="1446" spans="4:48">
      <c r="D1446" s="33"/>
      <c r="E1446" s="33"/>
      <c r="F1446" s="33"/>
      <c r="G1446" s="33"/>
      <c r="H1446" s="34"/>
      <c r="J1446" s="36"/>
      <c r="K1446" s="36"/>
      <c r="L1446" s="36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8"/>
      <c r="AS1446" s="38"/>
      <c r="AT1446" s="38"/>
      <c r="AU1446" s="33"/>
      <c r="AV1446" s="39"/>
    </row>
    <row r="1447" spans="4:48">
      <c r="D1447" s="33"/>
      <c r="E1447" s="33"/>
      <c r="F1447" s="33"/>
      <c r="G1447" s="33"/>
      <c r="H1447" s="34"/>
      <c r="J1447" s="36"/>
      <c r="K1447" s="36"/>
      <c r="L1447" s="36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8"/>
      <c r="AS1447" s="38"/>
      <c r="AT1447" s="38"/>
      <c r="AU1447" s="33"/>
      <c r="AV1447" s="39"/>
    </row>
    <row r="1448" spans="4:48">
      <c r="D1448" s="33"/>
      <c r="E1448" s="33"/>
      <c r="F1448" s="33"/>
      <c r="G1448" s="33"/>
      <c r="H1448" s="34"/>
      <c r="J1448" s="36"/>
      <c r="K1448" s="36"/>
      <c r="L1448" s="36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8"/>
      <c r="AS1448" s="38"/>
      <c r="AT1448" s="38"/>
      <c r="AU1448" s="33"/>
      <c r="AV1448" s="39"/>
    </row>
    <row r="1449" spans="4:48">
      <c r="D1449" s="33"/>
      <c r="E1449" s="33"/>
      <c r="F1449" s="33"/>
      <c r="G1449" s="33"/>
      <c r="H1449" s="34"/>
      <c r="J1449" s="36"/>
      <c r="K1449" s="36"/>
      <c r="L1449" s="36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8"/>
      <c r="AS1449" s="38"/>
      <c r="AT1449" s="38"/>
      <c r="AU1449" s="33"/>
      <c r="AV1449" s="39"/>
    </row>
    <row r="1450" spans="4:48">
      <c r="D1450" s="33"/>
      <c r="E1450" s="33"/>
      <c r="F1450" s="33"/>
      <c r="G1450" s="33"/>
      <c r="H1450" s="34"/>
      <c r="J1450" s="36"/>
      <c r="K1450" s="36"/>
      <c r="L1450" s="36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8"/>
      <c r="AS1450" s="38"/>
      <c r="AT1450" s="38"/>
      <c r="AU1450" s="33"/>
      <c r="AV1450" s="39"/>
    </row>
    <row r="1451" spans="4:48">
      <c r="D1451" s="33"/>
      <c r="E1451" s="33"/>
      <c r="F1451" s="33"/>
      <c r="G1451" s="33"/>
      <c r="H1451" s="34"/>
      <c r="J1451" s="36"/>
      <c r="K1451" s="36"/>
      <c r="L1451" s="36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8"/>
      <c r="AS1451" s="38"/>
      <c r="AT1451" s="38"/>
      <c r="AU1451" s="33"/>
      <c r="AV1451" s="39"/>
    </row>
    <row r="1452" spans="4:48">
      <c r="D1452" s="33"/>
      <c r="E1452" s="33"/>
      <c r="F1452" s="33"/>
      <c r="G1452" s="33"/>
      <c r="H1452" s="34"/>
      <c r="J1452" s="36"/>
      <c r="K1452" s="36"/>
      <c r="L1452" s="36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8"/>
      <c r="AS1452" s="38"/>
      <c r="AT1452" s="38"/>
      <c r="AU1452" s="33"/>
      <c r="AV1452" s="39"/>
    </row>
    <row r="1453" spans="4:48">
      <c r="D1453" s="33"/>
      <c r="E1453" s="33"/>
      <c r="F1453" s="33"/>
      <c r="G1453" s="33"/>
      <c r="H1453" s="34"/>
      <c r="J1453" s="36"/>
      <c r="K1453" s="36"/>
      <c r="L1453" s="36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8"/>
      <c r="AS1453" s="38"/>
      <c r="AT1453" s="38"/>
      <c r="AU1453" s="33"/>
      <c r="AV1453" s="39"/>
    </row>
    <row r="1454" spans="4:48">
      <c r="D1454" s="33"/>
      <c r="E1454" s="33"/>
      <c r="F1454" s="33"/>
      <c r="G1454" s="33"/>
      <c r="H1454" s="34"/>
      <c r="J1454" s="36"/>
      <c r="K1454" s="36"/>
      <c r="L1454" s="36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8"/>
      <c r="AS1454" s="38"/>
      <c r="AT1454" s="38"/>
      <c r="AU1454" s="33"/>
      <c r="AV1454" s="39"/>
    </row>
    <row r="1455" spans="4:48">
      <c r="D1455" s="33"/>
      <c r="E1455" s="33"/>
      <c r="F1455" s="33"/>
      <c r="G1455" s="33"/>
      <c r="H1455" s="34"/>
      <c r="J1455" s="36"/>
      <c r="K1455" s="36"/>
      <c r="L1455" s="36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8"/>
      <c r="AS1455" s="38"/>
      <c r="AT1455" s="38"/>
      <c r="AU1455" s="33"/>
      <c r="AV1455" s="39"/>
    </row>
    <row r="1456" spans="4:48">
      <c r="D1456" s="33"/>
      <c r="E1456" s="33"/>
      <c r="F1456" s="33"/>
      <c r="G1456" s="33"/>
      <c r="H1456" s="34"/>
      <c r="J1456" s="36"/>
      <c r="K1456" s="36"/>
      <c r="L1456" s="36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8"/>
      <c r="AS1456" s="38"/>
      <c r="AT1456" s="38"/>
      <c r="AU1456" s="33"/>
      <c r="AV1456" s="39"/>
    </row>
    <row r="1457" spans="4:48">
      <c r="D1457" s="33"/>
      <c r="E1457" s="33"/>
      <c r="F1457" s="33"/>
      <c r="G1457" s="33"/>
      <c r="H1457" s="34"/>
      <c r="J1457" s="36"/>
      <c r="K1457" s="36"/>
      <c r="L1457" s="36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8"/>
      <c r="AS1457" s="38"/>
      <c r="AT1457" s="38"/>
      <c r="AU1457" s="33"/>
      <c r="AV1457" s="39"/>
    </row>
    <row r="1458" spans="4:48">
      <c r="D1458" s="33"/>
      <c r="E1458" s="33"/>
      <c r="F1458" s="33"/>
      <c r="G1458" s="33"/>
      <c r="H1458" s="34"/>
      <c r="J1458" s="36"/>
      <c r="K1458" s="36"/>
      <c r="L1458" s="36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8"/>
      <c r="AS1458" s="38"/>
      <c r="AT1458" s="38"/>
      <c r="AU1458" s="33"/>
      <c r="AV1458" s="39"/>
    </row>
    <row r="1459" spans="4:48">
      <c r="D1459" s="33"/>
      <c r="E1459" s="33"/>
      <c r="F1459" s="33"/>
      <c r="G1459" s="33"/>
      <c r="H1459" s="34"/>
      <c r="J1459" s="36"/>
      <c r="K1459" s="36"/>
      <c r="L1459" s="36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8"/>
      <c r="AS1459" s="38"/>
      <c r="AT1459" s="38"/>
      <c r="AU1459" s="33"/>
      <c r="AV1459" s="39"/>
    </row>
    <row r="1460" spans="4:48">
      <c r="D1460" s="33"/>
      <c r="E1460" s="33"/>
      <c r="F1460" s="33"/>
      <c r="G1460" s="33"/>
      <c r="H1460" s="34"/>
      <c r="J1460" s="36"/>
      <c r="K1460" s="36"/>
      <c r="L1460" s="36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8"/>
      <c r="AS1460" s="38"/>
      <c r="AT1460" s="38"/>
      <c r="AU1460" s="33"/>
      <c r="AV1460" s="39"/>
    </row>
    <row r="1461" spans="4:48">
      <c r="D1461" s="33"/>
      <c r="E1461" s="33"/>
      <c r="F1461" s="33"/>
      <c r="G1461" s="33"/>
      <c r="H1461" s="34"/>
      <c r="J1461" s="36"/>
      <c r="K1461" s="36"/>
      <c r="L1461" s="36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8"/>
      <c r="AS1461" s="38"/>
      <c r="AT1461" s="38"/>
      <c r="AU1461" s="33"/>
      <c r="AV1461" s="39"/>
    </row>
    <row r="1462" spans="4:48">
      <c r="D1462" s="33"/>
      <c r="E1462" s="33"/>
      <c r="F1462" s="33"/>
      <c r="G1462" s="33"/>
      <c r="H1462" s="34"/>
      <c r="J1462" s="36"/>
      <c r="K1462" s="36"/>
      <c r="L1462" s="36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8"/>
      <c r="AS1462" s="38"/>
      <c r="AT1462" s="38"/>
      <c r="AU1462" s="33"/>
      <c r="AV1462" s="39"/>
    </row>
    <row r="1463" spans="4:48">
      <c r="D1463" s="33"/>
      <c r="E1463" s="33"/>
      <c r="F1463" s="33"/>
      <c r="G1463" s="33"/>
      <c r="H1463" s="34"/>
      <c r="J1463" s="36"/>
      <c r="K1463" s="36"/>
      <c r="L1463" s="36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8"/>
      <c r="AS1463" s="38"/>
      <c r="AT1463" s="38"/>
      <c r="AU1463" s="33"/>
      <c r="AV1463" s="39"/>
    </row>
    <row r="1464" spans="4:48">
      <c r="D1464" s="33"/>
      <c r="E1464" s="33"/>
      <c r="F1464" s="33"/>
      <c r="G1464" s="33"/>
      <c r="H1464" s="34"/>
      <c r="J1464" s="36"/>
      <c r="K1464" s="36"/>
      <c r="L1464" s="36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8"/>
      <c r="AS1464" s="38"/>
      <c r="AT1464" s="38"/>
      <c r="AU1464" s="33"/>
      <c r="AV1464" s="39"/>
    </row>
    <row r="1465" spans="4:48">
      <c r="D1465" s="33"/>
      <c r="E1465" s="33"/>
      <c r="F1465" s="33"/>
      <c r="G1465" s="33"/>
      <c r="H1465" s="34"/>
      <c r="J1465" s="36"/>
      <c r="K1465" s="36"/>
      <c r="L1465" s="36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8"/>
      <c r="AS1465" s="38"/>
      <c r="AT1465" s="38"/>
      <c r="AU1465" s="33"/>
      <c r="AV1465" s="39"/>
    </row>
    <row r="1466" spans="4:48">
      <c r="D1466" s="33"/>
      <c r="E1466" s="33"/>
      <c r="F1466" s="33"/>
      <c r="G1466" s="33"/>
      <c r="H1466" s="34"/>
      <c r="J1466" s="36"/>
      <c r="K1466" s="36"/>
      <c r="L1466" s="36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8"/>
      <c r="AS1466" s="38"/>
      <c r="AT1466" s="38"/>
      <c r="AU1466" s="33"/>
      <c r="AV1466" s="39"/>
    </row>
    <row r="1467" spans="4:48">
      <c r="D1467" s="33"/>
      <c r="E1467" s="33"/>
      <c r="F1467" s="33"/>
      <c r="G1467" s="33"/>
      <c r="H1467" s="34"/>
      <c r="J1467" s="36"/>
      <c r="K1467" s="36"/>
      <c r="L1467" s="36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8"/>
      <c r="AS1467" s="38"/>
      <c r="AT1467" s="38"/>
      <c r="AU1467" s="33"/>
      <c r="AV1467" s="39"/>
    </row>
    <row r="1468" spans="4:48">
      <c r="D1468" s="33"/>
      <c r="E1468" s="33"/>
      <c r="F1468" s="33"/>
      <c r="G1468" s="33"/>
      <c r="H1468" s="34"/>
      <c r="J1468" s="36"/>
      <c r="K1468" s="36"/>
      <c r="L1468" s="36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8"/>
      <c r="AS1468" s="38"/>
      <c r="AT1468" s="38"/>
      <c r="AU1468" s="33"/>
      <c r="AV1468" s="39"/>
    </row>
    <row r="1469" spans="4:48">
      <c r="D1469" s="33"/>
      <c r="E1469" s="33"/>
      <c r="F1469" s="33"/>
      <c r="G1469" s="33"/>
      <c r="H1469" s="34"/>
      <c r="J1469" s="36"/>
      <c r="K1469" s="36"/>
      <c r="L1469" s="36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8"/>
      <c r="AS1469" s="38"/>
      <c r="AT1469" s="38"/>
      <c r="AU1469" s="33"/>
      <c r="AV1469" s="39"/>
    </row>
    <row r="1470" spans="4:48">
      <c r="D1470" s="33"/>
      <c r="E1470" s="33"/>
      <c r="F1470" s="33"/>
      <c r="G1470" s="33"/>
      <c r="H1470" s="34"/>
      <c r="J1470" s="36"/>
      <c r="K1470" s="36"/>
      <c r="L1470" s="36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8"/>
      <c r="AS1470" s="38"/>
      <c r="AT1470" s="38"/>
      <c r="AU1470" s="33"/>
      <c r="AV1470" s="39"/>
    </row>
    <row r="1471" spans="4:48">
      <c r="D1471" s="33"/>
      <c r="E1471" s="33"/>
      <c r="F1471" s="33"/>
      <c r="G1471" s="33"/>
      <c r="H1471" s="34"/>
      <c r="J1471" s="36"/>
      <c r="K1471" s="36"/>
      <c r="L1471" s="36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8"/>
      <c r="AS1471" s="38"/>
      <c r="AT1471" s="38"/>
      <c r="AU1471" s="33"/>
      <c r="AV1471" s="39"/>
    </row>
    <row r="1472" spans="4:48">
      <c r="D1472" s="33"/>
      <c r="E1472" s="33"/>
      <c r="F1472" s="33"/>
      <c r="G1472" s="33"/>
      <c r="H1472" s="34"/>
      <c r="J1472" s="36"/>
      <c r="K1472" s="36"/>
      <c r="L1472" s="36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8"/>
      <c r="AS1472" s="38"/>
      <c r="AT1472" s="38"/>
      <c r="AU1472" s="33"/>
      <c r="AV1472" s="39"/>
    </row>
    <row r="1473" spans="4:48">
      <c r="D1473" s="33"/>
      <c r="E1473" s="33"/>
      <c r="F1473" s="33"/>
      <c r="G1473" s="33"/>
      <c r="H1473" s="34"/>
      <c r="J1473" s="36"/>
      <c r="K1473" s="36"/>
      <c r="L1473" s="36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8"/>
      <c r="AS1473" s="38"/>
      <c r="AT1473" s="38"/>
      <c r="AU1473" s="33"/>
      <c r="AV1473" s="39"/>
    </row>
    <row r="1474" spans="4:48">
      <c r="D1474" s="33"/>
      <c r="E1474" s="33"/>
      <c r="F1474" s="33"/>
      <c r="G1474" s="33"/>
      <c r="H1474" s="34"/>
      <c r="J1474" s="36"/>
      <c r="K1474" s="36"/>
      <c r="L1474" s="36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8"/>
      <c r="AS1474" s="38"/>
      <c r="AT1474" s="38"/>
      <c r="AU1474" s="33"/>
      <c r="AV1474" s="39"/>
    </row>
    <row r="1475" spans="4:48">
      <c r="D1475" s="33"/>
      <c r="E1475" s="33"/>
      <c r="F1475" s="33"/>
      <c r="G1475" s="33"/>
      <c r="H1475" s="34"/>
      <c r="J1475" s="36"/>
      <c r="K1475" s="36"/>
      <c r="L1475" s="36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8"/>
      <c r="AS1475" s="38"/>
      <c r="AT1475" s="38"/>
      <c r="AU1475" s="33"/>
      <c r="AV1475" s="39"/>
    </row>
    <row r="1476" spans="4:48">
      <c r="D1476" s="33"/>
      <c r="E1476" s="33"/>
      <c r="F1476" s="33"/>
      <c r="G1476" s="33"/>
      <c r="H1476" s="34"/>
      <c r="J1476" s="36"/>
      <c r="K1476" s="36"/>
      <c r="L1476" s="36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8"/>
      <c r="AS1476" s="38"/>
      <c r="AT1476" s="38"/>
      <c r="AU1476" s="33"/>
      <c r="AV1476" s="39"/>
    </row>
    <row r="1477" spans="4:48">
      <c r="D1477" s="33"/>
      <c r="E1477" s="33"/>
      <c r="F1477" s="33"/>
      <c r="G1477" s="33"/>
      <c r="H1477" s="34"/>
      <c r="J1477" s="36"/>
      <c r="K1477" s="36"/>
      <c r="L1477" s="36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8"/>
      <c r="AS1477" s="38"/>
      <c r="AT1477" s="38"/>
      <c r="AU1477" s="33"/>
      <c r="AV1477" s="39"/>
    </row>
    <row r="1478" spans="4:48">
      <c r="D1478" s="33"/>
      <c r="E1478" s="33"/>
      <c r="F1478" s="33"/>
      <c r="G1478" s="33"/>
      <c r="H1478" s="34"/>
      <c r="J1478" s="36"/>
      <c r="K1478" s="36"/>
      <c r="L1478" s="36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8"/>
      <c r="AS1478" s="38"/>
      <c r="AT1478" s="38"/>
      <c r="AU1478" s="33"/>
      <c r="AV1478" s="39"/>
    </row>
    <row r="1479" spans="4:48">
      <c r="D1479" s="33"/>
      <c r="E1479" s="33"/>
      <c r="F1479" s="33"/>
      <c r="G1479" s="33"/>
      <c r="H1479" s="34"/>
      <c r="J1479" s="36"/>
      <c r="K1479" s="36"/>
      <c r="L1479" s="36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8"/>
      <c r="AS1479" s="38"/>
      <c r="AT1479" s="38"/>
      <c r="AU1479" s="33"/>
      <c r="AV1479" s="39"/>
    </row>
    <row r="1480" spans="4:48">
      <c r="D1480" s="33"/>
      <c r="E1480" s="33"/>
      <c r="F1480" s="33"/>
      <c r="G1480" s="33"/>
      <c r="H1480" s="34"/>
      <c r="J1480" s="36"/>
      <c r="K1480" s="36"/>
      <c r="L1480" s="36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8"/>
      <c r="AS1480" s="38"/>
      <c r="AT1480" s="38"/>
      <c r="AU1480" s="33"/>
      <c r="AV1480" s="39"/>
    </row>
    <row r="1481" spans="4:48">
      <c r="D1481" s="33"/>
      <c r="E1481" s="33"/>
      <c r="F1481" s="33"/>
      <c r="G1481" s="33"/>
      <c r="H1481" s="34"/>
      <c r="J1481" s="36"/>
      <c r="K1481" s="36"/>
      <c r="L1481" s="36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8"/>
      <c r="AS1481" s="38"/>
      <c r="AT1481" s="38"/>
      <c r="AU1481" s="33"/>
      <c r="AV1481" s="39"/>
    </row>
    <row r="1482" spans="4:48">
      <c r="D1482" s="33"/>
      <c r="E1482" s="33"/>
      <c r="F1482" s="33"/>
      <c r="G1482" s="33"/>
      <c r="H1482" s="34"/>
      <c r="J1482" s="36"/>
      <c r="K1482" s="36"/>
      <c r="L1482" s="36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8"/>
      <c r="AS1482" s="38"/>
      <c r="AT1482" s="38"/>
      <c r="AU1482" s="33"/>
      <c r="AV1482" s="39"/>
    </row>
    <row r="1483" spans="4:48">
      <c r="D1483" s="33"/>
      <c r="E1483" s="33"/>
      <c r="F1483" s="33"/>
      <c r="G1483" s="33"/>
      <c r="H1483" s="34"/>
      <c r="J1483" s="36"/>
      <c r="K1483" s="36"/>
      <c r="L1483" s="36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8"/>
      <c r="AS1483" s="38"/>
      <c r="AT1483" s="38"/>
      <c r="AU1483" s="33"/>
      <c r="AV1483" s="39"/>
    </row>
    <row r="1484" spans="4:48">
      <c r="D1484" s="33"/>
      <c r="E1484" s="33"/>
      <c r="F1484" s="33"/>
      <c r="G1484" s="33"/>
      <c r="H1484" s="34"/>
      <c r="J1484" s="36"/>
      <c r="K1484" s="36"/>
      <c r="L1484" s="36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8"/>
      <c r="AS1484" s="38"/>
      <c r="AT1484" s="38"/>
      <c r="AU1484" s="33"/>
      <c r="AV1484" s="39"/>
    </row>
    <row r="1485" spans="4:48">
      <c r="D1485" s="33"/>
      <c r="E1485" s="33"/>
      <c r="F1485" s="33"/>
      <c r="G1485" s="33"/>
      <c r="H1485" s="34"/>
      <c r="J1485" s="36"/>
      <c r="K1485" s="36"/>
      <c r="L1485" s="36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8"/>
      <c r="AS1485" s="38"/>
      <c r="AT1485" s="38"/>
      <c r="AU1485" s="33"/>
      <c r="AV1485" s="39"/>
    </row>
    <row r="1486" spans="4:48">
      <c r="D1486" s="33"/>
      <c r="E1486" s="33"/>
      <c r="F1486" s="33"/>
      <c r="G1486" s="33"/>
      <c r="H1486" s="34"/>
      <c r="J1486" s="36"/>
      <c r="K1486" s="36"/>
      <c r="L1486" s="36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8"/>
      <c r="AS1486" s="38"/>
      <c r="AT1486" s="38"/>
      <c r="AU1486" s="33"/>
      <c r="AV1486" s="39"/>
    </row>
    <row r="1487" spans="4:48">
      <c r="D1487" s="33"/>
      <c r="E1487" s="33"/>
      <c r="F1487" s="33"/>
      <c r="G1487" s="33"/>
      <c r="H1487" s="34"/>
      <c r="J1487" s="36"/>
      <c r="K1487" s="36"/>
      <c r="L1487" s="36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8"/>
      <c r="AS1487" s="38"/>
      <c r="AT1487" s="38"/>
      <c r="AU1487" s="33"/>
      <c r="AV1487" s="39"/>
    </row>
    <row r="1488" spans="4:48">
      <c r="D1488" s="33"/>
      <c r="E1488" s="33"/>
      <c r="F1488" s="33"/>
      <c r="G1488" s="33"/>
      <c r="H1488" s="34"/>
      <c r="J1488" s="36"/>
      <c r="K1488" s="36"/>
      <c r="L1488" s="36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8"/>
      <c r="AS1488" s="38"/>
      <c r="AT1488" s="38"/>
      <c r="AU1488" s="33"/>
      <c r="AV1488" s="39"/>
    </row>
    <row r="1489" spans="4:48">
      <c r="D1489" s="33"/>
      <c r="E1489" s="33"/>
      <c r="F1489" s="33"/>
      <c r="G1489" s="33"/>
      <c r="H1489" s="34"/>
      <c r="J1489" s="36"/>
      <c r="K1489" s="36"/>
      <c r="L1489" s="36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8"/>
      <c r="AS1489" s="38"/>
      <c r="AT1489" s="38"/>
      <c r="AU1489" s="33"/>
      <c r="AV1489" s="39"/>
    </row>
    <row r="1490" spans="4:48">
      <c r="D1490" s="33"/>
      <c r="E1490" s="33"/>
      <c r="F1490" s="33"/>
      <c r="G1490" s="33"/>
      <c r="H1490" s="34"/>
      <c r="J1490" s="36"/>
      <c r="K1490" s="36"/>
      <c r="L1490" s="36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8"/>
      <c r="AS1490" s="38"/>
      <c r="AT1490" s="38"/>
      <c r="AU1490" s="33"/>
      <c r="AV1490" s="39"/>
    </row>
    <row r="1491" spans="4:48">
      <c r="D1491" s="33"/>
      <c r="E1491" s="33"/>
      <c r="F1491" s="33"/>
      <c r="G1491" s="33"/>
      <c r="H1491" s="34"/>
      <c r="J1491" s="36"/>
      <c r="K1491" s="36"/>
      <c r="L1491" s="36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8"/>
      <c r="AS1491" s="38"/>
      <c r="AT1491" s="38"/>
      <c r="AU1491" s="33"/>
      <c r="AV1491" s="39"/>
    </row>
    <row r="1492" spans="4:48">
      <c r="D1492" s="33"/>
      <c r="E1492" s="33"/>
      <c r="F1492" s="33"/>
      <c r="G1492" s="33"/>
      <c r="H1492" s="34"/>
      <c r="J1492" s="36"/>
      <c r="K1492" s="36"/>
      <c r="L1492" s="36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8"/>
      <c r="AS1492" s="38"/>
      <c r="AT1492" s="38"/>
      <c r="AU1492" s="33"/>
      <c r="AV1492" s="39"/>
    </row>
    <row r="1493" spans="4:48">
      <c r="D1493" s="33"/>
      <c r="E1493" s="33"/>
      <c r="F1493" s="33"/>
      <c r="G1493" s="33"/>
      <c r="H1493" s="34"/>
      <c r="J1493" s="36"/>
      <c r="K1493" s="36"/>
      <c r="L1493" s="36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8"/>
      <c r="AS1493" s="38"/>
      <c r="AT1493" s="38"/>
      <c r="AU1493" s="33"/>
      <c r="AV1493" s="39"/>
    </row>
    <row r="1494" spans="4:48">
      <c r="D1494" s="33"/>
      <c r="E1494" s="33"/>
      <c r="F1494" s="33"/>
      <c r="G1494" s="33"/>
      <c r="H1494" s="34"/>
      <c r="J1494" s="36"/>
      <c r="K1494" s="36"/>
      <c r="L1494" s="36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8"/>
      <c r="AS1494" s="38"/>
      <c r="AT1494" s="38"/>
      <c r="AU1494" s="33"/>
      <c r="AV1494" s="39"/>
    </row>
    <row r="1495" spans="4:48">
      <c r="D1495" s="33"/>
      <c r="E1495" s="33"/>
      <c r="F1495" s="33"/>
      <c r="G1495" s="33"/>
      <c r="H1495" s="34"/>
      <c r="J1495" s="36"/>
      <c r="K1495" s="36"/>
      <c r="L1495" s="36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8"/>
      <c r="AS1495" s="38"/>
      <c r="AT1495" s="38"/>
      <c r="AU1495" s="33"/>
      <c r="AV1495" s="39"/>
    </row>
    <row r="1496" spans="4:48">
      <c r="D1496" s="33"/>
      <c r="E1496" s="33"/>
      <c r="F1496" s="33"/>
      <c r="G1496" s="33"/>
      <c r="H1496" s="34"/>
      <c r="J1496" s="36"/>
      <c r="K1496" s="36"/>
      <c r="L1496" s="36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8"/>
      <c r="AS1496" s="38"/>
      <c r="AT1496" s="38"/>
      <c r="AU1496" s="33"/>
      <c r="AV1496" s="39"/>
    </row>
    <row r="1497" spans="4:48">
      <c r="D1497" s="33"/>
      <c r="E1497" s="33"/>
      <c r="F1497" s="33"/>
      <c r="G1497" s="33"/>
      <c r="H1497" s="34"/>
      <c r="J1497" s="36"/>
      <c r="K1497" s="36"/>
      <c r="L1497" s="36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8"/>
      <c r="AS1497" s="38"/>
      <c r="AT1497" s="38"/>
      <c r="AU1497" s="33"/>
      <c r="AV1497" s="39"/>
    </row>
    <row r="1498" spans="4:48">
      <c r="D1498" s="33"/>
      <c r="E1498" s="33"/>
      <c r="F1498" s="33"/>
      <c r="G1498" s="33"/>
      <c r="H1498" s="34"/>
      <c r="J1498" s="36"/>
      <c r="K1498" s="36"/>
      <c r="L1498" s="36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8"/>
      <c r="AS1498" s="38"/>
      <c r="AT1498" s="38"/>
      <c r="AU1498" s="33"/>
      <c r="AV1498" s="39"/>
    </row>
    <row r="1499" spans="4:48">
      <c r="D1499" s="33"/>
      <c r="E1499" s="33"/>
      <c r="F1499" s="33"/>
      <c r="G1499" s="33"/>
      <c r="H1499" s="34"/>
      <c r="J1499" s="36"/>
      <c r="K1499" s="36"/>
      <c r="L1499" s="36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8"/>
      <c r="AS1499" s="38"/>
      <c r="AT1499" s="38"/>
      <c r="AU1499" s="33"/>
      <c r="AV1499" s="39"/>
    </row>
    <row r="1500" spans="4:48">
      <c r="D1500" s="33"/>
      <c r="E1500" s="33"/>
      <c r="F1500" s="33"/>
      <c r="G1500" s="33"/>
      <c r="H1500" s="34"/>
      <c r="J1500" s="36"/>
      <c r="K1500" s="36"/>
      <c r="L1500" s="36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8"/>
      <c r="AS1500" s="38"/>
      <c r="AT1500" s="38"/>
      <c r="AU1500" s="33"/>
      <c r="AV1500" s="39"/>
    </row>
    <row r="1501" spans="4:48">
      <c r="D1501" s="33"/>
      <c r="E1501" s="33"/>
      <c r="F1501" s="33"/>
      <c r="G1501" s="33"/>
      <c r="H1501" s="34"/>
      <c r="J1501" s="36"/>
      <c r="K1501" s="36"/>
      <c r="L1501" s="36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8"/>
      <c r="AS1501" s="38"/>
      <c r="AT1501" s="38"/>
      <c r="AU1501" s="33"/>
      <c r="AV1501" s="39"/>
    </row>
    <row r="1502" spans="4:48">
      <c r="D1502" s="33"/>
      <c r="E1502" s="33"/>
      <c r="F1502" s="33"/>
      <c r="G1502" s="33"/>
      <c r="H1502" s="34"/>
      <c r="J1502" s="36"/>
      <c r="K1502" s="36"/>
      <c r="L1502" s="36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8"/>
      <c r="AS1502" s="38"/>
      <c r="AT1502" s="38"/>
      <c r="AU1502" s="33"/>
      <c r="AV1502" s="39"/>
    </row>
    <row r="1503" spans="4:48">
      <c r="D1503" s="33"/>
      <c r="E1503" s="33"/>
      <c r="F1503" s="33"/>
      <c r="G1503" s="33"/>
      <c r="H1503" s="34"/>
      <c r="J1503" s="36"/>
      <c r="K1503" s="36"/>
      <c r="L1503" s="36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8"/>
      <c r="AS1503" s="38"/>
      <c r="AT1503" s="38"/>
      <c r="AU1503" s="33"/>
      <c r="AV1503" s="39"/>
    </row>
    <row r="1504" spans="4:48">
      <c r="D1504" s="33"/>
      <c r="E1504" s="33"/>
      <c r="F1504" s="33"/>
      <c r="G1504" s="33"/>
      <c r="H1504" s="34"/>
      <c r="J1504" s="36"/>
      <c r="K1504" s="36"/>
      <c r="L1504" s="36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8"/>
      <c r="AS1504" s="38"/>
      <c r="AT1504" s="38"/>
      <c r="AU1504" s="33"/>
      <c r="AV1504" s="39"/>
    </row>
    <row r="1505" spans="4:48">
      <c r="D1505" s="33"/>
      <c r="E1505" s="33"/>
      <c r="F1505" s="33"/>
      <c r="G1505" s="33"/>
      <c r="H1505" s="34"/>
      <c r="J1505" s="36"/>
      <c r="K1505" s="36"/>
      <c r="L1505" s="36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8"/>
      <c r="AS1505" s="38"/>
      <c r="AT1505" s="38"/>
      <c r="AU1505" s="33"/>
      <c r="AV1505" s="39"/>
    </row>
    <row r="1506" spans="4:48">
      <c r="D1506" s="33"/>
      <c r="E1506" s="33"/>
      <c r="F1506" s="33"/>
      <c r="G1506" s="33"/>
      <c r="H1506" s="34"/>
      <c r="J1506" s="36"/>
      <c r="K1506" s="36"/>
      <c r="L1506" s="36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8"/>
      <c r="AS1506" s="38"/>
      <c r="AT1506" s="38"/>
      <c r="AU1506" s="33"/>
      <c r="AV1506" s="39"/>
    </row>
    <row r="1507" spans="4:48">
      <c r="D1507" s="33"/>
      <c r="E1507" s="33"/>
      <c r="F1507" s="33"/>
      <c r="G1507" s="33"/>
      <c r="H1507" s="34"/>
      <c r="J1507" s="36"/>
      <c r="K1507" s="36"/>
      <c r="L1507" s="36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8"/>
      <c r="AS1507" s="38"/>
      <c r="AT1507" s="38"/>
      <c r="AU1507" s="33"/>
      <c r="AV1507" s="39"/>
    </row>
    <row r="1508" spans="4:48">
      <c r="D1508" s="33"/>
      <c r="E1508" s="33"/>
      <c r="F1508" s="33"/>
      <c r="G1508" s="33"/>
      <c r="H1508" s="34"/>
      <c r="J1508" s="36"/>
      <c r="K1508" s="36"/>
      <c r="L1508" s="36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8"/>
      <c r="AS1508" s="38"/>
      <c r="AT1508" s="38"/>
      <c r="AU1508" s="33"/>
      <c r="AV1508" s="39"/>
    </row>
    <row r="1509" spans="4:48">
      <c r="D1509" s="33"/>
      <c r="E1509" s="33"/>
      <c r="F1509" s="33"/>
      <c r="G1509" s="33"/>
      <c r="H1509" s="34"/>
      <c r="J1509" s="36"/>
      <c r="K1509" s="36"/>
      <c r="L1509" s="36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8"/>
      <c r="AS1509" s="38"/>
      <c r="AT1509" s="38"/>
      <c r="AU1509" s="33"/>
      <c r="AV1509" s="39"/>
    </row>
    <row r="1510" spans="4:48">
      <c r="D1510" s="33"/>
      <c r="E1510" s="33"/>
      <c r="F1510" s="33"/>
      <c r="G1510" s="33"/>
      <c r="H1510" s="34"/>
      <c r="J1510" s="36"/>
      <c r="K1510" s="36"/>
      <c r="L1510" s="36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8"/>
      <c r="AS1510" s="38"/>
      <c r="AT1510" s="38"/>
      <c r="AU1510" s="33"/>
      <c r="AV1510" s="39"/>
    </row>
    <row r="1511" spans="4:48">
      <c r="D1511" s="33"/>
      <c r="E1511" s="33"/>
      <c r="F1511" s="33"/>
      <c r="G1511" s="33"/>
      <c r="H1511" s="34"/>
      <c r="J1511" s="36"/>
      <c r="K1511" s="36"/>
      <c r="L1511" s="36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8"/>
      <c r="AS1511" s="38"/>
      <c r="AT1511" s="38"/>
      <c r="AU1511" s="33"/>
      <c r="AV1511" s="39"/>
    </row>
    <row r="1512" spans="4:48">
      <c r="D1512" s="33"/>
      <c r="E1512" s="33"/>
      <c r="F1512" s="33"/>
      <c r="G1512" s="33"/>
      <c r="H1512" s="34"/>
      <c r="J1512" s="36"/>
      <c r="K1512" s="36"/>
      <c r="L1512" s="36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8"/>
      <c r="AS1512" s="38"/>
      <c r="AT1512" s="38"/>
      <c r="AU1512" s="33"/>
      <c r="AV1512" s="39"/>
    </row>
    <row r="1513" spans="4:48">
      <c r="D1513" s="33"/>
      <c r="E1513" s="33"/>
      <c r="F1513" s="33"/>
      <c r="G1513" s="33"/>
      <c r="H1513" s="34"/>
      <c r="J1513" s="36"/>
      <c r="K1513" s="36"/>
      <c r="L1513" s="36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8"/>
      <c r="AS1513" s="38"/>
      <c r="AT1513" s="38"/>
      <c r="AU1513" s="33"/>
      <c r="AV1513" s="39"/>
    </row>
    <row r="1514" spans="4:48">
      <c r="D1514" s="33"/>
      <c r="E1514" s="33"/>
      <c r="F1514" s="33"/>
      <c r="G1514" s="33"/>
      <c r="H1514" s="34"/>
      <c r="J1514" s="36"/>
      <c r="K1514" s="36"/>
      <c r="L1514" s="36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8"/>
      <c r="AS1514" s="38"/>
      <c r="AT1514" s="38"/>
      <c r="AU1514" s="33"/>
      <c r="AV1514" s="39"/>
    </row>
    <row r="1515" spans="4:48">
      <c r="D1515" s="33"/>
      <c r="E1515" s="33"/>
      <c r="F1515" s="33"/>
      <c r="G1515" s="33"/>
      <c r="H1515" s="34"/>
      <c r="J1515" s="36"/>
      <c r="K1515" s="36"/>
      <c r="L1515" s="36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8"/>
      <c r="AS1515" s="38"/>
      <c r="AT1515" s="38"/>
      <c r="AU1515" s="33"/>
      <c r="AV1515" s="39"/>
    </row>
    <row r="1516" spans="4:48">
      <c r="D1516" s="33"/>
      <c r="E1516" s="33"/>
      <c r="F1516" s="33"/>
      <c r="G1516" s="33"/>
      <c r="H1516" s="34"/>
      <c r="J1516" s="36"/>
      <c r="K1516" s="36"/>
      <c r="L1516" s="36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8"/>
      <c r="AS1516" s="38"/>
      <c r="AT1516" s="38"/>
      <c r="AU1516" s="33"/>
      <c r="AV1516" s="39"/>
    </row>
    <row r="1517" spans="4:48">
      <c r="D1517" s="33"/>
      <c r="E1517" s="33"/>
      <c r="F1517" s="33"/>
      <c r="G1517" s="33"/>
      <c r="H1517" s="34"/>
      <c r="J1517" s="36"/>
      <c r="K1517" s="36"/>
      <c r="L1517" s="36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8"/>
      <c r="AS1517" s="38"/>
      <c r="AT1517" s="38"/>
      <c r="AU1517" s="33"/>
      <c r="AV1517" s="39"/>
    </row>
    <row r="1518" spans="4:48">
      <c r="D1518" s="33"/>
      <c r="E1518" s="33"/>
      <c r="F1518" s="33"/>
      <c r="G1518" s="33"/>
      <c r="H1518" s="34"/>
      <c r="J1518" s="36"/>
      <c r="K1518" s="36"/>
      <c r="L1518" s="36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8"/>
      <c r="AS1518" s="38"/>
      <c r="AT1518" s="38"/>
      <c r="AU1518" s="33"/>
      <c r="AV1518" s="39"/>
    </row>
    <row r="1519" spans="4:48">
      <c r="D1519" s="33"/>
      <c r="E1519" s="33"/>
      <c r="F1519" s="33"/>
      <c r="G1519" s="33"/>
      <c r="H1519" s="34"/>
      <c r="J1519" s="36"/>
      <c r="K1519" s="36"/>
      <c r="L1519" s="36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8"/>
      <c r="AS1519" s="38"/>
      <c r="AT1519" s="38"/>
      <c r="AU1519" s="33"/>
      <c r="AV1519" s="39"/>
    </row>
    <row r="1520" spans="4:48">
      <c r="D1520" s="33"/>
      <c r="E1520" s="33"/>
      <c r="F1520" s="33"/>
      <c r="G1520" s="33"/>
      <c r="H1520" s="34"/>
      <c r="J1520" s="36"/>
      <c r="K1520" s="36"/>
      <c r="L1520" s="36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8"/>
      <c r="AS1520" s="38"/>
      <c r="AT1520" s="38"/>
      <c r="AU1520" s="33"/>
      <c r="AV1520" s="39"/>
    </row>
    <row r="1521" spans="4:48">
      <c r="D1521" s="33"/>
      <c r="E1521" s="33"/>
      <c r="F1521" s="33"/>
      <c r="G1521" s="33"/>
      <c r="H1521" s="34"/>
      <c r="J1521" s="36"/>
      <c r="K1521" s="36"/>
      <c r="L1521" s="36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8"/>
      <c r="AS1521" s="38"/>
      <c r="AT1521" s="38"/>
      <c r="AU1521" s="33"/>
      <c r="AV1521" s="39"/>
    </row>
    <row r="1522" spans="4:48">
      <c r="D1522" s="33"/>
      <c r="E1522" s="33"/>
      <c r="F1522" s="33"/>
      <c r="G1522" s="33"/>
      <c r="H1522" s="34"/>
      <c r="J1522" s="36"/>
      <c r="K1522" s="36"/>
      <c r="L1522" s="36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8"/>
      <c r="AS1522" s="38"/>
      <c r="AT1522" s="38"/>
      <c r="AU1522" s="33"/>
      <c r="AV1522" s="39"/>
    </row>
    <row r="1523" spans="4:48">
      <c r="D1523" s="33"/>
      <c r="E1523" s="33"/>
      <c r="F1523" s="33"/>
      <c r="G1523" s="33"/>
      <c r="H1523" s="34"/>
      <c r="J1523" s="36"/>
      <c r="K1523" s="36"/>
      <c r="L1523" s="36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8"/>
      <c r="AS1523" s="38"/>
      <c r="AT1523" s="38"/>
      <c r="AU1523" s="33"/>
      <c r="AV1523" s="39"/>
    </row>
    <row r="1524" spans="4:48">
      <c r="D1524" s="33"/>
      <c r="E1524" s="33"/>
      <c r="F1524" s="33"/>
      <c r="G1524" s="33"/>
      <c r="H1524" s="34"/>
      <c r="J1524" s="36"/>
      <c r="K1524" s="36"/>
      <c r="L1524" s="36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8"/>
      <c r="AS1524" s="38"/>
      <c r="AT1524" s="38"/>
      <c r="AU1524" s="33"/>
      <c r="AV1524" s="39"/>
    </row>
    <row r="1525" spans="4:48">
      <c r="D1525" s="33"/>
      <c r="E1525" s="33"/>
      <c r="F1525" s="33"/>
      <c r="G1525" s="33"/>
      <c r="H1525" s="34"/>
      <c r="J1525" s="36"/>
      <c r="K1525" s="36"/>
      <c r="L1525" s="36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8"/>
      <c r="AS1525" s="38"/>
      <c r="AT1525" s="38"/>
      <c r="AU1525" s="33"/>
      <c r="AV1525" s="39"/>
    </row>
    <row r="1526" spans="4:48">
      <c r="D1526" s="33"/>
      <c r="E1526" s="33"/>
      <c r="F1526" s="33"/>
      <c r="G1526" s="33"/>
      <c r="H1526" s="34"/>
      <c r="J1526" s="36"/>
      <c r="K1526" s="36"/>
      <c r="L1526" s="36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8"/>
      <c r="AS1526" s="38"/>
      <c r="AT1526" s="38"/>
      <c r="AU1526" s="33"/>
      <c r="AV1526" s="39"/>
    </row>
    <row r="1527" spans="4:48">
      <c r="D1527" s="33"/>
      <c r="E1527" s="33"/>
      <c r="F1527" s="33"/>
      <c r="G1527" s="33"/>
      <c r="H1527" s="34"/>
      <c r="J1527" s="36"/>
      <c r="K1527" s="36"/>
      <c r="L1527" s="36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8"/>
      <c r="AS1527" s="38"/>
      <c r="AT1527" s="38"/>
      <c r="AU1527" s="33"/>
      <c r="AV1527" s="39"/>
    </row>
    <row r="1528" spans="4:48">
      <c r="D1528" s="33"/>
      <c r="E1528" s="33"/>
      <c r="F1528" s="33"/>
      <c r="G1528" s="33"/>
      <c r="H1528" s="34"/>
      <c r="J1528" s="36"/>
      <c r="K1528" s="36"/>
      <c r="L1528" s="36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8"/>
      <c r="AS1528" s="38"/>
      <c r="AT1528" s="38"/>
      <c r="AU1528" s="33"/>
      <c r="AV1528" s="39"/>
    </row>
    <row r="1529" spans="4:48">
      <c r="D1529" s="33"/>
      <c r="E1529" s="33"/>
      <c r="F1529" s="33"/>
      <c r="G1529" s="33"/>
      <c r="H1529" s="34"/>
      <c r="J1529" s="36"/>
      <c r="K1529" s="36"/>
      <c r="L1529" s="36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8"/>
      <c r="AS1529" s="38"/>
      <c r="AT1529" s="38"/>
      <c r="AU1529" s="33"/>
      <c r="AV1529" s="39"/>
    </row>
    <row r="1530" spans="4:48">
      <c r="D1530" s="33"/>
      <c r="E1530" s="33"/>
      <c r="F1530" s="33"/>
      <c r="G1530" s="33"/>
      <c r="H1530" s="34"/>
      <c r="J1530" s="36"/>
      <c r="K1530" s="36"/>
      <c r="L1530" s="36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8"/>
      <c r="AS1530" s="38"/>
      <c r="AT1530" s="38"/>
      <c r="AU1530" s="33"/>
      <c r="AV1530" s="39"/>
    </row>
    <row r="1531" spans="4:48">
      <c r="D1531" s="33"/>
      <c r="E1531" s="33"/>
      <c r="F1531" s="33"/>
      <c r="G1531" s="33"/>
      <c r="H1531" s="34"/>
      <c r="J1531" s="36"/>
      <c r="K1531" s="36"/>
      <c r="L1531" s="36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8"/>
      <c r="AS1531" s="38"/>
      <c r="AT1531" s="38"/>
      <c r="AU1531" s="33"/>
      <c r="AV1531" s="39"/>
    </row>
    <row r="1532" spans="4:48">
      <c r="D1532" s="33"/>
      <c r="E1532" s="33"/>
      <c r="F1532" s="33"/>
      <c r="G1532" s="33"/>
      <c r="H1532" s="34"/>
      <c r="J1532" s="36"/>
      <c r="K1532" s="36"/>
      <c r="L1532" s="36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8"/>
      <c r="AS1532" s="38"/>
      <c r="AT1532" s="38"/>
      <c r="AU1532" s="33"/>
      <c r="AV1532" s="39"/>
    </row>
    <row r="1533" spans="4:48">
      <c r="D1533" s="33"/>
      <c r="E1533" s="33"/>
      <c r="F1533" s="33"/>
      <c r="G1533" s="33"/>
      <c r="H1533" s="34"/>
      <c r="J1533" s="36"/>
      <c r="K1533" s="36"/>
      <c r="L1533" s="36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8"/>
      <c r="AS1533" s="38"/>
      <c r="AT1533" s="38"/>
      <c r="AU1533" s="33"/>
      <c r="AV1533" s="39"/>
    </row>
    <row r="1534" spans="4:48">
      <c r="D1534" s="33"/>
      <c r="E1534" s="33"/>
      <c r="F1534" s="33"/>
      <c r="G1534" s="33"/>
      <c r="H1534" s="34"/>
      <c r="J1534" s="36"/>
      <c r="K1534" s="36"/>
      <c r="L1534" s="36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8"/>
      <c r="AS1534" s="38"/>
      <c r="AT1534" s="38"/>
      <c r="AU1534" s="33"/>
      <c r="AV1534" s="39"/>
    </row>
    <row r="1535" spans="4:48">
      <c r="D1535" s="33"/>
      <c r="E1535" s="33"/>
      <c r="F1535" s="33"/>
      <c r="G1535" s="33"/>
      <c r="H1535" s="34"/>
      <c r="J1535" s="36"/>
      <c r="K1535" s="36"/>
      <c r="L1535" s="36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8"/>
      <c r="AS1535" s="38"/>
      <c r="AT1535" s="38"/>
      <c r="AU1535" s="33"/>
      <c r="AV1535" s="39"/>
    </row>
    <row r="1536" spans="4:48">
      <c r="D1536" s="33"/>
      <c r="E1536" s="33"/>
      <c r="F1536" s="33"/>
      <c r="G1536" s="33"/>
      <c r="H1536" s="34"/>
      <c r="J1536" s="36"/>
      <c r="K1536" s="36"/>
      <c r="L1536" s="36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8"/>
      <c r="AS1536" s="38"/>
      <c r="AT1536" s="38"/>
      <c r="AU1536" s="33"/>
      <c r="AV1536" s="39"/>
    </row>
    <row r="1537" spans="4:48">
      <c r="D1537" s="33"/>
      <c r="E1537" s="33"/>
      <c r="F1537" s="33"/>
      <c r="G1537" s="33"/>
      <c r="H1537" s="34"/>
      <c r="J1537" s="36"/>
      <c r="K1537" s="36"/>
      <c r="L1537" s="36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8"/>
      <c r="AS1537" s="38"/>
      <c r="AT1537" s="38"/>
      <c r="AU1537" s="33"/>
      <c r="AV1537" s="39"/>
    </row>
    <row r="1538" spans="4:48">
      <c r="D1538" s="33"/>
      <c r="E1538" s="33"/>
      <c r="F1538" s="33"/>
      <c r="G1538" s="33"/>
      <c r="H1538" s="34"/>
      <c r="J1538" s="36"/>
      <c r="K1538" s="36"/>
      <c r="L1538" s="36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8"/>
      <c r="AS1538" s="38"/>
      <c r="AT1538" s="38"/>
      <c r="AU1538" s="33"/>
      <c r="AV1538" s="39"/>
    </row>
    <row r="1539" spans="4:48">
      <c r="D1539" s="33"/>
      <c r="E1539" s="33"/>
      <c r="F1539" s="33"/>
      <c r="G1539" s="33"/>
      <c r="H1539" s="34"/>
      <c r="J1539" s="36"/>
      <c r="K1539" s="36"/>
      <c r="L1539" s="36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8"/>
      <c r="AS1539" s="38"/>
      <c r="AT1539" s="38"/>
      <c r="AU1539" s="33"/>
      <c r="AV1539" s="39"/>
    </row>
    <row r="1540" spans="4:48">
      <c r="D1540" s="33"/>
      <c r="E1540" s="33"/>
      <c r="F1540" s="33"/>
      <c r="G1540" s="33"/>
      <c r="H1540" s="34"/>
      <c r="J1540" s="36"/>
      <c r="K1540" s="36"/>
      <c r="L1540" s="36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8"/>
      <c r="AS1540" s="38"/>
      <c r="AT1540" s="38"/>
      <c r="AU1540" s="33"/>
      <c r="AV1540" s="39"/>
    </row>
    <row r="1541" spans="4:48">
      <c r="D1541" s="33"/>
      <c r="E1541" s="33"/>
      <c r="F1541" s="33"/>
      <c r="G1541" s="33"/>
      <c r="H1541" s="34"/>
      <c r="J1541" s="36"/>
      <c r="K1541" s="36"/>
      <c r="L1541" s="36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8"/>
      <c r="AS1541" s="38"/>
      <c r="AT1541" s="38"/>
      <c r="AU1541" s="33"/>
      <c r="AV1541" s="39"/>
    </row>
    <row r="1542" spans="4:48">
      <c r="D1542" s="33"/>
      <c r="E1542" s="33"/>
      <c r="F1542" s="33"/>
      <c r="G1542" s="33"/>
      <c r="H1542" s="34"/>
      <c r="J1542" s="36"/>
      <c r="K1542" s="36"/>
      <c r="L1542" s="36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8"/>
      <c r="AS1542" s="38"/>
      <c r="AT1542" s="38"/>
      <c r="AU1542" s="33"/>
      <c r="AV1542" s="39"/>
    </row>
    <row r="1543" spans="4:48">
      <c r="D1543" s="33"/>
      <c r="E1543" s="33"/>
      <c r="F1543" s="33"/>
      <c r="G1543" s="33"/>
      <c r="H1543" s="34"/>
      <c r="J1543" s="36"/>
      <c r="K1543" s="36"/>
      <c r="L1543" s="36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8"/>
      <c r="AS1543" s="38"/>
      <c r="AT1543" s="38"/>
      <c r="AU1543" s="33"/>
      <c r="AV1543" s="39"/>
    </row>
    <row r="1544" spans="4:48">
      <c r="D1544" s="33"/>
      <c r="E1544" s="33"/>
      <c r="F1544" s="33"/>
      <c r="G1544" s="33"/>
      <c r="H1544" s="34"/>
      <c r="J1544" s="36"/>
      <c r="K1544" s="36"/>
      <c r="L1544" s="36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8"/>
      <c r="AS1544" s="38"/>
      <c r="AT1544" s="38"/>
      <c r="AU1544" s="33"/>
      <c r="AV1544" s="39"/>
    </row>
    <row r="1545" spans="4:48">
      <c r="D1545" s="33"/>
      <c r="E1545" s="33"/>
      <c r="F1545" s="33"/>
      <c r="G1545" s="33"/>
      <c r="H1545" s="34"/>
      <c r="J1545" s="36"/>
      <c r="K1545" s="36"/>
      <c r="L1545" s="36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8"/>
      <c r="AS1545" s="38"/>
      <c r="AT1545" s="38"/>
      <c r="AU1545" s="33"/>
      <c r="AV1545" s="39"/>
    </row>
    <row r="1546" spans="4:48">
      <c r="D1546" s="33"/>
      <c r="E1546" s="33"/>
      <c r="F1546" s="33"/>
      <c r="G1546" s="33"/>
      <c r="H1546" s="34"/>
      <c r="J1546" s="36"/>
      <c r="K1546" s="36"/>
      <c r="L1546" s="36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8"/>
      <c r="AS1546" s="38"/>
      <c r="AT1546" s="38"/>
      <c r="AU1546" s="33"/>
      <c r="AV1546" s="39"/>
    </row>
    <row r="1547" spans="4:48">
      <c r="D1547" s="33"/>
      <c r="E1547" s="33"/>
      <c r="F1547" s="33"/>
      <c r="G1547" s="33"/>
      <c r="H1547" s="34"/>
      <c r="J1547" s="36"/>
      <c r="K1547" s="36"/>
      <c r="L1547" s="36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8"/>
      <c r="AS1547" s="38"/>
      <c r="AT1547" s="38"/>
      <c r="AU1547" s="33"/>
      <c r="AV1547" s="39"/>
    </row>
    <row r="1548" spans="4:48">
      <c r="D1548" s="33"/>
      <c r="E1548" s="33"/>
      <c r="F1548" s="33"/>
      <c r="G1548" s="33"/>
      <c r="H1548" s="34"/>
      <c r="J1548" s="36"/>
      <c r="K1548" s="36"/>
      <c r="L1548" s="36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8"/>
      <c r="AS1548" s="38"/>
      <c r="AT1548" s="38"/>
      <c r="AU1548" s="33"/>
      <c r="AV1548" s="39"/>
    </row>
    <row r="1549" spans="4:48">
      <c r="D1549" s="33"/>
      <c r="E1549" s="33"/>
      <c r="F1549" s="33"/>
      <c r="G1549" s="33"/>
      <c r="H1549" s="34"/>
      <c r="J1549" s="36"/>
      <c r="K1549" s="36"/>
      <c r="L1549" s="36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8"/>
      <c r="AS1549" s="38"/>
      <c r="AT1549" s="38"/>
      <c r="AU1549" s="33"/>
      <c r="AV1549" s="39"/>
    </row>
    <row r="1550" spans="4:48">
      <c r="D1550" s="33"/>
      <c r="E1550" s="33"/>
      <c r="F1550" s="33"/>
      <c r="G1550" s="33"/>
      <c r="H1550" s="34"/>
      <c r="J1550" s="36"/>
      <c r="K1550" s="36"/>
      <c r="L1550" s="36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8"/>
      <c r="AS1550" s="38"/>
      <c r="AT1550" s="38"/>
      <c r="AU1550" s="33"/>
      <c r="AV1550" s="39"/>
    </row>
    <row r="1551" spans="4:48">
      <c r="D1551" s="33"/>
      <c r="E1551" s="33"/>
      <c r="F1551" s="33"/>
      <c r="G1551" s="33"/>
      <c r="H1551" s="34"/>
      <c r="J1551" s="36"/>
      <c r="K1551" s="36"/>
      <c r="L1551" s="36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8"/>
      <c r="AS1551" s="38"/>
      <c r="AT1551" s="38"/>
      <c r="AU1551" s="33"/>
      <c r="AV1551" s="39"/>
    </row>
    <row r="1552" spans="4:48">
      <c r="D1552" s="33"/>
      <c r="E1552" s="33"/>
      <c r="F1552" s="33"/>
      <c r="G1552" s="33"/>
      <c r="H1552" s="34"/>
      <c r="J1552" s="36"/>
      <c r="K1552" s="36"/>
      <c r="L1552" s="36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8"/>
      <c r="AS1552" s="38"/>
      <c r="AT1552" s="38"/>
      <c r="AU1552" s="33"/>
      <c r="AV1552" s="39"/>
    </row>
    <row r="1553" spans="4:48">
      <c r="D1553" s="33"/>
      <c r="E1553" s="33"/>
      <c r="F1553" s="33"/>
      <c r="G1553" s="33"/>
      <c r="H1553" s="34"/>
      <c r="J1553" s="36"/>
      <c r="K1553" s="36"/>
      <c r="L1553" s="36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8"/>
      <c r="AS1553" s="38"/>
      <c r="AT1553" s="38"/>
      <c r="AU1553" s="33"/>
      <c r="AV1553" s="39"/>
    </row>
    <row r="1554" spans="4:48">
      <c r="D1554" s="33"/>
      <c r="E1554" s="33"/>
      <c r="F1554" s="33"/>
      <c r="G1554" s="33"/>
      <c r="H1554" s="34"/>
      <c r="J1554" s="36"/>
      <c r="K1554" s="36"/>
      <c r="L1554" s="36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8"/>
      <c r="AS1554" s="38"/>
      <c r="AT1554" s="38"/>
      <c r="AU1554" s="33"/>
      <c r="AV1554" s="39"/>
    </row>
    <row r="1555" spans="4:48">
      <c r="D1555" s="33"/>
      <c r="E1555" s="33"/>
      <c r="F1555" s="33"/>
      <c r="G1555" s="33"/>
      <c r="H1555" s="34"/>
      <c r="J1555" s="36"/>
      <c r="K1555" s="36"/>
      <c r="L1555" s="36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8"/>
      <c r="AS1555" s="38"/>
      <c r="AT1555" s="38"/>
      <c r="AU1555" s="33"/>
      <c r="AV1555" s="39"/>
    </row>
    <row r="1556" spans="4:48">
      <c r="D1556" s="33"/>
      <c r="E1556" s="33"/>
      <c r="F1556" s="33"/>
      <c r="G1556" s="33"/>
      <c r="H1556" s="34"/>
      <c r="J1556" s="36"/>
      <c r="K1556" s="36"/>
      <c r="L1556" s="36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8"/>
      <c r="AS1556" s="38"/>
      <c r="AT1556" s="38"/>
      <c r="AU1556" s="33"/>
      <c r="AV1556" s="39"/>
    </row>
    <row r="1557" spans="4:48">
      <c r="D1557" s="33"/>
      <c r="E1557" s="33"/>
      <c r="F1557" s="33"/>
      <c r="G1557" s="33"/>
      <c r="H1557" s="34"/>
      <c r="J1557" s="36"/>
      <c r="K1557" s="36"/>
      <c r="L1557" s="36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8"/>
      <c r="AS1557" s="38"/>
      <c r="AT1557" s="38"/>
      <c r="AU1557" s="33"/>
      <c r="AV1557" s="39"/>
    </row>
    <row r="1558" spans="4:48">
      <c r="D1558" s="33"/>
      <c r="E1558" s="33"/>
      <c r="F1558" s="33"/>
      <c r="G1558" s="33"/>
      <c r="H1558" s="34"/>
      <c r="J1558" s="36"/>
      <c r="K1558" s="36"/>
      <c r="L1558" s="36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8"/>
      <c r="AS1558" s="38"/>
      <c r="AT1558" s="38"/>
      <c r="AU1558" s="33"/>
      <c r="AV1558" s="39"/>
    </row>
    <row r="1559" spans="4:48">
      <c r="D1559" s="33"/>
      <c r="E1559" s="33"/>
      <c r="F1559" s="33"/>
      <c r="G1559" s="33"/>
      <c r="H1559" s="34"/>
      <c r="J1559" s="36"/>
      <c r="K1559" s="36"/>
      <c r="L1559" s="36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8"/>
      <c r="AS1559" s="38"/>
      <c r="AT1559" s="38"/>
      <c r="AU1559" s="33"/>
      <c r="AV1559" s="39"/>
    </row>
    <row r="1560" spans="4:48">
      <c r="D1560" s="33"/>
      <c r="E1560" s="33"/>
      <c r="F1560" s="33"/>
      <c r="G1560" s="33"/>
      <c r="H1560" s="34"/>
      <c r="J1560" s="36"/>
      <c r="K1560" s="36"/>
      <c r="L1560" s="36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8"/>
      <c r="AS1560" s="38"/>
      <c r="AT1560" s="38"/>
      <c r="AU1560" s="33"/>
      <c r="AV1560" s="39"/>
    </row>
    <row r="1561" spans="4:48">
      <c r="D1561" s="33"/>
      <c r="E1561" s="33"/>
      <c r="F1561" s="33"/>
      <c r="G1561" s="33"/>
      <c r="H1561" s="34"/>
      <c r="J1561" s="36"/>
      <c r="K1561" s="36"/>
      <c r="L1561" s="36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8"/>
      <c r="AS1561" s="38"/>
      <c r="AT1561" s="38"/>
      <c r="AU1561" s="33"/>
      <c r="AV1561" s="39"/>
    </row>
    <row r="1562" spans="4:48">
      <c r="D1562" s="33"/>
      <c r="E1562" s="33"/>
      <c r="F1562" s="33"/>
      <c r="G1562" s="33"/>
      <c r="H1562" s="34"/>
      <c r="J1562" s="36"/>
      <c r="K1562" s="36"/>
      <c r="L1562" s="36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8"/>
      <c r="AS1562" s="38"/>
      <c r="AT1562" s="38"/>
      <c r="AU1562" s="33"/>
      <c r="AV1562" s="39"/>
    </row>
    <row r="1563" spans="4:48">
      <c r="D1563" s="33"/>
      <c r="E1563" s="33"/>
      <c r="F1563" s="33"/>
      <c r="G1563" s="33"/>
      <c r="H1563" s="34"/>
      <c r="J1563" s="36"/>
      <c r="K1563" s="36"/>
      <c r="L1563" s="36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8"/>
      <c r="AS1563" s="38"/>
      <c r="AT1563" s="38"/>
      <c r="AU1563" s="33"/>
      <c r="AV1563" s="39"/>
    </row>
    <row r="1564" spans="4:48">
      <c r="D1564" s="33"/>
      <c r="E1564" s="33"/>
      <c r="F1564" s="33"/>
      <c r="G1564" s="33"/>
      <c r="H1564" s="34"/>
      <c r="J1564" s="36"/>
      <c r="K1564" s="36"/>
      <c r="L1564" s="36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8"/>
      <c r="AS1564" s="38"/>
      <c r="AT1564" s="38"/>
      <c r="AU1564" s="33"/>
      <c r="AV1564" s="39"/>
    </row>
    <row r="1565" spans="4:48">
      <c r="D1565" s="33"/>
      <c r="E1565" s="33"/>
      <c r="F1565" s="33"/>
      <c r="G1565" s="33"/>
      <c r="H1565" s="34"/>
      <c r="J1565" s="36"/>
      <c r="K1565" s="36"/>
      <c r="L1565" s="36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8"/>
      <c r="AS1565" s="38"/>
      <c r="AT1565" s="38"/>
      <c r="AU1565" s="33"/>
      <c r="AV1565" s="39"/>
    </row>
    <row r="1566" spans="4:48">
      <c r="D1566" s="33"/>
      <c r="E1566" s="33"/>
      <c r="F1566" s="33"/>
      <c r="G1566" s="33"/>
      <c r="H1566" s="34"/>
      <c r="J1566" s="36"/>
      <c r="K1566" s="36"/>
      <c r="L1566" s="36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8"/>
      <c r="AS1566" s="38"/>
      <c r="AT1566" s="38"/>
      <c r="AU1566" s="33"/>
      <c r="AV1566" s="39"/>
    </row>
    <row r="1567" spans="4:48">
      <c r="D1567" s="33"/>
      <c r="E1567" s="33"/>
      <c r="F1567" s="33"/>
      <c r="G1567" s="33"/>
      <c r="H1567" s="34"/>
      <c r="J1567" s="36"/>
      <c r="K1567" s="36"/>
      <c r="L1567" s="36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8"/>
      <c r="AS1567" s="38"/>
      <c r="AT1567" s="38"/>
      <c r="AU1567" s="33"/>
      <c r="AV1567" s="39"/>
    </row>
    <row r="1568" spans="4:48">
      <c r="D1568" s="33"/>
      <c r="E1568" s="33"/>
      <c r="F1568" s="33"/>
      <c r="G1568" s="33"/>
      <c r="H1568" s="34"/>
      <c r="J1568" s="36"/>
      <c r="K1568" s="36"/>
      <c r="L1568" s="36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8"/>
      <c r="AS1568" s="38"/>
      <c r="AT1568" s="38"/>
      <c r="AU1568" s="33"/>
      <c r="AV1568" s="39"/>
    </row>
    <row r="1569" spans="4:48">
      <c r="D1569" s="33"/>
      <c r="E1569" s="33"/>
      <c r="F1569" s="33"/>
      <c r="G1569" s="33"/>
      <c r="H1569" s="34"/>
      <c r="J1569" s="36"/>
      <c r="K1569" s="36"/>
      <c r="L1569" s="36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8"/>
      <c r="AS1569" s="38"/>
      <c r="AT1569" s="38"/>
      <c r="AU1569" s="33"/>
      <c r="AV1569" s="39"/>
    </row>
    <row r="1570" spans="4:48">
      <c r="D1570" s="33"/>
      <c r="E1570" s="33"/>
      <c r="F1570" s="33"/>
      <c r="G1570" s="33"/>
      <c r="H1570" s="34"/>
      <c r="J1570" s="36"/>
      <c r="K1570" s="36"/>
      <c r="L1570" s="36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8"/>
      <c r="AS1570" s="38"/>
      <c r="AT1570" s="38"/>
      <c r="AU1570" s="33"/>
      <c r="AV1570" s="39"/>
    </row>
    <row r="1571" spans="4:48">
      <c r="D1571" s="33"/>
      <c r="E1571" s="33"/>
      <c r="F1571" s="33"/>
      <c r="G1571" s="33"/>
      <c r="H1571" s="34"/>
      <c r="J1571" s="36"/>
      <c r="K1571" s="36"/>
      <c r="L1571" s="36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8"/>
      <c r="AS1571" s="38"/>
      <c r="AT1571" s="38"/>
      <c r="AU1571" s="33"/>
      <c r="AV1571" s="39"/>
    </row>
    <row r="1572" spans="4:48">
      <c r="D1572" s="33"/>
      <c r="E1572" s="33"/>
      <c r="F1572" s="33"/>
      <c r="G1572" s="33"/>
      <c r="H1572" s="34"/>
      <c r="J1572" s="36"/>
      <c r="K1572" s="36"/>
      <c r="L1572" s="36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8"/>
      <c r="AS1572" s="38"/>
      <c r="AT1572" s="38"/>
      <c r="AU1572" s="33"/>
      <c r="AV1572" s="39"/>
    </row>
    <row r="1573" spans="4:48">
      <c r="D1573" s="33"/>
      <c r="E1573" s="33"/>
      <c r="F1573" s="33"/>
      <c r="G1573" s="33"/>
      <c r="H1573" s="34"/>
      <c r="J1573" s="36"/>
      <c r="K1573" s="36"/>
      <c r="L1573" s="36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8"/>
      <c r="AS1573" s="38"/>
      <c r="AT1573" s="38"/>
      <c r="AU1573" s="33"/>
      <c r="AV1573" s="39"/>
    </row>
    <row r="1574" spans="4:48">
      <c r="D1574" s="33"/>
      <c r="E1574" s="33"/>
      <c r="F1574" s="33"/>
      <c r="G1574" s="33"/>
      <c r="H1574" s="34"/>
      <c r="J1574" s="36"/>
      <c r="K1574" s="36"/>
      <c r="L1574" s="36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8"/>
      <c r="AS1574" s="38"/>
      <c r="AT1574" s="38"/>
      <c r="AU1574" s="33"/>
      <c r="AV1574" s="39"/>
    </row>
    <row r="1575" spans="4:48">
      <c r="D1575" s="33"/>
      <c r="E1575" s="33"/>
      <c r="F1575" s="33"/>
      <c r="G1575" s="33"/>
      <c r="H1575" s="34"/>
      <c r="J1575" s="36"/>
      <c r="K1575" s="36"/>
      <c r="L1575" s="36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8"/>
      <c r="AS1575" s="38"/>
      <c r="AT1575" s="38"/>
      <c r="AU1575" s="33"/>
      <c r="AV1575" s="39"/>
    </row>
    <row r="1576" spans="4:48">
      <c r="D1576" s="33"/>
      <c r="E1576" s="33"/>
      <c r="F1576" s="33"/>
      <c r="G1576" s="33"/>
      <c r="H1576" s="34"/>
      <c r="J1576" s="36"/>
      <c r="K1576" s="36"/>
      <c r="L1576" s="36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8"/>
      <c r="AS1576" s="38"/>
      <c r="AT1576" s="38"/>
      <c r="AU1576" s="33"/>
      <c r="AV1576" s="39"/>
    </row>
    <row r="1577" spans="4:48">
      <c r="D1577" s="33"/>
      <c r="E1577" s="33"/>
      <c r="F1577" s="33"/>
      <c r="G1577" s="33"/>
      <c r="H1577" s="34"/>
      <c r="J1577" s="36"/>
      <c r="K1577" s="36"/>
      <c r="L1577" s="36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8"/>
      <c r="AS1577" s="38"/>
      <c r="AT1577" s="38"/>
      <c r="AU1577" s="33"/>
      <c r="AV1577" s="39"/>
    </row>
    <row r="1578" spans="4:48">
      <c r="D1578" s="33"/>
      <c r="E1578" s="33"/>
      <c r="F1578" s="33"/>
      <c r="G1578" s="33"/>
      <c r="H1578" s="34"/>
      <c r="J1578" s="36"/>
      <c r="K1578" s="36"/>
      <c r="L1578" s="36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8"/>
      <c r="AS1578" s="38"/>
      <c r="AT1578" s="38"/>
      <c r="AU1578" s="33"/>
      <c r="AV1578" s="39"/>
    </row>
    <row r="1579" spans="4:48">
      <c r="D1579" s="33"/>
      <c r="E1579" s="33"/>
      <c r="F1579" s="33"/>
      <c r="G1579" s="33"/>
      <c r="H1579" s="34"/>
      <c r="J1579" s="36"/>
      <c r="K1579" s="36"/>
      <c r="L1579" s="36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8"/>
      <c r="AS1579" s="38"/>
      <c r="AT1579" s="38"/>
      <c r="AU1579" s="33"/>
      <c r="AV1579" s="39"/>
    </row>
    <row r="1580" spans="4:48">
      <c r="D1580" s="33"/>
      <c r="E1580" s="33"/>
      <c r="F1580" s="33"/>
      <c r="G1580" s="33"/>
      <c r="H1580" s="34"/>
      <c r="J1580" s="36"/>
      <c r="K1580" s="36"/>
      <c r="L1580" s="36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8"/>
      <c r="AS1580" s="38"/>
      <c r="AT1580" s="38"/>
      <c r="AU1580" s="33"/>
      <c r="AV1580" s="39"/>
    </row>
    <row r="1581" spans="4:48">
      <c r="D1581" s="33"/>
      <c r="E1581" s="33"/>
      <c r="F1581" s="33"/>
      <c r="G1581" s="33"/>
      <c r="H1581" s="34"/>
      <c r="J1581" s="36"/>
      <c r="K1581" s="36"/>
      <c r="L1581" s="36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8"/>
      <c r="AS1581" s="38"/>
      <c r="AT1581" s="38"/>
      <c r="AU1581" s="33"/>
      <c r="AV1581" s="39"/>
    </row>
    <row r="1582" spans="4:48">
      <c r="D1582" s="33"/>
      <c r="E1582" s="33"/>
      <c r="F1582" s="33"/>
      <c r="G1582" s="33"/>
      <c r="H1582" s="34"/>
      <c r="J1582" s="36"/>
      <c r="K1582" s="36"/>
      <c r="L1582" s="36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8"/>
      <c r="AS1582" s="38"/>
      <c r="AT1582" s="38"/>
      <c r="AU1582" s="33"/>
      <c r="AV1582" s="39"/>
    </row>
    <row r="1583" spans="4:48">
      <c r="D1583" s="33"/>
      <c r="E1583" s="33"/>
      <c r="F1583" s="33"/>
      <c r="G1583" s="33"/>
      <c r="H1583" s="34"/>
      <c r="J1583" s="36"/>
      <c r="K1583" s="36"/>
      <c r="L1583" s="36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8"/>
      <c r="AS1583" s="38"/>
      <c r="AT1583" s="38"/>
      <c r="AU1583" s="33"/>
      <c r="AV1583" s="39"/>
    </row>
    <row r="1584" spans="4:48">
      <c r="D1584" s="33"/>
      <c r="E1584" s="33"/>
      <c r="F1584" s="33"/>
      <c r="G1584" s="33"/>
      <c r="H1584" s="34"/>
      <c r="J1584" s="36"/>
      <c r="K1584" s="36"/>
      <c r="L1584" s="36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8"/>
      <c r="AS1584" s="38"/>
      <c r="AT1584" s="38"/>
      <c r="AU1584" s="33"/>
      <c r="AV1584" s="39"/>
    </row>
    <row r="1585" spans="4:48">
      <c r="D1585" s="33"/>
      <c r="E1585" s="33"/>
      <c r="F1585" s="33"/>
      <c r="G1585" s="33"/>
      <c r="H1585" s="34"/>
      <c r="J1585" s="36"/>
      <c r="K1585" s="36"/>
      <c r="L1585" s="36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8"/>
      <c r="AS1585" s="38"/>
      <c r="AT1585" s="38"/>
      <c r="AU1585" s="33"/>
      <c r="AV1585" s="39"/>
    </row>
    <row r="1586" spans="4:48">
      <c r="D1586" s="33"/>
      <c r="E1586" s="33"/>
      <c r="F1586" s="33"/>
      <c r="G1586" s="33"/>
      <c r="H1586" s="34"/>
      <c r="J1586" s="36"/>
      <c r="K1586" s="36"/>
      <c r="L1586" s="36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8"/>
      <c r="AS1586" s="38"/>
      <c r="AT1586" s="38"/>
      <c r="AU1586" s="33"/>
      <c r="AV1586" s="39"/>
    </row>
    <row r="1587" spans="4:48">
      <c r="D1587" s="33"/>
      <c r="E1587" s="33"/>
      <c r="F1587" s="33"/>
      <c r="G1587" s="33"/>
      <c r="H1587" s="34"/>
      <c r="J1587" s="36"/>
      <c r="K1587" s="36"/>
      <c r="L1587" s="36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8"/>
      <c r="AS1587" s="38"/>
      <c r="AT1587" s="38"/>
      <c r="AU1587" s="33"/>
      <c r="AV1587" s="39"/>
    </row>
    <row r="1588" spans="4:48">
      <c r="D1588" s="33"/>
      <c r="E1588" s="33"/>
      <c r="F1588" s="33"/>
      <c r="G1588" s="33"/>
      <c r="H1588" s="34"/>
      <c r="J1588" s="36"/>
      <c r="K1588" s="36"/>
      <c r="L1588" s="36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8"/>
      <c r="AS1588" s="38"/>
      <c r="AT1588" s="38"/>
      <c r="AU1588" s="33"/>
      <c r="AV1588" s="39"/>
    </row>
    <row r="1589" spans="4:48">
      <c r="D1589" s="33"/>
      <c r="E1589" s="33"/>
      <c r="F1589" s="33"/>
      <c r="G1589" s="33"/>
      <c r="H1589" s="34"/>
      <c r="J1589" s="36"/>
      <c r="K1589" s="36"/>
      <c r="L1589" s="36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8"/>
      <c r="AS1589" s="38"/>
      <c r="AT1589" s="38"/>
      <c r="AU1589" s="33"/>
      <c r="AV1589" s="39"/>
    </row>
    <row r="1590" spans="4:48">
      <c r="D1590" s="33"/>
      <c r="E1590" s="33"/>
      <c r="F1590" s="33"/>
      <c r="G1590" s="33"/>
      <c r="H1590" s="34"/>
      <c r="J1590" s="36"/>
      <c r="K1590" s="36"/>
      <c r="L1590" s="36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8"/>
      <c r="AS1590" s="38"/>
      <c r="AT1590" s="38"/>
      <c r="AU1590" s="33"/>
      <c r="AV1590" s="39"/>
    </row>
    <row r="1591" spans="4:48">
      <c r="D1591" s="33"/>
      <c r="E1591" s="33"/>
      <c r="F1591" s="33"/>
      <c r="G1591" s="33"/>
      <c r="H1591" s="34"/>
      <c r="J1591" s="36"/>
      <c r="K1591" s="36"/>
      <c r="L1591" s="36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8"/>
      <c r="AS1591" s="38"/>
      <c r="AT1591" s="38"/>
      <c r="AU1591" s="33"/>
      <c r="AV1591" s="39"/>
    </row>
    <row r="1592" spans="4:48">
      <c r="D1592" s="33"/>
      <c r="E1592" s="33"/>
      <c r="F1592" s="33"/>
      <c r="G1592" s="33"/>
      <c r="H1592" s="34"/>
      <c r="J1592" s="36"/>
      <c r="K1592" s="36"/>
      <c r="L1592" s="36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8"/>
      <c r="AS1592" s="38"/>
      <c r="AT1592" s="38"/>
      <c r="AU1592" s="33"/>
      <c r="AV1592" s="39"/>
    </row>
    <row r="1593" spans="4:48">
      <c r="D1593" s="33"/>
      <c r="E1593" s="33"/>
      <c r="F1593" s="33"/>
      <c r="G1593" s="33"/>
      <c r="H1593" s="34"/>
      <c r="J1593" s="36"/>
      <c r="K1593" s="36"/>
      <c r="L1593" s="36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8"/>
      <c r="AS1593" s="38"/>
      <c r="AT1593" s="38"/>
      <c r="AU1593" s="33"/>
      <c r="AV1593" s="39"/>
    </row>
    <row r="1594" spans="4:48">
      <c r="D1594" s="33"/>
      <c r="E1594" s="33"/>
      <c r="F1594" s="33"/>
      <c r="G1594" s="33"/>
      <c r="H1594" s="34"/>
      <c r="J1594" s="36"/>
      <c r="K1594" s="36"/>
      <c r="L1594" s="36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8"/>
      <c r="AS1594" s="38"/>
      <c r="AT1594" s="38"/>
      <c r="AU1594" s="33"/>
      <c r="AV1594" s="39"/>
    </row>
    <row r="1595" spans="4:48">
      <c r="D1595" s="33"/>
      <c r="E1595" s="33"/>
      <c r="F1595" s="33"/>
      <c r="G1595" s="33"/>
      <c r="H1595" s="34"/>
      <c r="J1595" s="36"/>
      <c r="K1595" s="36"/>
      <c r="L1595" s="36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8"/>
      <c r="AS1595" s="38"/>
      <c r="AT1595" s="38"/>
      <c r="AU1595" s="33"/>
      <c r="AV1595" s="39"/>
    </row>
    <row r="1596" spans="4:48">
      <c r="D1596" s="33"/>
      <c r="E1596" s="33"/>
      <c r="F1596" s="33"/>
      <c r="G1596" s="33"/>
      <c r="H1596" s="34"/>
      <c r="J1596" s="36"/>
      <c r="K1596" s="36"/>
      <c r="L1596" s="36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8"/>
      <c r="AS1596" s="38"/>
      <c r="AT1596" s="38"/>
      <c r="AU1596" s="33"/>
      <c r="AV1596" s="39"/>
    </row>
    <row r="1597" spans="4:48">
      <c r="D1597" s="33"/>
      <c r="E1597" s="33"/>
      <c r="F1597" s="33"/>
      <c r="G1597" s="33"/>
      <c r="H1597" s="34"/>
      <c r="J1597" s="36"/>
      <c r="K1597" s="36"/>
      <c r="L1597" s="36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8"/>
      <c r="AS1597" s="38"/>
      <c r="AT1597" s="38"/>
      <c r="AU1597" s="33"/>
      <c r="AV1597" s="39"/>
    </row>
    <row r="1598" spans="4:48">
      <c r="D1598" s="33"/>
      <c r="E1598" s="33"/>
      <c r="F1598" s="33"/>
      <c r="G1598" s="33"/>
      <c r="H1598" s="34"/>
      <c r="J1598" s="36"/>
      <c r="K1598" s="36"/>
      <c r="L1598" s="36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8"/>
      <c r="AS1598" s="38"/>
      <c r="AT1598" s="38"/>
      <c r="AU1598" s="33"/>
      <c r="AV1598" s="39"/>
    </row>
    <row r="1599" spans="4:48">
      <c r="D1599" s="33"/>
      <c r="E1599" s="33"/>
      <c r="F1599" s="33"/>
      <c r="G1599" s="33"/>
      <c r="H1599" s="34"/>
      <c r="J1599" s="36"/>
      <c r="K1599" s="36"/>
      <c r="L1599" s="36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8"/>
      <c r="AS1599" s="38"/>
      <c r="AT1599" s="38"/>
      <c r="AU1599" s="33"/>
      <c r="AV1599" s="39"/>
    </row>
    <row r="1600" spans="4:48">
      <c r="D1600" s="33"/>
      <c r="E1600" s="33"/>
      <c r="F1600" s="33"/>
      <c r="G1600" s="33"/>
      <c r="H1600" s="34"/>
      <c r="J1600" s="36"/>
      <c r="K1600" s="36"/>
      <c r="L1600" s="36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8"/>
      <c r="AS1600" s="38"/>
      <c r="AT1600" s="38"/>
      <c r="AU1600" s="33"/>
      <c r="AV1600" s="39"/>
    </row>
    <row r="1601" spans="4:48">
      <c r="D1601" s="33"/>
      <c r="E1601" s="33"/>
      <c r="F1601" s="33"/>
      <c r="G1601" s="33"/>
      <c r="H1601" s="34"/>
      <c r="J1601" s="36"/>
      <c r="K1601" s="36"/>
      <c r="L1601" s="36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8"/>
      <c r="AS1601" s="38"/>
      <c r="AT1601" s="38"/>
      <c r="AU1601" s="33"/>
      <c r="AV1601" s="39"/>
    </row>
    <row r="1602" spans="4:48">
      <c r="D1602" s="33"/>
      <c r="E1602" s="33"/>
      <c r="F1602" s="33"/>
      <c r="G1602" s="33"/>
      <c r="H1602" s="34"/>
      <c r="J1602" s="36"/>
      <c r="K1602" s="36"/>
      <c r="L1602" s="36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8"/>
      <c r="AS1602" s="38"/>
      <c r="AT1602" s="38"/>
      <c r="AU1602" s="33"/>
      <c r="AV1602" s="39"/>
    </row>
    <row r="1603" spans="4:48">
      <c r="D1603" s="33"/>
      <c r="E1603" s="33"/>
      <c r="F1603" s="33"/>
      <c r="G1603" s="33"/>
      <c r="H1603" s="34"/>
      <c r="J1603" s="36"/>
      <c r="K1603" s="36"/>
      <c r="L1603" s="36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8"/>
      <c r="AS1603" s="38"/>
      <c r="AT1603" s="38"/>
      <c r="AU1603" s="33"/>
      <c r="AV1603" s="39"/>
    </row>
    <row r="1604" spans="4:48">
      <c r="D1604" s="33"/>
      <c r="E1604" s="33"/>
      <c r="F1604" s="33"/>
      <c r="G1604" s="33"/>
      <c r="H1604" s="34"/>
      <c r="J1604" s="36"/>
      <c r="K1604" s="36"/>
      <c r="L1604" s="36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8"/>
      <c r="AS1604" s="38"/>
      <c r="AT1604" s="38"/>
      <c r="AU1604" s="33"/>
      <c r="AV1604" s="39"/>
    </row>
    <row r="1605" spans="4:48">
      <c r="D1605" s="33"/>
      <c r="E1605" s="33"/>
      <c r="F1605" s="33"/>
      <c r="G1605" s="33"/>
      <c r="H1605" s="34"/>
      <c r="J1605" s="36"/>
      <c r="K1605" s="36"/>
      <c r="L1605" s="36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8"/>
      <c r="AS1605" s="38"/>
      <c r="AT1605" s="38"/>
      <c r="AU1605" s="33"/>
      <c r="AV1605" s="39"/>
    </row>
    <row r="1606" spans="4:48">
      <c r="D1606" s="33"/>
      <c r="E1606" s="33"/>
      <c r="F1606" s="33"/>
      <c r="G1606" s="33"/>
      <c r="H1606" s="34"/>
      <c r="J1606" s="36"/>
      <c r="K1606" s="36"/>
      <c r="L1606" s="36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8"/>
      <c r="AS1606" s="38"/>
      <c r="AT1606" s="38"/>
      <c r="AU1606" s="33"/>
      <c r="AV1606" s="39"/>
    </row>
    <row r="1607" spans="4:48">
      <c r="D1607" s="33"/>
      <c r="E1607" s="33"/>
      <c r="F1607" s="33"/>
      <c r="G1607" s="33"/>
      <c r="H1607" s="34"/>
      <c r="J1607" s="36"/>
      <c r="K1607" s="36"/>
      <c r="L1607" s="36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8"/>
      <c r="AS1607" s="38"/>
      <c r="AT1607" s="38"/>
      <c r="AU1607" s="33"/>
      <c r="AV1607" s="39"/>
    </row>
    <row r="1608" spans="4:48">
      <c r="D1608" s="33"/>
      <c r="E1608" s="33"/>
      <c r="F1608" s="33"/>
      <c r="G1608" s="33"/>
      <c r="H1608" s="34"/>
      <c r="J1608" s="36"/>
      <c r="K1608" s="36"/>
      <c r="L1608" s="36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8"/>
      <c r="AS1608" s="38"/>
      <c r="AT1608" s="38"/>
      <c r="AU1608" s="33"/>
      <c r="AV1608" s="39"/>
    </row>
    <row r="1609" spans="4:48">
      <c r="D1609" s="33"/>
      <c r="E1609" s="33"/>
      <c r="F1609" s="33"/>
      <c r="G1609" s="33"/>
      <c r="H1609" s="34"/>
      <c r="J1609" s="36"/>
      <c r="K1609" s="36"/>
      <c r="L1609" s="36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8"/>
      <c r="AS1609" s="38"/>
      <c r="AT1609" s="38"/>
      <c r="AU1609" s="33"/>
      <c r="AV1609" s="39"/>
    </row>
    <row r="1610" spans="4:48">
      <c r="D1610" s="33"/>
      <c r="E1610" s="33"/>
      <c r="F1610" s="33"/>
      <c r="G1610" s="33"/>
      <c r="H1610" s="34"/>
      <c r="J1610" s="36"/>
      <c r="K1610" s="36"/>
      <c r="L1610" s="36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8"/>
      <c r="AS1610" s="38"/>
      <c r="AT1610" s="38"/>
      <c r="AU1610" s="33"/>
      <c r="AV1610" s="39"/>
    </row>
    <row r="1611" spans="4:48">
      <c r="D1611" s="33"/>
      <c r="E1611" s="33"/>
      <c r="F1611" s="33"/>
      <c r="G1611" s="33"/>
      <c r="H1611" s="34"/>
      <c r="J1611" s="36"/>
      <c r="K1611" s="36"/>
      <c r="L1611" s="36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8"/>
      <c r="AS1611" s="38"/>
      <c r="AT1611" s="38"/>
      <c r="AU1611" s="33"/>
      <c r="AV1611" s="39"/>
    </row>
    <row r="1612" spans="4:48">
      <c r="D1612" s="33"/>
      <c r="E1612" s="33"/>
      <c r="F1612" s="33"/>
      <c r="G1612" s="33"/>
      <c r="H1612" s="34"/>
      <c r="J1612" s="36"/>
      <c r="K1612" s="36"/>
      <c r="L1612" s="36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8"/>
      <c r="AS1612" s="38"/>
      <c r="AT1612" s="38"/>
      <c r="AU1612" s="33"/>
      <c r="AV1612" s="39"/>
    </row>
    <row r="1613" spans="4:48">
      <c r="D1613" s="33"/>
      <c r="E1613" s="33"/>
      <c r="F1613" s="33"/>
      <c r="G1613" s="33"/>
      <c r="H1613" s="34"/>
      <c r="J1613" s="36"/>
      <c r="K1613" s="36"/>
      <c r="L1613" s="36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8"/>
      <c r="AS1613" s="38"/>
      <c r="AT1613" s="38"/>
      <c r="AU1613" s="33"/>
      <c r="AV1613" s="39"/>
    </row>
    <row r="1614" spans="4:48">
      <c r="D1614" s="33"/>
      <c r="E1614" s="33"/>
      <c r="F1614" s="33"/>
      <c r="G1614" s="33"/>
      <c r="H1614" s="34"/>
      <c r="J1614" s="36"/>
      <c r="K1614" s="36"/>
      <c r="L1614" s="36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8"/>
      <c r="AS1614" s="38"/>
      <c r="AT1614" s="38"/>
      <c r="AU1614" s="33"/>
      <c r="AV1614" s="39"/>
    </row>
    <row r="1615" spans="4:48">
      <c r="D1615" s="33"/>
      <c r="E1615" s="33"/>
      <c r="F1615" s="33"/>
      <c r="G1615" s="33"/>
      <c r="H1615" s="34"/>
      <c r="J1615" s="36"/>
      <c r="K1615" s="36"/>
      <c r="L1615" s="36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8"/>
      <c r="AS1615" s="38"/>
      <c r="AT1615" s="38"/>
      <c r="AU1615" s="33"/>
      <c r="AV1615" s="39"/>
    </row>
    <row r="1616" spans="4:48">
      <c r="D1616" s="33"/>
      <c r="E1616" s="33"/>
      <c r="F1616" s="33"/>
      <c r="G1616" s="33"/>
      <c r="H1616" s="34"/>
      <c r="J1616" s="36"/>
      <c r="K1616" s="36"/>
      <c r="L1616" s="36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8"/>
      <c r="AS1616" s="38"/>
      <c r="AT1616" s="38"/>
      <c r="AU1616" s="33"/>
      <c r="AV1616" s="39"/>
    </row>
    <row r="1617" spans="4:48">
      <c r="D1617" s="33"/>
      <c r="E1617" s="33"/>
      <c r="F1617" s="33"/>
      <c r="G1617" s="33"/>
      <c r="H1617" s="34"/>
      <c r="J1617" s="36"/>
      <c r="K1617" s="36"/>
      <c r="L1617" s="36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8"/>
      <c r="AS1617" s="38"/>
      <c r="AT1617" s="38"/>
      <c r="AU1617" s="33"/>
      <c r="AV1617" s="39"/>
    </row>
    <row r="1618" spans="4:48">
      <c r="D1618" s="33"/>
      <c r="E1618" s="33"/>
      <c r="F1618" s="33"/>
      <c r="G1618" s="33"/>
      <c r="H1618" s="34"/>
      <c r="J1618" s="36"/>
      <c r="K1618" s="36"/>
      <c r="L1618" s="36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8"/>
      <c r="AS1618" s="38"/>
      <c r="AT1618" s="38"/>
      <c r="AU1618" s="33"/>
      <c r="AV1618" s="39"/>
    </row>
    <row r="1619" spans="4:48">
      <c r="D1619" s="33"/>
      <c r="E1619" s="33"/>
      <c r="F1619" s="33"/>
      <c r="G1619" s="33"/>
      <c r="H1619" s="34"/>
      <c r="J1619" s="36"/>
      <c r="K1619" s="36"/>
      <c r="L1619" s="36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8"/>
      <c r="AS1619" s="38"/>
      <c r="AT1619" s="38"/>
      <c r="AU1619" s="33"/>
      <c r="AV1619" s="39"/>
    </row>
    <row r="1620" spans="4:48">
      <c r="D1620" s="33"/>
      <c r="E1620" s="33"/>
      <c r="F1620" s="33"/>
      <c r="G1620" s="33"/>
      <c r="H1620" s="34"/>
      <c r="J1620" s="36"/>
      <c r="K1620" s="36"/>
      <c r="L1620" s="36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8"/>
      <c r="AS1620" s="38"/>
      <c r="AT1620" s="38"/>
      <c r="AU1620" s="33"/>
      <c r="AV1620" s="39"/>
    </row>
    <row r="1621" spans="4:48">
      <c r="D1621" s="33"/>
      <c r="E1621" s="33"/>
      <c r="F1621" s="33"/>
      <c r="G1621" s="33"/>
      <c r="H1621" s="34"/>
      <c r="J1621" s="36"/>
      <c r="K1621" s="36"/>
      <c r="L1621" s="36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8"/>
      <c r="AS1621" s="38"/>
      <c r="AT1621" s="38"/>
      <c r="AU1621" s="33"/>
      <c r="AV1621" s="39"/>
    </row>
    <row r="1622" spans="4:48">
      <c r="D1622" s="33"/>
      <c r="E1622" s="33"/>
      <c r="F1622" s="33"/>
      <c r="G1622" s="33"/>
      <c r="H1622" s="34"/>
      <c r="J1622" s="36"/>
      <c r="K1622" s="36"/>
      <c r="L1622" s="36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8"/>
      <c r="AS1622" s="38"/>
      <c r="AT1622" s="38"/>
      <c r="AU1622" s="33"/>
      <c r="AV1622" s="39"/>
    </row>
    <row r="1623" spans="4:48">
      <c r="D1623" s="33"/>
      <c r="E1623" s="33"/>
      <c r="F1623" s="33"/>
      <c r="G1623" s="33"/>
      <c r="H1623" s="34"/>
      <c r="J1623" s="36"/>
      <c r="K1623" s="36"/>
      <c r="L1623" s="36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8"/>
      <c r="AS1623" s="38"/>
      <c r="AT1623" s="38"/>
      <c r="AU1623" s="33"/>
      <c r="AV1623" s="39"/>
    </row>
    <row r="1624" spans="4:48">
      <c r="D1624" s="33"/>
      <c r="E1624" s="33"/>
      <c r="F1624" s="33"/>
      <c r="G1624" s="33"/>
      <c r="H1624" s="34"/>
      <c r="J1624" s="36"/>
      <c r="K1624" s="36"/>
      <c r="L1624" s="36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8"/>
      <c r="AS1624" s="38"/>
      <c r="AT1624" s="38"/>
      <c r="AU1624" s="33"/>
      <c r="AV1624" s="39"/>
    </row>
    <row r="1625" spans="4:48">
      <c r="D1625" s="33"/>
      <c r="E1625" s="33"/>
      <c r="F1625" s="33"/>
      <c r="G1625" s="33"/>
      <c r="H1625" s="34"/>
      <c r="J1625" s="36"/>
      <c r="K1625" s="36"/>
      <c r="L1625" s="36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8"/>
      <c r="AS1625" s="38"/>
      <c r="AT1625" s="38"/>
      <c r="AU1625" s="33"/>
      <c r="AV1625" s="39"/>
    </row>
    <row r="1626" spans="4:48">
      <c r="D1626" s="33"/>
      <c r="E1626" s="33"/>
      <c r="F1626" s="33"/>
      <c r="G1626" s="33"/>
      <c r="H1626" s="34"/>
      <c r="J1626" s="36"/>
      <c r="K1626" s="36"/>
      <c r="L1626" s="36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8"/>
      <c r="AS1626" s="38"/>
      <c r="AT1626" s="38"/>
      <c r="AU1626" s="33"/>
      <c r="AV1626" s="39"/>
    </row>
    <row r="1627" spans="4:48">
      <c r="D1627" s="33"/>
      <c r="E1627" s="33"/>
      <c r="F1627" s="33"/>
      <c r="G1627" s="33"/>
      <c r="H1627" s="34"/>
      <c r="J1627" s="36"/>
      <c r="K1627" s="36"/>
      <c r="L1627" s="36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8"/>
      <c r="AS1627" s="38"/>
      <c r="AT1627" s="38"/>
      <c r="AU1627" s="33"/>
      <c r="AV1627" s="39"/>
    </row>
    <row r="1628" spans="4:48">
      <c r="D1628" s="33"/>
      <c r="E1628" s="33"/>
      <c r="F1628" s="33"/>
      <c r="G1628" s="33"/>
      <c r="H1628" s="34"/>
      <c r="J1628" s="36"/>
      <c r="K1628" s="36"/>
      <c r="L1628" s="36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8"/>
      <c r="AS1628" s="38"/>
      <c r="AT1628" s="38"/>
      <c r="AU1628" s="33"/>
      <c r="AV1628" s="39"/>
    </row>
    <row r="1629" spans="4:48">
      <c r="D1629" s="33"/>
      <c r="E1629" s="33"/>
      <c r="F1629" s="33"/>
      <c r="G1629" s="33"/>
      <c r="H1629" s="34"/>
      <c r="J1629" s="36"/>
      <c r="K1629" s="36"/>
      <c r="L1629" s="36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8"/>
      <c r="AS1629" s="38"/>
      <c r="AT1629" s="38"/>
      <c r="AU1629" s="33"/>
      <c r="AV1629" s="39"/>
    </row>
    <row r="1630" spans="4:48">
      <c r="D1630" s="33"/>
      <c r="E1630" s="33"/>
      <c r="F1630" s="33"/>
      <c r="G1630" s="33"/>
      <c r="H1630" s="34"/>
      <c r="J1630" s="36"/>
      <c r="K1630" s="36"/>
      <c r="L1630" s="36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8"/>
      <c r="AS1630" s="38"/>
      <c r="AT1630" s="38"/>
      <c r="AU1630" s="33"/>
      <c r="AV1630" s="39"/>
    </row>
    <row r="1631" spans="4:48">
      <c r="D1631" s="33"/>
      <c r="E1631" s="33"/>
      <c r="F1631" s="33"/>
      <c r="G1631" s="33"/>
      <c r="H1631" s="34"/>
      <c r="J1631" s="36"/>
      <c r="K1631" s="36"/>
      <c r="L1631" s="36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8"/>
      <c r="AS1631" s="38"/>
      <c r="AT1631" s="38"/>
      <c r="AU1631" s="33"/>
      <c r="AV1631" s="39"/>
    </row>
    <row r="1632" spans="4:48">
      <c r="D1632" s="33"/>
      <c r="E1632" s="33"/>
      <c r="F1632" s="33"/>
      <c r="G1632" s="33"/>
      <c r="H1632" s="34"/>
      <c r="J1632" s="36"/>
      <c r="K1632" s="36"/>
      <c r="L1632" s="36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8"/>
      <c r="AS1632" s="38"/>
      <c r="AT1632" s="38"/>
      <c r="AU1632" s="33"/>
      <c r="AV1632" s="39"/>
    </row>
    <row r="1633" spans="4:48">
      <c r="D1633" s="33"/>
      <c r="E1633" s="33"/>
      <c r="F1633" s="33"/>
      <c r="G1633" s="33"/>
      <c r="H1633" s="34"/>
      <c r="J1633" s="36"/>
      <c r="K1633" s="36"/>
      <c r="L1633" s="36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8"/>
      <c r="AS1633" s="38"/>
      <c r="AT1633" s="38"/>
      <c r="AU1633" s="33"/>
      <c r="AV1633" s="39"/>
    </row>
    <row r="1634" spans="4:49">
      <c r="D1634" s="33"/>
      <c r="E1634" s="33"/>
      <c r="F1634" s="33"/>
      <c r="G1634" s="33"/>
      <c r="H1634" s="34"/>
      <c r="J1634" s="36"/>
      <c r="K1634" s="36"/>
      <c r="L1634" s="36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8"/>
      <c r="AS1634" s="38"/>
      <c r="AT1634" s="38"/>
      <c r="AU1634" s="33"/>
      <c r="AV1634" s="39"/>
      <c r="AW1634" s="39"/>
    </row>
    <row r="1635" spans="4:49">
      <c r="D1635" s="33"/>
      <c r="E1635" s="33"/>
      <c r="F1635" s="33"/>
      <c r="G1635" s="33"/>
      <c r="H1635" s="34"/>
      <c r="J1635" s="36"/>
      <c r="K1635" s="36"/>
      <c r="L1635" s="36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8"/>
      <c r="AS1635" s="38"/>
      <c r="AT1635" s="38"/>
      <c r="AU1635" s="33"/>
      <c r="AV1635" s="39"/>
      <c r="AW1635" s="39"/>
    </row>
    <row r="1636" spans="4:49">
      <c r="D1636" s="33"/>
      <c r="E1636" s="33"/>
      <c r="F1636" s="33"/>
      <c r="G1636" s="33"/>
      <c r="H1636" s="34"/>
      <c r="J1636" s="36"/>
      <c r="K1636" s="36"/>
      <c r="L1636" s="36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8"/>
      <c r="AS1636" s="38"/>
      <c r="AT1636" s="38"/>
      <c r="AU1636" s="33"/>
      <c r="AV1636" s="39"/>
      <c r="AW1636" s="39"/>
    </row>
    <row r="1637" spans="4:49">
      <c r="D1637" s="33"/>
      <c r="E1637" s="33"/>
      <c r="F1637" s="33"/>
      <c r="G1637" s="33"/>
      <c r="H1637" s="34"/>
      <c r="J1637" s="36"/>
      <c r="K1637" s="36"/>
      <c r="L1637" s="36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8"/>
      <c r="AS1637" s="38"/>
      <c r="AT1637" s="38"/>
      <c r="AU1637" s="33"/>
      <c r="AV1637" s="39"/>
      <c r="AW1637" s="39"/>
    </row>
    <row r="1638" spans="4:49">
      <c r="D1638" s="33"/>
      <c r="E1638" s="33"/>
      <c r="F1638" s="33"/>
      <c r="G1638" s="33"/>
      <c r="H1638" s="34"/>
      <c r="J1638" s="36"/>
      <c r="K1638" s="36"/>
      <c r="L1638" s="36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8"/>
      <c r="AS1638" s="38"/>
      <c r="AT1638" s="38"/>
      <c r="AU1638" s="33"/>
      <c r="AV1638" s="39"/>
      <c r="AW1638" s="39"/>
    </row>
    <row r="1639" spans="4:49">
      <c r="D1639" s="33"/>
      <c r="E1639" s="33"/>
      <c r="F1639" s="33"/>
      <c r="G1639" s="33"/>
      <c r="H1639" s="34"/>
      <c r="J1639" s="36"/>
      <c r="K1639" s="36"/>
      <c r="L1639" s="36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8"/>
      <c r="AS1639" s="38"/>
      <c r="AT1639" s="38"/>
      <c r="AU1639" s="33"/>
      <c r="AV1639" s="39"/>
      <c r="AW1639" s="39"/>
    </row>
    <row r="1640" spans="4:49">
      <c r="D1640" s="33"/>
      <c r="E1640" s="33"/>
      <c r="F1640" s="33"/>
      <c r="G1640" s="33"/>
      <c r="H1640" s="34"/>
      <c r="J1640" s="36"/>
      <c r="K1640" s="36"/>
      <c r="L1640" s="36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8"/>
      <c r="AS1640" s="38"/>
      <c r="AT1640" s="38"/>
      <c r="AU1640" s="33"/>
      <c r="AV1640" s="39"/>
      <c r="AW1640" s="39"/>
    </row>
    <row r="1641" spans="4:49">
      <c r="D1641" s="33"/>
      <c r="E1641" s="33"/>
      <c r="F1641" s="33"/>
      <c r="G1641" s="33"/>
      <c r="H1641" s="34"/>
      <c r="J1641" s="36"/>
      <c r="K1641" s="36"/>
      <c r="L1641" s="36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8"/>
      <c r="AS1641" s="38"/>
      <c r="AT1641" s="38"/>
      <c r="AU1641" s="33"/>
      <c r="AV1641" s="39"/>
      <c r="AW1641" s="39"/>
    </row>
    <row r="1642" spans="4:49">
      <c r="D1642" s="33"/>
      <c r="E1642" s="33"/>
      <c r="F1642" s="33"/>
      <c r="G1642" s="33"/>
      <c r="H1642" s="34"/>
      <c r="J1642" s="36"/>
      <c r="K1642" s="36"/>
      <c r="L1642" s="36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8"/>
      <c r="AS1642" s="38"/>
      <c r="AT1642" s="38"/>
      <c r="AU1642" s="33"/>
      <c r="AV1642" s="39"/>
      <c r="AW1642" s="39"/>
    </row>
    <row r="1643" spans="4:49">
      <c r="D1643" s="33"/>
      <c r="E1643" s="33"/>
      <c r="F1643" s="33"/>
      <c r="G1643" s="33"/>
      <c r="H1643" s="34"/>
      <c r="J1643" s="36"/>
      <c r="K1643" s="36"/>
      <c r="L1643" s="36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8"/>
      <c r="AS1643" s="38"/>
      <c r="AT1643" s="38"/>
      <c r="AU1643" s="33"/>
      <c r="AV1643" s="39"/>
      <c r="AW1643" s="39"/>
    </row>
    <row r="1644" spans="4:49">
      <c r="D1644" s="33"/>
      <c r="E1644" s="33"/>
      <c r="F1644" s="33"/>
      <c r="G1644" s="33"/>
      <c r="H1644" s="34"/>
      <c r="J1644" s="36"/>
      <c r="K1644" s="36"/>
      <c r="L1644" s="36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8"/>
      <c r="AS1644" s="38"/>
      <c r="AT1644" s="38"/>
      <c r="AU1644" s="33"/>
      <c r="AV1644" s="39"/>
      <c r="AW1644" s="39"/>
    </row>
    <row r="1645" spans="4:49">
      <c r="D1645" s="33"/>
      <c r="E1645" s="33"/>
      <c r="F1645" s="33"/>
      <c r="G1645" s="33"/>
      <c r="H1645" s="34"/>
      <c r="J1645" s="36"/>
      <c r="K1645" s="36"/>
      <c r="L1645" s="36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8"/>
      <c r="AS1645" s="38"/>
      <c r="AT1645" s="38"/>
      <c r="AU1645" s="33"/>
      <c r="AV1645" s="39"/>
      <c r="AW1645" s="39"/>
    </row>
    <row r="1646" spans="4:49">
      <c r="D1646" s="33"/>
      <c r="E1646" s="33"/>
      <c r="F1646" s="33"/>
      <c r="G1646" s="33"/>
      <c r="H1646" s="34"/>
      <c r="J1646" s="36"/>
      <c r="K1646" s="36"/>
      <c r="L1646" s="36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8"/>
      <c r="AS1646" s="38"/>
      <c r="AT1646" s="38"/>
      <c r="AU1646" s="33"/>
      <c r="AV1646" s="39"/>
      <c r="AW1646" s="39"/>
    </row>
    <row r="1647" spans="4:49">
      <c r="D1647" s="33"/>
      <c r="E1647" s="33"/>
      <c r="F1647" s="33"/>
      <c r="G1647" s="33"/>
      <c r="H1647" s="34"/>
      <c r="J1647" s="36"/>
      <c r="K1647" s="36"/>
      <c r="L1647" s="36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8"/>
      <c r="AS1647" s="38"/>
      <c r="AT1647" s="38"/>
      <c r="AU1647" s="33"/>
      <c r="AV1647" s="39"/>
      <c r="AW1647" s="39"/>
    </row>
    <row r="1648" spans="4:49">
      <c r="D1648" s="33"/>
      <c r="E1648" s="33"/>
      <c r="F1648" s="33"/>
      <c r="G1648" s="33"/>
      <c r="H1648" s="34"/>
      <c r="J1648" s="36"/>
      <c r="K1648" s="36"/>
      <c r="L1648" s="36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8"/>
      <c r="AS1648" s="38"/>
      <c r="AT1648" s="38"/>
      <c r="AU1648" s="33"/>
      <c r="AV1648" s="39"/>
      <c r="AW1648" s="39"/>
    </row>
    <row r="1649" spans="4:49">
      <c r="D1649" s="33"/>
      <c r="E1649" s="33"/>
      <c r="F1649" s="33"/>
      <c r="G1649" s="33"/>
      <c r="H1649" s="34"/>
      <c r="J1649" s="36"/>
      <c r="K1649" s="36"/>
      <c r="L1649" s="36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8"/>
      <c r="AS1649" s="38"/>
      <c r="AT1649" s="38"/>
      <c r="AU1649" s="33"/>
      <c r="AV1649" s="39"/>
      <c r="AW1649" s="39"/>
    </row>
    <row r="1650" spans="4:49">
      <c r="D1650" s="33"/>
      <c r="E1650" s="33"/>
      <c r="F1650" s="33"/>
      <c r="G1650" s="33"/>
      <c r="H1650" s="34"/>
      <c r="J1650" s="36"/>
      <c r="K1650" s="36"/>
      <c r="L1650" s="36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8"/>
      <c r="AS1650" s="38"/>
      <c r="AT1650" s="38"/>
      <c r="AU1650" s="33"/>
      <c r="AV1650" s="39"/>
      <c r="AW1650" s="39"/>
    </row>
    <row r="1651" spans="4:49">
      <c r="D1651" s="33"/>
      <c r="E1651" s="33"/>
      <c r="F1651" s="33"/>
      <c r="G1651" s="33"/>
      <c r="H1651" s="34"/>
      <c r="J1651" s="36"/>
      <c r="K1651" s="36"/>
      <c r="L1651" s="36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8"/>
      <c r="AS1651" s="38"/>
      <c r="AT1651" s="38"/>
      <c r="AU1651" s="33"/>
      <c r="AV1651" s="39"/>
      <c r="AW1651" s="39"/>
    </row>
    <row r="1652" spans="4:49">
      <c r="D1652" s="33"/>
      <c r="E1652" s="33"/>
      <c r="F1652" s="33"/>
      <c r="G1652" s="33"/>
      <c r="H1652" s="34"/>
      <c r="J1652" s="36"/>
      <c r="K1652" s="36"/>
      <c r="L1652" s="36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8"/>
      <c r="AS1652" s="38"/>
      <c r="AT1652" s="38"/>
      <c r="AU1652" s="33"/>
      <c r="AV1652" s="39"/>
      <c r="AW1652" s="39"/>
    </row>
    <row r="1653" spans="4:49">
      <c r="D1653" s="33"/>
      <c r="E1653" s="33"/>
      <c r="F1653" s="33"/>
      <c r="G1653" s="33"/>
      <c r="H1653" s="34"/>
      <c r="J1653" s="36"/>
      <c r="K1653" s="36"/>
      <c r="L1653" s="36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8"/>
      <c r="AS1653" s="38"/>
      <c r="AT1653" s="38"/>
      <c r="AU1653" s="33"/>
      <c r="AV1653" s="39"/>
      <c r="AW1653" s="39"/>
    </row>
    <row r="1654" spans="4:49">
      <c r="D1654" s="33"/>
      <c r="E1654" s="33"/>
      <c r="F1654" s="33"/>
      <c r="G1654" s="33"/>
      <c r="H1654" s="34"/>
      <c r="J1654" s="36"/>
      <c r="K1654" s="36"/>
      <c r="L1654" s="36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8"/>
      <c r="AS1654" s="38"/>
      <c r="AT1654" s="38"/>
      <c r="AU1654" s="33"/>
      <c r="AV1654" s="39"/>
      <c r="AW1654" s="39"/>
    </row>
    <row r="1655" spans="4:49">
      <c r="D1655" s="33"/>
      <c r="E1655" s="33"/>
      <c r="F1655" s="33"/>
      <c r="G1655" s="33"/>
      <c r="H1655" s="34"/>
      <c r="J1655" s="36"/>
      <c r="K1655" s="36"/>
      <c r="L1655" s="36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8"/>
      <c r="AS1655" s="38"/>
      <c r="AT1655" s="38"/>
      <c r="AU1655" s="33"/>
      <c r="AV1655" s="39"/>
      <c r="AW1655" s="39"/>
    </row>
    <row r="1656" spans="4:49">
      <c r="D1656" s="33"/>
      <c r="E1656" s="33"/>
      <c r="F1656" s="33"/>
      <c r="G1656" s="33"/>
      <c r="H1656" s="34"/>
      <c r="J1656" s="36"/>
      <c r="K1656" s="36"/>
      <c r="L1656" s="36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8"/>
      <c r="AS1656" s="38"/>
      <c r="AT1656" s="38"/>
      <c r="AU1656" s="33"/>
      <c r="AV1656" s="39"/>
      <c r="AW1656" s="39"/>
    </row>
    <row r="1657" spans="4:49">
      <c r="D1657" s="33"/>
      <c r="E1657" s="33"/>
      <c r="F1657" s="33"/>
      <c r="G1657" s="33"/>
      <c r="H1657" s="34"/>
      <c r="J1657" s="36"/>
      <c r="K1657" s="36"/>
      <c r="L1657" s="36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8"/>
      <c r="AS1657" s="38"/>
      <c r="AT1657" s="38"/>
      <c r="AU1657" s="33"/>
      <c r="AV1657" s="39"/>
      <c r="AW1657" s="39"/>
    </row>
    <row r="1658" spans="4:49">
      <c r="D1658" s="33"/>
      <c r="E1658" s="33"/>
      <c r="F1658" s="33"/>
      <c r="G1658" s="33"/>
      <c r="H1658" s="34"/>
      <c r="J1658" s="36"/>
      <c r="K1658" s="36"/>
      <c r="L1658" s="36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8"/>
      <c r="AS1658" s="38"/>
      <c r="AT1658" s="38"/>
      <c r="AU1658" s="33"/>
      <c r="AV1658" s="39"/>
      <c r="AW1658" s="39"/>
    </row>
    <row r="1659" spans="4:49">
      <c r="D1659" s="33"/>
      <c r="E1659" s="33"/>
      <c r="F1659" s="33"/>
      <c r="G1659" s="33"/>
      <c r="H1659" s="34"/>
      <c r="J1659" s="36"/>
      <c r="K1659" s="36"/>
      <c r="L1659" s="36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8"/>
      <c r="AS1659" s="38"/>
      <c r="AT1659" s="38"/>
      <c r="AU1659" s="33"/>
      <c r="AV1659" s="39"/>
      <c r="AW1659" s="39"/>
    </row>
    <row r="1660" spans="4:49">
      <c r="D1660" s="33"/>
      <c r="E1660" s="33"/>
      <c r="F1660" s="33"/>
      <c r="G1660" s="33"/>
      <c r="H1660" s="34"/>
      <c r="J1660" s="36"/>
      <c r="K1660" s="36"/>
      <c r="L1660" s="36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8"/>
      <c r="AS1660" s="38"/>
      <c r="AT1660" s="38"/>
      <c r="AU1660" s="33"/>
      <c r="AV1660" s="39"/>
      <c r="AW1660" s="39"/>
    </row>
    <row r="1661" spans="4:49">
      <c r="D1661" s="33"/>
      <c r="E1661" s="33"/>
      <c r="F1661" s="33"/>
      <c r="G1661" s="33"/>
      <c r="H1661" s="34"/>
      <c r="J1661" s="36"/>
      <c r="K1661" s="36"/>
      <c r="L1661" s="36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8"/>
      <c r="AS1661" s="38"/>
      <c r="AT1661" s="38"/>
      <c r="AU1661" s="33"/>
      <c r="AV1661" s="39"/>
      <c r="AW1661" s="39"/>
    </row>
    <row r="1662" spans="4:49">
      <c r="D1662" s="33"/>
      <c r="E1662" s="33"/>
      <c r="F1662" s="33"/>
      <c r="G1662" s="33"/>
      <c r="H1662" s="34"/>
      <c r="J1662" s="36"/>
      <c r="K1662" s="36"/>
      <c r="L1662" s="36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8"/>
      <c r="AS1662" s="38"/>
      <c r="AT1662" s="38"/>
      <c r="AU1662" s="33"/>
      <c r="AV1662" s="39"/>
      <c r="AW1662" s="39"/>
    </row>
    <row r="1663" spans="4:49">
      <c r="D1663" s="33"/>
      <c r="E1663" s="33"/>
      <c r="F1663" s="33"/>
      <c r="G1663" s="33"/>
      <c r="H1663" s="34"/>
      <c r="J1663" s="36"/>
      <c r="K1663" s="36"/>
      <c r="L1663" s="36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8"/>
      <c r="AS1663" s="38"/>
      <c r="AT1663" s="38"/>
      <c r="AU1663" s="33"/>
      <c r="AV1663" s="39"/>
      <c r="AW1663" s="39"/>
    </row>
    <row r="1664" spans="4:49">
      <c r="D1664" s="33"/>
      <c r="E1664" s="33"/>
      <c r="F1664" s="33"/>
      <c r="G1664" s="33"/>
      <c r="H1664" s="34"/>
      <c r="J1664" s="36"/>
      <c r="K1664" s="36"/>
      <c r="L1664" s="36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8"/>
      <c r="AS1664" s="38"/>
      <c r="AT1664" s="38"/>
      <c r="AU1664" s="33"/>
      <c r="AV1664" s="39"/>
      <c r="AW1664" s="39"/>
    </row>
    <row r="1665" spans="4:49">
      <c r="D1665" s="33"/>
      <c r="E1665" s="33"/>
      <c r="F1665" s="33"/>
      <c r="G1665" s="33"/>
      <c r="H1665" s="34"/>
      <c r="J1665" s="36"/>
      <c r="K1665" s="36"/>
      <c r="L1665" s="36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8"/>
      <c r="AS1665" s="38"/>
      <c r="AT1665" s="38"/>
      <c r="AU1665" s="33"/>
      <c r="AV1665" s="39"/>
      <c r="AW1665" s="39"/>
    </row>
    <row r="1666" spans="4:49">
      <c r="D1666" s="33"/>
      <c r="E1666" s="33"/>
      <c r="F1666" s="33"/>
      <c r="G1666" s="33"/>
      <c r="H1666" s="34"/>
      <c r="J1666" s="36"/>
      <c r="K1666" s="36"/>
      <c r="L1666" s="36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8"/>
      <c r="AS1666" s="38"/>
      <c r="AT1666" s="38"/>
      <c r="AU1666" s="33"/>
      <c r="AV1666" s="39"/>
      <c r="AW1666" s="39"/>
    </row>
    <row r="1667" spans="4:49">
      <c r="D1667" s="33"/>
      <c r="E1667" s="33"/>
      <c r="F1667" s="33"/>
      <c r="G1667" s="33"/>
      <c r="H1667" s="34"/>
      <c r="J1667" s="36"/>
      <c r="K1667" s="36"/>
      <c r="L1667" s="36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8"/>
      <c r="AS1667" s="38"/>
      <c r="AT1667" s="38"/>
      <c r="AU1667" s="33"/>
      <c r="AV1667" s="39"/>
      <c r="AW1667" s="39"/>
    </row>
    <row r="1668" spans="4:49">
      <c r="D1668" s="33"/>
      <c r="E1668" s="33"/>
      <c r="F1668" s="33"/>
      <c r="G1668" s="33"/>
      <c r="H1668" s="34"/>
      <c r="J1668" s="36"/>
      <c r="K1668" s="36"/>
      <c r="L1668" s="36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8"/>
      <c r="AS1668" s="38"/>
      <c r="AT1668" s="38"/>
      <c r="AU1668" s="33"/>
      <c r="AV1668" s="39"/>
      <c r="AW1668" s="39"/>
    </row>
    <row r="1669" spans="4:49">
      <c r="D1669" s="33"/>
      <c r="E1669" s="33"/>
      <c r="F1669" s="33"/>
      <c r="G1669" s="33"/>
      <c r="H1669" s="34"/>
      <c r="J1669" s="36"/>
      <c r="K1669" s="36"/>
      <c r="L1669" s="36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8"/>
      <c r="AS1669" s="38"/>
      <c r="AT1669" s="38"/>
      <c r="AU1669" s="33"/>
      <c r="AV1669" s="39"/>
      <c r="AW1669" s="39"/>
    </row>
    <row r="1670" spans="4:49">
      <c r="D1670" s="33"/>
      <c r="E1670" s="33"/>
      <c r="F1670" s="33"/>
      <c r="G1670" s="33"/>
      <c r="H1670" s="34"/>
      <c r="J1670" s="36"/>
      <c r="K1670" s="36"/>
      <c r="L1670" s="36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8"/>
      <c r="AS1670" s="38"/>
      <c r="AT1670" s="38"/>
      <c r="AU1670" s="33"/>
      <c r="AV1670" s="39"/>
      <c r="AW1670" s="39"/>
    </row>
    <row r="1671" spans="4:49">
      <c r="D1671" s="33"/>
      <c r="E1671" s="33"/>
      <c r="F1671" s="33"/>
      <c r="G1671" s="33"/>
      <c r="H1671" s="34"/>
      <c r="J1671" s="36"/>
      <c r="K1671" s="36"/>
      <c r="L1671" s="36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8"/>
      <c r="AS1671" s="38"/>
      <c r="AT1671" s="38"/>
      <c r="AU1671" s="33"/>
      <c r="AV1671" s="39"/>
      <c r="AW1671" s="39"/>
    </row>
    <row r="1672" spans="4:49">
      <c r="D1672" s="33"/>
      <c r="E1672" s="33"/>
      <c r="F1672" s="33"/>
      <c r="G1672" s="33"/>
      <c r="H1672" s="34"/>
      <c r="J1672" s="36"/>
      <c r="K1672" s="36"/>
      <c r="L1672" s="36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8"/>
      <c r="AS1672" s="38"/>
      <c r="AT1672" s="38"/>
      <c r="AU1672" s="33"/>
      <c r="AV1672" s="39"/>
      <c r="AW1672" s="39"/>
    </row>
    <row r="1673" spans="4:49">
      <c r="D1673" s="33"/>
      <c r="E1673" s="33"/>
      <c r="F1673" s="33"/>
      <c r="G1673" s="33"/>
      <c r="H1673" s="34"/>
      <c r="J1673" s="36"/>
      <c r="K1673" s="36"/>
      <c r="L1673" s="36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8"/>
      <c r="AS1673" s="38"/>
      <c r="AT1673" s="38"/>
      <c r="AU1673" s="33"/>
      <c r="AV1673" s="39"/>
      <c r="AW1673" s="39"/>
    </row>
    <row r="1674" spans="4:49">
      <c r="D1674" s="33"/>
      <c r="E1674" s="33"/>
      <c r="F1674" s="33"/>
      <c r="G1674" s="33"/>
      <c r="H1674" s="34"/>
      <c r="J1674" s="36"/>
      <c r="K1674" s="36"/>
      <c r="L1674" s="36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8"/>
      <c r="AS1674" s="38"/>
      <c r="AT1674" s="38"/>
      <c r="AU1674" s="33"/>
      <c r="AV1674" s="39"/>
      <c r="AW1674" s="39"/>
    </row>
    <row r="1675" spans="4:49">
      <c r="D1675" s="33"/>
      <c r="E1675" s="33"/>
      <c r="F1675" s="33"/>
      <c r="G1675" s="33"/>
      <c r="H1675" s="34"/>
      <c r="J1675" s="36"/>
      <c r="K1675" s="36"/>
      <c r="L1675" s="36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8"/>
      <c r="AS1675" s="38"/>
      <c r="AT1675" s="38"/>
      <c r="AU1675" s="33"/>
      <c r="AV1675" s="39"/>
      <c r="AW1675" s="39"/>
    </row>
    <row r="1676" spans="4:49">
      <c r="D1676" s="33"/>
      <c r="E1676" s="33"/>
      <c r="F1676" s="33"/>
      <c r="G1676" s="33"/>
      <c r="H1676" s="34"/>
      <c r="J1676" s="36"/>
      <c r="K1676" s="36"/>
      <c r="L1676" s="36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8"/>
      <c r="AS1676" s="38"/>
      <c r="AT1676" s="38"/>
      <c r="AU1676" s="33"/>
      <c r="AV1676" s="39"/>
      <c r="AW1676" s="39"/>
    </row>
    <row r="1677" spans="4:49">
      <c r="D1677" s="33"/>
      <c r="E1677" s="33"/>
      <c r="F1677" s="33"/>
      <c r="G1677" s="33"/>
      <c r="H1677" s="34"/>
      <c r="J1677" s="36"/>
      <c r="K1677" s="36"/>
      <c r="L1677" s="36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8"/>
      <c r="AS1677" s="38"/>
      <c r="AT1677" s="38"/>
      <c r="AU1677" s="33"/>
      <c r="AV1677" s="39"/>
      <c r="AW1677" s="39"/>
    </row>
    <row r="1678" spans="4:49">
      <c r="D1678" s="33"/>
      <c r="E1678" s="33"/>
      <c r="F1678" s="33"/>
      <c r="G1678" s="33"/>
      <c r="H1678" s="34"/>
      <c r="J1678" s="36"/>
      <c r="K1678" s="36"/>
      <c r="L1678" s="36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8"/>
      <c r="AS1678" s="38"/>
      <c r="AT1678" s="38"/>
      <c r="AU1678" s="33"/>
      <c r="AV1678" s="39"/>
      <c r="AW1678" s="39"/>
    </row>
    <row r="1679" spans="4:49">
      <c r="D1679" s="33"/>
      <c r="E1679" s="33"/>
      <c r="F1679" s="33"/>
      <c r="G1679" s="33"/>
      <c r="H1679" s="34"/>
      <c r="J1679" s="36"/>
      <c r="K1679" s="36"/>
      <c r="L1679" s="36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8"/>
      <c r="AS1679" s="38"/>
      <c r="AT1679" s="38"/>
      <c r="AU1679" s="33"/>
      <c r="AV1679" s="39"/>
      <c r="AW1679" s="39"/>
    </row>
    <row r="1680" spans="4:49">
      <c r="D1680" s="33"/>
      <c r="E1680" s="33"/>
      <c r="F1680" s="33"/>
      <c r="G1680" s="33"/>
      <c r="H1680" s="34"/>
      <c r="J1680" s="36"/>
      <c r="K1680" s="36"/>
      <c r="L1680" s="36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8"/>
      <c r="AS1680" s="38"/>
      <c r="AT1680" s="38"/>
      <c r="AU1680" s="33"/>
      <c r="AV1680" s="39"/>
      <c r="AW1680" s="39"/>
    </row>
    <row r="1681" spans="4:49">
      <c r="D1681" s="33"/>
      <c r="E1681" s="33"/>
      <c r="F1681" s="33"/>
      <c r="G1681" s="33"/>
      <c r="H1681" s="34"/>
      <c r="J1681" s="36"/>
      <c r="K1681" s="36"/>
      <c r="L1681" s="36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8"/>
      <c r="AS1681" s="38"/>
      <c r="AT1681" s="38"/>
      <c r="AU1681" s="33"/>
      <c r="AV1681" s="39"/>
      <c r="AW1681" s="39"/>
    </row>
    <row r="1682" spans="4:49">
      <c r="D1682" s="33"/>
      <c r="E1682" s="33"/>
      <c r="F1682" s="33"/>
      <c r="G1682" s="33"/>
      <c r="H1682" s="34"/>
      <c r="J1682" s="36"/>
      <c r="K1682" s="36"/>
      <c r="L1682" s="36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8"/>
      <c r="AS1682" s="38"/>
      <c r="AT1682" s="38"/>
      <c r="AU1682" s="33"/>
      <c r="AV1682" s="39"/>
      <c r="AW1682" s="39"/>
    </row>
    <row r="1683" spans="4:49">
      <c r="D1683" s="33"/>
      <c r="E1683" s="33"/>
      <c r="F1683" s="33"/>
      <c r="G1683" s="33"/>
      <c r="H1683" s="34"/>
      <c r="J1683" s="36"/>
      <c r="K1683" s="36"/>
      <c r="L1683" s="36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8"/>
      <c r="AS1683" s="38"/>
      <c r="AT1683" s="38"/>
      <c r="AU1683" s="33"/>
      <c r="AV1683" s="39"/>
      <c r="AW1683" s="39"/>
    </row>
    <row r="1684" spans="4:49">
      <c r="D1684" s="33"/>
      <c r="E1684" s="33"/>
      <c r="F1684" s="33"/>
      <c r="G1684" s="33"/>
      <c r="H1684" s="34"/>
      <c r="J1684" s="36"/>
      <c r="K1684" s="36"/>
      <c r="L1684" s="36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8"/>
      <c r="AS1684" s="38"/>
      <c r="AT1684" s="38"/>
      <c r="AU1684" s="33"/>
      <c r="AV1684" s="39"/>
      <c r="AW1684" s="39"/>
    </row>
    <row r="1685" spans="4:49">
      <c r="D1685" s="33"/>
      <c r="E1685" s="33"/>
      <c r="F1685" s="33"/>
      <c r="G1685" s="33"/>
      <c r="H1685" s="34"/>
      <c r="J1685" s="36"/>
      <c r="K1685" s="36"/>
      <c r="L1685" s="36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8"/>
      <c r="AS1685" s="38"/>
      <c r="AT1685" s="38"/>
      <c r="AU1685" s="33"/>
      <c r="AV1685" s="39"/>
      <c r="AW1685" s="39"/>
    </row>
    <row r="1686" spans="4:49">
      <c r="D1686" s="33"/>
      <c r="E1686" s="33"/>
      <c r="F1686" s="33"/>
      <c r="G1686" s="33"/>
      <c r="H1686" s="34"/>
      <c r="J1686" s="36"/>
      <c r="K1686" s="36"/>
      <c r="L1686" s="36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8"/>
      <c r="AS1686" s="38"/>
      <c r="AT1686" s="38"/>
      <c r="AU1686" s="33"/>
      <c r="AV1686" s="39"/>
      <c r="AW1686" s="39"/>
    </row>
    <row r="1687" spans="4:49">
      <c r="D1687" s="33"/>
      <c r="E1687" s="33"/>
      <c r="F1687" s="33"/>
      <c r="G1687" s="33"/>
      <c r="H1687" s="34"/>
      <c r="J1687" s="36"/>
      <c r="K1687" s="36"/>
      <c r="L1687" s="36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8"/>
      <c r="AS1687" s="38"/>
      <c r="AT1687" s="38"/>
      <c r="AU1687" s="33"/>
      <c r="AV1687" s="39"/>
      <c r="AW1687" s="39"/>
    </row>
    <row r="1688" spans="4:49">
      <c r="D1688" s="33"/>
      <c r="E1688" s="33"/>
      <c r="F1688" s="33"/>
      <c r="G1688" s="33"/>
      <c r="H1688" s="34"/>
      <c r="J1688" s="36"/>
      <c r="K1688" s="36"/>
      <c r="L1688" s="36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8"/>
      <c r="AS1688" s="38"/>
      <c r="AT1688" s="38"/>
      <c r="AU1688" s="33"/>
      <c r="AV1688" s="39"/>
      <c r="AW1688" s="39"/>
    </row>
    <row r="1689" spans="4:49">
      <c r="D1689" s="33"/>
      <c r="E1689" s="33"/>
      <c r="F1689" s="33"/>
      <c r="G1689" s="33"/>
      <c r="H1689" s="34"/>
      <c r="J1689" s="36"/>
      <c r="K1689" s="36"/>
      <c r="L1689" s="36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8"/>
      <c r="AS1689" s="38"/>
      <c r="AT1689" s="38"/>
      <c r="AU1689" s="33"/>
      <c r="AV1689" s="39"/>
      <c r="AW1689" s="39"/>
    </row>
    <row r="1690" spans="4:49">
      <c r="D1690" s="33"/>
      <c r="E1690" s="33"/>
      <c r="F1690" s="33"/>
      <c r="G1690" s="33"/>
      <c r="H1690" s="34"/>
      <c r="J1690" s="36"/>
      <c r="K1690" s="36"/>
      <c r="L1690" s="36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8"/>
      <c r="AS1690" s="38"/>
      <c r="AT1690" s="38"/>
      <c r="AU1690" s="33"/>
      <c r="AV1690" s="39"/>
      <c r="AW1690" s="39"/>
    </row>
    <row r="1691" spans="4:49">
      <c r="D1691" s="33"/>
      <c r="E1691" s="33"/>
      <c r="F1691" s="33"/>
      <c r="G1691" s="33"/>
      <c r="H1691" s="34"/>
      <c r="J1691" s="36"/>
      <c r="K1691" s="36"/>
      <c r="L1691" s="36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8"/>
      <c r="AS1691" s="38"/>
      <c r="AT1691" s="38"/>
      <c r="AU1691" s="33"/>
      <c r="AV1691" s="39"/>
      <c r="AW1691" s="39"/>
    </row>
    <row r="1692" spans="4:49">
      <c r="D1692" s="33"/>
      <c r="E1692" s="33"/>
      <c r="F1692" s="33"/>
      <c r="G1692" s="33"/>
      <c r="H1692" s="34"/>
      <c r="J1692" s="36"/>
      <c r="K1692" s="36"/>
      <c r="L1692" s="36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8"/>
      <c r="AS1692" s="38"/>
      <c r="AT1692" s="38"/>
      <c r="AU1692" s="33"/>
      <c r="AV1692" s="39"/>
      <c r="AW1692" s="39"/>
    </row>
    <row r="1693" spans="4:49">
      <c r="D1693" s="33"/>
      <c r="E1693" s="33"/>
      <c r="F1693" s="33"/>
      <c r="G1693" s="33"/>
      <c r="H1693" s="34"/>
      <c r="J1693" s="36"/>
      <c r="K1693" s="36"/>
      <c r="L1693" s="36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8"/>
      <c r="AS1693" s="38"/>
      <c r="AT1693" s="38"/>
      <c r="AU1693" s="33"/>
      <c r="AV1693" s="39"/>
      <c r="AW1693" s="39"/>
    </row>
    <row r="1694" spans="4:49">
      <c r="D1694" s="33"/>
      <c r="E1694" s="33"/>
      <c r="F1694" s="33"/>
      <c r="G1694" s="33"/>
      <c r="H1694" s="34"/>
      <c r="J1694" s="36"/>
      <c r="K1694" s="36"/>
      <c r="L1694" s="36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8"/>
      <c r="AS1694" s="38"/>
      <c r="AT1694" s="38"/>
      <c r="AU1694" s="33"/>
      <c r="AV1694" s="39"/>
      <c r="AW1694" s="39"/>
    </row>
    <row r="1695" spans="4:49">
      <c r="D1695" s="33"/>
      <c r="E1695" s="33"/>
      <c r="F1695" s="33"/>
      <c r="G1695" s="33"/>
      <c r="H1695" s="34"/>
      <c r="J1695" s="36"/>
      <c r="K1695" s="36"/>
      <c r="L1695" s="36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8"/>
      <c r="AS1695" s="38"/>
      <c r="AT1695" s="38"/>
      <c r="AU1695" s="33"/>
      <c r="AV1695" s="39"/>
      <c r="AW1695" s="39"/>
    </row>
    <row r="1696" spans="4:49">
      <c r="D1696" s="33"/>
      <c r="E1696" s="33"/>
      <c r="F1696" s="33"/>
      <c r="G1696" s="33"/>
      <c r="H1696" s="34"/>
      <c r="J1696" s="36"/>
      <c r="K1696" s="36"/>
      <c r="L1696" s="36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8"/>
      <c r="AS1696" s="38"/>
      <c r="AT1696" s="38"/>
      <c r="AU1696" s="33"/>
      <c r="AV1696" s="39"/>
      <c r="AW1696" s="39"/>
    </row>
    <row r="1697" spans="4:49">
      <c r="D1697" s="33"/>
      <c r="E1697" s="33"/>
      <c r="F1697" s="33"/>
      <c r="G1697" s="33"/>
      <c r="H1697" s="34"/>
      <c r="J1697" s="36"/>
      <c r="K1697" s="36"/>
      <c r="L1697" s="36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8"/>
      <c r="AS1697" s="38"/>
      <c r="AT1697" s="38"/>
      <c r="AU1697" s="33"/>
      <c r="AV1697" s="39"/>
      <c r="AW1697" s="39"/>
    </row>
    <row r="1698" spans="4:49">
      <c r="D1698" s="33"/>
      <c r="E1698" s="33"/>
      <c r="F1698" s="33"/>
      <c r="G1698" s="33"/>
      <c r="H1698" s="34"/>
      <c r="J1698" s="36"/>
      <c r="K1698" s="36"/>
      <c r="L1698" s="36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8"/>
      <c r="AS1698" s="38"/>
      <c r="AT1698" s="38"/>
      <c r="AU1698" s="33"/>
      <c r="AV1698" s="39"/>
      <c r="AW1698" s="39"/>
    </row>
    <row r="1699" spans="4:49">
      <c r="D1699" s="33"/>
      <c r="E1699" s="33"/>
      <c r="F1699" s="33"/>
      <c r="G1699" s="33"/>
      <c r="H1699" s="34"/>
      <c r="J1699" s="36"/>
      <c r="K1699" s="36"/>
      <c r="L1699" s="36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8"/>
      <c r="AS1699" s="38"/>
      <c r="AT1699" s="38"/>
      <c r="AU1699" s="33"/>
      <c r="AV1699" s="39"/>
      <c r="AW1699" s="39"/>
    </row>
    <row r="1700" spans="4:49">
      <c r="D1700" s="33"/>
      <c r="E1700" s="33"/>
      <c r="F1700" s="33"/>
      <c r="G1700" s="33"/>
      <c r="H1700" s="34"/>
      <c r="J1700" s="36"/>
      <c r="K1700" s="36"/>
      <c r="L1700" s="36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8"/>
      <c r="AS1700" s="38"/>
      <c r="AT1700" s="38"/>
      <c r="AU1700" s="33"/>
      <c r="AV1700" s="39"/>
      <c r="AW1700" s="39"/>
    </row>
    <row r="1701" spans="4:49">
      <c r="D1701" s="33"/>
      <c r="E1701" s="33"/>
      <c r="F1701" s="33"/>
      <c r="G1701" s="33"/>
      <c r="H1701" s="34"/>
      <c r="J1701" s="36"/>
      <c r="K1701" s="36"/>
      <c r="L1701" s="36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8"/>
      <c r="AS1701" s="38"/>
      <c r="AT1701" s="38"/>
      <c r="AU1701" s="33"/>
      <c r="AV1701" s="39"/>
      <c r="AW1701" s="39"/>
    </row>
    <row r="1702" spans="4:49">
      <c r="D1702" s="33"/>
      <c r="E1702" s="33"/>
      <c r="F1702" s="33"/>
      <c r="G1702" s="33"/>
      <c r="H1702" s="34"/>
      <c r="J1702" s="36"/>
      <c r="K1702" s="36"/>
      <c r="L1702" s="36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8"/>
      <c r="AS1702" s="38"/>
      <c r="AT1702" s="38"/>
      <c r="AU1702" s="33"/>
      <c r="AV1702" s="39"/>
      <c r="AW1702" s="39"/>
    </row>
    <row r="1703" spans="4:49">
      <c r="D1703" s="33"/>
      <c r="E1703" s="33"/>
      <c r="F1703" s="33"/>
      <c r="G1703" s="33"/>
      <c r="H1703" s="34"/>
      <c r="J1703" s="36"/>
      <c r="K1703" s="36"/>
      <c r="L1703" s="36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8"/>
      <c r="AS1703" s="38"/>
      <c r="AT1703" s="38"/>
      <c r="AU1703" s="33"/>
      <c r="AV1703" s="39"/>
      <c r="AW1703" s="39"/>
    </row>
    <row r="1704" spans="4:49">
      <c r="D1704" s="33"/>
      <c r="E1704" s="33"/>
      <c r="F1704" s="33"/>
      <c r="G1704" s="33"/>
      <c r="H1704" s="34"/>
      <c r="J1704" s="36"/>
      <c r="K1704" s="36"/>
      <c r="L1704" s="36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8"/>
      <c r="AS1704" s="38"/>
      <c r="AT1704" s="38"/>
      <c r="AU1704" s="33"/>
      <c r="AV1704" s="39"/>
      <c r="AW1704" s="39"/>
    </row>
    <row r="1705" spans="4:49">
      <c r="D1705" s="33"/>
      <c r="E1705" s="33"/>
      <c r="F1705" s="33"/>
      <c r="G1705" s="33"/>
      <c r="H1705" s="34"/>
      <c r="J1705" s="36"/>
      <c r="K1705" s="36"/>
      <c r="L1705" s="36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8"/>
      <c r="AS1705" s="38"/>
      <c r="AT1705" s="38"/>
      <c r="AU1705" s="33"/>
      <c r="AV1705" s="39"/>
      <c r="AW1705" s="39"/>
    </row>
    <row r="1706" spans="4:49">
      <c r="D1706" s="33"/>
      <c r="E1706" s="33"/>
      <c r="F1706" s="33"/>
      <c r="G1706" s="33"/>
      <c r="H1706" s="34"/>
      <c r="J1706" s="36"/>
      <c r="K1706" s="36"/>
      <c r="L1706" s="36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8"/>
      <c r="AS1706" s="38"/>
      <c r="AT1706" s="38"/>
      <c r="AU1706" s="33"/>
      <c r="AV1706" s="39"/>
      <c r="AW1706" s="39"/>
    </row>
    <row r="1707" spans="4:49">
      <c r="D1707" s="33"/>
      <c r="E1707" s="33"/>
      <c r="F1707" s="33"/>
      <c r="G1707" s="33"/>
      <c r="H1707" s="34"/>
      <c r="J1707" s="36"/>
      <c r="K1707" s="36"/>
      <c r="L1707" s="36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8"/>
      <c r="AS1707" s="38"/>
      <c r="AT1707" s="38"/>
      <c r="AU1707" s="33"/>
      <c r="AV1707" s="39"/>
      <c r="AW1707" s="39"/>
    </row>
    <row r="1708" spans="4:49">
      <c r="D1708" s="33"/>
      <c r="E1708" s="33"/>
      <c r="F1708" s="33"/>
      <c r="G1708" s="33"/>
      <c r="H1708" s="34"/>
      <c r="J1708" s="36"/>
      <c r="K1708" s="36"/>
      <c r="L1708" s="36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8"/>
      <c r="AS1708" s="38"/>
      <c r="AT1708" s="38"/>
      <c r="AU1708" s="33"/>
      <c r="AV1708" s="39"/>
      <c r="AW1708" s="39"/>
    </row>
    <row r="1709" spans="4:49">
      <c r="D1709" s="33"/>
      <c r="E1709" s="33"/>
      <c r="F1709" s="33"/>
      <c r="G1709" s="33"/>
      <c r="H1709" s="34"/>
      <c r="J1709" s="36"/>
      <c r="K1709" s="36"/>
      <c r="L1709" s="36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8"/>
      <c r="AS1709" s="38"/>
      <c r="AT1709" s="38"/>
      <c r="AU1709" s="33"/>
      <c r="AV1709" s="39"/>
      <c r="AW1709" s="39"/>
    </row>
    <row r="1710" spans="4:49">
      <c r="D1710" s="33"/>
      <c r="E1710" s="33"/>
      <c r="F1710" s="33"/>
      <c r="G1710" s="33"/>
      <c r="H1710" s="34"/>
      <c r="J1710" s="36"/>
      <c r="K1710" s="36"/>
      <c r="L1710" s="36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8"/>
      <c r="AS1710" s="38"/>
      <c r="AT1710" s="38"/>
      <c r="AU1710" s="33"/>
      <c r="AV1710" s="39"/>
      <c r="AW1710" s="39"/>
    </row>
    <row r="1711" spans="4:49">
      <c r="D1711" s="33"/>
      <c r="E1711" s="33"/>
      <c r="F1711" s="33"/>
      <c r="G1711" s="33"/>
      <c r="H1711" s="34"/>
      <c r="J1711" s="36"/>
      <c r="K1711" s="36"/>
      <c r="L1711" s="36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8"/>
      <c r="AS1711" s="38"/>
      <c r="AT1711" s="38"/>
      <c r="AU1711" s="33"/>
      <c r="AV1711" s="39"/>
      <c r="AW1711" s="39"/>
    </row>
    <row r="1712" spans="4:49">
      <c r="D1712" s="33"/>
      <c r="E1712" s="33"/>
      <c r="F1712" s="33"/>
      <c r="G1712" s="33"/>
      <c r="H1712" s="34"/>
      <c r="J1712" s="36"/>
      <c r="K1712" s="36"/>
      <c r="L1712" s="36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8"/>
      <c r="AS1712" s="38"/>
      <c r="AT1712" s="38"/>
      <c r="AU1712" s="33"/>
      <c r="AV1712" s="39"/>
      <c r="AW1712" s="39"/>
    </row>
    <row r="1713" spans="4:49">
      <c r="D1713" s="33"/>
      <c r="E1713" s="33"/>
      <c r="F1713" s="33"/>
      <c r="G1713" s="33"/>
      <c r="H1713" s="34"/>
      <c r="J1713" s="36"/>
      <c r="K1713" s="36"/>
      <c r="L1713" s="36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8"/>
      <c r="AS1713" s="38"/>
      <c r="AT1713" s="38"/>
      <c r="AU1713" s="33"/>
      <c r="AV1713" s="39"/>
      <c r="AW1713" s="39"/>
    </row>
    <row r="1714" spans="4:49">
      <c r="D1714" s="33"/>
      <c r="E1714" s="33"/>
      <c r="F1714" s="33"/>
      <c r="G1714" s="33"/>
      <c r="H1714" s="34"/>
      <c r="J1714" s="36"/>
      <c r="K1714" s="36"/>
      <c r="L1714" s="36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8"/>
      <c r="AS1714" s="38"/>
      <c r="AT1714" s="38"/>
      <c r="AU1714" s="33"/>
      <c r="AV1714" s="39"/>
      <c r="AW1714" s="39"/>
    </row>
    <row r="1715" spans="4:49">
      <c r="D1715" s="33"/>
      <c r="E1715" s="33"/>
      <c r="F1715" s="33"/>
      <c r="G1715" s="33"/>
      <c r="H1715" s="34"/>
      <c r="J1715" s="36"/>
      <c r="K1715" s="36"/>
      <c r="L1715" s="36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8"/>
      <c r="AS1715" s="38"/>
      <c r="AT1715" s="38"/>
      <c r="AU1715" s="33"/>
      <c r="AV1715" s="39"/>
      <c r="AW1715" s="39"/>
    </row>
    <row r="1716" spans="4:49">
      <c r="D1716" s="33"/>
      <c r="E1716" s="33"/>
      <c r="F1716" s="33"/>
      <c r="G1716" s="33"/>
      <c r="H1716" s="34"/>
      <c r="J1716" s="36"/>
      <c r="K1716" s="36"/>
      <c r="L1716" s="36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8"/>
      <c r="AS1716" s="38"/>
      <c r="AT1716" s="38"/>
      <c r="AU1716" s="33"/>
      <c r="AV1716" s="39"/>
      <c r="AW1716" s="39"/>
    </row>
    <row r="1717" spans="4:49">
      <c r="D1717" s="33"/>
      <c r="E1717" s="33"/>
      <c r="F1717" s="33"/>
      <c r="G1717" s="33"/>
      <c r="H1717" s="34"/>
      <c r="J1717" s="36"/>
      <c r="K1717" s="36"/>
      <c r="L1717" s="36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8"/>
      <c r="AS1717" s="38"/>
      <c r="AT1717" s="38"/>
      <c r="AU1717" s="33"/>
      <c r="AV1717" s="39"/>
      <c r="AW1717" s="39"/>
    </row>
    <row r="1718" spans="4:49">
      <c r="D1718" s="33"/>
      <c r="E1718" s="33"/>
      <c r="F1718" s="33"/>
      <c r="G1718" s="33"/>
      <c r="H1718" s="34"/>
      <c r="J1718" s="36"/>
      <c r="K1718" s="36"/>
      <c r="L1718" s="36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8"/>
      <c r="AS1718" s="38"/>
      <c r="AT1718" s="38"/>
      <c r="AU1718" s="33"/>
      <c r="AV1718" s="39"/>
      <c r="AW1718" s="39"/>
    </row>
    <row r="1719" spans="4:49">
      <c r="D1719" s="33"/>
      <c r="E1719" s="33"/>
      <c r="F1719" s="33"/>
      <c r="G1719" s="33"/>
      <c r="H1719" s="34"/>
      <c r="J1719" s="36"/>
      <c r="K1719" s="36"/>
      <c r="L1719" s="36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8"/>
      <c r="AS1719" s="38"/>
      <c r="AT1719" s="38"/>
      <c r="AU1719" s="33"/>
      <c r="AV1719" s="39"/>
      <c r="AW1719" s="39"/>
    </row>
    <row r="1720" spans="4:49">
      <c r="D1720" s="33"/>
      <c r="E1720" s="33"/>
      <c r="F1720" s="33"/>
      <c r="G1720" s="33"/>
      <c r="H1720" s="34"/>
      <c r="J1720" s="36"/>
      <c r="K1720" s="36"/>
      <c r="L1720" s="36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8"/>
      <c r="AS1720" s="38"/>
      <c r="AT1720" s="38"/>
      <c r="AU1720" s="33"/>
      <c r="AV1720" s="39"/>
      <c r="AW1720" s="39"/>
    </row>
    <row r="1721" spans="4:49">
      <c r="D1721" s="33"/>
      <c r="E1721" s="33"/>
      <c r="F1721" s="33"/>
      <c r="G1721" s="33"/>
      <c r="H1721" s="34"/>
      <c r="J1721" s="36"/>
      <c r="K1721" s="36"/>
      <c r="L1721" s="36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8"/>
      <c r="AS1721" s="38"/>
      <c r="AT1721" s="38"/>
      <c r="AU1721" s="33"/>
      <c r="AV1721" s="39"/>
      <c r="AW1721" s="39"/>
    </row>
    <row r="1722" spans="4:49">
      <c r="D1722" s="33"/>
      <c r="E1722" s="33"/>
      <c r="F1722" s="33"/>
      <c r="G1722" s="33"/>
      <c r="H1722" s="34"/>
      <c r="J1722" s="36"/>
      <c r="K1722" s="36"/>
      <c r="L1722" s="36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8"/>
      <c r="AS1722" s="38"/>
      <c r="AT1722" s="38"/>
      <c r="AU1722" s="33"/>
      <c r="AV1722" s="39"/>
      <c r="AW1722" s="39"/>
    </row>
    <row r="1723" spans="4:49">
      <c r="D1723" s="33"/>
      <c r="E1723" s="33"/>
      <c r="F1723" s="33"/>
      <c r="G1723" s="33"/>
      <c r="H1723" s="34"/>
      <c r="J1723" s="36"/>
      <c r="K1723" s="36"/>
      <c r="L1723" s="36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8"/>
      <c r="AS1723" s="38"/>
      <c r="AT1723" s="38"/>
      <c r="AU1723" s="33"/>
      <c r="AV1723" s="39"/>
      <c r="AW1723" s="39"/>
    </row>
    <row r="1724" spans="4:49">
      <c r="D1724" s="33"/>
      <c r="E1724" s="33"/>
      <c r="F1724" s="33"/>
      <c r="G1724" s="33"/>
      <c r="H1724" s="34"/>
      <c r="J1724" s="36"/>
      <c r="K1724" s="36"/>
      <c r="L1724" s="36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8"/>
      <c r="AS1724" s="38"/>
      <c r="AT1724" s="38"/>
      <c r="AU1724" s="33"/>
      <c r="AV1724" s="39"/>
      <c r="AW1724" s="39"/>
    </row>
    <row r="1725" spans="4:49">
      <c r="D1725" s="33"/>
      <c r="E1725" s="33"/>
      <c r="F1725" s="33"/>
      <c r="G1725" s="33"/>
      <c r="H1725" s="34"/>
      <c r="J1725" s="36"/>
      <c r="K1725" s="36"/>
      <c r="L1725" s="36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8"/>
      <c r="AS1725" s="38"/>
      <c r="AT1725" s="38"/>
      <c r="AU1725" s="33"/>
      <c r="AV1725" s="39"/>
      <c r="AW1725" s="39"/>
    </row>
    <row r="1726" spans="4:49">
      <c r="D1726" s="33"/>
      <c r="E1726" s="33"/>
      <c r="F1726" s="33"/>
      <c r="G1726" s="33"/>
      <c r="H1726" s="34"/>
      <c r="J1726" s="36"/>
      <c r="K1726" s="36"/>
      <c r="L1726" s="36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8"/>
      <c r="AS1726" s="38"/>
      <c r="AT1726" s="38"/>
      <c r="AU1726" s="33"/>
      <c r="AV1726" s="39"/>
      <c r="AW1726" s="39"/>
    </row>
    <row r="1727" spans="4:49">
      <c r="D1727" s="33"/>
      <c r="E1727" s="33"/>
      <c r="F1727" s="33"/>
      <c r="G1727" s="33"/>
      <c r="H1727" s="34"/>
      <c r="J1727" s="36"/>
      <c r="K1727" s="36"/>
      <c r="L1727" s="36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8"/>
      <c r="AS1727" s="38"/>
      <c r="AT1727" s="38"/>
      <c r="AU1727" s="33"/>
      <c r="AV1727" s="39"/>
      <c r="AW1727" s="39"/>
    </row>
    <row r="1728" spans="4:49">
      <c r="D1728" s="33"/>
      <c r="E1728" s="33"/>
      <c r="F1728" s="33"/>
      <c r="G1728" s="33"/>
      <c r="H1728" s="34"/>
      <c r="J1728" s="36"/>
      <c r="K1728" s="36"/>
      <c r="L1728" s="36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8"/>
      <c r="AS1728" s="38"/>
      <c r="AT1728" s="38"/>
      <c r="AU1728" s="33"/>
      <c r="AV1728" s="39"/>
      <c r="AW1728" s="39"/>
    </row>
    <row r="1729" spans="4:49">
      <c r="D1729" s="33"/>
      <c r="E1729" s="33"/>
      <c r="F1729" s="33"/>
      <c r="G1729" s="33"/>
      <c r="H1729" s="34"/>
      <c r="J1729" s="36"/>
      <c r="K1729" s="36"/>
      <c r="L1729" s="36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8"/>
      <c r="AS1729" s="38"/>
      <c r="AT1729" s="38"/>
      <c r="AU1729" s="33"/>
      <c r="AV1729" s="39"/>
      <c r="AW1729" s="39"/>
    </row>
    <row r="1730" spans="4:49">
      <c r="D1730" s="33"/>
      <c r="E1730" s="33"/>
      <c r="F1730" s="33"/>
      <c r="G1730" s="33"/>
      <c r="H1730" s="34"/>
      <c r="J1730" s="36"/>
      <c r="K1730" s="36"/>
      <c r="L1730" s="36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8"/>
      <c r="AS1730" s="38"/>
      <c r="AT1730" s="38"/>
      <c r="AU1730" s="33"/>
      <c r="AV1730" s="39"/>
      <c r="AW1730" s="39"/>
    </row>
    <row r="1731" spans="4:49">
      <c r="D1731" s="33"/>
      <c r="E1731" s="33"/>
      <c r="F1731" s="33"/>
      <c r="G1731" s="33"/>
      <c r="H1731" s="34"/>
      <c r="J1731" s="36"/>
      <c r="K1731" s="36"/>
      <c r="L1731" s="36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8"/>
      <c r="AS1731" s="38"/>
      <c r="AT1731" s="38"/>
      <c r="AU1731" s="33"/>
      <c r="AV1731" s="39"/>
      <c r="AW1731" s="39"/>
    </row>
    <row r="1732" spans="4:49">
      <c r="D1732" s="33"/>
      <c r="E1732" s="33"/>
      <c r="F1732" s="33"/>
      <c r="G1732" s="33"/>
      <c r="H1732" s="34"/>
      <c r="J1732" s="36"/>
      <c r="K1732" s="36"/>
      <c r="L1732" s="36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8"/>
      <c r="AS1732" s="38"/>
      <c r="AT1732" s="38"/>
      <c r="AU1732" s="33"/>
      <c r="AV1732" s="39"/>
      <c r="AW1732" s="39"/>
    </row>
    <row r="1733" spans="4:49">
      <c r="D1733" s="33"/>
      <c r="E1733" s="33"/>
      <c r="F1733" s="33"/>
      <c r="G1733" s="33"/>
      <c r="H1733" s="34"/>
      <c r="J1733" s="36"/>
      <c r="K1733" s="36"/>
      <c r="L1733" s="36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8"/>
      <c r="AS1733" s="38"/>
      <c r="AT1733" s="38"/>
      <c r="AU1733" s="33"/>
      <c r="AV1733" s="39"/>
      <c r="AW1733" s="39"/>
    </row>
    <row r="1734" spans="4:49">
      <c r="D1734" s="33"/>
      <c r="E1734" s="33"/>
      <c r="F1734" s="33"/>
      <c r="G1734" s="33"/>
      <c r="H1734" s="34"/>
      <c r="J1734" s="36"/>
      <c r="K1734" s="36"/>
      <c r="L1734" s="36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8"/>
      <c r="AS1734" s="38"/>
      <c r="AT1734" s="38"/>
      <c r="AU1734" s="33"/>
      <c r="AV1734" s="39"/>
      <c r="AW1734" s="39"/>
    </row>
    <row r="1735" spans="4:49">
      <c r="D1735" s="33"/>
      <c r="E1735" s="33"/>
      <c r="F1735" s="33"/>
      <c r="G1735" s="33"/>
      <c r="H1735" s="34"/>
      <c r="J1735" s="36"/>
      <c r="K1735" s="36"/>
      <c r="L1735" s="36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8"/>
      <c r="AS1735" s="38"/>
      <c r="AT1735" s="38"/>
      <c r="AU1735" s="33"/>
      <c r="AV1735" s="39"/>
      <c r="AW1735" s="39"/>
    </row>
    <row r="1736" spans="4:49">
      <c r="D1736" s="33"/>
      <c r="E1736" s="33"/>
      <c r="F1736" s="33"/>
      <c r="G1736" s="33"/>
      <c r="H1736" s="34"/>
      <c r="J1736" s="36"/>
      <c r="K1736" s="36"/>
      <c r="L1736" s="36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8"/>
      <c r="AS1736" s="38"/>
      <c r="AT1736" s="38"/>
      <c r="AU1736" s="33"/>
      <c r="AV1736" s="39"/>
      <c r="AW1736" s="39"/>
    </row>
    <row r="1737" spans="4:49">
      <c r="D1737" s="33"/>
      <c r="E1737" s="33"/>
      <c r="F1737" s="33"/>
      <c r="G1737" s="33"/>
      <c r="H1737" s="34"/>
      <c r="J1737" s="36"/>
      <c r="K1737" s="36"/>
      <c r="L1737" s="36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8"/>
      <c r="AS1737" s="38"/>
      <c r="AT1737" s="38"/>
      <c r="AU1737" s="33"/>
      <c r="AV1737" s="39"/>
      <c r="AW1737" s="39"/>
    </row>
    <row r="1738" spans="4:49">
      <c r="D1738" s="33"/>
      <c r="E1738" s="33"/>
      <c r="F1738" s="33"/>
      <c r="G1738" s="33"/>
      <c r="H1738" s="34"/>
      <c r="J1738" s="36"/>
      <c r="K1738" s="36"/>
      <c r="L1738" s="36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8"/>
      <c r="AS1738" s="38"/>
      <c r="AT1738" s="38"/>
      <c r="AU1738" s="33"/>
      <c r="AV1738" s="39"/>
      <c r="AW1738" s="39"/>
    </row>
    <row r="1739" spans="4:49">
      <c r="D1739" s="33"/>
      <c r="E1739" s="33"/>
      <c r="F1739" s="33"/>
      <c r="G1739" s="33"/>
      <c r="H1739" s="34"/>
      <c r="J1739" s="36"/>
      <c r="K1739" s="36"/>
      <c r="L1739" s="36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8"/>
      <c r="AS1739" s="38"/>
      <c r="AT1739" s="38"/>
      <c r="AU1739" s="33"/>
      <c r="AV1739" s="39"/>
      <c r="AW1739" s="39"/>
    </row>
    <row r="1740" spans="4:49">
      <c r="D1740" s="33"/>
      <c r="E1740" s="33"/>
      <c r="F1740" s="33"/>
      <c r="G1740" s="33"/>
      <c r="H1740" s="34"/>
      <c r="J1740" s="36"/>
      <c r="K1740" s="36"/>
      <c r="L1740" s="36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8"/>
      <c r="AS1740" s="38"/>
      <c r="AT1740" s="38"/>
      <c r="AU1740" s="33"/>
      <c r="AV1740" s="39"/>
      <c r="AW1740" s="39"/>
    </row>
    <row r="1741" spans="4:49">
      <c r="D1741" s="33"/>
      <c r="E1741" s="33"/>
      <c r="F1741" s="33"/>
      <c r="G1741" s="33"/>
      <c r="H1741" s="34"/>
      <c r="J1741" s="36"/>
      <c r="K1741" s="36"/>
      <c r="L1741" s="36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8"/>
      <c r="AS1741" s="38"/>
      <c r="AT1741" s="38"/>
      <c r="AU1741" s="33"/>
      <c r="AV1741" s="39"/>
      <c r="AW1741" s="39"/>
    </row>
    <row r="1742" spans="4:49">
      <c r="D1742" s="33"/>
      <c r="E1742" s="33"/>
      <c r="F1742" s="33"/>
      <c r="G1742" s="33"/>
      <c r="H1742" s="34"/>
      <c r="J1742" s="36"/>
      <c r="K1742" s="36"/>
      <c r="L1742" s="36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8"/>
      <c r="AS1742" s="38"/>
      <c r="AT1742" s="38"/>
      <c r="AU1742" s="33"/>
      <c r="AV1742" s="39"/>
      <c r="AW1742" s="39"/>
    </row>
    <row r="1743" spans="4:49">
      <c r="D1743" s="33"/>
      <c r="E1743" s="33"/>
      <c r="F1743" s="33"/>
      <c r="G1743" s="33"/>
      <c r="H1743" s="34"/>
      <c r="J1743" s="36"/>
      <c r="K1743" s="36"/>
      <c r="L1743" s="36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8"/>
      <c r="AS1743" s="38"/>
      <c r="AT1743" s="38"/>
      <c r="AU1743" s="33"/>
      <c r="AV1743" s="39"/>
      <c r="AW1743" s="39"/>
    </row>
    <row r="1744" spans="4:49">
      <c r="D1744" s="33"/>
      <c r="E1744" s="33"/>
      <c r="F1744" s="33"/>
      <c r="G1744" s="33"/>
      <c r="H1744" s="34"/>
      <c r="J1744" s="36"/>
      <c r="K1744" s="36"/>
      <c r="L1744" s="36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8"/>
      <c r="AS1744" s="38"/>
      <c r="AT1744" s="38"/>
      <c r="AU1744" s="33"/>
      <c r="AV1744" s="39"/>
      <c r="AW1744" s="39"/>
    </row>
    <row r="1745" spans="4:49">
      <c r="D1745" s="33"/>
      <c r="E1745" s="33"/>
      <c r="F1745" s="33"/>
      <c r="G1745" s="33"/>
      <c r="H1745" s="34"/>
      <c r="J1745" s="36"/>
      <c r="K1745" s="36"/>
      <c r="L1745" s="36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8"/>
      <c r="AS1745" s="38"/>
      <c r="AT1745" s="38"/>
      <c r="AU1745" s="33"/>
      <c r="AV1745" s="39"/>
      <c r="AW1745" s="39"/>
    </row>
    <row r="1746" spans="4:49">
      <c r="D1746" s="33"/>
      <c r="E1746" s="33"/>
      <c r="F1746" s="33"/>
      <c r="G1746" s="33"/>
      <c r="H1746" s="34"/>
      <c r="J1746" s="36"/>
      <c r="K1746" s="36"/>
      <c r="L1746" s="36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8"/>
      <c r="AS1746" s="38"/>
      <c r="AT1746" s="38"/>
      <c r="AU1746" s="33"/>
      <c r="AV1746" s="39"/>
      <c r="AW1746" s="39"/>
    </row>
    <row r="1747" spans="4:49">
      <c r="D1747" s="33"/>
      <c r="E1747" s="33"/>
      <c r="F1747" s="33"/>
      <c r="G1747" s="33"/>
      <c r="H1747" s="34"/>
      <c r="J1747" s="36"/>
      <c r="K1747" s="36"/>
      <c r="L1747" s="36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8"/>
      <c r="AS1747" s="38"/>
      <c r="AT1747" s="38"/>
      <c r="AU1747" s="33"/>
      <c r="AV1747" s="39"/>
      <c r="AW1747" s="39"/>
    </row>
    <row r="1748" spans="4:49">
      <c r="D1748" s="33"/>
      <c r="E1748" s="33"/>
      <c r="F1748" s="33"/>
      <c r="G1748" s="33"/>
      <c r="H1748" s="34"/>
      <c r="J1748" s="36"/>
      <c r="K1748" s="36"/>
      <c r="L1748" s="36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8"/>
      <c r="AS1748" s="38"/>
      <c r="AT1748" s="38"/>
      <c r="AU1748" s="33"/>
      <c r="AV1748" s="39"/>
      <c r="AW1748" s="39"/>
    </row>
    <row r="1749" spans="4:49">
      <c r="D1749" s="33"/>
      <c r="E1749" s="33"/>
      <c r="F1749" s="33"/>
      <c r="G1749" s="33"/>
      <c r="H1749" s="34"/>
      <c r="J1749" s="36"/>
      <c r="K1749" s="36"/>
      <c r="L1749" s="36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8"/>
      <c r="AS1749" s="38"/>
      <c r="AT1749" s="38"/>
      <c r="AU1749" s="33"/>
      <c r="AV1749" s="39"/>
      <c r="AW1749" s="39"/>
    </row>
    <row r="1750" spans="4:49">
      <c r="D1750" s="33"/>
      <c r="E1750" s="33"/>
      <c r="F1750" s="33"/>
      <c r="G1750" s="33"/>
      <c r="H1750" s="34"/>
      <c r="J1750" s="36"/>
      <c r="K1750" s="36"/>
      <c r="L1750" s="36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8"/>
      <c r="AS1750" s="38"/>
      <c r="AT1750" s="38"/>
      <c r="AU1750" s="33"/>
      <c r="AV1750" s="39"/>
      <c r="AW1750" s="39"/>
    </row>
    <row r="1751" spans="4:49">
      <c r="D1751" s="33"/>
      <c r="E1751" s="33"/>
      <c r="F1751" s="33"/>
      <c r="G1751" s="33"/>
      <c r="H1751" s="34"/>
      <c r="J1751" s="36"/>
      <c r="K1751" s="36"/>
      <c r="L1751" s="36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8"/>
      <c r="AS1751" s="38"/>
      <c r="AT1751" s="38"/>
      <c r="AU1751" s="33"/>
      <c r="AV1751" s="39"/>
      <c r="AW1751" s="39"/>
    </row>
    <row r="1752" spans="4:49">
      <c r="D1752" s="33"/>
      <c r="E1752" s="33"/>
      <c r="F1752" s="33"/>
      <c r="G1752" s="33"/>
      <c r="H1752" s="34"/>
      <c r="J1752" s="36"/>
      <c r="K1752" s="36"/>
      <c r="L1752" s="36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8"/>
      <c r="AS1752" s="38"/>
      <c r="AT1752" s="38"/>
      <c r="AU1752" s="33"/>
      <c r="AV1752" s="39"/>
      <c r="AW1752" s="39"/>
    </row>
    <row r="1753" spans="4:49">
      <c r="D1753" s="33"/>
      <c r="E1753" s="33"/>
      <c r="F1753" s="33"/>
      <c r="G1753" s="33"/>
      <c r="H1753" s="34"/>
      <c r="J1753" s="36"/>
      <c r="K1753" s="36"/>
      <c r="L1753" s="36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8"/>
      <c r="AS1753" s="38"/>
      <c r="AT1753" s="38"/>
      <c r="AU1753" s="33"/>
      <c r="AV1753" s="39"/>
      <c r="AW1753" s="39"/>
    </row>
    <row r="1754" spans="4:49">
      <c r="D1754" s="33"/>
      <c r="E1754" s="33"/>
      <c r="F1754" s="33"/>
      <c r="G1754" s="33"/>
      <c r="H1754" s="34"/>
      <c r="J1754" s="36"/>
      <c r="K1754" s="36"/>
      <c r="L1754" s="36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8"/>
      <c r="AS1754" s="38"/>
      <c r="AT1754" s="38"/>
      <c r="AU1754" s="33"/>
      <c r="AV1754" s="39"/>
      <c r="AW1754" s="39"/>
    </row>
    <row r="1755" spans="4:49">
      <c r="D1755" s="33"/>
      <c r="E1755" s="33"/>
      <c r="F1755" s="33"/>
      <c r="G1755" s="33"/>
      <c r="H1755" s="34"/>
      <c r="J1755" s="36"/>
      <c r="K1755" s="36"/>
      <c r="L1755" s="36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8"/>
      <c r="AS1755" s="38"/>
      <c r="AT1755" s="38"/>
      <c r="AU1755" s="33"/>
      <c r="AV1755" s="39"/>
      <c r="AW1755" s="39"/>
    </row>
    <row r="1756" spans="4:49">
      <c r="D1756" s="33"/>
      <c r="E1756" s="33"/>
      <c r="F1756" s="33"/>
      <c r="G1756" s="33"/>
      <c r="H1756" s="34"/>
      <c r="J1756" s="36"/>
      <c r="K1756" s="36"/>
      <c r="L1756" s="36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8"/>
      <c r="AS1756" s="38"/>
      <c r="AT1756" s="38"/>
      <c r="AU1756" s="33"/>
      <c r="AV1756" s="39"/>
      <c r="AW1756" s="39"/>
    </row>
    <row r="1757" spans="4:49">
      <c r="D1757" s="33"/>
      <c r="E1757" s="33"/>
      <c r="F1757" s="33"/>
      <c r="G1757" s="33"/>
      <c r="H1757" s="34"/>
      <c r="J1757" s="36"/>
      <c r="K1757" s="36"/>
      <c r="L1757" s="36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8"/>
      <c r="AS1757" s="38"/>
      <c r="AT1757" s="38"/>
      <c r="AU1757" s="33"/>
      <c r="AV1757" s="39"/>
      <c r="AW1757" s="39"/>
    </row>
    <row r="1758" spans="4:49">
      <c r="D1758" s="33"/>
      <c r="E1758" s="33"/>
      <c r="F1758" s="33"/>
      <c r="G1758" s="33"/>
      <c r="H1758" s="34"/>
      <c r="J1758" s="36"/>
      <c r="K1758" s="36"/>
      <c r="L1758" s="36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8"/>
      <c r="AS1758" s="38"/>
      <c r="AT1758" s="38"/>
      <c r="AU1758" s="33"/>
      <c r="AV1758" s="39"/>
      <c r="AW1758" s="39"/>
    </row>
    <row r="1759" spans="4:49">
      <c r="D1759" s="33"/>
      <c r="E1759" s="33"/>
      <c r="F1759" s="33"/>
      <c r="G1759" s="33"/>
      <c r="H1759" s="34"/>
      <c r="J1759" s="36"/>
      <c r="K1759" s="36"/>
      <c r="L1759" s="36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8"/>
      <c r="AS1759" s="38"/>
      <c r="AT1759" s="38"/>
      <c r="AU1759" s="33"/>
      <c r="AV1759" s="39"/>
      <c r="AW1759" s="39"/>
    </row>
    <row r="1760" spans="4:49">
      <c r="D1760" s="33"/>
      <c r="E1760" s="33"/>
      <c r="F1760" s="33"/>
      <c r="G1760" s="33"/>
      <c r="H1760" s="34"/>
      <c r="J1760" s="36"/>
      <c r="K1760" s="36"/>
      <c r="L1760" s="36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8"/>
      <c r="AS1760" s="38"/>
      <c r="AT1760" s="38"/>
      <c r="AU1760" s="33"/>
      <c r="AV1760" s="39"/>
      <c r="AW1760" s="39"/>
    </row>
    <row r="1761" spans="4:49">
      <c r="D1761" s="33"/>
      <c r="E1761" s="33"/>
      <c r="F1761" s="33"/>
      <c r="G1761" s="33"/>
      <c r="H1761" s="34"/>
      <c r="J1761" s="36"/>
      <c r="K1761" s="36"/>
      <c r="L1761" s="36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8"/>
      <c r="AS1761" s="38"/>
      <c r="AT1761" s="38"/>
      <c r="AU1761" s="33"/>
      <c r="AV1761" s="39"/>
      <c r="AW1761" s="39"/>
    </row>
    <row r="1762" spans="4:49">
      <c r="D1762" s="33"/>
      <c r="E1762" s="33"/>
      <c r="F1762" s="33"/>
      <c r="G1762" s="33"/>
      <c r="H1762" s="34"/>
      <c r="J1762" s="36"/>
      <c r="K1762" s="36"/>
      <c r="L1762" s="36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8"/>
      <c r="AS1762" s="38"/>
      <c r="AT1762" s="38"/>
      <c r="AU1762" s="33"/>
      <c r="AV1762" s="39"/>
      <c r="AW1762" s="39"/>
    </row>
    <row r="1763" spans="4:49">
      <c r="D1763" s="33"/>
      <c r="E1763" s="33"/>
      <c r="F1763" s="33"/>
      <c r="G1763" s="33"/>
      <c r="H1763" s="34"/>
      <c r="J1763" s="36"/>
      <c r="K1763" s="36"/>
      <c r="L1763" s="36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8"/>
      <c r="AS1763" s="38"/>
      <c r="AT1763" s="38"/>
      <c r="AU1763" s="33"/>
      <c r="AV1763" s="39"/>
      <c r="AW1763" s="39"/>
    </row>
    <row r="1764" spans="4:49">
      <c r="D1764" s="33"/>
      <c r="E1764" s="33"/>
      <c r="F1764" s="33"/>
      <c r="G1764" s="33"/>
      <c r="H1764" s="34"/>
      <c r="J1764" s="36"/>
      <c r="K1764" s="36"/>
      <c r="L1764" s="36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8"/>
      <c r="AS1764" s="38"/>
      <c r="AT1764" s="38"/>
      <c r="AU1764" s="33"/>
      <c r="AV1764" s="39"/>
      <c r="AW1764" s="39"/>
    </row>
    <row r="1765" spans="4:49">
      <c r="D1765" s="33"/>
      <c r="E1765" s="33"/>
      <c r="F1765" s="33"/>
      <c r="G1765" s="33"/>
      <c r="H1765" s="34"/>
      <c r="J1765" s="36"/>
      <c r="K1765" s="36"/>
      <c r="L1765" s="36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8"/>
      <c r="AS1765" s="38"/>
      <c r="AT1765" s="38"/>
      <c r="AU1765" s="33"/>
      <c r="AV1765" s="39"/>
      <c r="AW1765" s="39"/>
    </row>
    <row r="1766" spans="4:49">
      <c r="D1766" s="33"/>
      <c r="E1766" s="33"/>
      <c r="F1766" s="33"/>
      <c r="G1766" s="33"/>
      <c r="H1766" s="34"/>
      <c r="J1766" s="36"/>
      <c r="K1766" s="36"/>
      <c r="L1766" s="36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8"/>
      <c r="AS1766" s="38"/>
      <c r="AT1766" s="38"/>
      <c r="AU1766" s="33"/>
      <c r="AV1766" s="39"/>
      <c r="AW1766" s="39"/>
    </row>
    <row r="1767" spans="4:49">
      <c r="D1767" s="33"/>
      <c r="E1767" s="33"/>
      <c r="F1767" s="33"/>
      <c r="G1767" s="33"/>
      <c r="H1767" s="34"/>
      <c r="J1767" s="36"/>
      <c r="K1767" s="36"/>
      <c r="L1767" s="36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8"/>
      <c r="AS1767" s="38"/>
      <c r="AT1767" s="38"/>
      <c r="AU1767" s="33"/>
      <c r="AV1767" s="39"/>
      <c r="AW1767" s="39"/>
    </row>
    <row r="1768" spans="4:49">
      <c r="D1768" s="33"/>
      <c r="E1768" s="33"/>
      <c r="F1768" s="33"/>
      <c r="G1768" s="33"/>
      <c r="H1768" s="34"/>
      <c r="J1768" s="36"/>
      <c r="K1768" s="36"/>
      <c r="L1768" s="36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8"/>
      <c r="AS1768" s="38"/>
      <c r="AT1768" s="38"/>
      <c r="AU1768" s="33"/>
      <c r="AV1768" s="39"/>
      <c r="AW1768" s="39"/>
    </row>
    <row r="1769" spans="4:49">
      <c r="D1769" s="33"/>
      <c r="E1769" s="33"/>
      <c r="F1769" s="33"/>
      <c r="G1769" s="33"/>
      <c r="H1769" s="34"/>
      <c r="J1769" s="36"/>
      <c r="K1769" s="36"/>
      <c r="L1769" s="36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8"/>
      <c r="AS1769" s="38"/>
      <c r="AT1769" s="38"/>
      <c r="AU1769" s="33"/>
      <c r="AV1769" s="39"/>
      <c r="AW1769" s="39"/>
    </row>
    <row r="1770" spans="4:49">
      <c r="D1770" s="33"/>
      <c r="E1770" s="33"/>
      <c r="F1770" s="33"/>
      <c r="G1770" s="33"/>
      <c r="H1770" s="34"/>
      <c r="J1770" s="36"/>
      <c r="K1770" s="36"/>
      <c r="L1770" s="36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8"/>
      <c r="AS1770" s="38"/>
      <c r="AT1770" s="38"/>
      <c r="AU1770" s="33"/>
      <c r="AV1770" s="39"/>
      <c r="AW1770" s="39"/>
    </row>
    <row r="1771" spans="4:49">
      <c r="D1771" s="33"/>
      <c r="E1771" s="33"/>
      <c r="F1771" s="33"/>
      <c r="G1771" s="33"/>
      <c r="H1771" s="34"/>
      <c r="J1771" s="36"/>
      <c r="K1771" s="36"/>
      <c r="L1771" s="36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8"/>
      <c r="AS1771" s="38"/>
      <c r="AT1771" s="38"/>
      <c r="AU1771" s="33"/>
      <c r="AV1771" s="39"/>
      <c r="AW1771" s="39"/>
    </row>
    <row r="1772" spans="4:49">
      <c r="D1772" s="33"/>
      <c r="E1772" s="33"/>
      <c r="F1772" s="33"/>
      <c r="G1772" s="33"/>
      <c r="H1772" s="34"/>
      <c r="J1772" s="36"/>
      <c r="K1772" s="36"/>
      <c r="L1772" s="36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8"/>
      <c r="AS1772" s="38"/>
      <c r="AT1772" s="38"/>
      <c r="AU1772" s="33"/>
      <c r="AV1772" s="39"/>
      <c r="AW1772" s="39"/>
    </row>
    <row r="1773" spans="4:49">
      <c r="D1773" s="33"/>
      <c r="E1773" s="33"/>
      <c r="F1773" s="33"/>
      <c r="G1773" s="33"/>
      <c r="H1773" s="34"/>
      <c r="J1773" s="36"/>
      <c r="K1773" s="36"/>
      <c r="L1773" s="36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8"/>
      <c r="AS1773" s="38"/>
      <c r="AT1773" s="38"/>
      <c r="AU1773" s="33"/>
      <c r="AV1773" s="39"/>
      <c r="AW1773" s="39"/>
    </row>
    <row r="1774" spans="4:49">
      <c r="D1774" s="33"/>
      <c r="E1774" s="33"/>
      <c r="F1774" s="33"/>
      <c r="G1774" s="33"/>
      <c r="H1774" s="34"/>
      <c r="J1774" s="36"/>
      <c r="K1774" s="36"/>
      <c r="L1774" s="36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8"/>
      <c r="AS1774" s="38"/>
      <c r="AT1774" s="38"/>
      <c r="AU1774" s="33"/>
      <c r="AV1774" s="39"/>
      <c r="AW1774" s="39"/>
    </row>
    <row r="1775" spans="4:49">
      <c r="D1775" s="33"/>
      <c r="E1775" s="33"/>
      <c r="F1775" s="33"/>
      <c r="G1775" s="33"/>
      <c r="H1775" s="34"/>
      <c r="J1775" s="36"/>
      <c r="K1775" s="36"/>
      <c r="L1775" s="36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8"/>
      <c r="AS1775" s="38"/>
      <c r="AT1775" s="38"/>
      <c r="AU1775" s="33"/>
      <c r="AV1775" s="39"/>
      <c r="AW1775" s="39"/>
    </row>
    <row r="1776" spans="4:49">
      <c r="D1776" s="33"/>
      <c r="E1776" s="33"/>
      <c r="F1776" s="33"/>
      <c r="G1776" s="33"/>
      <c r="H1776" s="34"/>
      <c r="J1776" s="36"/>
      <c r="K1776" s="36"/>
      <c r="L1776" s="36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8"/>
      <c r="AS1776" s="38"/>
      <c r="AT1776" s="38"/>
      <c r="AU1776" s="33"/>
      <c r="AV1776" s="39"/>
      <c r="AW1776" s="39"/>
    </row>
    <row r="1777" spans="4:49">
      <c r="D1777" s="33"/>
      <c r="E1777" s="33"/>
      <c r="F1777" s="33"/>
      <c r="G1777" s="33"/>
      <c r="H1777" s="34"/>
      <c r="J1777" s="36"/>
      <c r="K1777" s="36"/>
      <c r="L1777" s="36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8"/>
      <c r="AS1777" s="38"/>
      <c r="AT1777" s="38"/>
      <c r="AU1777" s="33"/>
      <c r="AV1777" s="39"/>
      <c r="AW1777" s="39"/>
    </row>
    <row r="1778" spans="4:49">
      <c r="D1778" s="33"/>
      <c r="E1778" s="33"/>
      <c r="F1778" s="33"/>
      <c r="G1778" s="33"/>
      <c r="H1778" s="34"/>
      <c r="J1778" s="36"/>
      <c r="K1778" s="36"/>
      <c r="L1778" s="36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8"/>
      <c r="AS1778" s="38"/>
      <c r="AT1778" s="38"/>
      <c r="AU1778" s="33"/>
      <c r="AV1778" s="39"/>
      <c r="AW1778" s="39"/>
    </row>
    <row r="1779" spans="4:49">
      <c r="D1779" s="33"/>
      <c r="E1779" s="33"/>
      <c r="F1779" s="33"/>
      <c r="G1779" s="33"/>
      <c r="H1779" s="34"/>
      <c r="J1779" s="36"/>
      <c r="K1779" s="36"/>
      <c r="L1779" s="36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8"/>
      <c r="AS1779" s="38"/>
      <c r="AT1779" s="38"/>
      <c r="AU1779" s="33"/>
      <c r="AV1779" s="39"/>
      <c r="AW1779" s="39"/>
    </row>
    <row r="1780" spans="4:49">
      <c r="D1780" s="33"/>
      <c r="E1780" s="33"/>
      <c r="F1780" s="33"/>
      <c r="G1780" s="33"/>
      <c r="H1780" s="34"/>
      <c r="J1780" s="36"/>
      <c r="K1780" s="36"/>
      <c r="L1780" s="36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8"/>
      <c r="AS1780" s="38"/>
      <c r="AT1780" s="38"/>
      <c r="AU1780" s="33"/>
      <c r="AV1780" s="39"/>
      <c r="AW1780" s="39"/>
    </row>
    <row r="1781" spans="4:49">
      <c r="D1781" s="33"/>
      <c r="E1781" s="33"/>
      <c r="F1781" s="33"/>
      <c r="G1781" s="33"/>
      <c r="H1781" s="34"/>
      <c r="J1781" s="36"/>
      <c r="K1781" s="36"/>
      <c r="L1781" s="36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8"/>
      <c r="AS1781" s="38"/>
      <c r="AT1781" s="38"/>
      <c r="AU1781" s="33"/>
      <c r="AV1781" s="39"/>
      <c r="AW1781" s="39"/>
    </row>
    <row r="1782" spans="4:49">
      <c r="D1782" s="33"/>
      <c r="E1782" s="33"/>
      <c r="F1782" s="33"/>
      <c r="G1782" s="33"/>
      <c r="H1782" s="34"/>
      <c r="J1782" s="36"/>
      <c r="K1782" s="36"/>
      <c r="L1782" s="36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8"/>
      <c r="AS1782" s="38"/>
      <c r="AT1782" s="38"/>
      <c r="AU1782" s="33"/>
      <c r="AV1782" s="39"/>
      <c r="AW1782" s="39"/>
    </row>
    <row r="1783" spans="4:49">
      <c r="D1783" s="33"/>
      <c r="E1783" s="33"/>
      <c r="F1783" s="33"/>
      <c r="G1783" s="33"/>
      <c r="H1783" s="34"/>
      <c r="J1783" s="36"/>
      <c r="K1783" s="36"/>
      <c r="L1783" s="36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8"/>
      <c r="AS1783" s="38"/>
      <c r="AT1783" s="38"/>
      <c r="AU1783" s="33"/>
      <c r="AV1783" s="39"/>
      <c r="AW1783" s="39"/>
    </row>
    <row r="1784" spans="4:49">
      <c r="D1784" s="33"/>
      <c r="E1784" s="33"/>
      <c r="F1784" s="33"/>
      <c r="G1784" s="33"/>
      <c r="H1784" s="34"/>
      <c r="J1784" s="36"/>
      <c r="K1784" s="36"/>
      <c r="L1784" s="36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8"/>
      <c r="AS1784" s="38"/>
      <c r="AT1784" s="38"/>
      <c r="AU1784" s="33"/>
      <c r="AV1784" s="39"/>
      <c r="AW1784" s="39"/>
    </row>
    <row r="1785" spans="4:49">
      <c r="D1785" s="33"/>
      <c r="E1785" s="33"/>
      <c r="F1785" s="33"/>
      <c r="G1785" s="33"/>
      <c r="H1785" s="34"/>
      <c r="J1785" s="36"/>
      <c r="K1785" s="36"/>
      <c r="L1785" s="36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8"/>
      <c r="AS1785" s="38"/>
      <c r="AT1785" s="38"/>
      <c r="AU1785" s="33"/>
      <c r="AV1785" s="39"/>
      <c r="AW1785" s="39"/>
    </row>
    <row r="1786" spans="4:49">
      <c r="D1786" s="33"/>
      <c r="E1786" s="33"/>
      <c r="F1786" s="33"/>
      <c r="G1786" s="33"/>
      <c r="H1786" s="34"/>
      <c r="J1786" s="36"/>
      <c r="K1786" s="36"/>
      <c r="L1786" s="36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8"/>
      <c r="AS1786" s="38"/>
      <c r="AT1786" s="38"/>
      <c r="AU1786" s="33"/>
      <c r="AV1786" s="39"/>
      <c r="AW1786" s="39"/>
    </row>
    <row r="1787" spans="4:49">
      <c r="D1787" s="33"/>
      <c r="E1787" s="33"/>
      <c r="F1787" s="33"/>
      <c r="G1787" s="33"/>
      <c r="H1787" s="34"/>
      <c r="J1787" s="36"/>
      <c r="K1787" s="36"/>
      <c r="L1787" s="36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8"/>
      <c r="AS1787" s="38"/>
      <c r="AT1787" s="38"/>
      <c r="AU1787" s="33"/>
      <c r="AV1787" s="39"/>
      <c r="AW1787" s="39"/>
    </row>
    <row r="1788" spans="4:49">
      <c r="D1788" s="33"/>
      <c r="E1788" s="33"/>
      <c r="F1788" s="33"/>
      <c r="G1788" s="33"/>
      <c r="H1788" s="34"/>
      <c r="J1788" s="36"/>
      <c r="K1788" s="36"/>
      <c r="L1788" s="36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8"/>
      <c r="AS1788" s="38"/>
      <c r="AT1788" s="38"/>
      <c r="AU1788" s="33"/>
      <c r="AV1788" s="39"/>
      <c r="AW1788" s="39"/>
    </row>
    <row r="1789" spans="4:49">
      <c r="D1789" s="33"/>
      <c r="E1789" s="33"/>
      <c r="F1789" s="33"/>
      <c r="G1789" s="33"/>
      <c r="H1789" s="34"/>
      <c r="J1789" s="36"/>
      <c r="K1789" s="36"/>
      <c r="L1789" s="36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8"/>
      <c r="AS1789" s="38"/>
      <c r="AT1789" s="38"/>
      <c r="AU1789" s="33"/>
      <c r="AV1789" s="39"/>
      <c r="AW1789" s="39"/>
    </row>
    <row r="1790" spans="4:49">
      <c r="D1790" s="33"/>
      <c r="E1790" s="33"/>
      <c r="F1790" s="33"/>
      <c r="G1790" s="33"/>
      <c r="H1790" s="34"/>
      <c r="J1790" s="36"/>
      <c r="K1790" s="36"/>
      <c r="L1790" s="36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8"/>
      <c r="AS1790" s="38"/>
      <c r="AT1790" s="38"/>
      <c r="AU1790" s="33"/>
      <c r="AV1790" s="39"/>
      <c r="AW1790" s="39"/>
    </row>
    <row r="1791" spans="4:49">
      <c r="D1791" s="33"/>
      <c r="E1791" s="33"/>
      <c r="F1791" s="33"/>
      <c r="G1791" s="33"/>
      <c r="H1791" s="34"/>
      <c r="J1791" s="36"/>
      <c r="K1791" s="36"/>
      <c r="L1791" s="36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8"/>
      <c r="AS1791" s="38"/>
      <c r="AT1791" s="38"/>
      <c r="AU1791" s="33"/>
      <c r="AV1791" s="39"/>
      <c r="AW1791" s="39"/>
    </row>
    <row r="1792" spans="4:49">
      <c r="D1792" s="33"/>
      <c r="E1792" s="33"/>
      <c r="F1792" s="33"/>
      <c r="G1792" s="33"/>
      <c r="H1792" s="34"/>
      <c r="J1792" s="36"/>
      <c r="K1792" s="36"/>
      <c r="L1792" s="36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8"/>
      <c r="AS1792" s="38"/>
      <c r="AT1792" s="38"/>
      <c r="AU1792" s="33"/>
      <c r="AV1792" s="39"/>
      <c r="AW1792" s="39"/>
    </row>
    <row r="1793" spans="4:49">
      <c r="D1793" s="33"/>
      <c r="E1793" s="33"/>
      <c r="F1793" s="33"/>
      <c r="G1793" s="33"/>
      <c r="H1793" s="34"/>
      <c r="J1793" s="36"/>
      <c r="K1793" s="36"/>
      <c r="L1793" s="36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8"/>
      <c r="AS1793" s="38"/>
      <c r="AT1793" s="38"/>
      <c r="AU1793" s="33"/>
      <c r="AV1793" s="39"/>
      <c r="AW1793" s="39"/>
    </row>
    <row r="1794" spans="4:49">
      <c r="D1794" s="33"/>
      <c r="E1794" s="33"/>
      <c r="F1794" s="33"/>
      <c r="G1794" s="33"/>
      <c r="H1794" s="34"/>
      <c r="J1794" s="36"/>
      <c r="K1794" s="36"/>
      <c r="L1794" s="36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8"/>
      <c r="AS1794" s="38"/>
      <c r="AT1794" s="38"/>
      <c r="AU1794" s="33"/>
      <c r="AV1794" s="39"/>
      <c r="AW1794" s="39"/>
    </row>
    <row r="1795" spans="4:49">
      <c r="D1795" s="33"/>
      <c r="E1795" s="33"/>
      <c r="F1795" s="33"/>
      <c r="G1795" s="33"/>
      <c r="H1795" s="34"/>
      <c r="J1795" s="36"/>
      <c r="K1795" s="36"/>
      <c r="L1795" s="36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8"/>
      <c r="AS1795" s="38"/>
      <c r="AT1795" s="38"/>
      <c r="AU1795" s="33"/>
      <c r="AV1795" s="39"/>
      <c r="AW1795" s="39"/>
    </row>
    <row r="1796" spans="4:49">
      <c r="D1796" s="33"/>
      <c r="E1796" s="33"/>
      <c r="F1796" s="33"/>
      <c r="G1796" s="33"/>
      <c r="H1796" s="34"/>
      <c r="J1796" s="36"/>
      <c r="K1796" s="36"/>
      <c r="L1796" s="36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8"/>
      <c r="AS1796" s="38"/>
      <c r="AT1796" s="38"/>
      <c r="AU1796" s="33"/>
      <c r="AV1796" s="39"/>
      <c r="AW1796" s="39"/>
    </row>
    <row r="1797" spans="4:49">
      <c r="D1797" s="33"/>
      <c r="E1797" s="33"/>
      <c r="F1797" s="33"/>
      <c r="G1797" s="33"/>
      <c r="H1797" s="34"/>
      <c r="J1797" s="36"/>
      <c r="K1797" s="36"/>
      <c r="L1797" s="36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8"/>
      <c r="AS1797" s="38"/>
      <c r="AT1797" s="38"/>
      <c r="AU1797" s="33"/>
      <c r="AV1797" s="39"/>
      <c r="AW1797" s="39"/>
    </row>
    <row r="1798" spans="4:49">
      <c r="D1798" s="33"/>
      <c r="E1798" s="33"/>
      <c r="F1798" s="33"/>
      <c r="G1798" s="33"/>
      <c r="H1798" s="34"/>
      <c r="J1798" s="36"/>
      <c r="K1798" s="36"/>
      <c r="L1798" s="36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8"/>
      <c r="AS1798" s="38"/>
      <c r="AT1798" s="38"/>
      <c r="AU1798" s="33"/>
      <c r="AV1798" s="39"/>
      <c r="AW1798" s="39"/>
    </row>
    <row r="1799" spans="4:49">
      <c r="D1799" s="33"/>
      <c r="E1799" s="33"/>
      <c r="F1799" s="33"/>
      <c r="G1799" s="33"/>
      <c r="H1799" s="34"/>
      <c r="J1799" s="36"/>
      <c r="K1799" s="36"/>
      <c r="L1799" s="36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8"/>
      <c r="AS1799" s="38"/>
      <c r="AT1799" s="38"/>
      <c r="AU1799" s="33"/>
      <c r="AV1799" s="39"/>
      <c r="AW1799" s="39"/>
    </row>
    <row r="1800" spans="4:49">
      <c r="D1800" s="33"/>
      <c r="E1800" s="33"/>
      <c r="F1800" s="33"/>
      <c r="G1800" s="33"/>
      <c r="H1800" s="34"/>
      <c r="J1800" s="36"/>
      <c r="K1800" s="36"/>
      <c r="L1800" s="36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8"/>
      <c r="AS1800" s="38"/>
      <c r="AT1800" s="38"/>
      <c r="AU1800" s="33"/>
      <c r="AV1800" s="39"/>
      <c r="AW1800" s="39"/>
    </row>
    <row r="1801" spans="4:49">
      <c r="D1801" s="33"/>
      <c r="E1801" s="33"/>
      <c r="F1801" s="33"/>
      <c r="G1801" s="33"/>
      <c r="H1801" s="34"/>
      <c r="J1801" s="36"/>
      <c r="K1801" s="36"/>
      <c r="L1801" s="36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8"/>
      <c r="AS1801" s="38"/>
      <c r="AT1801" s="38"/>
      <c r="AU1801" s="33"/>
      <c r="AV1801" s="39"/>
      <c r="AW1801" s="39"/>
    </row>
    <row r="1802" spans="4:49">
      <c r="D1802" s="33"/>
      <c r="E1802" s="33"/>
      <c r="F1802" s="33"/>
      <c r="G1802" s="33"/>
      <c r="H1802" s="34"/>
      <c r="J1802" s="36"/>
      <c r="K1802" s="36"/>
      <c r="L1802" s="36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8"/>
      <c r="AS1802" s="38"/>
      <c r="AT1802" s="38"/>
      <c r="AU1802" s="33"/>
      <c r="AV1802" s="39"/>
      <c r="AW1802" s="39"/>
    </row>
    <row r="1803" spans="4:49">
      <c r="D1803" s="33"/>
      <c r="E1803" s="33"/>
      <c r="F1803" s="33"/>
      <c r="G1803" s="33"/>
      <c r="H1803" s="34"/>
      <c r="J1803" s="36"/>
      <c r="K1803" s="36"/>
      <c r="L1803" s="36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8"/>
      <c r="AS1803" s="38"/>
      <c r="AT1803" s="38"/>
      <c r="AU1803" s="33"/>
      <c r="AV1803" s="39"/>
      <c r="AW1803" s="39"/>
    </row>
    <row r="1804" spans="4:49">
      <c r="D1804" s="33"/>
      <c r="E1804" s="33"/>
      <c r="F1804" s="33"/>
      <c r="G1804" s="33"/>
      <c r="H1804" s="34"/>
      <c r="J1804" s="36"/>
      <c r="K1804" s="36"/>
      <c r="L1804" s="36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8"/>
      <c r="AS1804" s="38"/>
      <c r="AT1804" s="38"/>
      <c r="AU1804" s="33"/>
      <c r="AV1804" s="39"/>
      <c r="AW1804" s="39"/>
    </row>
    <row r="1805" spans="4:49">
      <c r="D1805" s="33"/>
      <c r="E1805" s="33"/>
      <c r="F1805" s="33"/>
      <c r="G1805" s="33"/>
      <c r="H1805" s="34"/>
      <c r="J1805" s="36"/>
      <c r="K1805" s="36"/>
      <c r="L1805" s="36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8"/>
      <c r="AS1805" s="38"/>
      <c r="AT1805" s="38"/>
      <c r="AU1805" s="33"/>
      <c r="AV1805" s="39"/>
      <c r="AW1805" s="39"/>
    </row>
    <row r="1806" spans="4:49">
      <c r="D1806" s="33"/>
      <c r="E1806" s="33"/>
      <c r="F1806" s="33"/>
      <c r="G1806" s="33"/>
      <c r="H1806" s="34"/>
      <c r="J1806" s="36"/>
      <c r="K1806" s="36"/>
      <c r="L1806" s="36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8"/>
      <c r="AS1806" s="38"/>
      <c r="AT1806" s="38"/>
      <c r="AU1806" s="33"/>
      <c r="AV1806" s="39"/>
      <c r="AW1806" s="39"/>
    </row>
    <row r="1807" spans="4:49">
      <c r="D1807" s="33"/>
      <c r="E1807" s="33"/>
      <c r="F1807" s="33"/>
      <c r="G1807" s="33"/>
      <c r="H1807" s="34"/>
      <c r="J1807" s="36"/>
      <c r="K1807" s="36"/>
      <c r="L1807" s="36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8"/>
      <c r="AS1807" s="38"/>
      <c r="AT1807" s="38"/>
      <c r="AU1807" s="33"/>
      <c r="AV1807" s="39"/>
      <c r="AW1807" s="39"/>
    </row>
    <row r="1808" spans="4:49">
      <c r="D1808" s="33"/>
      <c r="E1808" s="33"/>
      <c r="F1808" s="33"/>
      <c r="G1808" s="33"/>
      <c r="H1808" s="34"/>
      <c r="J1808" s="36"/>
      <c r="K1808" s="36"/>
      <c r="L1808" s="36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8"/>
      <c r="AS1808" s="38"/>
      <c r="AT1808" s="38"/>
      <c r="AU1808" s="33"/>
      <c r="AV1808" s="39"/>
      <c r="AW1808" s="39"/>
    </row>
    <row r="1809" spans="4:49">
      <c r="D1809" s="33"/>
      <c r="E1809" s="33"/>
      <c r="F1809" s="33"/>
      <c r="G1809" s="33"/>
      <c r="H1809" s="34"/>
      <c r="J1809" s="36"/>
      <c r="K1809" s="36"/>
      <c r="L1809" s="36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8"/>
      <c r="AS1809" s="38"/>
      <c r="AT1809" s="38"/>
      <c r="AU1809" s="33"/>
      <c r="AV1809" s="39"/>
      <c r="AW1809" s="39"/>
    </row>
    <row r="1810" spans="4:49">
      <c r="D1810" s="33"/>
      <c r="E1810" s="33"/>
      <c r="F1810" s="33"/>
      <c r="G1810" s="33"/>
      <c r="H1810" s="34"/>
      <c r="J1810" s="36"/>
      <c r="K1810" s="36"/>
      <c r="L1810" s="36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8"/>
      <c r="AS1810" s="38"/>
      <c r="AT1810" s="38"/>
      <c r="AU1810" s="33"/>
      <c r="AV1810" s="39"/>
      <c r="AW1810" s="39"/>
    </row>
    <row r="1811" spans="4:49">
      <c r="D1811" s="33"/>
      <c r="E1811" s="33"/>
      <c r="F1811" s="33"/>
      <c r="G1811" s="33"/>
      <c r="H1811" s="34"/>
      <c r="J1811" s="36"/>
      <c r="K1811" s="36"/>
      <c r="L1811" s="36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8"/>
      <c r="AS1811" s="38"/>
      <c r="AT1811" s="38"/>
      <c r="AU1811" s="33"/>
      <c r="AV1811" s="39"/>
      <c r="AW1811" s="39"/>
    </row>
    <row r="1812" spans="4:49">
      <c r="D1812" s="33"/>
      <c r="E1812" s="33"/>
      <c r="F1812" s="33"/>
      <c r="G1812" s="33"/>
      <c r="H1812" s="34"/>
      <c r="J1812" s="36"/>
      <c r="K1812" s="36"/>
      <c r="L1812" s="36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8"/>
      <c r="AS1812" s="38"/>
      <c r="AT1812" s="38"/>
      <c r="AU1812" s="33"/>
      <c r="AV1812" s="39"/>
      <c r="AW1812" s="39"/>
    </row>
    <row r="1813" spans="4:49">
      <c r="D1813" s="33"/>
      <c r="E1813" s="33"/>
      <c r="F1813" s="33"/>
      <c r="G1813" s="33"/>
      <c r="H1813" s="34"/>
      <c r="J1813" s="36"/>
      <c r="K1813" s="36"/>
      <c r="L1813" s="36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8"/>
      <c r="AS1813" s="38"/>
      <c r="AT1813" s="38"/>
      <c r="AU1813" s="33"/>
      <c r="AV1813" s="39"/>
      <c r="AW1813" s="39"/>
    </row>
    <row r="1814" spans="4:49">
      <c r="D1814" s="33"/>
      <c r="E1814" s="33"/>
      <c r="F1814" s="33"/>
      <c r="G1814" s="33"/>
      <c r="H1814" s="34"/>
      <c r="J1814" s="36"/>
      <c r="K1814" s="36"/>
      <c r="L1814" s="36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8"/>
      <c r="AS1814" s="38"/>
      <c r="AT1814" s="38"/>
      <c r="AU1814" s="33"/>
      <c r="AV1814" s="39"/>
      <c r="AW1814" s="39"/>
    </row>
    <row r="1815" spans="4:49">
      <c r="D1815" s="33"/>
      <c r="E1815" s="33"/>
      <c r="F1815" s="33"/>
      <c r="G1815" s="33"/>
      <c r="H1815" s="34"/>
      <c r="J1815" s="36"/>
      <c r="K1815" s="36"/>
      <c r="L1815" s="36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8"/>
      <c r="AS1815" s="38"/>
      <c r="AT1815" s="38"/>
      <c r="AU1815" s="33"/>
      <c r="AV1815" s="39"/>
      <c r="AW1815" s="39"/>
    </row>
    <row r="1816" spans="4:49">
      <c r="D1816" s="33"/>
      <c r="E1816" s="33"/>
      <c r="F1816" s="33"/>
      <c r="G1816" s="33"/>
      <c r="H1816" s="34"/>
      <c r="J1816" s="36"/>
      <c r="K1816" s="36"/>
      <c r="L1816" s="36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8"/>
      <c r="AS1816" s="38"/>
      <c r="AT1816" s="38"/>
      <c r="AU1816" s="33"/>
      <c r="AV1816" s="39"/>
      <c r="AW1816" s="39"/>
    </row>
    <row r="1817" spans="4:49">
      <c r="D1817" s="33"/>
      <c r="E1817" s="33"/>
      <c r="F1817" s="33"/>
      <c r="G1817" s="33"/>
      <c r="H1817" s="34"/>
      <c r="J1817" s="36"/>
      <c r="K1817" s="36"/>
      <c r="L1817" s="36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8"/>
      <c r="AS1817" s="38"/>
      <c r="AT1817" s="38"/>
      <c r="AU1817" s="33"/>
      <c r="AV1817" s="39"/>
      <c r="AW1817" s="39"/>
    </row>
    <row r="1818" spans="4:49">
      <c r="D1818" s="33"/>
      <c r="E1818" s="33"/>
      <c r="F1818" s="33"/>
      <c r="G1818" s="33"/>
      <c r="H1818" s="34"/>
      <c r="J1818" s="36"/>
      <c r="K1818" s="36"/>
      <c r="L1818" s="36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8"/>
      <c r="AS1818" s="38"/>
      <c r="AT1818" s="38"/>
      <c r="AU1818" s="33"/>
      <c r="AV1818" s="39"/>
      <c r="AW1818" s="39"/>
    </row>
    <row r="1819" spans="4:49">
      <c r="D1819" s="33"/>
      <c r="E1819" s="33"/>
      <c r="F1819" s="33"/>
      <c r="G1819" s="33"/>
      <c r="H1819" s="34"/>
      <c r="J1819" s="36"/>
      <c r="K1819" s="36"/>
      <c r="L1819" s="36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8"/>
      <c r="AS1819" s="38"/>
      <c r="AT1819" s="38"/>
      <c r="AU1819" s="33"/>
      <c r="AV1819" s="39"/>
      <c r="AW1819" s="39"/>
    </row>
    <row r="1820" spans="4:49">
      <c r="D1820" s="33"/>
      <c r="E1820" s="33"/>
      <c r="F1820" s="33"/>
      <c r="G1820" s="33"/>
      <c r="H1820" s="34"/>
      <c r="J1820" s="36"/>
      <c r="K1820" s="36"/>
      <c r="L1820" s="36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8"/>
      <c r="AS1820" s="38"/>
      <c r="AT1820" s="38"/>
      <c r="AU1820" s="33"/>
      <c r="AV1820" s="39"/>
      <c r="AW1820" s="39"/>
    </row>
    <row r="1821" spans="4:49">
      <c r="D1821" s="33"/>
      <c r="E1821" s="33"/>
      <c r="F1821" s="33"/>
      <c r="G1821" s="33"/>
      <c r="H1821" s="34"/>
      <c r="J1821" s="36"/>
      <c r="K1821" s="36"/>
      <c r="L1821" s="36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8"/>
      <c r="AS1821" s="38"/>
      <c r="AT1821" s="38"/>
      <c r="AU1821" s="33"/>
      <c r="AV1821" s="39"/>
      <c r="AW1821" s="39"/>
    </row>
    <row r="1822" spans="4:49">
      <c r="D1822" s="33"/>
      <c r="E1822" s="33"/>
      <c r="F1822" s="33"/>
      <c r="G1822" s="33"/>
      <c r="H1822" s="34"/>
      <c r="J1822" s="36"/>
      <c r="K1822" s="36"/>
      <c r="L1822" s="36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8"/>
      <c r="AS1822" s="38"/>
      <c r="AT1822" s="38"/>
      <c r="AU1822" s="33"/>
      <c r="AV1822" s="39"/>
      <c r="AW1822" s="39"/>
    </row>
    <row r="1823" spans="4:49">
      <c r="D1823" s="33"/>
      <c r="E1823" s="33"/>
      <c r="F1823" s="33"/>
      <c r="G1823" s="33"/>
      <c r="H1823" s="34"/>
      <c r="J1823" s="36"/>
      <c r="K1823" s="36"/>
      <c r="L1823" s="36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8"/>
      <c r="AS1823" s="38"/>
      <c r="AT1823" s="38"/>
      <c r="AU1823" s="33"/>
      <c r="AV1823" s="39"/>
      <c r="AW1823" s="39"/>
    </row>
    <row r="1824" spans="4:49">
      <c r="D1824" s="33"/>
      <c r="E1824" s="33"/>
      <c r="F1824" s="33"/>
      <c r="G1824" s="33"/>
      <c r="H1824" s="34"/>
      <c r="J1824" s="36"/>
      <c r="K1824" s="36"/>
      <c r="L1824" s="36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8"/>
      <c r="AS1824" s="38"/>
      <c r="AT1824" s="38"/>
      <c r="AU1824" s="33"/>
      <c r="AV1824" s="39"/>
      <c r="AW1824" s="39"/>
    </row>
    <row r="1825" spans="4:49">
      <c r="D1825" s="33"/>
      <c r="E1825" s="33"/>
      <c r="F1825" s="33"/>
      <c r="G1825" s="33"/>
      <c r="H1825" s="34"/>
      <c r="J1825" s="36"/>
      <c r="K1825" s="36"/>
      <c r="L1825" s="36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8"/>
      <c r="AS1825" s="38"/>
      <c r="AT1825" s="38"/>
      <c r="AU1825" s="33"/>
      <c r="AV1825" s="39"/>
      <c r="AW1825" s="39"/>
    </row>
    <row r="1826" spans="4:49">
      <c r="D1826" s="33"/>
      <c r="E1826" s="33"/>
      <c r="F1826" s="33"/>
      <c r="G1826" s="33"/>
      <c r="H1826" s="34"/>
      <c r="J1826" s="36"/>
      <c r="K1826" s="36"/>
      <c r="L1826" s="36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8"/>
      <c r="AS1826" s="38"/>
      <c r="AT1826" s="38"/>
      <c r="AU1826" s="33"/>
      <c r="AV1826" s="39"/>
      <c r="AW1826" s="39"/>
    </row>
    <row r="1827" spans="4:49">
      <c r="D1827" s="33"/>
      <c r="E1827" s="33"/>
      <c r="F1827" s="33"/>
      <c r="G1827" s="33"/>
      <c r="H1827" s="34"/>
      <c r="J1827" s="36"/>
      <c r="K1827" s="36"/>
      <c r="L1827" s="36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8"/>
      <c r="AS1827" s="38"/>
      <c r="AT1827" s="38"/>
      <c r="AU1827" s="33"/>
      <c r="AV1827" s="39"/>
      <c r="AW1827" s="39"/>
    </row>
    <row r="1828" spans="4:49">
      <c r="D1828" s="33"/>
      <c r="E1828" s="33"/>
      <c r="F1828" s="33"/>
      <c r="G1828" s="33"/>
      <c r="H1828" s="34"/>
      <c r="J1828" s="36"/>
      <c r="K1828" s="36"/>
      <c r="L1828" s="36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8"/>
      <c r="AS1828" s="38"/>
      <c r="AT1828" s="38"/>
      <c r="AU1828" s="33"/>
      <c r="AV1828" s="39"/>
      <c r="AW1828" s="39"/>
    </row>
    <row r="1829" spans="4:49">
      <c r="D1829" s="33"/>
      <c r="E1829" s="33"/>
      <c r="F1829" s="33"/>
      <c r="G1829" s="33"/>
      <c r="H1829" s="34"/>
      <c r="J1829" s="36"/>
      <c r="K1829" s="36"/>
      <c r="L1829" s="36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8"/>
      <c r="AS1829" s="38"/>
      <c r="AT1829" s="38"/>
      <c r="AU1829" s="33"/>
      <c r="AV1829" s="39"/>
      <c r="AW1829" s="39"/>
    </row>
    <row r="1830" spans="4:49">
      <c r="D1830" s="33"/>
      <c r="E1830" s="33"/>
      <c r="F1830" s="33"/>
      <c r="G1830" s="33"/>
      <c r="H1830" s="34"/>
      <c r="J1830" s="36"/>
      <c r="K1830" s="36"/>
      <c r="L1830" s="36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8"/>
      <c r="AS1830" s="38"/>
      <c r="AT1830" s="38"/>
      <c r="AU1830" s="33"/>
      <c r="AV1830" s="39"/>
      <c r="AW1830" s="39"/>
    </row>
    <row r="1831" spans="4:49">
      <c r="D1831" s="33"/>
      <c r="E1831" s="33"/>
      <c r="F1831" s="33"/>
      <c r="G1831" s="33"/>
      <c r="H1831" s="34"/>
      <c r="J1831" s="36"/>
      <c r="K1831" s="36"/>
      <c r="L1831" s="36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8"/>
      <c r="AS1831" s="38"/>
      <c r="AT1831" s="38"/>
      <c r="AU1831" s="33"/>
      <c r="AV1831" s="39"/>
      <c r="AW1831" s="39"/>
    </row>
    <row r="1832" spans="4:49">
      <c r="D1832" s="33"/>
      <c r="E1832" s="33"/>
      <c r="F1832" s="33"/>
      <c r="G1832" s="33"/>
      <c r="H1832" s="34"/>
      <c r="J1832" s="36"/>
      <c r="K1832" s="36"/>
      <c r="L1832" s="36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8"/>
      <c r="AS1832" s="38"/>
      <c r="AT1832" s="38"/>
      <c r="AU1832" s="33"/>
      <c r="AV1832" s="39"/>
      <c r="AW1832" s="39"/>
    </row>
    <row r="1833" spans="4:49">
      <c r="D1833" s="33"/>
      <c r="E1833" s="33"/>
      <c r="F1833" s="33"/>
      <c r="G1833" s="33"/>
      <c r="H1833" s="34"/>
      <c r="J1833" s="36"/>
      <c r="K1833" s="36"/>
      <c r="L1833" s="36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8"/>
      <c r="AS1833" s="38"/>
      <c r="AT1833" s="38"/>
      <c r="AU1833" s="33"/>
      <c r="AV1833" s="39"/>
      <c r="AW1833" s="39"/>
    </row>
    <row r="1834" spans="4:49">
      <c r="D1834" s="33"/>
      <c r="E1834" s="33"/>
      <c r="F1834" s="33"/>
      <c r="G1834" s="33"/>
      <c r="H1834" s="34"/>
      <c r="J1834" s="36"/>
      <c r="K1834" s="36"/>
      <c r="L1834" s="36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8"/>
      <c r="AS1834" s="38"/>
      <c r="AT1834" s="38"/>
      <c r="AU1834" s="33"/>
      <c r="AV1834" s="39"/>
      <c r="AW1834" s="39"/>
    </row>
    <row r="1835" spans="4:49">
      <c r="D1835" s="33"/>
      <c r="E1835" s="33"/>
      <c r="F1835" s="33"/>
      <c r="G1835" s="33"/>
      <c r="H1835" s="34"/>
      <c r="J1835" s="36"/>
      <c r="K1835" s="36"/>
      <c r="L1835" s="36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8"/>
      <c r="AS1835" s="38"/>
      <c r="AT1835" s="38"/>
      <c r="AU1835" s="33"/>
      <c r="AV1835" s="39"/>
      <c r="AW1835" s="39"/>
    </row>
    <row r="1836" spans="4:49">
      <c r="D1836" s="33"/>
      <c r="E1836" s="33"/>
      <c r="F1836" s="33"/>
      <c r="G1836" s="33"/>
      <c r="H1836" s="34"/>
      <c r="J1836" s="36"/>
      <c r="K1836" s="36"/>
      <c r="L1836" s="36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8"/>
      <c r="AS1836" s="38"/>
      <c r="AT1836" s="38"/>
      <c r="AU1836" s="33"/>
      <c r="AV1836" s="39"/>
      <c r="AW1836" s="39"/>
    </row>
    <row r="1837" spans="4:49">
      <c r="D1837" s="33"/>
      <c r="E1837" s="33"/>
      <c r="F1837" s="33"/>
      <c r="G1837" s="33"/>
      <c r="H1837" s="34"/>
      <c r="J1837" s="36"/>
      <c r="K1837" s="36"/>
      <c r="L1837" s="36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8"/>
      <c r="AS1837" s="38"/>
      <c r="AT1837" s="38"/>
      <c r="AU1837" s="33"/>
      <c r="AV1837" s="39"/>
      <c r="AW1837" s="39"/>
    </row>
    <row r="1838" spans="4:49">
      <c r="D1838" s="33"/>
      <c r="E1838" s="33"/>
      <c r="F1838" s="33"/>
      <c r="G1838" s="33"/>
      <c r="H1838" s="34"/>
      <c r="J1838" s="36"/>
      <c r="K1838" s="36"/>
      <c r="L1838" s="36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8"/>
      <c r="AS1838" s="38"/>
      <c r="AT1838" s="38"/>
      <c r="AU1838" s="33"/>
      <c r="AV1838" s="39"/>
      <c r="AW1838" s="39"/>
    </row>
    <row r="1839" spans="4:49">
      <c r="D1839" s="33"/>
      <c r="E1839" s="33"/>
      <c r="F1839" s="33"/>
      <c r="G1839" s="33"/>
      <c r="H1839" s="34"/>
      <c r="J1839" s="36"/>
      <c r="K1839" s="36"/>
      <c r="L1839" s="36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8"/>
      <c r="AS1839" s="38"/>
      <c r="AT1839" s="38"/>
      <c r="AU1839" s="33"/>
      <c r="AV1839" s="39"/>
      <c r="AW1839" s="39"/>
    </row>
    <row r="1840" spans="4:49">
      <c r="D1840" s="33"/>
      <c r="E1840" s="33"/>
      <c r="F1840" s="33"/>
      <c r="G1840" s="33"/>
      <c r="H1840" s="34"/>
      <c r="J1840" s="36"/>
      <c r="K1840" s="36"/>
      <c r="L1840" s="36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8"/>
      <c r="AS1840" s="38"/>
      <c r="AT1840" s="38"/>
      <c r="AU1840" s="33"/>
      <c r="AV1840" s="39"/>
      <c r="AW1840" s="39"/>
    </row>
    <row r="1841" spans="4:49">
      <c r="D1841" s="33"/>
      <c r="E1841" s="33"/>
      <c r="F1841" s="33"/>
      <c r="G1841" s="33"/>
      <c r="H1841" s="34"/>
      <c r="J1841" s="36"/>
      <c r="K1841" s="36"/>
      <c r="L1841" s="36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8"/>
      <c r="AS1841" s="38"/>
      <c r="AT1841" s="38"/>
      <c r="AU1841" s="33"/>
      <c r="AV1841" s="39"/>
      <c r="AW1841" s="39"/>
    </row>
    <row r="1842" spans="4:49">
      <c r="D1842" s="33"/>
      <c r="E1842" s="33"/>
      <c r="F1842" s="33"/>
      <c r="G1842" s="33"/>
      <c r="H1842" s="34"/>
      <c r="J1842" s="36"/>
      <c r="K1842" s="36"/>
      <c r="L1842" s="36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8"/>
      <c r="AS1842" s="38"/>
      <c r="AT1842" s="38"/>
      <c r="AU1842" s="33"/>
      <c r="AV1842" s="39"/>
      <c r="AW1842" s="39"/>
    </row>
    <row r="1843" spans="4:49">
      <c r="D1843" s="33"/>
      <c r="E1843" s="33"/>
      <c r="F1843" s="33"/>
      <c r="G1843" s="33"/>
      <c r="H1843" s="34"/>
      <c r="J1843" s="36"/>
      <c r="K1843" s="36"/>
      <c r="L1843" s="36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8"/>
      <c r="AS1843" s="38"/>
      <c r="AT1843" s="38"/>
      <c r="AU1843" s="33"/>
      <c r="AV1843" s="39"/>
      <c r="AW1843" s="39"/>
    </row>
    <row r="1844" spans="4:49">
      <c r="D1844" s="33"/>
      <c r="E1844" s="33"/>
      <c r="F1844" s="33"/>
      <c r="G1844" s="33"/>
      <c r="H1844" s="34"/>
      <c r="J1844" s="36"/>
      <c r="K1844" s="36"/>
      <c r="L1844" s="36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8"/>
      <c r="AS1844" s="38"/>
      <c r="AT1844" s="38"/>
      <c r="AU1844" s="33"/>
      <c r="AV1844" s="39"/>
      <c r="AW1844" s="39"/>
    </row>
    <row r="1845" spans="4:49">
      <c r="D1845" s="33"/>
      <c r="E1845" s="33"/>
      <c r="F1845" s="33"/>
      <c r="G1845" s="33"/>
      <c r="H1845" s="34"/>
      <c r="J1845" s="36"/>
      <c r="K1845" s="36"/>
      <c r="L1845" s="36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8"/>
      <c r="AS1845" s="38"/>
      <c r="AT1845" s="38"/>
      <c r="AU1845" s="33"/>
      <c r="AV1845" s="39"/>
      <c r="AW1845" s="39"/>
    </row>
    <row r="1846" spans="4:49">
      <c r="D1846" s="33"/>
      <c r="E1846" s="33"/>
      <c r="F1846" s="33"/>
      <c r="G1846" s="33"/>
      <c r="H1846" s="34"/>
      <c r="J1846" s="36"/>
      <c r="K1846" s="36"/>
      <c r="L1846" s="36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8"/>
      <c r="AS1846" s="38"/>
      <c r="AT1846" s="38"/>
      <c r="AU1846" s="33"/>
      <c r="AV1846" s="39"/>
      <c r="AW1846" s="39"/>
    </row>
    <row r="1847" spans="4:49">
      <c r="D1847" s="33"/>
      <c r="E1847" s="33"/>
      <c r="F1847" s="33"/>
      <c r="G1847" s="33"/>
      <c r="H1847" s="34"/>
      <c r="J1847" s="36"/>
      <c r="K1847" s="36"/>
      <c r="L1847" s="36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8"/>
      <c r="AS1847" s="38"/>
      <c r="AT1847" s="38"/>
      <c r="AU1847" s="33"/>
      <c r="AV1847" s="39"/>
      <c r="AW1847" s="39"/>
    </row>
    <row r="1848" spans="4:49">
      <c r="D1848" s="33"/>
      <c r="E1848" s="33"/>
      <c r="F1848" s="33"/>
      <c r="G1848" s="33"/>
      <c r="H1848" s="34"/>
      <c r="J1848" s="36"/>
      <c r="K1848" s="36"/>
      <c r="L1848" s="36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8"/>
      <c r="AS1848" s="38"/>
      <c r="AT1848" s="38"/>
      <c r="AU1848" s="33"/>
      <c r="AV1848" s="39"/>
      <c r="AW1848" s="39"/>
    </row>
    <row r="1849" spans="4:49">
      <c r="D1849" s="33"/>
      <c r="E1849" s="33"/>
      <c r="F1849" s="33"/>
      <c r="G1849" s="33"/>
      <c r="H1849" s="34"/>
      <c r="J1849" s="36"/>
      <c r="K1849" s="36"/>
      <c r="L1849" s="36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8"/>
      <c r="AS1849" s="38"/>
      <c r="AT1849" s="38"/>
      <c r="AU1849" s="33"/>
      <c r="AV1849" s="39"/>
      <c r="AW1849" s="39"/>
    </row>
    <row r="1850" spans="4:49">
      <c r="D1850" s="33"/>
      <c r="E1850" s="33"/>
      <c r="F1850" s="33"/>
      <c r="G1850" s="33"/>
      <c r="H1850" s="34"/>
      <c r="J1850" s="36"/>
      <c r="K1850" s="36"/>
      <c r="L1850" s="36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8"/>
      <c r="AS1850" s="38"/>
      <c r="AT1850" s="38"/>
      <c r="AU1850" s="33"/>
      <c r="AV1850" s="39"/>
      <c r="AW1850" s="39"/>
    </row>
    <row r="1851" spans="4:49">
      <c r="D1851" s="33"/>
      <c r="E1851" s="33"/>
      <c r="F1851" s="33"/>
      <c r="G1851" s="33"/>
      <c r="H1851" s="34"/>
      <c r="J1851" s="36"/>
      <c r="K1851" s="36"/>
      <c r="L1851" s="36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8"/>
      <c r="AS1851" s="38"/>
      <c r="AT1851" s="38"/>
      <c r="AU1851" s="33"/>
      <c r="AV1851" s="39"/>
      <c r="AW1851" s="39"/>
    </row>
    <row r="1852" spans="4:49">
      <c r="D1852" s="33"/>
      <c r="E1852" s="33"/>
      <c r="F1852" s="33"/>
      <c r="G1852" s="33"/>
      <c r="H1852" s="34"/>
      <c r="J1852" s="36"/>
      <c r="K1852" s="36"/>
      <c r="L1852" s="36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8"/>
      <c r="AS1852" s="38"/>
      <c r="AT1852" s="38"/>
      <c r="AU1852" s="33"/>
      <c r="AV1852" s="39"/>
      <c r="AW1852" s="39"/>
    </row>
    <row r="1853" spans="4:49">
      <c r="D1853" s="33"/>
      <c r="E1853" s="33"/>
      <c r="F1853" s="33"/>
      <c r="G1853" s="33"/>
      <c r="H1853" s="34"/>
      <c r="J1853" s="36"/>
      <c r="K1853" s="36"/>
      <c r="L1853" s="36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8"/>
      <c r="AS1853" s="38"/>
      <c r="AT1853" s="38"/>
      <c r="AU1853" s="33"/>
      <c r="AV1853" s="39"/>
      <c r="AW1853" s="39"/>
    </row>
    <row r="1854" spans="4:49">
      <c r="D1854" s="33"/>
      <c r="E1854" s="33"/>
      <c r="F1854" s="33"/>
      <c r="G1854" s="33"/>
      <c r="H1854" s="34"/>
      <c r="J1854" s="36"/>
      <c r="K1854" s="36"/>
      <c r="L1854" s="36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8"/>
      <c r="AS1854" s="38"/>
      <c r="AT1854" s="38"/>
      <c r="AU1854" s="33"/>
      <c r="AV1854" s="39"/>
      <c r="AW1854" s="39"/>
    </row>
    <row r="1855" spans="4:49">
      <c r="D1855" s="33"/>
      <c r="E1855" s="33"/>
      <c r="F1855" s="33"/>
      <c r="G1855" s="33"/>
      <c r="H1855" s="34"/>
      <c r="J1855" s="36"/>
      <c r="K1855" s="36"/>
      <c r="L1855" s="36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8"/>
      <c r="AS1855" s="38"/>
      <c r="AT1855" s="38"/>
      <c r="AU1855" s="33"/>
      <c r="AV1855" s="39"/>
      <c r="AW1855" s="39"/>
    </row>
    <row r="1856" spans="4:49">
      <c r="D1856" s="33"/>
      <c r="E1856" s="33"/>
      <c r="F1856" s="33"/>
      <c r="G1856" s="33"/>
      <c r="H1856" s="34"/>
      <c r="J1856" s="36"/>
      <c r="K1856" s="36"/>
      <c r="L1856" s="36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8"/>
      <c r="AS1856" s="38"/>
      <c r="AT1856" s="38"/>
      <c r="AU1856" s="33"/>
      <c r="AV1856" s="39"/>
      <c r="AW1856" s="39"/>
    </row>
    <row r="1857" spans="4:49">
      <c r="D1857" s="33"/>
      <c r="E1857" s="33"/>
      <c r="F1857" s="33"/>
      <c r="G1857" s="33"/>
      <c r="H1857" s="34"/>
      <c r="J1857" s="36"/>
      <c r="K1857" s="36"/>
      <c r="L1857" s="36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8"/>
      <c r="AS1857" s="38"/>
      <c r="AT1857" s="38"/>
      <c r="AU1857" s="33"/>
      <c r="AV1857" s="39"/>
      <c r="AW1857" s="39"/>
    </row>
    <row r="1858" spans="4:49">
      <c r="D1858" s="33"/>
      <c r="E1858" s="33"/>
      <c r="F1858" s="33"/>
      <c r="G1858" s="33"/>
      <c r="H1858" s="34"/>
      <c r="J1858" s="36"/>
      <c r="K1858" s="36"/>
      <c r="L1858" s="36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8"/>
      <c r="AS1858" s="38"/>
      <c r="AT1858" s="38"/>
      <c r="AU1858" s="33"/>
      <c r="AV1858" s="39"/>
      <c r="AW1858" s="39"/>
    </row>
    <row r="1859" spans="4:49">
      <c r="D1859" s="33"/>
      <c r="E1859" s="33"/>
      <c r="F1859" s="33"/>
      <c r="G1859" s="33"/>
      <c r="H1859" s="34"/>
      <c r="J1859" s="36"/>
      <c r="K1859" s="36"/>
      <c r="L1859" s="36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8"/>
      <c r="AS1859" s="38"/>
      <c r="AT1859" s="38"/>
      <c r="AU1859" s="33"/>
      <c r="AV1859" s="39"/>
      <c r="AW1859" s="39"/>
    </row>
    <row r="1860" spans="4:49">
      <c r="D1860" s="33"/>
      <c r="E1860" s="33"/>
      <c r="F1860" s="33"/>
      <c r="G1860" s="33"/>
      <c r="H1860" s="34"/>
      <c r="J1860" s="36"/>
      <c r="K1860" s="36"/>
      <c r="L1860" s="36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8"/>
      <c r="AS1860" s="38"/>
      <c r="AT1860" s="38"/>
      <c r="AU1860" s="33"/>
      <c r="AV1860" s="39"/>
      <c r="AW1860" s="39"/>
    </row>
    <row r="1861" spans="4:49">
      <c r="D1861" s="33"/>
      <c r="E1861" s="33"/>
      <c r="F1861" s="33"/>
      <c r="G1861" s="33"/>
      <c r="H1861" s="34"/>
      <c r="J1861" s="36"/>
      <c r="K1861" s="36"/>
      <c r="L1861" s="36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8"/>
      <c r="AS1861" s="38"/>
      <c r="AT1861" s="38"/>
      <c r="AU1861" s="33"/>
      <c r="AV1861" s="39"/>
      <c r="AW1861" s="39"/>
    </row>
    <row r="1862" spans="4:49">
      <c r="D1862" s="33"/>
      <c r="E1862" s="33"/>
      <c r="F1862" s="33"/>
      <c r="G1862" s="33"/>
      <c r="H1862" s="34"/>
      <c r="J1862" s="36"/>
      <c r="K1862" s="36"/>
      <c r="L1862" s="36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8"/>
      <c r="AS1862" s="38"/>
      <c r="AT1862" s="38"/>
      <c r="AU1862" s="33"/>
      <c r="AV1862" s="39"/>
      <c r="AW1862" s="39"/>
    </row>
    <row r="1863" spans="4:49">
      <c r="D1863" s="33"/>
      <c r="E1863" s="33"/>
      <c r="F1863" s="33"/>
      <c r="G1863" s="33"/>
      <c r="H1863" s="34"/>
      <c r="J1863" s="36"/>
      <c r="K1863" s="36"/>
      <c r="L1863" s="36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8"/>
      <c r="AS1863" s="38"/>
      <c r="AT1863" s="38"/>
      <c r="AU1863" s="33"/>
      <c r="AV1863" s="39"/>
      <c r="AW1863" s="39"/>
    </row>
    <row r="1864" spans="4:49">
      <c r="D1864" s="33"/>
      <c r="E1864" s="33"/>
      <c r="F1864" s="33"/>
      <c r="G1864" s="33"/>
      <c r="H1864" s="34"/>
      <c r="J1864" s="36"/>
      <c r="K1864" s="36"/>
      <c r="L1864" s="36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8"/>
      <c r="AS1864" s="38"/>
      <c r="AT1864" s="38"/>
      <c r="AU1864" s="33"/>
      <c r="AV1864" s="39"/>
      <c r="AW1864" s="39"/>
    </row>
    <row r="1865" spans="4:49">
      <c r="D1865" s="33"/>
      <c r="E1865" s="33"/>
      <c r="F1865" s="33"/>
      <c r="G1865" s="33"/>
      <c r="H1865" s="34"/>
      <c r="J1865" s="36"/>
      <c r="K1865" s="36"/>
      <c r="L1865" s="36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8"/>
      <c r="AS1865" s="38"/>
      <c r="AT1865" s="38"/>
      <c r="AU1865" s="33"/>
      <c r="AV1865" s="39"/>
      <c r="AW1865" s="39"/>
    </row>
    <row r="1866" spans="4:49">
      <c r="D1866" s="33"/>
      <c r="E1866" s="33"/>
      <c r="F1866" s="33"/>
      <c r="G1866" s="33"/>
      <c r="H1866" s="34"/>
      <c r="J1866" s="36"/>
      <c r="K1866" s="36"/>
      <c r="L1866" s="36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8"/>
      <c r="AS1866" s="38"/>
      <c r="AT1866" s="38"/>
      <c r="AU1866" s="33"/>
      <c r="AV1866" s="39"/>
      <c r="AW1866" s="39"/>
    </row>
    <row r="1867" spans="4:49">
      <c r="D1867" s="33"/>
      <c r="E1867" s="33"/>
      <c r="F1867" s="33"/>
      <c r="G1867" s="33"/>
      <c r="H1867" s="34"/>
      <c r="J1867" s="36"/>
      <c r="K1867" s="36"/>
      <c r="L1867" s="36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8"/>
      <c r="AS1867" s="38"/>
      <c r="AT1867" s="38"/>
      <c r="AU1867" s="33"/>
      <c r="AV1867" s="39"/>
      <c r="AW1867" s="39"/>
    </row>
    <row r="1868" spans="4:49">
      <c r="D1868" s="33"/>
      <c r="E1868" s="33"/>
      <c r="F1868" s="33"/>
      <c r="G1868" s="33"/>
      <c r="H1868" s="34"/>
      <c r="J1868" s="36"/>
      <c r="K1868" s="36"/>
      <c r="L1868" s="36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8"/>
      <c r="AS1868" s="38"/>
      <c r="AT1868" s="38"/>
      <c r="AU1868" s="33"/>
      <c r="AV1868" s="39"/>
      <c r="AW1868" s="39"/>
    </row>
    <row r="1869" spans="4:49">
      <c r="D1869" s="33"/>
      <c r="E1869" s="33"/>
      <c r="F1869" s="33"/>
      <c r="G1869" s="33"/>
      <c r="H1869" s="34"/>
      <c r="J1869" s="36"/>
      <c r="K1869" s="36"/>
      <c r="L1869" s="36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8"/>
      <c r="AS1869" s="38"/>
      <c r="AT1869" s="38"/>
      <c r="AU1869" s="33"/>
      <c r="AV1869" s="39"/>
      <c r="AW1869" s="39"/>
    </row>
    <row r="1870" spans="4:49">
      <c r="D1870" s="33"/>
      <c r="E1870" s="33"/>
      <c r="F1870" s="33"/>
      <c r="G1870" s="33"/>
      <c r="H1870" s="34"/>
      <c r="J1870" s="36"/>
      <c r="K1870" s="36"/>
      <c r="L1870" s="36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8"/>
      <c r="AS1870" s="38"/>
      <c r="AT1870" s="38"/>
      <c r="AU1870" s="33"/>
      <c r="AV1870" s="39"/>
      <c r="AW1870" s="39"/>
    </row>
    <row r="1871" spans="4:49">
      <c r="D1871" s="33"/>
      <c r="E1871" s="33"/>
      <c r="F1871" s="33"/>
      <c r="G1871" s="33"/>
      <c r="H1871" s="34"/>
      <c r="J1871" s="36"/>
      <c r="K1871" s="36"/>
      <c r="L1871" s="36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8"/>
      <c r="AS1871" s="38"/>
      <c r="AT1871" s="38"/>
      <c r="AU1871" s="33"/>
      <c r="AV1871" s="39"/>
      <c r="AW1871" s="39"/>
    </row>
    <row r="1872" spans="4:49">
      <c r="D1872" s="33"/>
      <c r="E1872" s="33"/>
      <c r="F1872" s="33"/>
      <c r="G1872" s="33"/>
      <c r="H1872" s="34"/>
      <c r="J1872" s="36"/>
      <c r="K1872" s="36"/>
      <c r="L1872" s="36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8"/>
      <c r="AS1872" s="38"/>
      <c r="AT1872" s="38"/>
      <c r="AU1872" s="33"/>
      <c r="AV1872" s="39"/>
      <c r="AW1872" s="39"/>
    </row>
    <row r="1873" spans="4:49">
      <c r="D1873" s="33"/>
      <c r="E1873" s="33"/>
      <c r="F1873" s="33"/>
      <c r="G1873" s="33"/>
      <c r="H1873" s="34"/>
      <c r="J1873" s="36"/>
      <c r="K1873" s="36"/>
      <c r="L1873" s="36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8"/>
      <c r="AS1873" s="38"/>
      <c r="AT1873" s="38"/>
      <c r="AU1873" s="33"/>
      <c r="AV1873" s="39"/>
      <c r="AW1873" s="39"/>
    </row>
    <row r="1874" spans="4:49">
      <c r="D1874" s="33"/>
      <c r="E1874" s="33"/>
      <c r="F1874" s="33"/>
      <c r="G1874" s="33"/>
      <c r="H1874" s="34"/>
      <c r="J1874" s="36"/>
      <c r="K1874" s="36"/>
      <c r="L1874" s="36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8"/>
      <c r="AS1874" s="38"/>
      <c r="AT1874" s="38"/>
      <c r="AU1874" s="33"/>
      <c r="AV1874" s="39"/>
      <c r="AW1874" s="39"/>
    </row>
    <row r="1875" spans="4:49">
      <c r="D1875" s="33"/>
      <c r="E1875" s="33"/>
      <c r="F1875" s="33"/>
      <c r="G1875" s="33"/>
      <c r="H1875" s="34"/>
      <c r="J1875" s="36"/>
      <c r="K1875" s="36"/>
      <c r="L1875" s="36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8"/>
      <c r="AS1875" s="38"/>
      <c r="AT1875" s="38"/>
      <c r="AU1875" s="33"/>
      <c r="AV1875" s="39"/>
      <c r="AW1875" s="39"/>
    </row>
    <row r="1876" spans="4:49">
      <c r="D1876" s="33"/>
      <c r="E1876" s="33"/>
      <c r="F1876" s="33"/>
      <c r="G1876" s="33"/>
      <c r="H1876" s="34"/>
      <c r="J1876" s="36"/>
      <c r="K1876" s="36"/>
      <c r="L1876" s="36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8"/>
      <c r="AS1876" s="38"/>
      <c r="AT1876" s="38"/>
      <c r="AU1876" s="33"/>
      <c r="AV1876" s="39"/>
      <c r="AW1876" s="39"/>
    </row>
    <row r="1877" spans="4:49">
      <c r="D1877" s="33"/>
      <c r="E1877" s="33"/>
      <c r="F1877" s="33"/>
      <c r="G1877" s="33"/>
      <c r="H1877" s="34"/>
      <c r="J1877" s="36"/>
      <c r="K1877" s="36"/>
      <c r="L1877" s="36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8"/>
      <c r="AS1877" s="38"/>
      <c r="AT1877" s="38"/>
      <c r="AU1877" s="33"/>
      <c r="AV1877" s="39"/>
      <c r="AW1877" s="39"/>
    </row>
    <row r="1878" spans="4:49">
      <c r="D1878" s="33"/>
      <c r="E1878" s="33"/>
      <c r="F1878" s="33"/>
      <c r="G1878" s="33"/>
      <c r="H1878" s="34"/>
      <c r="J1878" s="36"/>
      <c r="K1878" s="36"/>
      <c r="L1878" s="36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8"/>
      <c r="AS1878" s="38"/>
      <c r="AT1878" s="38"/>
      <c r="AU1878" s="33"/>
      <c r="AV1878" s="39"/>
      <c r="AW1878" s="39"/>
    </row>
    <row r="1879" spans="4:49">
      <c r="D1879" s="33"/>
      <c r="E1879" s="33"/>
      <c r="F1879" s="33"/>
      <c r="G1879" s="33"/>
      <c r="H1879" s="34"/>
      <c r="J1879" s="36"/>
      <c r="K1879" s="36"/>
      <c r="L1879" s="36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8"/>
      <c r="AS1879" s="38"/>
      <c r="AT1879" s="38"/>
      <c r="AU1879" s="33"/>
      <c r="AV1879" s="39"/>
      <c r="AW1879" s="39"/>
    </row>
    <row r="1880" spans="4:49">
      <c r="D1880" s="33"/>
      <c r="E1880" s="33"/>
      <c r="F1880" s="33"/>
      <c r="G1880" s="33"/>
      <c r="H1880" s="34"/>
      <c r="J1880" s="36"/>
      <c r="K1880" s="36"/>
      <c r="L1880" s="36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8"/>
      <c r="AS1880" s="38"/>
      <c r="AT1880" s="38"/>
      <c r="AU1880" s="33"/>
      <c r="AV1880" s="39"/>
      <c r="AW1880" s="39"/>
    </row>
    <row r="1881" spans="4:49">
      <c r="D1881" s="33"/>
      <c r="E1881" s="33"/>
      <c r="F1881" s="33"/>
      <c r="G1881" s="33"/>
      <c r="H1881" s="34"/>
      <c r="J1881" s="36"/>
      <c r="K1881" s="36"/>
      <c r="L1881" s="36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8"/>
      <c r="AS1881" s="38"/>
      <c r="AT1881" s="38"/>
      <c r="AU1881" s="33"/>
      <c r="AV1881" s="39"/>
      <c r="AW1881" s="39"/>
    </row>
    <row r="1882" spans="4:49">
      <c r="D1882" s="33"/>
      <c r="E1882" s="33"/>
      <c r="F1882" s="33"/>
      <c r="G1882" s="33"/>
      <c r="H1882" s="34"/>
      <c r="J1882" s="36"/>
      <c r="K1882" s="36"/>
      <c r="L1882" s="36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8"/>
      <c r="AS1882" s="38"/>
      <c r="AT1882" s="38"/>
      <c r="AU1882" s="33"/>
      <c r="AV1882" s="39"/>
      <c r="AW1882" s="39"/>
    </row>
    <row r="1883" spans="4:49">
      <c r="D1883" s="33"/>
      <c r="E1883" s="33"/>
      <c r="F1883" s="33"/>
      <c r="G1883" s="33"/>
      <c r="H1883" s="34"/>
      <c r="J1883" s="36"/>
      <c r="K1883" s="36"/>
      <c r="L1883" s="36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8"/>
      <c r="AS1883" s="38"/>
      <c r="AT1883" s="38"/>
      <c r="AU1883" s="33"/>
      <c r="AV1883" s="39"/>
      <c r="AW1883" s="39"/>
    </row>
    <row r="1884" spans="4:49">
      <c r="D1884" s="33"/>
      <c r="E1884" s="33"/>
      <c r="F1884" s="33"/>
      <c r="G1884" s="33"/>
      <c r="H1884" s="34"/>
      <c r="J1884" s="36"/>
      <c r="K1884" s="36"/>
      <c r="L1884" s="36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8"/>
      <c r="AS1884" s="38"/>
      <c r="AT1884" s="38"/>
      <c r="AU1884" s="33"/>
      <c r="AV1884" s="39"/>
      <c r="AW1884" s="39"/>
    </row>
    <row r="1885" spans="4:49">
      <c r="D1885" s="33"/>
      <c r="E1885" s="33"/>
      <c r="F1885" s="33"/>
      <c r="G1885" s="33"/>
      <c r="H1885" s="34"/>
      <c r="J1885" s="36"/>
      <c r="K1885" s="36"/>
      <c r="L1885" s="36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8"/>
      <c r="AS1885" s="38"/>
      <c r="AT1885" s="38"/>
      <c r="AU1885" s="33"/>
      <c r="AV1885" s="39"/>
      <c r="AW1885" s="39"/>
    </row>
    <row r="1886" spans="4:49">
      <c r="D1886" s="33"/>
      <c r="E1886" s="33"/>
      <c r="F1886" s="33"/>
      <c r="G1886" s="33"/>
      <c r="H1886" s="34"/>
      <c r="J1886" s="36"/>
      <c r="K1886" s="36"/>
      <c r="L1886" s="36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8"/>
      <c r="AS1886" s="38"/>
      <c r="AT1886" s="38"/>
      <c r="AU1886" s="33"/>
      <c r="AV1886" s="39"/>
      <c r="AW1886" s="39"/>
    </row>
    <row r="1887" spans="4:49">
      <c r="D1887" s="33"/>
      <c r="E1887" s="33"/>
      <c r="F1887" s="33"/>
      <c r="G1887" s="33"/>
      <c r="H1887" s="34"/>
      <c r="J1887" s="36"/>
      <c r="K1887" s="36"/>
      <c r="L1887" s="36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8"/>
      <c r="AS1887" s="38"/>
      <c r="AT1887" s="38"/>
      <c r="AU1887" s="33"/>
      <c r="AV1887" s="39"/>
      <c r="AW1887" s="39"/>
    </row>
    <row r="1888" spans="4:49">
      <c r="D1888" s="33"/>
      <c r="E1888" s="33"/>
      <c r="F1888" s="33"/>
      <c r="G1888" s="33"/>
      <c r="H1888" s="34"/>
      <c r="J1888" s="36"/>
      <c r="K1888" s="36"/>
      <c r="L1888" s="36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8"/>
      <c r="AS1888" s="38"/>
      <c r="AT1888" s="38"/>
      <c r="AU1888" s="33"/>
      <c r="AV1888" s="39"/>
      <c r="AW1888" s="39"/>
    </row>
    <row r="1889" spans="4:49">
      <c r="D1889" s="33"/>
      <c r="E1889" s="33"/>
      <c r="F1889" s="33"/>
      <c r="G1889" s="33"/>
      <c r="H1889" s="34"/>
      <c r="J1889" s="36"/>
      <c r="K1889" s="36"/>
      <c r="L1889" s="36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8"/>
      <c r="AS1889" s="38"/>
      <c r="AT1889" s="38"/>
      <c r="AU1889" s="33"/>
      <c r="AV1889" s="39"/>
      <c r="AW1889" s="39"/>
    </row>
    <row r="1890" spans="4:49">
      <c r="D1890" s="33"/>
      <c r="E1890" s="33"/>
      <c r="F1890" s="33"/>
      <c r="G1890" s="33"/>
      <c r="H1890" s="34"/>
      <c r="J1890" s="36"/>
      <c r="K1890" s="36"/>
      <c r="L1890" s="36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8"/>
      <c r="AS1890" s="38"/>
      <c r="AT1890" s="38"/>
      <c r="AU1890" s="33"/>
      <c r="AV1890" s="39"/>
      <c r="AW1890" s="39"/>
    </row>
    <row r="1891" spans="4:49">
      <c r="D1891" s="33"/>
      <c r="E1891" s="33"/>
      <c r="F1891" s="33"/>
      <c r="G1891" s="33"/>
      <c r="H1891" s="34"/>
      <c r="J1891" s="36"/>
      <c r="K1891" s="36"/>
      <c r="L1891" s="36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8"/>
      <c r="AS1891" s="38"/>
      <c r="AT1891" s="38"/>
      <c r="AU1891" s="33"/>
      <c r="AV1891" s="39"/>
      <c r="AW1891" s="39"/>
    </row>
    <row r="1892" spans="4:49">
      <c r="D1892" s="33"/>
      <c r="E1892" s="33"/>
      <c r="F1892" s="33"/>
      <c r="G1892" s="33"/>
      <c r="H1892" s="34"/>
      <c r="J1892" s="36"/>
      <c r="K1892" s="36"/>
      <c r="L1892" s="36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8"/>
      <c r="AS1892" s="38"/>
      <c r="AT1892" s="38"/>
      <c r="AU1892" s="33"/>
      <c r="AV1892" s="39"/>
      <c r="AW1892" s="39"/>
    </row>
    <row r="1893" spans="4:49">
      <c r="D1893" s="33"/>
      <c r="E1893" s="33"/>
      <c r="F1893" s="33"/>
      <c r="G1893" s="33"/>
      <c r="H1893" s="34"/>
      <c r="J1893" s="36"/>
      <c r="K1893" s="36"/>
      <c r="L1893" s="36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8"/>
      <c r="AS1893" s="38"/>
      <c r="AT1893" s="38"/>
      <c r="AU1893" s="33"/>
      <c r="AV1893" s="39"/>
      <c r="AW1893" s="39"/>
    </row>
    <row r="1894" spans="4:49">
      <c r="D1894" s="33"/>
      <c r="E1894" s="33"/>
      <c r="F1894" s="33"/>
      <c r="G1894" s="33"/>
      <c r="H1894" s="34"/>
      <c r="J1894" s="36"/>
      <c r="K1894" s="36"/>
      <c r="L1894" s="36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8"/>
      <c r="AS1894" s="38"/>
      <c r="AT1894" s="38"/>
      <c r="AU1894" s="33"/>
      <c r="AV1894" s="39"/>
      <c r="AW1894" s="39"/>
    </row>
    <row r="1895" spans="4:49">
      <c r="D1895" s="33"/>
      <c r="E1895" s="33"/>
      <c r="F1895" s="33"/>
      <c r="G1895" s="33"/>
      <c r="H1895" s="34"/>
      <c r="J1895" s="36"/>
      <c r="K1895" s="36"/>
      <c r="L1895" s="36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8"/>
      <c r="AS1895" s="38"/>
      <c r="AT1895" s="38"/>
      <c r="AU1895" s="33"/>
      <c r="AV1895" s="39"/>
      <c r="AW1895" s="39"/>
    </row>
    <row r="1896" spans="4:49">
      <c r="D1896" s="33"/>
      <c r="E1896" s="33"/>
      <c r="F1896" s="33"/>
      <c r="G1896" s="33"/>
      <c r="H1896" s="34"/>
      <c r="J1896" s="36"/>
      <c r="K1896" s="36"/>
      <c r="L1896" s="36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8"/>
      <c r="AS1896" s="38"/>
      <c r="AT1896" s="38"/>
      <c r="AU1896" s="33"/>
      <c r="AV1896" s="39"/>
      <c r="AW1896" s="39"/>
    </row>
    <row r="1897" spans="4:49">
      <c r="D1897" s="33"/>
      <c r="E1897" s="33"/>
      <c r="F1897" s="33"/>
      <c r="G1897" s="33"/>
      <c r="H1897" s="34"/>
      <c r="J1897" s="36"/>
      <c r="K1897" s="36"/>
      <c r="L1897" s="36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8"/>
      <c r="AS1897" s="38"/>
      <c r="AT1897" s="38"/>
      <c r="AU1897" s="33"/>
      <c r="AV1897" s="39"/>
      <c r="AW1897" s="39"/>
    </row>
    <row r="1898" spans="4:49">
      <c r="D1898" s="33"/>
      <c r="E1898" s="33"/>
      <c r="F1898" s="33"/>
      <c r="G1898" s="33"/>
      <c r="H1898" s="34"/>
      <c r="J1898" s="36"/>
      <c r="K1898" s="36"/>
      <c r="L1898" s="36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8"/>
      <c r="AS1898" s="38"/>
      <c r="AT1898" s="38"/>
      <c r="AU1898" s="33"/>
      <c r="AV1898" s="39"/>
      <c r="AW1898" s="39"/>
    </row>
    <row r="1899" spans="4:49">
      <c r="D1899" s="33"/>
      <c r="E1899" s="33"/>
      <c r="F1899" s="33"/>
      <c r="G1899" s="33"/>
      <c r="H1899" s="34"/>
      <c r="J1899" s="36"/>
      <c r="K1899" s="36"/>
      <c r="L1899" s="36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8"/>
      <c r="AS1899" s="38"/>
      <c r="AT1899" s="38"/>
      <c r="AU1899" s="33"/>
      <c r="AV1899" s="39"/>
      <c r="AW1899" s="39"/>
    </row>
    <row r="1900" spans="4:49">
      <c r="D1900" s="33"/>
      <c r="E1900" s="33"/>
      <c r="F1900" s="33"/>
      <c r="G1900" s="33"/>
      <c r="H1900" s="34"/>
      <c r="J1900" s="36"/>
      <c r="K1900" s="36"/>
      <c r="L1900" s="36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8"/>
      <c r="AS1900" s="38"/>
      <c r="AT1900" s="38"/>
      <c r="AU1900" s="33"/>
      <c r="AV1900" s="39"/>
      <c r="AW1900" s="39"/>
    </row>
    <row r="1901" spans="4:49">
      <c r="D1901" s="33"/>
      <c r="E1901" s="33"/>
      <c r="F1901" s="33"/>
      <c r="G1901" s="33"/>
      <c r="H1901" s="34"/>
      <c r="J1901" s="36"/>
      <c r="K1901" s="36"/>
      <c r="L1901" s="36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8"/>
      <c r="AS1901" s="38"/>
      <c r="AT1901" s="38"/>
      <c r="AU1901" s="33"/>
      <c r="AV1901" s="39"/>
      <c r="AW1901" s="39"/>
    </row>
    <row r="1902" spans="4:49">
      <c r="D1902" s="33"/>
      <c r="E1902" s="33"/>
      <c r="F1902" s="33"/>
      <c r="G1902" s="33"/>
      <c r="H1902" s="34"/>
      <c r="J1902" s="36"/>
      <c r="K1902" s="36"/>
      <c r="L1902" s="36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8"/>
      <c r="AS1902" s="38"/>
      <c r="AT1902" s="38"/>
      <c r="AU1902" s="33"/>
      <c r="AV1902" s="39"/>
      <c r="AW1902" s="39"/>
    </row>
    <row r="1903" spans="4:49">
      <c r="D1903" s="33"/>
      <c r="E1903" s="33"/>
      <c r="F1903" s="33"/>
      <c r="G1903" s="33"/>
      <c r="H1903" s="34"/>
      <c r="J1903" s="36"/>
      <c r="K1903" s="36"/>
      <c r="L1903" s="36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8"/>
      <c r="AS1903" s="38"/>
      <c r="AT1903" s="38"/>
      <c r="AU1903" s="33"/>
      <c r="AV1903" s="39"/>
      <c r="AW1903" s="39"/>
    </row>
    <row r="1904" spans="4:49">
      <c r="D1904" s="33"/>
      <c r="E1904" s="33"/>
      <c r="F1904" s="33"/>
      <c r="G1904" s="33"/>
      <c r="H1904" s="34"/>
      <c r="J1904" s="36"/>
      <c r="K1904" s="36"/>
      <c r="L1904" s="36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8"/>
      <c r="AS1904" s="38"/>
      <c r="AT1904" s="38"/>
      <c r="AU1904" s="33"/>
      <c r="AV1904" s="39"/>
      <c r="AW1904" s="39"/>
    </row>
    <row r="1905" spans="4:49">
      <c r="D1905" s="33"/>
      <c r="E1905" s="33"/>
      <c r="F1905" s="33"/>
      <c r="G1905" s="33"/>
      <c r="H1905" s="34"/>
      <c r="J1905" s="36"/>
      <c r="K1905" s="36"/>
      <c r="L1905" s="36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8"/>
      <c r="AS1905" s="38"/>
      <c r="AT1905" s="38"/>
      <c r="AU1905" s="33"/>
      <c r="AV1905" s="39"/>
      <c r="AW1905" s="39"/>
    </row>
    <row r="1906" spans="4:49">
      <c r="D1906" s="33"/>
      <c r="E1906" s="33"/>
      <c r="F1906" s="33"/>
      <c r="G1906" s="33"/>
      <c r="H1906" s="34"/>
      <c r="J1906" s="36"/>
      <c r="K1906" s="36"/>
      <c r="L1906" s="36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8"/>
      <c r="AS1906" s="38"/>
      <c r="AT1906" s="38"/>
      <c r="AU1906" s="33"/>
      <c r="AV1906" s="39"/>
      <c r="AW1906" s="39"/>
    </row>
    <row r="1907" spans="4:49">
      <c r="D1907" s="33"/>
      <c r="E1907" s="33"/>
      <c r="F1907" s="33"/>
      <c r="G1907" s="33"/>
      <c r="H1907" s="34"/>
      <c r="J1907" s="36"/>
      <c r="K1907" s="36"/>
      <c r="L1907" s="36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8"/>
      <c r="AS1907" s="38"/>
      <c r="AT1907" s="38"/>
      <c r="AU1907" s="33"/>
      <c r="AV1907" s="39"/>
      <c r="AW1907" s="39"/>
    </row>
    <row r="1908" spans="4:49">
      <c r="D1908" s="33"/>
      <c r="E1908" s="33"/>
      <c r="F1908" s="33"/>
      <c r="G1908" s="33"/>
      <c r="H1908" s="34"/>
      <c r="J1908" s="36"/>
      <c r="K1908" s="36"/>
      <c r="L1908" s="36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8"/>
      <c r="AS1908" s="38"/>
      <c r="AT1908" s="38"/>
      <c r="AU1908" s="33"/>
      <c r="AV1908" s="39"/>
      <c r="AW1908" s="39"/>
    </row>
    <row r="1909" spans="4:49">
      <c r="D1909" s="33"/>
      <c r="E1909" s="33"/>
      <c r="F1909" s="33"/>
      <c r="G1909" s="33"/>
      <c r="H1909" s="34"/>
      <c r="J1909" s="36"/>
      <c r="K1909" s="36"/>
      <c r="L1909" s="36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8"/>
      <c r="AS1909" s="38"/>
      <c r="AT1909" s="38"/>
      <c r="AU1909" s="33"/>
      <c r="AV1909" s="39"/>
      <c r="AW1909" s="39"/>
    </row>
    <row r="1910" spans="4:49">
      <c r="D1910" s="33"/>
      <c r="E1910" s="33"/>
      <c r="F1910" s="33"/>
      <c r="G1910" s="33"/>
      <c r="H1910" s="34"/>
      <c r="J1910" s="36"/>
      <c r="K1910" s="36"/>
      <c r="L1910" s="36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8"/>
      <c r="AS1910" s="38"/>
      <c r="AT1910" s="38"/>
      <c r="AU1910" s="33"/>
      <c r="AV1910" s="39"/>
      <c r="AW1910" s="39"/>
    </row>
    <row r="1911" spans="4:49">
      <c r="D1911" s="33"/>
      <c r="E1911" s="33"/>
      <c r="F1911" s="33"/>
      <c r="G1911" s="33"/>
      <c r="H1911" s="34"/>
      <c r="J1911" s="36"/>
      <c r="K1911" s="36"/>
      <c r="L1911" s="36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8"/>
      <c r="AS1911" s="38"/>
      <c r="AT1911" s="38"/>
      <c r="AU1911" s="33"/>
      <c r="AV1911" s="39"/>
      <c r="AW1911" s="39"/>
    </row>
    <row r="1912" spans="4:49">
      <c r="D1912" s="33"/>
      <c r="E1912" s="33"/>
      <c r="F1912" s="33"/>
      <c r="G1912" s="33"/>
      <c r="H1912" s="34"/>
      <c r="J1912" s="36"/>
      <c r="K1912" s="36"/>
      <c r="L1912" s="36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8"/>
      <c r="AS1912" s="38"/>
      <c r="AT1912" s="38"/>
      <c r="AU1912" s="33"/>
      <c r="AV1912" s="39"/>
      <c r="AW1912" s="39"/>
    </row>
    <row r="1913" spans="4:49">
      <c r="D1913" s="33"/>
      <c r="E1913" s="33"/>
      <c r="F1913" s="33"/>
      <c r="G1913" s="33"/>
      <c r="H1913" s="34"/>
      <c r="J1913" s="36"/>
      <c r="K1913" s="36"/>
      <c r="L1913" s="36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8"/>
      <c r="AS1913" s="38"/>
      <c r="AT1913" s="38"/>
      <c r="AU1913" s="33"/>
      <c r="AV1913" s="39"/>
      <c r="AW1913" s="39"/>
    </row>
    <row r="1914" spans="4:49">
      <c r="D1914" s="33"/>
      <c r="E1914" s="33"/>
      <c r="F1914" s="33"/>
      <c r="G1914" s="33"/>
      <c r="H1914" s="34"/>
      <c r="J1914" s="36"/>
      <c r="K1914" s="36"/>
      <c r="L1914" s="36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8"/>
      <c r="AS1914" s="38"/>
      <c r="AT1914" s="38"/>
      <c r="AU1914" s="33"/>
      <c r="AV1914" s="39"/>
      <c r="AW1914" s="39"/>
    </row>
    <row r="1915" spans="4:49">
      <c r="D1915" s="33"/>
      <c r="E1915" s="33"/>
      <c r="F1915" s="33"/>
      <c r="G1915" s="33"/>
      <c r="H1915" s="34"/>
      <c r="J1915" s="36"/>
      <c r="K1915" s="36"/>
      <c r="L1915" s="36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8"/>
      <c r="AS1915" s="38"/>
      <c r="AT1915" s="38"/>
      <c r="AU1915" s="33"/>
      <c r="AV1915" s="39"/>
      <c r="AW1915" s="39"/>
    </row>
    <row r="1916" spans="4:49">
      <c r="D1916" s="33"/>
      <c r="E1916" s="33"/>
      <c r="F1916" s="33"/>
      <c r="G1916" s="33"/>
      <c r="H1916" s="34"/>
      <c r="J1916" s="36"/>
      <c r="K1916" s="36"/>
      <c r="L1916" s="36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8"/>
      <c r="AS1916" s="38"/>
      <c r="AT1916" s="38"/>
      <c r="AU1916" s="33"/>
      <c r="AV1916" s="39"/>
      <c r="AW1916" s="39"/>
    </row>
    <row r="1917" spans="4:49">
      <c r="D1917" s="33"/>
      <c r="E1917" s="33"/>
      <c r="F1917" s="33"/>
      <c r="G1917" s="33"/>
      <c r="H1917" s="34"/>
      <c r="J1917" s="36"/>
      <c r="K1917" s="36"/>
      <c r="L1917" s="36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8"/>
      <c r="AS1917" s="38"/>
      <c r="AT1917" s="38"/>
      <c r="AU1917" s="33"/>
      <c r="AV1917" s="39"/>
      <c r="AW1917" s="39"/>
    </row>
    <row r="1918" spans="4:49">
      <c r="D1918" s="33"/>
      <c r="E1918" s="33"/>
      <c r="F1918" s="33"/>
      <c r="G1918" s="33"/>
      <c r="H1918" s="34"/>
      <c r="J1918" s="36"/>
      <c r="K1918" s="36"/>
      <c r="L1918" s="36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8"/>
      <c r="AS1918" s="38"/>
      <c r="AT1918" s="38"/>
      <c r="AU1918" s="33"/>
      <c r="AV1918" s="39"/>
      <c r="AW1918" s="39"/>
    </row>
    <row r="1919" spans="4:49">
      <c r="D1919" s="33"/>
      <c r="E1919" s="33"/>
      <c r="F1919" s="33"/>
      <c r="G1919" s="33"/>
      <c r="H1919" s="34"/>
      <c r="J1919" s="36"/>
      <c r="K1919" s="36"/>
      <c r="L1919" s="36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8"/>
      <c r="AS1919" s="38"/>
      <c r="AT1919" s="38"/>
      <c r="AU1919" s="33"/>
      <c r="AV1919" s="39"/>
      <c r="AW1919" s="39"/>
    </row>
    <row r="1920" spans="4:49">
      <c r="D1920" s="33"/>
      <c r="E1920" s="33"/>
      <c r="F1920" s="33"/>
      <c r="G1920" s="33"/>
      <c r="H1920" s="34"/>
      <c r="J1920" s="36"/>
      <c r="K1920" s="36"/>
      <c r="L1920" s="36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8"/>
      <c r="AS1920" s="38"/>
      <c r="AT1920" s="38"/>
      <c r="AU1920" s="33"/>
      <c r="AV1920" s="39"/>
      <c r="AW1920" s="39"/>
    </row>
    <row r="1921" spans="4:49">
      <c r="D1921" s="33"/>
      <c r="E1921" s="33"/>
      <c r="F1921" s="33"/>
      <c r="G1921" s="33"/>
      <c r="H1921" s="34"/>
      <c r="J1921" s="36"/>
      <c r="K1921" s="36"/>
      <c r="L1921" s="36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8"/>
      <c r="AS1921" s="38"/>
      <c r="AT1921" s="38"/>
      <c r="AU1921" s="33"/>
      <c r="AV1921" s="39"/>
      <c r="AW1921" s="39"/>
    </row>
    <row r="1922" spans="4:49">
      <c r="D1922" s="33"/>
      <c r="E1922" s="33"/>
      <c r="F1922" s="33"/>
      <c r="G1922" s="33"/>
      <c r="H1922" s="34"/>
      <c r="J1922" s="36"/>
      <c r="K1922" s="36"/>
      <c r="L1922" s="36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8"/>
      <c r="AS1922" s="38"/>
      <c r="AT1922" s="38"/>
      <c r="AU1922" s="33"/>
      <c r="AV1922" s="39"/>
      <c r="AW1922" s="39"/>
    </row>
    <row r="1923" spans="4:49">
      <c r="D1923" s="33"/>
      <c r="E1923" s="33"/>
      <c r="F1923" s="33"/>
      <c r="G1923" s="33"/>
      <c r="H1923" s="34"/>
      <c r="J1923" s="36"/>
      <c r="K1923" s="36"/>
      <c r="L1923" s="36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8"/>
      <c r="AS1923" s="38"/>
      <c r="AT1923" s="38"/>
      <c r="AU1923" s="33"/>
      <c r="AV1923" s="39"/>
      <c r="AW1923" s="39"/>
    </row>
    <row r="1924" spans="4:49">
      <c r="D1924" s="33"/>
      <c r="E1924" s="33"/>
      <c r="F1924" s="33"/>
      <c r="G1924" s="33"/>
      <c r="H1924" s="34"/>
      <c r="J1924" s="36"/>
      <c r="K1924" s="36"/>
      <c r="L1924" s="36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8"/>
      <c r="AS1924" s="38"/>
      <c r="AT1924" s="38"/>
      <c r="AU1924" s="33"/>
      <c r="AV1924" s="39"/>
      <c r="AW1924" s="39"/>
    </row>
    <row r="1925" spans="4:49">
      <c r="D1925" s="33"/>
      <c r="E1925" s="33"/>
      <c r="F1925" s="33"/>
      <c r="G1925" s="33"/>
      <c r="H1925" s="34"/>
      <c r="J1925" s="36"/>
      <c r="K1925" s="36"/>
      <c r="L1925" s="36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8"/>
      <c r="AS1925" s="38"/>
      <c r="AT1925" s="38"/>
      <c r="AU1925" s="33"/>
      <c r="AV1925" s="39"/>
      <c r="AW1925" s="39"/>
    </row>
    <row r="1926" spans="4:49">
      <c r="D1926" s="33"/>
      <c r="E1926" s="33"/>
      <c r="F1926" s="33"/>
      <c r="G1926" s="33"/>
      <c r="H1926" s="34"/>
      <c r="J1926" s="36"/>
      <c r="K1926" s="36"/>
      <c r="L1926" s="36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8"/>
      <c r="AS1926" s="38"/>
      <c r="AT1926" s="38"/>
      <c r="AU1926" s="33"/>
      <c r="AV1926" s="39"/>
      <c r="AW1926" s="39"/>
    </row>
    <row r="1927" spans="4:49">
      <c r="D1927" s="33"/>
      <c r="E1927" s="33"/>
      <c r="F1927" s="33"/>
      <c r="G1927" s="33"/>
      <c r="H1927" s="34"/>
      <c r="J1927" s="36"/>
      <c r="K1927" s="36"/>
      <c r="L1927" s="36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8"/>
      <c r="AS1927" s="38"/>
      <c r="AT1927" s="38"/>
      <c r="AU1927" s="33"/>
      <c r="AV1927" s="39"/>
      <c r="AW1927" s="39"/>
    </row>
    <row r="1928" spans="4:49">
      <c r="D1928" s="33"/>
      <c r="E1928" s="33"/>
      <c r="F1928" s="33"/>
      <c r="G1928" s="33"/>
      <c r="H1928" s="34"/>
      <c r="J1928" s="36"/>
      <c r="K1928" s="36"/>
      <c r="L1928" s="36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8"/>
      <c r="AS1928" s="38"/>
      <c r="AT1928" s="38"/>
      <c r="AU1928" s="33"/>
      <c r="AV1928" s="39"/>
      <c r="AW1928" s="39"/>
    </row>
    <row r="1929" spans="4:49">
      <c r="D1929" s="33"/>
      <c r="E1929" s="33"/>
      <c r="F1929" s="33"/>
      <c r="G1929" s="33"/>
      <c r="H1929" s="34"/>
      <c r="J1929" s="36"/>
      <c r="K1929" s="36"/>
      <c r="L1929" s="36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8"/>
      <c r="AS1929" s="38"/>
      <c r="AT1929" s="38"/>
      <c r="AU1929" s="33"/>
      <c r="AV1929" s="39"/>
      <c r="AW1929" s="39"/>
    </row>
    <row r="1930" spans="4:49">
      <c r="D1930" s="33"/>
      <c r="E1930" s="33"/>
      <c r="F1930" s="33"/>
      <c r="G1930" s="33"/>
      <c r="H1930" s="34"/>
      <c r="J1930" s="36"/>
      <c r="K1930" s="36"/>
      <c r="L1930" s="36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8"/>
      <c r="AS1930" s="38"/>
      <c r="AT1930" s="38"/>
      <c r="AU1930" s="33"/>
      <c r="AV1930" s="39"/>
      <c r="AW1930" s="39"/>
    </row>
    <row r="1931" spans="4:49">
      <c r="D1931" s="33"/>
      <c r="E1931" s="33"/>
      <c r="F1931" s="33"/>
      <c r="G1931" s="33"/>
      <c r="H1931" s="34"/>
      <c r="J1931" s="36"/>
      <c r="K1931" s="36"/>
      <c r="L1931" s="36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8"/>
      <c r="AS1931" s="38"/>
      <c r="AT1931" s="38"/>
      <c r="AU1931" s="33"/>
      <c r="AV1931" s="39"/>
      <c r="AW1931" s="39"/>
    </row>
    <row r="1932" spans="4:49">
      <c r="D1932" s="33"/>
      <c r="E1932" s="33"/>
      <c r="F1932" s="33"/>
      <c r="G1932" s="33"/>
      <c r="H1932" s="34"/>
      <c r="J1932" s="36"/>
      <c r="K1932" s="36"/>
      <c r="L1932" s="36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8"/>
      <c r="AS1932" s="38"/>
      <c r="AT1932" s="38"/>
      <c r="AU1932" s="33"/>
      <c r="AV1932" s="39"/>
      <c r="AW1932" s="39"/>
    </row>
    <row r="1933" spans="4:49">
      <c r="D1933" s="33"/>
      <c r="E1933" s="33"/>
      <c r="F1933" s="33"/>
      <c r="G1933" s="33"/>
      <c r="H1933" s="34"/>
      <c r="J1933" s="36"/>
      <c r="K1933" s="36"/>
      <c r="L1933" s="36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8"/>
      <c r="AS1933" s="38"/>
      <c r="AT1933" s="38"/>
      <c r="AU1933" s="33"/>
      <c r="AV1933" s="39"/>
      <c r="AW1933" s="39"/>
    </row>
    <row r="1934" spans="4:49">
      <c r="D1934" s="33"/>
      <c r="E1934" s="33"/>
      <c r="F1934" s="33"/>
      <c r="G1934" s="33"/>
      <c r="H1934" s="34"/>
      <c r="J1934" s="36"/>
      <c r="K1934" s="36"/>
      <c r="L1934" s="36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8"/>
      <c r="AS1934" s="38"/>
      <c r="AT1934" s="38"/>
      <c r="AU1934" s="33"/>
      <c r="AV1934" s="39"/>
      <c r="AW1934" s="39"/>
    </row>
    <row r="1935" spans="4:49">
      <c r="D1935" s="33"/>
      <c r="E1935" s="33"/>
      <c r="F1935" s="33"/>
      <c r="G1935" s="33"/>
      <c r="H1935" s="34"/>
      <c r="J1935" s="36"/>
      <c r="K1935" s="36"/>
      <c r="L1935" s="36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8"/>
      <c r="AS1935" s="38"/>
      <c r="AT1935" s="38"/>
      <c r="AU1935" s="33"/>
      <c r="AV1935" s="39"/>
      <c r="AW1935" s="39"/>
    </row>
    <row r="1936" spans="4:49">
      <c r="D1936" s="33"/>
      <c r="E1936" s="33"/>
      <c r="F1936" s="33"/>
      <c r="G1936" s="33"/>
      <c r="H1936" s="34"/>
      <c r="J1936" s="36"/>
      <c r="K1936" s="36"/>
      <c r="L1936" s="36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8"/>
      <c r="AS1936" s="38"/>
      <c r="AT1936" s="38"/>
      <c r="AU1936" s="33"/>
      <c r="AV1936" s="39"/>
      <c r="AW1936" s="39"/>
    </row>
    <row r="1937" spans="4:49">
      <c r="D1937" s="33"/>
      <c r="E1937" s="33"/>
      <c r="F1937" s="33"/>
      <c r="G1937" s="33"/>
      <c r="H1937" s="34"/>
      <c r="J1937" s="36"/>
      <c r="K1937" s="36"/>
      <c r="L1937" s="36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8"/>
      <c r="AS1937" s="38"/>
      <c r="AT1937" s="38"/>
      <c r="AU1937" s="33"/>
      <c r="AV1937" s="39"/>
      <c r="AW1937" s="39"/>
    </row>
    <row r="1938" spans="4:49">
      <c r="D1938" s="33"/>
      <c r="E1938" s="33"/>
      <c r="F1938" s="33"/>
      <c r="G1938" s="33"/>
      <c r="H1938" s="34"/>
      <c r="J1938" s="36"/>
      <c r="K1938" s="36"/>
      <c r="L1938" s="36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8"/>
      <c r="AS1938" s="38"/>
      <c r="AT1938" s="38"/>
      <c r="AU1938" s="33"/>
      <c r="AV1938" s="39"/>
      <c r="AW1938" s="39"/>
    </row>
    <row r="1939" spans="4:49">
      <c r="D1939" s="33"/>
      <c r="E1939" s="33"/>
      <c r="F1939" s="33"/>
      <c r="G1939" s="33"/>
      <c r="H1939" s="34"/>
      <c r="J1939" s="36"/>
      <c r="K1939" s="36"/>
      <c r="L1939" s="36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8"/>
      <c r="AS1939" s="38"/>
      <c r="AT1939" s="38"/>
      <c r="AU1939" s="33"/>
      <c r="AV1939" s="39"/>
      <c r="AW1939" s="39"/>
    </row>
    <row r="1940" spans="4:49">
      <c r="D1940" s="33"/>
      <c r="E1940" s="33"/>
      <c r="F1940" s="33"/>
      <c r="G1940" s="33"/>
      <c r="H1940" s="34"/>
      <c r="J1940" s="36"/>
      <c r="K1940" s="36"/>
      <c r="L1940" s="36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8"/>
      <c r="AS1940" s="38"/>
      <c r="AT1940" s="38"/>
      <c r="AU1940" s="33"/>
      <c r="AV1940" s="39"/>
      <c r="AW1940" s="39"/>
    </row>
    <row r="1941" spans="4:49">
      <c r="D1941" s="33"/>
      <c r="E1941" s="33"/>
      <c r="F1941" s="33"/>
      <c r="G1941" s="33"/>
      <c r="H1941" s="34"/>
      <c r="J1941" s="36"/>
      <c r="K1941" s="36"/>
      <c r="L1941" s="36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8"/>
      <c r="AS1941" s="38"/>
      <c r="AT1941" s="38"/>
      <c r="AU1941" s="33"/>
      <c r="AV1941" s="39"/>
      <c r="AW1941" s="39"/>
    </row>
    <row r="1942" spans="4:49">
      <c r="D1942" s="33"/>
      <c r="E1942" s="33"/>
      <c r="F1942" s="33"/>
      <c r="G1942" s="33"/>
      <c r="H1942" s="34"/>
      <c r="J1942" s="36"/>
      <c r="K1942" s="36"/>
      <c r="L1942" s="36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8"/>
      <c r="AS1942" s="38"/>
      <c r="AT1942" s="38"/>
      <c r="AU1942" s="33"/>
      <c r="AV1942" s="39"/>
      <c r="AW1942" s="39"/>
    </row>
    <row r="1943" spans="4:49">
      <c r="D1943" s="33"/>
      <c r="E1943" s="33"/>
      <c r="F1943" s="33"/>
      <c r="G1943" s="33"/>
      <c r="H1943" s="34"/>
      <c r="J1943" s="36"/>
      <c r="K1943" s="36"/>
      <c r="L1943" s="36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8"/>
      <c r="AS1943" s="38"/>
      <c r="AT1943" s="38"/>
      <c r="AU1943" s="33"/>
      <c r="AV1943" s="39"/>
      <c r="AW1943" s="39"/>
    </row>
    <row r="1944" spans="4:49">
      <c r="D1944" s="33"/>
      <c r="E1944" s="33"/>
      <c r="F1944" s="33"/>
      <c r="G1944" s="33"/>
      <c r="H1944" s="34"/>
      <c r="J1944" s="36"/>
      <c r="K1944" s="36"/>
      <c r="L1944" s="36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8"/>
      <c r="AS1944" s="38"/>
      <c r="AT1944" s="38"/>
      <c r="AU1944" s="33"/>
      <c r="AV1944" s="39"/>
      <c r="AW1944" s="39"/>
    </row>
    <row r="1945" spans="4:49">
      <c r="D1945" s="33"/>
      <c r="E1945" s="33"/>
      <c r="F1945" s="33"/>
      <c r="G1945" s="33"/>
      <c r="H1945" s="34"/>
      <c r="J1945" s="36"/>
      <c r="K1945" s="36"/>
      <c r="L1945" s="36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8"/>
      <c r="AS1945" s="38"/>
      <c r="AT1945" s="38"/>
      <c r="AU1945" s="33"/>
      <c r="AV1945" s="39"/>
      <c r="AW1945" s="39"/>
    </row>
    <row r="1946" spans="4:49">
      <c r="D1946" s="33"/>
      <c r="E1946" s="33"/>
      <c r="F1946" s="33"/>
      <c r="G1946" s="33"/>
      <c r="H1946" s="34"/>
      <c r="J1946" s="36"/>
      <c r="K1946" s="36"/>
      <c r="L1946" s="36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8"/>
      <c r="AS1946" s="38"/>
      <c r="AT1946" s="38"/>
      <c r="AU1946" s="33"/>
      <c r="AV1946" s="39"/>
      <c r="AW1946" s="39"/>
    </row>
    <row r="1947" spans="4:49">
      <c r="D1947" s="33"/>
      <c r="E1947" s="33"/>
      <c r="F1947" s="33"/>
      <c r="G1947" s="33"/>
      <c r="H1947" s="34"/>
      <c r="J1947" s="36"/>
      <c r="K1947" s="36"/>
      <c r="L1947" s="36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8"/>
      <c r="AS1947" s="38"/>
      <c r="AT1947" s="38"/>
      <c r="AU1947" s="33"/>
      <c r="AV1947" s="39"/>
      <c r="AW1947" s="39"/>
    </row>
    <row r="1948" spans="4:49">
      <c r="D1948" s="33"/>
      <c r="E1948" s="33"/>
      <c r="F1948" s="33"/>
      <c r="G1948" s="33"/>
      <c r="H1948" s="34"/>
      <c r="J1948" s="36"/>
      <c r="K1948" s="36"/>
      <c r="L1948" s="36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8"/>
      <c r="AS1948" s="38"/>
      <c r="AT1948" s="38"/>
      <c r="AU1948" s="33"/>
      <c r="AV1948" s="39"/>
      <c r="AW1948" s="39"/>
    </row>
    <row r="1949" spans="4:49">
      <c r="D1949" s="33"/>
      <c r="E1949" s="33"/>
      <c r="F1949" s="33"/>
      <c r="G1949" s="33"/>
      <c r="H1949" s="34"/>
      <c r="J1949" s="36"/>
      <c r="K1949" s="36"/>
      <c r="L1949" s="36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8"/>
      <c r="AS1949" s="38"/>
      <c r="AT1949" s="38"/>
      <c r="AU1949" s="33"/>
      <c r="AV1949" s="39"/>
      <c r="AW1949" s="39"/>
    </row>
    <row r="1950" spans="4:49">
      <c r="D1950" s="33"/>
      <c r="E1950" s="33"/>
      <c r="F1950" s="33"/>
      <c r="G1950" s="33"/>
      <c r="H1950" s="34"/>
      <c r="J1950" s="36"/>
      <c r="K1950" s="36"/>
      <c r="L1950" s="36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8"/>
      <c r="AS1950" s="38"/>
      <c r="AT1950" s="38"/>
      <c r="AU1950" s="33"/>
      <c r="AV1950" s="39"/>
      <c r="AW1950" s="39"/>
    </row>
    <row r="1951" spans="4:49">
      <c r="D1951" s="33"/>
      <c r="E1951" s="33"/>
      <c r="F1951" s="33"/>
      <c r="G1951" s="33"/>
      <c r="H1951" s="34"/>
      <c r="J1951" s="36"/>
      <c r="K1951" s="36"/>
      <c r="L1951" s="36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8"/>
      <c r="AS1951" s="38"/>
      <c r="AT1951" s="38"/>
      <c r="AU1951" s="33"/>
      <c r="AV1951" s="39"/>
      <c r="AW1951" s="39"/>
    </row>
    <row r="1952" spans="4:49">
      <c r="D1952" s="33"/>
      <c r="E1952" s="33"/>
      <c r="F1952" s="33"/>
      <c r="G1952" s="33"/>
      <c r="H1952" s="34"/>
      <c r="J1952" s="36"/>
      <c r="K1952" s="36"/>
      <c r="L1952" s="36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8"/>
      <c r="AS1952" s="38"/>
      <c r="AT1952" s="38"/>
      <c r="AU1952" s="33"/>
      <c r="AV1952" s="39"/>
      <c r="AW1952" s="39"/>
    </row>
    <row r="1953" spans="4:49">
      <c r="D1953" s="33"/>
      <c r="E1953" s="33"/>
      <c r="F1953" s="33"/>
      <c r="G1953" s="33"/>
      <c r="H1953" s="34"/>
      <c r="J1953" s="36"/>
      <c r="K1953" s="36"/>
      <c r="L1953" s="36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8"/>
      <c r="AS1953" s="38"/>
      <c r="AT1953" s="38"/>
      <c r="AU1953" s="33"/>
      <c r="AV1953" s="39"/>
      <c r="AW1953" s="39"/>
    </row>
    <row r="1954" spans="4:49">
      <c r="D1954" s="33"/>
      <c r="E1954" s="33"/>
      <c r="F1954" s="33"/>
      <c r="G1954" s="33"/>
      <c r="H1954" s="34"/>
      <c r="J1954" s="36"/>
      <c r="K1954" s="36"/>
      <c r="L1954" s="36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8"/>
      <c r="AS1954" s="38"/>
      <c r="AT1954" s="38"/>
      <c r="AU1954" s="33"/>
      <c r="AV1954" s="39"/>
      <c r="AW1954" s="39"/>
    </row>
    <row r="1955" spans="4:49">
      <c r="D1955" s="33"/>
      <c r="E1955" s="33"/>
      <c r="F1955" s="33"/>
      <c r="G1955" s="33"/>
      <c r="H1955" s="34"/>
      <c r="J1955" s="36"/>
      <c r="K1955" s="36"/>
      <c r="L1955" s="36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8"/>
      <c r="AS1955" s="38"/>
      <c r="AT1955" s="38"/>
      <c r="AU1955" s="33"/>
      <c r="AV1955" s="39"/>
      <c r="AW1955" s="39"/>
    </row>
    <row r="1956" spans="4:49">
      <c r="D1956" s="33"/>
      <c r="E1956" s="33"/>
      <c r="F1956" s="33"/>
      <c r="G1956" s="33"/>
      <c r="H1956" s="34"/>
      <c r="J1956" s="36"/>
      <c r="K1956" s="36"/>
      <c r="L1956" s="36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8"/>
      <c r="AS1956" s="38"/>
      <c r="AT1956" s="38"/>
      <c r="AU1956" s="33"/>
      <c r="AV1956" s="39"/>
      <c r="AW1956" s="39"/>
    </row>
    <row r="1957" spans="4:49">
      <c r="D1957" s="33"/>
      <c r="E1957" s="33"/>
      <c r="F1957" s="33"/>
      <c r="G1957" s="33"/>
      <c r="H1957" s="34"/>
      <c r="J1957" s="36"/>
      <c r="K1957" s="36"/>
      <c r="L1957" s="36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8"/>
      <c r="AS1957" s="38"/>
      <c r="AT1957" s="38"/>
      <c r="AU1957" s="33"/>
      <c r="AV1957" s="39"/>
      <c r="AW1957" s="39"/>
    </row>
    <row r="1958" spans="4:49">
      <c r="D1958" s="33"/>
      <c r="E1958" s="33"/>
      <c r="F1958" s="33"/>
      <c r="G1958" s="33"/>
      <c r="H1958" s="34"/>
      <c r="J1958" s="36"/>
      <c r="K1958" s="36"/>
      <c r="L1958" s="36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8"/>
      <c r="AS1958" s="38"/>
      <c r="AT1958" s="38"/>
      <c r="AU1958" s="33"/>
      <c r="AV1958" s="39"/>
      <c r="AW1958" s="39"/>
    </row>
    <row r="1959" spans="4:49">
      <c r="D1959" s="33"/>
      <c r="E1959" s="33"/>
      <c r="F1959" s="33"/>
      <c r="G1959" s="33"/>
      <c r="H1959" s="34"/>
      <c r="J1959" s="36"/>
      <c r="K1959" s="36"/>
      <c r="L1959" s="36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8"/>
      <c r="AS1959" s="38"/>
      <c r="AT1959" s="38"/>
      <c r="AU1959" s="33"/>
      <c r="AV1959" s="39"/>
      <c r="AW1959" s="39"/>
    </row>
    <row r="1960" spans="4:49">
      <c r="D1960" s="33"/>
      <c r="E1960" s="33"/>
      <c r="F1960" s="33"/>
      <c r="G1960" s="33"/>
      <c r="H1960" s="34"/>
      <c r="J1960" s="36"/>
      <c r="K1960" s="36"/>
      <c r="L1960" s="36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8"/>
      <c r="AS1960" s="38"/>
      <c r="AT1960" s="38"/>
      <c r="AU1960" s="33"/>
      <c r="AV1960" s="39"/>
      <c r="AW1960" s="39"/>
    </row>
    <row r="1961" spans="4:49">
      <c r="D1961" s="33"/>
      <c r="E1961" s="33"/>
      <c r="F1961" s="33"/>
      <c r="G1961" s="33"/>
      <c r="H1961" s="34"/>
      <c r="J1961" s="36"/>
      <c r="K1961" s="36"/>
      <c r="L1961" s="36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8"/>
      <c r="AS1961" s="38"/>
      <c r="AT1961" s="38"/>
      <c r="AU1961" s="33"/>
      <c r="AV1961" s="39"/>
      <c r="AW1961" s="39"/>
    </row>
    <row r="1962" spans="4:49">
      <c r="D1962" s="33"/>
      <c r="E1962" s="33"/>
      <c r="F1962" s="33"/>
      <c r="G1962" s="33"/>
      <c r="H1962" s="34"/>
      <c r="J1962" s="36"/>
      <c r="K1962" s="36"/>
      <c r="L1962" s="36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8"/>
      <c r="AS1962" s="38"/>
      <c r="AT1962" s="38"/>
      <c r="AU1962" s="33"/>
      <c r="AV1962" s="39"/>
      <c r="AW1962" s="39"/>
    </row>
    <row r="1963" spans="4:49">
      <c r="D1963" s="33"/>
      <c r="E1963" s="33"/>
      <c r="F1963" s="33"/>
      <c r="G1963" s="33"/>
      <c r="H1963" s="34"/>
      <c r="J1963" s="36"/>
      <c r="K1963" s="36"/>
      <c r="L1963" s="36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8"/>
      <c r="AS1963" s="38"/>
      <c r="AT1963" s="38"/>
      <c r="AU1963" s="33"/>
      <c r="AV1963" s="39"/>
      <c r="AW1963" s="39"/>
    </row>
    <row r="1964" spans="4:49">
      <c r="D1964" s="33"/>
      <c r="E1964" s="33"/>
      <c r="F1964" s="33"/>
      <c r="G1964" s="33"/>
      <c r="H1964" s="34"/>
      <c r="J1964" s="36"/>
      <c r="K1964" s="36"/>
      <c r="L1964" s="36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8"/>
      <c r="AS1964" s="38"/>
      <c r="AT1964" s="38"/>
      <c r="AU1964" s="33"/>
      <c r="AV1964" s="39"/>
      <c r="AW1964" s="39"/>
    </row>
    <row r="1965" spans="4:49">
      <c r="D1965" s="33"/>
      <c r="E1965" s="33"/>
      <c r="F1965" s="33"/>
      <c r="G1965" s="33"/>
      <c r="H1965" s="34"/>
      <c r="J1965" s="36"/>
      <c r="K1965" s="36"/>
      <c r="L1965" s="36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8"/>
      <c r="AS1965" s="38"/>
      <c r="AT1965" s="38"/>
      <c r="AU1965" s="33"/>
      <c r="AV1965" s="39"/>
      <c r="AW1965" s="39"/>
    </row>
    <row r="1966" spans="4:49">
      <c r="D1966" s="33"/>
      <c r="E1966" s="33"/>
      <c r="F1966" s="33"/>
      <c r="G1966" s="33"/>
      <c r="H1966" s="34"/>
      <c r="J1966" s="36"/>
      <c r="K1966" s="36"/>
      <c r="L1966" s="36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8"/>
      <c r="AS1966" s="38"/>
      <c r="AT1966" s="38"/>
      <c r="AU1966" s="33"/>
      <c r="AV1966" s="39"/>
      <c r="AW1966" s="39"/>
    </row>
    <row r="1967" spans="4:49">
      <c r="D1967" s="33"/>
      <c r="E1967" s="33"/>
      <c r="F1967" s="33"/>
      <c r="G1967" s="33"/>
      <c r="H1967" s="34"/>
      <c r="J1967" s="36"/>
      <c r="K1967" s="36"/>
      <c r="L1967" s="36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8"/>
      <c r="AS1967" s="38"/>
      <c r="AT1967" s="38"/>
      <c r="AU1967" s="33"/>
      <c r="AV1967" s="39"/>
      <c r="AW1967" s="39"/>
    </row>
    <row r="1968" spans="4:49">
      <c r="D1968" s="33"/>
      <c r="E1968" s="33"/>
      <c r="F1968" s="33"/>
      <c r="G1968" s="33"/>
      <c r="H1968" s="34"/>
      <c r="J1968" s="36"/>
      <c r="K1968" s="36"/>
      <c r="L1968" s="36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8"/>
      <c r="AS1968" s="38"/>
      <c r="AT1968" s="38"/>
      <c r="AU1968" s="33"/>
      <c r="AV1968" s="39"/>
      <c r="AW1968" s="39"/>
    </row>
    <row r="1969" spans="4:49">
      <c r="D1969" s="33"/>
      <c r="E1969" s="33"/>
      <c r="F1969" s="33"/>
      <c r="G1969" s="33"/>
      <c r="H1969" s="34"/>
      <c r="J1969" s="36"/>
      <c r="K1969" s="36"/>
      <c r="L1969" s="36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8"/>
      <c r="AS1969" s="38"/>
      <c r="AT1969" s="38"/>
      <c r="AU1969" s="33"/>
      <c r="AV1969" s="39"/>
      <c r="AW1969" s="39"/>
    </row>
    <row r="1970" spans="4:49">
      <c r="D1970" s="33"/>
      <c r="E1970" s="33"/>
      <c r="F1970" s="33"/>
      <c r="G1970" s="33"/>
      <c r="H1970" s="34"/>
      <c r="J1970" s="36"/>
      <c r="K1970" s="36"/>
      <c r="L1970" s="36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8"/>
      <c r="AS1970" s="38"/>
      <c r="AT1970" s="38"/>
      <c r="AU1970" s="33"/>
      <c r="AV1970" s="39"/>
      <c r="AW1970" s="39"/>
    </row>
    <row r="1971" spans="4:49">
      <c r="D1971" s="33"/>
      <c r="E1971" s="33"/>
      <c r="F1971" s="33"/>
      <c r="G1971" s="33"/>
      <c r="H1971" s="34"/>
      <c r="J1971" s="36"/>
      <c r="K1971" s="36"/>
      <c r="L1971" s="36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8"/>
      <c r="AS1971" s="38"/>
      <c r="AT1971" s="38"/>
      <c r="AU1971" s="33"/>
      <c r="AV1971" s="39"/>
      <c r="AW1971" s="39"/>
    </row>
    <row r="1972" spans="4:49">
      <c r="D1972" s="33"/>
      <c r="E1972" s="33"/>
      <c r="F1972" s="33"/>
      <c r="G1972" s="33"/>
      <c r="H1972" s="34"/>
      <c r="J1972" s="36"/>
      <c r="K1972" s="36"/>
      <c r="L1972" s="36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8"/>
      <c r="AS1972" s="38"/>
      <c r="AT1972" s="38"/>
      <c r="AU1972" s="33"/>
      <c r="AV1972" s="39"/>
      <c r="AW1972" s="39"/>
    </row>
    <row r="1973" spans="4:49">
      <c r="D1973" s="33"/>
      <c r="E1973" s="33"/>
      <c r="F1973" s="33"/>
      <c r="G1973" s="33"/>
      <c r="H1973" s="34"/>
      <c r="J1973" s="36"/>
      <c r="K1973" s="36"/>
      <c r="L1973" s="36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8"/>
      <c r="AS1973" s="38"/>
      <c r="AT1973" s="38"/>
      <c r="AU1973" s="33"/>
      <c r="AV1973" s="39"/>
      <c r="AW1973" s="39"/>
    </row>
    <row r="1974" spans="4:49">
      <c r="D1974" s="33"/>
      <c r="E1974" s="33"/>
      <c r="F1974" s="33"/>
      <c r="G1974" s="33"/>
      <c r="H1974" s="34"/>
      <c r="J1974" s="36"/>
      <c r="K1974" s="36"/>
      <c r="L1974" s="36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8"/>
      <c r="AS1974" s="38"/>
      <c r="AT1974" s="38"/>
      <c r="AU1974" s="33"/>
      <c r="AV1974" s="39"/>
      <c r="AW1974" s="39"/>
    </row>
    <row r="1975" spans="4:49">
      <c r="D1975" s="33"/>
      <c r="E1975" s="33"/>
      <c r="F1975" s="33"/>
      <c r="G1975" s="33"/>
      <c r="H1975" s="34"/>
      <c r="J1975" s="36"/>
      <c r="K1975" s="36"/>
      <c r="L1975" s="36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8"/>
      <c r="AS1975" s="38"/>
      <c r="AT1975" s="38"/>
      <c r="AU1975" s="33"/>
      <c r="AV1975" s="39"/>
      <c r="AW1975" s="39"/>
    </row>
    <row r="1976" spans="4:49">
      <c r="D1976" s="33"/>
      <c r="E1976" s="33"/>
      <c r="F1976" s="33"/>
      <c r="G1976" s="33"/>
      <c r="H1976" s="34"/>
      <c r="J1976" s="36"/>
      <c r="K1976" s="36"/>
      <c r="L1976" s="36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8"/>
      <c r="AS1976" s="38"/>
      <c r="AT1976" s="38"/>
      <c r="AU1976" s="33"/>
      <c r="AV1976" s="39"/>
      <c r="AW1976" s="39"/>
    </row>
    <row r="1977" spans="4:49">
      <c r="D1977" s="33"/>
      <c r="E1977" s="33"/>
      <c r="F1977" s="33"/>
      <c r="G1977" s="33"/>
      <c r="H1977" s="34"/>
      <c r="J1977" s="36"/>
      <c r="K1977" s="36"/>
      <c r="L1977" s="36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8"/>
      <c r="AS1977" s="38"/>
      <c r="AT1977" s="38"/>
      <c r="AU1977" s="33"/>
      <c r="AV1977" s="39"/>
      <c r="AW1977" s="39"/>
    </row>
    <row r="1978" spans="4:49">
      <c r="D1978" s="33"/>
      <c r="E1978" s="33"/>
      <c r="F1978" s="33"/>
      <c r="G1978" s="33"/>
      <c r="H1978" s="34"/>
      <c r="J1978" s="36"/>
      <c r="K1978" s="36"/>
      <c r="L1978" s="36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8"/>
      <c r="AS1978" s="38"/>
      <c r="AT1978" s="38"/>
      <c r="AU1978" s="33"/>
      <c r="AV1978" s="39"/>
      <c r="AW1978" s="39"/>
    </row>
    <row r="1979" spans="4:49">
      <c r="D1979" s="33"/>
      <c r="E1979" s="33"/>
      <c r="F1979" s="33"/>
      <c r="G1979" s="33"/>
      <c r="H1979" s="34"/>
      <c r="J1979" s="36"/>
      <c r="K1979" s="36"/>
      <c r="L1979" s="36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8"/>
      <c r="AS1979" s="38"/>
      <c r="AT1979" s="38"/>
      <c r="AU1979" s="33"/>
      <c r="AV1979" s="39"/>
      <c r="AW1979" s="39"/>
    </row>
    <row r="1980" spans="4:49">
      <c r="D1980" s="33"/>
      <c r="E1980" s="33"/>
      <c r="F1980" s="33"/>
      <c r="G1980" s="33"/>
      <c r="H1980" s="34"/>
      <c r="J1980" s="36"/>
      <c r="K1980" s="36"/>
      <c r="L1980" s="36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8"/>
      <c r="AS1980" s="38"/>
      <c r="AT1980" s="38"/>
      <c r="AU1980" s="33"/>
      <c r="AV1980" s="39"/>
      <c r="AW1980" s="39"/>
    </row>
    <row r="1981" spans="4:49">
      <c r="D1981" s="33"/>
      <c r="E1981" s="33"/>
      <c r="F1981" s="33"/>
      <c r="G1981" s="33"/>
      <c r="H1981" s="34"/>
      <c r="J1981" s="36"/>
      <c r="K1981" s="36"/>
      <c r="L1981" s="36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8"/>
      <c r="AS1981" s="38"/>
      <c r="AT1981" s="38"/>
      <c r="AU1981" s="33"/>
      <c r="AV1981" s="39"/>
      <c r="AW1981" s="39"/>
    </row>
    <row r="1982" spans="4:49">
      <c r="D1982" s="33"/>
      <c r="E1982" s="33"/>
      <c r="F1982" s="33"/>
      <c r="G1982" s="33"/>
      <c r="H1982" s="34"/>
      <c r="J1982" s="36"/>
      <c r="K1982" s="36"/>
      <c r="L1982" s="36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8"/>
      <c r="AS1982" s="38"/>
      <c r="AT1982" s="38"/>
      <c r="AU1982" s="33"/>
      <c r="AV1982" s="39"/>
      <c r="AW1982" s="39"/>
    </row>
    <row r="1983" spans="4:49">
      <c r="D1983" s="33"/>
      <c r="E1983" s="33"/>
      <c r="F1983" s="33"/>
      <c r="G1983" s="33"/>
      <c r="H1983" s="34"/>
      <c r="J1983" s="36"/>
      <c r="K1983" s="36"/>
      <c r="L1983" s="36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8"/>
      <c r="AS1983" s="38"/>
      <c r="AT1983" s="38"/>
      <c r="AU1983" s="33"/>
      <c r="AV1983" s="39"/>
      <c r="AW1983" s="39"/>
    </row>
    <row r="1984" spans="4:49">
      <c r="D1984" s="33"/>
      <c r="E1984" s="33"/>
      <c r="F1984" s="33"/>
      <c r="G1984" s="33"/>
      <c r="H1984" s="34"/>
      <c r="J1984" s="36"/>
      <c r="K1984" s="36"/>
      <c r="L1984" s="36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8"/>
      <c r="AS1984" s="38"/>
      <c r="AT1984" s="38"/>
      <c r="AU1984" s="33"/>
      <c r="AV1984" s="39"/>
      <c r="AW1984" s="39"/>
    </row>
    <row r="1985" spans="4:49">
      <c r="D1985" s="33"/>
      <c r="E1985" s="33"/>
      <c r="F1985" s="33"/>
      <c r="G1985" s="33"/>
      <c r="H1985" s="34"/>
      <c r="J1985" s="36"/>
      <c r="K1985" s="36"/>
      <c r="L1985" s="36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8"/>
      <c r="AS1985" s="38"/>
      <c r="AT1985" s="38"/>
      <c r="AU1985" s="33"/>
      <c r="AV1985" s="39"/>
      <c r="AW1985" s="39"/>
    </row>
    <row r="1986" spans="4:49">
      <c r="D1986" s="33"/>
      <c r="E1986" s="33"/>
      <c r="F1986" s="33"/>
      <c r="G1986" s="33"/>
      <c r="H1986" s="34"/>
      <c r="J1986" s="36"/>
      <c r="K1986" s="36"/>
      <c r="L1986" s="36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8"/>
      <c r="AS1986" s="38"/>
      <c r="AT1986" s="38"/>
      <c r="AU1986" s="33"/>
      <c r="AV1986" s="39"/>
      <c r="AW1986" s="39"/>
    </row>
    <row r="1987" spans="4:49">
      <c r="D1987" s="33"/>
      <c r="E1987" s="33"/>
      <c r="F1987" s="33"/>
      <c r="G1987" s="33"/>
      <c r="H1987" s="34"/>
      <c r="J1987" s="36"/>
      <c r="K1987" s="36"/>
      <c r="L1987" s="36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8"/>
      <c r="AS1987" s="38"/>
      <c r="AT1987" s="38"/>
      <c r="AU1987" s="33"/>
      <c r="AV1987" s="39"/>
      <c r="AW1987" s="39"/>
    </row>
    <row r="1988" spans="4:49">
      <c r="D1988" s="33"/>
      <c r="E1988" s="33"/>
      <c r="F1988" s="33"/>
      <c r="G1988" s="33"/>
      <c r="H1988" s="34"/>
      <c r="J1988" s="36"/>
      <c r="K1988" s="36"/>
      <c r="L1988" s="36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8"/>
      <c r="AS1988" s="38"/>
      <c r="AT1988" s="38"/>
      <c r="AU1988" s="33"/>
      <c r="AV1988" s="39"/>
      <c r="AW1988" s="39"/>
    </row>
    <row r="1989" spans="4:49">
      <c r="D1989" s="33"/>
      <c r="E1989" s="33"/>
      <c r="F1989" s="33"/>
      <c r="G1989" s="33"/>
      <c r="H1989" s="34"/>
      <c r="J1989" s="36"/>
      <c r="K1989" s="36"/>
      <c r="L1989" s="36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8"/>
      <c r="AS1989" s="38"/>
      <c r="AT1989" s="38"/>
      <c r="AU1989" s="33"/>
      <c r="AV1989" s="39"/>
      <c r="AW1989" s="39"/>
    </row>
    <row r="1990" spans="4:49">
      <c r="D1990" s="33"/>
      <c r="E1990" s="33"/>
      <c r="F1990" s="33"/>
      <c r="G1990" s="33"/>
      <c r="H1990" s="34"/>
      <c r="J1990" s="36"/>
      <c r="K1990" s="36"/>
      <c r="L1990" s="36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8"/>
      <c r="AS1990" s="38"/>
      <c r="AT1990" s="38"/>
      <c r="AU1990" s="33"/>
      <c r="AV1990" s="39"/>
      <c r="AW1990" s="39"/>
    </row>
    <row r="1991" spans="4:49">
      <c r="D1991" s="33"/>
      <c r="E1991" s="33"/>
      <c r="F1991" s="33"/>
      <c r="G1991" s="33"/>
      <c r="H1991" s="34"/>
      <c r="J1991" s="36"/>
      <c r="K1991" s="36"/>
      <c r="L1991" s="36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8"/>
      <c r="AS1991" s="38"/>
      <c r="AT1991" s="38"/>
      <c r="AU1991" s="33"/>
      <c r="AV1991" s="39"/>
      <c r="AW1991" s="39"/>
    </row>
    <row r="1992" spans="4:49">
      <c r="D1992" s="33"/>
      <c r="E1992" s="33"/>
      <c r="F1992" s="33"/>
      <c r="G1992" s="33"/>
      <c r="H1992" s="34"/>
      <c r="J1992" s="36"/>
      <c r="K1992" s="36"/>
      <c r="L1992" s="36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8"/>
      <c r="AS1992" s="38"/>
      <c r="AT1992" s="38"/>
      <c r="AU1992" s="33"/>
      <c r="AV1992" s="39"/>
      <c r="AW1992" s="39"/>
    </row>
    <row r="1993" spans="4:49">
      <c r="D1993" s="33"/>
      <c r="E1993" s="33"/>
      <c r="F1993" s="33"/>
      <c r="G1993" s="33"/>
      <c r="H1993" s="34"/>
      <c r="J1993" s="36"/>
      <c r="K1993" s="36"/>
      <c r="L1993" s="36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8"/>
      <c r="AS1993" s="38"/>
      <c r="AT1993" s="38"/>
      <c r="AU1993" s="33"/>
      <c r="AV1993" s="39"/>
      <c r="AW1993" s="39"/>
    </row>
    <row r="1994" spans="4:49">
      <c r="D1994" s="33"/>
      <c r="E1994" s="33"/>
      <c r="F1994" s="33"/>
      <c r="G1994" s="33"/>
      <c r="H1994" s="34"/>
      <c r="J1994" s="36"/>
      <c r="K1994" s="36"/>
      <c r="L1994" s="36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8"/>
      <c r="AS1994" s="38"/>
      <c r="AT1994" s="38"/>
      <c r="AU1994" s="33"/>
      <c r="AV1994" s="39"/>
      <c r="AW1994" s="39"/>
    </row>
    <row r="1995" spans="4:49">
      <c r="D1995" s="33"/>
      <c r="E1995" s="33"/>
      <c r="F1995" s="33"/>
      <c r="G1995" s="33"/>
      <c r="H1995" s="34"/>
      <c r="J1995" s="36"/>
      <c r="K1995" s="36"/>
      <c r="L1995" s="36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8"/>
      <c r="AS1995" s="38"/>
      <c r="AT1995" s="38"/>
      <c r="AU1995" s="33"/>
      <c r="AV1995" s="39"/>
      <c r="AW1995" s="39"/>
    </row>
    <row r="1996" spans="4:49">
      <c r="D1996" s="33"/>
      <c r="E1996" s="33"/>
      <c r="F1996" s="33"/>
      <c r="G1996" s="33"/>
      <c r="H1996" s="34"/>
      <c r="J1996" s="36"/>
      <c r="K1996" s="36"/>
      <c r="L1996" s="36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8"/>
      <c r="AS1996" s="38"/>
      <c r="AT1996" s="38"/>
      <c r="AU1996" s="33"/>
      <c r="AV1996" s="39"/>
      <c r="AW1996" s="39"/>
    </row>
    <row r="1997" spans="4:49">
      <c r="D1997" s="33"/>
      <c r="E1997" s="33"/>
      <c r="F1997" s="33"/>
      <c r="G1997" s="33"/>
      <c r="H1997" s="34"/>
      <c r="J1997" s="36"/>
      <c r="K1997" s="36"/>
      <c r="L1997" s="36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8"/>
      <c r="AS1997" s="38"/>
      <c r="AT1997" s="38"/>
      <c r="AU1997" s="33"/>
      <c r="AV1997" s="39"/>
      <c r="AW1997" s="39"/>
    </row>
    <row r="1998" spans="4:49">
      <c r="D1998" s="33"/>
      <c r="E1998" s="33"/>
      <c r="F1998" s="33"/>
      <c r="G1998" s="33"/>
      <c r="H1998" s="34"/>
      <c r="J1998" s="36"/>
      <c r="K1998" s="36"/>
      <c r="L1998" s="36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8"/>
      <c r="AS1998" s="38"/>
      <c r="AT1998" s="38"/>
      <c r="AU1998" s="33"/>
      <c r="AV1998" s="39"/>
      <c r="AW1998" s="39"/>
    </row>
    <row r="1999" spans="4:49">
      <c r="D1999" s="33"/>
      <c r="E1999" s="33"/>
      <c r="F1999" s="33"/>
      <c r="G1999" s="33"/>
      <c r="H1999" s="34"/>
      <c r="J1999" s="36"/>
      <c r="K1999" s="36"/>
      <c r="L1999" s="36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8"/>
      <c r="AS1999" s="38"/>
      <c r="AT1999" s="38"/>
      <c r="AU1999" s="33"/>
      <c r="AV1999" s="39"/>
      <c r="AW1999" s="39"/>
    </row>
    <row r="2000" spans="4:49">
      <c r="D2000" s="33"/>
      <c r="E2000" s="33"/>
      <c r="F2000" s="33"/>
      <c r="G2000" s="33"/>
      <c r="H2000" s="34"/>
      <c r="J2000" s="36"/>
      <c r="K2000" s="36"/>
      <c r="L2000" s="36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8"/>
      <c r="AS2000" s="38"/>
      <c r="AT2000" s="38"/>
      <c r="AU2000" s="33"/>
      <c r="AV2000" s="39"/>
      <c r="AW2000" s="39"/>
    </row>
    <row r="2001" spans="4:49">
      <c r="D2001" s="33"/>
      <c r="E2001" s="33"/>
      <c r="F2001" s="33"/>
      <c r="G2001" s="33"/>
      <c r="H2001" s="34"/>
      <c r="J2001" s="36"/>
      <c r="K2001" s="36"/>
      <c r="L2001" s="36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8"/>
      <c r="AS2001" s="38"/>
      <c r="AT2001" s="38"/>
      <c r="AU2001" s="33"/>
      <c r="AV2001" s="39"/>
      <c r="AW2001" s="39"/>
    </row>
    <row r="2002" spans="4:49">
      <c r="D2002" s="33"/>
      <c r="E2002" s="33"/>
      <c r="F2002" s="33"/>
      <c r="G2002" s="33"/>
      <c r="H2002" s="34"/>
      <c r="J2002" s="36"/>
      <c r="K2002" s="36"/>
      <c r="L2002" s="36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8"/>
      <c r="AS2002" s="38"/>
      <c r="AT2002" s="38"/>
      <c r="AU2002" s="33"/>
      <c r="AV2002" s="39"/>
      <c r="AW2002" s="39"/>
    </row>
    <row r="2003" spans="4:49">
      <c r="D2003" s="33"/>
      <c r="E2003" s="33"/>
      <c r="F2003" s="33"/>
      <c r="G2003" s="33"/>
      <c r="H2003" s="34"/>
      <c r="J2003" s="36"/>
      <c r="K2003" s="36"/>
      <c r="L2003" s="36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8"/>
      <c r="AS2003" s="38"/>
      <c r="AT2003" s="38"/>
      <c r="AU2003" s="33"/>
      <c r="AV2003" s="39"/>
      <c r="AW2003" s="39"/>
    </row>
    <row r="2004" spans="4:49">
      <c r="D2004" s="33"/>
      <c r="E2004" s="33"/>
      <c r="F2004" s="33"/>
      <c r="G2004" s="33"/>
      <c r="H2004" s="34"/>
      <c r="J2004" s="36"/>
      <c r="K2004" s="36"/>
      <c r="L2004" s="36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8"/>
      <c r="AS2004" s="38"/>
      <c r="AT2004" s="38"/>
      <c r="AU2004" s="33"/>
      <c r="AV2004" s="39"/>
      <c r="AW2004" s="39"/>
    </row>
    <row r="2005" spans="4:49">
      <c r="D2005" s="33"/>
      <c r="E2005" s="33"/>
      <c r="F2005" s="33"/>
      <c r="G2005" s="33"/>
      <c r="H2005" s="34"/>
      <c r="J2005" s="36"/>
      <c r="K2005" s="36"/>
      <c r="L2005" s="36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8"/>
      <c r="AS2005" s="38"/>
      <c r="AT2005" s="38"/>
      <c r="AU2005" s="33"/>
      <c r="AV2005" s="39"/>
      <c r="AW2005" s="39"/>
    </row>
    <row r="2006" spans="4:49">
      <c r="D2006" s="33"/>
      <c r="E2006" s="33"/>
      <c r="F2006" s="33"/>
      <c r="G2006" s="33"/>
      <c r="H2006" s="34"/>
      <c r="J2006" s="36"/>
      <c r="K2006" s="36"/>
      <c r="L2006" s="36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8"/>
      <c r="AS2006" s="38"/>
      <c r="AT2006" s="38"/>
      <c r="AU2006" s="33"/>
      <c r="AV2006" s="39"/>
      <c r="AW2006" s="39"/>
    </row>
    <row r="2007" spans="4:49">
      <c r="D2007" s="33"/>
      <c r="E2007" s="33"/>
      <c r="F2007" s="33"/>
      <c r="G2007" s="33"/>
      <c r="H2007" s="34"/>
      <c r="J2007" s="36"/>
      <c r="K2007" s="36"/>
      <c r="L2007" s="36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8"/>
      <c r="AS2007" s="38"/>
      <c r="AT2007" s="38"/>
      <c r="AU2007" s="33"/>
      <c r="AV2007" s="39"/>
      <c r="AW2007" s="39"/>
    </row>
    <row r="2008" spans="4:49">
      <c r="D2008" s="33"/>
      <c r="E2008" s="33"/>
      <c r="F2008" s="33"/>
      <c r="G2008" s="33"/>
      <c r="H2008" s="34"/>
      <c r="J2008" s="36"/>
      <c r="K2008" s="36"/>
      <c r="L2008" s="36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8"/>
      <c r="AS2008" s="38"/>
      <c r="AT2008" s="38"/>
      <c r="AU2008" s="33"/>
      <c r="AV2008" s="39"/>
      <c r="AW2008" s="39"/>
    </row>
    <row r="2009" spans="4:49">
      <c r="D2009" s="33"/>
      <c r="E2009" s="33"/>
      <c r="F2009" s="33"/>
      <c r="G2009" s="33"/>
      <c r="H2009" s="34"/>
      <c r="J2009" s="36"/>
      <c r="K2009" s="36"/>
      <c r="L2009" s="36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8"/>
      <c r="AS2009" s="38"/>
      <c r="AT2009" s="38"/>
      <c r="AU2009" s="33"/>
      <c r="AV2009" s="39"/>
      <c r="AW2009" s="39"/>
    </row>
    <row r="2010" spans="4:49">
      <c r="D2010" s="33"/>
      <c r="E2010" s="33"/>
      <c r="F2010" s="33"/>
      <c r="G2010" s="33"/>
      <c r="H2010" s="34"/>
      <c r="J2010" s="36"/>
      <c r="K2010" s="36"/>
      <c r="L2010" s="36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8"/>
      <c r="AS2010" s="38"/>
      <c r="AT2010" s="38"/>
      <c r="AU2010" s="33"/>
      <c r="AV2010" s="39"/>
      <c r="AW2010" s="39"/>
    </row>
    <row r="2011" spans="4:49">
      <c r="D2011" s="33"/>
      <c r="E2011" s="33"/>
      <c r="F2011" s="33"/>
      <c r="G2011" s="33"/>
      <c r="H2011" s="34"/>
      <c r="J2011" s="36"/>
      <c r="K2011" s="36"/>
      <c r="L2011" s="36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8"/>
      <c r="AS2011" s="38"/>
      <c r="AT2011" s="38"/>
      <c r="AU2011" s="33"/>
      <c r="AV2011" s="39"/>
      <c r="AW2011" s="39"/>
    </row>
    <row r="2012" spans="4:49">
      <c r="D2012" s="33"/>
      <c r="E2012" s="33"/>
      <c r="F2012" s="33"/>
      <c r="G2012" s="33"/>
      <c r="H2012" s="34"/>
      <c r="J2012" s="36"/>
      <c r="K2012" s="36"/>
      <c r="L2012" s="36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8"/>
      <c r="AS2012" s="38"/>
      <c r="AT2012" s="38"/>
      <c r="AU2012" s="33"/>
      <c r="AV2012" s="39"/>
      <c r="AW2012" s="39"/>
    </row>
    <row r="2013" spans="4:49">
      <c r="D2013" s="33"/>
      <c r="E2013" s="33"/>
      <c r="F2013" s="33"/>
      <c r="G2013" s="33"/>
      <c r="H2013" s="34"/>
      <c r="J2013" s="36"/>
      <c r="K2013" s="36"/>
      <c r="L2013" s="36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8"/>
      <c r="AS2013" s="38"/>
      <c r="AT2013" s="38"/>
      <c r="AU2013" s="33"/>
      <c r="AV2013" s="39"/>
      <c r="AW2013" s="39"/>
    </row>
    <row r="2014" spans="4:49">
      <c r="D2014" s="33"/>
      <c r="E2014" s="33"/>
      <c r="F2014" s="33"/>
      <c r="G2014" s="33"/>
      <c r="H2014" s="34"/>
      <c r="J2014" s="36"/>
      <c r="K2014" s="36"/>
      <c r="L2014" s="36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8"/>
      <c r="AS2014" s="38"/>
      <c r="AT2014" s="38"/>
      <c r="AU2014" s="33"/>
      <c r="AV2014" s="39"/>
      <c r="AW2014" s="39"/>
    </row>
    <row r="2015" spans="4:49">
      <c r="D2015" s="33"/>
      <c r="E2015" s="33"/>
      <c r="F2015" s="33"/>
      <c r="G2015" s="33"/>
      <c r="H2015" s="34"/>
      <c r="J2015" s="36"/>
      <c r="K2015" s="36"/>
      <c r="L2015" s="36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8"/>
      <c r="AS2015" s="38"/>
      <c r="AT2015" s="38"/>
      <c r="AU2015" s="33"/>
      <c r="AV2015" s="39"/>
      <c r="AW2015" s="39"/>
    </row>
    <row r="2016" spans="4:49">
      <c r="D2016" s="33"/>
      <c r="E2016" s="33"/>
      <c r="F2016" s="33"/>
      <c r="G2016" s="33"/>
      <c r="H2016" s="34"/>
      <c r="J2016" s="36"/>
      <c r="K2016" s="36"/>
      <c r="L2016" s="36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8"/>
      <c r="AS2016" s="38"/>
      <c r="AT2016" s="38"/>
      <c r="AU2016" s="33"/>
      <c r="AV2016" s="39"/>
      <c r="AW2016" s="39"/>
    </row>
    <row r="2017" spans="4:49">
      <c r="D2017" s="33"/>
      <c r="E2017" s="33"/>
      <c r="F2017" s="33"/>
      <c r="G2017" s="33"/>
      <c r="H2017" s="34"/>
      <c r="J2017" s="36"/>
      <c r="K2017" s="36"/>
      <c r="L2017" s="36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8"/>
      <c r="AS2017" s="38"/>
      <c r="AT2017" s="38"/>
      <c r="AU2017" s="33"/>
      <c r="AV2017" s="39"/>
      <c r="AW2017" s="39"/>
    </row>
    <row r="2018" spans="4:49">
      <c r="D2018" s="33"/>
      <c r="E2018" s="33"/>
      <c r="F2018" s="33"/>
      <c r="G2018" s="33"/>
      <c r="H2018" s="34"/>
      <c r="J2018" s="36"/>
      <c r="K2018" s="36"/>
      <c r="L2018" s="36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8"/>
      <c r="AS2018" s="38"/>
      <c r="AT2018" s="38"/>
      <c r="AU2018" s="33"/>
      <c r="AV2018" s="39"/>
      <c r="AW2018" s="39"/>
    </row>
    <row r="2019" spans="4:49">
      <c r="D2019" s="33"/>
      <c r="E2019" s="33"/>
      <c r="F2019" s="33"/>
      <c r="G2019" s="33"/>
      <c r="H2019" s="34"/>
      <c r="J2019" s="36"/>
      <c r="K2019" s="36"/>
      <c r="L2019" s="36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8"/>
      <c r="AS2019" s="38"/>
      <c r="AT2019" s="38"/>
      <c r="AU2019" s="33"/>
      <c r="AV2019" s="39"/>
      <c r="AW2019" s="39"/>
    </row>
    <row r="2020" spans="4:49">
      <c r="D2020" s="33"/>
      <c r="E2020" s="33"/>
      <c r="F2020" s="33"/>
      <c r="G2020" s="33"/>
      <c r="H2020" s="34"/>
      <c r="J2020" s="36"/>
      <c r="K2020" s="36"/>
      <c r="L2020" s="36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8"/>
      <c r="AS2020" s="38"/>
      <c r="AT2020" s="38"/>
      <c r="AU2020" s="33"/>
      <c r="AV2020" s="39"/>
      <c r="AW2020" s="39"/>
    </row>
    <row r="2021" spans="4:49">
      <c r="D2021" s="33"/>
      <c r="E2021" s="33"/>
      <c r="F2021" s="33"/>
      <c r="G2021" s="33"/>
      <c r="H2021" s="34"/>
      <c r="J2021" s="36"/>
      <c r="K2021" s="36"/>
      <c r="L2021" s="36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8"/>
      <c r="AS2021" s="38"/>
      <c r="AT2021" s="38"/>
      <c r="AU2021" s="33"/>
      <c r="AV2021" s="39"/>
      <c r="AW2021" s="39"/>
    </row>
    <row r="2022" spans="4:49">
      <c r="D2022" s="33"/>
      <c r="E2022" s="33"/>
      <c r="F2022" s="33"/>
      <c r="G2022" s="33"/>
      <c r="H2022" s="34"/>
      <c r="J2022" s="36"/>
      <c r="K2022" s="36"/>
      <c r="L2022" s="36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8"/>
      <c r="AS2022" s="38"/>
      <c r="AT2022" s="38"/>
      <c r="AU2022" s="33"/>
      <c r="AV2022" s="39"/>
      <c r="AW2022" s="39"/>
    </row>
    <row r="2023" spans="4:49">
      <c r="D2023" s="33"/>
      <c r="E2023" s="33"/>
      <c r="F2023" s="33"/>
      <c r="G2023" s="33"/>
      <c r="H2023" s="34"/>
      <c r="J2023" s="36"/>
      <c r="K2023" s="36"/>
      <c r="L2023" s="36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8"/>
      <c r="AS2023" s="38"/>
      <c r="AT2023" s="38"/>
      <c r="AU2023" s="33"/>
      <c r="AV2023" s="39"/>
      <c r="AW2023" s="39"/>
    </row>
    <row r="2024" spans="4:49">
      <c r="D2024" s="33"/>
      <c r="E2024" s="33"/>
      <c r="F2024" s="33"/>
      <c r="G2024" s="33"/>
      <c r="H2024" s="34"/>
      <c r="J2024" s="36"/>
      <c r="K2024" s="36"/>
      <c r="L2024" s="36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8"/>
      <c r="AS2024" s="38"/>
      <c r="AT2024" s="38"/>
      <c r="AU2024" s="33"/>
      <c r="AV2024" s="39"/>
      <c r="AW2024" s="39"/>
    </row>
    <row r="2025" spans="4:49">
      <c r="D2025" s="33"/>
      <c r="E2025" s="33"/>
      <c r="F2025" s="33"/>
      <c r="G2025" s="33"/>
      <c r="H2025" s="34"/>
      <c r="J2025" s="36"/>
      <c r="K2025" s="36"/>
      <c r="L2025" s="36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8"/>
      <c r="AS2025" s="38"/>
      <c r="AT2025" s="38"/>
      <c r="AU2025" s="33"/>
      <c r="AV2025" s="39"/>
      <c r="AW2025" s="39"/>
    </row>
    <row r="2026" spans="4:49">
      <c r="D2026" s="33"/>
      <c r="E2026" s="33"/>
      <c r="F2026" s="33"/>
      <c r="G2026" s="33"/>
      <c r="H2026" s="34"/>
      <c r="J2026" s="36"/>
      <c r="K2026" s="36"/>
      <c r="L2026" s="36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8"/>
      <c r="AS2026" s="38"/>
      <c r="AT2026" s="38"/>
      <c r="AU2026" s="33"/>
      <c r="AV2026" s="39"/>
      <c r="AW2026" s="39"/>
    </row>
    <row r="2027" spans="4:49">
      <c r="D2027" s="33"/>
      <c r="E2027" s="33"/>
      <c r="F2027" s="33"/>
      <c r="G2027" s="33"/>
      <c r="H2027" s="34"/>
      <c r="J2027" s="36"/>
      <c r="K2027" s="36"/>
      <c r="L2027" s="36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8"/>
      <c r="AS2027" s="38"/>
      <c r="AT2027" s="38"/>
      <c r="AU2027" s="33"/>
      <c r="AV2027" s="39"/>
      <c r="AW2027" s="39"/>
    </row>
    <row r="2028" spans="4:49">
      <c r="D2028" s="33"/>
      <c r="E2028" s="33"/>
      <c r="F2028" s="33"/>
      <c r="G2028" s="33"/>
      <c r="H2028" s="34"/>
      <c r="J2028" s="36"/>
      <c r="K2028" s="36"/>
      <c r="L2028" s="36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8"/>
      <c r="AS2028" s="38"/>
      <c r="AT2028" s="38"/>
      <c r="AU2028" s="33"/>
      <c r="AV2028" s="39"/>
      <c r="AW2028" s="39"/>
    </row>
    <row r="2029" spans="4:49">
      <c r="D2029" s="33"/>
      <c r="E2029" s="33"/>
      <c r="F2029" s="33"/>
      <c r="G2029" s="33"/>
      <c r="H2029" s="34"/>
      <c r="J2029" s="36"/>
      <c r="K2029" s="36"/>
      <c r="L2029" s="36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8"/>
      <c r="AS2029" s="38"/>
      <c r="AT2029" s="38"/>
      <c r="AU2029" s="33"/>
      <c r="AV2029" s="39"/>
      <c r="AW2029" s="39"/>
    </row>
    <row r="2030" spans="4:49">
      <c r="D2030" s="33"/>
      <c r="E2030" s="33"/>
      <c r="F2030" s="33"/>
      <c r="G2030" s="33"/>
      <c r="H2030" s="34"/>
      <c r="J2030" s="36"/>
      <c r="K2030" s="36"/>
      <c r="L2030" s="36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8"/>
      <c r="AS2030" s="38"/>
      <c r="AT2030" s="38"/>
      <c r="AU2030" s="33"/>
      <c r="AV2030" s="39"/>
      <c r="AW2030" s="39"/>
    </row>
    <row r="2031" spans="4:49">
      <c r="D2031" s="33"/>
      <c r="E2031" s="33"/>
      <c r="F2031" s="33"/>
      <c r="G2031" s="33"/>
      <c r="H2031" s="34"/>
      <c r="J2031" s="36"/>
      <c r="K2031" s="36"/>
      <c r="L2031" s="36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8"/>
      <c r="AS2031" s="38"/>
      <c r="AT2031" s="38"/>
      <c r="AU2031" s="33"/>
      <c r="AV2031" s="39"/>
      <c r="AW2031" s="39"/>
    </row>
    <row r="2032" spans="4:49">
      <c r="D2032" s="33"/>
      <c r="E2032" s="33"/>
      <c r="F2032" s="33"/>
      <c r="G2032" s="33"/>
      <c r="H2032" s="34"/>
      <c r="J2032" s="36"/>
      <c r="K2032" s="36"/>
      <c r="L2032" s="36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8"/>
      <c r="AS2032" s="38"/>
      <c r="AT2032" s="38"/>
      <c r="AU2032" s="33"/>
      <c r="AV2032" s="39"/>
      <c r="AW2032" s="39"/>
    </row>
    <row r="2033" spans="4:49">
      <c r="D2033" s="33"/>
      <c r="E2033" s="33"/>
      <c r="F2033" s="33"/>
      <c r="G2033" s="33"/>
      <c r="H2033" s="34"/>
      <c r="J2033" s="36"/>
      <c r="K2033" s="36"/>
      <c r="L2033" s="36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8"/>
      <c r="AS2033" s="38"/>
      <c r="AT2033" s="38"/>
      <c r="AU2033" s="33"/>
      <c r="AV2033" s="39"/>
      <c r="AW2033" s="39"/>
    </row>
    <row r="2034" spans="4:49">
      <c r="D2034" s="33"/>
      <c r="E2034" s="33"/>
      <c r="F2034" s="33"/>
      <c r="G2034" s="33"/>
      <c r="H2034" s="34"/>
      <c r="J2034" s="36"/>
      <c r="K2034" s="36"/>
      <c r="L2034" s="36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8"/>
      <c r="AS2034" s="38"/>
      <c r="AT2034" s="38"/>
      <c r="AU2034" s="33"/>
      <c r="AV2034" s="39"/>
      <c r="AW2034" s="39"/>
    </row>
    <row r="2035" spans="4:49">
      <c r="D2035" s="33"/>
      <c r="E2035" s="33"/>
      <c r="F2035" s="33"/>
      <c r="G2035" s="33"/>
      <c r="H2035" s="34"/>
      <c r="J2035" s="36"/>
      <c r="K2035" s="36"/>
      <c r="L2035" s="36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8"/>
      <c r="AS2035" s="38"/>
      <c r="AT2035" s="38"/>
      <c r="AU2035" s="33"/>
      <c r="AV2035" s="39"/>
      <c r="AW2035" s="39"/>
    </row>
    <row r="2036" spans="4:49">
      <c r="D2036" s="33"/>
      <c r="E2036" s="33"/>
      <c r="F2036" s="33"/>
      <c r="G2036" s="33"/>
      <c r="H2036" s="34"/>
      <c r="J2036" s="36"/>
      <c r="K2036" s="36"/>
      <c r="L2036" s="36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8"/>
      <c r="AS2036" s="38"/>
      <c r="AT2036" s="38"/>
      <c r="AU2036" s="33"/>
      <c r="AV2036" s="39"/>
      <c r="AW2036" s="39"/>
    </row>
    <row r="2037" spans="4:49">
      <c r="D2037" s="33"/>
      <c r="E2037" s="33"/>
      <c r="F2037" s="33"/>
      <c r="G2037" s="33"/>
      <c r="H2037" s="34"/>
      <c r="J2037" s="36"/>
      <c r="K2037" s="36"/>
      <c r="L2037" s="36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8"/>
      <c r="AS2037" s="38"/>
      <c r="AT2037" s="38"/>
      <c r="AU2037" s="33"/>
      <c r="AV2037" s="39"/>
      <c r="AW2037" s="39"/>
    </row>
    <row r="2038" spans="4:49">
      <c r="D2038" s="33"/>
      <c r="E2038" s="33"/>
      <c r="F2038" s="33"/>
      <c r="G2038" s="33"/>
      <c r="H2038" s="34"/>
      <c r="J2038" s="36"/>
      <c r="K2038" s="36"/>
      <c r="L2038" s="36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8"/>
      <c r="AS2038" s="38"/>
      <c r="AT2038" s="38"/>
      <c r="AU2038" s="33"/>
      <c r="AV2038" s="39"/>
      <c r="AW2038" s="39"/>
    </row>
    <row r="2039" spans="4:49">
      <c r="D2039" s="33"/>
      <c r="E2039" s="33"/>
      <c r="F2039" s="33"/>
      <c r="G2039" s="33"/>
      <c r="H2039" s="34"/>
      <c r="J2039" s="36"/>
      <c r="K2039" s="36"/>
      <c r="L2039" s="36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8"/>
      <c r="AS2039" s="38"/>
      <c r="AT2039" s="38"/>
      <c r="AU2039" s="33"/>
      <c r="AV2039" s="39"/>
      <c r="AW2039" s="39"/>
    </row>
    <row r="2040" spans="4:49">
      <c r="D2040" s="33"/>
      <c r="E2040" s="33"/>
      <c r="F2040" s="33"/>
      <c r="G2040" s="33"/>
      <c r="H2040" s="34"/>
      <c r="J2040" s="36"/>
      <c r="K2040" s="36"/>
      <c r="L2040" s="36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8"/>
      <c r="AS2040" s="38"/>
      <c r="AT2040" s="38"/>
      <c r="AU2040" s="33"/>
      <c r="AV2040" s="39"/>
      <c r="AW2040" s="39"/>
    </row>
    <row r="2041" spans="4:49">
      <c r="D2041" s="33"/>
      <c r="E2041" s="33"/>
      <c r="F2041" s="33"/>
      <c r="G2041" s="33"/>
      <c r="H2041" s="34"/>
      <c r="J2041" s="36"/>
      <c r="K2041" s="36"/>
      <c r="L2041" s="36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8"/>
      <c r="AS2041" s="38"/>
      <c r="AT2041" s="38"/>
      <c r="AU2041" s="33"/>
      <c r="AV2041" s="39"/>
      <c r="AW2041" s="39"/>
    </row>
    <row r="2042" spans="4:49">
      <c r="D2042" s="33"/>
      <c r="E2042" s="33"/>
      <c r="F2042" s="33"/>
      <c r="G2042" s="33"/>
      <c r="H2042" s="34"/>
      <c r="J2042" s="36"/>
      <c r="K2042" s="36"/>
      <c r="L2042" s="36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8"/>
      <c r="AS2042" s="38"/>
      <c r="AT2042" s="38"/>
      <c r="AU2042" s="33"/>
      <c r="AV2042" s="39"/>
      <c r="AW2042" s="39"/>
    </row>
    <row r="2043" spans="4:49">
      <c r="D2043" s="33"/>
      <c r="E2043" s="33"/>
      <c r="F2043" s="33"/>
      <c r="G2043" s="33"/>
      <c r="H2043" s="34"/>
      <c r="J2043" s="36"/>
      <c r="K2043" s="36"/>
      <c r="L2043" s="36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8"/>
      <c r="AS2043" s="38"/>
      <c r="AT2043" s="38"/>
      <c r="AU2043" s="33"/>
      <c r="AV2043" s="39"/>
      <c r="AW2043" s="39"/>
    </row>
    <row r="2044" spans="4:49">
      <c r="D2044" s="33"/>
      <c r="E2044" s="33"/>
      <c r="F2044" s="33"/>
      <c r="G2044" s="33"/>
      <c r="H2044" s="34"/>
      <c r="J2044" s="36"/>
      <c r="K2044" s="36"/>
      <c r="L2044" s="36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8"/>
      <c r="AS2044" s="38"/>
      <c r="AT2044" s="38"/>
      <c r="AU2044" s="33"/>
      <c r="AV2044" s="39"/>
      <c r="AW2044" s="39"/>
    </row>
    <row r="2045" spans="4:49">
      <c r="D2045" s="33"/>
      <c r="E2045" s="33"/>
      <c r="F2045" s="33"/>
      <c r="G2045" s="33"/>
      <c r="H2045" s="34"/>
      <c r="J2045" s="36"/>
      <c r="K2045" s="36"/>
      <c r="L2045" s="36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8"/>
      <c r="AS2045" s="38"/>
      <c r="AT2045" s="38"/>
      <c r="AU2045" s="33"/>
      <c r="AV2045" s="39"/>
      <c r="AW2045" s="39"/>
    </row>
    <row r="2046" spans="4:49">
      <c r="D2046" s="33"/>
      <c r="E2046" s="33"/>
      <c r="F2046" s="33"/>
      <c r="G2046" s="33"/>
      <c r="H2046" s="34"/>
      <c r="J2046" s="36"/>
      <c r="K2046" s="36"/>
      <c r="L2046" s="36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8"/>
      <c r="AS2046" s="38"/>
      <c r="AT2046" s="38"/>
      <c r="AU2046" s="33"/>
      <c r="AV2046" s="39"/>
      <c r="AW2046" s="39"/>
    </row>
    <row r="2047" spans="4:49">
      <c r="D2047" s="33"/>
      <c r="E2047" s="33"/>
      <c r="F2047" s="33"/>
      <c r="G2047" s="33"/>
      <c r="H2047" s="34"/>
      <c r="J2047" s="36"/>
      <c r="K2047" s="36"/>
      <c r="L2047" s="36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8"/>
      <c r="AS2047" s="38"/>
      <c r="AT2047" s="38"/>
      <c r="AU2047" s="33"/>
      <c r="AV2047" s="39"/>
      <c r="AW2047" s="39"/>
    </row>
    <row r="2048" spans="4:49">
      <c r="D2048" s="33"/>
      <c r="E2048" s="33"/>
      <c r="F2048" s="33"/>
      <c r="G2048" s="33"/>
      <c r="H2048" s="34"/>
      <c r="J2048" s="36"/>
      <c r="K2048" s="36"/>
      <c r="L2048" s="36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8"/>
      <c r="AS2048" s="38"/>
      <c r="AT2048" s="38"/>
      <c r="AU2048" s="33"/>
      <c r="AV2048" s="39"/>
      <c r="AW2048" s="39"/>
    </row>
    <row r="2049" spans="4:49">
      <c r="D2049" s="33"/>
      <c r="E2049" s="33"/>
      <c r="F2049" s="33"/>
      <c r="G2049" s="33"/>
      <c r="H2049" s="34"/>
      <c r="J2049" s="36"/>
      <c r="K2049" s="36"/>
      <c r="L2049" s="36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8"/>
      <c r="AS2049" s="38"/>
      <c r="AT2049" s="38"/>
      <c r="AU2049" s="33"/>
      <c r="AV2049" s="39"/>
      <c r="AW2049" s="39"/>
    </row>
    <row r="2050" spans="4:49">
      <c r="D2050" s="33"/>
      <c r="E2050" s="33"/>
      <c r="F2050" s="33"/>
      <c r="G2050" s="33"/>
      <c r="H2050" s="34"/>
      <c r="J2050" s="36"/>
      <c r="K2050" s="36"/>
      <c r="L2050" s="36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8"/>
      <c r="AS2050" s="38"/>
      <c r="AT2050" s="38"/>
      <c r="AU2050" s="33"/>
      <c r="AV2050" s="39"/>
      <c r="AW2050" s="39"/>
    </row>
    <row r="2051" spans="4:49">
      <c r="D2051" s="33"/>
      <c r="E2051" s="33"/>
      <c r="F2051" s="33"/>
      <c r="G2051" s="33"/>
      <c r="H2051" s="34"/>
      <c r="J2051" s="36"/>
      <c r="K2051" s="36"/>
      <c r="L2051" s="36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8"/>
      <c r="AS2051" s="38"/>
      <c r="AT2051" s="38"/>
      <c r="AU2051" s="33"/>
      <c r="AV2051" s="39"/>
      <c r="AW2051" s="39"/>
    </row>
    <row r="2052" spans="4:49">
      <c r="D2052" s="33"/>
      <c r="E2052" s="33"/>
      <c r="F2052" s="33"/>
      <c r="G2052" s="33"/>
      <c r="H2052" s="34"/>
      <c r="J2052" s="36"/>
      <c r="K2052" s="36"/>
      <c r="L2052" s="36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8"/>
      <c r="AS2052" s="38"/>
      <c r="AT2052" s="38"/>
      <c r="AU2052" s="33"/>
      <c r="AV2052" s="39"/>
      <c r="AW2052" s="39"/>
    </row>
    <row r="2053" spans="4:49">
      <c r="D2053" s="33"/>
      <c r="E2053" s="33"/>
      <c r="F2053" s="33"/>
      <c r="G2053" s="33"/>
      <c r="H2053" s="34"/>
      <c r="J2053" s="36"/>
      <c r="K2053" s="36"/>
      <c r="L2053" s="36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8"/>
      <c r="AS2053" s="38"/>
      <c r="AT2053" s="38"/>
      <c r="AU2053" s="33"/>
      <c r="AV2053" s="39"/>
      <c r="AW2053" s="39"/>
    </row>
    <row r="2054" spans="4:49">
      <c r="D2054" s="33"/>
      <c r="E2054" s="33"/>
      <c r="F2054" s="33"/>
      <c r="G2054" s="33"/>
      <c r="H2054" s="34"/>
      <c r="J2054" s="36"/>
      <c r="K2054" s="36"/>
      <c r="L2054" s="36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8"/>
      <c r="AS2054" s="38"/>
      <c r="AT2054" s="38"/>
      <c r="AU2054" s="33"/>
      <c r="AV2054" s="39"/>
      <c r="AW2054" s="39"/>
    </row>
    <row r="2055" spans="4:49">
      <c r="D2055" s="33"/>
      <c r="E2055" s="33"/>
      <c r="F2055" s="33"/>
      <c r="G2055" s="33"/>
      <c r="H2055" s="34"/>
      <c r="J2055" s="36"/>
      <c r="K2055" s="36"/>
      <c r="L2055" s="36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8"/>
      <c r="AS2055" s="38"/>
      <c r="AT2055" s="38"/>
      <c r="AU2055" s="33"/>
      <c r="AV2055" s="39"/>
      <c r="AW2055" s="39"/>
    </row>
    <row r="2056" spans="4:49">
      <c r="D2056" s="33"/>
      <c r="E2056" s="33"/>
      <c r="F2056" s="33"/>
      <c r="G2056" s="33"/>
      <c r="H2056" s="34"/>
      <c r="J2056" s="36"/>
      <c r="K2056" s="36"/>
      <c r="L2056" s="36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8"/>
      <c r="AS2056" s="38"/>
      <c r="AT2056" s="38"/>
      <c r="AU2056" s="33"/>
      <c r="AV2056" s="39"/>
      <c r="AW2056" s="39"/>
    </row>
    <row r="2057" spans="4:49">
      <c r="D2057" s="33"/>
      <c r="E2057" s="33"/>
      <c r="F2057" s="33"/>
      <c r="G2057" s="33"/>
      <c r="H2057" s="34"/>
      <c r="J2057" s="36"/>
      <c r="K2057" s="36"/>
      <c r="L2057" s="36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8"/>
      <c r="AS2057" s="38"/>
      <c r="AT2057" s="38"/>
      <c r="AU2057" s="33"/>
      <c r="AV2057" s="39"/>
      <c r="AW2057" s="39"/>
    </row>
    <row r="2058" spans="4:49">
      <c r="D2058" s="33"/>
      <c r="E2058" s="33"/>
      <c r="F2058" s="33"/>
      <c r="G2058" s="33"/>
      <c r="H2058" s="34"/>
      <c r="J2058" s="36"/>
      <c r="K2058" s="36"/>
      <c r="L2058" s="36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8"/>
      <c r="AS2058" s="38"/>
      <c r="AT2058" s="38"/>
      <c r="AU2058" s="33"/>
      <c r="AV2058" s="39"/>
      <c r="AW2058" s="39"/>
    </row>
    <row r="2059" spans="4:49">
      <c r="D2059" s="33"/>
      <c r="E2059" s="33"/>
      <c r="F2059" s="33"/>
      <c r="G2059" s="33"/>
      <c r="H2059" s="34"/>
      <c r="J2059" s="36"/>
      <c r="K2059" s="36"/>
      <c r="L2059" s="36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8"/>
      <c r="AS2059" s="38"/>
      <c r="AT2059" s="38"/>
      <c r="AU2059" s="33"/>
      <c r="AV2059" s="39"/>
      <c r="AW2059" s="39"/>
    </row>
    <row r="2060" spans="4:49">
      <c r="D2060" s="33"/>
      <c r="E2060" s="33"/>
      <c r="F2060" s="33"/>
      <c r="G2060" s="33"/>
      <c r="H2060" s="34"/>
      <c r="J2060" s="36"/>
      <c r="K2060" s="36"/>
      <c r="L2060" s="36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8"/>
      <c r="AS2060" s="38"/>
      <c r="AT2060" s="38"/>
      <c r="AU2060" s="33"/>
      <c r="AV2060" s="39"/>
      <c r="AW2060" s="39"/>
    </row>
    <row r="2061" spans="4:49">
      <c r="D2061" s="33"/>
      <c r="E2061" s="33"/>
      <c r="F2061" s="33"/>
      <c r="G2061" s="33"/>
      <c r="H2061" s="34"/>
      <c r="J2061" s="36"/>
      <c r="K2061" s="36"/>
      <c r="L2061" s="36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8"/>
      <c r="AS2061" s="38"/>
      <c r="AT2061" s="38"/>
      <c r="AU2061" s="33"/>
      <c r="AV2061" s="39"/>
      <c r="AW2061" s="39"/>
    </row>
    <row r="2062" spans="4:49">
      <c r="D2062" s="33"/>
      <c r="E2062" s="33"/>
      <c r="F2062" s="33"/>
      <c r="G2062" s="33"/>
      <c r="H2062" s="34"/>
      <c r="J2062" s="36"/>
      <c r="K2062" s="36"/>
      <c r="L2062" s="36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8"/>
      <c r="AS2062" s="38"/>
      <c r="AT2062" s="38"/>
      <c r="AU2062" s="33"/>
      <c r="AV2062" s="39"/>
      <c r="AW2062" s="39"/>
    </row>
    <row r="2063" spans="4:49">
      <c r="D2063" s="33"/>
      <c r="E2063" s="33"/>
      <c r="F2063" s="33"/>
      <c r="G2063" s="33"/>
      <c r="H2063" s="34"/>
      <c r="J2063" s="36"/>
      <c r="K2063" s="36"/>
      <c r="L2063" s="36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8"/>
      <c r="AS2063" s="38"/>
      <c r="AT2063" s="38"/>
      <c r="AU2063" s="33"/>
      <c r="AV2063" s="39"/>
      <c r="AW2063" s="39"/>
    </row>
    <row r="2064" spans="4:49">
      <c r="D2064" s="33"/>
      <c r="E2064" s="33"/>
      <c r="F2064" s="33"/>
      <c r="G2064" s="33"/>
      <c r="H2064" s="34"/>
      <c r="J2064" s="36"/>
      <c r="K2064" s="36"/>
      <c r="L2064" s="36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8"/>
      <c r="AS2064" s="38"/>
      <c r="AT2064" s="38"/>
      <c r="AU2064" s="33"/>
      <c r="AV2064" s="39"/>
      <c r="AW2064" s="39"/>
    </row>
    <row r="2065" spans="4:49">
      <c r="D2065" s="33"/>
      <c r="E2065" s="33"/>
      <c r="F2065" s="33"/>
      <c r="G2065" s="33"/>
      <c r="H2065" s="34"/>
      <c r="J2065" s="36"/>
      <c r="K2065" s="36"/>
      <c r="L2065" s="36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8"/>
      <c r="AS2065" s="38"/>
      <c r="AT2065" s="38"/>
      <c r="AU2065" s="33"/>
      <c r="AV2065" s="39"/>
      <c r="AW2065" s="39"/>
    </row>
    <row r="2066" spans="4:49">
      <c r="D2066" s="33"/>
      <c r="E2066" s="33"/>
      <c r="F2066" s="33"/>
      <c r="G2066" s="33"/>
      <c r="H2066" s="34"/>
      <c r="J2066" s="36"/>
      <c r="K2066" s="36"/>
      <c r="L2066" s="36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8"/>
      <c r="AS2066" s="38"/>
      <c r="AT2066" s="38"/>
      <c r="AU2066" s="33"/>
      <c r="AV2066" s="39"/>
      <c r="AW2066" s="39"/>
    </row>
    <row r="2067" spans="4:49">
      <c r="D2067" s="33"/>
      <c r="E2067" s="33"/>
      <c r="F2067" s="33"/>
      <c r="G2067" s="33"/>
      <c r="H2067" s="34"/>
      <c r="J2067" s="36"/>
      <c r="K2067" s="36"/>
      <c r="L2067" s="36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8"/>
      <c r="AS2067" s="38"/>
      <c r="AT2067" s="38"/>
      <c r="AU2067" s="33"/>
      <c r="AV2067" s="39"/>
      <c r="AW2067" s="39"/>
    </row>
    <row r="2068" spans="4:49">
      <c r="D2068" s="33"/>
      <c r="E2068" s="33"/>
      <c r="F2068" s="33"/>
      <c r="G2068" s="33"/>
      <c r="H2068" s="34"/>
      <c r="J2068" s="36"/>
      <c r="K2068" s="36"/>
      <c r="L2068" s="36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8"/>
      <c r="AS2068" s="38"/>
      <c r="AT2068" s="38"/>
      <c r="AU2068" s="33"/>
      <c r="AV2068" s="39"/>
      <c r="AW2068" s="39"/>
    </row>
    <row r="2069" spans="4:49">
      <c r="D2069" s="33"/>
      <c r="E2069" s="33"/>
      <c r="F2069" s="33"/>
      <c r="G2069" s="33"/>
      <c r="H2069" s="34"/>
      <c r="J2069" s="36"/>
      <c r="K2069" s="36"/>
      <c r="L2069" s="36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8"/>
      <c r="AS2069" s="38"/>
      <c r="AT2069" s="38"/>
      <c r="AU2069" s="33"/>
      <c r="AV2069" s="39"/>
      <c r="AW2069" s="39"/>
    </row>
    <row r="2070" spans="4:49">
      <c r="D2070" s="33"/>
      <c r="E2070" s="33"/>
      <c r="F2070" s="33"/>
      <c r="G2070" s="33"/>
      <c r="H2070" s="34"/>
      <c r="J2070" s="36"/>
      <c r="K2070" s="36"/>
      <c r="L2070" s="36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8"/>
      <c r="AS2070" s="38"/>
      <c r="AT2070" s="38"/>
      <c r="AU2070" s="33"/>
      <c r="AV2070" s="39"/>
      <c r="AW2070" s="39"/>
    </row>
    <row r="2071" spans="4:49">
      <c r="D2071" s="33"/>
      <c r="E2071" s="33"/>
      <c r="F2071" s="33"/>
      <c r="G2071" s="33"/>
      <c r="H2071" s="34"/>
      <c r="J2071" s="36"/>
      <c r="K2071" s="36"/>
      <c r="L2071" s="36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8"/>
      <c r="AS2071" s="38"/>
      <c r="AT2071" s="38"/>
      <c r="AU2071" s="33"/>
      <c r="AV2071" s="39"/>
      <c r="AW2071" s="39"/>
    </row>
    <row r="2072" spans="4:49">
      <c r="D2072" s="33"/>
      <c r="E2072" s="33"/>
      <c r="F2072" s="33"/>
      <c r="G2072" s="33"/>
      <c r="H2072" s="34"/>
      <c r="J2072" s="36"/>
      <c r="K2072" s="36"/>
      <c r="L2072" s="36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8"/>
      <c r="AS2072" s="38"/>
      <c r="AT2072" s="38"/>
      <c r="AU2072" s="33"/>
      <c r="AV2072" s="39"/>
      <c r="AW2072" s="39"/>
    </row>
    <row r="2073" spans="4:48">
      <c r="D2073" s="33"/>
      <c r="E2073" s="33"/>
      <c r="F2073" s="33"/>
      <c r="G2073" s="33"/>
      <c r="H2073" s="34"/>
      <c r="J2073" s="36"/>
      <c r="K2073" s="36"/>
      <c r="L2073" s="36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8"/>
      <c r="AS2073" s="38"/>
      <c r="AT2073" s="38"/>
      <c r="AU2073" s="33"/>
      <c r="AV2073" s="39"/>
    </row>
    <row r="2074" spans="4:48">
      <c r="D2074" s="33"/>
      <c r="E2074" s="33"/>
      <c r="F2074" s="33"/>
      <c r="G2074" s="33"/>
      <c r="H2074" s="34"/>
      <c r="J2074" s="36"/>
      <c r="K2074" s="36"/>
      <c r="L2074" s="36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8"/>
      <c r="AS2074" s="38"/>
      <c r="AT2074" s="38"/>
      <c r="AU2074" s="33"/>
      <c r="AV2074" s="39"/>
    </row>
    <row r="2075" spans="4:48">
      <c r="D2075" s="33"/>
      <c r="E2075" s="33"/>
      <c r="F2075" s="33"/>
      <c r="G2075" s="33"/>
      <c r="H2075" s="34"/>
      <c r="J2075" s="36"/>
      <c r="K2075" s="36"/>
      <c r="L2075" s="36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8"/>
      <c r="AS2075" s="38"/>
      <c r="AT2075" s="38"/>
      <c r="AU2075" s="33"/>
      <c r="AV2075" s="39"/>
    </row>
    <row r="2076" spans="4:48">
      <c r="D2076" s="33"/>
      <c r="E2076" s="33"/>
      <c r="F2076" s="33"/>
      <c r="G2076" s="33"/>
      <c r="H2076" s="34"/>
      <c r="J2076" s="36"/>
      <c r="K2076" s="36"/>
      <c r="L2076" s="36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8"/>
      <c r="AS2076" s="38"/>
      <c r="AT2076" s="38"/>
      <c r="AU2076" s="33"/>
      <c r="AV2076" s="39"/>
    </row>
    <row r="2077" spans="4:48">
      <c r="D2077" s="33"/>
      <c r="E2077" s="33"/>
      <c r="F2077" s="33"/>
      <c r="G2077" s="33"/>
      <c r="H2077" s="34"/>
      <c r="J2077" s="36"/>
      <c r="K2077" s="36"/>
      <c r="L2077" s="36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8"/>
      <c r="AS2077" s="38"/>
      <c r="AT2077" s="38"/>
      <c r="AU2077" s="33"/>
      <c r="AV2077" s="39"/>
    </row>
    <row r="2078" spans="4:48">
      <c r="D2078" s="33"/>
      <c r="E2078" s="33"/>
      <c r="F2078" s="33"/>
      <c r="G2078" s="33"/>
      <c r="H2078" s="34"/>
      <c r="J2078" s="36"/>
      <c r="K2078" s="36"/>
      <c r="L2078" s="36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8"/>
      <c r="AS2078" s="38"/>
      <c r="AT2078" s="38"/>
      <c r="AU2078" s="33"/>
      <c r="AV2078" s="39"/>
    </row>
    <row r="2079" spans="4:48">
      <c r="D2079" s="33"/>
      <c r="E2079" s="33"/>
      <c r="F2079" s="33"/>
      <c r="G2079" s="33"/>
      <c r="H2079" s="34"/>
      <c r="J2079" s="36"/>
      <c r="K2079" s="36"/>
      <c r="L2079" s="36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8"/>
      <c r="AS2079" s="38"/>
      <c r="AT2079" s="38"/>
      <c r="AU2079" s="33"/>
      <c r="AV2079" s="39"/>
    </row>
    <row r="2080" spans="4:48">
      <c r="D2080" s="33"/>
      <c r="E2080" s="33"/>
      <c r="F2080" s="33"/>
      <c r="G2080" s="33"/>
      <c r="H2080" s="34"/>
      <c r="J2080" s="36"/>
      <c r="K2080" s="36"/>
      <c r="L2080" s="36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8"/>
      <c r="AS2080" s="38"/>
      <c r="AT2080" s="38"/>
      <c r="AU2080" s="33"/>
      <c r="AV2080" s="39"/>
    </row>
    <row r="2081" spans="4:48">
      <c r="D2081" s="33"/>
      <c r="E2081" s="33"/>
      <c r="F2081" s="33"/>
      <c r="G2081" s="33"/>
      <c r="H2081" s="34"/>
      <c r="J2081" s="36"/>
      <c r="K2081" s="36"/>
      <c r="L2081" s="36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8"/>
      <c r="AS2081" s="38"/>
      <c r="AT2081" s="38"/>
      <c r="AU2081" s="33"/>
      <c r="AV2081" s="39"/>
    </row>
    <row r="2082" spans="4:48">
      <c r="D2082" s="33"/>
      <c r="E2082" s="33"/>
      <c r="F2082" s="33"/>
      <c r="G2082" s="33"/>
      <c r="H2082" s="34"/>
      <c r="J2082" s="36"/>
      <c r="K2082" s="36"/>
      <c r="L2082" s="36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8"/>
      <c r="AS2082" s="38"/>
      <c r="AT2082" s="38"/>
      <c r="AU2082" s="33"/>
      <c r="AV2082" s="39"/>
    </row>
    <row r="2083" spans="4:48">
      <c r="D2083" s="33"/>
      <c r="E2083" s="33"/>
      <c r="F2083" s="33"/>
      <c r="G2083" s="33"/>
      <c r="H2083" s="34"/>
      <c r="J2083" s="36"/>
      <c r="K2083" s="36"/>
      <c r="L2083" s="36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8"/>
      <c r="AS2083" s="38"/>
      <c r="AT2083" s="38"/>
      <c r="AU2083" s="33"/>
      <c r="AV2083" s="39"/>
    </row>
    <row r="2084" spans="4:48">
      <c r="D2084" s="33"/>
      <c r="E2084" s="33"/>
      <c r="F2084" s="33"/>
      <c r="G2084" s="33"/>
      <c r="H2084" s="34"/>
      <c r="J2084" s="36"/>
      <c r="K2084" s="36"/>
      <c r="L2084" s="36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8"/>
      <c r="AS2084" s="38"/>
      <c r="AT2084" s="38"/>
      <c r="AU2084" s="33"/>
      <c r="AV2084" s="39"/>
    </row>
    <row r="2085" spans="4:48">
      <c r="D2085" s="33"/>
      <c r="E2085" s="33"/>
      <c r="F2085" s="33"/>
      <c r="G2085" s="33"/>
      <c r="H2085" s="34"/>
      <c r="J2085" s="36"/>
      <c r="K2085" s="36"/>
      <c r="L2085" s="36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8"/>
      <c r="AS2085" s="38"/>
      <c r="AT2085" s="38"/>
      <c r="AU2085" s="33"/>
      <c r="AV2085" s="39"/>
    </row>
    <row r="2086" spans="4:48">
      <c r="D2086" s="33"/>
      <c r="E2086" s="33"/>
      <c r="F2086" s="33"/>
      <c r="G2086" s="33"/>
      <c r="H2086" s="34"/>
      <c r="J2086" s="36"/>
      <c r="K2086" s="36"/>
      <c r="L2086" s="36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8"/>
      <c r="AS2086" s="38"/>
      <c r="AT2086" s="38"/>
      <c r="AU2086" s="33"/>
      <c r="AV2086" s="39"/>
    </row>
    <row r="2087" spans="4:48">
      <c r="D2087" s="33"/>
      <c r="E2087" s="33"/>
      <c r="F2087" s="33"/>
      <c r="G2087" s="33"/>
      <c r="H2087" s="34"/>
      <c r="J2087" s="36"/>
      <c r="K2087" s="36"/>
      <c r="L2087" s="36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8"/>
      <c r="AS2087" s="38"/>
      <c r="AT2087" s="38"/>
      <c r="AU2087" s="33"/>
      <c r="AV2087" s="39"/>
    </row>
    <row r="2088" spans="4:48">
      <c r="D2088" s="33"/>
      <c r="E2088" s="33"/>
      <c r="F2088" s="33"/>
      <c r="G2088" s="33"/>
      <c r="H2088" s="34"/>
      <c r="J2088" s="36"/>
      <c r="K2088" s="36"/>
      <c r="L2088" s="36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8"/>
      <c r="AS2088" s="38"/>
      <c r="AT2088" s="38"/>
      <c r="AU2088" s="33"/>
      <c r="AV2088" s="39"/>
    </row>
    <row r="2089" spans="4:48">
      <c r="D2089" s="33"/>
      <c r="E2089" s="33"/>
      <c r="F2089" s="33"/>
      <c r="G2089" s="33"/>
      <c r="H2089" s="34"/>
      <c r="J2089" s="36"/>
      <c r="K2089" s="36"/>
      <c r="L2089" s="36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8"/>
      <c r="AS2089" s="38"/>
      <c r="AT2089" s="38"/>
      <c r="AU2089" s="33"/>
      <c r="AV2089" s="39"/>
    </row>
    <row r="2090" spans="4:48">
      <c r="D2090" s="33"/>
      <c r="E2090" s="33"/>
      <c r="F2090" s="33"/>
      <c r="G2090" s="33"/>
      <c r="H2090" s="34"/>
      <c r="J2090" s="36"/>
      <c r="K2090" s="36"/>
      <c r="L2090" s="36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8"/>
      <c r="AS2090" s="38"/>
      <c r="AT2090" s="38"/>
      <c r="AU2090" s="33"/>
      <c r="AV2090" s="39"/>
    </row>
    <row r="2091" spans="4:48">
      <c r="D2091" s="33"/>
      <c r="E2091" s="33"/>
      <c r="F2091" s="33"/>
      <c r="G2091" s="33"/>
      <c r="H2091" s="34"/>
      <c r="J2091" s="36"/>
      <c r="K2091" s="36"/>
      <c r="L2091" s="36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8"/>
      <c r="AS2091" s="38"/>
      <c r="AT2091" s="38"/>
      <c r="AU2091" s="33"/>
      <c r="AV2091" s="39"/>
    </row>
    <row r="2092" spans="4:48">
      <c r="D2092" s="33"/>
      <c r="E2092" s="33"/>
      <c r="F2092" s="33"/>
      <c r="G2092" s="33"/>
      <c r="H2092" s="34"/>
      <c r="J2092" s="36"/>
      <c r="K2092" s="36"/>
      <c r="L2092" s="36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8"/>
      <c r="AS2092" s="38"/>
      <c r="AT2092" s="38"/>
      <c r="AU2092" s="33"/>
      <c r="AV2092" s="39"/>
    </row>
    <row r="2093" spans="4:48">
      <c r="D2093" s="33"/>
      <c r="E2093" s="33"/>
      <c r="F2093" s="33"/>
      <c r="G2093" s="33"/>
      <c r="H2093" s="34"/>
      <c r="J2093" s="36"/>
      <c r="K2093" s="36"/>
      <c r="L2093" s="36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8"/>
      <c r="AS2093" s="38"/>
      <c r="AT2093" s="38"/>
      <c r="AU2093" s="33"/>
      <c r="AV2093" s="39"/>
    </row>
    <row r="2094" spans="4:48">
      <c r="D2094" s="33"/>
      <c r="E2094" s="33"/>
      <c r="F2094" s="33"/>
      <c r="G2094" s="33"/>
      <c r="H2094" s="34"/>
      <c r="J2094" s="36"/>
      <c r="K2094" s="36"/>
      <c r="L2094" s="36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8"/>
      <c r="AS2094" s="38"/>
      <c r="AT2094" s="38"/>
      <c r="AU2094" s="33"/>
      <c r="AV2094" s="39"/>
    </row>
    <row r="2095" spans="4:48">
      <c r="D2095" s="33"/>
      <c r="E2095" s="33"/>
      <c r="F2095" s="33"/>
      <c r="G2095" s="33"/>
      <c r="H2095" s="34"/>
      <c r="J2095" s="36"/>
      <c r="K2095" s="36"/>
      <c r="L2095" s="36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8"/>
      <c r="AS2095" s="38"/>
      <c r="AT2095" s="38"/>
      <c r="AU2095" s="33"/>
      <c r="AV2095" s="39"/>
    </row>
    <row r="2096" spans="4:48">
      <c r="D2096" s="33"/>
      <c r="E2096" s="33"/>
      <c r="F2096" s="33"/>
      <c r="G2096" s="33"/>
      <c r="H2096" s="34"/>
      <c r="J2096" s="36"/>
      <c r="K2096" s="36"/>
      <c r="L2096" s="36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8"/>
      <c r="AS2096" s="38"/>
      <c r="AT2096" s="38"/>
      <c r="AU2096" s="33"/>
      <c r="AV2096" s="39"/>
    </row>
    <row r="2097" spans="4:48">
      <c r="D2097" s="33"/>
      <c r="E2097" s="33"/>
      <c r="F2097" s="33"/>
      <c r="G2097" s="33"/>
      <c r="H2097" s="34"/>
      <c r="J2097" s="36"/>
      <c r="K2097" s="36"/>
      <c r="L2097" s="36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8"/>
      <c r="AS2097" s="38"/>
      <c r="AT2097" s="38"/>
      <c r="AU2097" s="33"/>
      <c r="AV2097" s="39"/>
    </row>
    <row r="2098" spans="4:48">
      <c r="D2098" s="33"/>
      <c r="E2098" s="33"/>
      <c r="F2098" s="33"/>
      <c r="G2098" s="33"/>
      <c r="H2098" s="34"/>
      <c r="J2098" s="36"/>
      <c r="K2098" s="36"/>
      <c r="L2098" s="36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8"/>
      <c r="AS2098" s="38"/>
      <c r="AT2098" s="38"/>
      <c r="AU2098" s="33"/>
      <c r="AV2098" s="39"/>
    </row>
    <row r="2099" spans="4:48">
      <c r="D2099" s="33"/>
      <c r="E2099" s="33"/>
      <c r="F2099" s="33"/>
      <c r="G2099" s="33"/>
      <c r="H2099" s="34"/>
      <c r="J2099" s="36"/>
      <c r="K2099" s="36"/>
      <c r="L2099" s="36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8"/>
      <c r="AS2099" s="38"/>
      <c r="AT2099" s="38"/>
      <c r="AU2099" s="33"/>
      <c r="AV2099" s="39"/>
    </row>
    <row r="2100" spans="4:48">
      <c r="D2100" s="33"/>
      <c r="E2100" s="33"/>
      <c r="F2100" s="33"/>
      <c r="G2100" s="33"/>
      <c r="H2100" s="34"/>
      <c r="J2100" s="36"/>
      <c r="K2100" s="36"/>
      <c r="L2100" s="36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8"/>
      <c r="AS2100" s="38"/>
      <c r="AT2100" s="38"/>
      <c r="AU2100" s="33"/>
      <c r="AV2100" s="39"/>
    </row>
    <row r="2101" spans="4:48">
      <c r="D2101" s="33"/>
      <c r="E2101" s="33"/>
      <c r="F2101" s="33"/>
      <c r="G2101" s="33"/>
      <c r="H2101" s="34"/>
      <c r="J2101" s="36"/>
      <c r="K2101" s="36"/>
      <c r="L2101" s="36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8"/>
      <c r="AS2101" s="38"/>
      <c r="AT2101" s="38"/>
      <c r="AU2101" s="33"/>
      <c r="AV2101" s="39"/>
    </row>
    <row r="2102" spans="4:48">
      <c r="D2102" s="33"/>
      <c r="E2102" s="33"/>
      <c r="F2102" s="33"/>
      <c r="G2102" s="33"/>
      <c r="H2102" s="34"/>
      <c r="J2102" s="36"/>
      <c r="K2102" s="36"/>
      <c r="L2102" s="36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8"/>
      <c r="AS2102" s="38"/>
      <c r="AT2102" s="38"/>
      <c r="AU2102" s="33"/>
      <c r="AV2102" s="39"/>
    </row>
    <row r="2103" spans="4:48">
      <c r="D2103" s="33"/>
      <c r="E2103" s="33"/>
      <c r="F2103" s="33"/>
      <c r="G2103" s="33"/>
      <c r="H2103" s="34"/>
      <c r="J2103" s="36"/>
      <c r="K2103" s="36"/>
      <c r="L2103" s="36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8"/>
      <c r="AS2103" s="38"/>
      <c r="AT2103" s="38"/>
      <c r="AU2103" s="33"/>
      <c r="AV2103" s="39"/>
    </row>
    <row r="2104" spans="4:48">
      <c r="D2104" s="33"/>
      <c r="E2104" s="33"/>
      <c r="F2104" s="33"/>
      <c r="G2104" s="33"/>
      <c r="H2104" s="34"/>
      <c r="J2104" s="36"/>
      <c r="K2104" s="36"/>
      <c r="L2104" s="36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8"/>
      <c r="AS2104" s="38"/>
      <c r="AT2104" s="38"/>
      <c r="AU2104" s="33"/>
      <c r="AV2104" s="39"/>
    </row>
    <row r="2105" spans="4:48">
      <c r="D2105" s="33"/>
      <c r="E2105" s="33"/>
      <c r="F2105" s="33"/>
      <c r="G2105" s="33"/>
      <c r="H2105" s="34"/>
      <c r="J2105" s="36"/>
      <c r="K2105" s="36"/>
      <c r="L2105" s="36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8"/>
      <c r="AS2105" s="38"/>
      <c r="AT2105" s="38"/>
      <c r="AU2105" s="33"/>
      <c r="AV2105" s="39"/>
    </row>
    <row r="2106" spans="4:48">
      <c r="D2106" s="33"/>
      <c r="E2106" s="33"/>
      <c r="F2106" s="33"/>
      <c r="G2106" s="33"/>
      <c r="H2106" s="34"/>
      <c r="J2106" s="36"/>
      <c r="K2106" s="36"/>
      <c r="L2106" s="36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8"/>
      <c r="AS2106" s="38"/>
      <c r="AT2106" s="38"/>
      <c r="AU2106" s="33"/>
      <c r="AV2106" s="39"/>
    </row>
    <row r="2107" spans="4:48">
      <c r="D2107" s="33"/>
      <c r="E2107" s="33"/>
      <c r="F2107" s="33"/>
      <c r="G2107" s="33"/>
      <c r="H2107" s="34"/>
      <c r="J2107" s="36"/>
      <c r="K2107" s="36"/>
      <c r="L2107" s="36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8"/>
      <c r="AS2107" s="38"/>
      <c r="AT2107" s="38"/>
      <c r="AU2107" s="33"/>
      <c r="AV2107" s="39"/>
    </row>
    <row r="2108" spans="4:48">
      <c r="D2108" s="33"/>
      <c r="E2108" s="33"/>
      <c r="F2108" s="33"/>
      <c r="G2108" s="33"/>
      <c r="H2108" s="34"/>
      <c r="J2108" s="36"/>
      <c r="K2108" s="36"/>
      <c r="L2108" s="36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8"/>
      <c r="AS2108" s="38"/>
      <c r="AT2108" s="38"/>
      <c r="AU2108" s="33"/>
      <c r="AV2108" s="39"/>
    </row>
    <row r="2109" spans="4:48">
      <c r="D2109" s="33"/>
      <c r="E2109" s="33"/>
      <c r="F2109" s="33"/>
      <c r="G2109" s="33"/>
      <c r="H2109" s="34"/>
      <c r="J2109" s="36"/>
      <c r="K2109" s="36"/>
      <c r="L2109" s="36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8"/>
      <c r="AS2109" s="38"/>
      <c r="AT2109" s="38"/>
      <c r="AU2109" s="33"/>
      <c r="AV2109" s="39"/>
    </row>
    <row r="2110" spans="4:48">
      <c r="D2110" s="33"/>
      <c r="E2110" s="33"/>
      <c r="F2110" s="33"/>
      <c r="G2110" s="33"/>
      <c r="H2110" s="34"/>
      <c r="J2110" s="36"/>
      <c r="K2110" s="36"/>
      <c r="L2110" s="36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8"/>
      <c r="AS2110" s="38"/>
      <c r="AT2110" s="38"/>
      <c r="AU2110" s="33"/>
      <c r="AV2110" s="39"/>
    </row>
    <row r="2111" spans="4:48">
      <c r="D2111" s="33"/>
      <c r="E2111" s="33"/>
      <c r="F2111" s="33"/>
      <c r="G2111" s="33"/>
      <c r="H2111" s="34"/>
      <c r="J2111" s="36"/>
      <c r="K2111" s="36"/>
      <c r="L2111" s="36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8"/>
      <c r="AS2111" s="38"/>
      <c r="AT2111" s="38"/>
      <c r="AU2111" s="33"/>
      <c r="AV2111" s="39"/>
    </row>
    <row r="2112" spans="4:48">
      <c r="D2112" s="33"/>
      <c r="E2112" s="33"/>
      <c r="F2112" s="33"/>
      <c r="G2112" s="33"/>
      <c r="H2112" s="34"/>
      <c r="J2112" s="36"/>
      <c r="K2112" s="36"/>
      <c r="L2112" s="36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8"/>
      <c r="AS2112" s="38"/>
      <c r="AT2112" s="38"/>
      <c r="AU2112" s="33"/>
      <c r="AV2112" s="39"/>
    </row>
    <row r="2113" spans="4:48">
      <c r="D2113" s="33"/>
      <c r="E2113" s="33"/>
      <c r="F2113" s="33"/>
      <c r="G2113" s="33"/>
      <c r="H2113" s="34"/>
      <c r="J2113" s="36"/>
      <c r="K2113" s="36"/>
      <c r="L2113" s="36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8"/>
      <c r="AS2113" s="38"/>
      <c r="AT2113" s="38"/>
      <c r="AU2113" s="33"/>
      <c r="AV2113" s="39"/>
    </row>
    <row r="2114" spans="4:48">
      <c r="D2114" s="33"/>
      <c r="E2114" s="33"/>
      <c r="F2114" s="33"/>
      <c r="G2114" s="33"/>
      <c r="H2114" s="34"/>
      <c r="J2114" s="36"/>
      <c r="K2114" s="36"/>
      <c r="L2114" s="36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8"/>
      <c r="AS2114" s="38"/>
      <c r="AT2114" s="38"/>
      <c r="AU2114" s="33"/>
      <c r="AV2114" s="39"/>
    </row>
    <row r="2115" spans="4:48">
      <c r="D2115" s="33"/>
      <c r="E2115" s="33"/>
      <c r="F2115" s="33"/>
      <c r="G2115" s="33"/>
      <c r="H2115" s="34"/>
      <c r="J2115" s="36"/>
      <c r="K2115" s="36"/>
      <c r="L2115" s="36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8"/>
      <c r="AS2115" s="38"/>
      <c r="AT2115" s="38"/>
      <c r="AU2115" s="33"/>
      <c r="AV2115" s="39"/>
    </row>
    <row r="2116" spans="4:48">
      <c r="D2116" s="33"/>
      <c r="E2116" s="33"/>
      <c r="F2116" s="33"/>
      <c r="G2116" s="33"/>
      <c r="H2116" s="34"/>
      <c r="J2116" s="36"/>
      <c r="K2116" s="36"/>
      <c r="L2116" s="36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8"/>
      <c r="AS2116" s="38"/>
      <c r="AT2116" s="38"/>
      <c r="AU2116" s="33"/>
      <c r="AV2116" s="39"/>
    </row>
    <row r="2117" spans="4:48">
      <c r="D2117" s="33"/>
      <c r="E2117" s="33"/>
      <c r="F2117" s="33"/>
      <c r="G2117" s="33"/>
      <c r="H2117" s="34"/>
      <c r="J2117" s="36"/>
      <c r="K2117" s="36"/>
      <c r="L2117" s="36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8"/>
      <c r="AS2117" s="38"/>
      <c r="AT2117" s="38"/>
      <c r="AU2117" s="33"/>
      <c r="AV2117" s="39"/>
    </row>
    <row r="2118" spans="4:48">
      <c r="D2118" s="33"/>
      <c r="E2118" s="33"/>
      <c r="F2118" s="33"/>
      <c r="G2118" s="33"/>
      <c r="H2118" s="34"/>
      <c r="J2118" s="36"/>
      <c r="K2118" s="36"/>
      <c r="L2118" s="36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8"/>
      <c r="AS2118" s="38"/>
      <c r="AT2118" s="38"/>
      <c r="AU2118" s="33"/>
      <c r="AV2118" s="39"/>
    </row>
    <row r="2119" spans="4:48">
      <c r="D2119" s="33"/>
      <c r="E2119" s="33"/>
      <c r="F2119" s="33"/>
      <c r="G2119" s="33"/>
      <c r="H2119" s="34"/>
      <c r="J2119" s="36"/>
      <c r="K2119" s="36"/>
      <c r="L2119" s="36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8"/>
      <c r="AS2119" s="38"/>
      <c r="AT2119" s="38"/>
      <c r="AU2119" s="33"/>
      <c r="AV2119" s="39"/>
    </row>
    <row r="2120" spans="4:48">
      <c r="D2120" s="33"/>
      <c r="E2120" s="33"/>
      <c r="F2120" s="33"/>
      <c r="G2120" s="33"/>
      <c r="H2120" s="34"/>
      <c r="J2120" s="36"/>
      <c r="K2120" s="36"/>
      <c r="L2120" s="36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8"/>
      <c r="AS2120" s="38"/>
      <c r="AT2120" s="38"/>
      <c r="AU2120" s="33"/>
      <c r="AV2120" s="39"/>
    </row>
    <row r="2121" spans="4:48">
      <c r="D2121" s="33"/>
      <c r="E2121" s="33"/>
      <c r="F2121" s="33"/>
      <c r="G2121" s="33"/>
      <c r="H2121" s="34"/>
      <c r="J2121" s="36"/>
      <c r="K2121" s="36"/>
      <c r="L2121" s="36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8"/>
      <c r="AS2121" s="38"/>
      <c r="AT2121" s="38"/>
      <c r="AU2121" s="33"/>
      <c r="AV2121" s="39"/>
    </row>
    <row r="2122" spans="4:48">
      <c r="D2122" s="33"/>
      <c r="E2122" s="33"/>
      <c r="F2122" s="33"/>
      <c r="G2122" s="33"/>
      <c r="H2122" s="34"/>
      <c r="J2122" s="36"/>
      <c r="K2122" s="36"/>
      <c r="L2122" s="36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8"/>
      <c r="AS2122" s="38"/>
      <c r="AT2122" s="38"/>
      <c r="AU2122" s="33"/>
      <c r="AV2122" s="39"/>
    </row>
    <row r="2123" spans="4:48">
      <c r="D2123" s="33"/>
      <c r="E2123" s="33"/>
      <c r="F2123" s="33"/>
      <c r="G2123" s="33"/>
      <c r="H2123" s="34"/>
      <c r="J2123" s="36"/>
      <c r="K2123" s="36"/>
      <c r="L2123" s="36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8"/>
      <c r="AS2123" s="38"/>
      <c r="AT2123" s="38"/>
      <c r="AU2123" s="33"/>
      <c r="AV2123" s="39"/>
    </row>
    <row r="2124" spans="4:48">
      <c r="D2124" s="33"/>
      <c r="E2124" s="33"/>
      <c r="F2124" s="33"/>
      <c r="G2124" s="33"/>
      <c r="H2124" s="34"/>
      <c r="J2124" s="36"/>
      <c r="K2124" s="36"/>
      <c r="L2124" s="36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8"/>
      <c r="AS2124" s="38"/>
      <c r="AT2124" s="38"/>
      <c r="AU2124" s="33"/>
      <c r="AV2124" s="39"/>
    </row>
    <row r="2125" spans="4:48">
      <c r="D2125" s="33"/>
      <c r="E2125" s="33"/>
      <c r="F2125" s="33"/>
      <c r="G2125" s="33"/>
      <c r="H2125" s="34"/>
      <c r="J2125" s="36"/>
      <c r="K2125" s="36"/>
      <c r="L2125" s="36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8"/>
      <c r="AS2125" s="38"/>
      <c r="AT2125" s="38"/>
      <c r="AU2125" s="33"/>
      <c r="AV2125" s="39"/>
    </row>
    <row r="2126" spans="4:48">
      <c r="D2126" s="33"/>
      <c r="E2126" s="33"/>
      <c r="F2126" s="33"/>
      <c r="G2126" s="33"/>
      <c r="H2126" s="34"/>
      <c r="J2126" s="36"/>
      <c r="K2126" s="36"/>
      <c r="L2126" s="36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8"/>
      <c r="AS2126" s="38"/>
      <c r="AT2126" s="38"/>
      <c r="AU2126" s="33"/>
      <c r="AV2126" s="39"/>
    </row>
    <row r="2127" spans="4:48">
      <c r="D2127" s="33"/>
      <c r="E2127" s="33"/>
      <c r="F2127" s="33"/>
      <c r="G2127" s="33"/>
      <c r="H2127" s="34"/>
      <c r="J2127" s="36"/>
      <c r="K2127" s="36"/>
      <c r="L2127" s="36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8"/>
      <c r="AS2127" s="38"/>
      <c r="AT2127" s="38"/>
      <c r="AU2127" s="33"/>
      <c r="AV2127" s="39"/>
    </row>
    <row r="2128" spans="4:48">
      <c r="D2128" s="33"/>
      <c r="E2128" s="33"/>
      <c r="F2128" s="33"/>
      <c r="G2128" s="33"/>
      <c r="H2128" s="34"/>
      <c r="J2128" s="36"/>
      <c r="K2128" s="36"/>
      <c r="L2128" s="36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8"/>
      <c r="AS2128" s="38"/>
      <c r="AT2128" s="38"/>
      <c r="AU2128" s="33"/>
      <c r="AV2128" s="39"/>
    </row>
    <row r="2129" spans="4:48">
      <c r="D2129" s="33"/>
      <c r="E2129" s="33"/>
      <c r="F2129" s="33"/>
      <c r="G2129" s="33"/>
      <c r="H2129" s="34"/>
      <c r="J2129" s="36"/>
      <c r="K2129" s="36"/>
      <c r="L2129" s="36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8"/>
      <c r="AS2129" s="38"/>
      <c r="AT2129" s="38"/>
      <c r="AU2129" s="33"/>
      <c r="AV2129" s="39"/>
    </row>
    <row r="2130" spans="4:48">
      <c r="D2130" s="33"/>
      <c r="E2130" s="33"/>
      <c r="F2130" s="33"/>
      <c r="G2130" s="33"/>
      <c r="H2130" s="34"/>
      <c r="J2130" s="36"/>
      <c r="K2130" s="36"/>
      <c r="L2130" s="36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8"/>
      <c r="AS2130" s="38"/>
      <c r="AT2130" s="38"/>
      <c r="AU2130" s="33"/>
      <c r="AV2130" s="39"/>
    </row>
    <row r="2131" spans="4:48">
      <c r="D2131" s="33"/>
      <c r="E2131" s="33"/>
      <c r="F2131" s="33"/>
      <c r="G2131" s="33"/>
      <c r="H2131" s="34"/>
      <c r="J2131" s="36"/>
      <c r="K2131" s="36"/>
      <c r="L2131" s="36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8"/>
      <c r="AS2131" s="38"/>
      <c r="AT2131" s="38"/>
      <c r="AU2131" s="33"/>
      <c r="AV2131" s="39"/>
    </row>
    <row r="2132" spans="4:48">
      <c r="D2132" s="33"/>
      <c r="E2132" s="33"/>
      <c r="F2132" s="33"/>
      <c r="G2132" s="33"/>
      <c r="H2132" s="34"/>
      <c r="J2132" s="36"/>
      <c r="K2132" s="36"/>
      <c r="L2132" s="36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8"/>
      <c r="AS2132" s="38"/>
      <c r="AT2132" s="38"/>
      <c r="AU2132" s="33"/>
      <c r="AV2132" s="39"/>
    </row>
    <row r="2133" spans="4:48">
      <c r="D2133" s="33"/>
      <c r="E2133" s="33"/>
      <c r="F2133" s="33"/>
      <c r="G2133" s="33"/>
      <c r="H2133" s="34"/>
      <c r="J2133" s="36"/>
      <c r="K2133" s="36"/>
      <c r="L2133" s="36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8"/>
      <c r="AS2133" s="38"/>
      <c r="AT2133" s="38"/>
      <c r="AU2133" s="33"/>
      <c r="AV2133" s="39"/>
    </row>
    <row r="2134" spans="4:48">
      <c r="D2134" s="33"/>
      <c r="E2134" s="33"/>
      <c r="F2134" s="33"/>
      <c r="G2134" s="33"/>
      <c r="H2134" s="34"/>
      <c r="J2134" s="36"/>
      <c r="K2134" s="36"/>
      <c r="L2134" s="36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8"/>
      <c r="AS2134" s="38"/>
      <c r="AT2134" s="38"/>
      <c r="AU2134" s="33"/>
      <c r="AV2134" s="39"/>
    </row>
    <row r="2135" spans="4:48">
      <c r="D2135" s="33"/>
      <c r="E2135" s="33"/>
      <c r="F2135" s="33"/>
      <c r="G2135" s="33"/>
      <c r="H2135" s="34"/>
      <c r="J2135" s="36"/>
      <c r="K2135" s="36"/>
      <c r="L2135" s="36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8"/>
      <c r="AS2135" s="38"/>
      <c r="AT2135" s="38"/>
      <c r="AU2135" s="33"/>
      <c r="AV2135" s="39"/>
    </row>
    <row r="2136" spans="4:48">
      <c r="D2136" s="33"/>
      <c r="E2136" s="33"/>
      <c r="F2136" s="33"/>
      <c r="G2136" s="33"/>
      <c r="H2136" s="34"/>
      <c r="J2136" s="36"/>
      <c r="K2136" s="36"/>
      <c r="L2136" s="36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8"/>
      <c r="AS2136" s="38"/>
      <c r="AT2136" s="38"/>
      <c r="AU2136" s="33"/>
      <c r="AV2136" s="39"/>
    </row>
    <row r="2137" spans="4:48">
      <c r="D2137" s="33"/>
      <c r="E2137" s="33"/>
      <c r="F2137" s="33"/>
      <c r="G2137" s="33"/>
      <c r="H2137" s="34"/>
      <c r="J2137" s="36"/>
      <c r="K2137" s="36"/>
      <c r="L2137" s="36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8"/>
      <c r="AS2137" s="38"/>
      <c r="AT2137" s="38"/>
      <c r="AU2137" s="33"/>
      <c r="AV2137" s="39"/>
    </row>
    <row r="2138" spans="4:48">
      <c r="D2138" s="33"/>
      <c r="E2138" s="33"/>
      <c r="F2138" s="33"/>
      <c r="G2138" s="33"/>
      <c r="H2138" s="34"/>
      <c r="J2138" s="36"/>
      <c r="K2138" s="36"/>
      <c r="L2138" s="36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8"/>
      <c r="AS2138" s="38"/>
      <c r="AT2138" s="38"/>
      <c r="AU2138" s="33"/>
      <c r="AV2138" s="39"/>
    </row>
    <row r="2139" spans="4:48">
      <c r="D2139" s="33"/>
      <c r="E2139" s="33"/>
      <c r="F2139" s="33"/>
      <c r="G2139" s="33"/>
      <c r="H2139" s="34"/>
      <c r="J2139" s="36"/>
      <c r="K2139" s="36"/>
      <c r="L2139" s="36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8"/>
      <c r="AS2139" s="38"/>
      <c r="AT2139" s="38"/>
      <c r="AU2139" s="33"/>
      <c r="AV2139" s="39"/>
    </row>
    <row r="2140" spans="4:48">
      <c r="D2140" s="33"/>
      <c r="E2140" s="33"/>
      <c r="F2140" s="33"/>
      <c r="G2140" s="33"/>
      <c r="H2140" s="34"/>
      <c r="J2140" s="36"/>
      <c r="K2140" s="36"/>
      <c r="L2140" s="36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8"/>
      <c r="AS2140" s="38"/>
      <c r="AT2140" s="38"/>
      <c r="AU2140" s="33"/>
      <c r="AV2140" s="39"/>
    </row>
    <row r="2141" spans="4:48">
      <c r="D2141" s="33"/>
      <c r="E2141" s="33"/>
      <c r="F2141" s="33"/>
      <c r="G2141" s="33"/>
      <c r="H2141" s="34"/>
      <c r="J2141" s="36"/>
      <c r="K2141" s="36"/>
      <c r="L2141" s="36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8"/>
      <c r="AS2141" s="38"/>
      <c r="AT2141" s="38"/>
      <c r="AU2141" s="33"/>
      <c r="AV2141" s="39"/>
    </row>
    <row r="2142" spans="4:48">
      <c r="D2142" s="33"/>
      <c r="E2142" s="33"/>
      <c r="F2142" s="33"/>
      <c r="G2142" s="33"/>
      <c r="H2142" s="34"/>
      <c r="J2142" s="36"/>
      <c r="K2142" s="36"/>
      <c r="L2142" s="36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8"/>
      <c r="AS2142" s="38"/>
      <c r="AT2142" s="38"/>
      <c r="AU2142" s="33"/>
      <c r="AV2142" s="39"/>
    </row>
    <row r="2143" spans="4:48">
      <c r="D2143" s="33"/>
      <c r="E2143" s="33"/>
      <c r="F2143" s="33"/>
      <c r="G2143" s="33"/>
      <c r="H2143" s="34"/>
      <c r="J2143" s="36"/>
      <c r="K2143" s="36"/>
      <c r="L2143" s="36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8"/>
      <c r="AS2143" s="38"/>
      <c r="AT2143" s="38"/>
      <c r="AU2143" s="33"/>
      <c r="AV2143" s="39"/>
    </row>
    <row r="2144" spans="4:48">
      <c r="D2144" s="33"/>
      <c r="E2144" s="33"/>
      <c r="F2144" s="33"/>
      <c r="G2144" s="33"/>
      <c r="H2144" s="34"/>
      <c r="J2144" s="36"/>
      <c r="K2144" s="36"/>
      <c r="L2144" s="36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8"/>
      <c r="AS2144" s="38"/>
      <c r="AT2144" s="38"/>
      <c r="AU2144" s="33"/>
      <c r="AV2144" s="39"/>
    </row>
    <row r="2145" spans="4:48">
      <c r="D2145" s="33"/>
      <c r="E2145" s="33"/>
      <c r="F2145" s="33"/>
      <c r="G2145" s="33"/>
      <c r="H2145" s="34"/>
      <c r="J2145" s="36"/>
      <c r="K2145" s="36"/>
      <c r="L2145" s="36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8"/>
      <c r="AS2145" s="38"/>
      <c r="AT2145" s="38"/>
      <c r="AU2145" s="33"/>
      <c r="AV2145" s="39"/>
    </row>
    <row r="2146" spans="4:48">
      <c r="D2146" s="33"/>
      <c r="E2146" s="33"/>
      <c r="F2146" s="33"/>
      <c r="G2146" s="33"/>
      <c r="H2146" s="34"/>
      <c r="J2146" s="36"/>
      <c r="K2146" s="36"/>
      <c r="L2146" s="36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8"/>
      <c r="AS2146" s="38"/>
      <c r="AT2146" s="38"/>
      <c r="AU2146" s="33"/>
      <c r="AV2146" s="39"/>
    </row>
    <row r="2147" spans="4:48">
      <c r="D2147" s="33"/>
      <c r="E2147" s="33"/>
      <c r="F2147" s="33"/>
      <c r="G2147" s="33"/>
      <c r="H2147" s="34"/>
      <c r="J2147" s="36"/>
      <c r="K2147" s="36"/>
      <c r="L2147" s="36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8"/>
      <c r="AS2147" s="38"/>
      <c r="AT2147" s="38"/>
      <c r="AU2147" s="33"/>
      <c r="AV2147" s="39"/>
    </row>
    <row r="2148" spans="4:48">
      <c r="D2148" s="33"/>
      <c r="E2148" s="33"/>
      <c r="F2148" s="33"/>
      <c r="G2148" s="33"/>
      <c r="H2148" s="34"/>
      <c r="J2148" s="36"/>
      <c r="K2148" s="36"/>
      <c r="L2148" s="36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8"/>
      <c r="AS2148" s="38"/>
      <c r="AT2148" s="38"/>
      <c r="AU2148" s="33"/>
      <c r="AV2148" s="39"/>
    </row>
    <row r="2149" spans="4:48">
      <c r="D2149" s="33"/>
      <c r="E2149" s="33"/>
      <c r="F2149" s="33"/>
      <c r="G2149" s="33"/>
      <c r="H2149" s="34"/>
      <c r="J2149" s="36"/>
      <c r="K2149" s="36"/>
      <c r="L2149" s="36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8"/>
      <c r="AS2149" s="38"/>
      <c r="AT2149" s="38"/>
      <c r="AU2149" s="33"/>
      <c r="AV2149" s="39"/>
    </row>
    <row r="2150" spans="4:48">
      <c r="D2150" s="33"/>
      <c r="E2150" s="33"/>
      <c r="F2150" s="33"/>
      <c r="G2150" s="33"/>
      <c r="H2150" s="34"/>
      <c r="J2150" s="36"/>
      <c r="K2150" s="36"/>
      <c r="L2150" s="36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8"/>
      <c r="AS2150" s="38"/>
      <c r="AT2150" s="38"/>
      <c r="AU2150" s="33"/>
      <c r="AV2150" s="39"/>
    </row>
    <row r="2151" spans="4:48">
      <c r="D2151" s="33"/>
      <c r="E2151" s="33"/>
      <c r="F2151" s="33"/>
      <c r="G2151" s="33"/>
      <c r="H2151" s="34"/>
      <c r="J2151" s="36"/>
      <c r="K2151" s="36"/>
      <c r="L2151" s="36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8"/>
      <c r="AS2151" s="38"/>
      <c r="AT2151" s="38"/>
      <c r="AU2151" s="33"/>
      <c r="AV2151" s="39"/>
    </row>
    <row r="2152" spans="4:48">
      <c r="D2152" s="33"/>
      <c r="E2152" s="33"/>
      <c r="F2152" s="33"/>
      <c r="G2152" s="33"/>
      <c r="H2152" s="34"/>
      <c r="J2152" s="36"/>
      <c r="K2152" s="36"/>
      <c r="L2152" s="36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8"/>
      <c r="AS2152" s="38"/>
      <c r="AT2152" s="38"/>
      <c r="AU2152" s="33"/>
      <c r="AV2152" s="39"/>
    </row>
    <row r="2153" spans="4:48">
      <c r="D2153" s="33"/>
      <c r="E2153" s="33"/>
      <c r="F2153" s="33"/>
      <c r="G2153" s="33"/>
      <c r="H2153" s="34"/>
      <c r="J2153" s="36"/>
      <c r="K2153" s="36"/>
      <c r="L2153" s="36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8"/>
      <c r="AS2153" s="38"/>
      <c r="AT2153" s="38"/>
      <c r="AU2153" s="33"/>
      <c r="AV2153" s="39"/>
    </row>
    <row r="2154" spans="4:48">
      <c r="D2154" s="33"/>
      <c r="E2154" s="33"/>
      <c r="F2154" s="33"/>
      <c r="G2154" s="33"/>
      <c r="H2154" s="34"/>
      <c r="J2154" s="36"/>
      <c r="K2154" s="36"/>
      <c r="L2154" s="36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8"/>
      <c r="AS2154" s="38"/>
      <c r="AT2154" s="38"/>
      <c r="AU2154" s="33"/>
      <c r="AV2154" s="39"/>
    </row>
    <row r="2155" spans="4:48">
      <c r="D2155" s="33"/>
      <c r="E2155" s="33"/>
      <c r="F2155" s="33"/>
      <c r="G2155" s="33"/>
      <c r="H2155" s="34"/>
      <c r="J2155" s="36"/>
      <c r="K2155" s="36"/>
      <c r="L2155" s="36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8"/>
      <c r="AS2155" s="38"/>
      <c r="AT2155" s="38"/>
      <c r="AU2155" s="33"/>
      <c r="AV2155" s="39"/>
    </row>
    <row r="2156" spans="4:48">
      <c r="D2156" s="33"/>
      <c r="E2156" s="33"/>
      <c r="F2156" s="33"/>
      <c r="G2156" s="33"/>
      <c r="H2156" s="34"/>
      <c r="J2156" s="36"/>
      <c r="K2156" s="36"/>
      <c r="L2156" s="36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8"/>
      <c r="AS2156" s="38"/>
      <c r="AT2156" s="38"/>
      <c r="AU2156" s="33"/>
      <c r="AV2156" s="39"/>
    </row>
    <row r="2157" spans="4:48">
      <c r="D2157" s="33"/>
      <c r="E2157" s="33"/>
      <c r="F2157" s="33"/>
      <c r="G2157" s="33"/>
      <c r="H2157" s="34"/>
      <c r="J2157" s="36"/>
      <c r="K2157" s="36"/>
      <c r="L2157" s="36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8"/>
      <c r="AS2157" s="38"/>
      <c r="AT2157" s="38"/>
      <c r="AU2157" s="33"/>
      <c r="AV2157" s="39"/>
    </row>
    <row r="2158" spans="4:48">
      <c r="D2158" s="33"/>
      <c r="E2158" s="33"/>
      <c r="F2158" s="33"/>
      <c r="G2158" s="33"/>
      <c r="H2158" s="34"/>
      <c r="J2158" s="36"/>
      <c r="K2158" s="36"/>
      <c r="L2158" s="36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8"/>
      <c r="AS2158" s="38"/>
      <c r="AT2158" s="38"/>
      <c r="AU2158" s="33"/>
      <c r="AV2158" s="39"/>
    </row>
    <row r="2159" spans="4:48">
      <c r="D2159" s="33"/>
      <c r="E2159" s="33"/>
      <c r="F2159" s="33"/>
      <c r="G2159" s="33"/>
      <c r="H2159" s="34"/>
      <c r="J2159" s="36"/>
      <c r="K2159" s="36"/>
      <c r="L2159" s="36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8"/>
      <c r="AS2159" s="38"/>
      <c r="AT2159" s="38"/>
      <c r="AU2159" s="33"/>
      <c r="AV2159" s="39"/>
    </row>
    <row r="2160" spans="4:48">
      <c r="D2160" s="33"/>
      <c r="E2160" s="33"/>
      <c r="F2160" s="33"/>
      <c r="G2160" s="33"/>
      <c r="H2160" s="34"/>
      <c r="J2160" s="36"/>
      <c r="K2160" s="36"/>
      <c r="L2160" s="36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8"/>
      <c r="AS2160" s="38"/>
      <c r="AT2160" s="38"/>
      <c r="AU2160" s="33"/>
      <c r="AV2160" s="39"/>
    </row>
    <row r="2161" spans="4:48">
      <c r="D2161" s="33"/>
      <c r="E2161" s="33"/>
      <c r="F2161" s="33"/>
      <c r="G2161" s="33"/>
      <c r="H2161" s="34"/>
      <c r="J2161" s="36"/>
      <c r="K2161" s="36"/>
      <c r="L2161" s="36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8"/>
      <c r="AS2161" s="38"/>
      <c r="AT2161" s="38"/>
      <c r="AU2161" s="33"/>
      <c r="AV2161" s="39"/>
    </row>
    <row r="2162" spans="4:48">
      <c r="D2162" s="33"/>
      <c r="E2162" s="33"/>
      <c r="F2162" s="33"/>
      <c r="G2162" s="33"/>
      <c r="H2162" s="34"/>
      <c r="J2162" s="36"/>
      <c r="K2162" s="36"/>
      <c r="L2162" s="36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8"/>
      <c r="AS2162" s="38"/>
      <c r="AT2162" s="38"/>
      <c r="AU2162" s="33"/>
      <c r="AV2162" s="39"/>
    </row>
    <row r="2163" spans="4:48">
      <c r="D2163" s="33"/>
      <c r="E2163" s="33"/>
      <c r="F2163" s="33"/>
      <c r="G2163" s="33"/>
      <c r="H2163" s="34"/>
      <c r="J2163" s="36"/>
      <c r="K2163" s="36"/>
      <c r="L2163" s="36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8"/>
      <c r="AS2163" s="38"/>
      <c r="AT2163" s="38"/>
      <c r="AU2163" s="33"/>
      <c r="AV2163" s="39"/>
    </row>
    <row r="2164" spans="4:48">
      <c r="D2164" s="33"/>
      <c r="E2164" s="33"/>
      <c r="F2164" s="33"/>
      <c r="G2164" s="33"/>
      <c r="H2164" s="34"/>
      <c r="J2164" s="36"/>
      <c r="K2164" s="36"/>
      <c r="L2164" s="36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8"/>
      <c r="AS2164" s="38"/>
      <c r="AT2164" s="38"/>
      <c r="AU2164" s="33"/>
      <c r="AV2164" s="39"/>
    </row>
    <row r="2165" spans="4:48">
      <c r="D2165" s="33"/>
      <c r="E2165" s="33"/>
      <c r="F2165" s="33"/>
      <c r="G2165" s="33"/>
      <c r="H2165" s="34"/>
      <c r="J2165" s="36"/>
      <c r="K2165" s="36"/>
      <c r="L2165" s="36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8"/>
      <c r="AS2165" s="38"/>
      <c r="AT2165" s="38"/>
      <c r="AU2165" s="33"/>
      <c r="AV2165" s="39"/>
    </row>
    <row r="2166" spans="4:48">
      <c r="D2166" s="33"/>
      <c r="E2166" s="33"/>
      <c r="F2166" s="33"/>
      <c r="G2166" s="33"/>
      <c r="H2166" s="34"/>
      <c r="J2166" s="36"/>
      <c r="K2166" s="36"/>
      <c r="L2166" s="36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8"/>
      <c r="AS2166" s="38"/>
      <c r="AT2166" s="38"/>
      <c r="AU2166" s="33"/>
      <c r="AV2166" s="39"/>
    </row>
    <row r="2167" spans="4:48">
      <c r="D2167" s="33"/>
      <c r="E2167" s="33"/>
      <c r="F2167" s="33"/>
      <c r="G2167" s="33"/>
      <c r="H2167" s="34"/>
      <c r="J2167" s="36"/>
      <c r="K2167" s="36"/>
      <c r="L2167" s="36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8"/>
      <c r="AS2167" s="38"/>
      <c r="AT2167" s="38"/>
      <c r="AU2167" s="33"/>
      <c r="AV2167" s="39"/>
    </row>
    <row r="2168" spans="4:48">
      <c r="D2168" s="33"/>
      <c r="E2168" s="33"/>
      <c r="F2168" s="33"/>
      <c r="G2168" s="33"/>
      <c r="H2168" s="34"/>
      <c r="J2168" s="36"/>
      <c r="K2168" s="36"/>
      <c r="L2168" s="36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8"/>
      <c r="AS2168" s="38"/>
      <c r="AT2168" s="38"/>
      <c r="AU2168" s="33"/>
      <c r="AV2168" s="39"/>
    </row>
    <row r="2169" spans="4:48">
      <c r="D2169" s="33"/>
      <c r="E2169" s="33"/>
      <c r="F2169" s="33"/>
      <c r="G2169" s="33"/>
      <c r="H2169" s="34"/>
      <c r="J2169" s="36"/>
      <c r="K2169" s="36"/>
      <c r="L2169" s="36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8"/>
      <c r="AS2169" s="38"/>
      <c r="AT2169" s="38"/>
      <c r="AU2169" s="33"/>
      <c r="AV2169" s="39"/>
    </row>
    <row r="2170" spans="4:48">
      <c r="D2170" s="33"/>
      <c r="E2170" s="33"/>
      <c r="F2170" s="33"/>
      <c r="G2170" s="33"/>
      <c r="H2170" s="34"/>
      <c r="J2170" s="36"/>
      <c r="K2170" s="36"/>
      <c r="L2170" s="36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8"/>
      <c r="AS2170" s="38"/>
      <c r="AT2170" s="38"/>
      <c r="AU2170" s="33"/>
      <c r="AV2170" s="39"/>
    </row>
    <row r="2171" spans="4:48">
      <c r="D2171" s="33"/>
      <c r="E2171" s="33"/>
      <c r="F2171" s="33"/>
      <c r="G2171" s="33"/>
      <c r="H2171" s="34"/>
      <c r="J2171" s="36"/>
      <c r="K2171" s="36"/>
      <c r="L2171" s="36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8"/>
      <c r="AS2171" s="38"/>
      <c r="AT2171" s="38"/>
      <c r="AU2171" s="33"/>
      <c r="AV2171" s="39"/>
    </row>
    <row r="2172" spans="4:48">
      <c r="D2172" s="33"/>
      <c r="E2172" s="33"/>
      <c r="F2172" s="33"/>
      <c r="G2172" s="33"/>
      <c r="H2172" s="34"/>
      <c r="J2172" s="36"/>
      <c r="K2172" s="36"/>
      <c r="L2172" s="36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8"/>
      <c r="AS2172" s="38"/>
      <c r="AT2172" s="38"/>
      <c r="AU2172" s="33"/>
      <c r="AV2172" s="39"/>
    </row>
    <row r="2173" spans="4:48">
      <c r="D2173" s="33"/>
      <c r="E2173" s="33"/>
      <c r="F2173" s="33"/>
      <c r="G2173" s="33"/>
      <c r="H2173" s="34"/>
      <c r="J2173" s="36"/>
      <c r="K2173" s="36"/>
      <c r="L2173" s="36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8"/>
      <c r="AS2173" s="38"/>
      <c r="AT2173" s="38"/>
      <c r="AU2173" s="33"/>
      <c r="AV2173" s="39"/>
    </row>
    <row r="2174" spans="4:48">
      <c r="D2174" s="33"/>
      <c r="E2174" s="33"/>
      <c r="F2174" s="33"/>
      <c r="G2174" s="33"/>
      <c r="H2174" s="34"/>
      <c r="J2174" s="36"/>
      <c r="K2174" s="36"/>
      <c r="L2174" s="36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8"/>
      <c r="AS2174" s="38"/>
      <c r="AT2174" s="38"/>
      <c r="AU2174" s="33"/>
      <c r="AV2174" s="39"/>
    </row>
    <row r="2175" spans="4:48">
      <c r="D2175" s="33"/>
      <c r="E2175" s="33"/>
      <c r="F2175" s="33"/>
      <c r="G2175" s="33"/>
      <c r="H2175" s="34"/>
      <c r="J2175" s="36"/>
      <c r="K2175" s="36"/>
      <c r="L2175" s="36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8"/>
      <c r="AS2175" s="38"/>
      <c r="AT2175" s="38"/>
      <c r="AU2175" s="33"/>
      <c r="AV2175" s="39"/>
    </row>
    <row r="2176" spans="4:48">
      <c r="D2176" s="33"/>
      <c r="E2176" s="33"/>
      <c r="F2176" s="33"/>
      <c r="G2176" s="33"/>
      <c r="H2176" s="34"/>
      <c r="J2176" s="36"/>
      <c r="K2176" s="36"/>
      <c r="L2176" s="36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8"/>
      <c r="AS2176" s="38"/>
      <c r="AT2176" s="38"/>
      <c r="AU2176" s="33"/>
      <c r="AV2176" s="39"/>
    </row>
    <row r="2177" spans="4:48">
      <c r="D2177" s="33"/>
      <c r="E2177" s="33"/>
      <c r="F2177" s="33"/>
      <c r="G2177" s="33"/>
      <c r="H2177" s="34"/>
      <c r="J2177" s="36"/>
      <c r="K2177" s="36"/>
      <c r="L2177" s="36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8"/>
      <c r="AS2177" s="38"/>
      <c r="AT2177" s="38"/>
      <c r="AU2177" s="33"/>
      <c r="AV2177" s="39"/>
    </row>
    <row r="2178" spans="4:48">
      <c r="D2178" s="33"/>
      <c r="E2178" s="33"/>
      <c r="F2178" s="33"/>
      <c r="G2178" s="33"/>
      <c r="H2178" s="34"/>
      <c r="J2178" s="36"/>
      <c r="K2178" s="36"/>
      <c r="L2178" s="36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8"/>
      <c r="AS2178" s="38"/>
      <c r="AT2178" s="38"/>
      <c r="AU2178" s="33"/>
      <c r="AV2178" s="39"/>
    </row>
    <row r="2179" spans="4:48">
      <c r="D2179" s="33"/>
      <c r="E2179" s="33"/>
      <c r="F2179" s="33"/>
      <c r="G2179" s="33"/>
      <c r="H2179" s="34"/>
      <c r="J2179" s="36"/>
      <c r="K2179" s="36"/>
      <c r="L2179" s="36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8"/>
      <c r="AS2179" s="38"/>
      <c r="AT2179" s="38"/>
      <c r="AU2179" s="33"/>
      <c r="AV2179" s="39"/>
    </row>
    <row r="2180" spans="4:48">
      <c r="D2180" s="33"/>
      <c r="E2180" s="33"/>
      <c r="F2180" s="33"/>
      <c r="G2180" s="33"/>
      <c r="H2180" s="34"/>
      <c r="J2180" s="36"/>
      <c r="K2180" s="36"/>
      <c r="L2180" s="36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8"/>
      <c r="AS2180" s="38"/>
      <c r="AT2180" s="38"/>
      <c r="AU2180" s="33"/>
      <c r="AV2180" s="39"/>
    </row>
    <row r="2181" spans="4:48">
      <c r="D2181" s="33"/>
      <c r="E2181" s="33"/>
      <c r="F2181" s="33"/>
      <c r="G2181" s="33"/>
      <c r="H2181" s="34"/>
      <c r="J2181" s="36"/>
      <c r="K2181" s="36"/>
      <c r="L2181" s="36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8"/>
      <c r="AS2181" s="38"/>
      <c r="AT2181" s="38"/>
      <c r="AU2181" s="33"/>
      <c r="AV2181" s="39"/>
    </row>
    <row r="2182" spans="4:48">
      <c r="D2182" s="33"/>
      <c r="E2182" s="33"/>
      <c r="F2182" s="33"/>
      <c r="G2182" s="33"/>
      <c r="H2182" s="34"/>
      <c r="J2182" s="36"/>
      <c r="K2182" s="36"/>
      <c r="L2182" s="36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8"/>
      <c r="AS2182" s="38"/>
      <c r="AT2182" s="38"/>
      <c r="AU2182" s="33"/>
      <c r="AV2182" s="39"/>
    </row>
    <row r="2183" spans="4:48">
      <c r="D2183" s="33"/>
      <c r="E2183" s="33"/>
      <c r="F2183" s="33"/>
      <c r="G2183" s="33"/>
      <c r="H2183" s="34"/>
      <c r="J2183" s="36"/>
      <c r="K2183" s="36"/>
      <c r="L2183" s="36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8"/>
      <c r="AS2183" s="38"/>
      <c r="AT2183" s="38"/>
      <c r="AU2183" s="33"/>
      <c r="AV2183" s="39"/>
    </row>
    <row r="2184" spans="4:48">
      <c r="D2184" s="33"/>
      <c r="E2184" s="33"/>
      <c r="F2184" s="33"/>
      <c r="G2184" s="33"/>
      <c r="H2184" s="34"/>
      <c r="J2184" s="36"/>
      <c r="K2184" s="36"/>
      <c r="L2184" s="36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8"/>
      <c r="AS2184" s="38"/>
      <c r="AT2184" s="38"/>
      <c r="AU2184" s="33"/>
      <c r="AV2184" s="39"/>
    </row>
    <row r="2185" spans="4:48">
      <c r="D2185" s="33"/>
      <c r="E2185" s="33"/>
      <c r="F2185" s="33"/>
      <c r="G2185" s="33"/>
      <c r="H2185" s="34"/>
      <c r="J2185" s="36"/>
      <c r="K2185" s="36"/>
      <c r="L2185" s="36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8"/>
      <c r="AS2185" s="38"/>
      <c r="AT2185" s="38"/>
      <c r="AU2185" s="33"/>
      <c r="AV2185" s="39"/>
    </row>
    <row r="2186" spans="4:48">
      <c r="D2186" s="33"/>
      <c r="E2186" s="33"/>
      <c r="F2186" s="33"/>
      <c r="G2186" s="33"/>
      <c r="H2186" s="34"/>
      <c r="J2186" s="36"/>
      <c r="K2186" s="36"/>
      <c r="L2186" s="36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8"/>
      <c r="AS2186" s="38"/>
      <c r="AT2186" s="38"/>
      <c r="AU2186" s="33"/>
      <c r="AV2186" s="39"/>
    </row>
    <row r="2187" spans="4:48">
      <c r="D2187" s="33"/>
      <c r="E2187" s="33"/>
      <c r="F2187" s="33"/>
      <c r="G2187" s="33"/>
      <c r="H2187" s="34"/>
      <c r="J2187" s="36"/>
      <c r="K2187" s="36"/>
      <c r="L2187" s="36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8"/>
      <c r="AS2187" s="38"/>
      <c r="AT2187" s="38"/>
      <c r="AU2187" s="33"/>
      <c r="AV2187" s="39"/>
    </row>
    <row r="2188" spans="4:48">
      <c r="D2188" s="33"/>
      <c r="E2188" s="33"/>
      <c r="F2188" s="33"/>
      <c r="G2188" s="33"/>
      <c r="H2188" s="34"/>
      <c r="J2188" s="36"/>
      <c r="K2188" s="36"/>
      <c r="L2188" s="36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8"/>
      <c r="AS2188" s="38"/>
      <c r="AT2188" s="38"/>
      <c r="AU2188" s="33"/>
      <c r="AV2188" s="39"/>
    </row>
    <row r="2189" spans="4:48">
      <c r="D2189" s="33"/>
      <c r="E2189" s="33"/>
      <c r="F2189" s="33"/>
      <c r="G2189" s="33"/>
      <c r="H2189" s="34"/>
      <c r="J2189" s="36"/>
      <c r="K2189" s="36"/>
      <c r="L2189" s="36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8"/>
      <c r="AS2189" s="38"/>
      <c r="AT2189" s="38"/>
      <c r="AU2189" s="33"/>
      <c r="AV2189" s="39"/>
    </row>
    <row r="2190" spans="4:48">
      <c r="D2190" s="33"/>
      <c r="E2190" s="33"/>
      <c r="F2190" s="33"/>
      <c r="G2190" s="33"/>
      <c r="H2190" s="34"/>
      <c r="J2190" s="36"/>
      <c r="K2190" s="36"/>
      <c r="L2190" s="36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8"/>
      <c r="AS2190" s="38"/>
      <c r="AT2190" s="38"/>
      <c r="AU2190" s="33"/>
      <c r="AV2190" s="39"/>
    </row>
    <row r="2191" spans="4:48">
      <c r="D2191" s="33"/>
      <c r="E2191" s="33"/>
      <c r="F2191" s="33"/>
      <c r="G2191" s="33"/>
      <c r="H2191" s="34"/>
      <c r="J2191" s="36"/>
      <c r="K2191" s="36"/>
      <c r="L2191" s="36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8"/>
      <c r="AS2191" s="38"/>
      <c r="AT2191" s="38"/>
      <c r="AU2191" s="33"/>
      <c r="AV2191" s="39"/>
    </row>
    <row r="2192" spans="4:48">
      <c r="D2192" s="33"/>
      <c r="E2192" s="33"/>
      <c r="F2192" s="33"/>
      <c r="G2192" s="33"/>
      <c r="H2192" s="34"/>
      <c r="J2192" s="36"/>
      <c r="K2192" s="36"/>
      <c r="L2192" s="36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8"/>
      <c r="AS2192" s="38"/>
      <c r="AT2192" s="38"/>
      <c r="AU2192" s="33"/>
      <c r="AV2192" s="39"/>
    </row>
    <row r="2193" spans="4:48">
      <c r="D2193" s="33"/>
      <c r="E2193" s="33"/>
      <c r="F2193" s="33"/>
      <c r="G2193" s="33"/>
      <c r="H2193" s="34"/>
      <c r="J2193" s="36"/>
      <c r="K2193" s="36"/>
      <c r="L2193" s="36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8"/>
      <c r="AS2193" s="38"/>
      <c r="AT2193" s="38"/>
      <c r="AU2193" s="33"/>
      <c r="AV2193" s="39"/>
    </row>
    <row r="2194" spans="4:48">
      <c r="D2194" s="33"/>
      <c r="E2194" s="33"/>
      <c r="F2194" s="33"/>
      <c r="G2194" s="33"/>
      <c r="H2194" s="34"/>
      <c r="J2194" s="36"/>
      <c r="K2194" s="36"/>
      <c r="L2194" s="36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8"/>
      <c r="AS2194" s="38"/>
      <c r="AT2194" s="38"/>
      <c r="AU2194" s="33"/>
      <c r="AV2194" s="39"/>
    </row>
    <row r="2195" spans="4:48">
      <c r="D2195" s="33"/>
      <c r="E2195" s="33"/>
      <c r="F2195" s="33"/>
      <c r="G2195" s="33"/>
      <c r="H2195" s="34"/>
      <c r="J2195" s="36"/>
      <c r="K2195" s="36"/>
      <c r="L2195" s="36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8"/>
      <c r="AS2195" s="38"/>
      <c r="AT2195" s="38"/>
      <c r="AU2195" s="33"/>
      <c r="AV2195" s="39"/>
    </row>
    <row r="2196" spans="4:48">
      <c r="D2196" s="33"/>
      <c r="E2196" s="33"/>
      <c r="F2196" s="33"/>
      <c r="G2196" s="33"/>
      <c r="H2196" s="34"/>
      <c r="J2196" s="36"/>
      <c r="K2196" s="36"/>
      <c r="L2196" s="36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8"/>
      <c r="AS2196" s="38"/>
      <c r="AT2196" s="38"/>
      <c r="AU2196" s="33"/>
      <c r="AV2196" s="39"/>
    </row>
    <row r="2197" spans="4:48">
      <c r="D2197" s="33"/>
      <c r="E2197" s="33"/>
      <c r="F2197" s="33"/>
      <c r="G2197" s="33"/>
      <c r="H2197" s="34"/>
      <c r="J2197" s="36"/>
      <c r="K2197" s="36"/>
      <c r="L2197" s="36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8"/>
      <c r="AS2197" s="38"/>
      <c r="AT2197" s="38"/>
      <c r="AU2197" s="33"/>
      <c r="AV2197" s="39"/>
    </row>
    <row r="2198" spans="4:48">
      <c r="D2198" s="33"/>
      <c r="E2198" s="33"/>
      <c r="F2198" s="33"/>
      <c r="G2198" s="33"/>
      <c r="H2198" s="34"/>
      <c r="J2198" s="36"/>
      <c r="K2198" s="36"/>
      <c r="L2198" s="36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8"/>
      <c r="AS2198" s="38"/>
      <c r="AT2198" s="38"/>
      <c r="AU2198" s="33"/>
      <c r="AV2198" s="39"/>
    </row>
    <row r="2199" spans="4:48">
      <c r="D2199" s="33"/>
      <c r="E2199" s="33"/>
      <c r="F2199" s="33"/>
      <c r="G2199" s="33"/>
      <c r="H2199" s="34"/>
      <c r="J2199" s="36"/>
      <c r="K2199" s="36"/>
      <c r="L2199" s="36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8"/>
      <c r="AS2199" s="38"/>
      <c r="AT2199" s="38"/>
      <c r="AU2199" s="33"/>
      <c r="AV2199" s="39"/>
    </row>
    <row r="2200" spans="4:48">
      <c r="D2200" s="33"/>
      <c r="E2200" s="33"/>
      <c r="F2200" s="33"/>
      <c r="G2200" s="33"/>
      <c r="H2200" s="34"/>
      <c r="J2200" s="36"/>
      <c r="K2200" s="36"/>
      <c r="L2200" s="36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8"/>
      <c r="AS2200" s="38"/>
      <c r="AT2200" s="38"/>
      <c r="AU2200" s="33"/>
      <c r="AV2200" s="39"/>
    </row>
    <row r="2201" spans="4:48">
      <c r="D2201" s="33"/>
      <c r="E2201" s="33"/>
      <c r="F2201" s="33"/>
      <c r="G2201" s="33"/>
      <c r="H2201" s="34"/>
      <c r="J2201" s="36"/>
      <c r="K2201" s="36"/>
      <c r="L2201" s="36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8"/>
      <c r="AS2201" s="38"/>
      <c r="AT2201" s="38"/>
      <c r="AU2201" s="33"/>
      <c r="AV2201" s="39"/>
    </row>
    <row r="2202" spans="4:48">
      <c r="D2202" s="33"/>
      <c r="E2202" s="33"/>
      <c r="F2202" s="33"/>
      <c r="G2202" s="33"/>
      <c r="H2202" s="34"/>
      <c r="J2202" s="36"/>
      <c r="K2202" s="36"/>
      <c r="L2202" s="36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8"/>
      <c r="AS2202" s="38"/>
      <c r="AT2202" s="38"/>
      <c r="AU2202" s="33"/>
      <c r="AV2202" s="39"/>
    </row>
    <row r="2203" spans="4:48">
      <c r="D2203" s="33"/>
      <c r="E2203" s="33"/>
      <c r="F2203" s="33"/>
      <c r="G2203" s="33"/>
      <c r="H2203" s="34"/>
      <c r="J2203" s="36"/>
      <c r="K2203" s="36"/>
      <c r="L2203" s="36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8"/>
      <c r="AS2203" s="38"/>
      <c r="AT2203" s="38"/>
      <c r="AU2203" s="33"/>
      <c r="AV2203" s="39"/>
    </row>
    <row r="2204" spans="4:48">
      <c r="D2204" s="33"/>
      <c r="E2204" s="33"/>
      <c r="F2204" s="33"/>
      <c r="G2204" s="33"/>
      <c r="H2204" s="34"/>
      <c r="J2204" s="36"/>
      <c r="K2204" s="36"/>
      <c r="L2204" s="36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8"/>
      <c r="AS2204" s="38"/>
      <c r="AT2204" s="38"/>
      <c r="AU2204" s="33"/>
      <c r="AV2204" s="39"/>
    </row>
    <row r="2205" spans="4:48">
      <c r="D2205" s="33"/>
      <c r="E2205" s="33"/>
      <c r="F2205" s="33"/>
      <c r="G2205" s="33"/>
      <c r="H2205" s="34"/>
      <c r="J2205" s="36"/>
      <c r="K2205" s="36"/>
      <c r="L2205" s="36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8"/>
      <c r="AS2205" s="38"/>
      <c r="AT2205" s="38"/>
      <c r="AU2205" s="33"/>
      <c r="AV2205" s="39"/>
    </row>
    <row r="2206" spans="4:48">
      <c r="D2206" s="33"/>
      <c r="E2206" s="33"/>
      <c r="F2206" s="33"/>
      <c r="G2206" s="33"/>
      <c r="H2206" s="34"/>
      <c r="J2206" s="36"/>
      <c r="K2206" s="36"/>
      <c r="L2206" s="36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8"/>
      <c r="AS2206" s="38"/>
      <c r="AT2206" s="38"/>
      <c r="AU2206" s="33"/>
      <c r="AV2206" s="39"/>
    </row>
    <row r="2207" spans="4:48">
      <c r="D2207" s="33"/>
      <c r="E2207" s="33"/>
      <c r="F2207" s="33"/>
      <c r="G2207" s="33"/>
      <c r="H2207" s="34"/>
      <c r="J2207" s="36"/>
      <c r="K2207" s="36"/>
      <c r="L2207" s="36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8"/>
      <c r="AS2207" s="38"/>
      <c r="AT2207" s="38"/>
      <c r="AU2207" s="33"/>
      <c r="AV2207" s="39"/>
    </row>
    <row r="2208" spans="4:48">
      <c r="D2208" s="33"/>
      <c r="E2208" s="33"/>
      <c r="F2208" s="33"/>
      <c r="G2208" s="33"/>
      <c r="H2208" s="34"/>
      <c r="J2208" s="36"/>
      <c r="K2208" s="36"/>
      <c r="L2208" s="36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8"/>
      <c r="AS2208" s="38"/>
      <c r="AT2208" s="38"/>
      <c r="AU2208" s="33"/>
      <c r="AV2208" s="39"/>
    </row>
    <row r="2209" spans="4:48">
      <c r="D2209" s="33"/>
      <c r="E2209" s="33"/>
      <c r="F2209" s="33"/>
      <c r="G2209" s="33"/>
      <c r="H2209" s="34"/>
      <c r="J2209" s="36"/>
      <c r="K2209" s="36"/>
      <c r="L2209" s="36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8"/>
      <c r="AS2209" s="38"/>
      <c r="AT2209" s="38"/>
      <c r="AU2209" s="33"/>
      <c r="AV2209" s="39"/>
    </row>
    <row r="2210" spans="4:48">
      <c r="D2210" s="33"/>
      <c r="E2210" s="33"/>
      <c r="F2210" s="33"/>
      <c r="G2210" s="33"/>
      <c r="H2210" s="34"/>
      <c r="J2210" s="36"/>
      <c r="K2210" s="36"/>
      <c r="L2210" s="36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8"/>
      <c r="AS2210" s="38"/>
      <c r="AT2210" s="38"/>
      <c r="AU2210" s="33"/>
      <c r="AV2210" s="39"/>
    </row>
    <row r="2211" spans="4:48">
      <c r="D2211" s="33"/>
      <c r="E2211" s="33"/>
      <c r="F2211" s="33"/>
      <c r="G2211" s="33"/>
      <c r="H2211" s="34"/>
      <c r="J2211" s="36"/>
      <c r="K2211" s="36"/>
      <c r="L2211" s="36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8"/>
      <c r="AS2211" s="38"/>
      <c r="AT2211" s="38"/>
      <c r="AU2211" s="33"/>
      <c r="AV2211" s="39"/>
    </row>
    <row r="2212" spans="4:48">
      <c r="D2212" s="33"/>
      <c r="E2212" s="33"/>
      <c r="F2212" s="33"/>
      <c r="G2212" s="33"/>
      <c r="H2212" s="34"/>
      <c r="J2212" s="36"/>
      <c r="K2212" s="36"/>
      <c r="L2212" s="36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8"/>
      <c r="AS2212" s="38"/>
      <c r="AT2212" s="38"/>
      <c r="AU2212" s="33"/>
      <c r="AV2212" s="39"/>
    </row>
    <row r="2213" spans="4:48">
      <c r="D2213" s="33"/>
      <c r="E2213" s="33"/>
      <c r="F2213" s="33"/>
      <c r="G2213" s="33"/>
      <c r="H2213" s="34"/>
      <c r="J2213" s="36"/>
      <c r="K2213" s="36"/>
      <c r="L2213" s="36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8"/>
      <c r="AS2213" s="38"/>
      <c r="AT2213" s="38"/>
      <c r="AU2213" s="33"/>
      <c r="AV2213" s="39"/>
    </row>
    <row r="2214" spans="4:48">
      <c r="D2214" s="33"/>
      <c r="E2214" s="33"/>
      <c r="F2214" s="33"/>
      <c r="G2214" s="33"/>
      <c r="H2214" s="34"/>
      <c r="J2214" s="36"/>
      <c r="K2214" s="36"/>
      <c r="L2214" s="36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8"/>
      <c r="AS2214" s="38"/>
      <c r="AT2214" s="38"/>
      <c r="AU2214" s="33"/>
      <c r="AV2214" s="39"/>
    </row>
    <row r="2215" spans="4:48">
      <c r="D2215" s="33"/>
      <c r="E2215" s="33"/>
      <c r="F2215" s="33"/>
      <c r="G2215" s="33"/>
      <c r="H2215" s="34"/>
      <c r="J2215" s="36"/>
      <c r="K2215" s="36"/>
      <c r="L2215" s="36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8"/>
      <c r="AS2215" s="38"/>
      <c r="AT2215" s="38"/>
      <c r="AU2215" s="33"/>
      <c r="AV2215" s="39"/>
    </row>
    <row r="2216" spans="4:48">
      <c r="D2216" s="33"/>
      <c r="E2216" s="33"/>
      <c r="F2216" s="33"/>
      <c r="G2216" s="33"/>
      <c r="H2216" s="34"/>
      <c r="J2216" s="36"/>
      <c r="K2216" s="36"/>
      <c r="L2216" s="36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8"/>
      <c r="AS2216" s="38"/>
      <c r="AT2216" s="38"/>
      <c r="AU2216" s="33"/>
      <c r="AV2216" s="39"/>
    </row>
    <row r="2217" spans="4:48">
      <c r="D2217" s="33"/>
      <c r="E2217" s="33"/>
      <c r="F2217" s="33"/>
      <c r="G2217" s="33"/>
      <c r="H2217" s="34"/>
      <c r="J2217" s="36"/>
      <c r="K2217" s="36"/>
      <c r="L2217" s="36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8"/>
      <c r="AS2217" s="38"/>
      <c r="AT2217" s="38"/>
      <c r="AU2217" s="33"/>
      <c r="AV2217" s="39"/>
    </row>
    <row r="2218" spans="4:48">
      <c r="D2218" s="33"/>
      <c r="E2218" s="33"/>
      <c r="F2218" s="33"/>
      <c r="G2218" s="33"/>
      <c r="H2218" s="34"/>
      <c r="J2218" s="36"/>
      <c r="K2218" s="36"/>
      <c r="L2218" s="36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8"/>
      <c r="AS2218" s="38"/>
      <c r="AT2218" s="38"/>
      <c r="AU2218" s="33"/>
      <c r="AV2218" s="39"/>
    </row>
    <row r="2219" spans="4:48">
      <c r="D2219" s="33"/>
      <c r="E2219" s="33"/>
      <c r="F2219" s="33"/>
      <c r="G2219" s="33"/>
      <c r="H2219" s="34"/>
      <c r="J2219" s="36"/>
      <c r="K2219" s="36"/>
      <c r="L2219" s="36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8"/>
      <c r="AS2219" s="38"/>
      <c r="AT2219" s="38"/>
      <c r="AU2219" s="33"/>
      <c r="AV2219" s="39"/>
    </row>
    <row r="2220" spans="4:48">
      <c r="D2220" s="33"/>
      <c r="E2220" s="33"/>
      <c r="F2220" s="33"/>
      <c r="G2220" s="33"/>
      <c r="H2220" s="34"/>
      <c r="J2220" s="36"/>
      <c r="K2220" s="36"/>
      <c r="L2220" s="36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8"/>
      <c r="AS2220" s="38"/>
      <c r="AT2220" s="38"/>
      <c r="AU2220" s="33"/>
      <c r="AV2220" s="39"/>
    </row>
    <row r="2221" spans="4:48">
      <c r="D2221" s="33"/>
      <c r="E2221" s="33"/>
      <c r="F2221" s="33"/>
      <c r="G2221" s="33"/>
      <c r="H2221" s="34"/>
      <c r="J2221" s="36"/>
      <c r="K2221" s="36"/>
      <c r="L2221" s="36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8"/>
      <c r="AS2221" s="38"/>
      <c r="AT2221" s="38"/>
      <c r="AU2221" s="33"/>
      <c r="AV2221" s="39"/>
    </row>
    <row r="2222" spans="4:48">
      <c r="D2222" s="33"/>
      <c r="E2222" s="33"/>
      <c r="F2222" s="33"/>
      <c r="G2222" s="33"/>
      <c r="H2222" s="34"/>
      <c r="J2222" s="36"/>
      <c r="K2222" s="36"/>
      <c r="L2222" s="36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8"/>
      <c r="AS2222" s="38"/>
      <c r="AT2222" s="38"/>
      <c r="AU2222" s="33"/>
      <c r="AV2222" s="39"/>
    </row>
    <row r="2223" spans="4:48">
      <c r="D2223" s="33"/>
      <c r="E2223" s="33"/>
      <c r="F2223" s="33"/>
      <c r="G2223" s="33"/>
      <c r="H2223" s="34"/>
      <c r="J2223" s="36"/>
      <c r="K2223" s="36"/>
      <c r="L2223" s="36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8"/>
      <c r="AS2223" s="38"/>
      <c r="AT2223" s="38"/>
      <c r="AU2223" s="33"/>
      <c r="AV2223" s="39"/>
    </row>
    <row r="2224" spans="4:48">
      <c r="D2224" s="33"/>
      <c r="E2224" s="33"/>
      <c r="F2224" s="33"/>
      <c r="G2224" s="33"/>
      <c r="H2224" s="34"/>
      <c r="J2224" s="36"/>
      <c r="K2224" s="36"/>
      <c r="L2224" s="36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8"/>
      <c r="AS2224" s="38"/>
      <c r="AT2224" s="38"/>
      <c r="AU2224" s="33"/>
      <c r="AV2224" s="39"/>
    </row>
    <row r="2225" spans="4:48">
      <c r="D2225" s="33"/>
      <c r="E2225" s="33"/>
      <c r="F2225" s="33"/>
      <c r="G2225" s="33"/>
      <c r="H2225" s="34"/>
      <c r="J2225" s="36"/>
      <c r="K2225" s="36"/>
      <c r="L2225" s="36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8"/>
      <c r="AS2225" s="38"/>
      <c r="AT2225" s="38"/>
      <c r="AU2225" s="33"/>
      <c r="AV2225" s="39"/>
    </row>
    <row r="2226" spans="4:48">
      <c r="D2226" s="33"/>
      <c r="E2226" s="33"/>
      <c r="F2226" s="33"/>
      <c r="G2226" s="33"/>
      <c r="H2226" s="34"/>
      <c r="J2226" s="36"/>
      <c r="K2226" s="36"/>
      <c r="L2226" s="36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8"/>
      <c r="AS2226" s="38"/>
      <c r="AT2226" s="38"/>
      <c r="AU2226" s="33"/>
      <c r="AV2226" s="39"/>
    </row>
    <row r="2227" spans="4:48">
      <c r="D2227" s="33"/>
      <c r="E2227" s="33"/>
      <c r="F2227" s="33"/>
      <c r="G2227" s="33"/>
      <c r="H2227" s="34"/>
      <c r="J2227" s="36"/>
      <c r="K2227" s="36"/>
      <c r="L2227" s="36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8"/>
      <c r="AS2227" s="38"/>
      <c r="AT2227" s="38"/>
      <c r="AU2227" s="33"/>
      <c r="AV2227" s="39"/>
    </row>
    <row r="2228" spans="4:48">
      <c r="D2228" s="33"/>
      <c r="E2228" s="33"/>
      <c r="F2228" s="33"/>
      <c r="G2228" s="33"/>
      <c r="H2228" s="34"/>
      <c r="J2228" s="36"/>
      <c r="K2228" s="36"/>
      <c r="L2228" s="36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8"/>
      <c r="AS2228" s="38"/>
      <c r="AT2228" s="38"/>
      <c r="AU2228" s="33"/>
      <c r="AV2228" s="39"/>
    </row>
    <row r="2229" spans="4:48">
      <c r="D2229" s="33"/>
      <c r="E2229" s="33"/>
      <c r="F2229" s="33"/>
      <c r="G2229" s="33"/>
      <c r="H2229" s="34"/>
      <c r="J2229" s="36"/>
      <c r="K2229" s="36"/>
      <c r="L2229" s="36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8"/>
      <c r="AS2229" s="38"/>
      <c r="AT2229" s="38"/>
      <c r="AU2229" s="33"/>
      <c r="AV2229" s="39"/>
    </row>
    <row r="2230" spans="4:48">
      <c r="D2230" s="33"/>
      <c r="E2230" s="33"/>
      <c r="F2230" s="33"/>
      <c r="G2230" s="33"/>
      <c r="H2230" s="34"/>
      <c r="J2230" s="36"/>
      <c r="K2230" s="36"/>
      <c r="L2230" s="36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8"/>
      <c r="AS2230" s="38"/>
      <c r="AT2230" s="38"/>
      <c r="AU2230" s="33"/>
      <c r="AV2230" s="39"/>
    </row>
    <row r="2231" spans="4:48">
      <c r="D2231" s="33"/>
      <c r="E2231" s="33"/>
      <c r="F2231" s="33"/>
      <c r="G2231" s="33"/>
      <c r="H2231" s="34"/>
      <c r="J2231" s="36"/>
      <c r="K2231" s="36"/>
      <c r="L2231" s="36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8"/>
      <c r="AS2231" s="38"/>
      <c r="AT2231" s="38"/>
      <c r="AU2231" s="33"/>
      <c r="AV2231" s="39"/>
    </row>
    <row r="2232" spans="4:48">
      <c r="D2232" s="33"/>
      <c r="E2232" s="33"/>
      <c r="F2232" s="33"/>
      <c r="G2232" s="33"/>
      <c r="H2232" s="34"/>
      <c r="J2232" s="36"/>
      <c r="K2232" s="36"/>
      <c r="L2232" s="36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8"/>
      <c r="AS2232" s="38"/>
      <c r="AT2232" s="38"/>
      <c r="AU2232" s="33"/>
      <c r="AV2232" s="39"/>
    </row>
    <row r="2233" spans="4:48">
      <c r="D2233" s="33"/>
      <c r="E2233" s="33"/>
      <c r="F2233" s="33"/>
      <c r="G2233" s="33"/>
      <c r="H2233" s="34"/>
      <c r="J2233" s="36"/>
      <c r="K2233" s="36"/>
      <c r="L2233" s="36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8"/>
      <c r="AS2233" s="38"/>
      <c r="AT2233" s="38"/>
      <c r="AU2233" s="33"/>
      <c r="AV2233" s="39"/>
    </row>
    <row r="2234" spans="4:48">
      <c r="D2234" s="33"/>
      <c r="E2234" s="33"/>
      <c r="F2234" s="33"/>
      <c r="G2234" s="33"/>
      <c r="H2234" s="34"/>
      <c r="J2234" s="36"/>
      <c r="K2234" s="36"/>
      <c r="L2234" s="36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8"/>
      <c r="AS2234" s="38"/>
      <c r="AT2234" s="38"/>
      <c r="AU2234" s="33"/>
      <c r="AV2234" s="39"/>
    </row>
    <row r="2235" spans="4:48">
      <c r="D2235" s="33"/>
      <c r="E2235" s="33"/>
      <c r="F2235" s="33"/>
      <c r="G2235" s="33"/>
      <c r="H2235" s="34"/>
      <c r="J2235" s="36"/>
      <c r="K2235" s="36"/>
      <c r="L2235" s="36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8"/>
      <c r="AS2235" s="38"/>
      <c r="AT2235" s="38"/>
      <c r="AU2235" s="33"/>
      <c r="AV2235" s="39"/>
    </row>
    <row r="2236" spans="4:48">
      <c r="D2236" s="33"/>
      <c r="E2236" s="33"/>
      <c r="F2236" s="33"/>
      <c r="G2236" s="33"/>
      <c r="H2236" s="34"/>
      <c r="J2236" s="36"/>
      <c r="K2236" s="36"/>
      <c r="L2236" s="36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8"/>
      <c r="AS2236" s="38"/>
      <c r="AT2236" s="38"/>
      <c r="AU2236" s="33"/>
      <c r="AV2236" s="39"/>
    </row>
    <row r="2237" spans="4:48">
      <c r="D2237" s="33"/>
      <c r="E2237" s="33"/>
      <c r="F2237" s="33"/>
      <c r="G2237" s="33"/>
      <c r="H2237" s="34"/>
      <c r="J2237" s="36"/>
      <c r="K2237" s="36"/>
      <c r="L2237" s="36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8"/>
      <c r="AS2237" s="38"/>
      <c r="AT2237" s="38"/>
      <c r="AU2237" s="33"/>
      <c r="AV2237" s="39"/>
    </row>
    <row r="2238" spans="4:48">
      <c r="D2238" s="33"/>
      <c r="E2238" s="33"/>
      <c r="F2238" s="33"/>
      <c r="G2238" s="33"/>
      <c r="H2238" s="34"/>
      <c r="J2238" s="36"/>
      <c r="K2238" s="36"/>
      <c r="L2238" s="36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8"/>
      <c r="AS2238" s="38"/>
      <c r="AT2238" s="38"/>
      <c r="AU2238" s="33"/>
      <c r="AV2238" s="39"/>
    </row>
    <row r="2239" spans="4:48">
      <c r="D2239" s="33"/>
      <c r="E2239" s="33"/>
      <c r="F2239" s="33"/>
      <c r="G2239" s="33"/>
      <c r="H2239" s="34"/>
      <c r="J2239" s="36"/>
      <c r="K2239" s="36"/>
      <c r="L2239" s="36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8"/>
      <c r="AS2239" s="38"/>
      <c r="AT2239" s="38"/>
      <c r="AU2239" s="33"/>
      <c r="AV2239" s="39"/>
    </row>
    <row r="2240" spans="4:48">
      <c r="D2240" s="33"/>
      <c r="E2240" s="33"/>
      <c r="F2240" s="33"/>
      <c r="G2240" s="33"/>
      <c r="H2240" s="34"/>
      <c r="J2240" s="36"/>
      <c r="K2240" s="36"/>
      <c r="L2240" s="36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8"/>
      <c r="AS2240" s="38"/>
      <c r="AT2240" s="38"/>
      <c r="AU2240" s="33"/>
      <c r="AV2240" s="39"/>
    </row>
    <row r="2241" spans="4:48">
      <c r="D2241" s="33"/>
      <c r="E2241" s="33"/>
      <c r="F2241" s="33"/>
      <c r="G2241" s="33"/>
      <c r="H2241" s="34"/>
      <c r="J2241" s="36"/>
      <c r="K2241" s="36"/>
      <c r="L2241" s="36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8"/>
      <c r="AS2241" s="38"/>
      <c r="AT2241" s="38"/>
      <c r="AU2241" s="33"/>
      <c r="AV2241" s="39"/>
    </row>
    <row r="2242" spans="4:48">
      <c r="D2242" s="33"/>
      <c r="E2242" s="33"/>
      <c r="F2242" s="33"/>
      <c r="G2242" s="33"/>
      <c r="H2242" s="34"/>
      <c r="J2242" s="36"/>
      <c r="K2242" s="36"/>
      <c r="L2242" s="36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8"/>
      <c r="AS2242" s="38"/>
      <c r="AT2242" s="38"/>
      <c r="AU2242" s="33"/>
      <c r="AV2242" s="39"/>
    </row>
    <row r="2243" spans="4:48">
      <c r="D2243" s="33"/>
      <c r="E2243" s="33"/>
      <c r="F2243" s="33"/>
      <c r="G2243" s="33"/>
      <c r="H2243" s="34"/>
      <c r="J2243" s="36"/>
      <c r="K2243" s="36"/>
      <c r="L2243" s="36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8"/>
      <c r="AS2243" s="38"/>
      <c r="AT2243" s="38"/>
      <c r="AU2243" s="33"/>
      <c r="AV2243" s="39"/>
    </row>
    <row r="2244" spans="4:48">
      <c r="D2244" s="33"/>
      <c r="E2244" s="33"/>
      <c r="F2244" s="33"/>
      <c r="G2244" s="33"/>
      <c r="H2244" s="34"/>
      <c r="J2244" s="36"/>
      <c r="K2244" s="36"/>
      <c r="L2244" s="36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8"/>
      <c r="AS2244" s="38"/>
      <c r="AT2244" s="38"/>
      <c r="AU2244" s="33"/>
      <c r="AV2244" s="39"/>
    </row>
    <row r="2245" spans="4:48">
      <c r="D2245" s="33"/>
      <c r="E2245" s="33"/>
      <c r="F2245" s="33"/>
      <c r="G2245" s="33"/>
      <c r="H2245" s="34"/>
      <c r="J2245" s="36"/>
      <c r="K2245" s="36"/>
      <c r="L2245" s="36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8"/>
      <c r="AS2245" s="38"/>
      <c r="AT2245" s="38"/>
      <c r="AU2245" s="33"/>
      <c r="AV2245" s="39"/>
    </row>
    <row r="2246" spans="4:48">
      <c r="D2246" s="33"/>
      <c r="E2246" s="33"/>
      <c r="F2246" s="33"/>
      <c r="G2246" s="33"/>
      <c r="H2246" s="34"/>
      <c r="J2246" s="36"/>
      <c r="K2246" s="36"/>
      <c r="L2246" s="36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8"/>
      <c r="AS2246" s="38"/>
      <c r="AT2246" s="38"/>
      <c r="AU2246" s="33"/>
      <c r="AV2246" s="39"/>
    </row>
    <row r="2247" spans="4:48">
      <c r="D2247" s="33"/>
      <c r="E2247" s="33"/>
      <c r="F2247" s="33"/>
      <c r="G2247" s="33"/>
      <c r="H2247" s="34"/>
      <c r="J2247" s="36"/>
      <c r="K2247" s="36"/>
      <c r="L2247" s="36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8"/>
      <c r="AS2247" s="38"/>
      <c r="AT2247" s="38"/>
      <c r="AU2247" s="33"/>
      <c r="AV2247" s="39"/>
    </row>
    <row r="2248" spans="4:48">
      <c r="D2248" s="33"/>
      <c r="E2248" s="33"/>
      <c r="F2248" s="33"/>
      <c r="G2248" s="33"/>
      <c r="H2248" s="34"/>
      <c r="J2248" s="36"/>
      <c r="K2248" s="36"/>
      <c r="L2248" s="36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8"/>
      <c r="AS2248" s="38"/>
      <c r="AT2248" s="38"/>
      <c r="AU2248" s="33"/>
      <c r="AV2248" s="39"/>
    </row>
    <row r="2249" spans="4:48">
      <c r="D2249" s="33"/>
      <c r="E2249" s="33"/>
      <c r="F2249" s="33"/>
      <c r="G2249" s="33"/>
      <c r="H2249" s="34"/>
      <c r="J2249" s="36"/>
      <c r="K2249" s="36"/>
      <c r="L2249" s="36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8"/>
      <c r="AS2249" s="38"/>
      <c r="AT2249" s="38"/>
      <c r="AU2249" s="33"/>
      <c r="AV2249" s="39"/>
    </row>
    <row r="2250" spans="4:48">
      <c r="D2250" s="33"/>
      <c r="E2250" s="33"/>
      <c r="F2250" s="33"/>
      <c r="G2250" s="33"/>
      <c r="H2250" s="34"/>
      <c r="J2250" s="36"/>
      <c r="K2250" s="36"/>
      <c r="L2250" s="36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8"/>
      <c r="AS2250" s="38"/>
      <c r="AT2250" s="38"/>
      <c r="AU2250" s="33"/>
      <c r="AV2250" s="39"/>
    </row>
    <row r="2251" spans="4:48">
      <c r="D2251" s="33"/>
      <c r="E2251" s="33"/>
      <c r="F2251" s="33"/>
      <c r="G2251" s="33"/>
      <c r="H2251" s="34"/>
      <c r="J2251" s="36"/>
      <c r="K2251" s="36"/>
      <c r="L2251" s="36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8"/>
      <c r="AS2251" s="38"/>
      <c r="AT2251" s="38"/>
      <c r="AU2251" s="33"/>
      <c r="AV2251" s="39"/>
    </row>
    <row r="2252" spans="4:48">
      <c r="D2252" s="33"/>
      <c r="E2252" s="33"/>
      <c r="F2252" s="33"/>
      <c r="G2252" s="33"/>
      <c r="H2252" s="34"/>
      <c r="J2252" s="36"/>
      <c r="K2252" s="36"/>
      <c r="L2252" s="36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8"/>
      <c r="AS2252" s="38"/>
      <c r="AT2252" s="38"/>
      <c r="AU2252" s="33"/>
      <c r="AV2252" s="39"/>
    </row>
    <row r="2253" spans="4:48">
      <c r="D2253" s="33"/>
      <c r="E2253" s="33"/>
      <c r="F2253" s="33"/>
      <c r="G2253" s="33"/>
      <c r="H2253" s="34"/>
      <c r="J2253" s="36"/>
      <c r="K2253" s="36"/>
      <c r="L2253" s="36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8"/>
      <c r="AS2253" s="38"/>
      <c r="AT2253" s="38"/>
      <c r="AU2253" s="33"/>
      <c r="AV2253" s="39"/>
    </row>
    <row r="2254" spans="4:48">
      <c r="D2254" s="33"/>
      <c r="E2254" s="33"/>
      <c r="F2254" s="33"/>
      <c r="G2254" s="33"/>
      <c r="H2254" s="34"/>
      <c r="J2254" s="36"/>
      <c r="K2254" s="36"/>
      <c r="L2254" s="36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8"/>
      <c r="AS2254" s="38"/>
      <c r="AT2254" s="38"/>
      <c r="AU2254" s="33"/>
      <c r="AV2254" s="39"/>
    </row>
    <row r="2255" spans="4:48">
      <c r="D2255" s="33"/>
      <c r="E2255" s="33"/>
      <c r="F2255" s="33"/>
      <c r="G2255" s="33"/>
      <c r="H2255" s="34"/>
      <c r="J2255" s="36"/>
      <c r="K2255" s="36"/>
      <c r="L2255" s="36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8"/>
      <c r="AS2255" s="38"/>
      <c r="AT2255" s="38"/>
      <c r="AU2255" s="33"/>
      <c r="AV2255" s="39"/>
    </row>
    <row r="2256" spans="4:48">
      <c r="D2256" s="33"/>
      <c r="E2256" s="33"/>
      <c r="F2256" s="33"/>
      <c r="G2256" s="33"/>
      <c r="H2256" s="34"/>
      <c r="J2256" s="36"/>
      <c r="K2256" s="36"/>
      <c r="L2256" s="36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8"/>
      <c r="AS2256" s="38"/>
      <c r="AT2256" s="38"/>
      <c r="AU2256" s="33"/>
      <c r="AV2256" s="39"/>
    </row>
    <row r="2257" spans="4:48">
      <c r="D2257" s="33"/>
      <c r="E2257" s="33"/>
      <c r="F2257" s="33"/>
      <c r="G2257" s="33"/>
      <c r="H2257" s="34"/>
      <c r="J2257" s="36"/>
      <c r="K2257" s="36"/>
      <c r="L2257" s="36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8"/>
      <c r="AS2257" s="38"/>
      <c r="AT2257" s="38"/>
      <c r="AU2257" s="33"/>
      <c r="AV2257" s="39"/>
    </row>
    <row r="2258" spans="4:48">
      <c r="D2258" s="33"/>
      <c r="E2258" s="33"/>
      <c r="F2258" s="33"/>
      <c r="G2258" s="33"/>
      <c r="H2258" s="34"/>
      <c r="J2258" s="36"/>
      <c r="K2258" s="36"/>
      <c r="L2258" s="36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8"/>
      <c r="AS2258" s="38"/>
      <c r="AT2258" s="38"/>
      <c r="AU2258" s="33"/>
      <c r="AV2258" s="39"/>
    </row>
    <row r="2259" spans="4:48">
      <c r="D2259" s="33"/>
      <c r="E2259" s="33"/>
      <c r="F2259" s="33"/>
      <c r="G2259" s="33"/>
      <c r="H2259" s="34"/>
      <c r="J2259" s="36"/>
      <c r="K2259" s="36"/>
      <c r="L2259" s="36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8"/>
      <c r="AS2259" s="38"/>
      <c r="AT2259" s="38"/>
      <c r="AU2259" s="33"/>
      <c r="AV2259" s="39"/>
    </row>
    <row r="2260" spans="4:48">
      <c r="D2260" s="33"/>
      <c r="E2260" s="33"/>
      <c r="F2260" s="33"/>
      <c r="G2260" s="33"/>
      <c r="H2260" s="34"/>
      <c r="J2260" s="36"/>
      <c r="K2260" s="36"/>
      <c r="L2260" s="36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8"/>
      <c r="AS2260" s="38"/>
      <c r="AT2260" s="38"/>
      <c r="AU2260" s="33"/>
      <c r="AV2260" s="39"/>
    </row>
    <row r="2261" spans="4:48">
      <c r="D2261" s="33"/>
      <c r="E2261" s="33"/>
      <c r="F2261" s="33"/>
      <c r="G2261" s="33"/>
      <c r="H2261" s="34"/>
      <c r="J2261" s="36"/>
      <c r="K2261" s="36"/>
      <c r="L2261" s="36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8"/>
      <c r="AS2261" s="38"/>
      <c r="AT2261" s="38"/>
      <c r="AU2261" s="33"/>
      <c r="AV2261" s="39"/>
    </row>
    <row r="2262" spans="4:48">
      <c r="D2262" s="33"/>
      <c r="E2262" s="33"/>
      <c r="F2262" s="33"/>
      <c r="G2262" s="33"/>
      <c r="H2262" s="34"/>
      <c r="J2262" s="36"/>
      <c r="K2262" s="36"/>
      <c r="L2262" s="36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8"/>
      <c r="AS2262" s="38"/>
      <c r="AT2262" s="38"/>
      <c r="AU2262" s="33"/>
      <c r="AV2262" s="39"/>
    </row>
    <row r="2263" spans="4:48">
      <c r="D2263" s="33"/>
      <c r="E2263" s="33"/>
      <c r="F2263" s="33"/>
      <c r="G2263" s="33"/>
      <c r="H2263" s="34"/>
      <c r="J2263" s="36"/>
      <c r="K2263" s="36"/>
      <c r="L2263" s="36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8"/>
      <c r="AS2263" s="38"/>
      <c r="AT2263" s="38"/>
      <c r="AU2263" s="33"/>
      <c r="AV2263" s="39"/>
    </row>
    <row r="2264" spans="4:48">
      <c r="D2264" s="33"/>
      <c r="E2264" s="33"/>
      <c r="F2264" s="33"/>
      <c r="G2264" s="33"/>
      <c r="H2264" s="34"/>
      <c r="J2264" s="36"/>
      <c r="K2264" s="36"/>
      <c r="L2264" s="36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8"/>
      <c r="AS2264" s="38"/>
      <c r="AT2264" s="38"/>
      <c r="AU2264" s="33"/>
      <c r="AV2264" s="39"/>
    </row>
    <row r="2265" spans="4:48">
      <c r="D2265" s="33"/>
      <c r="E2265" s="33"/>
      <c r="F2265" s="33"/>
      <c r="G2265" s="33"/>
      <c r="H2265" s="34"/>
      <c r="J2265" s="36"/>
      <c r="K2265" s="36"/>
      <c r="L2265" s="36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8"/>
      <c r="AS2265" s="38"/>
      <c r="AT2265" s="38"/>
      <c r="AU2265" s="33"/>
      <c r="AV2265" s="39"/>
    </row>
    <row r="2266" spans="4:48">
      <c r="D2266" s="33"/>
      <c r="E2266" s="33"/>
      <c r="F2266" s="33"/>
      <c r="G2266" s="33"/>
      <c r="H2266" s="34"/>
      <c r="J2266" s="36"/>
      <c r="K2266" s="36"/>
      <c r="L2266" s="36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8"/>
      <c r="AS2266" s="38"/>
      <c r="AT2266" s="38"/>
      <c r="AU2266" s="33"/>
      <c r="AV2266" s="39"/>
    </row>
    <row r="2267" spans="4:48">
      <c r="D2267" s="33"/>
      <c r="E2267" s="33"/>
      <c r="F2267" s="33"/>
      <c r="G2267" s="33"/>
      <c r="H2267" s="34"/>
      <c r="J2267" s="36"/>
      <c r="K2267" s="36"/>
      <c r="L2267" s="36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8"/>
      <c r="AS2267" s="38"/>
      <c r="AT2267" s="38"/>
      <c r="AU2267" s="33"/>
      <c r="AV2267" s="39"/>
    </row>
    <row r="2268" spans="4:48">
      <c r="D2268" s="33"/>
      <c r="E2268" s="33"/>
      <c r="F2268" s="33"/>
      <c r="G2268" s="33"/>
      <c r="H2268" s="34"/>
      <c r="J2268" s="36"/>
      <c r="K2268" s="36"/>
      <c r="L2268" s="36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8"/>
      <c r="AS2268" s="38"/>
      <c r="AT2268" s="38"/>
      <c r="AU2268" s="33"/>
      <c r="AV2268" s="39"/>
    </row>
    <row r="2269" spans="4:48">
      <c r="D2269" s="33"/>
      <c r="E2269" s="33"/>
      <c r="F2269" s="33"/>
      <c r="G2269" s="33"/>
      <c r="H2269" s="34"/>
      <c r="J2269" s="36"/>
      <c r="K2269" s="36"/>
      <c r="L2269" s="36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8"/>
      <c r="AS2269" s="38"/>
      <c r="AT2269" s="38"/>
      <c r="AU2269" s="33"/>
      <c r="AV2269" s="39"/>
    </row>
    <row r="2270" spans="4:48">
      <c r="D2270" s="33"/>
      <c r="E2270" s="33"/>
      <c r="F2270" s="33"/>
      <c r="G2270" s="33"/>
      <c r="H2270" s="34"/>
      <c r="J2270" s="36"/>
      <c r="K2270" s="36"/>
      <c r="L2270" s="36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8"/>
      <c r="AS2270" s="38"/>
      <c r="AT2270" s="38"/>
      <c r="AU2270" s="33"/>
      <c r="AV2270" s="39"/>
    </row>
    <row r="2271" spans="4:48">
      <c r="D2271" s="33"/>
      <c r="E2271" s="33"/>
      <c r="F2271" s="33"/>
      <c r="G2271" s="33"/>
      <c r="H2271" s="34"/>
      <c r="J2271" s="36"/>
      <c r="K2271" s="36"/>
      <c r="L2271" s="36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8"/>
      <c r="AS2271" s="38"/>
      <c r="AT2271" s="38"/>
      <c r="AU2271" s="33"/>
      <c r="AV2271" s="39"/>
    </row>
    <row r="2272" spans="4:48">
      <c r="D2272" s="33"/>
      <c r="E2272" s="33"/>
      <c r="F2272" s="33"/>
      <c r="G2272" s="33"/>
      <c r="H2272" s="34"/>
      <c r="J2272" s="36"/>
      <c r="K2272" s="36"/>
      <c r="L2272" s="36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8"/>
      <c r="AS2272" s="38"/>
      <c r="AT2272" s="38"/>
      <c r="AU2272" s="33"/>
      <c r="AV2272" s="39"/>
    </row>
    <row r="2273" spans="4:48">
      <c r="D2273" s="33"/>
      <c r="E2273" s="33"/>
      <c r="F2273" s="33"/>
      <c r="G2273" s="33"/>
      <c r="H2273" s="34"/>
      <c r="J2273" s="36"/>
      <c r="K2273" s="36"/>
      <c r="L2273" s="36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8"/>
      <c r="AS2273" s="38"/>
      <c r="AT2273" s="38"/>
      <c r="AU2273" s="33"/>
      <c r="AV2273" s="39"/>
    </row>
    <row r="2274" spans="4:48">
      <c r="D2274" s="33"/>
      <c r="E2274" s="33"/>
      <c r="F2274" s="33"/>
      <c r="G2274" s="33"/>
      <c r="H2274" s="34"/>
      <c r="J2274" s="36"/>
      <c r="K2274" s="36"/>
      <c r="L2274" s="36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8"/>
      <c r="AS2274" s="38"/>
      <c r="AT2274" s="38"/>
      <c r="AU2274" s="33"/>
      <c r="AV2274" s="39"/>
    </row>
    <row r="2275" spans="4:48">
      <c r="D2275" s="33"/>
      <c r="E2275" s="33"/>
      <c r="F2275" s="33"/>
      <c r="G2275" s="33"/>
      <c r="H2275" s="34"/>
      <c r="J2275" s="36"/>
      <c r="K2275" s="36"/>
      <c r="L2275" s="36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8"/>
      <c r="AS2275" s="38"/>
      <c r="AT2275" s="38"/>
      <c r="AU2275" s="33"/>
      <c r="AV2275" s="39"/>
    </row>
    <row r="2276" spans="4:48">
      <c r="D2276" s="33"/>
      <c r="E2276" s="33"/>
      <c r="F2276" s="33"/>
      <c r="G2276" s="33"/>
      <c r="H2276" s="34"/>
      <c r="J2276" s="36"/>
      <c r="K2276" s="36"/>
      <c r="L2276" s="36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8"/>
      <c r="AS2276" s="38"/>
      <c r="AT2276" s="38"/>
      <c r="AU2276" s="33"/>
      <c r="AV2276" s="39"/>
    </row>
    <row r="2277" spans="4:48">
      <c r="D2277" s="33"/>
      <c r="E2277" s="33"/>
      <c r="F2277" s="33"/>
      <c r="G2277" s="33"/>
      <c r="H2277" s="34"/>
      <c r="J2277" s="36"/>
      <c r="K2277" s="36"/>
      <c r="L2277" s="36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8"/>
      <c r="AS2277" s="38"/>
      <c r="AT2277" s="38"/>
      <c r="AU2277" s="33"/>
      <c r="AV2277" s="39"/>
    </row>
    <row r="2278" spans="4:48">
      <c r="D2278" s="33"/>
      <c r="E2278" s="33"/>
      <c r="F2278" s="33"/>
      <c r="G2278" s="33"/>
      <c r="H2278" s="34"/>
      <c r="J2278" s="36"/>
      <c r="K2278" s="36"/>
      <c r="L2278" s="36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8"/>
      <c r="AS2278" s="38"/>
      <c r="AT2278" s="38"/>
      <c r="AU2278" s="33"/>
      <c r="AV2278" s="39"/>
    </row>
    <row r="2279" spans="4:48">
      <c r="D2279" s="33"/>
      <c r="E2279" s="33"/>
      <c r="F2279" s="33"/>
      <c r="G2279" s="33"/>
      <c r="H2279" s="34"/>
      <c r="J2279" s="36"/>
      <c r="K2279" s="36"/>
      <c r="L2279" s="36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8"/>
      <c r="AS2279" s="38"/>
      <c r="AT2279" s="38"/>
      <c r="AU2279" s="33"/>
      <c r="AV2279" s="39"/>
    </row>
    <row r="2280" spans="4:48">
      <c r="D2280" s="33"/>
      <c r="E2280" s="33"/>
      <c r="F2280" s="33"/>
      <c r="G2280" s="33"/>
      <c r="H2280" s="34"/>
      <c r="J2280" s="36"/>
      <c r="K2280" s="36"/>
      <c r="L2280" s="36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8"/>
      <c r="AS2280" s="38"/>
      <c r="AT2280" s="38"/>
      <c r="AU2280" s="33"/>
      <c r="AV2280" s="39"/>
    </row>
    <row r="2281" spans="4:48">
      <c r="D2281" s="33"/>
      <c r="E2281" s="33"/>
      <c r="F2281" s="33"/>
      <c r="G2281" s="33"/>
      <c r="H2281" s="34"/>
      <c r="J2281" s="36"/>
      <c r="K2281" s="36"/>
      <c r="L2281" s="36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8"/>
      <c r="AS2281" s="38"/>
      <c r="AT2281" s="38"/>
      <c r="AU2281" s="33"/>
      <c r="AV2281" s="39"/>
    </row>
    <row r="2282" spans="4:48">
      <c r="D2282" s="33"/>
      <c r="E2282" s="33"/>
      <c r="F2282" s="33"/>
      <c r="G2282" s="33"/>
      <c r="H2282" s="34"/>
      <c r="J2282" s="36"/>
      <c r="K2282" s="36"/>
      <c r="L2282" s="36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8"/>
      <c r="AS2282" s="38"/>
      <c r="AT2282" s="38"/>
      <c r="AU2282" s="33"/>
      <c r="AV2282" s="39"/>
    </row>
    <row r="2283" spans="4:48">
      <c r="D2283" s="33"/>
      <c r="E2283" s="33"/>
      <c r="F2283" s="33"/>
      <c r="G2283" s="33"/>
      <c r="H2283" s="34"/>
      <c r="J2283" s="36"/>
      <c r="K2283" s="36"/>
      <c r="L2283" s="36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8"/>
      <c r="AS2283" s="38"/>
      <c r="AT2283" s="38"/>
      <c r="AU2283" s="33"/>
      <c r="AV2283" s="39"/>
    </row>
    <row r="2284" spans="4:48">
      <c r="D2284" s="33"/>
      <c r="E2284" s="33"/>
      <c r="F2284" s="33"/>
      <c r="G2284" s="33"/>
      <c r="H2284" s="34"/>
      <c r="J2284" s="36"/>
      <c r="K2284" s="36"/>
      <c r="L2284" s="36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8"/>
      <c r="AS2284" s="38"/>
      <c r="AT2284" s="38"/>
      <c r="AU2284" s="33"/>
      <c r="AV2284" s="39"/>
    </row>
    <row r="2285" spans="4:48">
      <c r="D2285" s="33"/>
      <c r="E2285" s="33"/>
      <c r="F2285" s="33"/>
      <c r="G2285" s="33"/>
      <c r="H2285" s="34"/>
      <c r="J2285" s="36"/>
      <c r="K2285" s="36"/>
      <c r="L2285" s="36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8"/>
      <c r="AS2285" s="38"/>
      <c r="AT2285" s="38"/>
      <c r="AU2285" s="33"/>
      <c r="AV2285" s="39"/>
    </row>
    <row r="2286" spans="4:48">
      <c r="D2286" s="33"/>
      <c r="E2286" s="33"/>
      <c r="F2286" s="33"/>
      <c r="G2286" s="33"/>
      <c r="H2286" s="34"/>
      <c r="J2286" s="36"/>
      <c r="K2286" s="36"/>
      <c r="L2286" s="36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8"/>
      <c r="AS2286" s="38"/>
      <c r="AT2286" s="38"/>
      <c r="AU2286" s="33"/>
      <c r="AV2286" s="39"/>
    </row>
    <row r="2287" spans="4:48">
      <c r="D2287" s="33"/>
      <c r="E2287" s="33"/>
      <c r="F2287" s="33"/>
      <c r="G2287" s="33"/>
      <c r="H2287" s="34"/>
      <c r="J2287" s="36"/>
      <c r="K2287" s="36"/>
      <c r="L2287" s="36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8"/>
      <c r="AS2287" s="38"/>
      <c r="AT2287" s="38"/>
      <c r="AU2287" s="33"/>
      <c r="AV2287" s="39"/>
    </row>
    <row r="2288" spans="4:48">
      <c r="D2288" s="33"/>
      <c r="E2288" s="33"/>
      <c r="F2288" s="33"/>
      <c r="G2288" s="33"/>
      <c r="H2288" s="34"/>
      <c r="J2288" s="36"/>
      <c r="K2288" s="36"/>
      <c r="L2288" s="36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8"/>
      <c r="AS2288" s="38"/>
      <c r="AT2288" s="38"/>
      <c r="AU2288" s="33"/>
      <c r="AV2288" s="39"/>
    </row>
    <row r="2289" spans="4:48">
      <c r="D2289" s="33"/>
      <c r="E2289" s="33"/>
      <c r="F2289" s="33"/>
      <c r="G2289" s="33"/>
      <c r="H2289" s="34"/>
      <c r="J2289" s="36"/>
      <c r="K2289" s="36"/>
      <c r="L2289" s="36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8"/>
      <c r="AS2289" s="38"/>
      <c r="AT2289" s="38"/>
      <c r="AU2289" s="33"/>
      <c r="AV2289" s="39"/>
    </row>
    <row r="2290" spans="4:48">
      <c r="D2290" s="33"/>
      <c r="E2290" s="33"/>
      <c r="F2290" s="33"/>
      <c r="G2290" s="33"/>
      <c r="H2290" s="34"/>
      <c r="J2290" s="36"/>
      <c r="K2290" s="36"/>
      <c r="L2290" s="36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8"/>
      <c r="AS2290" s="38"/>
      <c r="AT2290" s="38"/>
      <c r="AU2290" s="33"/>
      <c r="AV2290" s="39"/>
    </row>
    <row r="2291" spans="4:48">
      <c r="D2291" s="33"/>
      <c r="E2291" s="33"/>
      <c r="F2291" s="33"/>
      <c r="G2291" s="33"/>
      <c r="H2291" s="34"/>
      <c r="J2291" s="36"/>
      <c r="K2291" s="36"/>
      <c r="L2291" s="36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8"/>
      <c r="AS2291" s="38"/>
      <c r="AT2291" s="38"/>
      <c r="AU2291" s="33"/>
      <c r="AV2291" s="39"/>
    </row>
    <row r="2292" spans="4:48">
      <c r="D2292" s="33"/>
      <c r="E2292" s="33"/>
      <c r="F2292" s="33"/>
      <c r="G2292" s="33"/>
      <c r="H2292" s="34"/>
      <c r="J2292" s="36"/>
      <c r="K2292" s="36"/>
      <c r="L2292" s="36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8"/>
      <c r="AS2292" s="38"/>
      <c r="AT2292" s="38"/>
      <c r="AU2292" s="33"/>
      <c r="AV2292" s="39"/>
    </row>
    <row r="2293" spans="4:48">
      <c r="D2293" s="33"/>
      <c r="E2293" s="33"/>
      <c r="F2293" s="33"/>
      <c r="G2293" s="33"/>
      <c r="H2293" s="34"/>
      <c r="J2293" s="36"/>
      <c r="K2293" s="36"/>
      <c r="L2293" s="36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8"/>
      <c r="AS2293" s="38"/>
      <c r="AT2293" s="38"/>
      <c r="AU2293" s="33"/>
      <c r="AV2293" s="39"/>
    </row>
    <row r="2294" spans="4:48">
      <c r="D2294" s="33"/>
      <c r="E2294" s="33"/>
      <c r="F2294" s="33"/>
      <c r="G2294" s="33"/>
      <c r="H2294" s="34"/>
      <c r="J2294" s="36"/>
      <c r="K2294" s="36"/>
      <c r="L2294" s="36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8"/>
      <c r="AS2294" s="38"/>
      <c r="AT2294" s="38"/>
      <c r="AU2294" s="33"/>
      <c r="AV2294" s="39"/>
    </row>
    <row r="2295" spans="4:48">
      <c r="D2295" s="33"/>
      <c r="E2295" s="33"/>
      <c r="F2295" s="33"/>
      <c r="G2295" s="33"/>
      <c r="H2295" s="34"/>
      <c r="J2295" s="36"/>
      <c r="K2295" s="36"/>
      <c r="L2295" s="36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8"/>
      <c r="AS2295" s="38"/>
      <c r="AT2295" s="38"/>
      <c r="AU2295" s="33"/>
      <c r="AV2295" s="39"/>
    </row>
    <row r="2296" spans="4:48">
      <c r="D2296" s="33"/>
      <c r="E2296" s="33"/>
      <c r="F2296" s="33"/>
      <c r="G2296" s="33"/>
      <c r="H2296" s="34"/>
      <c r="J2296" s="36"/>
      <c r="K2296" s="36"/>
      <c r="L2296" s="36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8"/>
      <c r="AS2296" s="38"/>
      <c r="AT2296" s="38"/>
      <c r="AU2296" s="33"/>
      <c r="AV2296" s="39"/>
    </row>
    <row r="2297" spans="4:48">
      <c r="D2297" s="33"/>
      <c r="E2297" s="33"/>
      <c r="F2297" s="33"/>
      <c r="G2297" s="33"/>
      <c r="H2297" s="34"/>
      <c r="J2297" s="36"/>
      <c r="K2297" s="36"/>
      <c r="L2297" s="36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8"/>
      <c r="AS2297" s="38"/>
      <c r="AT2297" s="38"/>
      <c r="AU2297" s="33"/>
      <c r="AV2297" s="39"/>
    </row>
    <row r="2298" spans="4:48">
      <c r="D2298" s="33"/>
      <c r="E2298" s="33"/>
      <c r="F2298" s="33"/>
      <c r="G2298" s="33"/>
      <c r="H2298" s="34"/>
      <c r="J2298" s="36"/>
      <c r="K2298" s="36"/>
      <c r="L2298" s="36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8"/>
      <c r="AS2298" s="38"/>
      <c r="AT2298" s="38"/>
      <c r="AU2298" s="33"/>
      <c r="AV2298" s="39"/>
    </row>
    <row r="2299" spans="4:48">
      <c r="D2299" s="33"/>
      <c r="E2299" s="33"/>
      <c r="F2299" s="33"/>
      <c r="G2299" s="33"/>
      <c r="H2299" s="34"/>
      <c r="J2299" s="36"/>
      <c r="K2299" s="36"/>
      <c r="L2299" s="36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8"/>
      <c r="AS2299" s="38"/>
      <c r="AT2299" s="38"/>
      <c r="AU2299" s="33"/>
      <c r="AV2299" s="39"/>
    </row>
    <row r="2300" spans="4:48">
      <c r="D2300" s="33"/>
      <c r="E2300" s="33"/>
      <c r="F2300" s="33"/>
      <c r="G2300" s="33"/>
      <c r="H2300" s="34"/>
      <c r="J2300" s="36"/>
      <c r="K2300" s="36"/>
      <c r="L2300" s="36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8"/>
      <c r="AS2300" s="38"/>
      <c r="AT2300" s="38"/>
      <c r="AU2300" s="33"/>
      <c r="AV2300" s="39"/>
    </row>
    <row r="2301" spans="4:48">
      <c r="D2301" s="33"/>
      <c r="E2301" s="33"/>
      <c r="F2301" s="33"/>
      <c r="G2301" s="33"/>
      <c r="H2301" s="34"/>
      <c r="J2301" s="36"/>
      <c r="K2301" s="36"/>
      <c r="L2301" s="36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8"/>
      <c r="AS2301" s="38"/>
      <c r="AT2301" s="38"/>
      <c r="AU2301" s="33"/>
      <c r="AV2301" s="39"/>
    </row>
    <row r="2302" spans="4:48">
      <c r="D2302" s="33"/>
      <c r="E2302" s="33"/>
      <c r="F2302" s="33"/>
      <c r="G2302" s="33"/>
      <c r="H2302" s="34"/>
      <c r="J2302" s="36"/>
      <c r="K2302" s="36"/>
      <c r="L2302" s="36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8"/>
      <c r="AS2302" s="38"/>
      <c r="AT2302" s="38"/>
      <c r="AU2302" s="33"/>
      <c r="AV2302" s="39"/>
    </row>
    <row r="2303" spans="4:48">
      <c r="D2303" s="33"/>
      <c r="E2303" s="33"/>
      <c r="F2303" s="33"/>
      <c r="G2303" s="33"/>
      <c r="H2303" s="34"/>
      <c r="J2303" s="36"/>
      <c r="K2303" s="36"/>
      <c r="L2303" s="36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8"/>
      <c r="AS2303" s="38"/>
      <c r="AT2303" s="38"/>
      <c r="AU2303" s="33"/>
      <c r="AV2303" s="39"/>
    </row>
    <row r="2304" spans="4:48">
      <c r="D2304" s="33"/>
      <c r="E2304" s="33"/>
      <c r="F2304" s="33"/>
      <c r="G2304" s="33"/>
      <c r="H2304" s="34"/>
      <c r="J2304" s="36"/>
      <c r="K2304" s="36"/>
      <c r="L2304" s="36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8"/>
      <c r="AS2304" s="38"/>
      <c r="AT2304" s="38"/>
      <c r="AU2304" s="33"/>
      <c r="AV2304" s="39"/>
    </row>
    <row r="2305" spans="4:48">
      <c r="D2305" s="33"/>
      <c r="E2305" s="33"/>
      <c r="F2305" s="33"/>
      <c r="G2305" s="33"/>
      <c r="H2305" s="34"/>
      <c r="J2305" s="36"/>
      <c r="K2305" s="36"/>
      <c r="L2305" s="36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8"/>
      <c r="AS2305" s="38"/>
      <c r="AT2305" s="38"/>
      <c r="AU2305" s="33"/>
      <c r="AV2305" s="39"/>
    </row>
    <row r="2306" spans="4:48">
      <c r="D2306" s="33"/>
      <c r="E2306" s="33"/>
      <c r="F2306" s="33"/>
      <c r="G2306" s="33"/>
      <c r="H2306" s="34"/>
      <c r="J2306" s="36"/>
      <c r="K2306" s="36"/>
      <c r="L2306" s="36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8"/>
      <c r="AS2306" s="38"/>
      <c r="AT2306" s="38"/>
      <c r="AU2306" s="33"/>
      <c r="AV2306" s="39"/>
    </row>
    <row r="2307" spans="4:48">
      <c r="D2307" s="33"/>
      <c r="E2307" s="33"/>
      <c r="F2307" s="33"/>
      <c r="G2307" s="33"/>
      <c r="H2307" s="34"/>
      <c r="J2307" s="36"/>
      <c r="K2307" s="36"/>
      <c r="L2307" s="36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8"/>
      <c r="AS2307" s="38"/>
      <c r="AT2307" s="38"/>
      <c r="AU2307" s="33"/>
      <c r="AV2307" s="39"/>
    </row>
    <row r="2308" spans="4:48">
      <c r="D2308" s="33"/>
      <c r="E2308" s="33"/>
      <c r="F2308" s="33"/>
      <c r="G2308" s="33"/>
      <c r="H2308" s="34"/>
      <c r="J2308" s="36"/>
      <c r="K2308" s="36"/>
      <c r="L2308" s="36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8"/>
      <c r="AS2308" s="38"/>
      <c r="AT2308" s="38"/>
      <c r="AU2308" s="33"/>
      <c r="AV2308" s="39"/>
    </row>
    <row r="2309" spans="4:48">
      <c r="D2309" s="33"/>
      <c r="E2309" s="33"/>
      <c r="F2309" s="33"/>
      <c r="G2309" s="33"/>
      <c r="H2309" s="34"/>
      <c r="J2309" s="36"/>
      <c r="K2309" s="36"/>
      <c r="L2309" s="36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8"/>
      <c r="AS2309" s="38"/>
      <c r="AT2309" s="38"/>
      <c r="AU2309" s="33"/>
      <c r="AV2309" s="39"/>
    </row>
    <row r="2310" spans="4:48">
      <c r="D2310" s="33"/>
      <c r="E2310" s="33"/>
      <c r="F2310" s="33"/>
      <c r="G2310" s="33"/>
      <c r="H2310" s="34"/>
      <c r="J2310" s="36"/>
      <c r="K2310" s="36"/>
      <c r="L2310" s="36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8"/>
      <c r="AS2310" s="38"/>
      <c r="AT2310" s="38"/>
      <c r="AU2310" s="33"/>
      <c r="AV2310" s="39"/>
    </row>
    <row r="2311" spans="4:48">
      <c r="D2311" s="33"/>
      <c r="E2311" s="33"/>
      <c r="F2311" s="33"/>
      <c r="G2311" s="33"/>
      <c r="H2311" s="34"/>
      <c r="J2311" s="36"/>
      <c r="K2311" s="36"/>
      <c r="L2311" s="36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8"/>
      <c r="AS2311" s="38"/>
      <c r="AT2311" s="38"/>
      <c r="AU2311" s="33"/>
      <c r="AV2311" s="39"/>
    </row>
    <row r="2312" spans="4:48">
      <c r="D2312" s="33"/>
      <c r="E2312" s="33"/>
      <c r="F2312" s="33"/>
      <c r="G2312" s="33"/>
      <c r="H2312" s="34"/>
      <c r="J2312" s="36"/>
      <c r="K2312" s="36"/>
      <c r="L2312" s="36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8"/>
      <c r="AS2312" s="38"/>
      <c r="AT2312" s="38"/>
      <c r="AU2312" s="33"/>
      <c r="AV2312" s="39"/>
    </row>
    <row r="2313" spans="4:48">
      <c r="D2313" s="33"/>
      <c r="E2313" s="33"/>
      <c r="F2313" s="33"/>
      <c r="G2313" s="33"/>
      <c r="H2313" s="34"/>
      <c r="J2313" s="36"/>
      <c r="K2313" s="36"/>
      <c r="L2313" s="36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8"/>
      <c r="AS2313" s="38"/>
      <c r="AT2313" s="38"/>
      <c r="AU2313" s="33"/>
      <c r="AV2313" s="39"/>
    </row>
    <row r="2314" spans="4:48">
      <c r="D2314" s="33"/>
      <c r="E2314" s="33"/>
      <c r="F2314" s="33"/>
      <c r="G2314" s="33"/>
      <c r="H2314" s="34"/>
      <c r="J2314" s="36"/>
      <c r="K2314" s="36"/>
      <c r="L2314" s="36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8"/>
      <c r="AS2314" s="38"/>
      <c r="AT2314" s="38"/>
      <c r="AU2314" s="33"/>
      <c r="AV2314" s="39"/>
    </row>
    <row r="2315" spans="4:48">
      <c r="D2315" s="33"/>
      <c r="E2315" s="33"/>
      <c r="F2315" s="33"/>
      <c r="G2315" s="33"/>
      <c r="H2315" s="34"/>
      <c r="J2315" s="36"/>
      <c r="K2315" s="36"/>
      <c r="L2315" s="36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8"/>
      <c r="AS2315" s="38"/>
      <c r="AT2315" s="38"/>
      <c r="AU2315" s="33"/>
      <c r="AV2315" s="39"/>
    </row>
    <row r="2316" spans="4:48">
      <c r="D2316" s="33"/>
      <c r="E2316" s="33"/>
      <c r="F2316" s="33"/>
      <c r="G2316" s="33"/>
      <c r="H2316" s="34"/>
      <c r="J2316" s="36"/>
      <c r="K2316" s="36"/>
      <c r="L2316" s="36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8"/>
      <c r="AS2316" s="38"/>
      <c r="AT2316" s="38"/>
      <c r="AU2316" s="33"/>
      <c r="AV2316" s="39"/>
    </row>
    <row r="2317" spans="4:48">
      <c r="D2317" s="33"/>
      <c r="E2317" s="33"/>
      <c r="F2317" s="33"/>
      <c r="G2317" s="33"/>
      <c r="H2317" s="34"/>
      <c r="J2317" s="36"/>
      <c r="K2317" s="36"/>
      <c r="L2317" s="36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8"/>
      <c r="AS2317" s="38"/>
      <c r="AT2317" s="38"/>
      <c r="AU2317" s="33"/>
      <c r="AV2317" s="39"/>
    </row>
    <row r="2318" spans="4:48">
      <c r="D2318" s="33"/>
      <c r="E2318" s="33"/>
      <c r="F2318" s="33"/>
      <c r="G2318" s="33"/>
      <c r="H2318" s="34"/>
      <c r="J2318" s="36"/>
      <c r="K2318" s="36"/>
      <c r="L2318" s="36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8"/>
      <c r="AS2318" s="38"/>
      <c r="AT2318" s="38"/>
      <c r="AU2318" s="33"/>
      <c r="AV2318" s="39"/>
    </row>
    <row r="2319" spans="4:48">
      <c r="D2319" s="33"/>
      <c r="E2319" s="33"/>
      <c r="F2319" s="33"/>
      <c r="G2319" s="33"/>
      <c r="H2319" s="34"/>
      <c r="J2319" s="36"/>
      <c r="K2319" s="36"/>
      <c r="L2319" s="36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8"/>
      <c r="AS2319" s="38"/>
      <c r="AT2319" s="38"/>
      <c r="AU2319" s="33"/>
      <c r="AV2319" s="39"/>
    </row>
    <row r="2320" spans="4:48">
      <c r="D2320" s="33"/>
      <c r="E2320" s="33"/>
      <c r="F2320" s="33"/>
      <c r="G2320" s="33"/>
      <c r="H2320" s="34"/>
      <c r="J2320" s="36"/>
      <c r="K2320" s="36"/>
      <c r="L2320" s="36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8"/>
      <c r="AS2320" s="38"/>
      <c r="AT2320" s="38"/>
      <c r="AU2320" s="33"/>
      <c r="AV2320" s="39"/>
    </row>
    <row r="2321" spans="4:48">
      <c r="D2321" s="33"/>
      <c r="E2321" s="33"/>
      <c r="F2321" s="33"/>
      <c r="G2321" s="33"/>
      <c r="H2321" s="34"/>
      <c r="J2321" s="36"/>
      <c r="K2321" s="36"/>
      <c r="L2321" s="36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8"/>
      <c r="AS2321" s="38"/>
      <c r="AT2321" s="38"/>
      <c r="AU2321" s="33"/>
      <c r="AV2321" s="39"/>
    </row>
    <row r="2322" spans="4:48">
      <c r="D2322" s="33"/>
      <c r="E2322" s="33"/>
      <c r="F2322" s="33"/>
      <c r="G2322" s="33"/>
      <c r="H2322" s="34"/>
      <c r="J2322" s="36"/>
      <c r="K2322" s="36"/>
      <c r="L2322" s="36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8"/>
      <c r="AS2322" s="38"/>
      <c r="AT2322" s="38"/>
      <c r="AU2322" s="33"/>
      <c r="AV2322" s="39"/>
    </row>
    <row r="2323" spans="4:48">
      <c r="D2323" s="33"/>
      <c r="E2323" s="33"/>
      <c r="F2323" s="33"/>
      <c r="G2323" s="33"/>
      <c r="H2323" s="34"/>
      <c r="J2323" s="36"/>
      <c r="K2323" s="36"/>
      <c r="L2323" s="36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8"/>
      <c r="AS2323" s="38"/>
      <c r="AT2323" s="38"/>
      <c r="AU2323" s="33"/>
      <c r="AV2323" s="39"/>
    </row>
    <row r="2324" spans="4:48">
      <c r="D2324" s="33"/>
      <c r="E2324" s="33"/>
      <c r="F2324" s="33"/>
      <c r="G2324" s="33"/>
      <c r="H2324" s="34"/>
      <c r="J2324" s="36"/>
      <c r="K2324" s="36"/>
      <c r="L2324" s="36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8"/>
      <c r="AS2324" s="38"/>
      <c r="AT2324" s="38"/>
      <c r="AU2324" s="33"/>
      <c r="AV2324" s="39"/>
    </row>
    <row r="2325" spans="4:48">
      <c r="D2325" s="33"/>
      <c r="E2325" s="33"/>
      <c r="F2325" s="33"/>
      <c r="G2325" s="33"/>
      <c r="H2325" s="34"/>
      <c r="J2325" s="36"/>
      <c r="K2325" s="36"/>
      <c r="L2325" s="36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8"/>
      <c r="AS2325" s="38"/>
      <c r="AT2325" s="38"/>
      <c r="AU2325" s="33"/>
      <c r="AV2325" s="39"/>
    </row>
    <row r="2326" spans="4:48">
      <c r="D2326" s="33"/>
      <c r="E2326" s="33"/>
      <c r="F2326" s="33"/>
      <c r="G2326" s="33"/>
      <c r="H2326" s="34"/>
      <c r="J2326" s="36"/>
      <c r="K2326" s="36"/>
      <c r="L2326" s="36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8"/>
      <c r="AS2326" s="38"/>
      <c r="AT2326" s="38"/>
      <c r="AU2326" s="33"/>
      <c r="AV2326" s="39"/>
    </row>
    <row r="2327" spans="4:48">
      <c r="D2327" s="33"/>
      <c r="E2327" s="33"/>
      <c r="F2327" s="33"/>
      <c r="G2327" s="33"/>
      <c r="H2327" s="34"/>
      <c r="J2327" s="36"/>
      <c r="K2327" s="36"/>
      <c r="L2327" s="36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8"/>
      <c r="AS2327" s="38"/>
      <c r="AT2327" s="38"/>
      <c r="AU2327" s="33"/>
      <c r="AV2327" s="39"/>
    </row>
    <row r="2328" spans="4:48">
      <c r="D2328" s="33"/>
      <c r="E2328" s="33"/>
      <c r="F2328" s="33"/>
      <c r="G2328" s="33"/>
      <c r="H2328" s="34"/>
      <c r="J2328" s="36"/>
      <c r="K2328" s="36"/>
      <c r="L2328" s="36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8"/>
      <c r="AS2328" s="38"/>
      <c r="AT2328" s="38"/>
      <c r="AU2328" s="33"/>
      <c r="AV2328" s="39"/>
    </row>
    <row r="2329" spans="4:48">
      <c r="D2329" s="33"/>
      <c r="E2329" s="33"/>
      <c r="F2329" s="33"/>
      <c r="G2329" s="33"/>
      <c r="H2329" s="34"/>
      <c r="J2329" s="36"/>
      <c r="K2329" s="36"/>
      <c r="L2329" s="36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8"/>
      <c r="AS2329" s="38"/>
      <c r="AT2329" s="38"/>
      <c r="AU2329" s="33"/>
      <c r="AV2329" s="39"/>
    </row>
    <row r="2330" spans="4:48">
      <c r="D2330" s="33"/>
      <c r="E2330" s="33"/>
      <c r="F2330" s="33"/>
      <c r="G2330" s="33"/>
      <c r="H2330" s="34"/>
      <c r="J2330" s="36"/>
      <c r="K2330" s="36"/>
      <c r="L2330" s="36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8"/>
      <c r="AS2330" s="38"/>
      <c r="AT2330" s="38"/>
      <c r="AU2330" s="33"/>
      <c r="AV2330" s="39"/>
    </row>
    <row r="2331" spans="4:48">
      <c r="D2331" s="33"/>
      <c r="E2331" s="33"/>
      <c r="F2331" s="33"/>
      <c r="G2331" s="33"/>
      <c r="H2331" s="34"/>
      <c r="J2331" s="36"/>
      <c r="K2331" s="36"/>
      <c r="L2331" s="36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8"/>
      <c r="AS2331" s="38"/>
      <c r="AT2331" s="38"/>
      <c r="AU2331" s="33"/>
      <c r="AV2331" s="39"/>
    </row>
    <row r="2332" spans="4:48">
      <c r="D2332" s="33"/>
      <c r="E2332" s="33"/>
      <c r="F2332" s="33"/>
      <c r="G2332" s="33"/>
      <c r="H2332" s="34"/>
      <c r="J2332" s="36"/>
      <c r="K2332" s="36"/>
      <c r="L2332" s="36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8"/>
      <c r="AS2332" s="38"/>
      <c r="AT2332" s="38"/>
      <c r="AU2332" s="33"/>
      <c r="AV2332" s="39"/>
    </row>
    <row r="2333" spans="4:48">
      <c r="D2333" s="33"/>
      <c r="E2333" s="33"/>
      <c r="F2333" s="33"/>
      <c r="G2333" s="33"/>
      <c r="H2333" s="34"/>
      <c r="J2333" s="36"/>
      <c r="K2333" s="36"/>
      <c r="L2333" s="36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8"/>
      <c r="AS2333" s="38"/>
      <c r="AT2333" s="38"/>
      <c r="AU2333" s="33"/>
      <c r="AV2333" s="39"/>
    </row>
    <row r="2334" spans="4:48">
      <c r="D2334" s="33"/>
      <c r="E2334" s="33"/>
      <c r="F2334" s="33"/>
      <c r="G2334" s="33"/>
      <c r="H2334" s="34"/>
      <c r="J2334" s="36"/>
      <c r="K2334" s="36"/>
      <c r="L2334" s="36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8"/>
      <c r="AS2334" s="38"/>
      <c r="AT2334" s="38"/>
      <c r="AU2334" s="33"/>
      <c r="AV2334" s="39"/>
    </row>
    <row r="2335" spans="4:48">
      <c r="D2335" s="33"/>
      <c r="E2335" s="33"/>
      <c r="F2335" s="33"/>
      <c r="G2335" s="33"/>
      <c r="H2335" s="34"/>
      <c r="J2335" s="36"/>
      <c r="K2335" s="36"/>
      <c r="L2335" s="36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8"/>
      <c r="AS2335" s="38"/>
      <c r="AT2335" s="38"/>
      <c r="AU2335" s="33"/>
      <c r="AV2335" s="39"/>
    </row>
    <row r="2336" spans="4:48">
      <c r="D2336" s="33"/>
      <c r="E2336" s="33"/>
      <c r="F2336" s="33"/>
      <c r="G2336" s="33"/>
      <c r="H2336" s="34"/>
      <c r="J2336" s="36"/>
      <c r="K2336" s="36"/>
      <c r="L2336" s="36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8"/>
      <c r="AS2336" s="38"/>
      <c r="AT2336" s="38"/>
      <c r="AU2336" s="33"/>
      <c r="AV2336" s="39"/>
    </row>
    <row r="2337" spans="4:48">
      <c r="D2337" s="33"/>
      <c r="E2337" s="33"/>
      <c r="F2337" s="33"/>
      <c r="G2337" s="33"/>
      <c r="H2337" s="34"/>
      <c r="J2337" s="36"/>
      <c r="K2337" s="36"/>
      <c r="L2337" s="36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8"/>
      <c r="AS2337" s="38"/>
      <c r="AT2337" s="38"/>
      <c r="AU2337" s="33"/>
      <c r="AV2337" s="39"/>
    </row>
    <row r="2338" spans="4:48">
      <c r="D2338" s="33"/>
      <c r="E2338" s="33"/>
      <c r="F2338" s="33"/>
      <c r="G2338" s="33"/>
      <c r="H2338" s="34"/>
      <c r="J2338" s="36"/>
      <c r="K2338" s="36"/>
      <c r="L2338" s="36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8"/>
      <c r="AS2338" s="38"/>
      <c r="AT2338" s="38"/>
      <c r="AU2338" s="33"/>
      <c r="AV2338" s="39"/>
    </row>
    <row r="2339" spans="4:48">
      <c r="D2339" s="33"/>
      <c r="E2339" s="33"/>
      <c r="F2339" s="33"/>
      <c r="G2339" s="33"/>
      <c r="H2339" s="34"/>
      <c r="J2339" s="36"/>
      <c r="K2339" s="36"/>
      <c r="L2339" s="36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8"/>
      <c r="AS2339" s="38"/>
      <c r="AT2339" s="38"/>
      <c r="AU2339" s="33"/>
      <c r="AV2339" s="39"/>
    </row>
    <row r="2340" spans="4:48">
      <c r="D2340" s="33"/>
      <c r="E2340" s="33"/>
      <c r="F2340" s="33"/>
      <c r="G2340" s="33"/>
      <c r="H2340" s="34"/>
      <c r="J2340" s="36"/>
      <c r="K2340" s="36"/>
      <c r="L2340" s="36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8"/>
      <c r="AS2340" s="38"/>
      <c r="AT2340" s="38"/>
      <c r="AU2340" s="33"/>
      <c r="AV2340" s="39"/>
    </row>
    <row r="2341" spans="4:48">
      <c r="D2341" s="33"/>
      <c r="E2341" s="33"/>
      <c r="F2341" s="33"/>
      <c r="G2341" s="33"/>
      <c r="H2341" s="34"/>
      <c r="J2341" s="36"/>
      <c r="K2341" s="36"/>
      <c r="L2341" s="36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8"/>
      <c r="AS2341" s="38"/>
      <c r="AT2341" s="38"/>
      <c r="AU2341" s="33"/>
      <c r="AV2341" s="39"/>
    </row>
    <row r="2342" spans="4:48">
      <c r="D2342" s="33"/>
      <c r="E2342" s="33"/>
      <c r="F2342" s="33"/>
      <c r="G2342" s="33"/>
      <c r="H2342" s="34"/>
      <c r="J2342" s="36"/>
      <c r="K2342" s="36"/>
      <c r="L2342" s="36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8"/>
      <c r="AS2342" s="38"/>
      <c r="AT2342" s="38"/>
      <c r="AU2342" s="33"/>
      <c r="AV2342" s="39"/>
    </row>
    <row r="2343" spans="4:48">
      <c r="D2343" s="33"/>
      <c r="E2343" s="33"/>
      <c r="F2343" s="33"/>
      <c r="G2343" s="33"/>
      <c r="H2343" s="34"/>
      <c r="J2343" s="36"/>
      <c r="K2343" s="36"/>
      <c r="L2343" s="36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8"/>
      <c r="AS2343" s="38"/>
      <c r="AT2343" s="38"/>
      <c r="AU2343" s="33"/>
      <c r="AV2343" s="39"/>
    </row>
    <row r="2344" spans="4:48">
      <c r="D2344" s="33"/>
      <c r="E2344" s="33"/>
      <c r="F2344" s="33"/>
      <c r="G2344" s="33"/>
      <c r="H2344" s="34"/>
      <c r="J2344" s="36"/>
      <c r="K2344" s="36"/>
      <c r="L2344" s="36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8"/>
      <c r="AS2344" s="38"/>
      <c r="AT2344" s="38"/>
      <c r="AU2344" s="33"/>
      <c r="AV2344" s="39"/>
    </row>
    <row r="2345" spans="4:48">
      <c r="D2345" s="33"/>
      <c r="E2345" s="33"/>
      <c r="F2345" s="33"/>
      <c r="G2345" s="33"/>
      <c r="H2345" s="34"/>
      <c r="J2345" s="36"/>
      <c r="K2345" s="36"/>
      <c r="L2345" s="36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8"/>
      <c r="AS2345" s="38"/>
      <c r="AT2345" s="38"/>
      <c r="AU2345" s="33"/>
      <c r="AV2345" s="39"/>
    </row>
    <row r="2346" spans="4:48">
      <c r="D2346" s="33"/>
      <c r="E2346" s="33"/>
      <c r="F2346" s="33"/>
      <c r="G2346" s="33"/>
      <c r="H2346" s="34"/>
      <c r="J2346" s="36"/>
      <c r="K2346" s="36"/>
      <c r="L2346" s="36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8"/>
      <c r="AS2346" s="38"/>
      <c r="AT2346" s="38"/>
      <c r="AU2346" s="33"/>
      <c r="AV2346" s="39"/>
    </row>
    <row r="2347" spans="4:48">
      <c r="D2347" s="33"/>
      <c r="E2347" s="33"/>
      <c r="F2347" s="33"/>
      <c r="G2347" s="33"/>
      <c r="H2347" s="34"/>
      <c r="J2347" s="36"/>
      <c r="K2347" s="36"/>
      <c r="L2347" s="36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8"/>
      <c r="AS2347" s="38"/>
      <c r="AT2347" s="38"/>
      <c r="AU2347" s="33"/>
      <c r="AV2347" s="39"/>
    </row>
    <row r="2348" spans="4:48">
      <c r="D2348" s="33"/>
      <c r="E2348" s="33"/>
      <c r="F2348" s="33"/>
      <c r="G2348" s="33"/>
      <c r="H2348" s="34"/>
      <c r="J2348" s="36"/>
      <c r="K2348" s="36"/>
      <c r="L2348" s="36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8"/>
      <c r="AS2348" s="38"/>
      <c r="AT2348" s="38"/>
      <c r="AU2348" s="33"/>
      <c r="AV2348" s="39"/>
    </row>
    <row r="2349" spans="4:48">
      <c r="D2349" s="33"/>
      <c r="E2349" s="33"/>
      <c r="F2349" s="33"/>
      <c r="G2349" s="33"/>
      <c r="H2349" s="34"/>
      <c r="J2349" s="36"/>
      <c r="K2349" s="36"/>
      <c r="L2349" s="36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8"/>
      <c r="AS2349" s="38"/>
      <c r="AT2349" s="38"/>
      <c r="AU2349" s="33"/>
      <c r="AV2349" s="39"/>
    </row>
    <row r="2350" spans="4:48">
      <c r="D2350" s="33"/>
      <c r="E2350" s="33"/>
      <c r="F2350" s="33"/>
      <c r="G2350" s="33"/>
      <c r="H2350" s="34"/>
      <c r="J2350" s="36"/>
      <c r="K2350" s="36"/>
      <c r="L2350" s="36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8"/>
      <c r="AS2350" s="38"/>
      <c r="AT2350" s="38"/>
      <c r="AU2350" s="33"/>
      <c r="AV2350" s="39"/>
    </row>
    <row r="2351" spans="4:48">
      <c r="D2351" s="33"/>
      <c r="E2351" s="33"/>
      <c r="F2351" s="33"/>
      <c r="G2351" s="33"/>
      <c r="H2351" s="34"/>
      <c r="J2351" s="36"/>
      <c r="K2351" s="36"/>
      <c r="L2351" s="36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8"/>
      <c r="AS2351" s="38"/>
      <c r="AT2351" s="38"/>
      <c r="AU2351" s="33"/>
      <c r="AV2351" s="39"/>
    </row>
    <row r="2352" spans="4:48">
      <c r="D2352" s="33"/>
      <c r="E2352" s="33"/>
      <c r="F2352" s="33"/>
      <c r="G2352" s="33"/>
      <c r="H2352" s="34"/>
      <c r="J2352" s="36"/>
      <c r="K2352" s="36"/>
      <c r="L2352" s="36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8"/>
      <c r="AS2352" s="38"/>
      <c r="AT2352" s="38"/>
      <c r="AU2352" s="33"/>
      <c r="AV2352" s="39"/>
    </row>
    <row r="2353" spans="4:48">
      <c r="D2353" s="33"/>
      <c r="E2353" s="33"/>
      <c r="F2353" s="33"/>
      <c r="G2353" s="33"/>
      <c r="H2353" s="34"/>
      <c r="J2353" s="36"/>
      <c r="K2353" s="36"/>
      <c r="L2353" s="36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8"/>
      <c r="AS2353" s="38"/>
      <c r="AT2353" s="38"/>
      <c r="AU2353" s="33"/>
      <c r="AV2353" s="39"/>
    </row>
    <row r="2354" spans="4:48">
      <c r="D2354" s="33"/>
      <c r="E2354" s="33"/>
      <c r="F2354" s="33"/>
      <c r="G2354" s="33"/>
      <c r="H2354" s="34"/>
      <c r="J2354" s="36"/>
      <c r="K2354" s="36"/>
      <c r="L2354" s="36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8"/>
      <c r="AS2354" s="38"/>
      <c r="AT2354" s="38"/>
      <c r="AU2354" s="33"/>
      <c r="AV2354" s="39"/>
    </row>
    <row r="2355" spans="4:48">
      <c r="D2355" s="33"/>
      <c r="E2355" s="33"/>
      <c r="F2355" s="33"/>
      <c r="G2355" s="33"/>
      <c r="H2355" s="34"/>
      <c r="J2355" s="36"/>
      <c r="K2355" s="36"/>
      <c r="L2355" s="36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8"/>
      <c r="AS2355" s="38"/>
      <c r="AT2355" s="38"/>
      <c r="AU2355" s="33"/>
      <c r="AV2355" s="39"/>
    </row>
    <row r="2356" spans="4:48">
      <c r="D2356" s="33"/>
      <c r="E2356" s="33"/>
      <c r="F2356" s="33"/>
      <c r="G2356" s="33"/>
      <c r="H2356" s="34"/>
      <c r="J2356" s="36"/>
      <c r="K2356" s="36"/>
      <c r="L2356" s="36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8"/>
      <c r="AS2356" s="38"/>
      <c r="AT2356" s="38"/>
      <c r="AU2356" s="33"/>
      <c r="AV2356" s="39"/>
    </row>
    <row r="2357" spans="4:48">
      <c r="D2357" s="33"/>
      <c r="E2357" s="33"/>
      <c r="F2357" s="33"/>
      <c r="G2357" s="33"/>
      <c r="H2357" s="34"/>
      <c r="J2357" s="36"/>
      <c r="K2357" s="36"/>
      <c r="L2357" s="36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8"/>
      <c r="AS2357" s="38"/>
      <c r="AT2357" s="38"/>
      <c r="AU2357" s="33"/>
      <c r="AV2357" s="39"/>
    </row>
    <row r="2358" spans="4:48">
      <c r="D2358" s="33"/>
      <c r="E2358" s="33"/>
      <c r="F2358" s="33"/>
      <c r="G2358" s="33"/>
      <c r="H2358" s="34"/>
      <c r="J2358" s="36"/>
      <c r="K2358" s="36"/>
      <c r="L2358" s="36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8"/>
      <c r="AS2358" s="38"/>
      <c r="AT2358" s="38"/>
      <c r="AU2358" s="33"/>
      <c r="AV2358" s="39"/>
    </row>
    <row r="2359" spans="4:48">
      <c r="D2359" s="33"/>
      <c r="E2359" s="33"/>
      <c r="F2359" s="33"/>
      <c r="G2359" s="33"/>
      <c r="H2359" s="34"/>
      <c r="J2359" s="36"/>
      <c r="K2359" s="36"/>
      <c r="L2359" s="36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8"/>
      <c r="AS2359" s="38"/>
      <c r="AT2359" s="38"/>
      <c r="AU2359" s="33"/>
      <c r="AV2359" s="39"/>
    </row>
    <row r="2360" spans="4:48">
      <c r="D2360" s="33"/>
      <c r="E2360" s="33"/>
      <c r="F2360" s="33"/>
      <c r="G2360" s="33"/>
      <c r="H2360" s="34"/>
      <c r="J2360" s="36"/>
      <c r="K2360" s="36"/>
      <c r="L2360" s="36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8"/>
      <c r="AS2360" s="38"/>
      <c r="AT2360" s="38"/>
      <c r="AU2360" s="33"/>
      <c r="AV2360" s="39"/>
    </row>
    <row r="2361" spans="4:48">
      <c r="D2361" s="33"/>
      <c r="E2361" s="33"/>
      <c r="F2361" s="33"/>
      <c r="G2361" s="33"/>
      <c r="H2361" s="34"/>
      <c r="J2361" s="36"/>
      <c r="K2361" s="36"/>
      <c r="L2361" s="36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8"/>
      <c r="AS2361" s="38"/>
      <c r="AT2361" s="38"/>
      <c r="AU2361" s="33"/>
      <c r="AV2361" s="39"/>
    </row>
    <row r="2362" spans="4:48">
      <c r="D2362" s="33"/>
      <c r="E2362" s="33"/>
      <c r="F2362" s="33"/>
      <c r="G2362" s="33"/>
      <c r="H2362" s="34"/>
      <c r="J2362" s="36"/>
      <c r="K2362" s="36"/>
      <c r="L2362" s="36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8"/>
      <c r="AS2362" s="38"/>
      <c r="AT2362" s="38"/>
      <c r="AU2362" s="33"/>
      <c r="AV2362" s="39"/>
    </row>
    <row r="2363" spans="4:48">
      <c r="D2363" s="33"/>
      <c r="E2363" s="33"/>
      <c r="F2363" s="33"/>
      <c r="G2363" s="33"/>
      <c r="H2363" s="34"/>
      <c r="J2363" s="36"/>
      <c r="K2363" s="36"/>
      <c r="L2363" s="36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8"/>
      <c r="AS2363" s="38"/>
      <c r="AT2363" s="38"/>
      <c r="AU2363" s="33"/>
      <c r="AV2363" s="39"/>
    </row>
    <row r="2364" spans="4:48">
      <c r="D2364" s="33"/>
      <c r="E2364" s="33"/>
      <c r="F2364" s="33"/>
      <c r="G2364" s="33"/>
      <c r="H2364" s="34"/>
      <c r="J2364" s="36"/>
      <c r="K2364" s="36"/>
      <c r="L2364" s="36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8"/>
      <c r="AS2364" s="38"/>
      <c r="AT2364" s="38"/>
      <c r="AU2364" s="33"/>
      <c r="AV2364" s="39"/>
    </row>
    <row r="2365" spans="4:48">
      <c r="D2365" s="33"/>
      <c r="E2365" s="33"/>
      <c r="F2365" s="33"/>
      <c r="G2365" s="33"/>
      <c r="H2365" s="34"/>
      <c r="J2365" s="36"/>
      <c r="K2365" s="36"/>
      <c r="L2365" s="36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8"/>
      <c r="AS2365" s="38"/>
      <c r="AT2365" s="38"/>
      <c r="AU2365" s="33"/>
      <c r="AV2365" s="39"/>
    </row>
    <row r="2366" spans="4:48">
      <c r="D2366" s="33"/>
      <c r="E2366" s="33"/>
      <c r="F2366" s="33"/>
      <c r="G2366" s="33"/>
      <c r="H2366" s="34"/>
      <c r="J2366" s="36"/>
      <c r="K2366" s="36"/>
      <c r="L2366" s="36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8"/>
      <c r="AS2366" s="38"/>
      <c r="AT2366" s="38"/>
      <c r="AU2366" s="33"/>
      <c r="AV2366" s="39"/>
    </row>
    <row r="2367" spans="4:48">
      <c r="D2367" s="33"/>
      <c r="E2367" s="33"/>
      <c r="F2367" s="33"/>
      <c r="G2367" s="33"/>
      <c r="H2367" s="34"/>
      <c r="J2367" s="36"/>
      <c r="K2367" s="36"/>
      <c r="L2367" s="36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8"/>
      <c r="AS2367" s="38"/>
      <c r="AT2367" s="38"/>
      <c r="AU2367" s="33"/>
      <c r="AV2367" s="39"/>
    </row>
    <row r="2368" spans="4:48">
      <c r="D2368" s="33"/>
      <c r="E2368" s="33"/>
      <c r="F2368" s="33"/>
      <c r="G2368" s="33"/>
      <c r="H2368" s="34"/>
      <c r="J2368" s="36"/>
      <c r="K2368" s="36"/>
      <c r="L2368" s="36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8"/>
      <c r="AS2368" s="38"/>
      <c r="AT2368" s="38"/>
      <c r="AU2368" s="33"/>
      <c r="AV2368" s="39"/>
    </row>
    <row r="2369" spans="4:48">
      <c r="D2369" s="33"/>
      <c r="E2369" s="33"/>
      <c r="F2369" s="33"/>
      <c r="G2369" s="33"/>
      <c r="H2369" s="34"/>
      <c r="J2369" s="36"/>
      <c r="K2369" s="36"/>
      <c r="L2369" s="36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8"/>
      <c r="AS2369" s="38"/>
      <c r="AT2369" s="38"/>
      <c r="AU2369" s="33"/>
      <c r="AV2369" s="39"/>
    </row>
    <row r="2370" spans="4:48">
      <c r="D2370" s="33"/>
      <c r="E2370" s="33"/>
      <c r="F2370" s="33"/>
      <c r="G2370" s="33"/>
      <c r="H2370" s="34"/>
      <c r="J2370" s="36"/>
      <c r="K2370" s="36"/>
      <c r="L2370" s="36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8"/>
      <c r="AS2370" s="38"/>
      <c r="AT2370" s="38"/>
      <c r="AU2370" s="33"/>
      <c r="AV2370" s="39"/>
    </row>
    <row r="2371" spans="4:48">
      <c r="D2371" s="33"/>
      <c r="E2371" s="33"/>
      <c r="F2371" s="33"/>
      <c r="G2371" s="33"/>
      <c r="H2371" s="34"/>
      <c r="J2371" s="36"/>
      <c r="K2371" s="36"/>
      <c r="L2371" s="36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8"/>
      <c r="AS2371" s="38"/>
      <c r="AT2371" s="38"/>
      <c r="AU2371" s="33"/>
      <c r="AV2371" s="39"/>
    </row>
    <row r="2372" spans="4:48">
      <c r="D2372" s="33"/>
      <c r="E2372" s="33"/>
      <c r="F2372" s="33"/>
      <c r="G2372" s="33"/>
      <c r="H2372" s="34"/>
      <c r="J2372" s="36"/>
      <c r="K2372" s="36"/>
      <c r="L2372" s="36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8"/>
      <c r="AS2372" s="38"/>
      <c r="AT2372" s="38"/>
      <c r="AU2372" s="33"/>
      <c r="AV2372" s="39"/>
    </row>
    <row r="2373" spans="4:48">
      <c r="D2373" s="33"/>
      <c r="E2373" s="33"/>
      <c r="F2373" s="33"/>
      <c r="G2373" s="33"/>
      <c r="H2373" s="34"/>
      <c r="J2373" s="36"/>
      <c r="K2373" s="36"/>
      <c r="L2373" s="36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8"/>
      <c r="AS2373" s="38"/>
      <c r="AT2373" s="38"/>
      <c r="AU2373" s="33"/>
      <c r="AV2373" s="39"/>
    </row>
    <row r="2374" spans="4:48">
      <c r="D2374" s="33"/>
      <c r="E2374" s="33"/>
      <c r="F2374" s="33"/>
      <c r="G2374" s="33"/>
      <c r="H2374" s="34"/>
      <c r="J2374" s="36"/>
      <c r="K2374" s="36"/>
      <c r="L2374" s="36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8"/>
      <c r="AS2374" s="38"/>
      <c r="AT2374" s="38"/>
      <c r="AU2374" s="33"/>
      <c r="AV2374" s="39"/>
    </row>
    <row r="2375" spans="4:48">
      <c r="D2375" s="33"/>
      <c r="E2375" s="33"/>
      <c r="F2375" s="33"/>
      <c r="G2375" s="33"/>
      <c r="H2375" s="34"/>
      <c r="J2375" s="36"/>
      <c r="K2375" s="36"/>
      <c r="L2375" s="36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8"/>
      <c r="AS2375" s="38"/>
      <c r="AT2375" s="38"/>
      <c r="AU2375" s="33"/>
      <c r="AV2375" s="39"/>
    </row>
    <row r="2376" spans="4:48">
      <c r="D2376" s="33"/>
      <c r="E2376" s="33"/>
      <c r="F2376" s="33"/>
      <c r="G2376" s="33"/>
      <c r="H2376" s="34"/>
      <c r="J2376" s="36"/>
      <c r="K2376" s="36"/>
      <c r="L2376" s="36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8"/>
      <c r="AS2376" s="38"/>
      <c r="AT2376" s="38"/>
      <c r="AU2376" s="33"/>
      <c r="AV2376" s="39"/>
    </row>
    <row r="2377" spans="4:48">
      <c r="D2377" s="33"/>
      <c r="E2377" s="33"/>
      <c r="F2377" s="33"/>
      <c r="G2377" s="33"/>
      <c r="H2377" s="34"/>
      <c r="J2377" s="36"/>
      <c r="K2377" s="36"/>
      <c r="L2377" s="36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8"/>
      <c r="AS2377" s="38"/>
      <c r="AT2377" s="38"/>
      <c r="AU2377" s="33"/>
      <c r="AV2377" s="39"/>
    </row>
    <row r="2378" spans="4:48">
      <c r="D2378" s="33"/>
      <c r="E2378" s="33"/>
      <c r="F2378" s="33"/>
      <c r="G2378" s="33"/>
      <c r="H2378" s="34"/>
      <c r="J2378" s="36"/>
      <c r="K2378" s="36"/>
      <c r="L2378" s="36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8"/>
      <c r="AS2378" s="38"/>
      <c r="AT2378" s="38"/>
      <c r="AU2378" s="33"/>
      <c r="AV2378" s="39"/>
    </row>
    <row r="2379" spans="4:48">
      <c r="D2379" s="33"/>
      <c r="E2379" s="33"/>
      <c r="F2379" s="33"/>
      <c r="G2379" s="33"/>
      <c r="H2379" s="34"/>
      <c r="J2379" s="36"/>
      <c r="K2379" s="36"/>
      <c r="L2379" s="36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8"/>
      <c r="AS2379" s="38"/>
      <c r="AT2379" s="38"/>
      <c r="AU2379" s="33"/>
      <c r="AV2379" s="39"/>
    </row>
    <row r="2380" spans="4:48">
      <c r="D2380" s="33"/>
      <c r="E2380" s="33"/>
      <c r="F2380" s="33"/>
      <c r="G2380" s="33"/>
      <c r="H2380" s="34"/>
      <c r="J2380" s="36"/>
      <c r="K2380" s="36"/>
      <c r="L2380" s="36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8"/>
      <c r="AS2380" s="38"/>
      <c r="AT2380" s="38"/>
      <c r="AU2380" s="33"/>
      <c r="AV2380" s="39"/>
    </row>
    <row r="2381" spans="4:48">
      <c r="D2381" s="33"/>
      <c r="E2381" s="33"/>
      <c r="F2381" s="33"/>
      <c r="G2381" s="33"/>
      <c r="H2381" s="34"/>
      <c r="J2381" s="36"/>
      <c r="K2381" s="36"/>
      <c r="L2381" s="36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8"/>
      <c r="AS2381" s="38"/>
      <c r="AT2381" s="38"/>
      <c r="AU2381" s="33"/>
      <c r="AV2381" s="39"/>
    </row>
    <row r="2382" spans="4:48">
      <c r="D2382" s="33"/>
      <c r="E2382" s="33"/>
      <c r="F2382" s="33"/>
      <c r="G2382" s="33"/>
      <c r="H2382" s="34"/>
      <c r="J2382" s="36"/>
      <c r="K2382" s="36"/>
      <c r="L2382" s="36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8"/>
      <c r="AS2382" s="38"/>
      <c r="AT2382" s="38"/>
      <c r="AU2382" s="33"/>
      <c r="AV2382" s="39"/>
    </row>
    <row r="2383" spans="4:48">
      <c r="D2383" s="33"/>
      <c r="E2383" s="33"/>
      <c r="F2383" s="33"/>
      <c r="G2383" s="33"/>
      <c r="H2383" s="34"/>
      <c r="J2383" s="36"/>
      <c r="K2383" s="36"/>
      <c r="L2383" s="36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8"/>
      <c r="AS2383" s="38"/>
      <c r="AT2383" s="38"/>
      <c r="AU2383" s="33"/>
      <c r="AV2383" s="39"/>
    </row>
    <row r="2384" spans="4:48">
      <c r="D2384" s="33"/>
      <c r="E2384" s="33"/>
      <c r="F2384" s="33"/>
      <c r="G2384" s="33"/>
      <c r="H2384" s="34"/>
      <c r="J2384" s="36"/>
      <c r="K2384" s="36"/>
      <c r="L2384" s="36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8"/>
      <c r="AS2384" s="38"/>
      <c r="AT2384" s="38"/>
      <c r="AU2384" s="33"/>
      <c r="AV2384" s="39"/>
    </row>
    <row r="2385" spans="4:48">
      <c r="D2385" s="33"/>
      <c r="E2385" s="33"/>
      <c r="F2385" s="33"/>
      <c r="G2385" s="33"/>
      <c r="H2385" s="34"/>
      <c r="J2385" s="36"/>
      <c r="K2385" s="36"/>
      <c r="L2385" s="36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8"/>
      <c r="AS2385" s="38"/>
      <c r="AT2385" s="38"/>
      <c r="AU2385" s="33"/>
      <c r="AV2385" s="39"/>
    </row>
    <row r="2386" spans="4:48">
      <c r="D2386" s="33"/>
      <c r="E2386" s="33"/>
      <c r="F2386" s="33"/>
      <c r="G2386" s="33"/>
      <c r="H2386" s="34"/>
      <c r="J2386" s="36"/>
      <c r="K2386" s="36"/>
      <c r="L2386" s="36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8"/>
      <c r="AS2386" s="38"/>
      <c r="AT2386" s="38"/>
      <c r="AU2386" s="33"/>
      <c r="AV2386" s="39"/>
    </row>
    <row r="2387" spans="4:48">
      <c r="D2387" s="33"/>
      <c r="E2387" s="33"/>
      <c r="F2387" s="33"/>
      <c r="G2387" s="33"/>
      <c r="H2387" s="34"/>
      <c r="J2387" s="36"/>
      <c r="K2387" s="36"/>
      <c r="L2387" s="36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8"/>
      <c r="AS2387" s="38"/>
      <c r="AT2387" s="38"/>
      <c r="AU2387" s="33"/>
      <c r="AV2387" s="39"/>
    </row>
    <row r="2388" spans="4:48">
      <c r="D2388" s="33"/>
      <c r="E2388" s="33"/>
      <c r="F2388" s="33"/>
      <c r="G2388" s="33"/>
      <c r="H2388" s="34"/>
      <c r="J2388" s="36"/>
      <c r="K2388" s="36"/>
      <c r="L2388" s="36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8"/>
      <c r="AS2388" s="38"/>
      <c r="AT2388" s="38"/>
      <c r="AU2388" s="33"/>
      <c r="AV2388" s="39"/>
    </row>
    <row r="2389" spans="4:48">
      <c r="D2389" s="33"/>
      <c r="E2389" s="33"/>
      <c r="F2389" s="33"/>
      <c r="G2389" s="33"/>
      <c r="H2389" s="34"/>
      <c r="J2389" s="36"/>
      <c r="K2389" s="36"/>
      <c r="L2389" s="36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8"/>
      <c r="AS2389" s="38"/>
      <c r="AT2389" s="38"/>
      <c r="AU2389" s="33"/>
      <c r="AV2389" s="39"/>
    </row>
    <row r="2390" spans="4:48">
      <c r="D2390" s="33"/>
      <c r="E2390" s="33"/>
      <c r="F2390" s="33"/>
      <c r="G2390" s="33"/>
      <c r="H2390" s="34"/>
      <c r="J2390" s="36"/>
      <c r="K2390" s="36"/>
      <c r="L2390" s="36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8"/>
      <c r="AS2390" s="38"/>
      <c r="AT2390" s="38"/>
      <c r="AU2390" s="33"/>
      <c r="AV2390" s="39"/>
    </row>
    <row r="2391" spans="4:48">
      <c r="D2391" s="33"/>
      <c r="E2391" s="33"/>
      <c r="F2391" s="33"/>
      <c r="G2391" s="33"/>
      <c r="H2391" s="34"/>
      <c r="J2391" s="36"/>
      <c r="K2391" s="36"/>
      <c r="L2391" s="36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8"/>
      <c r="AS2391" s="38"/>
      <c r="AT2391" s="38"/>
      <c r="AU2391" s="33"/>
      <c r="AV2391" s="39"/>
    </row>
    <row r="2392" spans="4:48">
      <c r="D2392" s="33"/>
      <c r="E2392" s="33"/>
      <c r="F2392" s="33"/>
      <c r="G2392" s="33"/>
      <c r="H2392" s="34"/>
      <c r="J2392" s="36"/>
      <c r="K2392" s="36"/>
      <c r="L2392" s="36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8"/>
      <c r="AS2392" s="38"/>
      <c r="AT2392" s="38"/>
      <c r="AU2392" s="33"/>
      <c r="AV2392" s="39"/>
    </row>
    <row r="2393" spans="4:48">
      <c r="D2393" s="33"/>
      <c r="E2393" s="33"/>
      <c r="F2393" s="33"/>
      <c r="G2393" s="33"/>
      <c r="H2393" s="34"/>
      <c r="J2393" s="36"/>
      <c r="K2393" s="36"/>
      <c r="L2393" s="36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8"/>
      <c r="AS2393" s="38"/>
      <c r="AT2393" s="38"/>
      <c r="AU2393" s="33"/>
      <c r="AV2393" s="39"/>
    </row>
    <row r="2394" spans="4:48">
      <c r="D2394" s="33"/>
      <c r="E2394" s="33"/>
      <c r="F2394" s="33"/>
      <c r="G2394" s="33"/>
      <c r="H2394" s="34"/>
      <c r="J2394" s="36"/>
      <c r="K2394" s="36"/>
      <c r="L2394" s="36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8"/>
      <c r="AS2394" s="38"/>
      <c r="AT2394" s="38"/>
      <c r="AU2394" s="33"/>
      <c r="AV2394" s="39"/>
    </row>
    <row r="2395" spans="4:48">
      <c r="D2395" s="33"/>
      <c r="E2395" s="33"/>
      <c r="F2395" s="33"/>
      <c r="G2395" s="33"/>
      <c r="H2395" s="34"/>
      <c r="J2395" s="36"/>
      <c r="K2395" s="36"/>
      <c r="L2395" s="36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8"/>
      <c r="AS2395" s="38"/>
      <c r="AT2395" s="38"/>
      <c r="AU2395" s="33"/>
      <c r="AV2395" s="39"/>
    </row>
    <row r="2396" spans="4:48">
      <c r="D2396" s="33"/>
      <c r="E2396" s="33"/>
      <c r="F2396" s="33"/>
      <c r="G2396" s="33"/>
      <c r="H2396" s="34"/>
      <c r="J2396" s="36"/>
      <c r="K2396" s="36"/>
      <c r="L2396" s="36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8"/>
      <c r="AS2396" s="38"/>
      <c r="AT2396" s="38"/>
      <c r="AU2396" s="33"/>
      <c r="AV2396" s="39"/>
    </row>
    <row r="2397" spans="4:48">
      <c r="D2397" s="33"/>
      <c r="E2397" s="33"/>
      <c r="F2397" s="33"/>
      <c r="G2397" s="33"/>
      <c r="H2397" s="34"/>
      <c r="J2397" s="36"/>
      <c r="K2397" s="36"/>
      <c r="L2397" s="36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8"/>
      <c r="AS2397" s="38"/>
      <c r="AT2397" s="38"/>
      <c r="AU2397" s="33"/>
      <c r="AV2397" s="39"/>
    </row>
    <row r="2398" spans="4:48">
      <c r="D2398" s="33"/>
      <c r="E2398" s="33"/>
      <c r="F2398" s="33"/>
      <c r="G2398" s="33"/>
      <c r="H2398" s="34"/>
      <c r="J2398" s="36"/>
      <c r="K2398" s="36"/>
      <c r="L2398" s="36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8"/>
      <c r="AS2398" s="38"/>
      <c r="AT2398" s="38"/>
      <c r="AU2398" s="33"/>
      <c r="AV2398" s="39"/>
    </row>
    <row r="2399" spans="4:48">
      <c r="D2399" s="33"/>
      <c r="E2399" s="33"/>
      <c r="F2399" s="33"/>
      <c r="G2399" s="33"/>
      <c r="H2399" s="34"/>
      <c r="J2399" s="36"/>
      <c r="K2399" s="36"/>
      <c r="L2399" s="36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8"/>
      <c r="AS2399" s="38"/>
      <c r="AT2399" s="38"/>
      <c r="AU2399" s="33"/>
      <c r="AV2399" s="39"/>
    </row>
    <row r="2400" spans="4:48">
      <c r="D2400" s="33"/>
      <c r="E2400" s="33"/>
      <c r="F2400" s="33"/>
      <c r="G2400" s="33"/>
      <c r="H2400" s="34"/>
      <c r="J2400" s="36"/>
      <c r="K2400" s="36"/>
      <c r="L2400" s="36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8"/>
      <c r="AS2400" s="38"/>
      <c r="AT2400" s="38"/>
      <c r="AU2400" s="33"/>
      <c r="AV2400" s="39"/>
    </row>
    <row r="2401" spans="4:48">
      <c r="D2401" s="33"/>
      <c r="E2401" s="33"/>
      <c r="F2401" s="33"/>
      <c r="G2401" s="33"/>
      <c r="H2401" s="34"/>
      <c r="J2401" s="36"/>
      <c r="K2401" s="36"/>
      <c r="L2401" s="36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8"/>
      <c r="AS2401" s="38"/>
      <c r="AT2401" s="38"/>
      <c r="AU2401" s="33"/>
      <c r="AV2401" s="39"/>
    </row>
    <row r="2402" spans="4:48">
      <c r="D2402" s="33"/>
      <c r="E2402" s="33"/>
      <c r="F2402" s="33"/>
      <c r="G2402" s="33"/>
      <c r="H2402" s="34"/>
      <c r="J2402" s="36"/>
      <c r="K2402" s="36"/>
      <c r="L2402" s="36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8"/>
      <c r="AS2402" s="38"/>
      <c r="AT2402" s="38"/>
      <c r="AU2402" s="33"/>
      <c r="AV2402" s="39"/>
    </row>
    <row r="2403" spans="4:48">
      <c r="D2403" s="33"/>
      <c r="E2403" s="33"/>
      <c r="F2403" s="33"/>
      <c r="G2403" s="33"/>
      <c r="H2403" s="34"/>
      <c r="J2403" s="36"/>
      <c r="K2403" s="36"/>
      <c r="L2403" s="36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8"/>
      <c r="AS2403" s="38"/>
      <c r="AT2403" s="38"/>
      <c r="AU2403" s="33"/>
      <c r="AV2403" s="39"/>
    </row>
    <row r="2404" spans="4:48">
      <c r="D2404" s="33"/>
      <c r="E2404" s="33"/>
      <c r="F2404" s="33"/>
      <c r="G2404" s="33"/>
      <c r="H2404" s="34"/>
      <c r="J2404" s="36"/>
      <c r="K2404" s="36"/>
      <c r="L2404" s="36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8"/>
      <c r="AS2404" s="38"/>
      <c r="AT2404" s="38"/>
      <c r="AU2404" s="33"/>
      <c r="AV2404" s="39"/>
    </row>
    <row r="2405" spans="4:48">
      <c r="D2405" s="33"/>
      <c r="E2405" s="33"/>
      <c r="F2405" s="33"/>
      <c r="G2405" s="33"/>
      <c r="H2405" s="34"/>
      <c r="J2405" s="36"/>
      <c r="K2405" s="36"/>
      <c r="L2405" s="36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8"/>
      <c r="AS2405" s="38"/>
      <c r="AT2405" s="38"/>
      <c r="AU2405" s="33"/>
      <c r="AV2405" s="39"/>
    </row>
    <row r="2406" spans="4:48">
      <c r="D2406" s="33"/>
      <c r="E2406" s="33"/>
      <c r="F2406" s="33"/>
      <c r="G2406" s="33"/>
      <c r="H2406" s="34"/>
      <c r="J2406" s="36"/>
      <c r="K2406" s="36"/>
      <c r="L2406" s="36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8"/>
      <c r="AS2406" s="38"/>
      <c r="AT2406" s="38"/>
      <c r="AU2406" s="33"/>
      <c r="AV2406" s="39"/>
    </row>
    <row r="2407" spans="4:48">
      <c r="D2407" s="33"/>
      <c r="E2407" s="33"/>
      <c r="F2407" s="33"/>
      <c r="G2407" s="33"/>
      <c r="H2407" s="34"/>
      <c r="J2407" s="36"/>
      <c r="K2407" s="36"/>
      <c r="L2407" s="36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8"/>
      <c r="AS2407" s="38"/>
      <c r="AT2407" s="38"/>
      <c r="AU2407" s="33"/>
      <c r="AV2407" s="39"/>
    </row>
    <row r="2408" spans="4:48">
      <c r="D2408" s="33"/>
      <c r="E2408" s="33"/>
      <c r="F2408" s="33"/>
      <c r="G2408" s="33"/>
      <c r="H2408" s="34"/>
      <c r="J2408" s="36"/>
      <c r="K2408" s="36"/>
      <c r="L2408" s="36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8"/>
      <c r="AS2408" s="38"/>
      <c r="AT2408" s="38"/>
      <c r="AU2408" s="33"/>
      <c r="AV2408" s="39"/>
    </row>
    <row r="2409" spans="4:48">
      <c r="D2409" s="33"/>
      <c r="E2409" s="33"/>
      <c r="F2409" s="33"/>
      <c r="G2409" s="33"/>
      <c r="H2409" s="34"/>
      <c r="J2409" s="36"/>
      <c r="K2409" s="36"/>
      <c r="L2409" s="36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8"/>
      <c r="AS2409" s="38"/>
      <c r="AT2409" s="38"/>
      <c r="AU2409" s="33"/>
      <c r="AV2409" s="39"/>
    </row>
    <row r="2410" spans="4:48">
      <c r="D2410" s="33"/>
      <c r="E2410" s="33"/>
      <c r="F2410" s="33"/>
      <c r="G2410" s="33"/>
      <c r="H2410" s="34"/>
      <c r="J2410" s="36"/>
      <c r="K2410" s="36"/>
      <c r="L2410" s="36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8"/>
      <c r="AS2410" s="38"/>
      <c r="AT2410" s="38"/>
      <c r="AU2410" s="33"/>
      <c r="AV2410" s="39"/>
    </row>
    <row r="2411" spans="4:48">
      <c r="D2411" s="33"/>
      <c r="E2411" s="33"/>
      <c r="F2411" s="33"/>
      <c r="G2411" s="33"/>
      <c r="H2411" s="34"/>
      <c r="J2411" s="36"/>
      <c r="K2411" s="36"/>
      <c r="L2411" s="36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8"/>
      <c r="AS2411" s="38"/>
      <c r="AT2411" s="38"/>
      <c r="AU2411" s="33"/>
      <c r="AV2411" s="39"/>
    </row>
    <row r="2412" spans="4:48">
      <c r="D2412" s="33"/>
      <c r="E2412" s="33"/>
      <c r="F2412" s="33"/>
      <c r="G2412" s="33"/>
      <c r="H2412" s="34"/>
      <c r="J2412" s="36"/>
      <c r="K2412" s="36"/>
      <c r="L2412" s="36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8"/>
      <c r="AS2412" s="38"/>
      <c r="AT2412" s="38"/>
      <c r="AU2412" s="33"/>
      <c r="AV2412" s="39"/>
    </row>
    <row r="2413" spans="4:48">
      <c r="D2413" s="33"/>
      <c r="E2413" s="33"/>
      <c r="F2413" s="33"/>
      <c r="G2413" s="33"/>
      <c r="H2413" s="34"/>
      <c r="J2413" s="36"/>
      <c r="K2413" s="36"/>
      <c r="L2413" s="36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8"/>
      <c r="AS2413" s="38"/>
      <c r="AT2413" s="38"/>
      <c r="AU2413" s="33"/>
      <c r="AV2413" s="39"/>
    </row>
    <row r="2414" spans="4:48">
      <c r="D2414" s="33"/>
      <c r="E2414" s="33"/>
      <c r="F2414" s="33"/>
      <c r="G2414" s="33"/>
      <c r="H2414" s="34"/>
      <c r="J2414" s="36"/>
      <c r="K2414" s="36"/>
      <c r="L2414" s="36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8"/>
      <c r="AS2414" s="38"/>
      <c r="AT2414" s="38"/>
      <c r="AU2414" s="33"/>
      <c r="AV2414" s="39"/>
    </row>
    <row r="2415" spans="4:48">
      <c r="D2415" s="33"/>
      <c r="E2415" s="33"/>
      <c r="F2415" s="33"/>
      <c r="G2415" s="33"/>
      <c r="H2415" s="34"/>
      <c r="J2415" s="36"/>
      <c r="K2415" s="36"/>
      <c r="L2415" s="36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8"/>
      <c r="AS2415" s="38"/>
      <c r="AT2415" s="38"/>
      <c r="AU2415" s="33"/>
      <c r="AV2415" s="39"/>
    </row>
    <row r="2416" spans="4:48">
      <c r="D2416" s="33"/>
      <c r="E2416" s="33"/>
      <c r="F2416" s="33"/>
      <c r="G2416" s="33"/>
      <c r="H2416" s="34"/>
      <c r="J2416" s="36"/>
      <c r="K2416" s="36"/>
      <c r="L2416" s="36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8"/>
      <c r="AS2416" s="38"/>
      <c r="AT2416" s="38"/>
      <c r="AU2416" s="33"/>
      <c r="AV2416" s="39"/>
    </row>
    <row r="2417" spans="4:48">
      <c r="D2417" s="33"/>
      <c r="E2417" s="33"/>
      <c r="F2417" s="33"/>
      <c r="G2417" s="33"/>
      <c r="H2417" s="34"/>
      <c r="J2417" s="36"/>
      <c r="K2417" s="36"/>
      <c r="L2417" s="36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8"/>
      <c r="AS2417" s="38"/>
      <c r="AT2417" s="38"/>
      <c r="AU2417" s="33"/>
      <c r="AV2417" s="39"/>
    </row>
    <row r="2418" spans="4:48">
      <c r="D2418" s="33"/>
      <c r="E2418" s="33"/>
      <c r="F2418" s="33"/>
      <c r="G2418" s="33"/>
      <c r="H2418" s="34"/>
      <c r="J2418" s="36"/>
      <c r="K2418" s="36"/>
      <c r="L2418" s="36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8"/>
      <c r="AS2418" s="38"/>
      <c r="AT2418" s="38"/>
      <c r="AU2418" s="33"/>
      <c r="AV2418" s="39"/>
    </row>
    <row r="2419" spans="4:48">
      <c r="D2419" s="33"/>
      <c r="E2419" s="33"/>
      <c r="F2419" s="33"/>
      <c r="G2419" s="33"/>
      <c r="H2419" s="34"/>
      <c r="J2419" s="36"/>
      <c r="K2419" s="36"/>
      <c r="L2419" s="36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8"/>
      <c r="AS2419" s="38"/>
      <c r="AT2419" s="38"/>
      <c r="AU2419" s="33"/>
      <c r="AV2419" s="39"/>
    </row>
    <row r="2420" spans="4:48">
      <c r="D2420" s="33"/>
      <c r="E2420" s="33"/>
      <c r="F2420" s="33"/>
      <c r="G2420" s="33"/>
      <c r="H2420" s="34"/>
      <c r="J2420" s="36"/>
      <c r="K2420" s="36"/>
      <c r="L2420" s="36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8"/>
      <c r="AS2420" s="38"/>
      <c r="AT2420" s="38"/>
      <c r="AU2420" s="33"/>
      <c r="AV2420" s="39"/>
    </row>
    <row r="2421" spans="4:48">
      <c r="D2421" s="33"/>
      <c r="E2421" s="33"/>
      <c r="F2421" s="33"/>
      <c r="G2421" s="33"/>
      <c r="H2421" s="34"/>
      <c r="J2421" s="36"/>
      <c r="K2421" s="36"/>
      <c r="L2421" s="36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8"/>
      <c r="AS2421" s="38"/>
      <c r="AT2421" s="38"/>
      <c r="AU2421" s="33"/>
      <c r="AV2421" s="39"/>
    </row>
    <row r="2422" spans="4:48">
      <c r="D2422" s="33"/>
      <c r="E2422" s="33"/>
      <c r="F2422" s="33"/>
      <c r="G2422" s="33"/>
      <c r="H2422" s="34"/>
      <c r="J2422" s="36"/>
      <c r="K2422" s="36"/>
      <c r="L2422" s="36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8"/>
      <c r="AS2422" s="38"/>
      <c r="AT2422" s="38"/>
      <c r="AU2422" s="33"/>
      <c r="AV2422" s="39"/>
    </row>
    <row r="2423" spans="4:48">
      <c r="D2423" s="33"/>
      <c r="E2423" s="33"/>
      <c r="F2423" s="33"/>
      <c r="G2423" s="33"/>
      <c r="H2423" s="34"/>
      <c r="J2423" s="36"/>
      <c r="K2423" s="36"/>
      <c r="L2423" s="36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8"/>
      <c r="AS2423" s="38"/>
      <c r="AT2423" s="38"/>
      <c r="AU2423" s="33"/>
      <c r="AV2423" s="39"/>
    </row>
    <row r="2424" spans="4:48">
      <c r="D2424" s="33"/>
      <c r="E2424" s="33"/>
      <c r="F2424" s="33"/>
      <c r="G2424" s="33"/>
      <c r="H2424" s="34"/>
      <c r="J2424" s="36"/>
      <c r="K2424" s="36"/>
      <c r="L2424" s="36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8"/>
      <c r="AS2424" s="38"/>
      <c r="AT2424" s="38"/>
      <c r="AU2424" s="33"/>
      <c r="AV2424" s="39"/>
    </row>
    <row r="2425" spans="4:48">
      <c r="D2425" s="33"/>
      <c r="E2425" s="33"/>
      <c r="F2425" s="33"/>
      <c r="G2425" s="33"/>
      <c r="H2425" s="34"/>
      <c r="J2425" s="36"/>
      <c r="K2425" s="36"/>
      <c r="L2425" s="36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8"/>
      <c r="AS2425" s="38"/>
      <c r="AT2425" s="38"/>
      <c r="AU2425" s="33"/>
      <c r="AV2425" s="39"/>
    </row>
    <row r="2426" spans="4:48">
      <c r="D2426" s="33"/>
      <c r="E2426" s="33"/>
      <c r="F2426" s="33"/>
      <c r="G2426" s="33"/>
      <c r="H2426" s="34"/>
      <c r="J2426" s="36"/>
      <c r="K2426" s="36"/>
      <c r="L2426" s="36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8"/>
      <c r="AS2426" s="38"/>
      <c r="AT2426" s="38"/>
      <c r="AU2426" s="33"/>
      <c r="AV2426" s="39"/>
    </row>
    <row r="2427" spans="4:48">
      <c r="D2427" s="33"/>
      <c r="E2427" s="33"/>
      <c r="F2427" s="33"/>
      <c r="G2427" s="33"/>
      <c r="H2427" s="34"/>
      <c r="J2427" s="36"/>
      <c r="K2427" s="36"/>
      <c r="L2427" s="36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8"/>
      <c r="AS2427" s="38"/>
      <c r="AT2427" s="38"/>
      <c r="AU2427" s="33"/>
      <c r="AV2427" s="39"/>
    </row>
    <row r="2428" spans="4:48">
      <c r="D2428" s="33"/>
      <c r="E2428" s="33"/>
      <c r="F2428" s="33"/>
      <c r="G2428" s="33"/>
      <c r="H2428" s="34"/>
      <c r="J2428" s="36"/>
      <c r="K2428" s="36"/>
      <c r="L2428" s="36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8"/>
      <c r="AS2428" s="38"/>
      <c r="AT2428" s="38"/>
      <c r="AU2428" s="33"/>
      <c r="AV2428" s="39"/>
    </row>
    <row r="2429" spans="4:48">
      <c r="D2429" s="33"/>
      <c r="E2429" s="33"/>
      <c r="F2429" s="33"/>
      <c r="G2429" s="33"/>
      <c r="H2429" s="34"/>
      <c r="J2429" s="36"/>
      <c r="K2429" s="36"/>
      <c r="L2429" s="36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8"/>
      <c r="AS2429" s="38"/>
      <c r="AT2429" s="38"/>
      <c r="AU2429" s="33"/>
      <c r="AV2429" s="39"/>
    </row>
    <row r="2430" spans="4:48">
      <c r="D2430" s="33"/>
      <c r="E2430" s="33"/>
      <c r="F2430" s="33"/>
      <c r="G2430" s="33"/>
      <c r="H2430" s="34"/>
      <c r="J2430" s="36"/>
      <c r="K2430" s="36"/>
      <c r="L2430" s="36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8"/>
      <c r="AS2430" s="38"/>
      <c r="AT2430" s="38"/>
      <c r="AU2430" s="33"/>
      <c r="AV2430" s="39"/>
    </row>
    <row r="2431" spans="4:48">
      <c r="D2431" s="33"/>
      <c r="E2431" s="33"/>
      <c r="F2431" s="33"/>
      <c r="G2431" s="33"/>
      <c r="H2431" s="34"/>
      <c r="J2431" s="36"/>
      <c r="K2431" s="36"/>
      <c r="L2431" s="36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8"/>
      <c r="AS2431" s="38"/>
      <c r="AT2431" s="38"/>
      <c r="AU2431" s="33"/>
      <c r="AV2431" s="39"/>
    </row>
    <row r="2432" spans="4:48">
      <c r="D2432" s="33"/>
      <c r="E2432" s="33"/>
      <c r="F2432" s="33"/>
      <c r="G2432" s="33"/>
      <c r="H2432" s="34"/>
      <c r="J2432" s="36"/>
      <c r="K2432" s="36"/>
      <c r="L2432" s="36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8"/>
      <c r="AS2432" s="38"/>
      <c r="AT2432" s="38"/>
      <c r="AU2432" s="33"/>
      <c r="AV2432" s="39"/>
    </row>
    <row r="2433" spans="4:48">
      <c r="D2433" s="33"/>
      <c r="E2433" s="33"/>
      <c r="F2433" s="33"/>
      <c r="G2433" s="33"/>
      <c r="H2433" s="34"/>
      <c r="J2433" s="36"/>
      <c r="K2433" s="36"/>
      <c r="L2433" s="36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8"/>
      <c r="AS2433" s="38"/>
      <c r="AT2433" s="38"/>
      <c r="AU2433" s="33"/>
      <c r="AV2433" s="39"/>
    </row>
    <row r="2434" spans="4:48">
      <c r="D2434" s="33"/>
      <c r="E2434" s="33"/>
      <c r="F2434" s="33"/>
      <c r="G2434" s="33"/>
      <c r="H2434" s="34"/>
      <c r="J2434" s="36"/>
      <c r="K2434" s="36"/>
      <c r="L2434" s="36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8"/>
      <c r="AS2434" s="38"/>
      <c r="AT2434" s="38"/>
      <c r="AU2434" s="33"/>
      <c r="AV2434" s="39"/>
    </row>
    <row r="2435" spans="4:48">
      <c r="D2435" s="33"/>
      <c r="E2435" s="33"/>
      <c r="F2435" s="33"/>
      <c r="G2435" s="33"/>
      <c r="H2435" s="34"/>
      <c r="J2435" s="36"/>
      <c r="K2435" s="36"/>
      <c r="L2435" s="36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8"/>
      <c r="AS2435" s="38"/>
      <c r="AT2435" s="38"/>
      <c r="AU2435" s="33"/>
      <c r="AV2435" s="39"/>
    </row>
    <row r="2436" spans="4:48">
      <c r="D2436" s="33"/>
      <c r="E2436" s="33"/>
      <c r="F2436" s="33"/>
      <c r="G2436" s="33"/>
      <c r="H2436" s="34"/>
      <c r="J2436" s="36"/>
      <c r="K2436" s="36"/>
      <c r="L2436" s="36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8"/>
      <c r="AS2436" s="38"/>
      <c r="AT2436" s="38"/>
      <c r="AU2436" s="33"/>
      <c r="AV2436" s="39"/>
    </row>
    <row r="2437" spans="4:48">
      <c r="D2437" s="33"/>
      <c r="E2437" s="33"/>
      <c r="F2437" s="33"/>
      <c r="G2437" s="33"/>
      <c r="H2437" s="34"/>
      <c r="J2437" s="36"/>
      <c r="K2437" s="36"/>
      <c r="L2437" s="36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8"/>
      <c r="AS2437" s="38"/>
      <c r="AT2437" s="38"/>
      <c r="AU2437" s="33"/>
      <c r="AV2437" s="39"/>
    </row>
    <row r="2438" spans="4:48">
      <c r="D2438" s="33"/>
      <c r="E2438" s="33"/>
      <c r="F2438" s="33"/>
      <c r="G2438" s="33"/>
      <c r="H2438" s="34"/>
      <c r="J2438" s="36"/>
      <c r="K2438" s="36"/>
      <c r="L2438" s="36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8"/>
      <c r="AS2438" s="38"/>
      <c r="AT2438" s="38"/>
      <c r="AU2438" s="33"/>
      <c r="AV2438" s="39"/>
    </row>
    <row r="2439" spans="4:48">
      <c r="D2439" s="33"/>
      <c r="E2439" s="33"/>
      <c r="F2439" s="33"/>
      <c r="G2439" s="33"/>
      <c r="H2439" s="34"/>
      <c r="J2439" s="36"/>
      <c r="K2439" s="36"/>
      <c r="L2439" s="36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8"/>
      <c r="AS2439" s="38"/>
      <c r="AT2439" s="38"/>
      <c r="AU2439" s="33"/>
      <c r="AV2439" s="39"/>
    </row>
    <row r="2440" spans="4:48">
      <c r="D2440" s="33"/>
      <c r="E2440" s="33"/>
      <c r="F2440" s="33"/>
      <c r="G2440" s="33"/>
      <c r="H2440" s="34"/>
      <c r="J2440" s="36"/>
      <c r="K2440" s="36"/>
      <c r="L2440" s="36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8"/>
      <c r="AS2440" s="38"/>
      <c r="AT2440" s="38"/>
      <c r="AU2440" s="33"/>
      <c r="AV2440" s="39"/>
    </row>
    <row r="2441" spans="4:48">
      <c r="D2441" s="33"/>
      <c r="E2441" s="33"/>
      <c r="F2441" s="33"/>
      <c r="G2441" s="33"/>
      <c r="H2441" s="34"/>
      <c r="J2441" s="36"/>
      <c r="K2441" s="36"/>
      <c r="L2441" s="36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8"/>
      <c r="AS2441" s="38"/>
      <c r="AT2441" s="38"/>
      <c r="AU2441" s="33"/>
      <c r="AV2441" s="39"/>
    </row>
    <row r="2442" spans="4:48">
      <c r="D2442" s="33"/>
      <c r="E2442" s="33"/>
      <c r="F2442" s="33"/>
      <c r="G2442" s="33"/>
      <c r="H2442" s="34"/>
      <c r="J2442" s="36"/>
      <c r="K2442" s="36"/>
      <c r="L2442" s="36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8"/>
      <c r="AS2442" s="38"/>
      <c r="AT2442" s="38"/>
      <c r="AU2442" s="33"/>
      <c r="AV2442" s="39"/>
    </row>
    <row r="2443" spans="4:48">
      <c r="D2443" s="33"/>
      <c r="E2443" s="33"/>
      <c r="F2443" s="33"/>
      <c r="G2443" s="33"/>
      <c r="H2443" s="34"/>
      <c r="J2443" s="36"/>
      <c r="K2443" s="36"/>
      <c r="L2443" s="36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8"/>
      <c r="AS2443" s="38"/>
      <c r="AT2443" s="38"/>
      <c r="AU2443" s="33"/>
      <c r="AV2443" s="39"/>
    </row>
    <row r="2444" spans="4:48">
      <c r="D2444" s="33"/>
      <c r="E2444" s="33"/>
      <c r="F2444" s="33"/>
      <c r="G2444" s="33"/>
      <c r="H2444" s="34"/>
      <c r="J2444" s="36"/>
      <c r="K2444" s="36"/>
      <c r="L2444" s="36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8"/>
      <c r="AS2444" s="38"/>
      <c r="AT2444" s="38"/>
      <c r="AU2444" s="33"/>
      <c r="AV2444" s="39"/>
    </row>
    <row r="2445" spans="4:48">
      <c r="D2445" s="33"/>
      <c r="E2445" s="33"/>
      <c r="F2445" s="33"/>
      <c r="G2445" s="33"/>
      <c r="H2445" s="34"/>
      <c r="J2445" s="36"/>
      <c r="K2445" s="36"/>
      <c r="L2445" s="36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8"/>
      <c r="AS2445" s="38"/>
      <c r="AT2445" s="38"/>
      <c r="AU2445" s="33"/>
      <c r="AV2445" s="39"/>
    </row>
    <row r="2446" spans="4:48">
      <c r="D2446" s="33"/>
      <c r="E2446" s="33"/>
      <c r="F2446" s="33"/>
      <c r="G2446" s="33"/>
      <c r="H2446" s="34"/>
      <c r="J2446" s="36"/>
      <c r="K2446" s="36"/>
      <c r="L2446" s="36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8"/>
      <c r="AS2446" s="38"/>
      <c r="AT2446" s="38"/>
      <c r="AU2446" s="33"/>
      <c r="AV2446" s="39"/>
    </row>
    <row r="2447" spans="4:48">
      <c r="D2447" s="33"/>
      <c r="E2447" s="33"/>
      <c r="F2447" s="33"/>
      <c r="G2447" s="33"/>
      <c r="H2447" s="34"/>
      <c r="J2447" s="36"/>
      <c r="K2447" s="36"/>
      <c r="L2447" s="36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8"/>
      <c r="AS2447" s="38"/>
      <c r="AT2447" s="38"/>
      <c r="AU2447" s="33"/>
      <c r="AV2447" s="39"/>
    </row>
    <row r="2448" spans="4:48">
      <c r="D2448" s="33"/>
      <c r="E2448" s="33"/>
      <c r="F2448" s="33"/>
      <c r="G2448" s="33"/>
      <c r="H2448" s="34"/>
      <c r="J2448" s="36"/>
      <c r="K2448" s="36"/>
      <c r="L2448" s="36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8"/>
      <c r="AS2448" s="38"/>
      <c r="AT2448" s="38"/>
      <c r="AU2448" s="33"/>
      <c r="AV2448" s="39"/>
    </row>
    <row r="2449" spans="4:48">
      <c r="D2449" s="33"/>
      <c r="E2449" s="33"/>
      <c r="F2449" s="33"/>
      <c r="G2449" s="33"/>
      <c r="H2449" s="34"/>
      <c r="J2449" s="36"/>
      <c r="K2449" s="36"/>
      <c r="L2449" s="36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8"/>
      <c r="AS2449" s="38"/>
      <c r="AT2449" s="38"/>
      <c r="AU2449" s="33"/>
      <c r="AV2449" s="39"/>
    </row>
    <row r="2450" spans="4:48">
      <c r="D2450" s="33"/>
      <c r="E2450" s="33"/>
      <c r="F2450" s="33"/>
      <c r="G2450" s="33"/>
      <c r="H2450" s="34"/>
      <c r="J2450" s="36"/>
      <c r="K2450" s="36"/>
      <c r="L2450" s="36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8"/>
      <c r="AS2450" s="38"/>
      <c r="AT2450" s="38"/>
      <c r="AU2450" s="33"/>
      <c r="AV2450" s="39"/>
    </row>
    <row r="2451" spans="4:48">
      <c r="D2451" s="33"/>
      <c r="E2451" s="33"/>
      <c r="F2451" s="33"/>
      <c r="G2451" s="33"/>
      <c r="H2451" s="34"/>
      <c r="J2451" s="36"/>
      <c r="K2451" s="36"/>
      <c r="L2451" s="36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8"/>
      <c r="AS2451" s="38"/>
      <c r="AT2451" s="38"/>
      <c r="AU2451" s="33"/>
      <c r="AV2451" s="39"/>
    </row>
    <row r="2452" spans="4:48">
      <c r="D2452" s="33"/>
      <c r="E2452" s="33"/>
      <c r="F2452" s="33"/>
      <c r="G2452" s="33"/>
      <c r="H2452" s="34"/>
      <c r="J2452" s="36"/>
      <c r="K2452" s="36"/>
      <c r="L2452" s="36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8"/>
      <c r="AS2452" s="38"/>
      <c r="AT2452" s="38"/>
      <c r="AU2452" s="33"/>
      <c r="AV2452" s="39"/>
    </row>
    <row r="2453" spans="4:48">
      <c r="D2453" s="33"/>
      <c r="E2453" s="33"/>
      <c r="F2453" s="33"/>
      <c r="G2453" s="33"/>
      <c r="H2453" s="34"/>
      <c r="J2453" s="36"/>
      <c r="K2453" s="36"/>
      <c r="L2453" s="36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8"/>
      <c r="AS2453" s="38"/>
      <c r="AT2453" s="38"/>
      <c r="AU2453" s="33"/>
      <c r="AV2453" s="39"/>
    </row>
    <row r="2454" spans="4:48">
      <c r="D2454" s="33"/>
      <c r="E2454" s="33"/>
      <c r="F2454" s="33"/>
      <c r="G2454" s="33"/>
      <c r="H2454" s="34"/>
      <c r="J2454" s="36"/>
      <c r="K2454" s="36"/>
      <c r="L2454" s="36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8"/>
      <c r="AS2454" s="38"/>
      <c r="AT2454" s="38"/>
      <c r="AU2454" s="33"/>
      <c r="AV2454" s="39"/>
    </row>
    <row r="2455" spans="4:48">
      <c r="D2455" s="33"/>
      <c r="E2455" s="33"/>
      <c r="F2455" s="33"/>
      <c r="G2455" s="33"/>
      <c r="H2455" s="34"/>
      <c r="J2455" s="36"/>
      <c r="K2455" s="36"/>
      <c r="L2455" s="36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8"/>
      <c r="AS2455" s="38"/>
      <c r="AT2455" s="38"/>
      <c r="AU2455" s="33"/>
      <c r="AV2455" s="39"/>
    </row>
    <row r="2456" spans="4:48">
      <c r="D2456" s="33"/>
      <c r="E2456" s="33"/>
      <c r="F2456" s="33"/>
      <c r="G2456" s="33"/>
      <c r="H2456" s="34"/>
      <c r="J2456" s="36"/>
      <c r="K2456" s="36"/>
      <c r="L2456" s="36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8"/>
      <c r="AS2456" s="38"/>
      <c r="AT2456" s="38"/>
      <c r="AU2456" s="33"/>
      <c r="AV2456" s="39"/>
    </row>
    <row r="2457" spans="4:48">
      <c r="D2457" s="33"/>
      <c r="E2457" s="33"/>
      <c r="F2457" s="33"/>
      <c r="G2457" s="33"/>
      <c r="H2457" s="34"/>
      <c r="J2457" s="36"/>
      <c r="K2457" s="36"/>
      <c r="L2457" s="36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8"/>
      <c r="AS2457" s="38"/>
      <c r="AT2457" s="38"/>
      <c r="AU2457" s="33"/>
      <c r="AV2457" s="39"/>
    </row>
    <row r="2458" spans="4:48">
      <c r="D2458" s="33"/>
      <c r="E2458" s="33"/>
      <c r="F2458" s="33"/>
      <c r="G2458" s="33"/>
      <c r="H2458" s="34"/>
      <c r="J2458" s="36"/>
      <c r="K2458" s="36"/>
      <c r="L2458" s="36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8"/>
      <c r="AS2458" s="38"/>
      <c r="AT2458" s="38"/>
      <c r="AU2458" s="33"/>
      <c r="AV2458" s="39"/>
    </row>
    <row r="2459" spans="4:48">
      <c r="D2459" s="33"/>
      <c r="E2459" s="33"/>
      <c r="F2459" s="33"/>
      <c r="G2459" s="33"/>
      <c r="H2459" s="34"/>
      <c r="J2459" s="36"/>
      <c r="K2459" s="36"/>
      <c r="L2459" s="36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8"/>
      <c r="AS2459" s="38"/>
      <c r="AT2459" s="38"/>
      <c r="AU2459" s="33"/>
      <c r="AV2459" s="39"/>
    </row>
    <row r="2460" spans="4:48">
      <c r="D2460" s="33"/>
      <c r="E2460" s="33"/>
      <c r="F2460" s="33"/>
      <c r="G2460" s="33"/>
      <c r="H2460" s="34"/>
      <c r="J2460" s="36"/>
      <c r="K2460" s="36"/>
      <c r="L2460" s="36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8"/>
      <c r="AS2460" s="38"/>
      <c r="AT2460" s="38"/>
      <c r="AU2460" s="33"/>
      <c r="AV2460" s="39"/>
    </row>
    <row r="2461" spans="4:48">
      <c r="D2461" s="33"/>
      <c r="E2461" s="33"/>
      <c r="F2461" s="33"/>
      <c r="G2461" s="33"/>
      <c r="H2461" s="34"/>
      <c r="J2461" s="36"/>
      <c r="K2461" s="36"/>
      <c r="L2461" s="36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8"/>
      <c r="AS2461" s="38"/>
      <c r="AT2461" s="38"/>
      <c r="AU2461" s="33"/>
      <c r="AV2461" s="39"/>
    </row>
    <row r="2462" spans="4:48">
      <c r="D2462" s="33"/>
      <c r="E2462" s="33"/>
      <c r="F2462" s="33"/>
      <c r="G2462" s="33"/>
      <c r="H2462" s="34"/>
      <c r="J2462" s="36"/>
      <c r="K2462" s="36"/>
      <c r="L2462" s="36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8"/>
      <c r="AS2462" s="38"/>
      <c r="AT2462" s="38"/>
      <c r="AU2462" s="33"/>
      <c r="AV2462" s="39"/>
    </row>
    <row r="2463" spans="4:48">
      <c r="D2463" s="33"/>
      <c r="E2463" s="33"/>
      <c r="F2463" s="33"/>
      <c r="G2463" s="33"/>
      <c r="H2463" s="34"/>
      <c r="J2463" s="36"/>
      <c r="K2463" s="36"/>
      <c r="L2463" s="36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8"/>
      <c r="AS2463" s="38"/>
      <c r="AT2463" s="38"/>
      <c r="AU2463" s="33"/>
      <c r="AV2463" s="39"/>
    </row>
    <row r="2464" spans="4:48">
      <c r="D2464" s="33"/>
      <c r="E2464" s="33"/>
      <c r="F2464" s="33"/>
      <c r="G2464" s="33"/>
      <c r="H2464" s="34"/>
      <c r="J2464" s="36"/>
      <c r="K2464" s="36"/>
      <c r="L2464" s="36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8"/>
      <c r="AS2464" s="38"/>
      <c r="AT2464" s="38"/>
      <c r="AU2464" s="33"/>
      <c r="AV2464" s="39"/>
    </row>
    <row r="2465" spans="4:48">
      <c r="D2465" s="33"/>
      <c r="E2465" s="33"/>
      <c r="F2465" s="33"/>
      <c r="G2465" s="33"/>
      <c r="H2465" s="34"/>
      <c r="J2465" s="36"/>
      <c r="K2465" s="36"/>
      <c r="L2465" s="36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8"/>
      <c r="AS2465" s="38"/>
      <c r="AT2465" s="38"/>
      <c r="AU2465" s="33"/>
      <c r="AV2465" s="39"/>
    </row>
    <row r="2466" spans="4:48">
      <c r="D2466" s="33"/>
      <c r="E2466" s="33"/>
      <c r="F2466" s="33"/>
      <c r="G2466" s="33"/>
      <c r="H2466" s="34"/>
      <c r="J2466" s="36"/>
      <c r="K2466" s="36"/>
      <c r="L2466" s="36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8"/>
      <c r="AS2466" s="38"/>
      <c r="AT2466" s="38"/>
      <c r="AU2466" s="33"/>
      <c r="AV2466" s="39"/>
    </row>
    <row r="2467" spans="4:48">
      <c r="D2467" s="33"/>
      <c r="E2467" s="33"/>
      <c r="F2467" s="33"/>
      <c r="G2467" s="33"/>
      <c r="H2467" s="34"/>
      <c r="J2467" s="36"/>
      <c r="K2467" s="36"/>
      <c r="L2467" s="36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8"/>
      <c r="AS2467" s="38"/>
      <c r="AT2467" s="38"/>
      <c r="AU2467" s="33"/>
      <c r="AV2467" s="39"/>
    </row>
    <row r="2468" spans="4:48">
      <c r="D2468" s="33"/>
      <c r="E2468" s="33"/>
      <c r="F2468" s="33"/>
      <c r="G2468" s="33"/>
      <c r="H2468" s="34"/>
      <c r="J2468" s="36"/>
      <c r="K2468" s="36"/>
      <c r="L2468" s="36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8"/>
      <c r="AS2468" s="38"/>
      <c r="AT2468" s="38"/>
      <c r="AU2468" s="33"/>
      <c r="AV2468" s="39"/>
    </row>
    <row r="2469" spans="4:48">
      <c r="D2469" s="33"/>
      <c r="E2469" s="33"/>
      <c r="F2469" s="33"/>
      <c r="G2469" s="33"/>
      <c r="H2469" s="34"/>
      <c r="J2469" s="36"/>
      <c r="K2469" s="36"/>
      <c r="L2469" s="36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8"/>
      <c r="AS2469" s="38"/>
      <c r="AT2469" s="38"/>
      <c r="AU2469" s="33"/>
      <c r="AV2469" s="39"/>
    </row>
    <row r="2470" spans="4:48">
      <c r="D2470" s="33"/>
      <c r="E2470" s="33"/>
      <c r="F2470" s="33"/>
      <c r="G2470" s="33"/>
      <c r="H2470" s="34"/>
      <c r="J2470" s="36"/>
      <c r="K2470" s="36"/>
      <c r="L2470" s="36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8"/>
      <c r="AS2470" s="38"/>
      <c r="AT2470" s="38"/>
      <c r="AU2470" s="33"/>
      <c r="AV2470" s="39"/>
    </row>
    <row r="2471" spans="4:48">
      <c r="D2471" s="33"/>
      <c r="E2471" s="33"/>
      <c r="F2471" s="33"/>
      <c r="G2471" s="33"/>
      <c r="H2471" s="34"/>
      <c r="J2471" s="36"/>
      <c r="K2471" s="36"/>
      <c r="L2471" s="36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8"/>
      <c r="AS2471" s="38"/>
      <c r="AT2471" s="38"/>
      <c r="AU2471" s="33"/>
      <c r="AV2471" s="39"/>
    </row>
    <row r="2472" spans="4:48">
      <c r="D2472" s="33"/>
      <c r="E2472" s="33"/>
      <c r="F2472" s="33"/>
      <c r="G2472" s="33"/>
      <c r="H2472" s="34"/>
      <c r="J2472" s="36"/>
      <c r="K2472" s="36"/>
      <c r="L2472" s="36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8"/>
      <c r="AS2472" s="38"/>
      <c r="AT2472" s="38"/>
      <c r="AU2472" s="33"/>
      <c r="AV2472" s="39"/>
    </row>
    <row r="2473" spans="4:48">
      <c r="D2473" s="33"/>
      <c r="E2473" s="33"/>
      <c r="F2473" s="33"/>
      <c r="G2473" s="33"/>
      <c r="H2473" s="34"/>
      <c r="J2473" s="36"/>
      <c r="K2473" s="36"/>
      <c r="L2473" s="36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8"/>
      <c r="AS2473" s="38"/>
      <c r="AT2473" s="38"/>
      <c r="AU2473" s="33"/>
      <c r="AV2473" s="39"/>
    </row>
    <row r="2474" spans="4:48">
      <c r="D2474" s="33"/>
      <c r="E2474" s="33"/>
      <c r="F2474" s="33"/>
      <c r="G2474" s="33"/>
      <c r="H2474" s="34"/>
      <c r="J2474" s="36"/>
      <c r="K2474" s="36"/>
      <c r="L2474" s="36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8"/>
      <c r="AS2474" s="38"/>
      <c r="AT2474" s="38"/>
      <c r="AU2474" s="33"/>
      <c r="AV2474" s="39"/>
    </row>
    <row r="2475" spans="4:48">
      <c r="D2475" s="33"/>
      <c r="E2475" s="33"/>
      <c r="F2475" s="33"/>
      <c r="G2475" s="33"/>
      <c r="H2475" s="34"/>
      <c r="J2475" s="36"/>
      <c r="K2475" s="36"/>
      <c r="L2475" s="36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8"/>
      <c r="AS2475" s="38"/>
      <c r="AT2475" s="38"/>
      <c r="AU2475" s="33"/>
      <c r="AV2475" s="39"/>
    </row>
    <row r="2476" spans="4:48">
      <c r="D2476" s="33"/>
      <c r="E2476" s="33"/>
      <c r="F2476" s="33"/>
      <c r="G2476" s="33"/>
      <c r="H2476" s="34"/>
      <c r="J2476" s="36"/>
      <c r="K2476" s="36"/>
      <c r="L2476" s="36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8"/>
      <c r="AS2476" s="38"/>
      <c r="AT2476" s="38"/>
      <c r="AU2476" s="33"/>
      <c r="AV2476" s="39"/>
    </row>
    <row r="2477" spans="4:48">
      <c r="D2477" s="33"/>
      <c r="E2477" s="33"/>
      <c r="F2477" s="33"/>
      <c r="G2477" s="33"/>
      <c r="H2477" s="34"/>
      <c r="J2477" s="36"/>
      <c r="K2477" s="36"/>
      <c r="L2477" s="36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8"/>
      <c r="AS2477" s="38"/>
      <c r="AT2477" s="38"/>
      <c r="AU2477" s="33"/>
      <c r="AV2477" s="39"/>
    </row>
    <row r="2478" spans="4:48">
      <c r="D2478" s="33"/>
      <c r="E2478" s="33"/>
      <c r="F2478" s="33"/>
      <c r="G2478" s="33"/>
      <c r="H2478" s="34"/>
      <c r="J2478" s="36"/>
      <c r="K2478" s="36"/>
      <c r="L2478" s="36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8"/>
      <c r="AS2478" s="38"/>
      <c r="AT2478" s="38"/>
      <c r="AU2478" s="33"/>
      <c r="AV2478" s="39"/>
    </row>
    <row r="2479" spans="4:48">
      <c r="D2479" s="33"/>
      <c r="E2479" s="33"/>
      <c r="F2479" s="33"/>
      <c r="G2479" s="33"/>
      <c r="H2479" s="34"/>
      <c r="J2479" s="36"/>
      <c r="K2479" s="36"/>
      <c r="L2479" s="36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8"/>
      <c r="AS2479" s="38"/>
      <c r="AT2479" s="38"/>
      <c r="AU2479" s="33"/>
      <c r="AV2479" s="39"/>
    </row>
    <row r="2480" spans="4:48">
      <c r="D2480" s="33"/>
      <c r="E2480" s="33"/>
      <c r="F2480" s="33"/>
      <c r="G2480" s="33"/>
      <c r="H2480" s="34"/>
      <c r="J2480" s="36"/>
      <c r="K2480" s="36"/>
      <c r="L2480" s="36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8"/>
      <c r="AS2480" s="38"/>
      <c r="AT2480" s="38"/>
      <c r="AU2480" s="33"/>
      <c r="AV2480" s="39"/>
    </row>
    <row r="2481" spans="4:48">
      <c r="D2481" s="33"/>
      <c r="E2481" s="33"/>
      <c r="F2481" s="33"/>
      <c r="G2481" s="33"/>
      <c r="H2481" s="34"/>
      <c r="J2481" s="36"/>
      <c r="K2481" s="36"/>
      <c r="L2481" s="36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8"/>
      <c r="AS2481" s="38"/>
      <c r="AT2481" s="38"/>
      <c r="AU2481" s="33"/>
      <c r="AV2481" s="39"/>
    </row>
    <row r="2482" spans="4:48">
      <c r="D2482" s="33"/>
      <c r="E2482" s="33"/>
      <c r="F2482" s="33"/>
      <c r="G2482" s="33"/>
      <c r="H2482" s="34"/>
      <c r="J2482" s="36"/>
      <c r="K2482" s="36"/>
      <c r="L2482" s="36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8"/>
      <c r="AS2482" s="38"/>
      <c r="AT2482" s="38"/>
      <c r="AU2482" s="33"/>
      <c r="AV2482" s="39"/>
    </row>
    <row r="2483" spans="4:48">
      <c r="D2483" s="33"/>
      <c r="E2483" s="33"/>
      <c r="F2483" s="33"/>
      <c r="G2483" s="33"/>
      <c r="H2483" s="34"/>
      <c r="J2483" s="36"/>
      <c r="K2483" s="36"/>
      <c r="L2483" s="36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8"/>
      <c r="AS2483" s="38"/>
      <c r="AT2483" s="38"/>
      <c r="AU2483" s="33"/>
      <c r="AV2483" s="39"/>
    </row>
    <row r="2484" spans="4:48">
      <c r="D2484" s="33"/>
      <c r="E2484" s="33"/>
      <c r="F2484" s="33"/>
      <c r="G2484" s="33"/>
      <c r="H2484" s="34"/>
      <c r="J2484" s="36"/>
      <c r="K2484" s="36"/>
      <c r="L2484" s="36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8"/>
      <c r="AS2484" s="38"/>
      <c r="AT2484" s="38"/>
      <c r="AU2484" s="33"/>
      <c r="AV2484" s="39"/>
    </row>
    <row r="2485" spans="4:48">
      <c r="D2485" s="33"/>
      <c r="E2485" s="33"/>
      <c r="F2485" s="33"/>
      <c r="G2485" s="33"/>
      <c r="H2485" s="34"/>
      <c r="J2485" s="36"/>
      <c r="K2485" s="36"/>
      <c r="L2485" s="36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8"/>
      <c r="AS2485" s="38"/>
      <c r="AT2485" s="38"/>
      <c r="AU2485" s="33"/>
      <c r="AV2485" s="39"/>
    </row>
    <row r="2486" spans="4:48">
      <c r="D2486" s="33"/>
      <c r="E2486" s="33"/>
      <c r="F2486" s="33"/>
      <c r="G2486" s="33"/>
      <c r="H2486" s="34"/>
      <c r="J2486" s="36"/>
      <c r="K2486" s="36"/>
      <c r="L2486" s="36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8"/>
      <c r="AS2486" s="38"/>
      <c r="AT2486" s="38"/>
      <c r="AU2486" s="33"/>
      <c r="AV2486" s="39"/>
    </row>
    <row r="2487" spans="4:48">
      <c r="D2487" s="33"/>
      <c r="E2487" s="33"/>
      <c r="F2487" s="33"/>
      <c r="G2487" s="33"/>
      <c r="H2487" s="34"/>
      <c r="J2487" s="36"/>
      <c r="K2487" s="36"/>
      <c r="L2487" s="36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8"/>
      <c r="AS2487" s="38"/>
      <c r="AT2487" s="38"/>
      <c r="AU2487" s="33"/>
      <c r="AV2487" s="39"/>
    </row>
    <row r="2488" spans="4:48">
      <c r="D2488" s="33"/>
      <c r="E2488" s="33"/>
      <c r="F2488" s="33"/>
      <c r="G2488" s="33"/>
      <c r="H2488" s="34"/>
      <c r="J2488" s="36"/>
      <c r="K2488" s="36"/>
      <c r="L2488" s="36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8"/>
      <c r="AS2488" s="38"/>
      <c r="AT2488" s="38"/>
      <c r="AU2488" s="33"/>
      <c r="AV2488" s="39"/>
    </row>
    <row r="2489" spans="4:48">
      <c r="D2489" s="33"/>
      <c r="E2489" s="33"/>
      <c r="F2489" s="33"/>
      <c r="G2489" s="33"/>
      <c r="H2489" s="34"/>
      <c r="J2489" s="36"/>
      <c r="K2489" s="36"/>
      <c r="L2489" s="36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8"/>
      <c r="AS2489" s="38"/>
      <c r="AT2489" s="38"/>
      <c r="AU2489" s="33"/>
      <c r="AV2489" s="39"/>
    </row>
    <row r="2490" spans="4:48">
      <c r="D2490" s="33"/>
      <c r="E2490" s="33"/>
      <c r="F2490" s="33"/>
      <c r="G2490" s="33"/>
      <c r="H2490" s="34"/>
      <c r="J2490" s="36"/>
      <c r="K2490" s="36"/>
      <c r="L2490" s="36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8"/>
      <c r="AS2490" s="38"/>
      <c r="AT2490" s="38"/>
      <c r="AU2490" s="33"/>
      <c r="AV2490" s="39"/>
    </row>
    <row r="2491" spans="4:48">
      <c r="D2491" s="33"/>
      <c r="E2491" s="33"/>
      <c r="F2491" s="33"/>
      <c r="G2491" s="33"/>
      <c r="H2491" s="34"/>
      <c r="J2491" s="36"/>
      <c r="K2491" s="36"/>
      <c r="L2491" s="36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8"/>
      <c r="AS2491" s="38"/>
      <c r="AT2491" s="38"/>
      <c r="AU2491" s="33"/>
      <c r="AV2491" s="39"/>
    </row>
    <row r="2492" spans="4:48">
      <c r="D2492" s="33"/>
      <c r="E2492" s="33"/>
      <c r="F2492" s="33"/>
      <c r="G2492" s="33"/>
      <c r="H2492" s="34"/>
      <c r="J2492" s="36"/>
      <c r="K2492" s="36"/>
      <c r="L2492" s="36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8"/>
      <c r="AS2492" s="38"/>
      <c r="AT2492" s="38"/>
      <c r="AU2492" s="33"/>
      <c r="AV2492" s="39"/>
    </row>
    <row r="2493" spans="4:48">
      <c r="D2493" s="33"/>
      <c r="E2493" s="33"/>
      <c r="F2493" s="33"/>
      <c r="G2493" s="33"/>
      <c r="H2493" s="34"/>
      <c r="J2493" s="36"/>
      <c r="K2493" s="36"/>
      <c r="L2493" s="36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8"/>
      <c r="AS2493" s="38"/>
      <c r="AT2493" s="38"/>
      <c r="AU2493" s="33"/>
      <c r="AV2493" s="39"/>
    </row>
    <row r="2494" spans="4:48">
      <c r="D2494" s="33"/>
      <c r="E2494" s="33"/>
      <c r="F2494" s="33"/>
      <c r="G2494" s="33"/>
      <c r="H2494" s="34"/>
      <c r="J2494" s="36"/>
      <c r="K2494" s="36"/>
      <c r="L2494" s="36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8"/>
      <c r="AS2494" s="38"/>
      <c r="AT2494" s="38"/>
      <c r="AU2494" s="33"/>
      <c r="AV2494" s="39"/>
    </row>
    <row r="2495" spans="4:48">
      <c r="D2495" s="33"/>
      <c r="E2495" s="33"/>
      <c r="F2495" s="33"/>
      <c r="G2495" s="33"/>
      <c r="H2495" s="34"/>
      <c r="J2495" s="36"/>
      <c r="K2495" s="36"/>
      <c r="L2495" s="36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8"/>
      <c r="AS2495" s="38"/>
      <c r="AT2495" s="38"/>
      <c r="AU2495" s="33"/>
      <c r="AV2495" s="39"/>
    </row>
    <row r="2496" spans="4:48">
      <c r="D2496" s="33"/>
      <c r="E2496" s="33"/>
      <c r="F2496" s="33"/>
      <c r="G2496" s="33"/>
      <c r="H2496" s="34"/>
      <c r="J2496" s="36"/>
      <c r="K2496" s="36"/>
      <c r="L2496" s="36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8"/>
      <c r="AS2496" s="38"/>
      <c r="AT2496" s="38"/>
      <c r="AU2496" s="33"/>
      <c r="AV2496" s="39"/>
    </row>
    <row r="2497" spans="4:48">
      <c r="D2497" s="33"/>
      <c r="E2497" s="33"/>
      <c r="F2497" s="33"/>
      <c r="G2497" s="33"/>
      <c r="H2497" s="34"/>
      <c r="J2497" s="36"/>
      <c r="K2497" s="36"/>
      <c r="L2497" s="36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8"/>
      <c r="AS2497" s="38"/>
      <c r="AT2497" s="38"/>
      <c r="AU2497" s="33"/>
      <c r="AV2497" s="39"/>
    </row>
    <row r="2498" spans="4:48">
      <c r="D2498" s="33"/>
      <c r="E2498" s="33"/>
      <c r="F2498" s="33"/>
      <c r="G2498" s="33"/>
      <c r="H2498" s="34"/>
      <c r="J2498" s="36"/>
      <c r="K2498" s="36"/>
      <c r="L2498" s="36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8"/>
      <c r="AS2498" s="38"/>
      <c r="AT2498" s="38"/>
      <c r="AU2498" s="33"/>
      <c r="AV2498" s="39"/>
    </row>
    <row r="2499" spans="4:48">
      <c r="D2499" s="33"/>
      <c r="E2499" s="33"/>
      <c r="F2499" s="33"/>
      <c r="G2499" s="33"/>
      <c r="H2499" s="34"/>
      <c r="J2499" s="36"/>
      <c r="K2499" s="36"/>
      <c r="L2499" s="36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8"/>
      <c r="AS2499" s="38"/>
      <c r="AT2499" s="38"/>
      <c r="AU2499" s="33"/>
      <c r="AV2499" s="39"/>
    </row>
    <row r="2500" spans="4:48">
      <c r="D2500" s="33"/>
      <c r="E2500" s="33"/>
      <c r="F2500" s="33"/>
      <c r="G2500" s="33"/>
      <c r="H2500" s="34"/>
      <c r="J2500" s="36"/>
      <c r="K2500" s="36"/>
      <c r="L2500" s="36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8"/>
      <c r="AS2500" s="38"/>
      <c r="AT2500" s="38"/>
      <c r="AU2500" s="33"/>
      <c r="AV2500" s="39"/>
    </row>
    <row r="2501" spans="4:48">
      <c r="D2501" s="33"/>
      <c r="E2501" s="33"/>
      <c r="F2501" s="33"/>
      <c r="G2501" s="33"/>
      <c r="H2501" s="34"/>
      <c r="J2501" s="36"/>
      <c r="K2501" s="36"/>
      <c r="L2501" s="36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8"/>
      <c r="AS2501" s="38"/>
      <c r="AT2501" s="38"/>
      <c r="AU2501" s="33"/>
      <c r="AV2501" s="39"/>
    </row>
    <row r="2502" spans="4:48">
      <c r="D2502" s="33"/>
      <c r="E2502" s="33"/>
      <c r="F2502" s="33"/>
      <c r="G2502" s="33"/>
      <c r="H2502" s="34"/>
      <c r="J2502" s="36"/>
      <c r="K2502" s="36"/>
      <c r="L2502" s="36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8"/>
      <c r="AS2502" s="38"/>
      <c r="AT2502" s="38"/>
      <c r="AU2502" s="33"/>
      <c r="AV2502" s="39"/>
    </row>
    <row r="2503" spans="4:48">
      <c r="D2503" s="33"/>
      <c r="E2503" s="33"/>
      <c r="F2503" s="33"/>
      <c r="G2503" s="33"/>
      <c r="H2503" s="34"/>
      <c r="J2503" s="36"/>
      <c r="K2503" s="36"/>
      <c r="L2503" s="36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8"/>
      <c r="AS2503" s="38"/>
      <c r="AT2503" s="38"/>
      <c r="AU2503" s="33"/>
      <c r="AV2503" s="39"/>
    </row>
    <row r="2504" spans="4:48">
      <c r="D2504" s="33"/>
      <c r="E2504" s="33"/>
      <c r="F2504" s="33"/>
      <c r="G2504" s="33"/>
      <c r="H2504" s="34"/>
      <c r="J2504" s="36"/>
      <c r="K2504" s="36"/>
      <c r="L2504" s="36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8"/>
      <c r="AS2504" s="38"/>
      <c r="AT2504" s="38"/>
      <c r="AU2504" s="33"/>
      <c r="AV2504" s="39"/>
    </row>
    <row r="2505" spans="4:48">
      <c r="D2505" s="33"/>
      <c r="E2505" s="33"/>
      <c r="F2505" s="33"/>
      <c r="G2505" s="33"/>
      <c r="H2505" s="34"/>
      <c r="J2505" s="36"/>
      <c r="K2505" s="36"/>
      <c r="L2505" s="36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8"/>
      <c r="AS2505" s="38"/>
      <c r="AT2505" s="38"/>
      <c r="AU2505" s="33"/>
      <c r="AV2505" s="39"/>
    </row>
    <row r="2506" spans="4:48">
      <c r="D2506" s="33"/>
      <c r="E2506" s="33"/>
      <c r="F2506" s="33"/>
      <c r="G2506" s="33"/>
      <c r="H2506" s="34"/>
      <c r="J2506" s="36"/>
      <c r="K2506" s="36"/>
      <c r="L2506" s="36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8"/>
      <c r="AS2506" s="38"/>
      <c r="AT2506" s="38"/>
      <c r="AU2506" s="33"/>
      <c r="AV2506" s="39"/>
    </row>
    <row r="2507" spans="4:48">
      <c r="D2507" s="33"/>
      <c r="E2507" s="33"/>
      <c r="F2507" s="33"/>
      <c r="G2507" s="33"/>
      <c r="H2507" s="34"/>
      <c r="J2507" s="36"/>
      <c r="K2507" s="36"/>
      <c r="L2507" s="36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8"/>
      <c r="AS2507" s="38"/>
      <c r="AT2507" s="38"/>
      <c r="AU2507" s="33"/>
      <c r="AV2507" s="39"/>
    </row>
    <row r="2508" spans="4:48">
      <c r="D2508" s="33"/>
      <c r="E2508" s="33"/>
      <c r="F2508" s="33"/>
      <c r="G2508" s="33"/>
      <c r="H2508" s="34"/>
      <c r="J2508" s="36"/>
      <c r="K2508" s="36"/>
      <c r="L2508" s="36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8"/>
      <c r="AS2508" s="38"/>
      <c r="AT2508" s="38"/>
      <c r="AU2508" s="33"/>
      <c r="AV2508" s="39"/>
    </row>
    <row r="2509" spans="4:48">
      <c r="D2509" s="33"/>
      <c r="E2509" s="33"/>
      <c r="F2509" s="33"/>
      <c r="G2509" s="33"/>
      <c r="H2509" s="34"/>
      <c r="J2509" s="36"/>
      <c r="K2509" s="36"/>
      <c r="L2509" s="36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8"/>
      <c r="AS2509" s="38"/>
      <c r="AT2509" s="38"/>
      <c r="AU2509" s="33"/>
      <c r="AV2509" s="39"/>
    </row>
    <row r="2510" spans="4:48">
      <c r="D2510" s="33"/>
      <c r="E2510" s="33"/>
      <c r="F2510" s="33"/>
      <c r="G2510" s="33"/>
      <c r="H2510" s="34"/>
      <c r="J2510" s="36"/>
      <c r="K2510" s="36"/>
      <c r="L2510" s="36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8"/>
      <c r="AS2510" s="38"/>
      <c r="AT2510" s="38"/>
      <c r="AU2510" s="33"/>
      <c r="AV2510" s="39"/>
    </row>
    <row r="2511" spans="4:48">
      <c r="D2511" s="33"/>
      <c r="E2511" s="33"/>
      <c r="F2511" s="33"/>
      <c r="G2511" s="33"/>
      <c r="H2511" s="34"/>
      <c r="J2511" s="36"/>
      <c r="K2511" s="36"/>
      <c r="L2511" s="36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8"/>
      <c r="AS2511" s="38"/>
      <c r="AT2511" s="38"/>
      <c r="AU2511" s="33"/>
      <c r="AV2511" s="39"/>
    </row>
    <row r="2512" spans="4:48">
      <c r="D2512" s="33"/>
      <c r="E2512" s="33"/>
      <c r="F2512" s="33"/>
      <c r="G2512" s="33"/>
      <c r="H2512" s="34"/>
      <c r="J2512" s="36"/>
      <c r="K2512" s="36"/>
      <c r="L2512" s="36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8"/>
      <c r="AS2512" s="38"/>
      <c r="AT2512" s="38"/>
      <c r="AU2512" s="33"/>
      <c r="AV2512" s="39"/>
    </row>
    <row r="2513" spans="4:48">
      <c r="D2513" s="33"/>
      <c r="E2513" s="33"/>
      <c r="F2513" s="33"/>
      <c r="G2513" s="33"/>
      <c r="H2513" s="34"/>
      <c r="J2513" s="36"/>
      <c r="K2513" s="36"/>
      <c r="L2513" s="36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8"/>
      <c r="AS2513" s="38"/>
      <c r="AT2513" s="38"/>
      <c r="AU2513" s="33"/>
      <c r="AV2513" s="39"/>
    </row>
    <row r="2514" spans="4:48">
      <c r="D2514" s="33"/>
      <c r="E2514" s="33"/>
      <c r="F2514" s="33"/>
      <c r="G2514" s="33"/>
      <c r="H2514" s="34"/>
      <c r="J2514" s="36"/>
      <c r="K2514" s="36"/>
      <c r="L2514" s="36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8"/>
      <c r="AS2514" s="38"/>
      <c r="AT2514" s="38"/>
      <c r="AU2514" s="33"/>
      <c r="AV2514" s="39"/>
    </row>
    <row r="2515" spans="4:48">
      <c r="D2515" s="33"/>
      <c r="E2515" s="33"/>
      <c r="F2515" s="33"/>
      <c r="G2515" s="33"/>
      <c r="H2515" s="34"/>
      <c r="J2515" s="36"/>
      <c r="K2515" s="36"/>
      <c r="L2515" s="36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8"/>
      <c r="AS2515" s="38"/>
      <c r="AT2515" s="38"/>
      <c r="AU2515" s="33"/>
      <c r="AV2515" s="39"/>
    </row>
    <row r="2516" spans="4:48">
      <c r="D2516" s="33"/>
      <c r="E2516" s="33"/>
      <c r="F2516" s="33"/>
      <c r="G2516" s="33"/>
      <c r="H2516" s="34"/>
      <c r="J2516" s="36"/>
      <c r="K2516" s="36"/>
      <c r="L2516" s="36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8"/>
      <c r="AS2516" s="38"/>
      <c r="AT2516" s="38"/>
      <c r="AU2516" s="33"/>
      <c r="AV2516" s="39"/>
    </row>
    <row r="2517" spans="4:48">
      <c r="D2517" s="33"/>
      <c r="E2517" s="33"/>
      <c r="F2517" s="33"/>
      <c r="G2517" s="33"/>
      <c r="H2517" s="34"/>
      <c r="J2517" s="36"/>
      <c r="K2517" s="36"/>
      <c r="L2517" s="36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8"/>
      <c r="AS2517" s="38"/>
      <c r="AT2517" s="38"/>
      <c r="AU2517" s="33"/>
      <c r="AV2517" s="39"/>
    </row>
    <row r="2518" spans="4:48">
      <c r="D2518" s="33"/>
      <c r="E2518" s="33"/>
      <c r="F2518" s="33"/>
      <c r="G2518" s="33"/>
      <c r="H2518" s="34"/>
      <c r="J2518" s="36"/>
      <c r="K2518" s="36"/>
      <c r="L2518" s="36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8"/>
      <c r="AS2518" s="38"/>
      <c r="AT2518" s="38"/>
      <c r="AU2518" s="33"/>
      <c r="AV2518" s="39"/>
    </row>
    <row r="2519" spans="4:48">
      <c r="D2519" s="33"/>
      <c r="E2519" s="33"/>
      <c r="F2519" s="33"/>
      <c r="G2519" s="33"/>
      <c r="H2519" s="34"/>
      <c r="J2519" s="36"/>
      <c r="K2519" s="36"/>
      <c r="L2519" s="36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8"/>
      <c r="AS2519" s="38"/>
      <c r="AT2519" s="38"/>
      <c r="AU2519" s="33"/>
      <c r="AV2519" s="39"/>
    </row>
    <row r="2520" spans="4:48">
      <c r="D2520" s="33"/>
      <c r="E2520" s="33"/>
      <c r="F2520" s="33"/>
      <c r="G2520" s="33"/>
      <c r="H2520" s="34"/>
      <c r="J2520" s="36"/>
      <c r="K2520" s="36"/>
      <c r="L2520" s="36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8"/>
      <c r="AS2520" s="38"/>
      <c r="AT2520" s="38"/>
      <c r="AU2520" s="33"/>
      <c r="AV2520" s="39"/>
    </row>
    <row r="2521" spans="4:48">
      <c r="D2521" s="33"/>
      <c r="E2521" s="33"/>
      <c r="F2521" s="33"/>
      <c r="G2521" s="33"/>
      <c r="H2521" s="34"/>
      <c r="J2521" s="36"/>
      <c r="K2521" s="36"/>
      <c r="L2521" s="36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8"/>
      <c r="AS2521" s="38"/>
      <c r="AT2521" s="38"/>
      <c r="AU2521" s="33"/>
      <c r="AV2521" s="39"/>
    </row>
    <row r="2522" spans="4:48">
      <c r="D2522" s="33"/>
      <c r="E2522" s="33"/>
      <c r="F2522" s="33"/>
      <c r="G2522" s="33"/>
      <c r="H2522" s="34"/>
      <c r="J2522" s="36"/>
      <c r="K2522" s="36"/>
      <c r="L2522" s="36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8"/>
      <c r="AS2522" s="38"/>
      <c r="AT2522" s="38"/>
      <c r="AU2522" s="33"/>
      <c r="AV2522" s="39"/>
    </row>
    <row r="2523" spans="4:48">
      <c r="D2523" s="33"/>
      <c r="E2523" s="33"/>
      <c r="F2523" s="33"/>
      <c r="G2523" s="33"/>
      <c r="H2523" s="34"/>
      <c r="J2523" s="36"/>
      <c r="K2523" s="36"/>
      <c r="L2523" s="36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8"/>
      <c r="AS2523" s="38"/>
      <c r="AT2523" s="38"/>
      <c r="AU2523" s="33"/>
      <c r="AV2523" s="39"/>
    </row>
    <row r="2524" spans="4:48">
      <c r="D2524" s="33"/>
      <c r="E2524" s="33"/>
      <c r="F2524" s="33"/>
      <c r="G2524" s="33"/>
      <c r="H2524" s="34"/>
      <c r="J2524" s="36"/>
      <c r="K2524" s="36"/>
      <c r="L2524" s="36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8"/>
      <c r="AS2524" s="38"/>
      <c r="AT2524" s="38"/>
      <c r="AU2524" s="33"/>
      <c r="AV2524" s="39"/>
    </row>
    <row r="2525" spans="4:48">
      <c r="D2525" s="33"/>
      <c r="E2525" s="33"/>
      <c r="F2525" s="33"/>
      <c r="G2525" s="33"/>
      <c r="H2525" s="34"/>
      <c r="J2525" s="36"/>
      <c r="K2525" s="36"/>
      <c r="L2525" s="36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8"/>
      <c r="AS2525" s="38"/>
      <c r="AT2525" s="38"/>
      <c r="AU2525" s="33"/>
      <c r="AV2525" s="39"/>
    </row>
    <row r="2526" spans="4:48">
      <c r="D2526" s="33"/>
      <c r="E2526" s="33"/>
      <c r="F2526" s="33"/>
      <c r="G2526" s="33"/>
      <c r="H2526" s="34"/>
      <c r="J2526" s="36"/>
      <c r="K2526" s="36"/>
      <c r="L2526" s="36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8"/>
      <c r="AS2526" s="38"/>
      <c r="AT2526" s="38"/>
      <c r="AU2526" s="33"/>
      <c r="AV2526" s="39"/>
    </row>
    <row r="2527" spans="4:48">
      <c r="D2527" s="33"/>
      <c r="E2527" s="33"/>
      <c r="F2527" s="33"/>
      <c r="G2527" s="33"/>
      <c r="H2527" s="34"/>
      <c r="J2527" s="36"/>
      <c r="K2527" s="36"/>
      <c r="L2527" s="36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8"/>
      <c r="AS2527" s="38"/>
      <c r="AT2527" s="38"/>
      <c r="AU2527" s="33"/>
      <c r="AV2527" s="39"/>
    </row>
    <row r="2528" spans="4:48">
      <c r="D2528" s="33"/>
      <c r="E2528" s="33"/>
      <c r="F2528" s="33"/>
      <c r="G2528" s="33"/>
      <c r="H2528" s="34"/>
      <c r="J2528" s="36"/>
      <c r="K2528" s="36"/>
      <c r="L2528" s="36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8"/>
      <c r="AS2528" s="38"/>
      <c r="AT2528" s="38"/>
      <c r="AU2528" s="33"/>
      <c r="AV2528" s="39"/>
    </row>
    <row r="2529" spans="4:48">
      <c r="D2529" s="33"/>
      <c r="E2529" s="33"/>
      <c r="F2529" s="33"/>
      <c r="G2529" s="33"/>
      <c r="H2529" s="34"/>
      <c r="J2529" s="36"/>
      <c r="K2529" s="36"/>
      <c r="L2529" s="36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8"/>
      <c r="AS2529" s="38"/>
      <c r="AT2529" s="38"/>
      <c r="AU2529" s="33"/>
      <c r="AV2529" s="39"/>
    </row>
    <row r="2530" spans="4:48">
      <c r="D2530" s="33"/>
      <c r="E2530" s="33"/>
      <c r="F2530" s="33"/>
      <c r="G2530" s="33"/>
      <c r="H2530" s="34"/>
      <c r="J2530" s="36"/>
      <c r="K2530" s="36"/>
      <c r="L2530" s="36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8"/>
      <c r="AS2530" s="38"/>
      <c r="AT2530" s="38"/>
      <c r="AU2530" s="33"/>
      <c r="AV2530" s="39"/>
    </row>
    <row r="2531" spans="4:48">
      <c r="D2531" s="33"/>
      <c r="E2531" s="33"/>
      <c r="F2531" s="33"/>
      <c r="G2531" s="33"/>
      <c r="H2531" s="34"/>
      <c r="J2531" s="36"/>
      <c r="K2531" s="36"/>
      <c r="L2531" s="36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8"/>
      <c r="AS2531" s="38"/>
      <c r="AT2531" s="38"/>
      <c r="AU2531" s="33"/>
      <c r="AV2531" s="39"/>
    </row>
    <row r="2532" spans="4:48">
      <c r="D2532" s="33"/>
      <c r="E2532" s="33"/>
      <c r="F2532" s="33"/>
      <c r="G2532" s="33"/>
      <c r="H2532" s="34"/>
      <c r="J2532" s="36"/>
      <c r="K2532" s="36"/>
      <c r="L2532" s="36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8"/>
      <c r="AS2532" s="38"/>
      <c r="AT2532" s="38"/>
      <c r="AU2532" s="33"/>
      <c r="AV2532" s="39"/>
    </row>
    <row r="2533" spans="4:48">
      <c r="D2533" s="33"/>
      <c r="E2533" s="33"/>
      <c r="F2533" s="33"/>
      <c r="G2533" s="33"/>
      <c r="H2533" s="34"/>
      <c r="J2533" s="36"/>
      <c r="K2533" s="36"/>
      <c r="L2533" s="36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8"/>
      <c r="AS2533" s="38"/>
      <c r="AT2533" s="38"/>
      <c r="AU2533" s="33"/>
      <c r="AV2533" s="39"/>
    </row>
    <row r="2534" spans="4:48">
      <c r="D2534" s="33"/>
      <c r="E2534" s="33"/>
      <c r="F2534" s="33"/>
      <c r="G2534" s="33"/>
      <c r="H2534" s="34"/>
      <c r="J2534" s="36"/>
      <c r="K2534" s="36"/>
      <c r="L2534" s="36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8"/>
      <c r="AS2534" s="38"/>
      <c r="AT2534" s="38"/>
      <c r="AU2534" s="33"/>
      <c r="AV2534" s="39"/>
    </row>
    <row r="2535" spans="4:48">
      <c r="D2535" s="33"/>
      <c r="E2535" s="33"/>
      <c r="F2535" s="33"/>
      <c r="G2535" s="33"/>
      <c r="H2535" s="34"/>
      <c r="J2535" s="36"/>
      <c r="K2535" s="36"/>
      <c r="L2535" s="36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8"/>
      <c r="AS2535" s="38"/>
      <c r="AT2535" s="38"/>
      <c r="AU2535" s="33"/>
      <c r="AV2535" s="39"/>
    </row>
    <row r="2536" spans="4:48">
      <c r="D2536" s="33"/>
      <c r="E2536" s="33"/>
      <c r="F2536" s="33"/>
      <c r="G2536" s="33"/>
      <c r="H2536" s="34"/>
      <c r="J2536" s="36"/>
      <c r="K2536" s="36"/>
      <c r="L2536" s="36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8"/>
      <c r="AS2536" s="38"/>
      <c r="AT2536" s="38"/>
      <c r="AU2536" s="33"/>
      <c r="AV2536" s="39"/>
    </row>
    <row r="2537" spans="4:48">
      <c r="D2537" s="33"/>
      <c r="E2537" s="33"/>
      <c r="F2537" s="33"/>
      <c r="G2537" s="33"/>
      <c r="H2537" s="34"/>
      <c r="J2537" s="36"/>
      <c r="K2537" s="36"/>
      <c r="L2537" s="36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8"/>
      <c r="AS2537" s="38"/>
      <c r="AT2537" s="38"/>
      <c r="AU2537" s="33"/>
      <c r="AV2537" s="39"/>
    </row>
    <row r="2538" spans="4:48">
      <c r="D2538" s="33"/>
      <c r="E2538" s="33"/>
      <c r="F2538" s="33"/>
      <c r="G2538" s="33"/>
      <c r="H2538" s="34"/>
      <c r="J2538" s="36"/>
      <c r="K2538" s="36"/>
      <c r="L2538" s="36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8"/>
      <c r="AS2538" s="38"/>
      <c r="AT2538" s="38"/>
      <c r="AU2538" s="33"/>
      <c r="AV2538" s="39"/>
    </row>
    <row r="2539" spans="4:48">
      <c r="D2539" s="33"/>
      <c r="E2539" s="33"/>
      <c r="F2539" s="33"/>
      <c r="G2539" s="33"/>
      <c r="H2539" s="34"/>
      <c r="J2539" s="36"/>
      <c r="K2539" s="36"/>
      <c r="L2539" s="36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8"/>
      <c r="AS2539" s="38"/>
      <c r="AT2539" s="38"/>
      <c r="AU2539" s="33"/>
      <c r="AV2539" s="39"/>
    </row>
    <row r="2540" spans="4:48">
      <c r="D2540" s="33"/>
      <c r="E2540" s="33"/>
      <c r="F2540" s="33"/>
      <c r="G2540" s="33"/>
      <c r="H2540" s="34"/>
      <c r="J2540" s="36"/>
      <c r="K2540" s="36"/>
      <c r="L2540" s="36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8"/>
      <c r="AS2540" s="38"/>
      <c r="AT2540" s="38"/>
      <c r="AU2540" s="33"/>
      <c r="AV2540" s="39"/>
    </row>
    <row r="2541" spans="4:48">
      <c r="D2541" s="33"/>
      <c r="E2541" s="33"/>
      <c r="F2541" s="33"/>
      <c r="G2541" s="33"/>
      <c r="H2541" s="34"/>
      <c r="J2541" s="36"/>
      <c r="K2541" s="36"/>
      <c r="L2541" s="36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8"/>
      <c r="AS2541" s="38"/>
      <c r="AT2541" s="38"/>
      <c r="AU2541" s="33"/>
      <c r="AV2541" s="39"/>
    </row>
    <row r="2542" spans="4:48">
      <c r="D2542" s="33"/>
      <c r="E2542" s="33"/>
      <c r="F2542" s="33"/>
      <c r="G2542" s="33"/>
      <c r="H2542" s="34"/>
      <c r="J2542" s="36"/>
      <c r="K2542" s="36"/>
      <c r="L2542" s="36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8"/>
      <c r="AS2542" s="38"/>
      <c r="AT2542" s="38"/>
      <c r="AU2542" s="33"/>
      <c r="AV2542" s="39"/>
    </row>
    <row r="2543" spans="4:48">
      <c r="D2543" s="33"/>
      <c r="E2543" s="33"/>
      <c r="F2543" s="33"/>
      <c r="G2543" s="33"/>
      <c r="H2543" s="34"/>
      <c r="J2543" s="36"/>
      <c r="K2543" s="36"/>
      <c r="L2543" s="36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8"/>
      <c r="AS2543" s="38"/>
      <c r="AT2543" s="38"/>
      <c r="AU2543" s="33"/>
      <c r="AV2543" s="39"/>
    </row>
    <row r="2544" spans="4:48">
      <c r="D2544" s="33"/>
      <c r="E2544" s="33"/>
      <c r="F2544" s="33"/>
      <c r="G2544" s="33"/>
      <c r="H2544" s="34"/>
      <c r="J2544" s="36"/>
      <c r="K2544" s="36"/>
      <c r="L2544" s="36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8"/>
      <c r="AS2544" s="38"/>
      <c r="AT2544" s="38"/>
      <c r="AU2544" s="33"/>
      <c r="AV2544" s="39"/>
    </row>
    <row r="2545" spans="4:48">
      <c r="D2545" s="33"/>
      <c r="E2545" s="33"/>
      <c r="F2545" s="33"/>
      <c r="G2545" s="33"/>
      <c r="H2545" s="34"/>
      <c r="J2545" s="36"/>
      <c r="K2545" s="36"/>
      <c r="L2545" s="36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8"/>
      <c r="AS2545" s="38"/>
      <c r="AT2545" s="38"/>
      <c r="AU2545" s="33"/>
      <c r="AV2545" s="39"/>
    </row>
    <row r="2546" spans="4:48">
      <c r="D2546" s="33"/>
      <c r="E2546" s="33"/>
      <c r="F2546" s="33"/>
      <c r="G2546" s="33"/>
      <c r="H2546" s="34"/>
      <c r="J2546" s="36"/>
      <c r="K2546" s="36"/>
      <c r="L2546" s="36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8"/>
      <c r="AS2546" s="38"/>
      <c r="AT2546" s="38"/>
      <c r="AU2546" s="33"/>
      <c r="AV2546" s="39"/>
    </row>
    <row r="2547" spans="4:48">
      <c r="D2547" s="33"/>
      <c r="E2547" s="33"/>
      <c r="F2547" s="33"/>
      <c r="G2547" s="33"/>
      <c r="H2547" s="34"/>
      <c r="J2547" s="36"/>
      <c r="K2547" s="36"/>
      <c r="L2547" s="36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8"/>
      <c r="AS2547" s="38"/>
      <c r="AT2547" s="38"/>
      <c r="AU2547" s="33"/>
      <c r="AV2547" s="39"/>
    </row>
    <row r="2548" spans="4:48">
      <c r="D2548" s="33"/>
      <c r="E2548" s="33"/>
      <c r="F2548" s="33"/>
      <c r="G2548" s="33"/>
      <c r="H2548" s="34"/>
      <c r="J2548" s="36"/>
      <c r="K2548" s="36"/>
      <c r="L2548" s="36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8"/>
      <c r="AS2548" s="38"/>
      <c r="AT2548" s="38"/>
      <c r="AU2548" s="33"/>
      <c r="AV2548" s="39"/>
    </row>
    <row r="2549" spans="4:48">
      <c r="D2549" s="33"/>
      <c r="E2549" s="33"/>
      <c r="F2549" s="33"/>
      <c r="G2549" s="33"/>
      <c r="H2549" s="34"/>
      <c r="J2549" s="36"/>
      <c r="K2549" s="36"/>
      <c r="L2549" s="36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8"/>
      <c r="AS2549" s="38"/>
      <c r="AT2549" s="38"/>
      <c r="AU2549" s="33"/>
      <c r="AV2549" s="39"/>
    </row>
    <row r="2550" spans="4:48">
      <c r="D2550" s="33"/>
      <c r="E2550" s="33"/>
      <c r="F2550" s="33"/>
      <c r="G2550" s="33"/>
      <c r="H2550" s="34"/>
      <c r="J2550" s="36"/>
      <c r="K2550" s="36"/>
      <c r="L2550" s="36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8"/>
      <c r="AS2550" s="38"/>
      <c r="AT2550" s="38"/>
      <c r="AU2550" s="33"/>
      <c r="AV2550" s="39"/>
    </row>
    <row r="2551" spans="4:48">
      <c r="D2551" s="33"/>
      <c r="E2551" s="33"/>
      <c r="F2551" s="33"/>
      <c r="G2551" s="33"/>
      <c r="H2551" s="34"/>
      <c r="J2551" s="36"/>
      <c r="K2551" s="36"/>
      <c r="L2551" s="36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8"/>
      <c r="AS2551" s="38"/>
      <c r="AT2551" s="38"/>
      <c r="AU2551" s="33"/>
      <c r="AV2551" s="39"/>
    </row>
    <row r="2552" spans="4:48">
      <c r="D2552" s="33"/>
      <c r="E2552" s="33"/>
      <c r="F2552" s="33"/>
      <c r="G2552" s="33"/>
      <c r="H2552" s="34"/>
      <c r="J2552" s="36"/>
      <c r="K2552" s="36"/>
      <c r="L2552" s="36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8"/>
      <c r="AS2552" s="38"/>
      <c r="AT2552" s="38"/>
      <c r="AU2552" s="33"/>
      <c r="AV2552" s="39"/>
    </row>
    <row r="2553" spans="4:48">
      <c r="D2553" s="33"/>
      <c r="E2553" s="33"/>
      <c r="F2553" s="33"/>
      <c r="G2553" s="33"/>
      <c r="H2553" s="34"/>
      <c r="J2553" s="36"/>
      <c r="K2553" s="36"/>
      <c r="L2553" s="36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8"/>
      <c r="AS2553" s="38"/>
      <c r="AT2553" s="38"/>
      <c r="AU2553" s="33"/>
      <c r="AV2553" s="39"/>
    </row>
    <row r="2554" spans="4:48">
      <c r="D2554" s="33"/>
      <c r="E2554" s="33"/>
      <c r="F2554" s="33"/>
      <c r="G2554" s="33"/>
      <c r="H2554" s="34"/>
      <c r="J2554" s="36"/>
      <c r="K2554" s="36"/>
      <c r="L2554" s="36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8"/>
      <c r="AS2554" s="38"/>
      <c r="AT2554" s="38"/>
      <c r="AU2554" s="33"/>
      <c r="AV2554" s="39"/>
    </row>
    <row r="2555" spans="4:48">
      <c r="D2555" s="33"/>
      <c r="E2555" s="33"/>
      <c r="F2555" s="33"/>
      <c r="G2555" s="33"/>
      <c r="H2555" s="34"/>
      <c r="J2555" s="36"/>
      <c r="K2555" s="36"/>
      <c r="L2555" s="36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8"/>
      <c r="AS2555" s="38"/>
      <c r="AT2555" s="38"/>
      <c r="AU2555" s="33"/>
      <c r="AV2555" s="39"/>
    </row>
    <row r="2556" spans="4:48">
      <c r="D2556" s="33"/>
      <c r="E2556" s="33"/>
      <c r="F2556" s="33"/>
      <c r="G2556" s="33"/>
      <c r="H2556" s="34"/>
      <c r="J2556" s="36"/>
      <c r="K2556" s="36"/>
      <c r="L2556" s="36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8"/>
      <c r="AS2556" s="38"/>
      <c r="AT2556" s="38"/>
      <c r="AU2556" s="33"/>
      <c r="AV2556" s="39"/>
    </row>
    <row r="2557" spans="4:48">
      <c r="D2557" s="33"/>
      <c r="E2557" s="33"/>
      <c r="F2557" s="33"/>
      <c r="G2557" s="33"/>
      <c r="H2557" s="34"/>
      <c r="J2557" s="36"/>
      <c r="K2557" s="36"/>
      <c r="L2557" s="36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8"/>
      <c r="AS2557" s="38"/>
      <c r="AT2557" s="38"/>
      <c r="AU2557" s="33"/>
      <c r="AV2557" s="39"/>
    </row>
    <row r="2558" spans="4:48">
      <c r="D2558" s="33"/>
      <c r="E2558" s="33"/>
      <c r="F2558" s="33"/>
      <c r="G2558" s="33"/>
      <c r="H2558" s="34"/>
      <c r="J2558" s="36"/>
      <c r="K2558" s="36"/>
      <c r="L2558" s="36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8"/>
      <c r="AS2558" s="38"/>
      <c r="AT2558" s="38"/>
      <c r="AU2558" s="33"/>
      <c r="AV2558" s="39"/>
    </row>
    <row r="2559" spans="4:48">
      <c r="D2559" s="33"/>
      <c r="E2559" s="33"/>
      <c r="F2559" s="33"/>
      <c r="G2559" s="33"/>
      <c r="H2559" s="34"/>
      <c r="J2559" s="36"/>
      <c r="K2559" s="36"/>
      <c r="L2559" s="36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8"/>
      <c r="AS2559" s="38"/>
      <c r="AT2559" s="38"/>
      <c r="AU2559" s="33"/>
      <c r="AV2559" s="39"/>
    </row>
    <row r="2560" spans="4:48">
      <c r="D2560" s="33"/>
      <c r="E2560" s="33"/>
      <c r="F2560" s="33"/>
      <c r="G2560" s="33"/>
      <c r="H2560" s="34"/>
      <c r="J2560" s="36"/>
      <c r="K2560" s="36"/>
      <c r="L2560" s="36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8"/>
      <c r="AS2560" s="38"/>
      <c r="AT2560" s="38"/>
      <c r="AU2560" s="33"/>
      <c r="AV2560" s="39"/>
    </row>
    <row r="2561" spans="4:48">
      <c r="D2561" s="33"/>
      <c r="E2561" s="33"/>
      <c r="F2561" s="33"/>
      <c r="G2561" s="33"/>
      <c r="H2561" s="34"/>
      <c r="J2561" s="36"/>
      <c r="K2561" s="36"/>
      <c r="L2561" s="36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8"/>
      <c r="AS2561" s="38"/>
      <c r="AT2561" s="38"/>
      <c r="AU2561" s="33"/>
      <c r="AV2561" s="39"/>
    </row>
    <row r="2562" spans="4:48">
      <c r="D2562" s="33"/>
      <c r="E2562" s="33"/>
      <c r="F2562" s="33"/>
      <c r="G2562" s="33"/>
      <c r="H2562" s="34"/>
      <c r="J2562" s="36"/>
      <c r="K2562" s="36"/>
      <c r="L2562" s="36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8"/>
      <c r="AS2562" s="38"/>
      <c r="AT2562" s="38"/>
      <c r="AU2562" s="33"/>
      <c r="AV2562" s="39"/>
    </row>
    <row r="2563" spans="4:48">
      <c r="D2563" s="33"/>
      <c r="E2563" s="33"/>
      <c r="F2563" s="33"/>
      <c r="G2563" s="33"/>
      <c r="H2563" s="34"/>
      <c r="J2563" s="36"/>
      <c r="K2563" s="36"/>
      <c r="L2563" s="36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8"/>
      <c r="AS2563" s="38"/>
      <c r="AT2563" s="38"/>
      <c r="AU2563" s="33"/>
      <c r="AV2563" s="39"/>
    </row>
    <row r="2564" spans="4:48">
      <c r="D2564" s="33"/>
      <c r="E2564" s="33"/>
      <c r="F2564" s="33"/>
      <c r="G2564" s="33"/>
      <c r="H2564" s="34"/>
      <c r="J2564" s="36"/>
      <c r="K2564" s="36"/>
      <c r="L2564" s="36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8"/>
      <c r="AS2564" s="38"/>
      <c r="AT2564" s="38"/>
      <c r="AU2564" s="33"/>
      <c r="AV2564" s="39"/>
    </row>
    <row r="2565" spans="4:48">
      <c r="D2565" s="33"/>
      <c r="E2565" s="33"/>
      <c r="F2565" s="33"/>
      <c r="G2565" s="33"/>
      <c r="H2565" s="34"/>
      <c r="J2565" s="36"/>
      <c r="K2565" s="36"/>
      <c r="L2565" s="36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8"/>
      <c r="AS2565" s="38"/>
      <c r="AT2565" s="38"/>
      <c r="AU2565" s="33"/>
      <c r="AV2565" s="39"/>
    </row>
    <row r="2566" spans="4:48">
      <c r="D2566" s="33"/>
      <c r="E2566" s="33"/>
      <c r="F2566" s="33"/>
      <c r="G2566" s="33"/>
      <c r="H2566" s="34"/>
      <c r="J2566" s="36"/>
      <c r="K2566" s="36"/>
      <c r="L2566" s="36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8"/>
      <c r="AS2566" s="38"/>
      <c r="AT2566" s="38"/>
      <c r="AU2566" s="33"/>
      <c r="AV2566" s="39"/>
    </row>
    <row r="2567" spans="4:48">
      <c r="D2567" s="33"/>
      <c r="E2567" s="33"/>
      <c r="F2567" s="33"/>
      <c r="G2567" s="33"/>
      <c r="H2567" s="34"/>
      <c r="J2567" s="36"/>
      <c r="K2567" s="36"/>
      <c r="L2567" s="36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8"/>
      <c r="AS2567" s="38"/>
      <c r="AT2567" s="38"/>
      <c r="AU2567" s="33"/>
      <c r="AV2567" s="39"/>
    </row>
    <row r="2568" spans="4:48">
      <c r="D2568" s="33"/>
      <c r="E2568" s="33"/>
      <c r="F2568" s="33"/>
      <c r="G2568" s="33"/>
      <c r="H2568" s="34"/>
      <c r="J2568" s="36"/>
      <c r="K2568" s="36"/>
      <c r="L2568" s="36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8"/>
      <c r="AS2568" s="38"/>
      <c r="AT2568" s="38"/>
      <c r="AU2568" s="33"/>
      <c r="AV2568" s="39"/>
    </row>
    <row r="2569" spans="4:48">
      <c r="D2569" s="33"/>
      <c r="E2569" s="33"/>
      <c r="F2569" s="33"/>
      <c r="G2569" s="33"/>
      <c r="H2569" s="34"/>
      <c r="J2569" s="36"/>
      <c r="K2569" s="36"/>
      <c r="L2569" s="36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8"/>
      <c r="AS2569" s="38"/>
      <c r="AT2569" s="38"/>
      <c r="AU2569" s="33"/>
      <c r="AV2569" s="39"/>
    </row>
    <row r="2570" spans="4:48">
      <c r="D2570" s="33"/>
      <c r="E2570" s="33"/>
      <c r="F2570" s="33"/>
      <c r="G2570" s="33"/>
      <c r="H2570" s="34"/>
      <c r="J2570" s="36"/>
      <c r="K2570" s="36"/>
      <c r="L2570" s="36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8"/>
      <c r="AS2570" s="38"/>
      <c r="AT2570" s="38"/>
      <c r="AU2570" s="33"/>
      <c r="AV2570" s="39"/>
    </row>
    <row r="2571" spans="4:48">
      <c r="D2571" s="33"/>
      <c r="E2571" s="33"/>
      <c r="F2571" s="33"/>
      <c r="G2571" s="33"/>
      <c r="H2571" s="34"/>
      <c r="J2571" s="36"/>
      <c r="K2571" s="36"/>
      <c r="L2571" s="36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8"/>
      <c r="AS2571" s="38"/>
      <c r="AT2571" s="38"/>
      <c r="AU2571" s="33"/>
      <c r="AV2571" s="39"/>
    </row>
    <row r="2572" spans="4:48">
      <c r="D2572" s="33"/>
      <c r="E2572" s="33"/>
      <c r="F2572" s="33"/>
      <c r="G2572" s="33"/>
      <c r="H2572" s="34"/>
      <c r="J2572" s="36"/>
      <c r="K2572" s="36"/>
      <c r="L2572" s="36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8"/>
      <c r="AS2572" s="38"/>
      <c r="AT2572" s="38"/>
      <c r="AU2572" s="33"/>
      <c r="AV2572" s="39"/>
    </row>
    <row r="2573" spans="4:48">
      <c r="D2573" s="33"/>
      <c r="E2573" s="33"/>
      <c r="F2573" s="33"/>
      <c r="G2573" s="33"/>
      <c r="H2573" s="34"/>
      <c r="J2573" s="36"/>
      <c r="K2573" s="36"/>
      <c r="L2573" s="36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8"/>
      <c r="AS2573" s="38"/>
      <c r="AT2573" s="38"/>
      <c r="AU2573" s="33"/>
      <c r="AV2573" s="39"/>
    </row>
    <row r="2574" spans="4:48">
      <c r="D2574" s="33"/>
      <c r="E2574" s="33"/>
      <c r="F2574" s="33"/>
      <c r="G2574" s="33"/>
      <c r="H2574" s="34"/>
      <c r="J2574" s="36"/>
      <c r="K2574" s="36"/>
      <c r="L2574" s="36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8"/>
      <c r="AS2574" s="38"/>
      <c r="AT2574" s="38"/>
      <c r="AU2574" s="33"/>
      <c r="AV2574" s="39"/>
    </row>
    <row r="2575" spans="4:48">
      <c r="D2575" s="33"/>
      <c r="E2575" s="33"/>
      <c r="F2575" s="33"/>
      <c r="G2575" s="33"/>
      <c r="H2575" s="34"/>
      <c r="J2575" s="36"/>
      <c r="K2575" s="36"/>
      <c r="L2575" s="36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8"/>
      <c r="AS2575" s="38"/>
      <c r="AT2575" s="38"/>
      <c r="AU2575" s="33"/>
      <c r="AV2575" s="39"/>
    </row>
    <row r="2576" spans="4:48">
      <c r="D2576" s="33"/>
      <c r="E2576" s="33"/>
      <c r="F2576" s="33"/>
      <c r="G2576" s="33"/>
      <c r="H2576" s="34"/>
      <c r="J2576" s="36"/>
      <c r="K2576" s="36"/>
      <c r="L2576" s="36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8"/>
      <c r="AS2576" s="38"/>
      <c r="AT2576" s="38"/>
      <c r="AU2576" s="33"/>
      <c r="AV2576" s="39"/>
    </row>
    <row r="2577" spans="4:48">
      <c r="D2577" s="33"/>
      <c r="E2577" s="33"/>
      <c r="F2577" s="33"/>
      <c r="G2577" s="33"/>
      <c r="H2577" s="34"/>
      <c r="J2577" s="36"/>
      <c r="K2577" s="36"/>
      <c r="L2577" s="36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8"/>
      <c r="AS2577" s="38"/>
      <c r="AT2577" s="38"/>
      <c r="AU2577" s="33"/>
      <c r="AV2577" s="39"/>
    </row>
    <row r="2578" spans="4:48">
      <c r="D2578" s="33"/>
      <c r="E2578" s="33"/>
      <c r="F2578" s="33"/>
      <c r="G2578" s="33"/>
      <c r="H2578" s="34"/>
      <c r="J2578" s="36"/>
      <c r="K2578" s="36"/>
      <c r="L2578" s="36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8"/>
      <c r="AS2578" s="38"/>
      <c r="AT2578" s="38"/>
      <c r="AU2578" s="33"/>
      <c r="AV2578" s="39"/>
    </row>
    <row r="2579" spans="4:48">
      <c r="D2579" s="33"/>
      <c r="E2579" s="33"/>
      <c r="F2579" s="33"/>
      <c r="G2579" s="33"/>
      <c r="H2579" s="34"/>
      <c r="J2579" s="36"/>
      <c r="K2579" s="36"/>
      <c r="L2579" s="36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8"/>
      <c r="AS2579" s="38"/>
      <c r="AT2579" s="38"/>
      <c r="AU2579" s="33"/>
      <c r="AV2579" s="39"/>
    </row>
    <row r="2580" spans="4:48">
      <c r="D2580" s="33"/>
      <c r="E2580" s="33"/>
      <c r="F2580" s="33"/>
      <c r="G2580" s="33"/>
      <c r="H2580" s="34"/>
      <c r="J2580" s="36"/>
      <c r="K2580" s="36"/>
      <c r="L2580" s="36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8"/>
      <c r="AS2580" s="38"/>
      <c r="AT2580" s="38"/>
      <c r="AU2580" s="33"/>
      <c r="AV2580" s="39"/>
    </row>
    <row r="2581" spans="4:48">
      <c r="D2581" s="33"/>
      <c r="E2581" s="33"/>
      <c r="F2581" s="33"/>
      <c r="G2581" s="33"/>
      <c r="H2581" s="34"/>
      <c r="J2581" s="36"/>
      <c r="K2581" s="36"/>
      <c r="L2581" s="36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8"/>
      <c r="AS2581" s="38"/>
      <c r="AT2581" s="38"/>
      <c r="AU2581" s="33"/>
      <c r="AV2581" s="39"/>
    </row>
    <row r="2582" spans="4:48">
      <c r="D2582" s="33"/>
      <c r="E2582" s="33"/>
      <c r="F2582" s="33"/>
      <c r="G2582" s="33"/>
      <c r="H2582" s="34"/>
      <c r="J2582" s="36"/>
      <c r="K2582" s="36"/>
      <c r="L2582" s="36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8"/>
      <c r="AS2582" s="38"/>
      <c r="AT2582" s="38"/>
      <c r="AU2582" s="33"/>
      <c r="AV2582" s="39"/>
    </row>
    <row r="2583" spans="4:48">
      <c r="D2583" s="33"/>
      <c r="E2583" s="33"/>
      <c r="F2583" s="33"/>
      <c r="G2583" s="33"/>
      <c r="H2583" s="34"/>
      <c r="J2583" s="36"/>
      <c r="K2583" s="36"/>
      <c r="L2583" s="36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8"/>
      <c r="AS2583" s="38"/>
      <c r="AT2583" s="38"/>
      <c r="AU2583" s="33"/>
      <c r="AV2583" s="39"/>
    </row>
    <row r="2584" spans="4:48">
      <c r="D2584" s="33"/>
      <c r="E2584" s="33"/>
      <c r="F2584" s="33"/>
      <c r="G2584" s="33"/>
      <c r="H2584" s="34"/>
      <c r="J2584" s="36"/>
      <c r="K2584" s="36"/>
      <c r="L2584" s="36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8"/>
      <c r="AS2584" s="38"/>
      <c r="AT2584" s="38"/>
      <c r="AU2584" s="33"/>
      <c r="AV2584" s="39"/>
    </row>
    <row r="2585" spans="4:48">
      <c r="D2585" s="33"/>
      <c r="E2585" s="33"/>
      <c r="F2585" s="33"/>
      <c r="G2585" s="33"/>
      <c r="H2585" s="34"/>
      <c r="J2585" s="36"/>
      <c r="K2585" s="36"/>
      <c r="L2585" s="36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8"/>
      <c r="AS2585" s="38"/>
      <c r="AT2585" s="38"/>
      <c r="AU2585" s="33"/>
      <c r="AV2585" s="39"/>
    </row>
    <row r="2586" spans="4:48">
      <c r="D2586" s="33"/>
      <c r="E2586" s="33"/>
      <c r="F2586" s="33"/>
      <c r="G2586" s="33"/>
      <c r="H2586" s="34"/>
      <c r="J2586" s="36"/>
      <c r="K2586" s="36"/>
      <c r="L2586" s="36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8"/>
      <c r="AS2586" s="38"/>
      <c r="AT2586" s="38"/>
      <c r="AU2586" s="33"/>
      <c r="AV2586" s="39"/>
    </row>
    <row r="2587" spans="4:48">
      <c r="D2587" s="33"/>
      <c r="E2587" s="33"/>
      <c r="F2587" s="33"/>
      <c r="G2587" s="33"/>
      <c r="H2587" s="34"/>
      <c r="J2587" s="36"/>
      <c r="K2587" s="36"/>
      <c r="L2587" s="36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8"/>
      <c r="AS2587" s="38"/>
      <c r="AT2587" s="38"/>
      <c r="AU2587" s="33"/>
      <c r="AV2587" s="39"/>
    </row>
    <row r="2588" spans="4:48">
      <c r="D2588" s="33"/>
      <c r="E2588" s="33"/>
      <c r="F2588" s="33"/>
      <c r="G2588" s="33"/>
      <c r="H2588" s="34"/>
      <c r="J2588" s="36"/>
      <c r="K2588" s="36"/>
      <c r="L2588" s="36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8"/>
      <c r="AS2588" s="38"/>
      <c r="AT2588" s="38"/>
      <c r="AU2588" s="33"/>
      <c r="AV2588" s="39"/>
    </row>
    <row r="2589" spans="4:48">
      <c r="D2589" s="33"/>
      <c r="E2589" s="33"/>
      <c r="F2589" s="33"/>
      <c r="G2589" s="33"/>
      <c r="H2589" s="34"/>
      <c r="J2589" s="36"/>
      <c r="K2589" s="36"/>
      <c r="L2589" s="36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8"/>
      <c r="AS2589" s="38"/>
      <c r="AT2589" s="38"/>
      <c r="AU2589" s="33"/>
      <c r="AV2589" s="39"/>
    </row>
    <row r="2590" spans="4:48">
      <c r="D2590" s="33"/>
      <c r="E2590" s="33"/>
      <c r="F2590" s="33"/>
      <c r="G2590" s="33"/>
      <c r="H2590" s="34"/>
      <c r="J2590" s="36"/>
      <c r="K2590" s="36"/>
      <c r="L2590" s="36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8"/>
      <c r="AS2590" s="38"/>
      <c r="AT2590" s="38"/>
      <c r="AU2590" s="33"/>
      <c r="AV2590" s="39"/>
    </row>
    <row r="2591" spans="4:48">
      <c r="D2591" s="33"/>
      <c r="E2591" s="33"/>
      <c r="F2591" s="33"/>
      <c r="G2591" s="33"/>
      <c r="H2591" s="34"/>
      <c r="J2591" s="36"/>
      <c r="K2591" s="36"/>
      <c r="L2591" s="36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8"/>
      <c r="AS2591" s="38"/>
      <c r="AT2591" s="38"/>
      <c r="AU2591" s="33"/>
      <c r="AV2591" s="39"/>
    </row>
    <row r="2592" spans="4:48">
      <c r="D2592" s="33"/>
      <c r="E2592" s="33"/>
      <c r="F2592" s="33"/>
      <c r="G2592" s="33"/>
      <c r="H2592" s="34"/>
      <c r="J2592" s="36"/>
      <c r="K2592" s="36"/>
      <c r="L2592" s="36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8"/>
      <c r="AS2592" s="38"/>
      <c r="AT2592" s="38"/>
      <c r="AU2592" s="33"/>
      <c r="AV2592" s="39"/>
    </row>
    <row r="2593" spans="4:48">
      <c r="D2593" s="33"/>
      <c r="E2593" s="33"/>
      <c r="F2593" s="33"/>
      <c r="G2593" s="33"/>
      <c r="H2593" s="34"/>
      <c r="J2593" s="36"/>
      <c r="K2593" s="36"/>
      <c r="L2593" s="36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8"/>
      <c r="AS2593" s="38"/>
      <c r="AT2593" s="38"/>
      <c r="AU2593" s="33"/>
      <c r="AV2593" s="39"/>
    </row>
    <row r="2594" spans="4:48">
      <c r="D2594" s="33"/>
      <c r="E2594" s="33"/>
      <c r="F2594" s="33"/>
      <c r="G2594" s="33"/>
      <c r="H2594" s="34"/>
      <c r="J2594" s="36"/>
      <c r="K2594" s="36"/>
      <c r="L2594" s="36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8"/>
      <c r="AS2594" s="38"/>
      <c r="AT2594" s="38"/>
      <c r="AU2594" s="33"/>
      <c r="AV2594" s="39"/>
    </row>
    <row r="2595" spans="4:48">
      <c r="D2595" s="33"/>
      <c r="E2595" s="33"/>
      <c r="F2595" s="33"/>
      <c r="G2595" s="33"/>
      <c r="H2595" s="34"/>
      <c r="J2595" s="36"/>
      <c r="K2595" s="36"/>
      <c r="L2595" s="36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8"/>
      <c r="AS2595" s="38"/>
      <c r="AT2595" s="38"/>
      <c r="AU2595" s="33"/>
      <c r="AV2595" s="39"/>
    </row>
    <row r="2596" spans="4:48">
      <c r="D2596" s="33"/>
      <c r="E2596" s="33"/>
      <c r="F2596" s="33"/>
      <c r="G2596" s="33"/>
      <c r="H2596" s="34"/>
      <c r="J2596" s="36"/>
      <c r="K2596" s="36"/>
      <c r="L2596" s="36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8"/>
      <c r="AS2596" s="38"/>
      <c r="AT2596" s="38"/>
      <c r="AU2596" s="33"/>
      <c r="AV2596" s="39"/>
    </row>
    <row r="2597" spans="4:48">
      <c r="D2597" s="33"/>
      <c r="E2597" s="33"/>
      <c r="F2597" s="33"/>
      <c r="G2597" s="33"/>
      <c r="H2597" s="34"/>
      <c r="J2597" s="36"/>
      <c r="K2597" s="36"/>
      <c r="L2597" s="36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8"/>
      <c r="AS2597" s="38"/>
      <c r="AT2597" s="38"/>
      <c r="AU2597" s="33"/>
      <c r="AV2597" s="39"/>
    </row>
    <row r="2598" spans="4:48">
      <c r="D2598" s="33"/>
      <c r="E2598" s="33"/>
      <c r="F2598" s="33"/>
      <c r="G2598" s="33"/>
      <c r="H2598" s="34"/>
      <c r="J2598" s="36"/>
      <c r="K2598" s="36"/>
      <c r="L2598" s="36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8"/>
      <c r="AS2598" s="38"/>
      <c r="AT2598" s="38"/>
      <c r="AU2598" s="33"/>
      <c r="AV2598" s="39"/>
    </row>
    <row r="2599" spans="4:48">
      <c r="D2599" s="33"/>
      <c r="E2599" s="33"/>
      <c r="F2599" s="33"/>
      <c r="G2599" s="33"/>
      <c r="H2599" s="34"/>
      <c r="J2599" s="36"/>
      <c r="K2599" s="36"/>
      <c r="L2599" s="36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8"/>
      <c r="AS2599" s="38"/>
      <c r="AT2599" s="38"/>
      <c r="AU2599" s="33"/>
      <c r="AV2599" s="39"/>
    </row>
    <row r="2600" spans="4:48">
      <c r="D2600" s="33"/>
      <c r="E2600" s="33"/>
      <c r="F2600" s="33"/>
      <c r="G2600" s="33"/>
      <c r="H2600" s="34"/>
      <c r="J2600" s="36"/>
      <c r="K2600" s="36"/>
      <c r="L2600" s="36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8"/>
      <c r="AS2600" s="38"/>
      <c r="AT2600" s="38"/>
      <c r="AU2600" s="33"/>
      <c r="AV2600" s="39"/>
    </row>
    <row r="2601" spans="4:48">
      <c r="D2601" s="33"/>
      <c r="E2601" s="33"/>
      <c r="F2601" s="33"/>
      <c r="G2601" s="33"/>
      <c r="H2601" s="34"/>
      <c r="J2601" s="36"/>
      <c r="K2601" s="36"/>
      <c r="L2601" s="36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8"/>
      <c r="AS2601" s="38"/>
      <c r="AT2601" s="38"/>
      <c r="AU2601" s="33"/>
      <c r="AV2601" s="39"/>
    </row>
    <row r="2602" spans="4:48">
      <c r="D2602" s="33"/>
      <c r="E2602" s="33"/>
      <c r="F2602" s="33"/>
      <c r="G2602" s="33"/>
      <c r="H2602" s="34"/>
      <c r="J2602" s="36"/>
      <c r="K2602" s="36"/>
      <c r="L2602" s="36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8"/>
      <c r="AS2602" s="38"/>
      <c r="AT2602" s="38"/>
      <c r="AU2602" s="33"/>
      <c r="AV2602" s="39"/>
    </row>
    <row r="2603" spans="4:48">
      <c r="D2603" s="33"/>
      <c r="E2603" s="33"/>
      <c r="F2603" s="33"/>
      <c r="G2603" s="33"/>
      <c r="H2603" s="34"/>
      <c r="J2603" s="36"/>
      <c r="K2603" s="36"/>
      <c r="L2603" s="36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8"/>
      <c r="AS2603" s="38"/>
      <c r="AT2603" s="38"/>
      <c r="AU2603" s="33"/>
      <c r="AV2603" s="39"/>
    </row>
    <row r="2604" spans="4:48">
      <c r="D2604" s="33"/>
      <c r="E2604" s="33"/>
      <c r="F2604" s="33"/>
      <c r="G2604" s="33"/>
      <c r="H2604" s="34"/>
      <c r="J2604" s="36"/>
      <c r="K2604" s="36"/>
      <c r="L2604" s="36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8"/>
      <c r="AS2604" s="38"/>
      <c r="AT2604" s="38"/>
      <c r="AU2604" s="33"/>
      <c r="AV2604" s="39"/>
    </row>
    <row r="2605" spans="4:48">
      <c r="D2605" s="33"/>
      <c r="E2605" s="33"/>
      <c r="F2605" s="33"/>
      <c r="G2605" s="33"/>
      <c r="H2605" s="34"/>
      <c r="J2605" s="36"/>
      <c r="K2605" s="36"/>
      <c r="L2605" s="36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8"/>
      <c r="AS2605" s="38"/>
      <c r="AT2605" s="38"/>
      <c r="AU2605" s="33"/>
      <c r="AV2605" s="39"/>
    </row>
    <row r="2606" spans="4:48">
      <c r="D2606" s="33"/>
      <c r="E2606" s="33"/>
      <c r="F2606" s="33"/>
      <c r="G2606" s="33"/>
      <c r="H2606" s="34"/>
      <c r="J2606" s="36"/>
      <c r="K2606" s="36"/>
      <c r="L2606" s="36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8"/>
      <c r="AS2606" s="38"/>
      <c r="AT2606" s="38"/>
      <c r="AU2606" s="33"/>
      <c r="AV2606" s="39"/>
    </row>
    <row r="2607" spans="4:48">
      <c r="D2607" s="33"/>
      <c r="E2607" s="33"/>
      <c r="F2607" s="33"/>
      <c r="G2607" s="33"/>
      <c r="H2607" s="34"/>
      <c r="J2607" s="36"/>
      <c r="K2607" s="36"/>
      <c r="L2607" s="36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8"/>
      <c r="AS2607" s="38"/>
      <c r="AT2607" s="38"/>
      <c r="AU2607" s="33"/>
      <c r="AV2607" s="39"/>
    </row>
    <row r="2608" spans="4:48">
      <c r="D2608" s="33"/>
      <c r="E2608" s="33"/>
      <c r="F2608" s="33"/>
      <c r="G2608" s="33"/>
      <c r="H2608" s="34"/>
      <c r="J2608" s="36"/>
      <c r="K2608" s="36"/>
      <c r="L2608" s="36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8"/>
      <c r="AS2608" s="38"/>
      <c r="AT2608" s="38"/>
      <c r="AU2608" s="33"/>
      <c r="AV2608" s="39"/>
    </row>
    <row r="2609" spans="4:48">
      <c r="D2609" s="33"/>
      <c r="E2609" s="33"/>
      <c r="F2609" s="33"/>
      <c r="G2609" s="33"/>
      <c r="H2609" s="34"/>
      <c r="J2609" s="36"/>
      <c r="K2609" s="36"/>
      <c r="L2609" s="36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8"/>
      <c r="AS2609" s="38"/>
      <c r="AT2609" s="38"/>
      <c r="AU2609" s="33"/>
      <c r="AV2609" s="39"/>
    </row>
    <row r="2610" spans="4:48">
      <c r="D2610" s="33"/>
      <c r="E2610" s="33"/>
      <c r="F2610" s="33"/>
      <c r="G2610" s="33"/>
      <c r="H2610" s="34"/>
      <c r="J2610" s="36"/>
      <c r="K2610" s="36"/>
      <c r="L2610" s="36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8"/>
      <c r="AS2610" s="38"/>
      <c r="AT2610" s="38"/>
      <c r="AU2610" s="33"/>
      <c r="AV2610" s="39"/>
    </row>
    <row r="2611" spans="4:48">
      <c r="D2611" s="33"/>
      <c r="E2611" s="33"/>
      <c r="F2611" s="33"/>
      <c r="G2611" s="33"/>
      <c r="H2611" s="34"/>
      <c r="J2611" s="36"/>
      <c r="K2611" s="36"/>
      <c r="L2611" s="36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8"/>
      <c r="AS2611" s="38"/>
      <c r="AT2611" s="38"/>
      <c r="AU2611" s="33"/>
      <c r="AV2611" s="39"/>
    </row>
    <row r="2612" spans="4:48">
      <c r="D2612" s="33"/>
      <c r="E2612" s="33"/>
      <c r="F2612" s="33"/>
      <c r="G2612" s="33"/>
      <c r="H2612" s="34"/>
      <c r="J2612" s="36"/>
      <c r="K2612" s="36"/>
      <c r="L2612" s="36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8"/>
      <c r="AS2612" s="38"/>
      <c r="AT2612" s="38"/>
      <c r="AU2612" s="33"/>
      <c r="AV2612" s="39"/>
    </row>
    <row r="2613" spans="4:48">
      <c r="D2613" s="33"/>
      <c r="E2613" s="33"/>
      <c r="F2613" s="33"/>
      <c r="G2613" s="33"/>
      <c r="H2613" s="34"/>
      <c r="J2613" s="36"/>
      <c r="K2613" s="36"/>
      <c r="L2613" s="36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8"/>
      <c r="AS2613" s="38"/>
      <c r="AT2613" s="38"/>
      <c r="AU2613" s="33"/>
      <c r="AV2613" s="39"/>
    </row>
    <row r="2614" spans="4:48">
      <c r="D2614" s="33"/>
      <c r="E2614" s="33"/>
      <c r="F2614" s="33"/>
      <c r="G2614" s="33"/>
      <c r="H2614" s="34"/>
      <c r="J2614" s="36"/>
      <c r="K2614" s="36"/>
      <c r="L2614" s="36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8"/>
      <c r="AS2614" s="38"/>
      <c r="AT2614" s="38"/>
      <c r="AU2614" s="33"/>
      <c r="AV2614" s="39"/>
    </row>
    <row r="2615" spans="4:48">
      <c r="D2615" s="33"/>
      <c r="E2615" s="33"/>
      <c r="F2615" s="33"/>
      <c r="G2615" s="33"/>
      <c r="H2615" s="34"/>
      <c r="J2615" s="36"/>
      <c r="K2615" s="36"/>
      <c r="L2615" s="36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8"/>
      <c r="AS2615" s="38"/>
      <c r="AT2615" s="38"/>
      <c r="AU2615" s="33"/>
      <c r="AV2615" s="39"/>
    </row>
    <row r="2616" spans="4:48">
      <c r="D2616" s="33"/>
      <c r="E2616" s="33"/>
      <c r="F2616" s="33"/>
      <c r="G2616" s="33"/>
      <c r="H2616" s="34"/>
      <c r="J2616" s="36"/>
      <c r="K2616" s="36"/>
      <c r="L2616" s="36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8"/>
      <c r="AS2616" s="38"/>
      <c r="AT2616" s="38"/>
      <c r="AU2616" s="33"/>
      <c r="AV2616" s="39"/>
    </row>
    <row r="2617" spans="4:48">
      <c r="D2617" s="33"/>
      <c r="E2617" s="33"/>
      <c r="F2617" s="33"/>
      <c r="G2617" s="33"/>
      <c r="H2617" s="34"/>
      <c r="J2617" s="36"/>
      <c r="K2617" s="36"/>
      <c r="L2617" s="36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8"/>
      <c r="AS2617" s="38"/>
      <c r="AT2617" s="38"/>
      <c r="AU2617" s="33"/>
      <c r="AV2617" s="39"/>
    </row>
    <row r="2618" spans="4:48">
      <c r="D2618" s="33"/>
      <c r="E2618" s="33"/>
      <c r="F2618" s="33"/>
      <c r="G2618" s="33"/>
      <c r="H2618" s="34"/>
      <c r="J2618" s="36"/>
      <c r="K2618" s="36"/>
      <c r="L2618" s="36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8"/>
      <c r="AS2618" s="38"/>
      <c r="AT2618" s="38"/>
      <c r="AU2618" s="33"/>
      <c r="AV2618" s="39"/>
    </row>
    <row r="2619" spans="4:48">
      <c r="D2619" s="33"/>
      <c r="E2619" s="33"/>
      <c r="F2619" s="33"/>
      <c r="G2619" s="33"/>
      <c r="H2619" s="34"/>
      <c r="J2619" s="36"/>
      <c r="K2619" s="36"/>
      <c r="L2619" s="36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8"/>
      <c r="AS2619" s="38"/>
      <c r="AT2619" s="38"/>
      <c r="AU2619" s="33"/>
      <c r="AV2619" s="39"/>
    </row>
    <row r="2620" spans="4:48">
      <c r="D2620" s="33"/>
      <c r="E2620" s="33"/>
      <c r="F2620" s="33"/>
      <c r="G2620" s="33"/>
      <c r="H2620" s="34"/>
      <c r="J2620" s="36"/>
      <c r="K2620" s="36"/>
      <c r="L2620" s="36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8"/>
      <c r="AS2620" s="38"/>
      <c r="AT2620" s="38"/>
      <c r="AU2620" s="33"/>
      <c r="AV2620" s="39"/>
    </row>
    <row r="2621" spans="4:48">
      <c r="D2621" s="33"/>
      <c r="E2621" s="33"/>
      <c r="F2621" s="33"/>
      <c r="G2621" s="33"/>
      <c r="H2621" s="34"/>
      <c r="J2621" s="36"/>
      <c r="K2621" s="36"/>
      <c r="L2621" s="36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8"/>
      <c r="AS2621" s="38"/>
      <c r="AT2621" s="38"/>
      <c r="AU2621" s="33"/>
      <c r="AV2621" s="39"/>
    </row>
    <row r="2622" spans="4:48">
      <c r="D2622" s="33"/>
      <c r="E2622" s="33"/>
      <c r="F2622" s="33"/>
      <c r="G2622" s="33"/>
      <c r="H2622" s="34"/>
      <c r="J2622" s="36"/>
      <c r="K2622" s="36"/>
      <c r="L2622" s="36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8"/>
      <c r="AS2622" s="38"/>
      <c r="AT2622" s="38"/>
      <c r="AU2622" s="33"/>
      <c r="AV2622" s="39"/>
    </row>
    <row r="2623" spans="4:48">
      <c r="D2623" s="33"/>
      <c r="E2623" s="33"/>
      <c r="F2623" s="33"/>
      <c r="G2623" s="33"/>
      <c r="H2623" s="34"/>
      <c r="J2623" s="36"/>
      <c r="K2623" s="36"/>
      <c r="L2623" s="36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8"/>
      <c r="AS2623" s="38"/>
      <c r="AT2623" s="38"/>
      <c r="AU2623" s="33"/>
      <c r="AV2623" s="39"/>
    </row>
    <row r="2624" spans="4:48">
      <c r="D2624" s="33"/>
      <c r="E2624" s="33"/>
      <c r="F2624" s="33"/>
      <c r="G2624" s="33"/>
      <c r="H2624" s="34"/>
      <c r="J2624" s="36"/>
      <c r="K2624" s="36"/>
      <c r="L2624" s="36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8"/>
      <c r="AS2624" s="38"/>
      <c r="AT2624" s="38"/>
      <c r="AU2624" s="33"/>
      <c r="AV2624" s="39"/>
    </row>
    <row r="2625" spans="4:48">
      <c r="D2625" s="33"/>
      <c r="E2625" s="33"/>
      <c r="F2625" s="33"/>
      <c r="G2625" s="33"/>
      <c r="H2625" s="34"/>
      <c r="J2625" s="36"/>
      <c r="K2625" s="36"/>
      <c r="L2625" s="36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8"/>
      <c r="AS2625" s="38"/>
      <c r="AT2625" s="38"/>
      <c r="AU2625" s="33"/>
      <c r="AV2625" s="39"/>
    </row>
    <row r="2626" spans="4:48">
      <c r="D2626" s="33"/>
      <c r="E2626" s="33"/>
      <c r="F2626" s="33"/>
      <c r="G2626" s="33"/>
      <c r="H2626" s="34"/>
      <c r="J2626" s="36"/>
      <c r="K2626" s="36"/>
      <c r="L2626" s="36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8"/>
      <c r="AS2626" s="38"/>
      <c r="AT2626" s="38"/>
      <c r="AU2626" s="33"/>
      <c r="AV2626" s="39"/>
    </row>
    <row r="2627" spans="4:48">
      <c r="D2627" s="33"/>
      <c r="E2627" s="33"/>
      <c r="F2627" s="33"/>
      <c r="G2627" s="33"/>
      <c r="H2627" s="34"/>
      <c r="J2627" s="36"/>
      <c r="K2627" s="36"/>
      <c r="L2627" s="36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8"/>
      <c r="AS2627" s="38"/>
      <c r="AT2627" s="38"/>
      <c r="AU2627" s="33"/>
      <c r="AV2627" s="39"/>
    </row>
    <row r="2628" spans="4:48">
      <c r="D2628" s="33"/>
      <c r="E2628" s="33"/>
      <c r="F2628" s="33"/>
      <c r="G2628" s="33"/>
      <c r="H2628" s="34"/>
      <c r="J2628" s="36"/>
      <c r="K2628" s="36"/>
      <c r="L2628" s="36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8"/>
      <c r="AS2628" s="38"/>
      <c r="AT2628" s="38"/>
      <c r="AU2628" s="33"/>
      <c r="AV2628" s="39"/>
    </row>
    <row r="2629" spans="4:48">
      <c r="D2629" s="33"/>
      <c r="E2629" s="33"/>
      <c r="F2629" s="33"/>
      <c r="G2629" s="33"/>
      <c r="H2629" s="34"/>
      <c r="J2629" s="36"/>
      <c r="K2629" s="36"/>
      <c r="L2629" s="36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8"/>
      <c r="AS2629" s="38"/>
      <c r="AT2629" s="38"/>
      <c r="AU2629" s="33"/>
      <c r="AV2629" s="39"/>
    </row>
    <row r="2630" spans="4:48">
      <c r="D2630" s="33"/>
      <c r="E2630" s="33"/>
      <c r="F2630" s="33"/>
      <c r="G2630" s="33"/>
      <c r="H2630" s="34"/>
      <c r="J2630" s="36"/>
      <c r="K2630" s="36"/>
      <c r="L2630" s="36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8"/>
      <c r="AS2630" s="38"/>
      <c r="AT2630" s="38"/>
      <c r="AU2630" s="33"/>
      <c r="AV2630" s="39"/>
    </row>
    <row r="2631" spans="4:48">
      <c r="D2631" s="33"/>
      <c r="E2631" s="33"/>
      <c r="F2631" s="33"/>
      <c r="G2631" s="33"/>
      <c r="H2631" s="34"/>
      <c r="J2631" s="36"/>
      <c r="K2631" s="36"/>
      <c r="L2631" s="36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8"/>
      <c r="AS2631" s="38"/>
      <c r="AT2631" s="38"/>
      <c r="AU2631" s="33"/>
      <c r="AV2631" s="39"/>
    </row>
    <row r="2632" spans="4:48">
      <c r="D2632" s="33"/>
      <c r="E2632" s="33"/>
      <c r="F2632" s="33"/>
      <c r="G2632" s="33"/>
      <c r="H2632" s="34"/>
      <c r="J2632" s="36"/>
      <c r="K2632" s="36"/>
      <c r="L2632" s="36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8"/>
      <c r="AS2632" s="38"/>
      <c r="AT2632" s="38"/>
      <c r="AU2632" s="33"/>
      <c r="AV2632" s="39"/>
    </row>
    <row r="2633" spans="4:48">
      <c r="D2633" s="33"/>
      <c r="E2633" s="33"/>
      <c r="F2633" s="33"/>
      <c r="G2633" s="33"/>
      <c r="H2633" s="34"/>
      <c r="J2633" s="36"/>
      <c r="K2633" s="36"/>
      <c r="L2633" s="36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8"/>
      <c r="AS2633" s="38"/>
      <c r="AT2633" s="38"/>
      <c r="AU2633" s="33"/>
      <c r="AV2633" s="39"/>
    </row>
    <row r="2634" spans="4:48">
      <c r="D2634" s="33"/>
      <c r="E2634" s="33"/>
      <c r="F2634" s="33"/>
      <c r="G2634" s="33"/>
      <c r="H2634" s="34"/>
      <c r="J2634" s="36"/>
      <c r="K2634" s="36"/>
      <c r="L2634" s="36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8"/>
      <c r="AS2634" s="38"/>
      <c r="AT2634" s="38"/>
      <c r="AU2634" s="33"/>
      <c r="AV2634" s="39"/>
    </row>
    <row r="2635" spans="4:48">
      <c r="D2635" s="33"/>
      <c r="E2635" s="33"/>
      <c r="F2635" s="33"/>
      <c r="G2635" s="33"/>
      <c r="H2635" s="34"/>
      <c r="J2635" s="36"/>
      <c r="K2635" s="36"/>
      <c r="L2635" s="36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8"/>
      <c r="AS2635" s="38"/>
      <c r="AT2635" s="38"/>
      <c r="AU2635" s="33"/>
      <c r="AV2635" s="39"/>
    </row>
    <row r="2636" spans="4:48">
      <c r="D2636" s="33"/>
      <c r="E2636" s="33"/>
      <c r="F2636" s="33"/>
      <c r="G2636" s="33"/>
      <c r="H2636" s="34"/>
      <c r="J2636" s="36"/>
      <c r="K2636" s="36"/>
      <c r="L2636" s="36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8"/>
      <c r="AS2636" s="38"/>
      <c r="AT2636" s="38"/>
      <c r="AU2636" s="33"/>
      <c r="AV2636" s="39"/>
    </row>
    <row r="2637" spans="4:48">
      <c r="D2637" s="33"/>
      <c r="E2637" s="33"/>
      <c r="F2637" s="33"/>
      <c r="G2637" s="33"/>
      <c r="H2637" s="34"/>
      <c r="J2637" s="36"/>
      <c r="K2637" s="36"/>
      <c r="L2637" s="36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8"/>
      <c r="AS2637" s="38"/>
      <c r="AT2637" s="38"/>
      <c r="AU2637" s="33"/>
      <c r="AV2637" s="39"/>
    </row>
    <row r="2638" spans="4:48">
      <c r="D2638" s="33"/>
      <c r="E2638" s="33"/>
      <c r="F2638" s="33"/>
      <c r="G2638" s="33"/>
      <c r="H2638" s="34"/>
      <c r="J2638" s="36"/>
      <c r="K2638" s="36"/>
      <c r="L2638" s="36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8"/>
      <c r="AS2638" s="38"/>
      <c r="AT2638" s="38"/>
      <c r="AU2638" s="33"/>
      <c r="AV2638" s="39"/>
    </row>
    <row r="2639" spans="4:48">
      <c r="D2639" s="33"/>
      <c r="E2639" s="33"/>
      <c r="F2639" s="33"/>
      <c r="G2639" s="33"/>
      <c r="H2639" s="34"/>
      <c r="J2639" s="36"/>
      <c r="K2639" s="36"/>
      <c r="L2639" s="36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8"/>
      <c r="AS2639" s="38"/>
      <c r="AT2639" s="38"/>
      <c r="AU2639" s="33"/>
      <c r="AV2639" s="39"/>
    </row>
    <row r="2640" spans="4:48">
      <c r="D2640" s="33"/>
      <c r="E2640" s="33"/>
      <c r="F2640" s="33"/>
      <c r="G2640" s="33"/>
      <c r="H2640" s="34"/>
      <c r="J2640" s="36"/>
      <c r="K2640" s="36"/>
      <c r="L2640" s="36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8"/>
      <c r="AS2640" s="38"/>
      <c r="AT2640" s="38"/>
      <c r="AU2640" s="33"/>
      <c r="AV2640" s="39"/>
    </row>
    <row r="2641" spans="4:48">
      <c r="D2641" s="33"/>
      <c r="E2641" s="33"/>
      <c r="F2641" s="33"/>
      <c r="G2641" s="33"/>
      <c r="H2641" s="34"/>
      <c r="J2641" s="36"/>
      <c r="K2641" s="36"/>
      <c r="L2641" s="36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8"/>
      <c r="AS2641" s="38"/>
      <c r="AT2641" s="38"/>
      <c r="AU2641" s="33"/>
      <c r="AV2641" s="39"/>
    </row>
    <row r="2642" spans="4:48">
      <c r="D2642" s="33"/>
      <c r="E2642" s="33"/>
      <c r="F2642" s="33"/>
      <c r="G2642" s="33"/>
      <c r="H2642" s="34"/>
      <c r="J2642" s="36"/>
      <c r="K2642" s="36"/>
      <c r="L2642" s="36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8"/>
      <c r="AS2642" s="38"/>
      <c r="AT2642" s="38"/>
      <c r="AU2642" s="33"/>
      <c r="AV2642" s="39"/>
    </row>
    <row r="2643" spans="4:48">
      <c r="D2643" s="33"/>
      <c r="E2643" s="33"/>
      <c r="F2643" s="33"/>
      <c r="G2643" s="33"/>
      <c r="H2643" s="34"/>
      <c r="J2643" s="36"/>
      <c r="K2643" s="36"/>
      <c r="L2643" s="36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8"/>
      <c r="AS2643" s="38"/>
      <c r="AT2643" s="38"/>
      <c r="AU2643" s="33"/>
      <c r="AV2643" s="39"/>
    </row>
    <row r="2644" spans="4:48">
      <c r="D2644" s="33"/>
      <c r="E2644" s="33"/>
      <c r="F2644" s="33"/>
      <c r="G2644" s="33"/>
      <c r="H2644" s="34"/>
      <c r="J2644" s="36"/>
      <c r="K2644" s="36"/>
      <c r="L2644" s="36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8"/>
      <c r="AS2644" s="38"/>
      <c r="AT2644" s="38"/>
      <c r="AU2644" s="33"/>
      <c r="AV2644" s="39"/>
    </row>
    <row r="2645" spans="4:48">
      <c r="D2645" s="33"/>
      <c r="E2645" s="33"/>
      <c r="F2645" s="33"/>
      <c r="G2645" s="33"/>
      <c r="H2645" s="34"/>
      <c r="J2645" s="36"/>
      <c r="K2645" s="36"/>
      <c r="L2645" s="36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8"/>
      <c r="AS2645" s="38"/>
      <c r="AT2645" s="38"/>
      <c r="AU2645" s="33"/>
      <c r="AV2645" s="39"/>
    </row>
    <row r="2646" spans="4:48">
      <c r="D2646" s="33"/>
      <c r="E2646" s="33"/>
      <c r="F2646" s="33"/>
      <c r="G2646" s="33"/>
      <c r="H2646" s="34"/>
      <c r="J2646" s="36"/>
      <c r="K2646" s="36"/>
      <c r="L2646" s="36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8"/>
      <c r="AS2646" s="38"/>
      <c r="AT2646" s="38"/>
      <c r="AU2646" s="33"/>
      <c r="AV2646" s="39"/>
    </row>
    <row r="2647" spans="4:48">
      <c r="D2647" s="33"/>
      <c r="E2647" s="33"/>
      <c r="F2647" s="33"/>
      <c r="G2647" s="33"/>
      <c r="H2647" s="34"/>
      <c r="J2647" s="36"/>
      <c r="K2647" s="36"/>
      <c r="L2647" s="36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8"/>
      <c r="AS2647" s="38"/>
      <c r="AT2647" s="38"/>
      <c r="AU2647" s="33"/>
      <c r="AV2647" s="39"/>
    </row>
    <row r="2648" spans="4:48">
      <c r="D2648" s="33"/>
      <c r="E2648" s="33"/>
      <c r="F2648" s="33"/>
      <c r="G2648" s="33"/>
      <c r="H2648" s="34"/>
      <c r="J2648" s="36"/>
      <c r="K2648" s="36"/>
      <c r="L2648" s="36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8"/>
      <c r="AS2648" s="38"/>
      <c r="AT2648" s="38"/>
      <c r="AU2648" s="33"/>
      <c r="AV2648" s="39"/>
    </row>
    <row r="2649" spans="4:48">
      <c r="D2649" s="33"/>
      <c r="E2649" s="33"/>
      <c r="F2649" s="33"/>
      <c r="G2649" s="33"/>
      <c r="H2649" s="34"/>
      <c r="J2649" s="36"/>
      <c r="K2649" s="36"/>
      <c r="L2649" s="36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8"/>
      <c r="AS2649" s="38"/>
      <c r="AT2649" s="38"/>
      <c r="AU2649" s="33"/>
      <c r="AV2649" s="39"/>
    </row>
    <row r="2650" spans="4:48">
      <c r="D2650" s="33"/>
      <c r="E2650" s="33"/>
      <c r="F2650" s="33"/>
      <c r="G2650" s="33"/>
      <c r="H2650" s="34"/>
      <c r="J2650" s="36"/>
      <c r="K2650" s="36"/>
      <c r="L2650" s="36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8"/>
      <c r="AS2650" s="38"/>
      <c r="AT2650" s="38"/>
      <c r="AU2650" s="33"/>
      <c r="AV2650" s="39"/>
    </row>
    <row r="2651" spans="4:48">
      <c r="D2651" s="33"/>
      <c r="E2651" s="33"/>
      <c r="F2651" s="33"/>
      <c r="G2651" s="33"/>
      <c r="H2651" s="34"/>
      <c r="J2651" s="36"/>
      <c r="K2651" s="36"/>
      <c r="L2651" s="36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8"/>
      <c r="AS2651" s="38"/>
      <c r="AT2651" s="38"/>
      <c r="AU2651" s="33"/>
      <c r="AV2651" s="39"/>
    </row>
    <row r="2652" spans="4:48">
      <c r="D2652" s="33"/>
      <c r="E2652" s="33"/>
      <c r="F2652" s="33"/>
      <c r="G2652" s="33"/>
      <c r="H2652" s="34"/>
      <c r="J2652" s="36"/>
      <c r="K2652" s="36"/>
      <c r="L2652" s="36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8"/>
      <c r="AS2652" s="38"/>
      <c r="AT2652" s="38"/>
      <c r="AU2652" s="33"/>
      <c r="AV2652" s="39"/>
    </row>
    <row r="2653" spans="4:48">
      <c r="D2653" s="33"/>
      <c r="E2653" s="33"/>
      <c r="F2653" s="33"/>
      <c r="G2653" s="33"/>
      <c r="H2653" s="34"/>
      <c r="J2653" s="36"/>
      <c r="K2653" s="36"/>
      <c r="L2653" s="36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8"/>
      <c r="AS2653" s="38"/>
      <c r="AT2653" s="38"/>
      <c r="AU2653" s="33"/>
      <c r="AV2653" s="39"/>
    </row>
    <row r="2654" spans="4:48">
      <c r="D2654" s="33"/>
      <c r="E2654" s="33"/>
      <c r="F2654" s="33"/>
      <c r="G2654" s="33"/>
      <c r="H2654" s="34"/>
      <c r="J2654" s="36"/>
      <c r="K2654" s="36"/>
      <c r="L2654" s="36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8"/>
      <c r="AS2654" s="38"/>
      <c r="AT2654" s="38"/>
      <c r="AU2654" s="33"/>
      <c r="AV2654" s="39"/>
    </row>
    <row r="2655" spans="4:48">
      <c r="D2655" s="33"/>
      <c r="E2655" s="33"/>
      <c r="F2655" s="33"/>
      <c r="G2655" s="33"/>
      <c r="H2655" s="34"/>
      <c r="J2655" s="36"/>
      <c r="K2655" s="36"/>
      <c r="L2655" s="36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8"/>
      <c r="AS2655" s="38"/>
      <c r="AT2655" s="38"/>
      <c r="AU2655" s="33"/>
      <c r="AV2655" s="39"/>
    </row>
    <row r="2656" spans="4:48">
      <c r="D2656" s="33"/>
      <c r="E2656" s="33"/>
      <c r="F2656" s="33"/>
      <c r="G2656" s="33"/>
      <c r="H2656" s="34"/>
      <c r="J2656" s="36"/>
      <c r="K2656" s="36"/>
      <c r="L2656" s="36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8"/>
      <c r="AS2656" s="38"/>
      <c r="AT2656" s="38"/>
      <c r="AU2656" s="33"/>
      <c r="AV2656" s="39"/>
    </row>
    <row r="2657" spans="4:48">
      <c r="D2657" s="33"/>
      <c r="E2657" s="33"/>
      <c r="F2657" s="33"/>
      <c r="G2657" s="33"/>
      <c r="H2657" s="34"/>
      <c r="J2657" s="36"/>
      <c r="K2657" s="36"/>
      <c r="L2657" s="36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8"/>
      <c r="AS2657" s="38"/>
      <c r="AT2657" s="38"/>
      <c r="AU2657" s="33"/>
      <c r="AV2657" s="39"/>
    </row>
    <row r="2658" spans="4:48">
      <c r="D2658" s="33"/>
      <c r="E2658" s="33"/>
      <c r="F2658" s="33"/>
      <c r="G2658" s="33"/>
      <c r="H2658" s="34"/>
      <c r="J2658" s="36"/>
      <c r="K2658" s="36"/>
      <c r="L2658" s="36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8"/>
      <c r="AS2658" s="38"/>
      <c r="AT2658" s="38"/>
      <c r="AU2658" s="33"/>
      <c r="AV2658" s="39"/>
    </row>
    <row r="2659" spans="4:48">
      <c r="D2659" s="33"/>
      <c r="E2659" s="33"/>
      <c r="F2659" s="33"/>
      <c r="G2659" s="33"/>
      <c r="H2659" s="34"/>
      <c r="J2659" s="36"/>
      <c r="K2659" s="36"/>
      <c r="L2659" s="36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8"/>
      <c r="AS2659" s="38"/>
      <c r="AT2659" s="38"/>
      <c r="AU2659" s="33"/>
      <c r="AV2659" s="39"/>
    </row>
    <row r="2660" spans="4:48">
      <c r="D2660" s="33"/>
      <c r="E2660" s="33"/>
      <c r="F2660" s="33"/>
      <c r="G2660" s="33"/>
      <c r="H2660" s="34"/>
      <c r="J2660" s="36"/>
      <c r="K2660" s="36"/>
      <c r="L2660" s="36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8"/>
      <c r="AS2660" s="38"/>
      <c r="AT2660" s="38"/>
      <c r="AU2660" s="33"/>
      <c r="AV2660" s="39"/>
    </row>
    <row r="2661" spans="4:48">
      <c r="D2661" s="33"/>
      <c r="E2661" s="33"/>
      <c r="F2661" s="33"/>
      <c r="G2661" s="33"/>
      <c r="H2661" s="34"/>
      <c r="J2661" s="36"/>
      <c r="K2661" s="36"/>
      <c r="L2661" s="36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8"/>
      <c r="AS2661" s="38"/>
      <c r="AT2661" s="38"/>
      <c r="AU2661" s="33"/>
      <c r="AV2661" s="39"/>
    </row>
    <row r="2662" spans="4:48">
      <c r="D2662" s="33"/>
      <c r="E2662" s="33"/>
      <c r="F2662" s="33"/>
      <c r="G2662" s="33"/>
      <c r="H2662" s="34"/>
      <c r="J2662" s="36"/>
      <c r="K2662" s="36"/>
      <c r="L2662" s="36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8"/>
      <c r="AS2662" s="38"/>
      <c r="AT2662" s="38"/>
      <c r="AU2662" s="33"/>
      <c r="AV2662" s="39"/>
    </row>
    <row r="2663" spans="4:48">
      <c r="D2663" s="33"/>
      <c r="E2663" s="33"/>
      <c r="F2663" s="33"/>
      <c r="G2663" s="33"/>
      <c r="H2663" s="34"/>
      <c r="J2663" s="36"/>
      <c r="K2663" s="36"/>
      <c r="L2663" s="36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8"/>
      <c r="AS2663" s="38"/>
      <c r="AT2663" s="38"/>
      <c r="AU2663" s="33"/>
      <c r="AV2663" s="39"/>
    </row>
    <row r="2664" spans="4:48">
      <c r="D2664" s="33"/>
      <c r="E2664" s="33"/>
      <c r="F2664" s="33"/>
      <c r="G2664" s="33"/>
      <c r="H2664" s="34"/>
      <c r="J2664" s="36"/>
      <c r="K2664" s="36"/>
      <c r="L2664" s="36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8"/>
      <c r="AS2664" s="38"/>
      <c r="AT2664" s="38"/>
      <c r="AU2664" s="33"/>
      <c r="AV2664" s="39"/>
    </row>
    <row r="2665" spans="4:48">
      <c r="D2665" s="33"/>
      <c r="E2665" s="33"/>
      <c r="F2665" s="33"/>
      <c r="G2665" s="33"/>
      <c r="H2665" s="34"/>
      <c r="J2665" s="36"/>
      <c r="K2665" s="36"/>
      <c r="L2665" s="36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8"/>
      <c r="AS2665" s="38"/>
      <c r="AT2665" s="38"/>
      <c r="AU2665" s="33"/>
      <c r="AV2665" s="39"/>
    </row>
    <row r="2666" spans="4:48">
      <c r="D2666" s="33"/>
      <c r="E2666" s="33"/>
      <c r="F2666" s="33"/>
      <c r="G2666" s="33"/>
      <c r="H2666" s="34"/>
      <c r="J2666" s="36"/>
      <c r="K2666" s="36"/>
      <c r="L2666" s="36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8"/>
      <c r="AS2666" s="38"/>
      <c r="AT2666" s="38"/>
      <c r="AU2666" s="33"/>
      <c r="AV2666" s="39"/>
    </row>
    <row r="2667" spans="4:48">
      <c r="D2667" s="33"/>
      <c r="E2667" s="33"/>
      <c r="F2667" s="33"/>
      <c r="G2667" s="33"/>
      <c r="H2667" s="34"/>
      <c r="J2667" s="36"/>
      <c r="K2667" s="36"/>
      <c r="L2667" s="36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8"/>
      <c r="AS2667" s="38"/>
      <c r="AT2667" s="38"/>
      <c r="AU2667" s="33"/>
      <c r="AV2667" s="39"/>
    </row>
    <row r="2668" spans="4:48">
      <c r="D2668" s="33"/>
      <c r="E2668" s="33"/>
      <c r="F2668" s="33"/>
      <c r="G2668" s="33"/>
      <c r="H2668" s="34"/>
      <c r="J2668" s="36"/>
      <c r="K2668" s="36"/>
      <c r="L2668" s="36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8"/>
      <c r="AS2668" s="38"/>
      <c r="AT2668" s="38"/>
      <c r="AU2668" s="33"/>
      <c r="AV2668" s="39"/>
    </row>
    <row r="2669" spans="4:48">
      <c r="D2669" s="33"/>
      <c r="E2669" s="33"/>
      <c r="F2669" s="33"/>
      <c r="G2669" s="33"/>
      <c r="H2669" s="34"/>
      <c r="J2669" s="36"/>
      <c r="K2669" s="36"/>
      <c r="L2669" s="36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8"/>
      <c r="AS2669" s="38"/>
      <c r="AT2669" s="38"/>
      <c r="AU2669" s="33"/>
      <c r="AV2669" s="39"/>
    </row>
    <row r="2670" spans="4:48">
      <c r="D2670" s="33"/>
      <c r="E2670" s="33"/>
      <c r="F2670" s="33"/>
      <c r="G2670" s="33"/>
      <c r="H2670" s="34"/>
      <c r="J2670" s="36"/>
      <c r="K2670" s="36"/>
      <c r="L2670" s="36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8"/>
      <c r="AS2670" s="38"/>
      <c r="AT2670" s="38"/>
      <c r="AU2670" s="33"/>
      <c r="AV2670" s="39"/>
    </row>
    <row r="2671" spans="4:48">
      <c r="D2671" s="33"/>
      <c r="E2671" s="33"/>
      <c r="F2671" s="33"/>
      <c r="G2671" s="33"/>
      <c r="H2671" s="34"/>
      <c r="J2671" s="36"/>
      <c r="K2671" s="36"/>
      <c r="L2671" s="36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8"/>
      <c r="AS2671" s="38"/>
      <c r="AT2671" s="38"/>
      <c r="AU2671" s="33"/>
      <c r="AV2671" s="39"/>
    </row>
    <row r="2672" spans="4:48">
      <c r="D2672" s="33"/>
      <c r="E2672" s="33"/>
      <c r="F2672" s="33"/>
      <c r="G2672" s="33"/>
      <c r="H2672" s="34"/>
      <c r="J2672" s="36"/>
      <c r="K2672" s="36"/>
      <c r="L2672" s="36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8"/>
      <c r="AS2672" s="38"/>
      <c r="AT2672" s="38"/>
      <c r="AU2672" s="33"/>
      <c r="AV2672" s="39"/>
    </row>
    <row r="2673" spans="4:48">
      <c r="D2673" s="33"/>
      <c r="E2673" s="33"/>
      <c r="F2673" s="33"/>
      <c r="G2673" s="33"/>
      <c r="H2673" s="34"/>
      <c r="J2673" s="36"/>
      <c r="K2673" s="36"/>
      <c r="L2673" s="36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8"/>
      <c r="AS2673" s="38"/>
      <c r="AT2673" s="38"/>
      <c r="AU2673" s="33"/>
      <c r="AV2673" s="39"/>
    </row>
    <row r="2674" spans="4:48">
      <c r="D2674" s="33"/>
      <c r="E2674" s="33"/>
      <c r="F2674" s="33"/>
      <c r="G2674" s="33"/>
      <c r="H2674" s="34"/>
      <c r="J2674" s="36"/>
      <c r="K2674" s="36"/>
      <c r="L2674" s="36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8"/>
      <c r="AS2674" s="38"/>
      <c r="AT2674" s="38"/>
      <c r="AU2674" s="33"/>
      <c r="AV2674" s="39"/>
    </row>
    <row r="2675" spans="4:48">
      <c r="D2675" s="33"/>
      <c r="E2675" s="33"/>
      <c r="F2675" s="33"/>
      <c r="G2675" s="33"/>
      <c r="H2675" s="34"/>
      <c r="J2675" s="36"/>
      <c r="K2675" s="36"/>
      <c r="L2675" s="36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8"/>
      <c r="AS2675" s="38"/>
      <c r="AT2675" s="38"/>
      <c r="AU2675" s="33"/>
      <c r="AV2675" s="39"/>
    </row>
    <row r="2676" spans="4:48">
      <c r="D2676" s="33"/>
      <c r="E2676" s="33"/>
      <c r="F2676" s="33"/>
      <c r="G2676" s="33"/>
      <c r="H2676" s="34"/>
      <c r="J2676" s="36"/>
      <c r="K2676" s="36"/>
      <c r="L2676" s="36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8"/>
      <c r="AS2676" s="38"/>
      <c r="AT2676" s="38"/>
      <c r="AU2676" s="33"/>
      <c r="AV2676" s="39"/>
    </row>
    <row r="2677" spans="4:48">
      <c r="D2677" s="33"/>
      <c r="E2677" s="33"/>
      <c r="F2677" s="33"/>
      <c r="G2677" s="33"/>
      <c r="H2677" s="34"/>
      <c r="J2677" s="36"/>
      <c r="K2677" s="36"/>
      <c r="L2677" s="36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8"/>
      <c r="AS2677" s="38"/>
      <c r="AT2677" s="38"/>
      <c r="AU2677" s="33"/>
      <c r="AV2677" s="39"/>
    </row>
    <row r="2678" spans="4:48">
      <c r="D2678" s="33"/>
      <c r="E2678" s="33"/>
      <c r="F2678" s="33"/>
      <c r="G2678" s="33"/>
      <c r="H2678" s="34"/>
      <c r="J2678" s="36"/>
      <c r="K2678" s="36"/>
      <c r="L2678" s="36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8"/>
      <c r="AS2678" s="38"/>
      <c r="AT2678" s="38"/>
      <c r="AU2678" s="33"/>
      <c r="AV2678" s="39"/>
    </row>
    <row r="2679" spans="4:48">
      <c r="D2679" s="33"/>
      <c r="E2679" s="33"/>
      <c r="F2679" s="33"/>
      <c r="G2679" s="33"/>
      <c r="H2679" s="34"/>
      <c r="J2679" s="36"/>
      <c r="K2679" s="36"/>
      <c r="L2679" s="36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8"/>
      <c r="AS2679" s="38"/>
      <c r="AT2679" s="38"/>
      <c r="AU2679" s="33"/>
      <c r="AV2679" s="39"/>
    </row>
    <row r="2680" spans="4:48">
      <c r="D2680" s="33"/>
      <c r="E2680" s="33"/>
      <c r="F2680" s="33"/>
      <c r="G2680" s="33"/>
      <c r="H2680" s="34"/>
      <c r="J2680" s="36"/>
      <c r="K2680" s="36"/>
      <c r="L2680" s="36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8"/>
      <c r="AS2680" s="38"/>
      <c r="AT2680" s="38"/>
      <c r="AU2680" s="33"/>
      <c r="AV2680" s="39"/>
    </row>
    <row r="2681" spans="4:48">
      <c r="D2681" s="33"/>
      <c r="E2681" s="33"/>
      <c r="F2681" s="33"/>
      <c r="G2681" s="33"/>
      <c r="H2681" s="34"/>
      <c r="J2681" s="36"/>
      <c r="K2681" s="36"/>
      <c r="L2681" s="36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8"/>
      <c r="AS2681" s="38"/>
      <c r="AT2681" s="38"/>
      <c r="AU2681" s="33"/>
      <c r="AV2681" s="39"/>
    </row>
    <row r="2682" spans="4:48">
      <c r="D2682" s="33"/>
      <c r="E2682" s="33"/>
      <c r="F2682" s="33"/>
      <c r="G2682" s="33"/>
      <c r="H2682" s="34"/>
      <c r="J2682" s="36"/>
      <c r="K2682" s="36"/>
      <c r="L2682" s="36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8"/>
      <c r="AS2682" s="38"/>
      <c r="AT2682" s="38"/>
      <c r="AU2682" s="33"/>
      <c r="AV2682" s="39"/>
    </row>
    <row r="2683" spans="4:48">
      <c r="D2683" s="33"/>
      <c r="E2683" s="33"/>
      <c r="F2683" s="33"/>
      <c r="G2683" s="33"/>
      <c r="H2683" s="34"/>
      <c r="J2683" s="36"/>
      <c r="K2683" s="36"/>
      <c r="L2683" s="36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8"/>
      <c r="AS2683" s="38"/>
      <c r="AT2683" s="38"/>
      <c r="AU2683" s="33"/>
      <c r="AV2683" s="39"/>
    </row>
    <row r="2684" spans="4:48">
      <c r="D2684" s="33"/>
      <c r="E2684" s="33"/>
      <c r="F2684" s="33"/>
      <c r="G2684" s="33"/>
      <c r="H2684" s="34"/>
      <c r="J2684" s="36"/>
      <c r="K2684" s="36"/>
      <c r="L2684" s="36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8"/>
      <c r="AS2684" s="38"/>
      <c r="AT2684" s="38"/>
      <c r="AU2684" s="33"/>
      <c r="AV2684" s="39"/>
    </row>
    <row r="2685" spans="4:48">
      <c r="D2685" s="33"/>
      <c r="E2685" s="33"/>
      <c r="F2685" s="33"/>
      <c r="G2685" s="33"/>
      <c r="H2685" s="34"/>
      <c r="J2685" s="36"/>
      <c r="K2685" s="36"/>
      <c r="L2685" s="36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8"/>
      <c r="AS2685" s="38"/>
      <c r="AT2685" s="38"/>
      <c r="AU2685" s="33"/>
      <c r="AV2685" s="39"/>
    </row>
    <row r="2686" spans="4:48">
      <c r="D2686" s="33"/>
      <c r="E2686" s="33"/>
      <c r="F2686" s="33"/>
      <c r="G2686" s="33"/>
      <c r="H2686" s="34"/>
      <c r="J2686" s="36"/>
      <c r="K2686" s="36"/>
      <c r="L2686" s="36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8"/>
      <c r="AS2686" s="38"/>
      <c r="AT2686" s="38"/>
      <c r="AU2686" s="33"/>
      <c r="AV2686" s="39"/>
    </row>
    <row r="2687" spans="4:48">
      <c r="D2687" s="33"/>
      <c r="E2687" s="33"/>
      <c r="F2687" s="33"/>
      <c r="G2687" s="33"/>
      <c r="H2687" s="34"/>
      <c r="J2687" s="36"/>
      <c r="K2687" s="36"/>
      <c r="L2687" s="36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8"/>
      <c r="AS2687" s="38"/>
      <c r="AT2687" s="38"/>
      <c r="AU2687" s="33"/>
      <c r="AV2687" s="39"/>
    </row>
    <row r="2688" spans="4:48">
      <c r="D2688" s="33"/>
      <c r="E2688" s="33"/>
      <c r="F2688" s="33"/>
      <c r="G2688" s="33"/>
      <c r="H2688" s="34"/>
      <c r="J2688" s="36"/>
      <c r="K2688" s="36"/>
      <c r="L2688" s="36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8"/>
      <c r="AS2688" s="38"/>
      <c r="AT2688" s="38"/>
      <c r="AU2688" s="33"/>
      <c r="AV2688" s="39"/>
    </row>
    <row r="2689" spans="4:48">
      <c r="D2689" s="33"/>
      <c r="E2689" s="33"/>
      <c r="F2689" s="33"/>
      <c r="G2689" s="33"/>
      <c r="H2689" s="34"/>
      <c r="J2689" s="36"/>
      <c r="K2689" s="36"/>
      <c r="L2689" s="36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8"/>
      <c r="AS2689" s="38"/>
      <c r="AT2689" s="38"/>
      <c r="AU2689" s="33"/>
      <c r="AV2689" s="39"/>
    </row>
    <row r="2690" spans="4:48">
      <c r="D2690" s="33"/>
      <c r="E2690" s="33"/>
      <c r="F2690" s="33"/>
      <c r="G2690" s="33"/>
      <c r="H2690" s="34"/>
      <c r="J2690" s="36"/>
      <c r="K2690" s="36"/>
      <c r="L2690" s="36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8"/>
      <c r="AS2690" s="38"/>
      <c r="AT2690" s="38"/>
      <c r="AU2690" s="33"/>
      <c r="AV2690" s="39"/>
    </row>
    <row r="2691" spans="4:48">
      <c r="D2691" s="33"/>
      <c r="E2691" s="33"/>
      <c r="F2691" s="33"/>
      <c r="G2691" s="33"/>
      <c r="H2691" s="34"/>
      <c r="J2691" s="36"/>
      <c r="K2691" s="36"/>
      <c r="L2691" s="36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8"/>
      <c r="AS2691" s="38"/>
      <c r="AT2691" s="38"/>
      <c r="AU2691" s="33"/>
      <c r="AV2691" s="39"/>
    </row>
    <row r="2692" spans="1:48">
      <c r="A2692" s="21"/>
      <c r="D2692" s="33"/>
      <c r="E2692" s="33"/>
      <c r="F2692" s="33"/>
      <c r="G2692" s="33"/>
      <c r="H2692" s="34"/>
      <c r="J2692" s="36"/>
      <c r="K2692" s="36"/>
      <c r="L2692" s="36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8"/>
      <c r="AS2692" s="38"/>
      <c r="AT2692" s="38"/>
      <c r="AU2692" s="33"/>
      <c r="AV2692" s="39"/>
    </row>
    <row r="2693" spans="1:48">
      <c r="A2693" s="21"/>
      <c r="D2693" s="33"/>
      <c r="E2693" s="33"/>
      <c r="F2693" s="33"/>
      <c r="G2693" s="33"/>
      <c r="H2693" s="34"/>
      <c r="J2693" s="36"/>
      <c r="K2693" s="36"/>
      <c r="L2693" s="36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8"/>
      <c r="AS2693" s="38"/>
      <c r="AT2693" s="38"/>
      <c r="AU2693" s="33"/>
      <c r="AV2693" s="39"/>
    </row>
    <row r="2694" spans="1:48">
      <c r="A2694" s="21"/>
      <c r="D2694" s="33"/>
      <c r="E2694" s="33"/>
      <c r="F2694" s="33"/>
      <c r="G2694" s="33"/>
      <c r="H2694" s="34"/>
      <c r="J2694" s="36"/>
      <c r="K2694" s="36"/>
      <c r="L2694" s="36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8"/>
      <c r="AS2694" s="38"/>
      <c r="AT2694" s="38"/>
      <c r="AU2694" s="33"/>
      <c r="AV2694" s="39"/>
    </row>
    <row r="2695" spans="1:48">
      <c r="A2695" s="21"/>
      <c r="D2695" s="33"/>
      <c r="E2695" s="33"/>
      <c r="F2695" s="33"/>
      <c r="G2695" s="33"/>
      <c r="H2695" s="34"/>
      <c r="J2695" s="36"/>
      <c r="K2695" s="36"/>
      <c r="L2695" s="36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8"/>
      <c r="AS2695" s="38"/>
      <c r="AT2695" s="38"/>
      <c r="AU2695" s="33"/>
      <c r="AV2695" s="39"/>
    </row>
    <row r="2696" spans="1:48">
      <c r="A2696" s="21"/>
      <c r="D2696" s="33"/>
      <c r="E2696" s="33"/>
      <c r="F2696" s="33"/>
      <c r="G2696" s="33"/>
      <c r="H2696" s="34"/>
      <c r="J2696" s="36"/>
      <c r="K2696" s="36"/>
      <c r="L2696" s="36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8"/>
      <c r="AS2696" s="38"/>
      <c r="AT2696" s="38"/>
      <c r="AU2696" s="33"/>
      <c r="AV2696" s="39"/>
    </row>
    <row r="2697" spans="1:48">
      <c r="A2697" s="21"/>
      <c r="D2697" s="33"/>
      <c r="E2697" s="33"/>
      <c r="F2697" s="33"/>
      <c r="G2697" s="33"/>
      <c r="H2697" s="34"/>
      <c r="J2697" s="36"/>
      <c r="K2697" s="36"/>
      <c r="L2697" s="36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8"/>
      <c r="AS2697" s="38"/>
      <c r="AT2697" s="38"/>
      <c r="AU2697" s="33"/>
      <c r="AV2697" s="39"/>
    </row>
    <row r="2698" spans="1:48">
      <c r="A2698" s="21"/>
      <c r="D2698" s="33"/>
      <c r="E2698" s="33"/>
      <c r="F2698" s="33"/>
      <c r="G2698" s="33"/>
      <c r="H2698" s="34"/>
      <c r="J2698" s="36"/>
      <c r="K2698" s="36"/>
      <c r="L2698" s="36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8"/>
      <c r="AS2698" s="38"/>
      <c r="AT2698" s="38"/>
      <c r="AU2698" s="33"/>
      <c r="AV2698" s="39"/>
    </row>
    <row r="2699" spans="1:48">
      <c r="A2699" s="21"/>
      <c r="D2699" s="33"/>
      <c r="E2699" s="33"/>
      <c r="F2699" s="33"/>
      <c r="G2699" s="33"/>
      <c r="H2699" s="34"/>
      <c r="J2699" s="36"/>
      <c r="K2699" s="36"/>
      <c r="L2699" s="36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8"/>
      <c r="AS2699" s="38"/>
      <c r="AT2699" s="38"/>
      <c r="AU2699" s="33"/>
      <c r="AV2699" s="39"/>
    </row>
    <row r="2700" spans="4:48">
      <c r="D2700" s="33"/>
      <c r="E2700" s="33"/>
      <c r="F2700" s="33"/>
      <c r="G2700" s="33"/>
      <c r="H2700" s="34"/>
      <c r="J2700" s="36"/>
      <c r="K2700" s="36"/>
      <c r="L2700" s="36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8"/>
      <c r="AS2700" s="38"/>
      <c r="AT2700" s="38"/>
      <c r="AU2700" s="33"/>
      <c r="AV2700" s="39"/>
    </row>
    <row r="2701" spans="4:48">
      <c r="D2701" s="33"/>
      <c r="E2701" s="33"/>
      <c r="F2701" s="33"/>
      <c r="G2701" s="33"/>
      <c r="H2701" s="34"/>
      <c r="J2701" s="36"/>
      <c r="K2701" s="36"/>
      <c r="L2701" s="36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8"/>
      <c r="AS2701" s="38"/>
      <c r="AT2701" s="38"/>
      <c r="AU2701" s="33"/>
      <c r="AV2701" s="39"/>
    </row>
    <row r="2702" spans="4:48">
      <c r="D2702" s="33"/>
      <c r="E2702" s="33"/>
      <c r="F2702" s="33"/>
      <c r="G2702" s="33"/>
      <c r="H2702" s="34"/>
      <c r="J2702" s="36"/>
      <c r="K2702" s="36"/>
      <c r="L2702" s="36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8"/>
      <c r="AS2702" s="38"/>
      <c r="AT2702" s="38"/>
      <c r="AU2702" s="33"/>
      <c r="AV2702" s="39"/>
    </row>
    <row r="2703" spans="4:48">
      <c r="D2703" s="33"/>
      <c r="E2703" s="33"/>
      <c r="F2703" s="33"/>
      <c r="G2703" s="33"/>
      <c r="H2703" s="34"/>
      <c r="J2703" s="36"/>
      <c r="K2703" s="36"/>
      <c r="L2703" s="36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8"/>
      <c r="AS2703" s="38"/>
      <c r="AT2703" s="38"/>
      <c r="AU2703" s="33"/>
      <c r="AV2703" s="39"/>
    </row>
    <row r="2704" spans="4:48">
      <c r="D2704" s="33"/>
      <c r="E2704" s="33"/>
      <c r="F2704" s="33"/>
      <c r="G2704" s="33"/>
      <c r="H2704" s="34"/>
      <c r="J2704" s="36"/>
      <c r="K2704" s="36"/>
      <c r="L2704" s="36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8"/>
      <c r="AS2704" s="38"/>
      <c r="AT2704" s="38"/>
      <c r="AU2704" s="33"/>
      <c r="AV2704" s="39"/>
    </row>
    <row r="2705" spans="4:48">
      <c r="D2705" s="33"/>
      <c r="E2705" s="33"/>
      <c r="F2705" s="33"/>
      <c r="G2705" s="33"/>
      <c r="H2705" s="34"/>
      <c r="J2705" s="36"/>
      <c r="K2705" s="36"/>
      <c r="L2705" s="36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8"/>
      <c r="AS2705" s="38"/>
      <c r="AT2705" s="38"/>
      <c r="AU2705" s="33"/>
      <c r="AV2705" s="39"/>
    </row>
    <row r="2706" spans="4:48">
      <c r="D2706" s="33"/>
      <c r="E2706" s="33"/>
      <c r="F2706" s="33"/>
      <c r="G2706" s="33"/>
      <c r="H2706" s="34"/>
      <c r="J2706" s="36"/>
      <c r="K2706" s="36"/>
      <c r="L2706" s="36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8"/>
      <c r="AS2706" s="38"/>
      <c r="AT2706" s="38"/>
      <c r="AU2706" s="33"/>
      <c r="AV2706" s="39"/>
    </row>
    <row r="2707" spans="4:48">
      <c r="D2707" s="33"/>
      <c r="E2707" s="33"/>
      <c r="F2707" s="33"/>
      <c r="G2707" s="33"/>
      <c r="H2707" s="34"/>
      <c r="J2707" s="36"/>
      <c r="K2707" s="36"/>
      <c r="L2707" s="36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8"/>
      <c r="AS2707" s="38"/>
      <c r="AT2707" s="38"/>
      <c r="AU2707" s="33"/>
      <c r="AV2707" s="39"/>
    </row>
    <row r="2708" spans="4:48">
      <c r="D2708" s="33"/>
      <c r="E2708" s="33"/>
      <c r="F2708" s="33"/>
      <c r="G2708" s="33"/>
      <c r="H2708" s="34"/>
      <c r="J2708" s="36"/>
      <c r="K2708" s="36"/>
      <c r="L2708" s="36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8"/>
      <c r="AS2708" s="38"/>
      <c r="AT2708" s="38"/>
      <c r="AU2708" s="33"/>
      <c r="AV2708" s="39"/>
    </row>
    <row r="2709" spans="4:48">
      <c r="D2709" s="33"/>
      <c r="E2709" s="33"/>
      <c r="F2709" s="33"/>
      <c r="G2709" s="33"/>
      <c r="H2709" s="34"/>
      <c r="J2709" s="36"/>
      <c r="K2709" s="36"/>
      <c r="L2709" s="36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8"/>
      <c r="AS2709" s="38"/>
      <c r="AT2709" s="38"/>
      <c r="AU2709" s="33"/>
      <c r="AV2709" s="39"/>
    </row>
    <row r="2710" spans="4:48">
      <c r="D2710" s="33"/>
      <c r="E2710" s="33"/>
      <c r="F2710" s="33"/>
      <c r="G2710" s="33"/>
      <c r="H2710" s="34"/>
      <c r="J2710" s="36"/>
      <c r="K2710" s="36"/>
      <c r="L2710" s="36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8"/>
      <c r="AS2710" s="38"/>
      <c r="AT2710" s="38"/>
      <c r="AU2710" s="33"/>
      <c r="AV2710" s="39"/>
    </row>
    <row r="2711" spans="4:48">
      <c r="D2711" s="33"/>
      <c r="E2711" s="33"/>
      <c r="F2711" s="33"/>
      <c r="G2711" s="33"/>
      <c r="H2711" s="34"/>
      <c r="J2711" s="36"/>
      <c r="K2711" s="36"/>
      <c r="L2711" s="36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8"/>
      <c r="AS2711" s="38"/>
      <c r="AT2711" s="38"/>
      <c r="AU2711" s="33"/>
      <c r="AV2711" s="39"/>
    </row>
    <row r="2712" spans="4:48">
      <c r="D2712" s="33"/>
      <c r="E2712" s="33"/>
      <c r="F2712" s="33"/>
      <c r="G2712" s="33"/>
      <c r="H2712" s="34"/>
      <c r="J2712" s="36"/>
      <c r="K2712" s="36"/>
      <c r="L2712" s="36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8"/>
      <c r="AS2712" s="38"/>
      <c r="AT2712" s="38"/>
      <c r="AU2712" s="33"/>
      <c r="AV2712" s="39"/>
    </row>
    <row r="2713" spans="4:48">
      <c r="D2713" s="33"/>
      <c r="E2713" s="33"/>
      <c r="F2713" s="33"/>
      <c r="G2713" s="33"/>
      <c r="H2713" s="34"/>
      <c r="J2713" s="36"/>
      <c r="K2713" s="36"/>
      <c r="L2713" s="36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8"/>
      <c r="AS2713" s="38"/>
      <c r="AT2713" s="38"/>
      <c r="AU2713" s="33"/>
      <c r="AV2713" s="39"/>
    </row>
    <row r="2714" spans="4:48">
      <c r="D2714" s="33"/>
      <c r="E2714" s="33"/>
      <c r="F2714" s="33"/>
      <c r="G2714" s="33"/>
      <c r="H2714" s="34"/>
      <c r="J2714" s="36"/>
      <c r="K2714" s="36"/>
      <c r="L2714" s="36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8"/>
      <c r="AS2714" s="38"/>
      <c r="AT2714" s="38"/>
      <c r="AU2714" s="33"/>
      <c r="AV2714" s="39"/>
    </row>
    <row r="2715" spans="4:48">
      <c r="D2715" s="33"/>
      <c r="E2715" s="33"/>
      <c r="F2715" s="33"/>
      <c r="G2715" s="33"/>
      <c r="H2715" s="34"/>
      <c r="J2715" s="36"/>
      <c r="K2715" s="36"/>
      <c r="L2715" s="36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8"/>
      <c r="AS2715" s="38"/>
      <c r="AT2715" s="38"/>
      <c r="AU2715" s="33"/>
      <c r="AV2715" s="39"/>
    </row>
    <row r="2716" spans="4:48">
      <c r="D2716" s="33"/>
      <c r="E2716" s="33"/>
      <c r="F2716" s="33"/>
      <c r="G2716" s="33"/>
      <c r="H2716" s="34"/>
      <c r="J2716" s="36"/>
      <c r="K2716" s="36"/>
      <c r="L2716" s="36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8"/>
      <c r="AS2716" s="38"/>
      <c r="AT2716" s="38"/>
      <c r="AU2716" s="33"/>
      <c r="AV2716" s="39"/>
    </row>
    <row r="2717" spans="4:48">
      <c r="D2717" s="33"/>
      <c r="E2717" s="33"/>
      <c r="F2717" s="33"/>
      <c r="G2717" s="33"/>
      <c r="H2717" s="34"/>
      <c r="J2717" s="36"/>
      <c r="K2717" s="36"/>
      <c r="L2717" s="36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8"/>
      <c r="AS2717" s="38"/>
      <c r="AT2717" s="38"/>
      <c r="AU2717" s="33"/>
      <c r="AV2717" s="39"/>
    </row>
    <row r="2718" spans="4:48">
      <c r="D2718" s="33"/>
      <c r="E2718" s="33"/>
      <c r="F2718" s="33"/>
      <c r="G2718" s="33"/>
      <c r="H2718" s="34"/>
      <c r="J2718" s="36"/>
      <c r="K2718" s="36"/>
      <c r="L2718" s="36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8"/>
      <c r="AS2718" s="38"/>
      <c r="AT2718" s="38"/>
      <c r="AU2718" s="33"/>
      <c r="AV2718" s="39"/>
    </row>
    <row r="2719" spans="4:48">
      <c r="D2719" s="33"/>
      <c r="E2719" s="33"/>
      <c r="F2719" s="33"/>
      <c r="G2719" s="33"/>
      <c r="H2719" s="34"/>
      <c r="J2719" s="36"/>
      <c r="K2719" s="36"/>
      <c r="L2719" s="36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8"/>
      <c r="AS2719" s="38"/>
      <c r="AT2719" s="38"/>
      <c r="AU2719" s="33"/>
      <c r="AV2719" s="39"/>
    </row>
    <row r="2720" spans="4:48">
      <c r="D2720" s="33"/>
      <c r="E2720" s="33"/>
      <c r="F2720" s="33"/>
      <c r="G2720" s="33"/>
      <c r="H2720" s="34"/>
      <c r="J2720" s="36"/>
      <c r="K2720" s="36"/>
      <c r="L2720" s="36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8"/>
      <c r="AS2720" s="38"/>
      <c r="AT2720" s="38"/>
      <c r="AU2720" s="33"/>
      <c r="AV2720" s="39"/>
    </row>
    <row r="2721" spans="4:48">
      <c r="D2721" s="33"/>
      <c r="E2721" s="33"/>
      <c r="F2721" s="33"/>
      <c r="G2721" s="33"/>
      <c r="H2721" s="34"/>
      <c r="J2721" s="36"/>
      <c r="K2721" s="36"/>
      <c r="L2721" s="36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8"/>
      <c r="AS2721" s="38"/>
      <c r="AT2721" s="38"/>
      <c r="AU2721" s="33"/>
      <c r="AV2721" s="39"/>
    </row>
    <row r="2722" spans="4:48">
      <c r="D2722" s="33"/>
      <c r="E2722" s="33"/>
      <c r="F2722" s="33"/>
      <c r="G2722" s="33"/>
      <c r="H2722" s="34"/>
      <c r="J2722" s="36"/>
      <c r="K2722" s="36"/>
      <c r="L2722" s="36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8"/>
      <c r="AS2722" s="38"/>
      <c r="AT2722" s="38"/>
      <c r="AU2722" s="33"/>
      <c r="AV2722" s="39"/>
    </row>
    <row r="2723" spans="4:48">
      <c r="D2723" s="33"/>
      <c r="E2723" s="33"/>
      <c r="F2723" s="33"/>
      <c r="G2723" s="33"/>
      <c r="H2723" s="34"/>
      <c r="J2723" s="36"/>
      <c r="K2723" s="36"/>
      <c r="L2723" s="36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8"/>
      <c r="AS2723" s="38"/>
      <c r="AT2723" s="38"/>
      <c r="AU2723" s="33"/>
      <c r="AV2723" s="39"/>
    </row>
    <row r="2724" spans="4:48">
      <c r="D2724" s="33"/>
      <c r="E2724" s="33"/>
      <c r="F2724" s="33"/>
      <c r="G2724" s="33"/>
      <c r="H2724" s="34"/>
      <c r="J2724" s="36"/>
      <c r="K2724" s="36"/>
      <c r="L2724" s="36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8"/>
      <c r="AS2724" s="38"/>
      <c r="AT2724" s="38"/>
      <c r="AU2724" s="33"/>
      <c r="AV2724" s="39"/>
    </row>
    <row r="2725" spans="4:48">
      <c r="D2725" s="33"/>
      <c r="E2725" s="33"/>
      <c r="F2725" s="33"/>
      <c r="G2725" s="33"/>
      <c r="H2725" s="34"/>
      <c r="J2725" s="36"/>
      <c r="K2725" s="36"/>
      <c r="L2725" s="36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8"/>
      <c r="AS2725" s="38"/>
      <c r="AT2725" s="38"/>
      <c r="AU2725" s="33"/>
      <c r="AV2725" s="39"/>
    </row>
    <row r="2726" spans="4:48">
      <c r="D2726" s="33"/>
      <c r="E2726" s="33"/>
      <c r="F2726" s="33"/>
      <c r="G2726" s="33"/>
      <c r="H2726" s="34"/>
      <c r="J2726" s="36"/>
      <c r="K2726" s="36"/>
      <c r="L2726" s="36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8"/>
      <c r="AS2726" s="38"/>
      <c r="AT2726" s="38"/>
      <c r="AU2726" s="33"/>
      <c r="AV2726" s="39"/>
    </row>
    <row r="2727" spans="4:48">
      <c r="D2727" s="33"/>
      <c r="E2727" s="33"/>
      <c r="F2727" s="33"/>
      <c r="G2727" s="33"/>
      <c r="H2727" s="34"/>
      <c r="J2727" s="36"/>
      <c r="K2727" s="36"/>
      <c r="L2727" s="36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8"/>
      <c r="AS2727" s="38"/>
      <c r="AT2727" s="38"/>
      <c r="AU2727" s="33"/>
      <c r="AV2727" s="39"/>
    </row>
    <row r="2728" spans="4:48">
      <c r="D2728" s="33"/>
      <c r="E2728" s="33"/>
      <c r="F2728" s="33"/>
      <c r="G2728" s="33"/>
      <c r="H2728" s="34"/>
      <c r="J2728" s="36"/>
      <c r="K2728" s="36"/>
      <c r="L2728" s="36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8"/>
      <c r="AS2728" s="38"/>
      <c r="AT2728" s="38"/>
      <c r="AU2728" s="33"/>
      <c r="AV2728" s="39"/>
    </row>
    <row r="2729" spans="4:48">
      <c r="D2729" s="33"/>
      <c r="E2729" s="33"/>
      <c r="F2729" s="33"/>
      <c r="G2729" s="33"/>
      <c r="H2729" s="34"/>
      <c r="J2729" s="36"/>
      <c r="K2729" s="36"/>
      <c r="L2729" s="36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8"/>
      <c r="AS2729" s="38"/>
      <c r="AT2729" s="38"/>
      <c r="AU2729" s="33"/>
      <c r="AV2729" s="39"/>
    </row>
    <row r="2730" spans="4:48">
      <c r="D2730" s="33"/>
      <c r="E2730" s="33"/>
      <c r="F2730" s="33"/>
      <c r="G2730" s="33"/>
      <c r="H2730" s="34"/>
      <c r="J2730" s="36"/>
      <c r="K2730" s="36"/>
      <c r="L2730" s="36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8"/>
      <c r="AS2730" s="38"/>
      <c r="AT2730" s="38"/>
      <c r="AU2730" s="33"/>
      <c r="AV2730" s="39"/>
    </row>
    <row r="2731" spans="4:48">
      <c r="D2731" s="33"/>
      <c r="E2731" s="33"/>
      <c r="F2731" s="33"/>
      <c r="G2731" s="33"/>
      <c r="H2731" s="34"/>
      <c r="J2731" s="36"/>
      <c r="K2731" s="36"/>
      <c r="L2731" s="36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8"/>
      <c r="AS2731" s="38"/>
      <c r="AT2731" s="38"/>
      <c r="AU2731" s="33"/>
      <c r="AV2731" s="39"/>
    </row>
    <row r="2732" spans="4:48">
      <c r="D2732" s="33"/>
      <c r="E2732" s="33"/>
      <c r="F2732" s="33"/>
      <c r="G2732" s="33"/>
      <c r="H2732" s="34"/>
      <c r="J2732" s="36"/>
      <c r="K2732" s="36"/>
      <c r="L2732" s="36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8"/>
      <c r="AS2732" s="38"/>
      <c r="AT2732" s="38"/>
      <c r="AU2732" s="33"/>
      <c r="AV2732" s="39"/>
    </row>
    <row r="2733" spans="4:48">
      <c r="D2733" s="33"/>
      <c r="E2733" s="33"/>
      <c r="F2733" s="33"/>
      <c r="G2733" s="33"/>
      <c r="H2733" s="34"/>
      <c r="J2733" s="36"/>
      <c r="K2733" s="36"/>
      <c r="L2733" s="36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8"/>
      <c r="AS2733" s="38"/>
      <c r="AT2733" s="38"/>
      <c r="AU2733" s="33"/>
      <c r="AV2733" s="39"/>
    </row>
    <row r="2734" spans="4:48">
      <c r="D2734" s="33"/>
      <c r="E2734" s="33"/>
      <c r="F2734" s="33"/>
      <c r="G2734" s="33"/>
      <c r="H2734" s="34"/>
      <c r="J2734" s="36"/>
      <c r="K2734" s="36"/>
      <c r="L2734" s="36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8"/>
      <c r="AS2734" s="38"/>
      <c r="AT2734" s="38"/>
      <c r="AU2734" s="33"/>
      <c r="AV2734" s="39"/>
    </row>
    <row r="2735" spans="4:48">
      <c r="D2735" s="33"/>
      <c r="E2735" s="33"/>
      <c r="F2735" s="33"/>
      <c r="G2735" s="33"/>
      <c r="H2735" s="34"/>
      <c r="J2735" s="36"/>
      <c r="K2735" s="36"/>
      <c r="L2735" s="36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8"/>
      <c r="AS2735" s="38"/>
      <c r="AT2735" s="38"/>
      <c r="AU2735" s="33"/>
      <c r="AV2735" s="39"/>
    </row>
    <row r="2736" spans="4:48">
      <c r="D2736" s="33"/>
      <c r="E2736" s="33"/>
      <c r="F2736" s="33"/>
      <c r="G2736" s="33"/>
      <c r="H2736" s="34"/>
      <c r="J2736" s="36"/>
      <c r="K2736" s="36"/>
      <c r="L2736" s="36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8"/>
      <c r="AS2736" s="38"/>
      <c r="AT2736" s="38"/>
      <c r="AU2736" s="33"/>
      <c r="AV2736" s="39"/>
    </row>
    <row r="2737" spans="4:48">
      <c r="D2737" s="33"/>
      <c r="E2737" s="33"/>
      <c r="F2737" s="33"/>
      <c r="G2737" s="33"/>
      <c r="H2737" s="34"/>
      <c r="J2737" s="36"/>
      <c r="K2737" s="36"/>
      <c r="L2737" s="36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8"/>
      <c r="AS2737" s="38"/>
      <c r="AT2737" s="38"/>
      <c r="AU2737" s="33"/>
      <c r="AV2737" s="39"/>
    </row>
    <row r="2738" spans="4:48">
      <c r="D2738" s="33"/>
      <c r="E2738" s="33"/>
      <c r="F2738" s="33"/>
      <c r="G2738" s="33"/>
      <c r="H2738" s="34"/>
      <c r="J2738" s="36"/>
      <c r="K2738" s="36"/>
      <c r="L2738" s="36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8"/>
      <c r="AS2738" s="38"/>
      <c r="AT2738" s="38"/>
      <c r="AU2738" s="33"/>
      <c r="AV2738" s="39"/>
    </row>
    <row r="2739" spans="4:48">
      <c r="D2739" s="33"/>
      <c r="E2739" s="33"/>
      <c r="F2739" s="33"/>
      <c r="G2739" s="33"/>
      <c r="H2739" s="34"/>
      <c r="J2739" s="36"/>
      <c r="K2739" s="36"/>
      <c r="L2739" s="36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8"/>
      <c r="AS2739" s="38"/>
      <c r="AT2739" s="38"/>
      <c r="AU2739" s="33"/>
      <c r="AV2739" s="39"/>
    </row>
    <row r="2740" spans="4:48">
      <c r="D2740" s="33"/>
      <c r="E2740" s="33"/>
      <c r="F2740" s="33"/>
      <c r="G2740" s="33"/>
      <c r="H2740" s="34"/>
      <c r="J2740" s="36"/>
      <c r="K2740" s="36"/>
      <c r="L2740" s="36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8"/>
      <c r="AS2740" s="38"/>
      <c r="AT2740" s="38"/>
      <c r="AU2740" s="33"/>
      <c r="AV2740" s="39"/>
    </row>
    <row r="2741" spans="4:48">
      <c r="D2741" s="33"/>
      <c r="E2741" s="33"/>
      <c r="F2741" s="33"/>
      <c r="G2741" s="33"/>
      <c r="H2741" s="34"/>
      <c r="J2741" s="36"/>
      <c r="K2741" s="36"/>
      <c r="L2741" s="36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8"/>
      <c r="AS2741" s="38"/>
      <c r="AT2741" s="38"/>
      <c r="AU2741" s="33"/>
      <c r="AV2741" s="39"/>
    </row>
    <row r="2742" spans="4:48">
      <c r="D2742" s="33"/>
      <c r="E2742" s="33"/>
      <c r="F2742" s="33"/>
      <c r="G2742" s="33"/>
      <c r="H2742" s="34"/>
      <c r="J2742" s="36"/>
      <c r="K2742" s="36"/>
      <c r="L2742" s="36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8"/>
      <c r="AS2742" s="38"/>
      <c r="AT2742" s="38"/>
      <c r="AU2742" s="33"/>
      <c r="AV2742" s="39"/>
    </row>
    <row r="2743" spans="4:48">
      <c r="D2743" s="33"/>
      <c r="E2743" s="33"/>
      <c r="F2743" s="33"/>
      <c r="G2743" s="33"/>
      <c r="H2743" s="34"/>
      <c r="J2743" s="36"/>
      <c r="K2743" s="36"/>
      <c r="L2743" s="36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8"/>
      <c r="AS2743" s="38"/>
      <c r="AT2743" s="38"/>
      <c r="AU2743" s="33"/>
      <c r="AV2743" s="39"/>
    </row>
    <row r="2744" spans="4:48">
      <c r="D2744" s="33"/>
      <c r="E2744" s="33"/>
      <c r="F2744" s="33"/>
      <c r="G2744" s="33"/>
      <c r="H2744" s="34"/>
      <c r="J2744" s="36"/>
      <c r="K2744" s="36"/>
      <c r="L2744" s="36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8"/>
      <c r="AS2744" s="38"/>
      <c r="AT2744" s="38"/>
      <c r="AU2744" s="33"/>
      <c r="AV2744" s="39"/>
    </row>
    <row r="2745" spans="4:48">
      <c r="D2745" s="33"/>
      <c r="E2745" s="33"/>
      <c r="F2745" s="33"/>
      <c r="G2745" s="33"/>
      <c r="H2745" s="34"/>
      <c r="J2745" s="36"/>
      <c r="K2745" s="36"/>
      <c r="L2745" s="36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8"/>
      <c r="AS2745" s="38"/>
      <c r="AT2745" s="38"/>
      <c r="AU2745" s="33"/>
      <c r="AV2745" s="39"/>
    </row>
    <row r="2746" spans="4:48">
      <c r="D2746" s="33"/>
      <c r="E2746" s="33"/>
      <c r="F2746" s="33"/>
      <c r="G2746" s="33"/>
      <c r="H2746" s="34"/>
      <c r="J2746" s="36"/>
      <c r="K2746" s="36"/>
      <c r="L2746" s="36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8"/>
      <c r="AS2746" s="38"/>
      <c r="AT2746" s="38"/>
      <c r="AU2746" s="33"/>
      <c r="AV2746" s="39"/>
    </row>
    <row r="2747" spans="4:48">
      <c r="D2747" s="33"/>
      <c r="E2747" s="33"/>
      <c r="F2747" s="33"/>
      <c r="G2747" s="33"/>
      <c r="H2747" s="34"/>
      <c r="J2747" s="36"/>
      <c r="K2747" s="36"/>
      <c r="L2747" s="36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8"/>
      <c r="AS2747" s="38"/>
      <c r="AT2747" s="38"/>
      <c r="AU2747" s="33"/>
      <c r="AV2747" s="39"/>
    </row>
    <row r="2748" spans="4:48">
      <c r="D2748" s="33"/>
      <c r="E2748" s="33"/>
      <c r="F2748" s="33"/>
      <c r="G2748" s="33"/>
      <c r="H2748" s="34"/>
      <c r="J2748" s="36"/>
      <c r="K2748" s="36"/>
      <c r="L2748" s="36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8"/>
      <c r="AS2748" s="38"/>
      <c r="AT2748" s="38"/>
      <c r="AU2748" s="33"/>
      <c r="AV2748" s="39"/>
    </row>
    <row r="2749" spans="4:48">
      <c r="D2749" s="33"/>
      <c r="E2749" s="33"/>
      <c r="F2749" s="33"/>
      <c r="G2749" s="33"/>
      <c r="H2749" s="34"/>
      <c r="J2749" s="36"/>
      <c r="K2749" s="36"/>
      <c r="L2749" s="36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8"/>
      <c r="AS2749" s="38"/>
      <c r="AT2749" s="38"/>
      <c r="AU2749" s="33"/>
      <c r="AV2749" s="39"/>
    </row>
    <row r="2750" spans="4:48">
      <c r="D2750" s="33"/>
      <c r="E2750" s="33"/>
      <c r="F2750" s="33"/>
      <c r="G2750" s="33"/>
      <c r="H2750" s="34"/>
      <c r="J2750" s="36"/>
      <c r="K2750" s="36"/>
      <c r="L2750" s="36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8"/>
      <c r="AS2750" s="38"/>
      <c r="AT2750" s="38"/>
      <c r="AU2750" s="33"/>
      <c r="AV2750" s="39"/>
    </row>
    <row r="2751" spans="4:48">
      <c r="D2751" s="33"/>
      <c r="E2751" s="33"/>
      <c r="F2751" s="33"/>
      <c r="G2751" s="33"/>
      <c r="H2751" s="34"/>
      <c r="J2751" s="36"/>
      <c r="K2751" s="36"/>
      <c r="L2751" s="36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8"/>
      <c r="AS2751" s="38"/>
      <c r="AT2751" s="38"/>
      <c r="AU2751" s="33"/>
      <c r="AV2751" s="39"/>
    </row>
    <row r="2752" spans="4:48">
      <c r="D2752" s="33"/>
      <c r="E2752" s="33"/>
      <c r="F2752" s="33"/>
      <c r="G2752" s="33"/>
      <c r="H2752" s="34"/>
      <c r="J2752" s="36"/>
      <c r="K2752" s="36"/>
      <c r="L2752" s="36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8"/>
      <c r="AS2752" s="38"/>
      <c r="AT2752" s="38"/>
      <c r="AU2752" s="33"/>
      <c r="AV2752" s="39"/>
    </row>
    <row r="2753" spans="4:48">
      <c r="D2753" s="33"/>
      <c r="E2753" s="33"/>
      <c r="F2753" s="33"/>
      <c r="G2753" s="33"/>
      <c r="H2753" s="34"/>
      <c r="J2753" s="36"/>
      <c r="K2753" s="36"/>
      <c r="L2753" s="36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8"/>
      <c r="AS2753" s="38"/>
      <c r="AT2753" s="38"/>
      <c r="AU2753" s="33"/>
      <c r="AV2753" s="39"/>
    </row>
    <row r="2754" spans="4:48">
      <c r="D2754" s="33"/>
      <c r="E2754" s="33"/>
      <c r="F2754" s="33"/>
      <c r="G2754" s="33"/>
      <c r="H2754" s="34"/>
      <c r="J2754" s="36"/>
      <c r="K2754" s="36"/>
      <c r="L2754" s="36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8"/>
      <c r="AS2754" s="38"/>
      <c r="AT2754" s="38"/>
      <c r="AU2754" s="33"/>
      <c r="AV2754" s="39"/>
    </row>
    <row r="2755" spans="4:48">
      <c r="D2755" s="33"/>
      <c r="E2755" s="33"/>
      <c r="F2755" s="33"/>
      <c r="G2755" s="33"/>
      <c r="H2755" s="34"/>
      <c r="J2755" s="36"/>
      <c r="K2755" s="36"/>
      <c r="L2755" s="36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8"/>
      <c r="AS2755" s="38"/>
      <c r="AT2755" s="38"/>
      <c r="AU2755" s="33"/>
      <c r="AV2755" s="39"/>
    </row>
    <row r="2756" spans="4:48">
      <c r="D2756" s="33"/>
      <c r="E2756" s="33"/>
      <c r="F2756" s="33"/>
      <c r="G2756" s="33"/>
      <c r="H2756" s="34"/>
      <c r="J2756" s="36"/>
      <c r="K2756" s="36"/>
      <c r="L2756" s="36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8"/>
      <c r="AS2756" s="38"/>
      <c r="AT2756" s="38"/>
      <c r="AU2756" s="33"/>
      <c r="AV2756" s="39"/>
    </row>
    <row r="2757" spans="4:48">
      <c r="D2757" s="33"/>
      <c r="E2757" s="33"/>
      <c r="F2757" s="33"/>
      <c r="G2757" s="33"/>
      <c r="H2757" s="34"/>
      <c r="J2757" s="36"/>
      <c r="K2757" s="36"/>
      <c r="L2757" s="36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8"/>
      <c r="AS2757" s="38"/>
      <c r="AT2757" s="38"/>
      <c r="AU2757" s="33"/>
      <c r="AV2757" s="39"/>
    </row>
    <row r="2758" spans="4:48">
      <c r="D2758" s="33"/>
      <c r="E2758" s="33"/>
      <c r="F2758" s="33"/>
      <c r="G2758" s="33"/>
      <c r="H2758" s="34"/>
      <c r="J2758" s="36"/>
      <c r="K2758" s="36"/>
      <c r="L2758" s="36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8"/>
      <c r="AS2758" s="38"/>
      <c r="AT2758" s="38"/>
      <c r="AU2758" s="33"/>
      <c r="AV2758" s="39"/>
    </row>
    <row r="2759" spans="4:48">
      <c r="D2759" s="33"/>
      <c r="E2759" s="33"/>
      <c r="F2759" s="33"/>
      <c r="G2759" s="33"/>
      <c r="H2759" s="34"/>
      <c r="J2759" s="36"/>
      <c r="K2759" s="36"/>
      <c r="L2759" s="36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8"/>
      <c r="AS2759" s="38"/>
      <c r="AT2759" s="38"/>
      <c r="AU2759" s="33"/>
      <c r="AV2759" s="39"/>
    </row>
    <row r="2760" spans="4:48">
      <c r="D2760" s="33"/>
      <c r="E2760" s="33"/>
      <c r="F2760" s="33"/>
      <c r="G2760" s="33"/>
      <c r="H2760" s="34"/>
      <c r="J2760" s="36"/>
      <c r="K2760" s="36"/>
      <c r="L2760" s="36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8"/>
      <c r="AS2760" s="38"/>
      <c r="AT2760" s="38"/>
      <c r="AU2760" s="33"/>
      <c r="AV2760" s="39"/>
    </row>
    <row r="2761" spans="4:48">
      <c r="D2761" s="33"/>
      <c r="E2761" s="33"/>
      <c r="F2761" s="33"/>
      <c r="G2761" s="33"/>
      <c r="H2761" s="34"/>
      <c r="J2761" s="36"/>
      <c r="K2761" s="36"/>
      <c r="L2761" s="36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8"/>
      <c r="AS2761" s="38"/>
      <c r="AT2761" s="38"/>
      <c r="AU2761" s="33"/>
      <c r="AV2761" s="39"/>
    </row>
    <row r="2762" spans="4:48">
      <c r="D2762" s="33"/>
      <c r="E2762" s="33"/>
      <c r="F2762" s="33"/>
      <c r="G2762" s="33"/>
      <c r="H2762" s="34"/>
      <c r="J2762" s="36"/>
      <c r="K2762" s="36"/>
      <c r="L2762" s="36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8"/>
      <c r="AS2762" s="38"/>
      <c r="AT2762" s="38"/>
      <c r="AU2762" s="33"/>
      <c r="AV2762" s="39"/>
    </row>
    <row r="2763" spans="4:48">
      <c r="D2763" s="33"/>
      <c r="E2763" s="33"/>
      <c r="F2763" s="33"/>
      <c r="G2763" s="33"/>
      <c r="H2763" s="34"/>
      <c r="J2763" s="36"/>
      <c r="K2763" s="36"/>
      <c r="L2763" s="36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8"/>
      <c r="AS2763" s="38"/>
      <c r="AT2763" s="38"/>
      <c r="AU2763" s="33"/>
      <c r="AV2763" s="39"/>
    </row>
    <row r="2764" spans="4:48">
      <c r="D2764" s="33"/>
      <c r="E2764" s="33"/>
      <c r="F2764" s="33"/>
      <c r="G2764" s="33"/>
      <c r="H2764" s="34"/>
      <c r="J2764" s="36"/>
      <c r="K2764" s="36"/>
      <c r="L2764" s="36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8"/>
      <c r="AS2764" s="38"/>
      <c r="AT2764" s="38"/>
      <c r="AU2764" s="33"/>
      <c r="AV2764" s="39"/>
    </row>
    <row r="2765" spans="4:48">
      <c r="D2765" s="33"/>
      <c r="E2765" s="33"/>
      <c r="F2765" s="33"/>
      <c r="G2765" s="33"/>
      <c r="H2765" s="34"/>
      <c r="J2765" s="36"/>
      <c r="K2765" s="36"/>
      <c r="L2765" s="36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8"/>
      <c r="AS2765" s="38"/>
      <c r="AT2765" s="38"/>
      <c r="AU2765" s="33"/>
      <c r="AV2765" s="39"/>
    </row>
    <row r="2766" spans="4:48">
      <c r="D2766" s="33"/>
      <c r="E2766" s="33"/>
      <c r="F2766" s="33"/>
      <c r="G2766" s="33"/>
      <c r="H2766" s="34"/>
      <c r="J2766" s="36"/>
      <c r="K2766" s="36"/>
      <c r="L2766" s="36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8"/>
      <c r="AS2766" s="38"/>
      <c r="AT2766" s="38"/>
      <c r="AU2766" s="33"/>
      <c r="AV2766" s="39"/>
    </row>
    <row r="2767" spans="4:48">
      <c r="D2767" s="33"/>
      <c r="E2767" s="33"/>
      <c r="F2767" s="33"/>
      <c r="G2767" s="33"/>
      <c r="H2767" s="34"/>
      <c r="J2767" s="36"/>
      <c r="K2767" s="36"/>
      <c r="L2767" s="36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8"/>
      <c r="AS2767" s="38"/>
      <c r="AT2767" s="38"/>
      <c r="AU2767" s="33"/>
      <c r="AV2767" s="39"/>
    </row>
    <row r="2768" spans="4:48">
      <c r="D2768" s="33"/>
      <c r="E2768" s="33"/>
      <c r="F2768" s="33"/>
      <c r="G2768" s="33"/>
      <c r="H2768" s="34"/>
      <c r="J2768" s="36"/>
      <c r="K2768" s="36"/>
      <c r="L2768" s="36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8"/>
      <c r="AS2768" s="38"/>
      <c r="AT2768" s="38"/>
      <c r="AU2768" s="33"/>
      <c r="AV2768" s="39"/>
    </row>
    <row r="2769" spans="4:48">
      <c r="D2769" s="33"/>
      <c r="E2769" s="33"/>
      <c r="F2769" s="33"/>
      <c r="G2769" s="33"/>
      <c r="H2769" s="34"/>
      <c r="J2769" s="36"/>
      <c r="K2769" s="36"/>
      <c r="L2769" s="36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8"/>
      <c r="AS2769" s="38"/>
      <c r="AT2769" s="38"/>
      <c r="AU2769" s="33"/>
      <c r="AV2769" s="39"/>
    </row>
    <row r="2770" spans="4:48">
      <c r="D2770" s="33"/>
      <c r="E2770" s="33"/>
      <c r="F2770" s="33"/>
      <c r="G2770" s="33"/>
      <c r="H2770" s="34"/>
      <c r="J2770" s="36"/>
      <c r="K2770" s="36"/>
      <c r="L2770" s="36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8"/>
      <c r="AS2770" s="38"/>
      <c r="AT2770" s="38"/>
      <c r="AU2770" s="33"/>
      <c r="AV2770" s="39"/>
    </row>
    <row r="2771" spans="4:48">
      <c r="D2771" s="33"/>
      <c r="E2771" s="33"/>
      <c r="F2771" s="33"/>
      <c r="G2771" s="33"/>
      <c r="H2771" s="34"/>
      <c r="J2771" s="36"/>
      <c r="K2771" s="36"/>
      <c r="L2771" s="36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8"/>
      <c r="AS2771" s="38"/>
      <c r="AT2771" s="38"/>
      <c r="AU2771" s="33"/>
      <c r="AV2771" s="39"/>
    </row>
    <row r="2772" spans="4:48">
      <c r="D2772" s="33"/>
      <c r="E2772" s="33"/>
      <c r="F2772" s="33"/>
      <c r="G2772" s="33"/>
      <c r="H2772" s="34"/>
      <c r="J2772" s="36"/>
      <c r="K2772" s="36"/>
      <c r="L2772" s="36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8"/>
      <c r="AS2772" s="38"/>
      <c r="AT2772" s="38"/>
      <c r="AU2772" s="33"/>
      <c r="AV2772" s="39"/>
    </row>
    <row r="2773" spans="4:48">
      <c r="D2773" s="33"/>
      <c r="E2773" s="33"/>
      <c r="F2773" s="33"/>
      <c r="G2773" s="33"/>
      <c r="H2773" s="34"/>
      <c r="J2773" s="36"/>
      <c r="K2773" s="36"/>
      <c r="L2773" s="36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8"/>
      <c r="AS2773" s="38"/>
      <c r="AT2773" s="38"/>
      <c r="AU2773" s="33"/>
      <c r="AV2773" s="39"/>
    </row>
    <row r="2774" spans="4:48">
      <c r="D2774" s="33"/>
      <c r="E2774" s="33"/>
      <c r="F2774" s="33"/>
      <c r="G2774" s="33"/>
      <c r="H2774" s="34"/>
      <c r="J2774" s="36"/>
      <c r="K2774" s="36"/>
      <c r="L2774" s="36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8"/>
      <c r="AS2774" s="38"/>
      <c r="AT2774" s="38"/>
      <c r="AU2774" s="33"/>
      <c r="AV2774" s="39"/>
    </row>
    <row r="2775" spans="4:48">
      <c r="D2775" s="33"/>
      <c r="E2775" s="33"/>
      <c r="F2775" s="33"/>
      <c r="G2775" s="33"/>
      <c r="H2775" s="34"/>
      <c r="J2775" s="36"/>
      <c r="K2775" s="36"/>
      <c r="L2775" s="36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8"/>
      <c r="AS2775" s="38"/>
      <c r="AT2775" s="38"/>
      <c r="AU2775" s="33"/>
      <c r="AV2775" s="39"/>
    </row>
    <row r="2776" spans="4:48">
      <c r="D2776" s="33"/>
      <c r="E2776" s="33"/>
      <c r="F2776" s="33"/>
      <c r="G2776" s="33"/>
      <c r="H2776" s="34"/>
      <c r="J2776" s="36"/>
      <c r="K2776" s="36"/>
      <c r="L2776" s="36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8"/>
      <c r="AS2776" s="38"/>
      <c r="AT2776" s="38"/>
      <c r="AU2776" s="33"/>
      <c r="AV2776" s="39"/>
    </row>
    <row r="2777" spans="4:48">
      <c r="D2777" s="33"/>
      <c r="E2777" s="33"/>
      <c r="F2777" s="33"/>
      <c r="G2777" s="33"/>
      <c r="H2777" s="34"/>
      <c r="J2777" s="36"/>
      <c r="K2777" s="36"/>
      <c r="L2777" s="36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8"/>
      <c r="AS2777" s="38"/>
      <c r="AT2777" s="38"/>
      <c r="AU2777" s="33"/>
      <c r="AV2777" s="39"/>
    </row>
    <row r="2778" spans="4:48">
      <c r="D2778" s="33"/>
      <c r="E2778" s="33"/>
      <c r="F2778" s="33"/>
      <c r="G2778" s="33"/>
      <c r="H2778" s="34"/>
      <c r="J2778" s="36"/>
      <c r="K2778" s="36"/>
      <c r="L2778" s="36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8"/>
      <c r="AS2778" s="38"/>
      <c r="AT2778" s="38"/>
      <c r="AU2778" s="33"/>
      <c r="AV2778" s="39"/>
    </row>
    <row r="2779" spans="4:48">
      <c r="D2779" s="33"/>
      <c r="E2779" s="33"/>
      <c r="F2779" s="33"/>
      <c r="G2779" s="33"/>
      <c r="H2779" s="34"/>
      <c r="J2779" s="36"/>
      <c r="K2779" s="36"/>
      <c r="L2779" s="36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8"/>
      <c r="AS2779" s="38"/>
      <c r="AT2779" s="38"/>
      <c r="AU2779" s="33"/>
      <c r="AV2779" s="39"/>
    </row>
    <row r="2780" spans="4:48">
      <c r="D2780" s="33"/>
      <c r="E2780" s="33"/>
      <c r="F2780" s="33"/>
      <c r="G2780" s="33"/>
      <c r="H2780" s="34"/>
      <c r="J2780" s="36"/>
      <c r="K2780" s="36"/>
      <c r="L2780" s="36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8"/>
      <c r="AS2780" s="38"/>
      <c r="AT2780" s="38"/>
      <c r="AU2780" s="33"/>
      <c r="AV2780" s="39"/>
    </row>
    <row r="2781" spans="4:48">
      <c r="D2781" s="33"/>
      <c r="E2781" s="33"/>
      <c r="F2781" s="33"/>
      <c r="G2781" s="33"/>
      <c r="H2781" s="34"/>
      <c r="J2781" s="36"/>
      <c r="K2781" s="36"/>
      <c r="L2781" s="36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8"/>
      <c r="AS2781" s="38"/>
      <c r="AT2781" s="38"/>
      <c r="AU2781" s="33"/>
      <c r="AV2781" s="39"/>
    </row>
    <row r="2782" spans="4:48">
      <c r="D2782" s="33"/>
      <c r="E2782" s="33"/>
      <c r="F2782" s="33"/>
      <c r="G2782" s="33"/>
      <c r="H2782" s="34"/>
      <c r="J2782" s="36"/>
      <c r="K2782" s="36"/>
      <c r="L2782" s="36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8"/>
      <c r="AS2782" s="38"/>
      <c r="AT2782" s="38"/>
      <c r="AU2782" s="33"/>
      <c r="AV2782" s="39"/>
    </row>
    <row r="2783" spans="4:48">
      <c r="D2783" s="33"/>
      <c r="E2783" s="33"/>
      <c r="F2783" s="33"/>
      <c r="G2783" s="33"/>
      <c r="H2783" s="34"/>
      <c r="J2783" s="36"/>
      <c r="K2783" s="36"/>
      <c r="L2783" s="36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8"/>
      <c r="AS2783" s="38"/>
      <c r="AT2783" s="38"/>
      <c r="AU2783" s="33"/>
      <c r="AV2783" s="39"/>
    </row>
    <row r="2784" spans="4:48">
      <c r="D2784" s="33"/>
      <c r="E2784" s="33"/>
      <c r="F2784" s="33"/>
      <c r="G2784" s="33"/>
      <c r="H2784" s="34"/>
      <c r="J2784" s="36"/>
      <c r="K2784" s="36"/>
      <c r="L2784" s="36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8"/>
      <c r="AS2784" s="38"/>
      <c r="AT2784" s="38"/>
      <c r="AU2784" s="33"/>
      <c r="AV2784" s="39"/>
    </row>
    <row r="2785" spans="4:48">
      <c r="D2785" s="33"/>
      <c r="E2785" s="33"/>
      <c r="F2785" s="33"/>
      <c r="G2785" s="33"/>
      <c r="H2785" s="34"/>
      <c r="J2785" s="36"/>
      <c r="K2785" s="36"/>
      <c r="L2785" s="36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8"/>
      <c r="AS2785" s="38"/>
      <c r="AT2785" s="38"/>
      <c r="AU2785" s="33"/>
      <c r="AV2785" s="39"/>
    </row>
    <row r="2786" spans="4:48">
      <c r="D2786" s="33"/>
      <c r="E2786" s="33"/>
      <c r="F2786" s="33"/>
      <c r="G2786" s="33"/>
      <c r="H2786" s="34"/>
      <c r="J2786" s="36"/>
      <c r="K2786" s="36"/>
      <c r="L2786" s="36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8"/>
      <c r="AS2786" s="38"/>
      <c r="AT2786" s="38"/>
      <c r="AU2786" s="33"/>
      <c r="AV2786" s="39"/>
    </row>
    <row r="2787" spans="4:48">
      <c r="D2787" s="33"/>
      <c r="E2787" s="33"/>
      <c r="F2787" s="33"/>
      <c r="G2787" s="33"/>
      <c r="H2787" s="34"/>
      <c r="J2787" s="36"/>
      <c r="K2787" s="36"/>
      <c r="L2787" s="36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8"/>
      <c r="AS2787" s="38"/>
      <c r="AT2787" s="38"/>
      <c r="AU2787" s="33"/>
      <c r="AV2787" s="39"/>
    </row>
    <row r="2788" spans="4:48">
      <c r="D2788" s="33"/>
      <c r="E2788" s="33"/>
      <c r="F2788" s="33"/>
      <c r="G2788" s="33"/>
      <c r="H2788" s="34"/>
      <c r="J2788" s="36"/>
      <c r="K2788" s="36"/>
      <c r="L2788" s="36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8"/>
      <c r="AS2788" s="38"/>
      <c r="AT2788" s="38"/>
      <c r="AU2788" s="33"/>
      <c r="AV2788" s="39"/>
    </row>
    <row r="2789" spans="4:48">
      <c r="D2789" s="33"/>
      <c r="E2789" s="33"/>
      <c r="F2789" s="33"/>
      <c r="G2789" s="33"/>
      <c r="H2789" s="34"/>
      <c r="J2789" s="36"/>
      <c r="K2789" s="36"/>
      <c r="L2789" s="36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8"/>
      <c r="AS2789" s="38"/>
      <c r="AT2789" s="38"/>
      <c r="AU2789" s="33"/>
      <c r="AV2789" s="39"/>
    </row>
    <row r="2790" spans="4:48">
      <c r="D2790" s="33"/>
      <c r="E2790" s="33"/>
      <c r="F2790" s="33"/>
      <c r="G2790" s="33"/>
      <c r="H2790" s="34"/>
      <c r="J2790" s="36"/>
      <c r="K2790" s="36"/>
      <c r="L2790" s="36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8"/>
      <c r="AS2790" s="38"/>
      <c r="AT2790" s="38"/>
      <c r="AU2790" s="33"/>
      <c r="AV2790" s="39"/>
    </row>
    <row r="2791" spans="4:48">
      <c r="D2791" s="33"/>
      <c r="E2791" s="33"/>
      <c r="F2791" s="33"/>
      <c r="G2791" s="33"/>
      <c r="H2791" s="34"/>
      <c r="J2791" s="36"/>
      <c r="K2791" s="36"/>
      <c r="L2791" s="36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8"/>
      <c r="AS2791" s="38"/>
      <c r="AT2791" s="38"/>
      <c r="AU2791" s="33"/>
      <c r="AV2791" s="39"/>
    </row>
    <row r="2792" spans="4:48">
      <c r="D2792" s="33"/>
      <c r="E2792" s="33"/>
      <c r="F2792" s="33"/>
      <c r="G2792" s="33"/>
      <c r="H2792" s="34"/>
      <c r="J2792" s="36"/>
      <c r="K2792" s="36"/>
      <c r="L2792" s="36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8"/>
      <c r="AS2792" s="38"/>
      <c r="AT2792" s="38"/>
      <c r="AU2792" s="33"/>
      <c r="AV2792" s="39"/>
    </row>
    <row r="2793" spans="4:48">
      <c r="D2793" s="33"/>
      <c r="E2793" s="33"/>
      <c r="F2793" s="33"/>
      <c r="G2793" s="33"/>
      <c r="H2793" s="34"/>
      <c r="J2793" s="36"/>
      <c r="K2793" s="36"/>
      <c r="L2793" s="36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8"/>
      <c r="AS2793" s="38"/>
      <c r="AT2793" s="38"/>
      <c r="AU2793" s="33"/>
      <c r="AV2793" s="39"/>
    </row>
    <row r="2794" spans="4:48">
      <c r="D2794" s="33"/>
      <c r="E2794" s="33"/>
      <c r="F2794" s="33"/>
      <c r="G2794" s="33"/>
      <c r="H2794" s="34"/>
      <c r="J2794" s="36"/>
      <c r="K2794" s="36"/>
      <c r="L2794" s="36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8"/>
      <c r="AS2794" s="38"/>
      <c r="AT2794" s="38"/>
      <c r="AU2794" s="33"/>
      <c r="AV2794" s="39"/>
    </row>
    <row r="2795" spans="4:48">
      <c r="D2795" s="33"/>
      <c r="E2795" s="33"/>
      <c r="F2795" s="33"/>
      <c r="G2795" s="33"/>
      <c r="H2795" s="34"/>
      <c r="J2795" s="36"/>
      <c r="K2795" s="36"/>
      <c r="L2795" s="36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8"/>
      <c r="AS2795" s="38"/>
      <c r="AT2795" s="38"/>
      <c r="AU2795" s="33"/>
      <c r="AV2795" s="39"/>
    </row>
    <row r="2796" spans="4:48">
      <c r="D2796" s="33"/>
      <c r="E2796" s="33"/>
      <c r="F2796" s="33"/>
      <c r="G2796" s="33"/>
      <c r="H2796" s="34"/>
      <c r="J2796" s="36"/>
      <c r="K2796" s="36"/>
      <c r="L2796" s="36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8"/>
      <c r="AS2796" s="38"/>
      <c r="AT2796" s="38"/>
      <c r="AU2796" s="33"/>
      <c r="AV2796" s="39"/>
    </row>
    <row r="2797" spans="4:48">
      <c r="D2797" s="33"/>
      <c r="E2797" s="33"/>
      <c r="F2797" s="33"/>
      <c r="G2797" s="33"/>
      <c r="H2797" s="34"/>
      <c r="J2797" s="36"/>
      <c r="K2797" s="36"/>
      <c r="L2797" s="36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8"/>
      <c r="AS2797" s="38"/>
      <c r="AT2797" s="38"/>
      <c r="AU2797" s="33"/>
      <c r="AV2797" s="39"/>
    </row>
    <row r="2798" spans="4:48">
      <c r="D2798" s="33"/>
      <c r="E2798" s="33"/>
      <c r="F2798" s="33"/>
      <c r="G2798" s="33"/>
      <c r="H2798" s="34"/>
      <c r="J2798" s="36"/>
      <c r="K2798" s="36"/>
      <c r="L2798" s="36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8"/>
      <c r="AS2798" s="38"/>
      <c r="AT2798" s="38"/>
      <c r="AU2798" s="33"/>
      <c r="AV2798" s="39"/>
    </row>
    <row r="2799" spans="4:48">
      <c r="D2799" s="33"/>
      <c r="E2799" s="33"/>
      <c r="F2799" s="33"/>
      <c r="G2799" s="33"/>
      <c r="H2799" s="34"/>
      <c r="J2799" s="36"/>
      <c r="K2799" s="36"/>
      <c r="L2799" s="36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8"/>
      <c r="AS2799" s="38"/>
      <c r="AT2799" s="38"/>
      <c r="AU2799" s="33"/>
      <c r="AV2799" s="39"/>
    </row>
    <row r="2800" spans="4:48">
      <c r="D2800" s="33"/>
      <c r="E2800" s="33"/>
      <c r="F2800" s="33"/>
      <c r="G2800" s="33"/>
      <c r="H2800" s="34"/>
      <c r="J2800" s="36"/>
      <c r="K2800" s="36"/>
      <c r="L2800" s="36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8"/>
      <c r="AS2800" s="38"/>
      <c r="AT2800" s="38"/>
      <c r="AU2800" s="33"/>
      <c r="AV2800" s="39"/>
    </row>
    <row r="2801" spans="4:48">
      <c r="D2801" s="33"/>
      <c r="E2801" s="33"/>
      <c r="F2801" s="33"/>
      <c r="G2801" s="33"/>
      <c r="H2801" s="34"/>
      <c r="J2801" s="36"/>
      <c r="K2801" s="36"/>
      <c r="L2801" s="36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8"/>
      <c r="AS2801" s="38"/>
      <c r="AT2801" s="38"/>
      <c r="AU2801" s="33"/>
      <c r="AV2801" s="39"/>
    </row>
    <row r="2802" spans="4:48">
      <c r="D2802" s="33"/>
      <c r="E2802" s="33"/>
      <c r="F2802" s="33"/>
      <c r="G2802" s="33"/>
      <c r="H2802" s="34"/>
      <c r="J2802" s="36"/>
      <c r="K2802" s="36"/>
      <c r="L2802" s="36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8"/>
      <c r="AS2802" s="38"/>
      <c r="AT2802" s="38"/>
      <c r="AU2802" s="33"/>
      <c r="AV2802" s="39"/>
    </row>
    <row r="2803" spans="4:48">
      <c r="D2803" s="33"/>
      <c r="E2803" s="33"/>
      <c r="F2803" s="33"/>
      <c r="G2803" s="33"/>
      <c r="H2803" s="34"/>
      <c r="J2803" s="36"/>
      <c r="K2803" s="36"/>
      <c r="L2803" s="36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8"/>
      <c r="AS2803" s="38"/>
      <c r="AT2803" s="38"/>
      <c r="AU2803" s="33"/>
      <c r="AV2803" s="39"/>
    </row>
    <row r="2804" spans="4:48">
      <c r="D2804" s="33"/>
      <c r="E2804" s="33"/>
      <c r="F2804" s="33"/>
      <c r="G2804" s="33"/>
      <c r="H2804" s="34"/>
      <c r="J2804" s="36"/>
      <c r="K2804" s="36"/>
      <c r="L2804" s="36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8"/>
      <c r="AS2804" s="38"/>
      <c r="AT2804" s="38"/>
      <c r="AU2804" s="33"/>
      <c r="AV2804" s="39"/>
    </row>
    <row r="2805" spans="4:48">
      <c r="D2805" s="33"/>
      <c r="E2805" s="33"/>
      <c r="F2805" s="33"/>
      <c r="G2805" s="33"/>
      <c r="H2805" s="34"/>
      <c r="J2805" s="36"/>
      <c r="K2805" s="36"/>
      <c r="L2805" s="36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8"/>
      <c r="AS2805" s="38"/>
      <c r="AT2805" s="38"/>
      <c r="AU2805" s="33"/>
      <c r="AV2805" s="39"/>
    </row>
    <row r="2806" spans="4:48">
      <c r="D2806" s="33"/>
      <c r="E2806" s="33"/>
      <c r="F2806" s="33"/>
      <c r="G2806" s="33"/>
      <c r="H2806" s="34"/>
      <c r="J2806" s="36"/>
      <c r="K2806" s="36"/>
      <c r="L2806" s="36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8"/>
      <c r="AS2806" s="38"/>
      <c r="AT2806" s="38"/>
      <c r="AU2806" s="33"/>
      <c r="AV2806" s="39"/>
    </row>
    <row r="2807" spans="4:48">
      <c r="D2807" s="33"/>
      <c r="E2807" s="33"/>
      <c r="F2807" s="33"/>
      <c r="G2807" s="33"/>
      <c r="H2807" s="34"/>
      <c r="J2807" s="36"/>
      <c r="K2807" s="36"/>
      <c r="L2807" s="36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8"/>
      <c r="AS2807" s="38"/>
      <c r="AT2807" s="38"/>
      <c r="AU2807" s="33"/>
      <c r="AV2807" s="39"/>
    </row>
    <row r="2808" spans="4:48">
      <c r="D2808" s="33"/>
      <c r="E2808" s="33"/>
      <c r="F2808" s="33"/>
      <c r="G2808" s="33"/>
      <c r="H2808" s="34"/>
      <c r="J2808" s="36"/>
      <c r="K2808" s="36"/>
      <c r="L2808" s="36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8"/>
      <c r="AS2808" s="38"/>
      <c r="AT2808" s="38"/>
      <c r="AU2808" s="33"/>
      <c r="AV2808" s="39"/>
    </row>
    <row r="2809" spans="4:48">
      <c r="D2809" s="33"/>
      <c r="E2809" s="33"/>
      <c r="F2809" s="33"/>
      <c r="G2809" s="33"/>
      <c r="H2809" s="34"/>
      <c r="J2809" s="36"/>
      <c r="K2809" s="36"/>
      <c r="L2809" s="36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8"/>
      <c r="AS2809" s="38"/>
      <c r="AT2809" s="38"/>
      <c r="AU2809" s="33"/>
      <c r="AV2809" s="39"/>
    </row>
    <row r="2810" spans="4:48">
      <c r="D2810" s="33"/>
      <c r="E2810" s="33"/>
      <c r="F2810" s="33"/>
      <c r="G2810" s="33"/>
      <c r="H2810" s="34"/>
      <c r="J2810" s="36"/>
      <c r="K2810" s="36"/>
      <c r="L2810" s="36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8"/>
      <c r="AS2810" s="38"/>
      <c r="AT2810" s="38"/>
      <c r="AU2810" s="33"/>
      <c r="AV2810" s="39"/>
    </row>
    <row r="2811" spans="4:48">
      <c r="D2811" s="33"/>
      <c r="E2811" s="33"/>
      <c r="F2811" s="33"/>
      <c r="G2811" s="33"/>
      <c r="H2811" s="34"/>
      <c r="J2811" s="36"/>
      <c r="K2811" s="36"/>
      <c r="L2811" s="36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8"/>
      <c r="AS2811" s="38"/>
      <c r="AT2811" s="38"/>
      <c r="AU2811" s="33"/>
      <c r="AV2811" s="39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108" operator="lessThan">
      <formula>20</formula>
    </cfRule>
    <cfRule type="cellIs" dxfId="1" priority="6107" operator="greaterThan">
      <formula>120</formula>
    </cfRule>
    <cfRule type="containsText" dxfId="2" priority="6106" operator="between" text="库存为">
      <formula>NOT(ISERROR(SEARCH("库存为",AU2)))</formula>
    </cfRule>
  </conditionalFormatting>
  <conditionalFormatting sqref="AU6">
    <cfRule type="cellIs" dxfId="0" priority="1188" operator="lessThan">
      <formula>20</formula>
    </cfRule>
    <cfRule type="cellIs" dxfId="1" priority="792" operator="greaterThan">
      <formula>120</formula>
    </cfRule>
    <cfRule type="containsText" dxfId="2" priority="396" operator="between" text="库存为">
      <formula>NOT(ISERROR(SEARCH("库存为",AU6)))</formula>
    </cfRule>
  </conditionalFormatting>
  <conditionalFormatting sqref="AU7">
    <cfRule type="cellIs" dxfId="0" priority="1187" operator="lessThan">
      <formula>20</formula>
    </cfRule>
    <cfRule type="cellIs" dxfId="1" priority="791" operator="greaterThan">
      <formula>120</formula>
    </cfRule>
    <cfRule type="containsText" dxfId="2" priority="395" operator="between" text="库存为">
      <formula>NOT(ISERROR(SEARCH("库存为",AU7)))</formula>
    </cfRule>
  </conditionalFormatting>
  <conditionalFormatting sqref="AU8">
    <cfRule type="cellIs" dxfId="0" priority="1186" operator="lessThan">
      <formula>20</formula>
    </cfRule>
    <cfRule type="cellIs" dxfId="1" priority="790" operator="greaterThan">
      <formula>120</formula>
    </cfRule>
    <cfRule type="containsText" dxfId="2" priority="394" operator="between" text="库存为">
      <formula>NOT(ISERROR(SEARCH("库存为",AU8)))</formula>
    </cfRule>
  </conditionalFormatting>
  <conditionalFormatting sqref="AU9">
    <cfRule type="cellIs" dxfId="0" priority="1185" operator="lessThan">
      <formula>20</formula>
    </cfRule>
    <cfRule type="cellIs" dxfId="1" priority="789" operator="greaterThan">
      <formula>120</formula>
    </cfRule>
    <cfRule type="containsText" dxfId="2" priority="393" operator="between" text="库存为">
      <formula>NOT(ISERROR(SEARCH("库存为",AU9)))</formula>
    </cfRule>
  </conditionalFormatting>
  <conditionalFormatting sqref="AU10">
    <cfRule type="cellIs" dxfId="0" priority="1184" operator="lessThan">
      <formula>20</formula>
    </cfRule>
    <cfRule type="cellIs" dxfId="1" priority="788" operator="greaterThan">
      <formula>120</formula>
    </cfRule>
    <cfRule type="containsText" dxfId="2" priority="392" operator="between" text="库存为">
      <formula>NOT(ISERROR(SEARCH("库存为",AU10)))</formula>
    </cfRule>
  </conditionalFormatting>
  <conditionalFormatting sqref="AU11">
    <cfRule type="cellIs" dxfId="0" priority="1183" operator="lessThan">
      <formula>20</formula>
    </cfRule>
    <cfRule type="cellIs" dxfId="1" priority="787" operator="greaterThan">
      <formula>120</formula>
    </cfRule>
    <cfRule type="containsText" dxfId="2" priority="391" operator="between" text="库存为">
      <formula>NOT(ISERROR(SEARCH("库存为",AU11)))</formula>
    </cfRule>
  </conditionalFormatting>
  <conditionalFormatting sqref="AU12">
    <cfRule type="cellIs" dxfId="0" priority="1182" operator="lessThan">
      <formula>20</formula>
    </cfRule>
    <cfRule type="cellIs" dxfId="1" priority="786" operator="greaterThan">
      <formula>120</formula>
    </cfRule>
    <cfRule type="containsText" dxfId="2" priority="390" operator="between" text="库存为">
      <formula>NOT(ISERROR(SEARCH("库存为",AU12)))</formula>
    </cfRule>
  </conditionalFormatting>
  <conditionalFormatting sqref="AU13">
    <cfRule type="cellIs" dxfId="0" priority="1181" operator="lessThan">
      <formula>20</formula>
    </cfRule>
    <cfRule type="cellIs" dxfId="1" priority="785" operator="greaterThan">
      <formula>120</formula>
    </cfRule>
    <cfRule type="containsText" dxfId="2" priority="389" operator="between" text="库存为">
      <formula>NOT(ISERROR(SEARCH("库存为",AU13)))</formula>
    </cfRule>
  </conditionalFormatting>
  <conditionalFormatting sqref="AU14">
    <cfRule type="cellIs" dxfId="0" priority="1180" operator="lessThan">
      <formula>20</formula>
    </cfRule>
    <cfRule type="cellIs" dxfId="1" priority="784" operator="greaterThan">
      <formula>120</formula>
    </cfRule>
    <cfRule type="containsText" dxfId="2" priority="388" operator="between" text="库存为">
      <formula>NOT(ISERROR(SEARCH("库存为",AU14)))</formula>
    </cfRule>
  </conditionalFormatting>
  <conditionalFormatting sqref="AU15">
    <cfRule type="cellIs" dxfId="0" priority="1179" operator="lessThan">
      <formula>20</formula>
    </cfRule>
    <cfRule type="cellIs" dxfId="1" priority="783" operator="greaterThan">
      <formula>120</formula>
    </cfRule>
    <cfRule type="containsText" dxfId="2" priority="387" operator="between" text="库存为">
      <formula>NOT(ISERROR(SEARCH("库存为",AU15)))</formula>
    </cfRule>
  </conditionalFormatting>
  <conditionalFormatting sqref="AU16">
    <cfRule type="cellIs" dxfId="0" priority="1178" operator="lessThan">
      <formula>20</formula>
    </cfRule>
    <cfRule type="cellIs" dxfId="1" priority="782" operator="greaterThan">
      <formula>120</formula>
    </cfRule>
    <cfRule type="containsText" dxfId="2" priority="386" operator="between" text="库存为">
      <formula>NOT(ISERROR(SEARCH("库存为",AU16)))</formula>
    </cfRule>
  </conditionalFormatting>
  <conditionalFormatting sqref="AU17">
    <cfRule type="cellIs" dxfId="0" priority="1177" operator="lessThan">
      <formula>20</formula>
    </cfRule>
    <cfRule type="cellIs" dxfId="1" priority="781" operator="greaterThan">
      <formula>120</formula>
    </cfRule>
    <cfRule type="containsText" dxfId="2" priority="385" operator="between" text="库存为">
      <formula>NOT(ISERROR(SEARCH("库存为",AU17)))</formula>
    </cfRule>
  </conditionalFormatting>
  <conditionalFormatting sqref="AU18">
    <cfRule type="cellIs" dxfId="0" priority="1176" operator="lessThan">
      <formula>20</formula>
    </cfRule>
    <cfRule type="cellIs" dxfId="1" priority="780" operator="greaterThan">
      <formula>120</formula>
    </cfRule>
    <cfRule type="containsText" dxfId="2" priority="384" operator="between" text="库存为">
      <formula>NOT(ISERROR(SEARCH("库存为",AU18)))</formula>
    </cfRule>
  </conditionalFormatting>
  <conditionalFormatting sqref="AU19">
    <cfRule type="cellIs" dxfId="0" priority="1175" operator="lessThan">
      <formula>20</formula>
    </cfRule>
    <cfRule type="cellIs" dxfId="1" priority="779" operator="greaterThan">
      <formula>120</formula>
    </cfRule>
    <cfRule type="containsText" dxfId="2" priority="383" operator="between" text="库存为">
      <formula>NOT(ISERROR(SEARCH("库存为",AU19)))</formula>
    </cfRule>
  </conditionalFormatting>
  <conditionalFormatting sqref="AU20">
    <cfRule type="cellIs" dxfId="0" priority="1174" operator="lessThan">
      <formula>20</formula>
    </cfRule>
    <cfRule type="cellIs" dxfId="1" priority="778" operator="greaterThan">
      <formula>120</formula>
    </cfRule>
    <cfRule type="containsText" dxfId="2" priority="382" operator="between" text="库存为">
      <formula>NOT(ISERROR(SEARCH("库存为",AU20)))</formula>
    </cfRule>
  </conditionalFormatting>
  <conditionalFormatting sqref="AU21">
    <cfRule type="cellIs" dxfId="0" priority="1173" operator="lessThan">
      <formula>20</formula>
    </cfRule>
    <cfRule type="cellIs" dxfId="1" priority="777" operator="greaterThan">
      <formula>120</formula>
    </cfRule>
    <cfRule type="containsText" dxfId="2" priority="381" operator="between" text="库存为">
      <formula>NOT(ISERROR(SEARCH("库存为",AU21)))</formula>
    </cfRule>
  </conditionalFormatting>
  <conditionalFormatting sqref="AU22">
    <cfRule type="cellIs" dxfId="0" priority="1172" operator="lessThan">
      <formula>20</formula>
    </cfRule>
    <cfRule type="cellIs" dxfId="1" priority="776" operator="greaterThan">
      <formula>120</formula>
    </cfRule>
    <cfRule type="containsText" dxfId="2" priority="380" operator="between" text="库存为">
      <formula>NOT(ISERROR(SEARCH("库存为",AU22)))</formula>
    </cfRule>
  </conditionalFormatting>
  <conditionalFormatting sqref="AU23">
    <cfRule type="cellIs" dxfId="0" priority="1171" operator="lessThan">
      <formula>20</formula>
    </cfRule>
    <cfRule type="cellIs" dxfId="1" priority="775" operator="greaterThan">
      <formula>120</formula>
    </cfRule>
    <cfRule type="containsText" dxfId="2" priority="379" operator="between" text="库存为">
      <formula>NOT(ISERROR(SEARCH("库存为",AU23)))</formula>
    </cfRule>
  </conditionalFormatting>
  <conditionalFormatting sqref="AU24">
    <cfRule type="cellIs" dxfId="0" priority="1170" operator="lessThan">
      <formula>20</formula>
    </cfRule>
    <cfRule type="cellIs" dxfId="1" priority="774" operator="greaterThan">
      <formula>120</formula>
    </cfRule>
    <cfRule type="containsText" dxfId="2" priority="378" operator="between" text="库存为">
      <formula>NOT(ISERROR(SEARCH("库存为",AU24)))</formula>
    </cfRule>
  </conditionalFormatting>
  <conditionalFormatting sqref="AU25">
    <cfRule type="cellIs" dxfId="0" priority="1169" operator="lessThan">
      <formula>20</formula>
    </cfRule>
    <cfRule type="cellIs" dxfId="1" priority="773" operator="greaterThan">
      <formula>120</formula>
    </cfRule>
    <cfRule type="containsText" dxfId="2" priority="377" operator="between" text="库存为">
      <formula>NOT(ISERROR(SEARCH("库存为",AU25)))</formula>
    </cfRule>
  </conditionalFormatting>
  <conditionalFormatting sqref="AU26">
    <cfRule type="cellIs" dxfId="0" priority="1168" operator="lessThan">
      <formula>20</formula>
    </cfRule>
    <cfRule type="cellIs" dxfId="1" priority="772" operator="greaterThan">
      <formula>120</formula>
    </cfRule>
    <cfRule type="containsText" dxfId="2" priority="376" operator="between" text="库存为">
      <formula>NOT(ISERROR(SEARCH("库存为",AU26)))</formula>
    </cfRule>
  </conditionalFormatting>
  <conditionalFormatting sqref="AU27">
    <cfRule type="cellIs" dxfId="0" priority="1167" operator="lessThan">
      <formula>20</formula>
    </cfRule>
    <cfRule type="cellIs" dxfId="1" priority="771" operator="greaterThan">
      <formula>120</formula>
    </cfRule>
    <cfRule type="containsText" dxfId="2" priority="375" operator="between" text="库存为">
      <formula>NOT(ISERROR(SEARCH("库存为",AU27)))</formula>
    </cfRule>
  </conditionalFormatting>
  <conditionalFormatting sqref="AU28">
    <cfRule type="cellIs" dxfId="0" priority="1166" operator="lessThan">
      <formula>20</formula>
    </cfRule>
    <cfRule type="cellIs" dxfId="1" priority="770" operator="greaterThan">
      <formula>120</formula>
    </cfRule>
    <cfRule type="containsText" dxfId="2" priority="374" operator="between" text="库存为">
      <formula>NOT(ISERROR(SEARCH("库存为",AU28)))</formula>
    </cfRule>
  </conditionalFormatting>
  <conditionalFormatting sqref="AU29">
    <cfRule type="cellIs" dxfId="0" priority="1165" operator="lessThan">
      <formula>20</formula>
    </cfRule>
    <cfRule type="cellIs" dxfId="1" priority="769" operator="greaterThan">
      <formula>120</formula>
    </cfRule>
    <cfRule type="containsText" dxfId="2" priority="373" operator="between" text="库存为">
      <formula>NOT(ISERROR(SEARCH("库存为",AU29)))</formula>
    </cfRule>
  </conditionalFormatting>
  <conditionalFormatting sqref="AU30">
    <cfRule type="cellIs" dxfId="0" priority="1164" operator="lessThan">
      <formula>20</formula>
    </cfRule>
    <cfRule type="cellIs" dxfId="1" priority="768" operator="greaterThan">
      <formula>120</formula>
    </cfRule>
    <cfRule type="containsText" dxfId="2" priority="372" operator="between" text="库存为">
      <formula>NOT(ISERROR(SEARCH("库存为",AU30)))</formula>
    </cfRule>
  </conditionalFormatting>
  <conditionalFormatting sqref="AU31">
    <cfRule type="cellIs" dxfId="0" priority="1163" operator="lessThan">
      <formula>20</formula>
    </cfRule>
    <cfRule type="cellIs" dxfId="1" priority="767" operator="greaterThan">
      <formula>120</formula>
    </cfRule>
    <cfRule type="containsText" dxfId="2" priority="371" operator="between" text="库存为">
      <formula>NOT(ISERROR(SEARCH("库存为",AU31)))</formula>
    </cfRule>
  </conditionalFormatting>
  <conditionalFormatting sqref="AU32">
    <cfRule type="cellIs" dxfId="0" priority="1162" operator="lessThan">
      <formula>20</formula>
    </cfRule>
    <cfRule type="cellIs" dxfId="1" priority="766" operator="greaterThan">
      <formula>120</formula>
    </cfRule>
    <cfRule type="containsText" dxfId="2" priority="370" operator="between" text="库存为">
      <formula>NOT(ISERROR(SEARCH("库存为",AU32)))</formula>
    </cfRule>
  </conditionalFormatting>
  <conditionalFormatting sqref="AU33">
    <cfRule type="cellIs" dxfId="0" priority="1161" operator="lessThan">
      <formula>20</formula>
    </cfRule>
    <cfRule type="cellIs" dxfId="1" priority="765" operator="greaterThan">
      <formula>120</formula>
    </cfRule>
    <cfRule type="containsText" dxfId="2" priority="369" operator="between" text="库存为">
      <formula>NOT(ISERROR(SEARCH("库存为",AU33)))</formula>
    </cfRule>
  </conditionalFormatting>
  <conditionalFormatting sqref="AU34">
    <cfRule type="cellIs" dxfId="0" priority="1160" operator="lessThan">
      <formula>20</formula>
    </cfRule>
    <cfRule type="cellIs" dxfId="1" priority="764" operator="greaterThan">
      <formula>120</formula>
    </cfRule>
    <cfRule type="containsText" dxfId="2" priority="368" operator="between" text="库存为">
      <formula>NOT(ISERROR(SEARCH("库存为",AU34)))</formula>
    </cfRule>
  </conditionalFormatting>
  <conditionalFormatting sqref="AU35">
    <cfRule type="cellIs" dxfId="0" priority="1159" operator="lessThan">
      <formula>20</formula>
    </cfRule>
    <cfRule type="cellIs" dxfId="1" priority="763" operator="greaterThan">
      <formula>120</formula>
    </cfRule>
    <cfRule type="containsText" dxfId="2" priority="367" operator="between" text="库存为">
      <formula>NOT(ISERROR(SEARCH("库存为",AU35)))</formula>
    </cfRule>
  </conditionalFormatting>
  <conditionalFormatting sqref="AU36">
    <cfRule type="cellIs" dxfId="0" priority="1158" operator="lessThan">
      <formula>20</formula>
    </cfRule>
    <cfRule type="cellIs" dxfId="1" priority="762" operator="greaterThan">
      <formula>120</formula>
    </cfRule>
    <cfRule type="containsText" dxfId="2" priority="366" operator="between" text="库存为">
      <formula>NOT(ISERROR(SEARCH("库存为",AU36)))</formula>
    </cfRule>
  </conditionalFormatting>
  <conditionalFormatting sqref="AU37">
    <cfRule type="cellIs" dxfId="0" priority="1157" operator="lessThan">
      <formula>20</formula>
    </cfRule>
    <cfRule type="cellIs" dxfId="1" priority="761" operator="greaterThan">
      <formula>120</formula>
    </cfRule>
    <cfRule type="containsText" dxfId="2" priority="365" operator="between" text="库存为">
      <formula>NOT(ISERROR(SEARCH("库存为",AU37)))</formula>
    </cfRule>
  </conditionalFormatting>
  <conditionalFormatting sqref="AU38">
    <cfRule type="cellIs" dxfId="0" priority="1156" operator="lessThan">
      <formula>20</formula>
    </cfRule>
    <cfRule type="cellIs" dxfId="1" priority="760" operator="greaterThan">
      <formula>120</formula>
    </cfRule>
    <cfRule type="containsText" dxfId="2" priority="364" operator="between" text="库存为">
      <formula>NOT(ISERROR(SEARCH("库存为",AU38)))</formula>
    </cfRule>
  </conditionalFormatting>
  <conditionalFormatting sqref="AU39">
    <cfRule type="cellIs" dxfId="0" priority="1155" operator="lessThan">
      <formula>20</formula>
    </cfRule>
    <cfRule type="cellIs" dxfId="1" priority="759" operator="greaterThan">
      <formula>120</formula>
    </cfRule>
    <cfRule type="containsText" dxfId="2" priority="363" operator="between" text="库存为">
      <formula>NOT(ISERROR(SEARCH("库存为",AU39)))</formula>
    </cfRule>
  </conditionalFormatting>
  <conditionalFormatting sqref="AU40">
    <cfRule type="cellIs" dxfId="0" priority="1154" operator="lessThan">
      <formula>20</formula>
    </cfRule>
    <cfRule type="cellIs" dxfId="1" priority="758" operator="greaterThan">
      <formula>120</formula>
    </cfRule>
    <cfRule type="containsText" dxfId="2" priority="362" operator="between" text="库存为">
      <formula>NOT(ISERROR(SEARCH("库存为",AU40)))</formula>
    </cfRule>
  </conditionalFormatting>
  <conditionalFormatting sqref="AU41">
    <cfRule type="cellIs" dxfId="0" priority="1153" operator="lessThan">
      <formula>20</formula>
    </cfRule>
    <cfRule type="cellIs" dxfId="1" priority="757" operator="greaterThan">
      <formula>120</formula>
    </cfRule>
    <cfRule type="containsText" dxfId="2" priority="361" operator="between" text="库存为">
      <formula>NOT(ISERROR(SEARCH("库存为",AU41)))</formula>
    </cfRule>
  </conditionalFormatting>
  <conditionalFormatting sqref="AU42">
    <cfRule type="cellIs" dxfId="0" priority="1152" operator="lessThan">
      <formula>20</formula>
    </cfRule>
    <cfRule type="cellIs" dxfId="1" priority="756" operator="greaterThan">
      <formula>120</formula>
    </cfRule>
    <cfRule type="containsText" dxfId="2" priority="360" operator="between" text="库存为">
      <formula>NOT(ISERROR(SEARCH("库存为",AU42)))</formula>
    </cfRule>
  </conditionalFormatting>
  <conditionalFormatting sqref="AU43">
    <cfRule type="cellIs" dxfId="0" priority="1151" operator="lessThan">
      <formula>20</formula>
    </cfRule>
    <cfRule type="cellIs" dxfId="1" priority="755" operator="greaterThan">
      <formula>120</formula>
    </cfRule>
    <cfRule type="containsText" dxfId="2" priority="359" operator="between" text="库存为">
      <formula>NOT(ISERROR(SEARCH("库存为",AU43)))</formula>
    </cfRule>
  </conditionalFormatting>
  <conditionalFormatting sqref="AU44">
    <cfRule type="cellIs" dxfId="0" priority="1150" operator="lessThan">
      <formula>20</formula>
    </cfRule>
    <cfRule type="cellIs" dxfId="1" priority="754" operator="greaterThan">
      <formula>120</formula>
    </cfRule>
    <cfRule type="containsText" dxfId="2" priority="358" operator="between" text="库存为">
      <formula>NOT(ISERROR(SEARCH("库存为",AU44)))</formula>
    </cfRule>
  </conditionalFormatting>
  <conditionalFormatting sqref="AU45">
    <cfRule type="cellIs" dxfId="0" priority="1149" operator="lessThan">
      <formula>20</formula>
    </cfRule>
    <cfRule type="cellIs" dxfId="1" priority="753" operator="greaterThan">
      <formula>120</formula>
    </cfRule>
    <cfRule type="containsText" dxfId="2" priority="357" operator="between" text="库存为">
      <formula>NOT(ISERROR(SEARCH("库存为",AU45)))</formula>
    </cfRule>
  </conditionalFormatting>
  <conditionalFormatting sqref="AU46">
    <cfRule type="cellIs" dxfId="0" priority="1148" operator="lessThan">
      <formula>20</formula>
    </cfRule>
    <cfRule type="cellIs" dxfId="1" priority="752" operator="greaterThan">
      <formula>120</formula>
    </cfRule>
    <cfRule type="containsText" dxfId="2" priority="356" operator="between" text="库存为">
      <formula>NOT(ISERROR(SEARCH("库存为",AU46)))</formula>
    </cfRule>
  </conditionalFormatting>
  <conditionalFormatting sqref="AU47">
    <cfRule type="cellIs" dxfId="0" priority="1147" operator="lessThan">
      <formula>20</formula>
    </cfRule>
    <cfRule type="cellIs" dxfId="1" priority="751" operator="greaterThan">
      <formula>120</formula>
    </cfRule>
    <cfRule type="containsText" dxfId="2" priority="355" operator="between" text="库存为">
      <formula>NOT(ISERROR(SEARCH("库存为",AU47)))</formula>
    </cfRule>
  </conditionalFormatting>
  <conditionalFormatting sqref="AU48">
    <cfRule type="cellIs" dxfId="0" priority="1146" operator="lessThan">
      <formula>20</formula>
    </cfRule>
    <cfRule type="cellIs" dxfId="1" priority="750" operator="greaterThan">
      <formula>120</formula>
    </cfRule>
    <cfRule type="containsText" dxfId="2" priority="354" operator="between" text="库存为">
      <formula>NOT(ISERROR(SEARCH("库存为",AU48)))</formula>
    </cfRule>
  </conditionalFormatting>
  <conditionalFormatting sqref="AU49">
    <cfRule type="cellIs" dxfId="0" priority="1145" operator="lessThan">
      <formula>20</formula>
    </cfRule>
    <cfRule type="cellIs" dxfId="1" priority="749" operator="greaterThan">
      <formula>120</formula>
    </cfRule>
    <cfRule type="containsText" dxfId="2" priority="353" operator="between" text="库存为">
      <formula>NOT(ISERROR(SEARCH("库存为",AU49)))</formula>
    </cfRule>
  </conditionalFormatting>
  <conditionalFormatting sqref="AU50">
    <cfRule type="cellIs" dxfId="0" priority="1144" operator="lessThan">
      <formula>20</formula>
    </cfRule>
    <cfRule type="cellIs" dxfId="1" priority="748" operator="greaterThan">
      <formula>120</formula>
    </cfRule>
    <cfRule type="containsText" dxfId="2" priority="352" operator="between" text="库存为">
      <formula>NOT(ISERROR(SEARCH("库存为",AU50)))</formula>
    </cfRule>
  </conditionalFormatting>
  <conditionalFormatting sqref="AU51">
    <cfRule type="cellIs" dxfId="0" priority="1143" operator="lessThan">
      <formula>20</formula>
    </cfRule>
    <cfRule type="cellIs" dxfId="1" priority="747" operator="greaterThan">
      <formula>120</formula>
    </cfRule>
    <cfRule type="containsText" dxfId="2" priority="351" operator="between" text="库存为">
      <formula>NOT(ISERROR(SEARCH("库存为",AU51)))</formula>
    </cfRule>
  </conditionalFormatting>
  <conditionalFormatting sqref="AU52">
    <cfRule type="cellIs" dxfId="0" priority="1142" operator="lessThan">
      <formula>20</formula>
    </cfRule>
    <cfRule type="cellIs" dxfId="1" priority="746" operator="greaterThan">
      <formula>120</formula>
    </cfRule>
    <cfRule type="containsText" dxfId="2" priority="350" operator="between" text="库存为">
      <formula>NOT(ISERROR(SEARCH("库存为",AU52)))</formula>
    </cfRule>
  </conditionalFormatting>
  <conditionalFormatting sqref="AU53">
    <cfRule type="cellIs" dxfId="0" priority="1141" operator="lessThan">
      <formula>20</formula>
    </cfRule>
    <cfRule type="cellIs" dxfId="1" priority="745" operator="greaterThan">
      <formula>120</formula>
    </cfRule>
    <cfRule type="containsText" dxfId="2" priority="349" operator="between" text="库存为">
      <formula>NOT(ISERROR(SEARCH("库存为",AU53)))</formula>
    </cfRule>
  </conditionalFormatting>
  <conditionalFormatting sqref="AU54">
    <cfRule type="cellIs" dxfId="0" priority="1140" operator="lessThan">
      <formula>20</formula>
    </cfRule>
    <cfRule type="cellIs" dxfId="1" priority="744" operator="greaterThan">
      <formula>120</formula>
    </cfRule>
    <cfRule type="containsText" dxfId="2" priority="348" operator="between" text="库存为">
      <formula>NOT(ISERROR(SEARCH("库存为",AU54)))</formula>
    </cfRule>
  </conditionalFormatting>
  <conditionalFormatting sqref="AU55">
    <cfRule type="cellIs" dxfId="0" priority="1139" operator="lessThan">
      <formula>20</formula>
    </cfRule>
    <cfRule type="cellIs" dxfId="1" priority="743" operator="greaterThan">
      <formula>120</formula>
    </cfRule>
    <cfRule type="containsText" dxfId="2" priority="347" operator="between" text="库存为">
      <formula>NOT(ISERROR(SEARCH("库存为",AU55)))</formula>
    </cfRule>
  </conditionalFormatting>
  <conditionalFormatting sqref="AU56">
    <cfRule type="cellIs" dxfId="0" priority="1138" operator="lessThan">
      <formula>20</formula>
    </cfRule>
    <cfRule type="cellIs" dxfId="1" priority="742" operator="greaterThan">
      <formula>120</formula>
    </cfRule>
    <cfRule type="containsText" dxfId="2" priority="346" operator="between" text="库存为">
      <formula>NOT(ISERROR(SEARCH("库存为",AU56)))</formula>
    </cfRule>
  </conditionalFormatting>
  <conditionalFormatting sqref="AU57">
    <cfRule type="cellIs" dxfId="0" priority="1137" operator="lessThan">
      <formula>20</formula>
    </cfRule>
    <cfRule type="cellIs" dxfId="1" priority="741" operator="greaterThan">
      <formula>120</formula>
    </cfRule>
    <cfRule type="containsText" dxfId="2" priority="345" operator="between" text="库存为">
      <formula>NOT(ISERROR(SEARCH("库存为",AU57)))</formula>
    </cfRule>
  </conditionalFormatting>
  <conditionalFormatting sqref="AU58">
    <cfRule type="cellIs" dxfId="0" priority="1136" operator="lessThan">
      <formula>20</formula>
    </cfRule>
    <cfRule type="cellIs" dxfId="1" priority="740" operator="greaterThan">
      <formula>120</formula>
    </cfRule>
    <cfRule type="containsText" dxfId="2" priority="344" operator="between" text="库存为">
      <formula>NOT(ISERROR(SEARCH("库存为",AU58)))</formula>
    </cfRule>
  </conditionalFormatting>
  <conditionalFormatting sqref="AU59">
    <cfRule type="cellIs" dxfId="0" priority="1135" operator="lessThan">
      <formula>20</formula>
    </cfRule>
    <cfRule type="cellIs" dxfId="1" priority="739" operator="greaterThan">
      <formula>120</formula>
    </cfRule>
    <cfRule type="containsText" dxfId="2" priority="343" operator="between" text="库存为">
      <formula>NOT(ISERROR(SEARCH("库存为",AU59)))</formula>
    </cfRule>
  </conditionalFormatting>
  <conditionalFormatting sqref="AU60">
    <cfRule type="cellIs" dxfId="0" priority="1134" operator="lessThan">
      <formula>20</formula>
    </cfRule>
    <cfRule type="cellIs" dxfId="1" priority="738" operator="greaterThan">
      <formula>120</formula>
    </cfRule>
    <cfRule type="containsText" dxfId="2" priority="342" operator="between" text="库存为">
      <formula>NOT(ISERROR(SEARCH("库存为",AU60)))</formula>
    </cfRule>
  </conditionalFormatting>
  <conditionalFormatting sqref="AU61">
    <cfRule type="cellIs" dxfId="0" priority="1133" operator="lessThan">
      <formula>20</formula>
    </cfRule>
    <cfRule type="cellIs" dxfId="1" priority="737" operator="greaterThan">
      <formula>120</formula>
    </cfRule>
    <cfRule type="containsText" dxfId="2" priority="341" operator="between" text="库存为">
      <formula>NOT(ISERROR(SEARCH("库存为",AU61)))</formula>
    </cfRule>
  </conditionalFormatting>
  <conditionalFormatting sqref="AU62">
    <cfRule type="cellIs" dxfId="0" priority="1132" operator="lessThan">
      <formula>20</formula>
    </cfRule>
    <cfRule type="cellIs" dxfId="1" priority="736" operator="greaterThan">
      <formula>120</formula>
    </cfRule>
    <cfRule type="containsText" dxfId="2" priority="340" operator="between" text="库存为">
      <formula>NOT(ISERROR(SEARCH("库存为",AU62)))</formula>
    </cfRule>
  </conditionalFormatting>
  <conditionalFormatting sqref="AU63">
    <cfRule type="cellIs" dxfId="0" priority="1131" operator="lessThan">
      <formula>20</formula>
    </cfRule>
    <cfRule type="cellIs" dxfId="1" priority="735" operator="greaterThan">
      <formula>120</formula>
    </cfRule>
    <cfRule type="containsText" dxfId="2" priority="339" operator="between" text="库存为">
      <formula>NOT(ISERROR(SEARCH("库存为",AU63)))</formula>
    </cfRule>
  </conditionalFormatting>
  <conditionalFormatting sqref="AU64">
    <cfRule type="cellIs" dxfId="0" priority="1130" operator="lessThan">
      <formula>20</formula>
    </cfRule>
    <cfRule type="cellIs" dxfId="1" priority="734" operator="greaterThan">
      <formula>120</formula>
    </cfRule>
    <cfRule type="containsText" dxfId="2" priority="338" operator="between" text="库存为">
      <formula>NOT(ISERROR(SEARCH("库存为",AU64)))</formula>
    </cfRule>
  </conditionalFormatting>
  <conditionalFormatting sqref="AU65">
    <cfRule type="cellIs" dxfId="0" priority="1129" operator="lessThan">
      <formula>20</formula>
    </cfRule>
    <cfRule type="cellIs" dxfId="1" priority="733" operator="greaterThan">
      <formula>120</formula>
    </cfRule>
    <cfRule type="containsText" dxfId="2" priority="337" operator="between" text="库存为">
      <formula>NOT(ISERROR(SEARCH("库存为",AU65)))</formula>
    </cfRule>
  </conditionalFormatting>
  <conditionalFormatting sqref="AU66">
    <cfRule type="cellIs" dxfId="0" priority="1128" operator="lessThan">
      <formula>20</formula>
    </cfRule>
    <cfRule type="cellIs" dxfId="1" priority="732" operator="greaterThan">
      <formula>120</formula>
    </cfRule>
    <cfRule type="containsText" dxfId="2" priority="336" operator="between" text="库存为">
      <formula>NOT(ISERROR(SEARCH("库存为",AU66)))</formula>
    </cfRule>
  </conditionalFormatting>
  <conditionalFormatting sqref="AU67">
    <cfRule type="cellIs" dxfId="0" priority="1127" operator="lessThan">
      <formula>20</formula>
    </cfRule>
    <cfRule type="cellIs" dxfId="1" priority="731" operator="greaterThan">
      <formula>120</formula>
    </cfRule>
    <cfRule type="containsText" dxfId="2" priority="335" operator="between" text="库存为">
      <formula>NOT(ISERROR(SEARCH("库存为",AU67)))</formula>
    </cfRule>
  </conditionalFormatting>
  <conditionalFormatting sqref="AU68">
    <cfRule type="cellIs" dxfId="0" priority="1126" operator="lessThan">
      <formula>20</formula>
    </cfRule>
    <cfRule type="cellIs" dxfId="1" priority="730" operator="greaterThan">
      <formula>120</formula>
    </cfRule>
    <cfRule type="containsText" dxfId="2" priority="334" operator="between" text="库存为">
      <formula>NOT(ISERROR(SEARCH("库存为",AU68)))</formula>
    </cfRule>
  </conditionalFormatting>
  <conditionalFormatting sqref="AU69">
    <cfRule type="cellIs" dxfId="0" priority="1125" operator="lessThan">
      <formula>20</formula>
    </cfRule>
    <cfRule type="cellIs" dxfId="1" priority="729" operator="greaterThan">
      <formula>120</formula>
    </cfRule>
    <cfRule type="containsText" dxfId="2" priority="333" operator="between" text="库存为">
      <formula>NOT(ISERROR(SEARCH("库存为",AU69)))</formula>
    </cfRule>
  </conditionalFormatting>
  <conditionalFormatting sqref="AU70">
    <cfRule type="cellIs" dxfId="0" priority="1124" operator="lessThan">
      <formula>20</formula>
    </cfRule>
    <cfRule type="cellIs" dxfId="1" priority="728" operator="greaterThan">
      <formula>120</formula>
    </cfRule>
    <cfRule type="containsText" dxfId="2" priority="332" operator="between" text="库存为">
      <formula>NOT(ISERROR(SEARCH("库存为",AU70)))</formula>
    </cfRule>
  </conditionalFormatting>
  <conditionalFormatting sqref="AU71">
    <cfRule type="cellIs" dxfId="0" priority="1123" operator="lessThan">
      <formula>20</formula>
    </cfRule>
    <cfRule type="cellIs" dxfId="1" priority="727" operator="greaterThan">
      <formula>120</formula>
    </cfRule>
    <cfRule type="containsText" dxfId="2" priority="331" operator="between" text="库存为">
      <formula>NOT(ISERROR(SEARCH("库存为",AU71)))</formula>
    </cfRule>
  </conditionalFormatting>
  <conditionalFormatting sqref="AU72">
    <cfRule type="cellIs" dxfId="0" priority="1122" operator="lessThan">
      <formula>20</formula>
    </cfRule>
    <cfRule type="cellIs" dxfId="1" priority="726" operator="greaterThan">
      <formula>120</formula>
    </cfRule>
    <cfRule type="containsText" dxfId="2" priority="330" operator="between" text="库存为">
      <formula>NOT(ISERROR(SEARCH("库存为",AU72)))</formula>
    </cfRule>
  </conditionalFormatting>
  <conditionalFormatting sqref="AU73">
    <cfRule type="cellIs" dxfId="0" priority="1121" operator="lessThan">
      <formula>20</formula>
    </cfRule>
    <cfRule type="cellIs" dxfId="1" priority="725" operator="greaterThan">
      <formula>120</formula>
    </cfRule>
    <cfRule type="containsText" dxfId="2" priority="329" operator="between" text="库存为">
      <formula>NOT(ISERROR(SEARCH("库存为",AU73)))</formula>
    </cfRule>
  </conditionalFormatting>
  <conditionalFormatting sqref="AU74">
    <cfRule type="cellIs" dxfId="0" priority="1120" operator="lessThan">
      <formula>20</formula>
    </cfRule>
    <cfRule type="cellIs" dxfId="1" priority="724" operator="greaterThan">
      <formula>120</formula>
    </cfRule>
    <cfRule type="containsText" dxfId="2" priority="328" operator="between" text="库存为">
      <formula>NOT(ISERROR(SEARCH("库存为",AU74)))</formula>
    </cfRule>
  </conditionalFormatting>
  <conditionalFormatting sqref="AU75">
    <cfRule type="cellIs" dxfId="0" priority="1119" operator="lessThan">
      <formula>20</formula>
    </cfRule>
    <cfRule type="cellIs" dxfId="1" priority="723" operator="greaterThan">
      <formula>120</formula>
    </cfRule>
    <cfRule type="containsText" dxfId="2" priority="327" operator="between" text="库存为">
      <formula>NOT(ISERROR(SEARCH("库存为",AU75)))</formula>
    </cfRule>
  </conditionalFormatting>
  <conditionalFormatting sqref="AU76">
    <cfRule type="cellIs" dxfId="0" priority="1118" operator="lessThan">
      <formula>20</formula>
    </cfRule>
    <cfRule type="cellIs" dxfId="1" priority="722" operator="greaterThan">
      <formula>120</formula>
    </cfRule>
    <cfRule type="containsText" dxfId="2" priority="326" operator="between" text="库存为">
      <formula>NOT(ISERROR(SEARCH("库存为",AU76)))</formula>
    </cfRule>
  </conditionalFormatting>
  <conditionalFormatting sqref="AU77">
    <cfRule type="cellIs" dxfId="0" priority="1117" operator="lessThan">
      <formula>20</formula>
    </cfRule>
    <cfRule type="cellIs" dxfId="1" priority="721" operator="greaterThan">
      <formula>120</formula>
    </cfRule>
    <cfRule type="containsText" dxfId="2" priority="325" operator="between" text="库存为">
      <formula>NOT(ISERROR(SEARCH("库存为",AU77)))</formula>
    </cfRule>
  </conditionalFormatting>
  <conditionalFormatting sqref="AU78">
    <cfRule type="cellIs" dxfId="0" priority="1116" operator="lessThan">
      <formula>20</formula>
    </cfRule>
    <cfRule type="cellIs" dxfId="1" priority="720" operator="greaterThan">
      <formula>120</formula>
    </cfRule>
    <cfRule type="containsText" dxfId="2" priority="324" operator="between" text="库存为">
      <formula>NOT(ISERROR(SEARCH("库存为",AU78)))</formula>
    </cfRule>
  </conditionalFormatting>
  <conditionalFormatting sqref="AU79">
    <cfRule type="cellIs" dxfId="0" priority="1115" operator="lessThan">
      <formula>20</formula>
    </cfRule>
    <cfRule type="cellIs" dxfId="1" priority="719" operator="greaterThan">
      <formula>120</formula>
    </cfRule>
    <cfRule type="containsText" dxfId="2" priority="323" operator="between" text="库存为">
      <formula>NOT(ISERROR(SEARCH("库存为",AU79)))</formula>
    </cfRule>
  </conditionalFormatting>
  <conditionalFormatting sqref="AU80">
    <cfRule type="cellIs" dxfId="0" priority="1114" operator="lessThan">
      <formula>20</formula>
    </cfRule>
    <cfRule type="cellIs" dxfId="1" priority="718" operator="greaterThan">
      <formula>120</formula>
    </cfRule>
    <cfRule type="containsText" dxfId="2" priority="322" operator="between" text="库存为">
      <formula>NOT(ISERROR(SEARCH("库存为",AU80)))</formula>
    </cfRule>
  </conditionalFormatting>
  <conditionalFormatting sqref="AU81">
    <cfRule type="cellIs" dxfId="0" priority="1113" operator="lessThan">
      <formula>20</formula>
    </cfRule>
    <cfRule type="cellIs" dxfId="1" priority="717" operator="greaterThan">
      <formula>120</formula>
    </cfRule>
    <cfRule type="containsText" dxfId="2" priority="321" operator="between" text="库存为">
      <formula>NOT(ISERROR(SEARCH("库存为",AU81)))</formula>
    </cfRule>
  </conditionalFormatting>
  <conditionalFormatting sqref="AU82">
    <cfRule type="cellIs" dxfId="0" priority="1112" operator="lessThan">
      <formula>20</formula>
    </cfRule>
    <cfRule type="cellIs" dxfId="1" priority="716" operator="greaterThan">
      <formula>120</formula>
    </cfRule>
    <cfRule type="containsText" dxfId="2" priority="320" operator="between" text="库存为">
      <formula>NOT(ISERROR(SEARCH("库存为",AU82)))</formula>
    </cfRule>
  </conditionalFormatting>
  <conditionalFormatting sqref="AU83">
    <cfRule type="cellIs" dxfId="0" priority="1111" operator="lessThan">
      <formula>20</formula>
    </cfRule>
    <cfRule type="cellIs" dxfId="1" priority="715" operator="greaterThan">
      <formula>120</formula>
    </cfRule>
    <cfRule type="containsText" dxfId="2" priority="319" operator="between" text="库存为">
      <formula>NOT(ISERROR(SEARCH("库存为",AU83)))</formula>
    </cfRule>
  </conditionalFormatting>
  <conditionalFormatting sqref="AU84">
    <cfRule type="cellIs" dxfId="0" priority="1110" operator="lessThan">
      <formula>20</formula>
    </cfRule>
    <cfRule type="cellIs" dxfId="1" priority="714" operator="greaterThan">
      <formula>120</formula>
    </cfRule>
    <cfRule type="containsText" dxfId="2" priority="318" operator="between" text="库存为">
      <formula>NOT(ISERROR(SEARCH("库存为",AU84)))</formula>
    </cfRule>
  </conditionalFormatting>
  <conditionalFormatting sqref="AU85">
    <cfRule type="cellIs" dxfId="0" priority="1109" operator="lessThan">
      <formula>20</formula>
    </cfRule>
    <cfRule type="cellIs" dxfId="1" priority="713" operator="greaterThan">
      <formula>120</formula>
    </cfRule>
    <cfRule type="containsText" dxfId="2" priority="317" operator="between" text="库存为">
      <formula>NOT(ISERROR(SEARCH("库存为",AU85)))</formula>
    </cfRule>
  </conditionalFormatting>
  <conditionalFormatting sqref="AU86">
    <cfRule type="cellIs" dxfId="0" priority="1108" operator="lessThan">
      <formula>20</formula>
    </cfRule>
    <cfRule type="cellIs" dxfId="1" priority="712" operator="greaterThan">
      <formula>120</formula>
    </cfRule>
    <cfRule type="containsText" dxfId="2" priority="316" operator="between" text="库存为">
      <formula>NOT(ISERROR(SEARCH("库存为",AU86)))</formula>
    </cfRule>
  </conditionalFormatting>
  <conditionalFormatting sqref="AU87">
    <cfRule type="cellIs" dxfId="0" priority="1107" operator="lessThan">
      <formula>20</formula>
    </cfRule>
    <cfRule type="cellIs" dxfId="1" priority="711" operator="greaterThan">
      <formula>120</formula>
    </cfRule>
    <cfRule type="containsText" dxfId="2" priority="315" operator="between" text="库存为">
      <formula>NOT(ISERROR(SEARCH("库存为",AU87)))</formula>
    </cfRule>
  </conditionalFormatting>
  <conditionalFormatting sqref="AU88">
    <cfRule type="cellIs" dxfId="0" priority="1106" operator="lessThan">
      <formula>20</formula>
    </cfRule>
    <cfRule type="cellIs" dxfId="1" priority="710" operator="greaterThan">
      <formula>120</formula>
    </cfRule>
    <cfRule type="containsText" dxfId="2" priority="314" operator="between" text="库存为">
      <formula>NOT(ISERROR(SEARCH("库存为",AU88)))</formula>
    </cfRule>
  </conditionalFormatting>
  <conditionalFormatting sqref="AU89">
    <cfRule type="cellIs" dxfId="0" priority="1105" operator="lessThan">
      <formula>20</formula>
    </cfRule>
    <cfRule type="cellIs" dxfId="1" priority="709" operator="greaterThan">
      <formula>120</formula>
    </cfRule>
    <cfRule type="containsText" dxfId="2" priority="313" operator="between" text="库存为">
      <formula>NOT(ISERROR(SEARCH("库存为",AU89)))</formula>
    </cfRule>
  </conditionalFormatting>
  <conditionalFormatting sqref="AU90">
    <cfRule type="cellIs" dxfId="0" priority="1104" operator="lessThan">
      <formula>20</formula>
    </cfRule>
    <cfRule type="cellIs" dxfId="1" priority="708" operator="greaterThan">
      <formula>120</formula>
    </cfRule>
    <cfRule type="containsText" dxfId="2" priority="312" operator="between" text="库存为">
      <formula>NOT(ISERROR(SEARCH("库存为",AU90)))</formula>
    </cfRule>
  </conditionalFormatting>
  <conditionalFormatting sqref="AU91">
    <cfRule type="cellIs" dxfId="0" priority="1103" operator="lessThan">
      <formula>20</formula>
    </cfRule>
    <cfRule type="cellIs" dxfId="1" priority="707" operator="greaterThan">
      <formula>120</formula>
    </cfRule>
    <cfRule type="containsText" dxfId="2" priority="311" operator="between" text="库存为">
      <formula>NOT(ISERROR(SEARCH("库存为",AU91)))</formula>
    </cfRule>
  </conditionalFormatting>
  <conditionalFormatting sqref="AU92">
    <cfRule type="cellIs" dxfId="0" priority="1102" operator="lessThan">
      <formula>20</formula>
    </cfRule>
    <cfRule type="cellIs" dxfId="1" priority="706" operator="greaterThan">
      <formula>120</formula>
    </cfRule>
    <cfRule type="containsText" dxfId="2" priority="310" operator="between" text="库存为">
      <formula>NOT(ISERROR(SEARCH("库存为",AU92)))</formula>
    </cfRule>
  </conditionalFormatting>
  <conditionalFormatting sqref="AU93">
    <cfRule type="cellIs" dxfId="0" priority="1101" operator="lessThan">
      <formula>20</formula>
    </cfRule>
    <cfRule type="cellIs" dxfId="1" priority="705" operator="greaterThan">
      <formula>120</formula>
    </cfRule>
    <cfRule type="containsText" dxfId="2" priority="309" operator="between" text="库存为">
      <formula>NOT(ISERROR(SEARCH("库存为",AU93)))</formula>
    </cfRule>
  </conditionalFormatting>
  <conditionalFormatting sqref="AU94">
    <cfRule type="cellIs" dxfId="0" priority="1100" operator="lessThan">
      <formula>20</formula>
    </cfRule>
    <cfRule type="cellIs" dxfId="1" priority="704" operator="greaterThan">
      <formula>120</formula>
    </cfRule>
    <cfRule type="containsText" dxfId="2" priority="308" operator="between" text="库存为">
      <formula>NOT(ISERROR(SEARCH("库存为",AU94)))</formula>
    </cfRule>
  </conditionalFormatting>
  <conditionalFormatting sqref="AU95">
    <cfRule type="cellIs" dxfId="0" priority="1099" operator="lessThan">
      <formula>20</formula>
    </cfRule>
    <cfRule type="cellIs" dxfId="1" priority="703" operator="greaterThan">
      <formula>120</formula>
    </cfRule>
    <cfRule type="containsText" dxfId="2" priority="307" operator="between" text="库存为">
      <formula>NOT(ISERROR(SEARCH("库存为",AU95)))</formula>
    </cfRule>
  </conditionalFormatting>
  <conditionalFormatting sqref="AU96">
    <cfRule type="cellIs" dxfId="0" priority="1098" operator="lessThan">
      <formula>20</formula>
    </cfRule>
    <cfRule type="cellIs" dxfId="1" priority="702" operator="greaterThan">
      <formula>120</formula>
    </cfRule>
    <cfRule type="containsText" dxfId="2" priority="306" operator="between" text="库存为">
      <formula>NOT(ISERROR(SEARCH("库存为",AU96)))</formula>
    </cfRule>
  </conditionalFormatting>
  <conditionalFormatting sqref="AU97">
    <cfRule type="cellIs" dxfId="0" priority="1097" operator="lessThan">
      <formula>20</formula>
    </cfRule>
    <cfRule type="cellIs" dxfId="1" priority="701" operator="greaterThan">
      <formula>120</formula>
    </cfRule>
    <cfRule type="containsText" dxfId="2" priority="305" operator="between" text="库存为">
      <formula>NOT(ISERROR(SEARCH("库存为",AU97)))</formula>
    </cfRule>
  </conditionalFormatting>
  <conditionalFormatting sqref="AU98">
    <cfRule type="cellIs" dxfId="0" priority="1096" operator="lessThan">
      <formula>20</formula>
    </cfRule>
    <cfRule type="cellIs" dxfId="1" priority="700" operator="greaterThan">
      <formula>120</formula>
    </cfRule>
    <cfRule type="containsText" dxfId="2" priority="304" operator="between" text="库存为">
      <formula>NOT(ISERROR(SEARCH("库存为",AU98)))</formula>
    </cfRule>
  </conditionalFormatting>
  <conditionalFormatting sqref="AU99">
    <cfRule type="cellIs" dxfId="0" priority="1095" operator="lessThan">
      <formula>20</formula>
    </cfRule>
    <cfRule type="cellIs" dxfId="1" priority="699" operator="greaterThan">
      <formula>120</formula>
    </cfRule>
    <cfRule type="containsText" dxfId="2" priority="303" operator="between" text="库存为">
      <formula>NOT(ISERROR(SEARCH("库存为",AU99)))</formula>
    </cfRule>
  </conditionalFormatting>
  <conditionalFormatting sqref="AU100">
    <cfRule type="cellIs" dxfId="0" priority="1094" operator="lessThan">
      <formula>20</formula>
    </cfRule>
    <cfRule type="cellIs" dxfId="1" priority="698" operator="greaterThan">
      <formula>120</formula>
    </cfRule>
    <cfRule type="containsText" dxfId="2" priority="302" operator="between" text="库存为">
      <formula>NOT(ISERROR(SEARCH("库存为",AU100)))</formula>
    </cfRule>
  </conditionalFormatting>
  <conditionalFormatting sqref="AU101">
    <cfRule type="cellIs" dxfId="0" priority="1093" operator="lessThan">
      <formula>20</formula>
    </cfRule>
    <cfRule type="cellIs" dxfId="1" priority="697" operator="greaterThan">
      <formula>120</formula>
    </cfRule>
    <cfRule type="containsText" dxfId="2" priority="301" operator="between" text="库存为">
      <formula>NOT(ISERROR(SEARCH("库存为",AU101)))</formula>
    </cfRule>
  </conditionalFormatting>
  <conditionalFormatting sqref="AU102">
    <cfRule type="cellIs" dxfId="0" priority="1092" operator="lessThan">
      <formula>20</formula>
    </cfRule>
    <cfRule type="cellIs" dxfId="1" priority="696" operator="greaterThan">
      <formula>120</formula>
    </cfRule>
    <cfRule type="containsText" dxfId="2" priority="300" operator="between" text="库存为">
      <formula>NOT(ISERROR(SEARCH("库存为",AU102)))</formula>
    </cfRule>
  </conditionalFormatting>
  <conditionalFormatting sqref="AU103">
    <cfRule type="cellIs" dxfId="0" priority="1091" operator="lessThan">
      <formula>20</formula>
    </cfRule>
    <cfRule type="cellIs" dxfId="1" priority="695" operator="greaterThan">
      <formula>120</formula>
    </cfRule>
    <cfRule type="containsText" dxfId="2" priority="299" operator="between" text="库存为">
      <formula>NOT(ISERROR(SEARCH("库存为",AU103)))</formula>
    </cfRule>
  </conditionalFormatting>
  <conditionalFormatting sqref="AU104">
    <cfRule type="cellIs" dxfId="0" priority="1090" operator="lessThan">
      <formula>20</formula>
    </cfRule>
    <cfRule type="cellIs" dxfId="1" priority="694" operator="greaterThan">
      <formula>120</formula>
    </cfRule>
    <cfRule type="containsText" dxfId="2" priority="298" operator="between" text="库存为">
      <formula>NOT(ISERROR(SEARCH("库存为",AU104)))</formula>
    </cfRule>
  </conditionalFormatting>
  <conditionalFormatting sqref="AU105">
    <cfRule type="cellIs" dxfId="0" priority="1089" operator="lessThan">
      <formula>20</formula>
    </cfRule>
    <cfRule type="cellIs" dxfId="1" priority="693" operator="greaterThan">
      <formula>120</formula>
    </cfRule>
    <cfRule type="containsText" dxfId="2" priority="297" operator="between" text="库存为">
      <formula>NOT(ISERROR(SEARCH("库存为",AU105)))</formula>
    </cfRule>
  </conditionalFormatting>
  <conditionalFormatting sqref="AU106">
    <cfRule type="cellIs" dxfId="0" priority="1088" operator="lessThan">
      <formula>20</formula>
    </cfRule>
    <cfRule type="cellIs" dxfId="1" priority="692" operator="greaterThan">
      <formula>120</formula>
    </cfRule>
    <cfRule type="containsText" dxfId="2" priority="296" operator="between" text="库存为">
      <formula>NOT(ISERROR(SEARCH("库存为",AU106)))</formula>
    </cfRule>
  </conditionalFormatting>
  <conditionalFormatting sqref="AU107">
    <cfRule type="cellIs" dxfId="0" priority="1087" operator="lessThan">
      <formula>20</formula>
    </cfRule>
    <cfRule type="cellIs" dxfId="1" priority="691" operator="greaterThan">
      <formula>120</formula>
    </cfRule>
    <cfRule type="containsText" dxfId="2" priority="295" operator="between" text="库存为">
      <formula>NOT(ISERROR(SEARCH("库存为",AU107)))</formula>
    </cfRule>
  </conditionalFormatting>
  <conditionalFormatting sqref="AU108">
    <cfRule type="cellIs" dxfId="0" priority="1086" operator="lessThan">
      <formula>20</formula>
    </cfRule>
    <cfRule type="cellIs" dxfId="1" priority="690" operator="greaterThan">
      <formula>120</formula>
    </cfRule>
    <cfRule type="containsText" dxfId="2" priority="294" operator="between" text="库存为">
      <formula>NOT(ISERROR(SEARCH("库存为",AU108)))</formula>
    </cfRule>
  </conditionalFormatting>
  <conditionalFormatting sqref="AU109">
    <cfRule type="cellIs" dxfId="0" priority="1085" operator="lessThan">
      <formula>20</formula>
    </cfRule>
    <cfRule type="cellIs" dxfId="1" priority="689" operator="greaterThan">
      <formula>120</formula>
    </cfRule>
    <cfRule type="containsText" dxfId="2" priority="293" operator="between" text="库存为">
      <formula>NOT(ISERROR(SEARCH("库存为",AU109)))</formula>
    </cfRule>
  </conditionalFormatting>
  <conditionalFormatting sqref="AU110">
    <cfRule type="cellIs" dxfId="0" priority="1084" operator="lessThan">
      <formula>20</formula>
    </cfRule>
    <cfRule type="cellIs" dxfId="1" priority="688" operator="greaterThan">
      <formula>120</formula>
    </cfRule>
    <cfRule type="containsText" dxfId="2" priority="292" operator="between" text="库存为">
      <formula>NOT(ISERROR(SEARCH("库存为",AU110)))</formula>
    </cfRule>
  </conditionalFormatting>
  <conditionalFormatting sqref="AU111">
    <cfRule type="cellIs" dxfId="0" priority="1083" operator="lessThan">
      <formula>20</formula>
    </cfRule>
    <cfRule type="cellIs" dxfId="1" priority="687" operator="greaterThan">
      <formula>120</formula>
    </cfRule>
    <cfRule type="containsText" dxfId="2" priority="291" operator="between" text="库存为">
      <formula>NOT(ISERROR(SEARCH("库存为",AU111)))</formula>
    </cfRule>
  </conditionalFormatting>
  <conditionalFormatting sqref="AU112">
    <cfRule type="cellIs" dxfId="0" priority="1082" operator="lessThan">
      <formula>20</formula>
    </cfRule>
    <cfRule type="cellIs" dxfId="1" priority="686" operator="greaterThan">
      <formula>120</formula>
    </cfRule>
    <cfRule type="containsText" dxfId="2" priority="290" operator="between" text="库存为">
      <formula>NOT(ISERROR(SEARCH("库存为",AU112)))</formula>
    </cfRule>
  </conditionalFormatting>
  <conditionalFormatting sqref="AU113">
    <cfRule type="cellIs" dxfId="0" priority="1081" operator="lessThan">
      <formula>20</formula>
    </cfRule>
    <cfRule type="cellIs" dxfId="1" priority="685" operator="greaterThan">
      <formula>120</formula>
    </cfRule>
    <cfRule type="containsText" dxfId="2" priority="289" operator="between" text="库存为">
      <formula>NOT(ISERROR(SEARCH("库存为",AU113)))</formula>
    </cfRule>
  </conditionalFormatting>
  <conditionalFormatting sqref="AU114">
    <cfRule type="cellIs" dxfId="0" priority="1080" operator="lessThan">
      <formula>20</formula>
    </cfRule>
    <cfRule type="cellIs" dxfId="1" priority="684" operator="greaterThan">
      <formula>120</formula>
    </cfRule>
    <cfRule type="containsText" dxfId="2" priority="288" operator="between" text="库存为">
      <formula>NOT(ISERROR(SEARCH("库存为",AU114)))</formula>
    </cfRule>
  </conditionalFormatting>
  <conditionalFormatting sqref="AU115">
    <cfRule type="cellIs" dxfId="0" priority="1079" operator="lessThan">
      <formula>20</formula>
    </cfRule>
    <cfRule type="cellIs" dxfId="1" priority="683" operator="greaterThan">
      <formula>120</formula>
    </cfRule>
    <cfRule type="containsText" dxfId="2" priority="287" operator="between" text="库存为">
      <formula>NOT(ISERROR(SEARCH("库存为",AU115)))</formula>
    </cfRule>
  </conditionalFormatting>
  <conditionalFormatting sqref="AU116">
    <cfRule type="cellIs" dxfId="0" priority="1078" operator="lessThan">
      <formula>20</formula>
    </cfRule>
    <cfRule type="cellIs" dxfId="1" priority="682" operator="greaterThan">
      <formula>120</formula>
    </cfRule>
    <cfRule type="containsText" dxfId="2" priority="286" operator="between" text="库存为">
      <formula>NOT(ISERROR(SEARCH("库存为",AU116)))</formula>
    </cfRule>
  </conditionalFormatting>
  <conditionalFormatting sqref="AU117">
    <cfRule type="cellIs" dxfId="0" priority="1077" operator="lessThan">
      <formula>20</formula>
    </cfRule>
    <cfRule type="cellIs" dxfId="1" priority="681" operator="greaterThan">
      <formula>120</formula>
    </cfRule>
    <cfRule type="containsText" dxfId="2" priority="285" operator="between" text="库存为">
      <formula>NOT(ISERROR(SEARCH("库存为",AU117)))</formula>
    </cfRule>
  </conditionalFormatting>
  <conditionalFormatting sqref="AU118">
    <cfRule type="cellIs" dxfId="0" priority="1076" operator="lessThan">
      <formula>20</formula>
    </cfRule>
    <cfRule type="cellIs" dxfId="1" priority="680" operator="greaterThan">
      <formula>120</formula>
    </cfRule>
    <cfRule type="containsText" dxfId="2" priority="284" operator="between" text="库存为">
      <formula>NOT(ISERROR(SEARCH("库存为",AU118)))</formula>
    </cfRule>
  </conditionalFormatting>
  <conditionalFormatting sqref="AU119">
    <cfRule type="cellIs" dxfId="0" priority="1075" operator="lessThan">
      <formula>20</formula>
    </cfRule>
    <cfRule type="cellIs" dxfId="1" priority="679" operator="greaterThan">
      <formula>120</formula>
    </cfRule>
    <cfRule type="containsText" dxfId="2" priority="283" operator="between" text="库存为">
      <formula>NOT(ISERROR(SEARCH("库存为",AU119)))</formula>
    </cfRule>
  </conditionalFormatting>
  <conditionalFormatting sqref="AU120">
    <cfRule type="cellIs" dxfId="0" priority="1074" operator="lessThan">
      <formula>20</formula>
    </cfRule>
    <cfRule type="cellIs" dxfId="1" priority="678" operator="greaterThan">
      <formula>120</formula>
    </cfRule>
    <cfRule type="containsText" dxfId="2" priority="282" operator="between" text="库存为">
      <formula>NOT(ISERROR(SEARCH("库存为",AU120)))</formula>
    </cfRule>
  </conditionalFormatting>
  <conditionalFormatting sqref="AU121">
    <cfRule type="cellIs" dxfId="0" priority="1073" operator="lessThan">
      <formula>20</formula>
    </cfRule>
    <cfRule type="cellIs" dxfId="1" priority="677" operator="greaterThan">
      <formula>120</formula>
    </cfRule>
    <cfRule type="containsText" dxfId="2" priority="281" operator="between" text="库存为">
      <formula>NOT(ISERROR(SEARCH("库存为",AU121)))</formula>
    </cfRule>
  </conditionalFormatting>
  <conditionalFormatting sqref="AU122">
    <cfRule type="cellIs" dxfId="0" priority="1072" operator="lessThan">
      <formula>20</formula>
    </cfRule>
    <cfRule type="cellIs" dxfId="1" priority="676" operator="greaterThan">
      <formula>120</formula>
    </cfRule>
    <cfRule type="containsText" dxfId="2" priority="280" operator="between" text="库存为">
      <formula>NOT(ISERROR(SEARCH("库存为",AU122)))</formula>
    </cfRule>
  </conditionalFormatting>
  <conditionalFormatting sqref="AU123">
    <cfRule type="cellIs" dxfId="0" priority="1071" operator="lessThan">
      <formula>20</formula>
    </cfRule>
    <cfRule type="cellIs" dxfId="1" priority="675" operator="greaterThan">
      <formula>120</formula>
    </cfRule>
    <cfRule type="containsText" dxfId="2" priority="279" operator="between" text="库存为">
      <formula>NOT(ISERROR(SEARCH("库存为",AU123)))</formula>
    </cfRule>
  </conditionalFormatting>
  <conditionalFormatting sqref="AU124">
    <cfRule type="cellIs" dxfId="0" priority="1070" operator="lessThan">
      <formula>20</formula>
    </cfRule>
    <cfRule type="cellIs" dxfId="1" priority="674" operator="greaterThan">
      <formula>120</formula>
    </cfRule>
    <cfRule type="containsText" dxfId="2" priority="278" operator="between" text="库存为">
      <formula>NOT(ISERROR(SEARCH("库存为",AU124)))</formula>
    </cfRule>
  </conditionalFormatting>
  <conditionalFormatting sqref="AU125">
    <cfRule type="cellIs" dxfId="0" priority="1069" operator="lessThan">
      <formula>20</formula>
    </cfRule>
    <cfRule type="cellIs" dxfId="1" priority="673" operator="greaterThan">
      <formula>120</formula>
    </cfRule>
    <cfRule type="containsText" dxfId="2" priority="277" operator="between" text="库存为">
      <formula>NOT(ISERROR(SEARCH("库存为",AU125)))</formula>
    </cfRule>
  </conditionalFormatting>
  <conditionalFormatting sqref="AU126">
    <cfRule type="cellIs" dxfId="0" priority="1068" operator="lessThan">
      <formula>20</formula>
    </cfRule>
    <cfRule type="cellIs" dxfId="1" priority="672" operator="greaterThan">
      <formula>120</formula>
    </cfRule>
    <cfRule type="containsText" dxfId="2" priority="276" operator="between" text="库存为">
      <formula>NOT(ISERROR(SEARCH("库存为",AU126)))</formula>
    </cfRule>
  </conditionalFormatting>
  <conditionalFormatting sqref="AU127">
    <cfRule type="cellIs" dxfId="0" priority="1067" operator="lessThan">
      <formula>20</formula>
    </cfRule>
    <cfRule type="cellIs" dxfId="1" priority="671" operator="greaterThan">
      <formula>120</formula>
    </cfRule>
    <cfRule type="containsText" dxfId="2" priority="275" operator="between" text="库存为">
      <formula>NOT(ISERROR(SEARCH("库存为",AU127)))</formula>
    </cfRule>
  </conditionalFormatting>
  <conditionalFormatting sqref="AU128">
    <cfRule type="cellIs" dxfId="0" priority="1066" operator="lessThan">
      <formula>20</formula>
    </cfRule>
    <cfRule type="cellIs" dxfId="1" priority="670" operator="greaterThan">
      <formula>120</formula>
    </cfRule>
    <cfRule type="containsText" dxfId="2" priority="274" operator="between" text="库存为">
      <formula>NOT(ISERROR(SEARCH("库存为",AU128)))</formula>
    </cfRule>
  </conditionalFormatting>
  <conditionalFormatting sqref="AU129">
    <cfRule type="cellIs" dxfId="0" priority="1065" operator="lessThan">
      <formula>20</formula>
    </cfRule>
    <cfRule type="cellIs" dxfId="1" priority="669" operator="greaterThan">
      <formula>120</formula>
    </cfRule>
    <cfRule type="containsText" dxfId="2" priority="273" operator="between" text="库存为">
      <formula>NOT(ISERROR(SEARCH("库存为",AU129)))</formula>
    </cfRule>
  </conditionalFormatting>
  <conditionalFormatting sqref="AU130">
    <cfRule type="cellIs" dxfId="0" priority="1064" operator="lessThan">
      <formula>20</formula>
    </cfRule>
    <cfRule type="cellIs" dxfId="1" priority="668" operator="greaterThan">
      <formula>120</formula>
    </cfRule>
    <cfRule type="containsText" dxfId="2" priority="272" operator="between" text="库存为">
      <formula>NOT(ISERROR(SEARCH("库存为",AU130)))</formula>
    </cfRule>
  </conditionalFormatting>
  <conditionalFormatting sqref="AU131">
    <cfRule type="cellIs" dxfId="0" priority="1063" operator="lessThan">
      <formula>20</formula>
    </cfRule>
    <cfRule type="cellIs" dxfId="1" priority="667" operator="greaterThan">
      <formula>120</formula>
    </cfRule>
    <cfRule type="containsText" dxfId="2" priority="271" operator="between" text="库存为">
      <formula>NOT(ISERROR(SEARCH("库存为",AU131)))</formula>
    </cfRule>
  </conditionalFormatting>
  <conditionalFormatting sqref="AU132">
    <cfRule type="cellIs" dxfId="0" priority="1062" operator="lessThan">
      <formula>20</formula>
    </cfRule>
    <cfRule type="cellIs" dxfId="1" priority="666" operator="greaterThan">
      <formula>120</formula>
    </cfRule>
    <cfRule type="containsText" dxfId="2" priority="270" operator="between" text="库存为">
      <formula>NOT(ISERROR(SEARCH("库存为",AU132)))</formula>
    </cfRule>
  </conditionalFormatting>
  <conditionalFormatting sqref="AU133">
    <cfRule type="cellIs" dxfId="0" priority="1061" operator="lessThan">
      <formula>20</formula>
    </cfRule>
    <cfRule type="cellIs" dxfId="1" priority="665" operator="greaterThan">
      <formula>120</formula>
    </cfRule>
    <cfRule type="containsText" dxfId="2" priority="269" operator="between" text="库存为">
      <formula>NOT(ISERROR(SEARCH("库存为",AU133)))</formula>
    </cfRule>
  </conditionalFormatting>
  <conditionalFormatting sqref="AU134">
    <cfRule type="cellIs" dxfId="0" priority="1060" operator="lessThan">
      <formula>20</formula>
    </cfRule>
    <cfRule type="cellIs" dxfId="1" priority="664" operator="greaterThan">
      <formula>120</formula>
    </cfRule>
    <cfRule type="containsText" dxfId="2" priority="268" operator="between" text="库存为">
      <formula>NOT(ISERROR(SEARCH("库存为",AU134)))</formula>
    </cfRule>
  </conditionalFormatting>
  <conditionalFormatting sqref="AU135">
    <cfRule type="cellIs" dxfId="0" priority="1059" operator="lessThan">
      <formula>20</formula>
    </cfRule>
    <cfRule type="cellIs" dxfId="1" priority="663" operator="greaterThan">
      <formula>120</formula>
    </cfRule>
    <cfRule type="containsText" dxfId="2" priority="267" operator="between" text="库存为">
      <formula>NOT(ISERROR(SEARCH("库存为",AU135)))</formula>
    </cfRule>
  </conditionalFormatting>
  <conditionalFormatting sqref="AU136">
    <cfRule type="cellIs" dxfId="0" priority="1058" operator="lessThan">
      <formula>20</formula>
    </cfRule>
    <cfRule type="cellIs" dxfId="1" priority="662" operator="greaterThan">
      <formula>120</formula>
    </cfRule>
    <cfRule type="containsText" dxfId="2" priority="266" operator="between" text="库存为">
      <formula>NOT(ISERROR(SEARCH("库存为",AU136)))</formula>
    </cfRule>
  </conditionalFormatting>
  <conditionalFormatting sqref="AU137">
    <cfRule type="cellIs" dxfId="0" priority="1057" operator="lessThan">
      <formula>20</formula>
    </cfRule>
    <cfRule type="cellIs" dxfId="1" priority="661" operator="greaterThan">
      <formula>120</formula>
    </cfRule>
    <cfRule type="containsText" dxfId="2" priority="265" operator="between" text="库存为">
      <formula>NOT(ISERROR(SEARCH("库存为",AU137)))</formula>
    </cfRule>
  </conditionalFormatting>
  <conditionalFormatting sqref="AU138">
    <cfRule type="cellIs" dxfId="0" priority="1056" operator="lessThan">
      <formula>20</formula>
    </cfRule>
    <cfRule type="cellIs" dxfId="1" priority="660" operator="greaterThan">
      <formula>120</formula>
    </cfRule>
    <cfRule type="containsText" dxfId="2" priority="264" operator="between" text="库存为">
      <formula>NOT(ISERROR(SEARCH("库存为",AU138)))</formula>
    </cfRule>
  </conditionalFormatting>
  <conditionalFormatting sqref="AU139">
    <cfRule type="cellIs" dxfId="0" priority="1055" operator="lessThan">
      <formula>20</formula>
    </cfRule>
    <cfRule type="cellIs" dxfId="1" priority="659" operator="greaterThan">
      <formula>120</formula>
    </cfRule>
    <cfRule type="containsText" dxfId="2" priority="263" operator="between" text="库存为">
      <formula>NOT(ISERROR(SEARCH("库存为",AU139)))</formula>
    </cfRule>
  </conditionalFormatting>
  <conditionalFormatting sqref="AU140">
    <cfRule type="cellIs" dxfId="0" priority="1054" operator="lessThan">
      <formula>20</formula>
    </cfRule>
    <cfRule type="cellIs" dxfId="1" priority="658" operator="greaterThan">
      <formula>120</formula>
    </cfRule>
    <cfRule type="containsText" dxfId="2" priority="262" operator="between" text="库存为">
      <formula>NOT(ISERROR(SEARCH("库存为",AU140)))</formula>
    </cfRule>
  </conditionalFormatting>
  <conditionalFormatting sqref="AU141">
    <cfRule type="cellIs" dxfId="0" priority="1053" operator="lessThan">
      <formula>20</formula>
    </cfRule>
    <cfRule type="cellIs" dxfId="1" priority="657" operator="greaterThan">
      <formula>120</formula>
    </cfRule>
    <cfRule type="containsText" dxfId="2" priority="261" operator="between" text="库存为">
      <formula>NOT(ISERROR(SEARCH("库存为",AU141)))</formula>
    </cfRule>
  </conditionalFormatting>
  <conditionalFormatting sqref="AU142">
    <cfRule type="cellIs" dxfId="0" priority="1052" operator="lessThan">
      <formula>20</formula>
    </cfRule>
    <cfRule type="cellIs" dxfId="1" priority="656" operator="greaterThan">
      <formula>120</formula>
    </cfRule>
    <cfRule type="containsText" dxfId="2" priority="260" operator="between" text="库存为">
      <formula>NOT(ISERROR(SEARCH("库存为",AU142)))</formula>
    </cfRule>
  </conditionalFormatting>
  <conditionalFormatting sqref="AU143">
    <cfRule type="cellIs" dxfId="0" priority="1051" operator="lessThan">
      <formula>20</formula>
    </cfRule>
    <cfRule type="cellIs" dxfId="1" priority="655" operator="greaterThan">
      <formula>120</formula>
    </cfRule>
    <cfRule type="containsText" dxfId="2" priority="259" operator="between" text="库存为">
      <formula>NOT(ISERROR(SEARCH("库存为",AU143)))</formula>
    </cfRule>
  </conditionalFormatting>
  <conditionalFormatting sqref="AU144">
    <cfRule type="cellIs" dxfId="0" priority="1050" operator="lessThan">
      <formula>20</formula>
    </cfRule>
    <cfRule type="cellIs" dxfId="1" priority="654" operator="greaterThan">
      <formula>120</formula>
    </cfRule>
    <cfRule type="containsText" dxfId="2" priority="258" operator="between" text="库存为">
      <formula>NOT(ISERROR(SEARCH("库存为",AU144)))</formula>
    </cfRule>
  </conditionalFormatting>
  <conditionalFormatting sqref="AU145">
    <cfRule type="cellIs" dxfId="0" priority="1049" operator="lessThan">
      <formula>20</formula>
    </cfRule>
    <cfRule type="cellIs" dxfId="1" priority="653" operator="greaterThan">
      <formula>120</formula>
    </cfRule>
    <cfRule type="containsText" dxfId="2" priority="257" operator="between" text="库存为">
      <formula>NOT(ISERROR(SEARCH("库存为",AU145)))</formula>
    </cfRule>
  </conditionalFormatting>
  <conditionalFormatting sqref="AU146">
    <cfRule type="cellIs" dxfId="0" priority="1048" operator="lessThan">
      <formula>20</formula>
    </cfRule>
    <cfRule type="cellIs" dxfId="1" priority="652" operator="greaterThan">
      <formula>120</formula>
    </cfRule>
    <cfRule type="containsText" dxfId="2" priority="256" operator="between" text="库存为">
      <formula>NOT(ISERROR(SEARCH("库存为",AU146)))</formula>
    </cfRule>
  </conditionalFormatting>
  <conditionalFormatting sqref="AU147">
    <cfRule type="cellIs" dxfId="0" priority="1047" operator="lessThan">
      <formula>20</formula>
    </cfRule>
    <cfRule type="cellIs" dxfId="1" priority="651" operator="greaterThan">
      <formula>120</formula>
    </cfRule>
    <cfRule type="containsText" dxfId="2" priority="255" operator="between" text="库存为">
      <formula>NOT(ISERROR(SEARCH("库存为",AU147)))</formula>
    </cfRule>
  </conditionalFormatting>
  <conditionalFormatting sqref="AU148">
    <cfRule type="cellIs" dxfId="0" priority="1046" operator="lessThan">
      <formula>20</formula>
    </cfRule>
    <cfRule type="cellIs" dxfId="1" priority="650" operator="greaterThan">
      <formula>120</formula>
    </cfRule>
    <cfRule type="containsText" dxfId="2" priority="254" operator="between" text="库存为">
      <formula>NOT(ISERROR(SEARCH("库存为",AU148)))</formula>
    </cfRule>
  </conditionalFormatting>
  <conditionalFormatting sqref="AU149">
    <cfRule type="cellIs" dxfId="0" priority="1045" operator="lessThan">
      <formula>20</formula>
    </cfRule>
    <cfRule type="cellIs" dxfId="1" priority="649" operator="greaterThan">
      <formula>120</formula>
    </cfRule>
    <cfRule type="containsText" dxfId="2" priority="253" operator="between" text="库存为">
      <formula>NOT(ISERROR(SEARCH("库存为",AU149)))</formula>
    </cfRule>
  </conditionalFormatting>
  <conditionalFormatting sqref="AU150">
    <cfRule type="cellIs" dxfId="0" priority="1044" operator="lessThan">
      <formula>20</formula>
    </cfRule>
    <cfRule type="cellIs" dxfId="1" priority="648" operator="greaterThan">
      <formula>120</formula>
    </cfRule>
    <cfRule type="containsText" dxfId="2" priority="252" operator="between" text="库存为">
      <formula>NOT(ISERROR(SEARCH("库存为",AU150)))</formula>
    </cfRule>
  </conditionalFormatting>
  <conditionalFormatting sqref="AU151">
    <cfRule type="cellIs" dxfId="0" priority="1043" operator="lessThan">
      <formula>20</formula>
    </cfRule>
    <cfRule type="cellIs" dxfId="1" priority="647" operator="greaterThan">
      <formula>120</formula>
    </cfRule>
    <cfRule type="containsText" dxfId="2" priority="251" operator="between" text="库存为">
      <formula>NOT(ISERROR(SEARCH("库存为",AU151)))</formula>
    </cfRule>
  </conditionalFormatting>
  <conditionalFormatting sqref="AU152">
    <cfRule type="cellIs" dxfId="0" priority="1042" operator="lessThan">
      <formula>20</formula>
    </cfRule>
    <cfRule type="cellIs" dxfId="1" priority="646" operator="greaterThan">
      <formula>120</formula>
    </cfRule>
    <cfRule type="containsText" dxfId="2" priority="250" operator="between" text="库存为">
      <formula>NOT(ISERROR(SEARCH("库存为",AU152)))</formula>
    </cfRule>
  </conditionalFormatting>
  <conditionalFormatting sqref="AU153">
    <cfRule type="cellIs" dxfId="0" priority="1041" operator="lessThan">
      <formula>20</formula>
    </cfRule>
    <cfRule type="cellIs" dxfId="1" priority="645" operator="greaterThan">
      <formula>120</formula>
    </cfRule>
    <cfRule type="containsText" dxfId="2" priority="249" operator="between" text="库存为">
      <formula>NOT(ISERROR(SEARCH("库存为",AU153)))</formula>
    </cfRule>
  </conditionalFormatting>
  <conditionalFormatting sqref="AU154">
    <cfRule type="cellIs" dxfId="0" priority="1040" operator="lessThan">
      <formula>20</formula>
    </cfRule>
    <cfRule type="cellIs" dxfId="1" priority="644" operator="greaterThan">
      <formula>120</formula>
    </cfRule>
    <cfRule type="containsText" dxfId="2" priority="248" operator="between" text="库存为">
      <formula>NOT(ISERROR(SEARCH("库存为",AU154)))</formula>
    </cfRule>
  </conditionalFormatting>
  <conditionalFormatting sqref="AU155">
    <cfRule type="cellIs" dxfId="0" priority="1039" operator="lessThan">
      <formula>20</formula>
    </cfRule>
    <cfRule type="cellIs" dxfId="1" priority="643" operator="greaterThan">
      <formula>120</formula>
    </cfRule>
    <cfRule type="containsText" dxfId="2" priority="247" operator="between" text="库存为">
      <formula>NOT(ISERROR(SEARCH("库存为",AU155)))</formula>
    </cfRule>
  </conditionalFormatting>
  <conditionalFormatting sqref="AU156">
    <cfRule type="cellIs" dxfId="0" priority="1038" operator="lessThan">
      <formula>20</formula>
    </cfRule>
    <cfRule type="cellIs" dxfId="1" priority="642" operator="greaterThan">
      <formula>120</formula>
    </cfRule>
    <cfRule type="containsText" dxfId="2" priority="246" operator="between" text="库存为">
      <formula>NOT(ISERROR(SEARCH("库存为",AU156)))</formula>
    </cfRule>
  </conditionalFormatting>
  <conditionalFormatting sqref="AU157">
    <cfRule type="cellIs" dxfId="0" priority="1037" operator="lessThan">
      <formula>20</formula>
    </cfRule>
    <cfRule type="cellIs" dxfId="1" priority="641" operator="greaterThan">
      <formula>120</formula>
    </cfRule>
    <cfRule type="containsText" dxfId="2" priority="245" operator="between" text="库存为">
      <formula>NOT(ISERROR(SEARCH("库存为",AU157)))</formula>
    </cfRule>
  </conditionalFormatting>
  <conditionalFormatting sqref="AU158">
    <cfRule type="cellIs" dxfId="0" priority="1036" operator="lessThan">
      <formula>20</formula>
    </cfRule>
    <cfRule type="cellIs" dxfId="1" priority="640" operator="greaterThan">
      <formula>120</formula>
    </cfRule>
    <cfRule type="containsText" dxfId="2" priority="244" operator="between" text="库存为">
      <formula>NOT(ISERROR(SEARCH("库存为",AU158)))</formula>
    </cfRule>
  </conditionalFormatting>
  <conditionalFormatting sqref="AU159">
    <cfRule type="cellIs" dxfId="0" priority="1035" operator="lessThan">
      <formula>20</formula>
    </cfRule>
    <cfRule type="cellIs" dxfId="1" priority="639" operator="greaterThan">
      <formula>120</formula>
    </cfRule>
    <cfRule type="containsText" dxfId="2" priority="243" operator="between" text="库存为">
      <formula>NOT(ISERROR(SEARCH("库存为",AU159)))</formula>
    </cfRule>
  </conditionalFormatting>
  <conditionalFormatting sqref="AU160">
    <cfRule type="cellIs" dxfId="0" priority="1034" operator="lessThan">
      <formula>20</formula>
    </cfRule>
    <cfRule type="cellIs" dxfId="1" priority="638" operator="greaterThan">
      <formula>120</formula>
    </cfRule>
    <cfRule type="containsText" dxfId="2" priority="242" operator="between" text="库存为">
      <formula>NOT(ISERROR(SEARCH("库存为",AU160)))</formula>
    </cfRule>
  </conditionalFormatting>
  <conditionalFormatting sqref="AU161">
    <cfRule type="cellIs" dxfId="0" priority="1033" operator="lessThan">
      <formula>20</formula>
    </cfRule>
    <cfRule type="cellIs" dxfId="1" priority="637" operator="greaterThan">
      <formula>120</formula>
    </cfRule>
    <cfRule type="containsText" dxfId="2" priority="241" operator="between" text="库存为">
      <formula>NOT(ISERROR(SEARCH("库存为",AU161)))</formula>
    </cfRule>
  </conditionalFormatting>
  <conditionalFormatting sqref="AU162">
    <cfRule type="cellIs" dxfId="0" priority="1032" operator="lessThan">
      <formula>20</formula>
    </cfRule>
    <cfRule type="cellIs" dxfId="1" priority="636" operator="greaterThan">
      <formula>120</formula>
    </cfRule>
    <cfRule type="containsText" dxfId="2" priority="240" operator="between" text="库存为">
      <formula>NOT(ISERROR(SEARCH("库存为",AU162)))</formula>
    </cfRule>
  </conditionalFormatting>
  <conditionalFormatting sqref="AU163">
    <cfRule type="cellIs" dxfId="0" priority="1031" operator="lessThan">
      <formula>20</formula>
    </cfRule>
    <cfRule type="cellIs" dxfId="1" priority="635" operator="greaterThan">
      <formula>120</formula>
    </cfRule>
    <cfRule type="containsText" dxfId="2" priority="239" operator="between" text="库存为">
      <formula>NOT(ISERROR(SEARCH("库存为",AU163)))</formula>
    </cfRule>
  </conditionalFormatting>
  <conditionalFormatting sqref="AU164">
    <cfRule type="cellIs" dxfId="0" priority="1030" operator="lessThan">
      <formula>20</formula>
    </cfRule>
    <cfRule type="cellIs" dxfId="1" priority="634" operator="greaterThan">
      <formula>120</formula>
    </cfRule>
    <cfRule type="containsText" dxfId="2" priority="238" operator="between" text="库存为">
      <formula>NOT(ISERROR(SEARCH("库存为",AU164)))</formula>
    </cfRule>
  </conditionalFormatting>
  <conditionalFormatting sqref="AU165">
    <cfRule type="cellIs" dxfId="0" priority="1029" operator="lessThan">
      <formula>20</formula>
    </cfRule>
    <cfRule type="cellIs" dxfId="1" priority="633" operator="greaterThan">
      <formula>120</formula>
    </cfRule>
    <cfRule type="containsText" dxfId="2" priority="237" operator="between" text="库存为">
      <formula>NOT(ISERROR(SEARCH("库存为",AU165)))</formula>
    </cfRule>
  </conditionalFormatting>
  <conditionalFormatting sqref="AU166">
    <cfRule type="cellIs" dxfId="0" priority="1028" operator="lessThan">
      <formula>20</formula>
    </cfRule>
    <cfRule type="cellIs" dxfId="1" priority="632" operator="greaterThan">
      <formula>120</formula>
    </cfRule>
    <cfRule type="containsText" dxfId="2" priority="236" operator="between" text="库存为">
      <formula>NOT(ISERROR(SEARCH("库存为",AU166)))</formula>
    </cfRule>
  </conditionalFormatting>
  <conditionalFormatting sqref="AU167">
    <cfRule type="cellIs" dxfId="0" priority="1027" operator="lessThan">
      <formula>20</formula>
    </cfRule>
    <cfRule type="cellIs" dxfId="1" priority="631" operator="greaterThan">
      <formula>120</formula>
    </cfRule>
    <cfRule type="containsText" dxfId="2" priority="235" operator="between" text="库存为">
      <formula>NOT(ISERROR(SEARCH("库存为",AU167)))</formula>
    </cfRule>
  </conditionalFormatting>
  <conditionalFormatting sqref="AU168">
    <cfRule type="cellIs" dxfId="0" priority="1026" operator="lessThan">
      <formula>20</formula>
    </cfRule>
    <cfRule type="cellIs" dxfId="1" priority="630" operator="greaterThan">
      <formula>120</formula>
    </cfRule>
    <cfRule type="containsText" dxfId="2" priority="234" operator="between" text="库存为">
      <formula>NOT(ISERROR(SEARCH("库存为",AU168)))</formula>
    </cfRule>
  </conditionalFormatting>
  <conditionalFormatting sqref="AU169">
    <cfRule type="cellIs" dxfId="0" priority="1025" operator="lessThan">
      <formula>20</formula>
    </cfRule>
    <cfRule type="cellIs" dxfId="1" priority="629" operator="greaterThan">
      <formula>120</formula>
    </cfRule>
    <cfRule type="containsText" dxfId="2" priority="233" operator="between" text="库存为">
      <formula>NOT(ISERROR(SEARCH("库存为",AU169)))</formula>
    </cfRule>
  </conditionalFormatting>
  <conditionalFormatting sqref="AU170">
    <cfRule type="cellIs" dxfId="0" priority="1024" operator="lessThan">
      <formula>20</formula>
    </cfRule>
    <cfRule type="cellIs" dxfId="1" priority="628" operator="greaterThan">
      <formula>120</formula>
    </cfRule>
    <cfRule type="containsText" dxfId="2" priority="232" operator="between" text="库存为">
      <formula>NOT(ISERROR(SEARCH("库存为",AU170)))</formula>
    </cfRule>
  </conditionalFormatting>
  <conditionalFormatting sqref="AU171">
    <cfRule type="cellIs" dxfId="0" priority="1023" operator="lessThan">
      <formula>20</formula>
    </cfRule>
    <cfRule type="cellIs" dxfId="1" priority="627" operator="greaterThan">
      <formula>120</formula>
    </cfRule>
    <cfRule type="containsText" dxfId="2" priority="231" operator="between" text="库存为">
      <formula>NOT(ISERROR(SEARCH("库存为",AU171)))</formula>
    </cfRule>
  </conditionalFormatting>
  <conditionalFormatting sqref="AU172">
    <cfRule type="cellIs" dxfId="0" priority="1022" operator="lessThan">
      <formula>20</formula>
    </cfRule>
    <cfRule type="cellIs" dxfId="1" priority="626" operator="greaterThan">
      <formula>120</formula>
    </cfRule>
    <cfRule type="containsText" dxfId="2" priority="230" operator="between" text="库存为">
      <formula>NOT(ISERROR(SEARCH("库存为",AU172)))</formula>
    </cfRule>
  </conditionalFormatting>
  <conditionalFormatting sqref="AU173">
    <cfRule type="cellIs" dxfId="0" priority="1021" operator="lessThan">
      <formula>20</formula>
    </cfRule>
    <cfRule type="cellIs" dxfId="1" priority="625" operator="greaterThan">
      <formula>120</formula>
    </cfRule>
    <cfRule type="containsText" dxfId="2" priority="229" operator="between" text="库存为">
      <formula>NOT(ISERROR(SEARCH("库存为",AU173)))</formula>
    </cfRule>
  </conditionalFormatting>
  <conditionalFormatting sqref="AU174">
    <cfRule type="cellIs" dxfId="0" priority="1020" operator="lessThan">
      <formula>20</formula>
    </cfRule>
    <cfRule type="cellIs" dxfId="1" priority="624" operator="greaterThan">
      <formula>120</formula>
    </cfRule>
    <cfRule type="containsText" dxfId="2" priority="228" operator="between" text="库存为">
      <formula>NOT(ISERROR(SEARCH("库存为",AU174)))</formula>
    </cfRule>
  </conditionalFormatting>
  <conditionalFormatting sqref="AU175">
    <cfRule type="cellIs" dxfId="0" priority="1019" operator="lessThan">
      <formula>20</formula>
    </cfRule>
    <cfRule type="cellIs" dxfId="1" priority="623" operator="greaterThan">
      <formula>120</formula>
    </cfRule>
    <cfRule type="containsText" dxfId="2" priority="227" operator="between" text="库存为">
      <formula>NOT(ISERROR(SEARCH("库存为",AU175)))</formula>
    </cfRule>
  </conditionalFormatting>
  <conditionalFormatting sqref="AU176">
    <cfRule type="cellIs" dxfId="0" priority="1018" operator="lessThan">
      <formula>20</formula>
    </cfRule>
    <cfRule type="cellIs" dxfId="1" priority="622" operator="greaterThan">
      <formula>120</formula>
    </cfRule>
    <cfRule type="containsText" dxfId="2" priority="226" operator="between" text="库存为">
      <formula>NOT(ISERROR(SEARCH("库存为",AU176)))</formula>
    </cfRule>
  </conditionalFormatting>
  <conditionalFormatting sqref="AU177">
    <cfRule type="cellIs" dxfId="0" priority="1017" operator="lessThan">
      <formula>20</formula>
    </cfRule>
    <cfRule type="cellIs" dxfId="1" priority="621" operator="greaterThan">
      <formula>120</formula>
    </cfRule>
    <cfRule type="containsText" dxfId="2" priority="225" operator="between" text="库存为">
      <formula>NOT(ISERROR(SEARCH("库存为",AU177)))</formula>
    </cfRule>
  </conditionalFormatting>
  <conditionalFormatting sqref="AU178">
    <cfRule type="cellIs" dxfId="0" priority="1016" operator="lessThan">
      <formula>20</formula>
    </cfRule>
    <cfRule type="cellIs" dxfId="1" priority="620" operator="greaterThan">
      <formula>120</formula>
    </cfRule>
    <cfRule type="containsText" dxfId="2" priority="224" operator="between" text="库存为">
      <formula>NOT(ISERROR(SEARCH("库存为",AU178)))</formula>
    </cfRule>
  </conditionalFormatting>
  <conditionalFormatting sqref="AU179">
    <cfRule type="cellIs" dxfId="0" priority="1015" operator="lessThan">
      <formula>20</formula>
    </cfRule>
    <cfRule type="cellIs" dxfId="1" priority="619" operator="greaterThan">
      <formula>120</formula>
    </cfRule>
    <cfRule type="containsText" dxfId="2" priority="223" operator="between" text="库存为">
      <formula>NOT(ISERROR(SEARCH("库存为",AU179)))</formula>
    </cfRule>
  </conditionalFormatting>
  <conditionalFormatting sqref="AU180">
    <cfRule type="cellIs" dxfId="0" priority="1014" operator="lessThan">
      <formula>20</formula>
    </cfRule>
    <cfRule type="cellIs" dxfId="1" priority="618" operator="greaterThan">
      <formula>120</formula>
    </cfRule>
    <cfRule type="containsText" dxfId="2" priority="222" operator="between" text="库存为">
      <formula>NOT(ISERROR(SEARCH("库存为",AU180)))</formula>
    </cfRule>
  </conditionalFormatting>
  <conditionalFormatting sqref="AU181">
    <cfRule type="cellIs" dxfId="0" priority="1013" operator="lessThan">
      <formula>20</formula>
    </cfRule>
    <cfRule type="cellIs" dxfId="1" priority="617" operator="greaterThan">
      <formula>120</formula>
    </cfRule>
    <cfRule type="containsText" dxfId="2" priority="221" operator="between" text="库存为">
      <formula>NOT(ISERROR(SEARCH("库存为",AU181)))</formula>
    </cfRule>
  </conditionalFormatting>
  <conditionalFormatting sqref="AU182">
    <cfRule type="cellIs" dxfId="0" priority="1012" operator="lessThan">
      <formula>20</formula>
    </cfRule>
    <cfRule type="cellIs" dxfId="1" priority="616" operator="greaterThan">
      <formula>120</formula>
    </cfRule>
    <cfRule type="containsText" dxfId="2" priority="220" operator="between" text="库存为">
      <formula>NOT(ISERROR(SEARCH("库存为",AU182)))</formula>
    </cfRule>
  </conditionalFormatting>
  <conditionalFormatting sqref="AU183">
    <cfRule type="cellIs" dxfId="0" priority="1011" operator="lessThan">
      <formula>20</formula>
    </cfRule>
    <cfRule type="cellIs" dxfId="1" priority="615" operator="greaterThan">
      <formula>120</formula>
    </cfRule>
    <cfRule type="containsText" dxfId="2" priority="219" operator="between" text="库存为">
      <formula>NOT(ISERROR(SEARCH("库存为",AU183)))</formula>
    </cfRule>
  </conditionalFormatting>
  <conditionalFormatting sqref="AU184">
    <cfRule type="cellIs" dxfId="0" priority="1010" operator="lessThan">
      <formula>20</formula>
    </cfRule>
    <cfRule type="cellIs" dxfId="1" priority="614" operator="greaterThan">
      <formula>120</formula>
    </cfRule>
    <cfRule type="containsText" dxfId="2" priority="218" operator="between" text="库存为">
      <formula>NOT(ISERROR(SEARCH("库存为",AU184)))</formula>
    </cfRule>
  </conditionalFormatting>
  <conditionalFormatting sqref="AU185">
    <cfRule type="cellIs" dxfId="0" priority="1009" operator="lessThan">
      <formula>20</formula>
    </cfRule>
    <cfRule type="cellIs" dxfId="1" priority="613" operator="greaterThan">
      <formula>120</formula>
    </cfRule>
    <cfRule type="containsText" dxfId="2" priority="217" operator="between" text="库存为">
      <formula>NOT(ISERROR(SEARCH("库存为",AU185)))</formula>
    </cfRule>
  </conditionalFormatting>
  <conditionalFormatting sqref="AU186">
    <cfRule type="cellIs" dxfId="0" priority="1008" operator="lessThan">
      <formula>20</formula>
    </cfRule>
    <cfRule type="cellIs" dxfId="1" priority="612" operator="greaterThan">
      <formula>120</formula>
    </cfRule>
    <cfRule type="containsText" dxfId="2" priority="216" operator="between" text="库存为">
      <formula>NOT(ISERROR(SEARCH("库存为",AU186)))</formula>
    </cfRule>
  </conditionalFormatting>
  <conditionalFormatting sqref="AU187">
    <cfRule type="cellIs" dxfId="0" priority="1007" operator="lessThan">
      <formula>20</formula>
    </cfRule>
    <cfRule type="cellIs" dxfId="1" priority="611" operator="greaterThan">
      <formula>120</formula>
    </cfRule>
    <cfRule type="containsText" dxfId="2" priority="215" operator="between" text="库存为">
      <formula>NOT(ISERROR(SEARCH("库存为",AU187)))</formula>
    </cfRule>
  </conditionalFormatting>
  <conditionalFormatting sqref="AU188">
    <cfRule type="cellIs" dxfId="0" priority="1006" operator="lessThan">
      <formula>20</formula>
    </cfRule>
    <cfRule type="cellIs" dxfId="1" priority="610" operator="greaterThan">
      <formula>120</formula>
    </cfRule>
    <cfRule type="containsText" dxfId="2" priority="214" operator="between" text="库存为">
      <formula>NOT(ISERROR(SEARCH("库存为",AU188)))</formula>
    </cfRule>
  </conditionalFormatting>
  <conditionalFormatting sqref="AU189">
    <cfRule type="cellIs" dxfId="0" priority="1005" operator="lessThan">
      <formula>20</formula>
    </cfRule>
    <cfRule type="cellIs" dxfId="1" priority="609" operator="greaterThan">
      <formula>120</formula>
    </cfRule>
    <cfRule type="containsText" dxfId="2" priority="213" operator="between" text="库存为">
      <formula>NOT(ISERROR(SEARCH("库存为",AU189)))</formula>
    </cfRule>
  </conditionalFormatting>
  <conditionalFormatting sqref="AU190">
    <cfRule type="cellIs" dxfId="0" priority="1004" operator="lessThan">
      <formula>20</formula>
    </cfRule>
    <cfRule type="cellIs" dxfId="1" priority="608" operator="greaterThan">
      <formula>120</formula>
    </cfRule>
    <cfRule type="containsText" dxfId="2" priority="212" operator="between" text="库存为">
      <formula>NOT(ISERROR(SEARCH("库存为",AU190)))</formula>
    </cfRule>
  </conditionalFormatting>
  <conditionalFormatting sqref="AU191">
    <cfRule type="cellIs" dxfId="0" priority="1003" operator="lessThan">
      <formula>20</formula>
    </cfRule>
    <cfRule type="cellIs" dxfId="1" priority="607" operator="greaterThan">
      <formula>120</formula>
    </cfRule>
    <cfRule type="containsText" dxfId="2" priority="211" operator="between" text="库存为">
      <formula>NOT(ISERROR(SEARCH("库存为",AU191)))</formula>
    </cfRule>
  </conditionalFormatting>
  <conditionalFormatting sqref="AU192">
    <cfRule type="cellIs" dxfId="0" priority="1002" operator="lessThan">
      <formula>20</formula>
    </cfRule>
    <cfRule type="cellIs" dxfId="1" priority="606" operator="greaterThan">
      <formula>120</formula>
    </cfRule>
    <cfRule type="containsText" dxfId="2" priority="210" operator="between" text="库存为">
      <formula>NOT(ISERROR(SEARCH("库存为",AU192)))</formula>
    </cfRule>
  </conditionalFormatting>
  <conditionalFormatting sqref="AU193">
    <cfRule type="cellIs" dxfId="0" priority="1001" operator="lessThan">
      <formula>20</formula>
    </cfRule>
    <cfRule type="cellIs" dxfId="1" priority="605" operator="greaterThan">
      <formula>120</formula>
    </cfRule>
    <cfRule type="containsText" dxfId="2" priority="209" operator="between" text="库存为">
      <formula>NOT(ISERROR(SEARCH("库存为",AU193)))</formula>
    </cfRule>
  </conditionalFormatting>
  <conditionalFormatting sqref="AU194">
    <cfRule type="cellIs" dxfId="0" priority="1000" operator="lessThan">
      <formula>20</formula>
    </cfRule>
    <cfRule type="cellIs" dxfId="1" priority="604" operator="greaterThan">
      <formula>120</formula>
    </cfRule>
    <cfRule type="containsText" dxfId="2" priority="208" operator="between" text="库存为">
      <formula>NOT(ISERROR(SEARCH("库存为",AU194)))</formula>
    </cfRule>
  </conditionalFormatting>
  <conditionalFormatting sqref="AU195">
    <cfRule type="cellIs" dxfId="0" priority="999" operator="lessThan">
      <formula>20</formula>
    </cfRule>
    <cfRule type="cellIs" dxfId="1" priority="603" operator="greaterThan">
      <formula>120</formula>
    </cfRule>
    <cfRule type="containsText" dxfId="2" priority="207" operator="between" text="库存为">
      <formula>NOT(ISERROR(SEARCH("库存为",AU195)))</formula>
    </cfRule>
  </conditionalFormatting>
  <conditionalFormatting sqref="AU196">
    <cfRule type="cellIs" dxfId="0" priority="998" operator="lessThan">
      <formula>20</formula>
    </cfRule>
    <cfRule type="cellIs" dxfId="1" priority="602" operator="greaterThan">
      <formula>120</formula>
    </cfRule>
    <cfRule type="containsText" dxfId="2" priority="206" operator="between" text="库存为">
      <formula>NOT(ISERROR(SEARCH("库存为",AU196)))</formula>
    </cfRule>
  </conditionalFormatting>
  <conditionalFormatting sqref="AU197">
    <cfRule type="cellIs" dxfId="0" priority="997" operator="lessThan">
      <formula>20</formula>
    </cfRule>
    <cfRule type="cellIs" dxfId="1" priority="601" operator="greaterThan">
      <formula>120</formula>
    </cfRule>
    <cfRule type="containsText" dxfId="2" priority="205" operator="between" text="库存为">
      <formula>NOT(ISERROR(SEARCH("库存为",AU197)))</formula>
    </cfRule>
  </conditionalFormatting>
  <conditionalFormatting sqref="AU198">
    <cfRule type="cellIs" dxfId="0" priority="996" operator="lessThan">
      <formula>20</formula>
    </cfRule>
    <cfRule type="cellIs" dxfId="1" priority="600" operator="greaterThan">
      <formula>120</formula>
    </cfRule>
    <cfRule type="containsText" dxfId="2" priority="204" operator="between" text="库存为">
      <formula>NOT(ISERROR(SEARCH("库存为",AU198)))</formula>
    </cfRule>
  </conditionalFormatting>
  <conditionalFormatting sqref="AU199">
    <cfRule type="cellIs" dxfId="0" priority="995" operator="lessThan">
      <formula>20</formula>
    </cfRule>
    <cfRule type="cellIs" dxfId="1" priority="599" operator="greaterThan">
      <formula>120</formula>
    </cfRule>
    <cfRule type="containsText" dxfId="2" priority="203" operator="between" text="库存为">
      <formula>NOT(ISERROR(SEARCH("库存为",AU199)))</formula>
    </cfRule>
  </conditionalFormatting>
  <conditionalFormatting sqref="AU200">
    <cfRule type="cellIs" dxfId="0" priority="994" operator="lessThan">
      <formula>20</formula>
    </cfRule>
    <cfRule type="cellIs" dxfId="1" priority="598" operator="greaterThan">
      <formula>120</formula>
    </cfRule>
    <cfRule type="containsText" dxfId="2" priority="202" operator="between" text="库存为">
      <formula>NOT(ISERROR(SEARCH("库存为",AU200)))</formula>
    </cfRule>
  </conditionalFormatting>
  <conditionalFormatting sqref="AU201">
    <cfRule type="cellIs" dxfId="0" priority="993" operator="lessThan">
      <formula>20</formula>
    </cfRule>
    <cfRule type="cellIs" dxfId="1" priority="597" operator="greaterThan">
      <formula>120</formula>
    </cfRule>
    <cfRule type="containsText" dxfId="2" priority="201" operator="between" text="库存为">
      <formula>NOT(ISERROR(SEARCH("库存为",AU201)))</formula>
    </cfRule>
  </conditionalFormatting>
  <conditionalFormatting sqref="AU202">
    <cfRule type="cellIs" dxfId="0" priority="992" operator="lessThan">
      <formula>20</formula>
    </cfRule>
    <cfRule type="cellIs" dxfId="1" priority="596" operator="greaterThan">
      <formula>120</formula>
    </cfRule>
    <cfRule type="containsText" dxfId="2" priority="200" operator="between" text="库存为">
      <formula>NOT(ISERROR(SEARCH("库存为",AU202)))</formula>
    </cfRule>
  </conditionalFormatting>
  <conditionalFormatting sqref="AU203">
    <cfRule type="cellIs" dxfId="0" priority="991" operator="lessThan">
      <formula>20</formula>
    </cfRule>
    <cfRule type="cellIs" dxfId="1" priority="595" operator="greaterThan">
      <formula>120</formula>
    </cfRule>
    <cfRule type="containsText" dxfId="2" priority="199" operator="between" text="库存为">
      <formula>NOT(ISERROR(SEARCH("库存为",AU203)))</formula>
    </cfRule>
  </conditionalFormatting>
  <conditionalFormatting sqref="AU204">
    <cfRule type="cellIs" dxfId="0" priority="990" operator="lessThan">
      <formula>20</formula>
    </cfRule>
    <cfRule type="cellIs" dxfId="1" priority="594" operator="greaterThan">
      <formula>120</formula>
    </cfRule>
    <cfRule type="containsText" dxfId="2" priority="198" operator="between" text="库存为">
      <formula>NOT(ISERROR(SEARCH("库存为",AU204)))</formula>
    </cfRule>
  </conditionalFormatting>
  <conditionalFormatting sqref="AU205">
    <cfRule type="cellIs" dxfId="0" priority="989" operator="lessThan">
      <formula>20</formula>
    </cfRule>
    <cfRule type="cellIs" dxfId="1" priority="593" operator="greaterThan">
      <formula>120</formula>
    </cfRule>
    <cfRule type="containsText" dxfId="2" priority="197" operator="between" text="库存为">
      <formula>NOT(ISERROR(SEARCH("库存为",AU205)))</formula>
    </cfRule>
  </conditionalFormatting>
  <conditionalFormatting sqref="AU206">
    <cfRule type="cellIs" dxfId="0" priority="988" operator="lessThan">
      <formula>20</formula>
    </cfRule>
    <cfRule type="cellIs" dxfId="1" priority="592" operator="greaterThan">
      <formula>120</formula>
    </cfRule>
    <cfRule type="containsText" dxfId="2" priority="196" operator="between" text="库存为">
      <formula>NOT(ISERROR(SEARCH("库存为",AU206)))</formula>
    </cfRule>
  </conditionalFormatting>
  <conditionalFormatting sqref="AU207">
    <cfRule type="cellIs" dxfId="0" priority="987" operator="lessThan">
      <formula>20</formula>
    </cfRule>
    <cfRule type="cellIs" dxfId="1" priority="591" operator="greaterThan">
      <formula>120</formula>
    </cfRule>
    <cfRule type="containsText" dxfId="2" priority="195" operator="between" text="库存为">
      <formula>NOT(ISERROR(SEARCH("库存为",AU207)))</formula>
    </cfRule>
  </conditionalFormatting>
  <conditionalFormatting sqref="AU208">
    <cfRule type="cellIs" dxfId="0" priority="986" operator="lessThan">
      <formula>20</formula>
    </cfRule>
    <cfRule type="cellIs" dxfId="1" priority="590" operator="greaterThan">
      <formula>120</formula>
    </cfRule>
    <cfRule type="containsText" dxfId="2" priority="194" operator="between" text="库存为">
      <formula>NOT(ISERROR(SEARCH("库存为",AU208)))</formula>
    </cfRule>
  </conditionalFormatting>
  <conditionalFormatting sqref="AU209">
    <cfRule type="cellIs" dxfId="0" priority="985" operator="lessThan">
      <formula>20</formula>
    </cfRule>
    <cfRule type="cellIs" dxfId="1" priority="589" operator="greaterThan">
      <formula>120</formula>
    </cfRule>
    <cfRule type="containsText" dxfId="2" priority="193" operator="between" text="库存为">
      <formula>NOT(ISERROR(SEARCH("库存为",AU209)))</formula>
    </cfRule>
  </conditionalFormatting>
  <conditionalFormatting sqref="AU210">
    <cfRule type="cellIs" dxfId="0" priority="984" operator="lessThan">
      <formula>20</formula>
    </cfRule>
    <cfRule type="cellIs" dxfId="1" priority="588" operator="greaterThan">
      <formula>120</formula>
    </cfRule>
    <cfRule type="containsText" dxfId="2" priority="192" operator="between" text="库存为">
      <formula>NOT(ISERROR(SEARCH("库存为",AU210)))</formula>
    </cfRule>
  </conditionalFormatting>
  <conditionalFormatting sqref="AU211">
    <cfRule type="cellIs" dxfId="0" priority="983" operator="lessThan">
      <formula>20</formula>
    </cfRule>
    <cfRule type="cellIs" dxfId="1" priority="587" operator="greaterThan">
      <formula>120</formula>
    </cfRule>
    <cfRule type="containsText" dxfId="2" priority="191" operator="between" text="库存为">
      <formula>NOT(ISERROR(SEARCH("库存为",AU211)))</formula>
    </cfRule>
  </conditionalFormatting>
  <conditionalFormatting sqref="AU212">
    <cfRule type="cellIs" dxfId="0" priority="982" operator="lessThan">
      <formula>20</formula>
    </cfRule>
    <cfRule type="cellIs" dxfId="1" priority="586" operator="greaterThan">
      <formula>120</formula>
    </cfRule>
    <cfRule type="containsText" dxfId="2" priority="190" operator="between" text="库存为">
      <formula>NOT(ISERROR(SEARCH("库存为",AU212)))</formula>
    </cfRule>
  </conditionalFormatting>
  <conditionalFormatting sqref="AU213">
    <cfRule type="cellIs" dxfId="0" priority="981" operator="lessThan">
      <formula>20</formula>
    </cfRule>
    <cfRule type="cellIs" dxfId="1" priority="585" operator="greaterThan">
      <formula>120</formula>
    </cfRule>
    <cfRule type="containsText" dxfId="2" priority="189" operator="between" text="库存为">
      <formula>NOT(ISERROR(SEARCH("库存为",AU213)))</formula>
    </cfRule>
  </conditionalFormatting>
  <conditionalFormatting sqref="AU214">
    <cfRule type="cellIs" dxfId="0" priority="980" operator="lessThan">
      <formula>20</formula>
    </cfRule>
    <cfRule type="cellIs" dxfId="1" priority="584" operator="greaterThan">
      <formula>120</formula>
    </cfRule>
    <cfRule type="containsText" dxfId="2" priority="188" operator="between" text="库存为">
      <formula>NOT(ISERROR(SEARCH("库存为",AU214)))</formula>
    </cfRule>
  </conditionalFormatting>
  <conditionalFormatting sqref="AU215">
    <cfRule type="cellIs" dxfId="0" priority="979" operator="lessThan">
      <formula>20</formula>
    </cfRule>
    <cfRule type="cellIs" dxfId="1" priority="583" operator="greaterThan">
      <formula>120</formula>
    </cfRule>
    <cfRule type="containsText" dxfId="2" priority="187" operator="between" text="库存为">
      <formula>NOT(ISERROR(SEARCH("库存为",AU215)))</formula>
    </cfRule>
  </conditionalFormatting>
  <conditionalFormatting sqref="AU216">
    <cfRule type="cellIs" dxfId="0" priority="978" operator="lessThan">
      <formula>20</formula>
    </cfRule>
    <cfRule type="cellIs" dxfId="1" priority="582" operator="greaterThan">
      <formula>120</formula>
    </cfRule>
    <cfRule type="containsText" dxfId="2" priority="186" operator="between" text="库存为">
      <formula>NOT(ISERROR(SEARCH("库存为",AU216)))</formula>
    </cfRule>
  </conditionalFormatting>
  <conditionalFormatting sqref="AU217">
    <cfRule type="cellIs" dxfId="0" priority="977" operator="lessThan">
      <formula>20</formula>
    </cfRule>
    <cfRule type="cellIs" dxfId="1" priority="581" operator="greaterThan">
      <formula>120</formula>
    </cfRule>
    <cfRule type="containsText" dxfId="2" priority="185" operator="between" text="库存为">
      <formula>NOT(ISERROR(SEARCH("库存为",AU217)))</formula>
    </cfRule>
  </conditionalFormatting>
  <conditionalFormatting sqref="AU218">
    <cfRule type="cellIs" dxfId="0" priority="976" operator="lessThan">
      <formula>20</formula>
    </cfRule>
    <cfRule type="cellIs" dxfId="1" priority="580" operator="greaterThan">
      <formula>120</formula>
    </cfRule>
    <cfRule type="containsText" dxfId="2" priority="184" operator="between" text="库存为">
      <formula>NOT(ISERROR(SEARCH("库存为",AU218)))</formula>
    </cfRule>
  </conditionalFormatting>
  <conditionalFormatting sqref="AU219">
    <cfRule type="cellIs" dxfId="0" priority="975" operator="lessThan">
      <formula>20</formula>
    </cfRule>
    <cfRule type="cellIs" dxfId="1" priority="579" operator="greaterThan">
      <formula>120</formula>
    </cfRule>
    <cfRule type="containsText" dxfId="2" priority="183" operator="between" text="库存为">
      <formula>NOT(ISERROR(SEARCH("库存为",AU219)))</formula>
    </cfRule>
  </conditionalFormatting>
  <conditionalFormatting sqref="AU220">
    <cfRule type="cellIs" dxfId="0" priority="974" operator="lessThan">
      <formula>20</formula>
    </cfRule>
    <cfRule type="cellIs" dxfId="1" priority="578" operator="greaterThan">
      <formula>120</formula>
    </cfRule>
    <cfRule type="containsText" dxfId="2" priority="182" operator="between" text="库存为">
      <formula>NOT(ISERROR(SEARCH("库存为",AU220)))</formula>
    </cfRule>
  </conditionalFormatting>
  <conditionalFormatting sqref="AU221">
    <cfRule type="cellIs" dxfId="0" priority="973" operator="lessThan">
      <formula>20</formula>
    </cfRule>
    <cfRule type="cellIs" dxfId="1" priority="577" operator="greaterThan">
      <formula>120</formula>
    </cfRule>
    <cfRule type="containsText" dxfId="2" priority="181" operator="between" text="库存为">
      <formula>NOT(ISERROR(SEARCH("库存为",AU221)))</formula>
    </cfRule>
  </conditionalFormatting>
  <conditionalFormatting sqref="AU222">
    <cfRule type="cellIs" dxfId="0" priority="972" operator="lessThan">
      <formula>20</formula>
    </cfRule>
    <cfRule type="cellIs" dxfId="1" priority="576" operator="greaterThan">
      <formula>120</formula>
    </cfRule>
    <cfRule type="containsText" dxfId="2" priority="180" operator="between" text="库存为">
      <formula>NOT(ISERROR(SEARCH("库存为",AU222)))</formula>
    </cfRule>
  </conditionalFormatting>
  <conditionalFormatting sqref="AU223">
    <cfRule type="cellIs" dxfId="0" priority="971" operator="lessThan">
      <formula>20</formula>
    </cfRule>
    <cfRule type="cellIs" dxfId="1" priority="575" operator="greaterThan">
      <formula>120</formula>
    </cfRule>
    <cfRule type="containsText" dxfId="2" priority="179" operator="between" text="库存为">
      <formula>NOT(ISERROR(SEARCH("库存为",AU223)))</formula>
    </cfRule>
  </conditionalFormatting>
  <conditionalFormatting sqref="AU224">
    <cfRule type="cellIs" dxfId="0" priority="970" operator="lessThan">
      <formula>20</formula>
    </cfRule>
    <cfRule type="cellIs" dxfId="1" priority="574" operator="greaterThan">
      <formula>120</formula>
    </cfRule>
    <cfRule type="containsText" dxfId="2" priority="178" operator="between" text="库存为">
      <formula>NOT(ISERROR(SEARCH("库存为",AU224)))</formula>
    </cfRule>
  </conditionalFormatting>
  <conditionalFormatting sqref="AU225">
    <cfRule type="cellIs" dxfId="0" priority="969" operator="lessThan">
      <formula>20</formula>
    </cfRule>
    <cfRule type="cellIs" dxfId="1" priority="573" operator="greaterThan">
      <formula>120</formula>
    </cfRule>
    <cfRule type="containsText" dxfId="2" priority="177" operator="between" text="库存为">
      <formula>NOT(ISERROR(SEARCH("库存为",AU225)))</formula>
    </cfRule>
  </conditionalFormatting>
  <conditionalFormatting sqref="AU226">
    <cfRule type="cellIs" dxfId="0" priority="968" operator="lessThan">
      <formula>20</formula>
    </cfRule>
    <cfRule type="cellIs" dxfId="1" priority="572" operator="greaterThan">
      <formula>120</formula>
    </cfRule>
    <cfRule type="containsText" dxfId="2" priority="176" operator="between" text="库存为">
      <formula>NOT(ISERROR(SEARCH("库存为",AU226)))</formula>
    </cfRule>
  </conditionalFormatting>
  <conditionalFormatting sqref="AU227">
    <cfRule type="cellIs" dxfId="0" priority="967" operator="lessThan">
      <formula>20</formula>
    </cfRule>
    <cfRule type="cellIs" dxfId="1" priority="571" operator="greaterThan">
      <formula>120</formula>
    </cfRule>
    <cfRule type="containsText" dxfId="2" priority="175" operator="between" text="库存为">
      <formula>NOT(ISERROR(SEARCH("库存为",AU227)))</formula>
    </cfRule>
  </conditionalFormatting>
  <conditionalFormatting sqref="AU228">
    <cfRule type="cellIs" dxfId="0" priority="966" operator="lessThan">
      <formula>20</formula>
    </cfRule>
    <cfRule type="cellIs" dxfId="1" priority="570" operator="greaterThan">
      <formula>120</formula>
    </cfRule>
    <cfRule type="containsText" dxfId="2" priority="174" operator="between" text="库存为">
      <formula>NOT(ISERROR(SEARCH("库存为",AU228)))</formula>
    </cfRule>
  </conditionalFormatting>
  <conditionalFormatting sqref="AU229">
    <cfRule type="cellIs" dxfId="0" priority="965" operator="lessThan">
      <formula>20</formula>
    </cfRule>
    <cfRule type="cellIs" dxfId="1" priority="569" operator="greaterThan">
      <formula>120</formula>
    </cfRule>
    <cfRule type="containsText" dxfId="2" priority="173" operator="between" text="库存为">
      <formula>NOT(ISERROR(SEARCH("库存为",AU229)))</formula>
    </cfRule>
  </conditionalFormatting>
  <conditionalFormatting sqref="AU230">
    <cfRule type="cellIs" dxfId="0" priority="964" operator="lessThan">
      <formula>20</formula>
    </cfRule>
    <cfRule type="cellIs" dxfId="1" priority="568" operator="greaterThan">
      <formula>120</formula>
    </cfRule>
    <cfRule type="containsText" dxfId="2" priority="172" operator="between" text="库存为">
      <formula>NOT(ISERROR(SEARCH("库存为",AU230)))</formula>
    </cfRule>
  </conditionalFormatting>
  <conditionalFormatting sqref="AU231">
    <cfRule type="cellIs" dxfId="0" priority="963" operator="lessThan">
      <formula>20</formula>
    </cfRule>
    <cfRule type="cellIs" dxfId="1" priority="567" operator="greaterThan">
      <formula>120</formula>
    </cfRule>
    <cfRule type="containsText" dxfId="2" priority="171" operator="between" text="库存为">
      <formula>NOT(ISERROR(SEARCH("库存为",AU231)))</formula>
    </cfRule>
  </conditionalFormatting>
  <conditionalFormatting sqref="AU232">
    <cfRule type="cellIs" dxfId="0" priority="962" operator="lessThan">
      <formula>20</formula>
    </cfRule>
    <cfRule type="cellIs" dxfId="1" priority="566" operator="greaterThan">
      <formula>120</formula>
    </cfRule>
    <cfRule type="containsText" dxfId="2" priority="170" operator="between" text="库存为">
      <formula>NOT(ISERROR(SEARCH("库存为",AU232)))</formula>
    </cfRule>
  </conditionalFormatting>
  <conditionalFormatting sqref="AU233">
    <cfRule type="cellIs" dxfId="0" priority="961" operator="lessThan">
      <formula>20</formula>
    </cfRule>
    <cfRule type="cellIs" dxfId="1" priority="565" operator="greaterThan">
      <formula>120</formula>
    </cfRule>
    <cfRule type="containsText" dxfId="2" priority="169" operator="between" text="库存为">
      <formula>NOT(ISERROR(SEARCH("库存为",AU233)))</formula>
    </cfRule>
  </conditionalFormatting>
  <conditionalFormatting sqref="AU234">
    <cfRule type="cellIs" dxfId="0" priority="960" operator="lessThan">
      <formula>20</formula>
    </cfRule>
    <cfRule type="cellIs" dxfId="1" priority="564" operator="greaterThan">
      <formula>120</formula>
    </cfRule>
    <cfRule type="containsText" dxfId="2" priority="168" operator="between" text="库存为">
      <formula>NOT(ISERROR(SEARCH("库存为",AU234)))</formula>
    </cfRule>
  </conditionalFormatting>
  <conditionalFormatting sqref="AU235">
    <cfRule type="cellIs" dxfId="0" priority="959" operator="lessThan">
      <formula>20</formula>
    </cfRule>
    <cfRule type="cellIs" dxfId="1" priority="563" operator="greaterThan">
      <formula>120</formula>
    </cfRule>
    <cfRule type="containsText" dxfId="2" priority="167" operator="between" text="库存为">
      <formula>NOT(ISERROR(SEARCH("库存为",AU235)))</formula>
    </cfRule>
  </conditionalFormatting>
  <conditionalFormatting sqref="AU236">
    <cfRule type="cellIs" dxfId="0" priority="958" operator="lessThan">
      <formula>20</formula>
    </cfRule>
    <cfRule type="cellIs" dxfId="1" priority="562" operator="greaterThan">
      <formula>120</formula>
    </cfRule>
    <cfRule type="containsText" dxfId="2" priority="166" operator="between" text="库存为">
      <formula>NOT(ISERROR(SEARCH("库存为",AU236)))</formula>
    </cfRule>
  </conditionalFormatting>
  <conditionalFormatting sqref="AU237">
    <cfRule type="cellIs" dxfId="0" priority="957" operator="lessThan">
      <formula>20</formula>
    </cfRule>
    <cfRule type="cellIs" dxfId="1" priority="561" operator="greaterThan">
      <formula>120</formula>
    </cfRule>
    <cfRule type="containsText" dxfId="2" priority="165" operator="between" text="库存为">
      <formula>NOT(ISERROR(SEARCH("库存为",AU237)))</formula>
    </cfRule>
  </conditionalFormatting>
  <conditionalFormatting sqref="AU238">
    <cfRule type="cellIs" dxfId="0" priority="956" operator="lessThan">
      <formula>20</formula>
    </cfRule>
    <cfRule type="cellIs" dxfId="1" priority="560" operator="greaterThan">
      <formula>120</formula>
    </cfRule>
    <cfRule type="containsText" dxfId="2" priority="164" operator="between" text="库存为">
      <formula>NOT(ISERROR(SEARCH("库存为",AU238)))</formula>
    </cfRule>
  </conditionalFormatting>
  <conditionalFormatting sqref="AU239">
    <cfRule type="cellIs" dxfId="0" priority="955" operator="lessThan">
      <formula>20</formula>
    </cfRule>
    <cfRule type="cellIs" dxfId="1" priority="559" operator="greaterThan">
      <formula>120</formula>
    </cfRule>
    <cfRule type="containsText" dxfId="2" priority="163" operator="between" text="库存为">
      <formula>NOT(ISERROR(SEARCH("库存为",AU239)))</formula>
    </cfRule>
  </conditionalFormatting>
  <conditionalFormatting sqref="AU240">
    <cfRule type="cellIs" dxfId="0" priority="954" operator="lessThan">
      <formula>20</formula>
    </cfRule>
    <cfRule type="cellIs" dxfId="1" priority="558" operator="greaterThan">
      <formula>120</formula>
    </cfRule>
    <cfRule type="containsText" dxfId="2" priority="162" operator="between" text="库存为">
      <formula>NOT(ISERROR(SEARCH("库存为",AU240)))</formula>
    </cfRule>
  </conditionalFormatting>
  <conditionalFormatting sqref="AU241">
    <cfRule type="cellIs" dxfId="0" priority="953" operator="lessThan">
      <formula>20</formula>
    </cfRule>
    <cfRule type="cellIs" dxfId="1" priority="557" operator="greaterThan">
      <formula>120</formula>
    </cfRule>
    <cfRule type="containsText" dxfId="2" priority="161" operator="between" text="库存为">
      <formula>NOT(ISERROR(SEARCH("库存为",AU241)))</formula>
    </cfRule>
  </conditionalFormatting>
  <conditionalFormatting sqref="AU242">
    <cfRule type="cellIs" dxfId="0" priority="952" operator="lessThan">
      <formula>20</formula>
    </cfRule>
    <cfRule type="cellIs" dxfId="1" priority="556" operator="greaterThan">
      <formula>120</formula>
    </cfRule>
    <cfRule type="containsText" dxfId="2" priority="160" operator="between" text="库存为">
      <formula>NOT(ISERROR(SEARCH("库存为",AU242)))</formula>
    </cfRule>
  </conditionalFormatting>
  <conditionalFormatting sqref="AU243">
    <cfRule type="cellIs" dxfId="0" priority="951" operator="lessThan">
      <formula>20</formula>
    </cfRule>
    <cfRule type="cellIs" dxfId="1" priority="555" operator="greaterThan">
      <formula>120</formula>
    </cfRule>
    <cfRule type="containsText" dxfId="2" priority="159" operator="between" text="库存为">
      <formula>NOT(ISERROR(SEARCH("库存为",AU243)))</formula>
    </cfRule>
  </conditionalFormatting>
  <conditionalFormatting sqref="AU244">
    <cfRule type="cellIs" dxfId="0" priority="950" operator="lessThan">
      <formula>20</formula>
    </cfRule>
    <cfRule type="cellIs" dxfId="1" priority="554" operator="greaterThan">
      <formula>120</formula>
    </cfRule>
    <cfRule type="containsText" dxfId="2" priority="158" operator="between" text="库存为">
      <formula>NOT(ISERROR(SEARCH("库存为",AU244)))</formula>
    </cfRule>
  </conditionalFormatting>
  <conditionalFormatting sqref="AU245">
    <cfRule type="cellIs" dxfId="0" priority="949" operator="lessThan">
      <formula>20</formula>
    </cfRule>
    <cfRule type="cellIs" dxfId="1" priority="553" operator="greaterThan">
      <formula>120</formula>
    </cfRule>
    <cfRule type="containsText" dxfId="2" priority="157" operator="between" text="库存为">
      <formula>NOT(ISERROR(SEARCH("库存为",AU245)))</formula>
    </cfRule>
  </conditionalFormatting>
  <conditionalFormatting sqref="AU246">
    <cfRule type="cellIs" dxfId="0" priority="948" operator="lessThan">
      <formula>20</formula>
    </cfRule>
    <cfRule type="cellIs" dxfId="1" priority="552" operator="greaterThan">
      <formula>120</formula>
    </cfRule>
    <cfRule type="containsText" dxfId="2" priority="156" operator="between" text="库存为">
      <formula>NOT(ISERROR(SEARCH("库存为",AU246)))</formula>
    </cfRule>
  </conditionalFormatting>
  <conditionalFormatting sqref="AU247">
    <cfRule type="cellIs" dxfId="0" priority="947" operator="lessThan">
      <formula>20</formula>
    </cfRule>
    <cfRule type="cellIs" dxfId="1" priority="551" operator="greaterThan">
      <formula>120</formula>
    </cfRule>
    <cfRule type="containsText" dxfId="2" priority="155" operator="between" text="库存为">
      <formula>NOT(ISERROR(SEARCH("库存为",AU247)))</formula>
    </cfRule>
  </conditionalFormatting>
  <conditionalFormatting sqref="AU248">
    <cfRule type="cellIs" dxfId="0" priority="946" operator="lessThan">
      <formula>20</formula>
    </cfRule>
    <cfRule type="cellIs" dxfId="1" priority="550" operator="greaterThan">
      <formula>120</formula>
    </cfRule>
    <cfRule type="containsText" dxfId="2" priority="154" operator="between" text="库存为">
      <formula>NOT(ISERROR(SEARCH("库存为",AU248)))</formula>
    </cfRule>
  </conditionalFormatting>
  <conditionalFormatting sqref="AU249">
    <cfRule type="cellIs" dxfId="0" priority="945" operator="lessThan">
      <formula>20</formula>
    </cfRule>
    <cfRule type="cellIs" dxfId="1" priority="549" operator="greaterThan">
      <formula>120</formula>
    </cfRule>
    <cfRule type="containsText" dxfId="2" priority="153" operator="between" text="库存为">
      <formula>NOT(ISERROR(SEARCH("库存为",AU249)))</formula>
    </cfRule>
  </conditionalFormatting>
  <conditionalFormatting sqref="AU250">
    <cfRule type="cellIs" dxfId="0" priority="944" operator="lessThan">
      <formula>20</formula>
    </cfRule>
    <cfRule type="cellIs" dxfId="1" priority="548" operator="greaterThan">
      <formula>120</formula>
    </cfRule>
    <cfRule type="containsText" dxfId="2" priority="152" operator="between" text="库存为">
      <formula>NOT(ISERROR(SEARCH("库存为",AU250)))</formula>
    </cfRule>
  </conditionalFormatting>
  <conditionalFormatting sqref="AU251">
    <cfRule type="cellIs" dxfId="0" priority="943" operator="lessThan">
      <formula>20</formula>
    </cfRule>
    <cfRule type="cellIs" dxfId="1" priority="547" operator="greaterThan">
      <formula>120</formula>
    </cfRule>
    <cfRule type="containsText" dxfId="2" priority="151" operator="between" text="库存为">
      <formula>NOT(ISERROR(SEARCH("库存为",AU251)))</formula>
    </cfRule>
  </conditionalFormatting>
  <conditionalFormatting sqref="AU252">
    <cfRule type="cellIs" dxfId="0" priority="942" operator="lessThan">
      <formula>20</formula>
    </cfRule>
    <cfRule type="cellIs" dxfId="1" priority="546" operator="greaterThan">
      <formula>120</formula>
    </cfRule>
    <cfRule type="containsText" dxfId="2" priority="150" operator="between" text="库存为">
      <formula>NOT(ISERROR(SEARCH("库存为",AU252)))</formula>
    </cfRule>
  </conditionalFormatting>
  <conditionalFormatting sqref="AU253">
    <cfRule type="cellIs" dxfId="0" priority="941" operator="lessThan">
      <formula>20</formula>
    </cfRule>
    <cfRule type="cellIs" dxfId="1" priority="545" operator="greaterThan">
      <formula>120</formula>
    </cfRule>
    <cfRule type="containsText" dxfId="2" priority="149" operator="between" text="库存为">
      <formula>NOT(ISERROR(SEARCH("库存为",AU253)))</formula>
    </cfRule>
  </conditionalFormatting>
  <conditionalFormatting sqref="AU254">
    <cfRule type="cellIs" dxfId="0" priority="940" operator="lessThan">
      <formula>20</formula>
    </cfRule>
    <cfRule type="cellIs" dxfId="1" priority="544" operator="greaterThan">
      <formula>120</formula>
    </cfRule>
    <cfRule type="containsText" dxfId="2" priority="148" operator="between" text="库存为">
      <formula>NOT(ISERROR(SEARCH("库存为",AU254)))</formula>
    </cfRule>
  </conditionalFormatting>
  <conditionalFormatting sqref="AU255">
    <cfRule type="cellIs" dxfId="0" priority="939" operator="lessThan">
      <formula>20</formula>
    </cfRule>
    <cfRule type="cellIs" dxfId="1" priority="543" operator="greaterThan">
      <formula>120</formula>
    </cfRule>
    <cfRule type="containsText" dxfId="2" priority="147" operator="between" text="库存为">
      <formula>NOT(ISERROR(SEARCH("库存为",AU255)))</formula>
    </cfRule>
  </conditionalFormatting>
  <conditionalFormatting sqref="AU256">
    <cfRule type="cellIs" dxfId="0" priority="938" operator="lessThan">
      <formula>20</formula>
    </cfRule>
    <cfRule type="cellIs" dxfId="1" priority="542" operator="greaterThan">
      <formula>120</formula>
    </cfRule>
    <cfRule type="containsText" dxfId="2" priority="146" operator="between" text="库存为">
      <formula>NOT(ISERROR(SEARCH("库存为",AU256)))</formula>
    </cfRule>
  </conditionalFormatting>
  <conditionalFormatting sqref="AU257">
    <cfRule type="cellIs" dxfId="0" priority="937" operator="lessThan">
      <formula>20</formula>
    </cfRule>
    <cfRule type="cellIs" dxfId="1" priority="541" operator="greaterThan">
      <formula>120</formula>
    </cfRule>
    <cfRule type="containsText" dxfId="2" priority="145" operator="between" text="库存为">
      <formula>NOT(ISERROR(SEARCH("库存为",AU257)))</formula>
    </cfRule>
  </conditionalFormatting>
  <conditionalFormatting sqref="AU258">
    <cfRule type="cellIs" dxfId="0" priority="936" operator="lessThan">
      <formula>20</formula>
    </cfRule>
    <cfRule type="cellIs" dxfId="1" priority="540" operator="greaterThan">
      <formula>120</formula>
    </cfRule>
    <cfRule type="containsText" dxfId="2" priority="144" operator="between" text="库存为">
      <formula>NOT(ISERROR(SEARCH("库存为",AU258)))</formula>
    </cfRule>
  </conditionalFormatting>
  <conditionalFormatting sqref="AU259">
    <cfRule type="cellIs" dxfId="0" priority="935" operator="lessThan">
      <formula>20</formula>
    </cfRule>
    <cfRule type="cellIs" dxfId="1" priority="539" operator="greaterThan">
      <formula>120</formula>
    </cfRule>
    <cfRule type="containsText" dxfId="2" priority="143" operator="between" text="库存为">
      <formula>NOT(ISERROR(SEARCH("库存为",AU259)))</formula>
    </cfRule>
  </conditionalFormatting>
  <conditionalFormatting sqref="AU260">
    <cfRule type="cellIs" dxfId="0" priority="934" operator="lessThan">
      <formula>20</formula>
    </cfRule>
    <cfRule type="cellIs" dxfId="1" priority="538" operator="greaterThan">
      <formula>120</formula>
    </cfRule>
    <cfRule type="containsText" dxfId="2" priority="142" operator="between" text="库存为">
      <formula>NOT(ISERROR(SEARCH("库存为",AU260)))</formula>
    </cfRule>
  </conditionalFormatting>
  <conditionalFormatting sqref="AU261">
    <cfRule type="cellIs" dxfId="0" priority="933" operator="lessThan">
      <formula>20</formula>
    </cfRule>
    <cfRule type="cellIs" dxfId="1" priority="537" operator="greaterThan">
      <formula>120</formula>
    </cfRule>
    <cfRule type="containsText" dxfId="2" priority="141" operator="between" text="库存为">
      <formula>NOT(ISERROR(SEARCH("库存为",AU261)))</formula>
    </cfRule>
  </conditionalFormatting>
  <conditionalFormatting sqref="AU262">
    <cfRule type="cellIs" dxfId="0" priority="932" operator="lessThan">
      <formula>20</formula>
    </cfRule>
    <cfRule type="cellIs" dxfId="1" priority="536" operator="greaterThan">
      <formula>120</formula>
    </cfRule>
    <cfRule type="containsText" dxfId="2" priority="140" operator="between" text="库存为">
      <formula>NOT(ISERROR(SEARCH("库存为",AU262)))</formula>
    </cfRule>
  </conditionalFormatting>
  <conditionalFormatting sqref="AU263">
    <cfRule type="cellIs" dxfId="0" priority="931" operator="lessThan">
      <formula>20</formula>
    </cfRule>
    <cfRule type="cellIs" dxfId="1" priority="535" operator="greaterThan">
      <formula>120</formula>
    </cfRule>
    <cfRule type="containsText" dxfId="2" priority="139" operator="between" text="库存为">
      <formula>NOT(ISERROR(SEARCH("库存为",AU263)))</formula>
    </cfRule>
  </conditionalFormatting>
  <conditionalFormatting sqref="AU264">
    <cfRule type="cellIs" dxfId="0" priority="930" operator="lessThan">
      <formula>20</formula>
    </cfRule>
    <cfRule type="cellIs" dxfId="1" priority="534" operator="greaterThan">
      <formula>120</formula>
    </cfRule>
    <cfRule type="containsText" dxfId="2" priority="138" operator="between" text="库存为">
      <formula>NOT(ISERROR(SEARCH("库存为",AU264)))</formula>
    </cfRule>
  </conditionalFormatting>
  <conditionalFormatting sqref="AU265">
    <cfRule type="cellIs" dxfId="0" priority="929" operator="lessThan">
      <formula>20</formula>
    </cfRule>
    <cfRule type="cellIs" dxfId="1" priority="533" operator="greaterThan">
      <formula>120</formula>
    </cfRule>
    <cfRule type="containsText" dxfId="2" priority="137" operator="between" text="库存为">
      <formula>NOT(ISERROR(SEARCH("库存为",AU265)))</formula>
    </cfRule>
  </conditionalFormatting>
  <conditionalFormatting sqref="AU266">
    <cfRule type="cellIs" dxfId="0" priority="928" operator="lessThan">
      <formula>20</formula>
    </cfRule>
    <cfRule type="cellIs" dxfId="1" priority="532" operator="greaterThan">
      <formula>120</formula>
    </cfRule>
    <cfRule type="containsText" dxfId="2" priority="136" operator="between" text="库存为">
      <formula>NOT(ISERROR(SEARCH("库存为",AU266)))</formula>
    </cfRule>
  </conditionalFormatting>
  <conditionalFormatting sqref="AU267">
    <cfRule type="cellIs" dxfId="0" priority="927" operator="lessThan">
      <formula>20</formula>
    </cfRule>
    <cfRule type="cellIs" dxfId="1" priority="531" operator="greaterThan">
      <formula>120</formula>
    </cfRule>
    <cfRule type="containsText" dxfId="2" priority="135" operator="between" text="库存为">
      <formula>NOT(ISERROR(SEARCH("库存为",AU267)))</formula>
    </cfRule>
  </conditionalFormatting>
  <conditionalFormatting sqref="AU268">
    <cfRule type="cellIs" dxfId="0" priority="926" operator="lessThan">
      <formula>20</formula>
    </cfRule>
    <cfRule type="cellIs" dxfId="1" priority="530" operator="greaterThan">
      <formula>120</formula>
    </cfRule>
    <cfRule type="containsText" dxfId="2" priority="134" operator="between" text="库存为">
      <formula>NOT(ISERROR(SEARCH("库存为",AU268)))</formula>
    </cfRule>
  </conditionalFormatting>
  <conditionalFormatting sqref="AU269">
    <cfRule type="cellIs" dxfId="0" priority="925" operator="lessThan">
      <formula>20</formula>
    </cfRule>
    <cfRule type="cellIs" dxfId="1" priority="529" operator="greaterThan">
      <formula>120</formula>
    </cfRule>
    <cfRule type="containsText" dxfId="2" priority="133" operator="between" text="库存为">
      <formula>NOT(ISERROR(SEARCH("库存为",AU269)))</formula>
    </cfRule>
  </conditionalFormatting>
  <conditionalFormatting sqref="AU270">
    <cfRule type="cellIs" dxfId="0" priority="924" operator="lessThan">
      <formula>20</formula>
    </cfRule>
    <cfRule type="cellIs" dxfId="1" priority="528" operator="greaterThan">
      <formula>120</formula>
    </cfRule>
    <cfRule type="containsText" dxfId="2" priority="132" operator="between" text="库存为">
      <formula>NOT(ISERROR(SEARCH("库存为",AU270)))</formula>
    </cfRule>
  </conditionalFormatting>
  <conditionalFormatting sqref="AU271">
    <cfRule type="cellIs" dxfId="0" priority="923" operator="lessThan">
      <formula>20</formula>
    </cfRule>
    <cfRule type="cellIs" dxfId="1" priority="527" operator="greaterThan">
      <formula>120</formula>
    </cfRule>
    <cfRule type="containsText" dxfId="2" priority="131" operator="between" text="库存为">
      <formula>NOT(ISERROR(SEARCH("库存为",AU271)))</formula>
    </cfRule>
  </conditionalFormatting>
  <conditionalFormatting sqref="AU272">
    <cfRule type="cellIs" dxfId="0" priority="922" operator="lessThan">
      <formula>20</formula>
    </cfRule>
    <cfRule type="cellIs" dxfId="1" priority="526" operator="greaterThan">
      <formula>120</formula>
    </cfRule>
    <cfRule type="containsText" dxfId="2" priority="130" operator="between" text="库存为">
      <formula>NOT(ISERROR(SEARCH("库存为",AU272)))</formula>
    </cfRule>
  </conditionalFormatting>
  <conditionalFormatting sqref="AU273">
    <cfRule type="cellIs" dxfId="0" priority="921" operator="lessThan">
      <formula>20</formula>
    </cfRule>
    <cfRule type="cellIs" dxfId="1" priority="525" operator="greaterThan">
      <formula>120</formula>
    </cfRule>
    <cfRule type="containsText" dxfId="2" priority="129" operator="between" text="库存为">
      <formula>NOT(ISERROR(SEARCH("库存为",AU273)))</formula>
    </cfRule>
  </conditionalFormatting>
  <conditionalFormatting sqref="AU274">
    <cfRule type="cellIs" dxfId="0" priority="920" operator="lessThan">
      <formula>20</formula>
    </cfRule>
    <cfRule type="cellIs" dxfId="1" priority="524" operator="greaterThan">
      <formula>120</formula>
    </cfRule>
    <cfRule type="containsText" dxfId="2" priority="128" operator="between" text="库存为">
      <formula>NOT(ISERROR(SEARCH("库存为",AU274)))</formula>
    </cfRule>
  </conditionalFormatting>
  <conditionalFormatting sqref="AU275">
    <cfRule type="cellIs" dxfId="0" priority="919" operator="lessThan">
      <formula>20</formula>
    </cfRule>
    <cfRule type="cellIs" dxfId="1" priority="523" operator="greaterThan">
      <formula>120</formula>
    </cfRule>
    <cfRule type="containsText" dxfId="2" priority="127" operator="between" text="库存为">
      <formula>NOT(ISERROR(SEARCH("库存为",AU275)))</formula>
    </cfRule>
  </conditionalFormatting>
  <conditionalFormatting sqref="AU276">
    <cfRule type="cellIs" dxfId="0" priority="918" operator="lessThan">
      <formula>20</formula>
    </cfRule>
    <cfRule type="cellIs" dxfId="1" priority="522" operator="greaterThan">
      <formula>120</formula>
    </cfRule>
    <cfRule type="containsText" dxfId="2" priority="126" operator="between" text="库存为">
      <formula>NOT(ISERROR(SEARCH("库存为",AU276)))</formula>
    </cfRule>
  </conditionalFormatting>
  <conditionalFormatting sqref="AU277">
    <cfRule type="cellIs" dxfId="0" priority="917" operator="lessThan">
      <formula>20</formula>
    </cfRule>
    <cfRule type="cellIs" dxfId="1" priority="521" operator="greaterThan">
      <formula>120</formula>
    </cfRule>
    <cfRule type="containsText" dxfId="2" priority="125" operator="between" text="库存为">
      <formula>NOT(ISERROR(SEARCH("库存为",AU277)))</formula>
    </cfRule>
  </conditionalFormatting>
  <conditionalFormatting sqref="AU278">
    <cfRule type="cellIs" dxfId="0" priority="916" operator="lessThan">
      <formula>20</formula>
    </cfRule>
    <cfRule type="cellIs" dxfId="1" priority="520" operator="greaterThan">
      <formula>120</formula>
    </cfRule>
    <cfRule type="containsText" dxfId="2" priority="124" operator="between" text="库存为">
      <formula>NOT(ISERROR(SEARCH("库存为",AU278)))</formula>
    </cfRule>
  </conditionalFormatting>
  <conditionalFormatting sqref="AU279">
    <cfRule type="cellIs" dxfId="0" priority="915" operator="lessThan">
      <formula>20</formula>
    </cfRule>
    <cfRule type="cellIs" dxfId="1" priority="519" operator="greaterThan">
      <formula>120</formula>
    </cfRule>
    <cfRule type="containsText" dxfId="2" priority="123" operator="between" text="库存为">
      <formula>NOT(ISERROR(SEARCH("库存为",AU279)))</formula>
    </cfRule>
  </conditionalFormatting>
  <conditionalFormatting sqref="AU280">
    <cfRule type="cellIs" dxfId="0" priority="914" operator="lessThan">
      <formula>20</formula>
    </cfRule>
    <cfRule type="cellIs" dxfId="1" priority="518" operator="greaterThan">
      <formula>120</formula>
    </cfRule>
    <cfRule type="containsText" dxfId="2" priority="122" operator="between" text="库存为">
      <formula>NOT(ISERROR(SEARCH("库存为",AU280)))</formula>
    </cfRule>
  </conditionalFormatting>
  <conditionalFormatting sqref="AU281">
    <cfRule type="cellIs" dxfId="0" priority="913" operator="lessThan">
      <formula>20</formula>
    </cfRule>
    <cfRule type="cellIs" dxfId="1" priority="517" operator="greaterThan">
      <formula>120</formula>
    </cfRule>
    <cfRule type="containsText" dxfId="2" priority="121" operator="between" text="库存为">
      <formula>NOT(ISERROR(SEARCH("库存为",AU281)))</formula>
    </cfRule>
  </conditionalFormatting>
  <conditionalFormatting sqref="AU282">
    <cfRule type="cellIs" dxfId="0" priority="912" operator="lessThan">
      <formula>20</formula>
    </cfRule>
    <cfRule type="cellIs" dxfId="1" priority="516" operator="greaterThan">
      <formula>120</formula>
    </cfRule>
    <cfRule type="containsText" dxfId="2" priority="120" operator="between" text="库存为">
      <formula>NOT(ISERROR(SEARCH("库存为",AU282)))</formula>
    </cfRule>
  </conditionalFormatting>
  <conditionalFormatting sqref="AU283">
    <cfRule type="cellIs" dxfId="0" priority="911" operator="lessThan">
      <formula>20</formula>
    </cfRule>
    <cfRule type="cellIs" dxfId="1" priority="515" operator="greaterThan">
      <formula>120</formula>
    </cfRule>
    <cfRule type="containsText" dxfId="2" priority="119" operator="between" text="库存为">
      <formula>NOT(ISERROR(SEARCH("库存为",AU283)))</formula>
    </cfRule>
  </conditionalFormatting>
  <conditionalFormatting sqref="AU284">
    <cfRule type="cellIs" dxfId="0" priority="910" operator="lessThan">
      <formula>20</formula>
    </cfRule>
    <cfRule type="cellIs" dxfId="1" priority="514" operator="greaterThan">
      <formula>120</formula>
    </cfRule>
    <cfRule type="containsText" dxfId="2" priority="118" operator="between" text="库存为">
      <formula>NOT(ISERROR(SEARCH("库存为",AU284)))</formula>
    </cfRule>
  </conditionalFormatting>
  <conditionalFormatting sqref="AU285">
    <cfRule type="cellIs" dxfId="0" priority="909" operator="lessThan">
      <formula>20</formula>
    </cfRule>
    <cfRule type="cellIs" dxfId="1" priority="513" operator="greaterThan">
      <formula>120</formula>
    </cfRule>
    <cfRule type="containsText" dxfId="2" priority="117" operator="between" text="库存为">
      <formula>NOT(ISERROR(SEARCH("库存为",AU285)))</formula>
    </cfRule>
  </conditionalFormatting>
  <conditionalFormatting sqref="AU286">
    <cfRule type="cellIs" dxfId="0" priority="908" operator="lessThan">
      <formula>20</formula>
    </cfRule>
    <cfRule type="cellIs" dxfId="1" priority="512" operator="greaterThan">
      <formula>120</formula>
    </cfRule>
    <cfRule type="containsText" dxfId="2" priority="116" operator="between" text="库存为">
      <formula>NOT(ISERROR(SEARCH("库存为",AU286)))</formula>
    </cfRule>
  </conditionalFormatting>
  <conditionalFormatting sqref="AU287">
    <cfRule type="cellIs" dxfId="0" priority="907" operator="lessThan">
      <formula>20</formula>
    </cfRule>
    <cfRule type="cellIs" dxfId="1" priority="511" operator="greaterThan">
      <formula>120</formula>
    </cfRule>
    <cfRule type="containsText" dxfId="2" priority="115" operator="between" text="库存为">
      <formula>NOT(ISERROR(SEARCH("库存为",AU287)))</formula>
    </cfRule>
  </conditionalFormatting>
  <conditionalFormatting sqref="AU288">
    <cfRule type="cellIs" dxfId="0" priority="906" operator="lessThan">
      <formula>20</formula>
    </cfRule>
    <cfRule type="cellIs" dxfId="1" priority="510" operator="greaterThan">
      <formula>120</formula>
    </cfRule>
    <cfRule type="containsText" dxfId="2" priority="114" operator="between" text="库存为">
      <formula>NOT(ISERROR(SEARCH("库存为",AU288)))</formula>
    </cfRule>
  </conditionalFormatting>
  <conditionalFormatting sqref="AU289">
    <cfRule type="cellIs" dxfId="0" priority="905" operator="lessThan">
      <formula>20</formula>
    </cfRule>
    <cfRule type="cellIs" dxfId="1" priority="509" operator="greaterThan">
      <formula>120</formula>
    </cfRule>
    <cfRule type="containsText" dxfId="2" priority="113" operator="between" text="库存为">
      <formula>NOT(ISERROR(SEARCH("库存为",AU289)))</formula>
    </cfRule>
  </conditionalFormatting>
  <conditionalFormatting sqref="AU290">
    <cfRule type="cellIs" dxfId="0" priority="904" operator="lessThan">
      <formula>20</formula>
    </cfRule>
    <cfRule type="cellIs" dxfId="1" priority="508" operator="greaterThan">
      <formula>120</formula>
    </cfRule>
    <cfRule type="containsText" dxfId="2" priority="112" operator="between" text="库存为">
      <formula>NOT(ISERROR(SEARCH("库存为",AU290)))</formula>
    </cfRule>
  </conditionalFormatting>
  <conditionalFormatting sqref="AU291">
    <cfRule type="cellIs" dxfId="0" priority="903" operator="lessThan">
      <formula>20</formula>
    </cfRule>
    <cfRule type="cellIs" dxfId="1" priority="507" operator="greaterThan">
      <formula>120</formula>
    </cfRule>
    <cfRule type="containsText" dxfId="2" priority="111" operator="between" text="库存为">
      <formula>NOT(ISERROR(SEARCH("库存为",AU291)))</formula>
    </cfRule>
  </conditionalFormatting>
  <conditionalFormatting sqref="AU292">
    <cfRule type="cellIs" dxfId="0" priority="902" operator="lessThan">
      <formula>20</formula>
    </cfRule>
    <cfRule type="cellIs" dxfId="1" priority="506" operator="greaterThan">
      <formula>120</formula>
    </cfRule>
    <cfRule type="containsText" dxfId="2" priority="110" operator="between" text="库存为">
      <formula>NOT(ISERROR(SEARCH("库存为",AU292)))</formula>
    </cfRule>
  </conditionalFormatting>
  <conditionalFormatting sqref="AU293">
    <cfRule type="cellIs" dxfId="0" priority="901" operator="lessThan">
      <formula>20</formula>
    </cfRule>
    <cfRule type="cellIs" dxfId="1" priority="505" operator="greaterThan">
      <formula>120</formula>
    </cfRule>
    <cfRule type="containsText" dxfId="2" priority="109" operator="between" text="库存为">
      <formula>NOT(ISERROR(SEARCH("库存为",AU293)))</formula>
    </cfRule>
  </conditionalFormatting>
  <conditionalFormatting sqref="AU294">
    <cfRule type="cellIs" dxfId="0" priority="900" operator="lessThan">
      <formula>20</formula>
    </cfRule>
    <cfRule type="cellIs" dxfId="1" priority="504" operator="greaterThan">
      <formula>120</formula>
    </cfRule>
    <cfRule type="containsText" dxfId="2" priority="108" operator="between" text="库存为">
      <formula>NOT(ISERROR(SEARCH("库存为",AU294)))</formula>
    </cfRule>
  </conditionalFormatting>
  <conditionalFormatting sqref="AU295">
    <cfRule type="cellIs" dxfId="0" priority="899" operator="lessThan">
      <formula>20</formula>
    </cfRule>
    <cfRule type="cellIs" dxfId="1" priority="503" operator="greaterThan">
      <formula>120</formula>
    </cfRule>
    <cfRule type="containsText" dxfId="2" priority="107" operator="between" text="库存为">
      <formula>NOT(ISERROR(SEARCH("库存为",AU295)))</formula>
    </cfRule>
  </conditionalFormatting>
  <conditionalFormatting sqref="AU296">
    <cfRule type="cellIs" dxfId="0" priority="898" operator="lessThan">
      <formula>20</formula>
    </cfRule>
    <cfRule type="cellIs" dxfId="1" priority="502" operator="greaterThan">
      <formula>120</formula>
    </cfRule>
    <cfRule type="containsText" dxfId="2" priority="106" operator="between" text="库存为">
      <formula>NOT(ISERROR(SEARCH("库存为",AU296)))</formula>
    </cfRule>
  </conditionalFormatting>
  <conditionalFormatting sqref="AU297">
    <cfRule type="cellIs" dxfId="0" priority="897" operator="lessThan">
      <formula>20</formula>
    </cfRule>
    <cfRule type="cellIs" dxfId="1" priority="501" operator="greaterThan">
      <formula>120</formula>
    </cfRule>
    <cfRule type="containsText" dxfId="2" priority="105" operator="between" text="库存为">
      <formula>NOT(ISERROR(SEARCH("库存为",AU297)))</formula>
    </cfRule>
  </conditionalFormatting>
  <conditionalFormatting sqref="AU298">
    <cfRule type="cellIs" dxfId="0" priority="896" operator="lessThan">
      <formula>20</formula>
    </cfRule>
    <cfRule type="cellIs" dxfId="1" priority="500" operator="greaterThan">
      <formula>120</formula>
    </cfRule>
    <cfRule type="containsText" dxfId="2" priority="104" operator="between" text="库存为">
      <formula>NOT(ISERROR(SEARCH("库存为",AU298)))</formula>
    </cfRule>
  </conditionalFormatting>
  <conditionalFormatting sqref="AU299">
    <cfRule type="cellIs" dxfId="0" priority="895" operator="lessThan">
      <formula>20</formula>
    </cfRule>
    <cfRule type="cellIs" dxfId="1" priority="499" operator="greaterThan">
      <formula>120</formula>
    </cfRule>
    <cfRule type="containsText" dxfId="2" priority="103" operator="between" text="库存为">
      <formula>NOT(ISERROR(SEARCH("库存为",AU299)))</formula>
    </cfRule>
  </conditionalFormatting>
  <conditionalFormatting sqref="AU300">
    <cfRule type="cellIs" dxfId="0" priority="894" operator="lessThan">
      <formula>20</formula>
    </cfRule>
    <cfRule type="cellIs" dxfId="1" priority="498" operator="greaterThan">
      <formula>120</formula>
    </cfRule>
    <cfRule type="containsText" dxfId="2" priority="102" operator="between" text="库存为">
      <formula>NOT(ISERROR(SEARCH("库存为",AU300)))</formula>
    </cfRule>
  </conditionalFormatting>
  <conditionalFormatting sqref="AU301">
    <cfRule type="cellIs" dxfId="0" priority="893" operator="lessThan">
      <formula>20</formula>
    </cfRule>
    <cfRule type="cellIs" dxfId="1" priority="497" operator="greaterThan">
      <formula>120</formula>
    </cfRule>
    <cfRule type="containsText" dxfId="2" priority="101" operator="between" text="库存为">
      <formula>NOT(ISERROR(SEARCH("库存为",AU301)))</formula>
    </cfRule>
  </conditionalFormatting>
  <conditionalFormatting sqref="AU302">
    <cfRule type="cellIs" dxfId="0" priority="892" operator="lessThan">
      <formula>20</formula>
    </cfRule>
    <cfRule type="cellIs" dxfId="1" priority="496" operator="greaterThan">
      <formula>120</formula>
    </cfRule>
    <cfRule type="containsText" dxfId="2" priority="100" operator="between" text="库存为">
      <formula>NOT(ISERROR(SEARCH("库存为",AU302)))</formula>
    </cfRule>
  </conditionalFormatting>
  <conditionalFormatting sqref="AU303">
    <cfRule type="cellIs" dxfId="0" priority="891" operator="lessThan">
      <formula>20</formula>
    </cfRule>
    <cfRule type="cellIs" dxfId="1" priority="495" operator="greaterThan">
      <formula>120</formula>
    </cfRule>
    <cfRule type="containsText" dxfId="2" priority="99" operator="between" text="库存为">
      <formula>NOT(ISERROR(SEARCH("库存为",AU303)))</formula>
    </cfRule>
  </conditionalFormatting>
  <conditionalFormatting sqref="AU304">
    <cfRule type="cellIs" dxfId="0" priority="890" operator="lessThan">
      <formula>20</formula>
    </cfRule>
    <cfRule type="cellIs" dxfId="1" priority="494" operator="greaterThan">
      <formula>120</formula>
    </cfRule>
    <cfRule type="containsText" dxfId="2" priority="98" operator="between" text="库存为">
      <formula>NOT(ISERROR(SEARCH("库存为",AU304)))</formula>
    </cfRule>
  </conditionalFormatting>
  <conditionalFormatting sqref="AU305">
    <cfRule type="cellIs" dxfId="0" priority="889" operator="lessThan">
      <formula>20</formula>
    </cfRule>
    <cfRule type="cellIs" dxfId="1" priority="493" operator="greaterThan">
      <formula>120</formula>
    </cfRule>
    <cfRule type="containsText" dxfId="2" priority="97" operator="between" text="库存为">
      <formula>NOT(ISERROR(SEARCH("库存为",AU305)))</formula>
    </cfRule>
  </conditionalFormatting>
  <conditionalFormatting sqref="AU306">
    <cfRule type="cellIs" dxfId="0" priority="888" operator="lessThan">
      <formula>20</formula>
    </cfRule>
    <cfRule type="cellIs" dxfId="1" priority="492" operator="greaterThan">
      <formula>120</formula>
    </cfRule>
    <cfRule type="containsText" dxfId="2" priority="96" operator="between" text="库存为">
      <formula>NOT(ISERROR(SEARCH("库存为",AU306)))</formula>
    </cfRule>
  </conditionalFormatting>
  <conditionalFormatting sqref="AU307">
    <cfRule type="cellIs" dxfId="0" priority="887" operator="lessThan">
      <formula>20</formula>
    </cfRule>
    <cfRule type="cellIs" dxfId="1" priority="491" operator="greaterThan">
      <formula>120</formula>
    </cfRule>
    <cfRule type="containsText" dxfId="2" priority="95" operator="between" text="库存为">
      <formula>NOT(ISERROR(SEARCH("库存为",AU307)))</formula>
    </cfRule>
  </conditionalFormatting>
  <conditionalFormatting sqref="AU308">
    <cfRule type="cellIs" dxfId="0" priority="886" operator="lessThan">
      <formula>20</formula>
    </cfRule>
    <cfRule type="cellIs" dxfId="1" priority="490" operator="greaterThan">
      <formula>120</formula>
    </cfRule>
    <cfRule type="containsText" dxfId="2" priority="94" operator="between" text="库存为">
      <formula>NOT(ISERROR(SEARCH("库存为",AU308)))</formula>
    </cfRule>
  </conditionalFormatting>
  <conditionalFormatting sqref="AU309">
    <cfRule type="cellIs" dxfId="0" priority="885" operator="lessThan">
      <formula>20</formula>
    </cfRule>
    <cfRule type="cellIs" dxfId="1" priority="489" operator="greaterThan">
      <formula>120</formula>
    </cfRule>
    <cfRule type="containsText" dxfId="2" priority="93" operator="between" text="库存为">
      <formula>NOT(ISERROR(SEARCH("库存为",AU309)))</formula>
    </cfRule>
  </conditionalFormatting>
  <conditionalFormatting sqref="AU310">
    <cfRule type="cellIs" dxfId="0" priority="884" operator="lessThan">
      <formula>20</formula>
    </cfRule>
    <cfRule type="cellIs" dxfId="1" priority="488" operator="greaterThan">
      <formula>120</formula>
    </cfRule>
    <cfRule type="containsText" dxfId="2" priority="92" operator="between" text="库存为">
      <formula>NOT(ISERROR(SEARCH("库存为",AU310)))</formula>
    </cfRule>
  </conditionalFormatting>
  <conditionalFormatting sqref="AU311">
    <cfRule type="cellIs" dxfId="0" priority="883" operator="lessThan">
      <formula>20</formula>
    </cfRule>
    <cfRule type="cellIs" dxfId="1" priority="487" operator="greaterThan">
      <formula>120</formula>
    </cfRule>
    <cfRule type="containsText" dxfId="2" priority="91" operator="between" text="库存为">
      <formula>NOT(ISERROR(SEARCH("库存为",AU311)))</formula>
    </cfRule>
  </conditionalFormatting>
  <conditionalFormatting sqref="AU312">
    <cfRule type="cellIs" dxfId="0" priority="882" operator="lessThan">
      <formula>20</formula>
    </cfRule>
    <cfRule type="cellIs" dxfId="1" priority="486" operator="greaterThan">
      <formula>120</formula>
    </cfRule>
    <cfRule type="containsText" dxfId="2" priority="90" operator="between" text="库存为">
      <formula>NOT(ISERROR(SEARCH("库存为",AU312)))</formula>
    </cfRule>
  </conditionalFormatting>
  <conditionalFormatting sqref="AU313">
    <cfRule type="cellIs" dxfId="0" priority="881" operator="lessThan">
      <formula>20</formula>
    </cfRule>
    <cfRule type="cellIs" dxfId="1" priority="485" operator="greaterThan">
      <formula>120</formula>
    </cfRule>
    <cfRule type="containsText" dxfId="2" priority="89" operator="between" text="库存为">
      <formula>NOT(ISERROR(SEARCH("库存为",AU313)))</formula>
    </cfRule>
  </conditionalFormatting>
  <conditionalFormatting sqref="AU314">
    <cfRule type="cellIs" dxfId="0" priority="880" operator="lessThan">
      <formula>20</formula>
    </cfRule>
    <cfRule type="cellIs" dxfId="1" priority="484" operator="greaterThan">
      <formula>120</formula>
    </cfRule>
    <cfRule type="containsText" dxfId="2" priority="88" operator="between" text="库存为">
      <formula>NOT(ISERROR(SEARCH("库存为",AU314)))</formula>
    </cfRule>
  </conditionalFormatting>
  <conditionalFormatting sqref="AU315">
    <cfRule type="cellIs" dxfId="0" priority="879" operator="lessThan">
      <formula>20</formula>
    </cfRule>
    <cfRule type="cellIs" dxfId="1" priority="483" operator="greaterThan">
      <formula>120</formula>
    </cfRule>
    <cfRule type="containsText" dxfId="2" priority="87" operator="between" text="库存为">
      <formula>NOT(ISERROR(SEARCH("库存为",AU315)))</formula>
    </cfRule>
  </conditionalFormatting>
  <conditionalFormatting sqref="AU316">
    <cfRule type="cellIs" dxfId="0" priority="878" operator="lessThan">
      <formula>20</formula>
    </cfRule>
    <cfRule type="cellIs" dxfId="1" priority="482" operator="greaterThan">
      <formula>120</formula>
    </cfRule>
    <cfRule type="containsText" dxfId="2" priority="86" operator="between" text="库存为">
      <formula>NOT(ISERROR(SEARCH("库存为",AU316)))</formula>
    </cfRule>
  </conditionalFormatting>
  <conditionalFormatting sqref="AU317">
    <cfRule type="cellIs" dxfId="0" priority="877" operator="lessThan">
      <formula>20</formula>
    </cfRule>
    <cfRule type="cellIs" dxfId="1" priority="481" operator="greaterThan">
      <formula>120</formula>
    </cfRule>
    <cfRule type="containsText" dxfId="2" priority="85" operator="between" text="库存为">
      <formula>NOT(ISERROR(SEARCH("库存为",AU317)))</formula>
    </cfRule>
  </conditionalFormatting>
  <conditionalFormatting sqref="AU318">
    <cfRule type="cellIs" dxfId="0" priority="876" operator="lessThan">
      <formula>20</formula>
    </cfRule>
    <cfRule type="cellIs" dxfId="1" priority="480" operator="greaterThan">
      <formula>120</formula>
    </cfRule>
    <cfRule type="containsText" dxfId="2" priority="84" operator="between" text="库存为">
      <formula>NOT(ISERROR(SEARCH("库存为",AU318)))</formula>
    </cfRule>
  </conditionalFormatting>
  <conditionalFormatting sqref="AU319">
    <cfRule type="cellIs" dxfId="0" priority="875" operator="lessThan">
      <formula>20</formula>
    </cfRule>
    <cfRule type="cellIs" dxfId="1" priority="479" operator="greaterThan">
      <formula>120</formula>
    </cfRule>
    <cfRule type="containsText" dxfId="2" priority="83" operator="between" text="库存为">
      <formula>NOT(ISERROR(SEARCH("库存为",AU319)))</formula>
    </cfRule>
  </conditionalFormatting>
  <conditionalFormatting sqref="AU320">
    <cfRule type="cellIs" dxfId="0" priority="874" operator="lessThan">
      <formula>20</formula>
    </cfRule>
    <cfRule type="cellIs" dxfId="1" priority="478" operator="greaterThan">
      <formula>120</formula>
    </cfRule>
    <cfRule type="containsText" dxfId="2" priority="82" operator="between" text="库存为">
      <formula>NOT(ISERROR(SEARCH("库存为",AU320)))</formula>
    </cfRule>
  </conditionalFormatting>
  <conditionalFormatting sqref="AU321">
    <cfRule type="cellIs" dxfId="0" priority="873" operator="lessThan">
      <formula>20</formula>
    </cfRule>
    <cfRule type="cellIs" dxfId="1" priority="477" operator="greaterThan">
      <formula>120</formula>
    </cfRule>
    <cfRule type="containsText" dxfId="2" priority="81" operator="between" text="库存为">
      <formula>NOT(ISERROR(SEARCH("库存为",AU321)))</formula>
    </cfRule>
  </conditionalFormatting>
  <conditionalFormatting sqref="AU322">
    <cfRule type="cellIs" dxfId="0" priority="872" operator="lessThan">
      <formula>20</formula>
    </cfRule>
    <cfRule type="cellIs" dxfId="1" priority="476" operator="greaterThan">
      <formula>120</formula>
    </cfRule>
    <cfRule type="containsText" dxfId="2" priority="80" operator="between" text="库存为">
      <formula>NOT(ISERROR(SEARCH("库存为",AU322)))</formula>
    </cfRule>
  </conditionalFormatting>
  <conditionalFormatting sqref="AU323">
    <cfRule type="cellIs" dxfId="0" priority="871" operator="lessThan">
      <formula>20</formula>
    </cfRule>
    <cfRule type="cellIs" dxfId="1" priority="475" operator="greaterThan">
      <formula>120</formula>
    </cfRule>
    <cfRule type="containsText" dxfId="2" priority="79" operator="between" text="库存为">
      <formula>NOT(ISERROR(SEARCH("库存为",AU323)))</formula>
    </cfRule>
  </conditionalFormatting>
  <conditionalFormatting sqref="AU324">
    <cfRule type="cellIs" dxfId="0" priority="870" operator="lessThan">
      <formula>20</formula>
    </cfRule>
    <cfRule type="cellIs" dxfId="1" priority="474" operator="greaterThan">
      <formula>120</formula>
    </cfRule>
    <cfRule type="containsText" dxfId="2" priority="78" operator="between" text="库存为">
      <formula>NOT(ISERROR(SEARCH("库存为",AU324)))</formula>
    </cfRule>
  </conditionalFormatting>
  <conditionalFormatting sqref="AU325">
    <cfRule type="cellIs" dxfId="0" priority="869" operator="lessThan">
      <formula>20</formula>
    </cfRule>
    <cfRule type="cellIs" dxfId="1" priority="473" operator="greaterThan">
      <formula>120</formula>
    </cfRule>
    <cfRule type="containsText" dxfId="2" priority="77" operator="between" text="库存为">
      <formula>NOT(ISERROR(SEARCH("库存为",AU325)))</formula>
    </cfRule>
  </conditionalFormatting>
  <conditionalFormatting sqref="AU326">
    <cfRule type="cellIs" dxfId="0" priority="868" operator="lessThan">
      <formula>20</formula>
    </cfRule>
    <cfRule type="cellIs" dxfId="1" priority="472" operator="greaterThan">
      <formula>120</formula>
    </cfRule>
    <cfRule type="containsText" dxfId="2" priority="76" operator="between" text="库存为">
      <formula>NOT(ISERROR(SEARCH("库存为",AU326)))</formula>
    </cfRule>
  </conditionalFormatting>
  <conditionalFormatting sqref="AU327">
    <cfRule type="cellIs" dxfId="0" priority="867" operator="lessThan">
      <formula>20</formula>
    </cfRule>
    <cfRule type="cellIs" dxfId="1" priority="471" operator="greaterThan">
      <formula>120</formula>
    </cfRule>
    <cfRule type="containsText" dxfId="2" priority="75" operator="between" text="库存为">
      <formula>NOT(ISERROR(SEARCH("库存为",AU327)))</formula>
    </cfRule>
  </conditionalFormatting>
  <conditionalFormatting sqref="AU328">
    <cfRule type="cellIs" dxfId="0" priority="866" operator="lessThan">
      <formula>20</formula>
    </cfRule>
    <cfRule type="cellIs" dxfId="1" priority="470" operator="greaterThan">
      <formula>120</formula>
    </cfRule>
    <cfRule type="containsText" dxfId="2" priority="74" operator="between" text="库存为">
      <formula>NOT(ISERROR(SEARCH("库存为",AU328)))</formula>
    </cfRule>
  </conditionalFormatting>
  <conditionalFormatting sqref="AU329">
    <cfRule type="cellIs" dxfId="0" priority="865" operator="lessThan">
      <formula>20</formula>
    </cfRule>
    <cfRule type="cellIs" dxfId="1" priority="469" operator="greaterThan">
      <formula>120</formula>
    </cfRule>
    <cfRule type="containsText" dxfId="2" priority="73" operator="between" text="库存为">
      <formula>NOT(ISERROR(SEARCH("库存为",AU329)))</formula>
    </cfRule>
  </conditionalFormatting>
  <conditionalFormatting sqref="AU330">
    <cfRule type="cellIs" dxfId="0" priority="864" operator="lessThan">
      <formula>20</formula>
    </cfRule>
    <cfRule type="cellIs" dxfId="1" priority="468" operator="greaterThan">
      <formula>120</formula>
    </cfRule>
    <cfRule type="containsText" dxfId="2" priority="72" operator="between" text="库存为">
      <formula>NOT(ISERROR(SEARCH("库存为",AU330)))</formula>
    </cfRule>
  </conditionalFormatting>
  <conditionalFormatting sqref="AU331">
    <cfRule type="cellIs" dxfId="0" priority="863" operator="lessThan">
      <formula>20</formula>
    </cfRule>
    <cfRule type="cellIs" dxfId="1" priority="467" operator="greaterThan">
      <formula>120</formula>
    </cfRule>
    <cfRule type="containsText" dxfId="2" priority="71" operator="between" text="库存为">
      <formula>NOT(ISERROR(SEARCH("库存为",AU331)))</formula>
    </cfRule>
  </conditionalFormatting>
  <conditionalFormatting sqref="AU332">
    <cfRule type="cellIs" dxfId="0" priority="862" operator="lessThan">
      <formula>20</formula>
    </cfRule>
    <cfRule type="cellIs" dxfId="1" priority="466" operator="greaterThan">
      <formula>120</formula>
    </cfRule>
    <cfRule type="containsText" dxfId="2" priority="70" operator="between" text="库存为">
      <formula>NOT(ISERROR(SEARCH("库存为",AU332)))</formula>
    </cfRule>
  </conditionalFormatting>
  <conditionalFormatting sqref="AU333">
    <cfRule type="cellIs" dxfId="0" priority="861" operator="lessThan">
      <formula>20</formula>
    </cfRule>
    <cfRule type="cellIs" dxfId="1" priority="465" operator="greaterThan">
      <formula>120</formula>
    </cfRule>
    <cfRule type="containsText" dxfId="2" priority="69" operator="between" text="库存为">
      <formula>NOT(ISERROR(SEARCH("库存为",AU333)))</formula>
    </cfRule>
  </conditionalFormatting>
  <conditionalFormatting sqref="AU334">
    <cfRule type="cellIs" dxfId="0" priority="860" operator="lessThan">
      <formula>20</formula>
    </cfRule>
    <cfRule type="cellIs" dxfId="1" priority="464" operator="greaterThan">
      <formula>120</formula>
    </cfRule>
    <cfRule type="containsText" dxfId="2" priority="68" operator="between" text="库存为">
      <formula>NOT(ISERROR(SEARCH("库存为",AU334)))</formula>
    </cfRule>
  </conditionalFormatting>
  <conditionalFormatting sqref="AU335">
    <cfRule type="cellIs" dxfId="0" priority="859" operator="lessThan">
      <formula>20</formula>
    </cfRule>
    <cfRule type="cellIs" dxfId="1" priority="463" operator="greaterThan">
      <formula>120</formula>
    </cfRule>
    <cfRule type="containsText" dxfId="2" priority="67" operator="between" text="库存为">
      <formula>NOT(ISERROR(SEARCH("库存为",AU335)))</formula>
    </cfRule>
  </conditionalFormatting>
  <conditionalFormatting sqref="AU336">
    <cfRule type="cellIs" dxfId="0" priority="858" operator="lessThan">
      <formula>20</formula>
    </cfRule>
    <cfRule type="cellIs" dxfId="1" priority="462" operator="greaterThan">
      <formula>120</formula>
    </cfRule>
    <cfRule type="containsText" dxfId="2" priority="66" operator="between" text="库存为">
      <formula>NOT(ISERROR(SEARCH("库存为",AU336)))</formula>
    </cfRule>
  </conditionalFormatting>
  <conditionalFormatting sqref="AU337">
    <cfRule type="cellIs" dxfId="0" priority="857" operator="lessThan">
      <formula>20</formula>
    </cfRule>
    <cfRule type="cellIs" dxfId="1" priority="461" operator="greaterThan">
      <formula>120</formula>
    </cfRule>
    <cfRule type="containsText" dxfId="2" priority="65" operator="between" text="库存为">
      <formula>NOT(ISERROR(SEARCH("库存为",AU337)))</formula>
    </cfRule>
  </conditionalFormatting>
  <conditionalFormatting sqref="AU338">
    <cfRule type="cellIs" dxfId="0" priority="856" operator="lessThan">
      <formula>20</formula>
    </cfRule>
    <cfRule type="cellIs" dxfId="1" priority="460" operator="greaterThan">
      <formula>120</formula>
    </cfRule>
    <cfRule type="containsText" dxfId="2" priority="64" operator="between" text="库存为">
      <formula>NOT(ISERROR(SEARCH("库存为",AU338)))</formula>
    </cfRule>
  </conditionalFormatting>
  <conditionalFormatting sqref="AU339">
    <cfRule type="cellIs" dxfId="0" priority="855" operator="lessThan">
      <formula>20</formula>
    </cfRule>
    <cfRule type="cellIs" dxfId="1" priority="459" operator="greaterThan">
      <formula>120</formula>
    </cfRule>
    <cfRule type="containsText" dxfId="2" priority="63" operator="between" text="库存为">
      <formula>NOT(ISERROR(SEARCH("库存为",AU339)))</formula>
    </cfRule>
  </conditionalFormatting>
  <conditionalFormatting sqref="AU340">
    <cfRule type="cellIs" dxfId="0" priority="854" operator="lessThan">
      <formula>20</formula>
    </cfRule>
    <cfRule type="cellIs" dxfId="1" priority="458" operator="greaterThan">
      <formula>120</formula>
    </cfRule>
    <cfRule type="containsText" dxfId="2" priority="62" operator="between" text="库存为">
      <formula>NOT(ISERROR(SEARCH("库存为",AU340)))</formula>
    </cfRule>
  </conditionalFormatting>
  <conditionalFormatting sqref="AU341">
    <cfRule type="cellIs" dxfId="0" priority="853" operator="lessThan">
      <formula>20</formula>
    </cfRule>
    <cfRule type="cellIs" dxfId="1" priority="457" operator="greaterThan">
      <formula>120</formula>
    </cfRule>
    <cfRule type="containsText" dxfId="2" priority="61" operator="between" text="库存为">
      <formula>NOT(ISERROR(SEARCH("库存为",AU341)))</formula>
    </cfRule>
  </conditionalFormatting>
  <conditionalFormatting sqref="AU342">
    <cfRule type="cellIs" dxfId="0" priority="852" operator="lessThan">
      <formula>20</formula>
    </cfRule>
    <cfRule type="cellIs" dxfId="1" priority="456" operator="greaterThan">
      <formula>120</formula>
    </cfRule>
    <cfRule type="containsText" dxfId="2" priority="60" operator="between" text="库存为">
      <formula>NOT(ISERROR(SEARCH("库存为",AU342)))</formula>
    </cfRule>
  </conditionalFormatting>
  <conditionalFormatting sqref="AU343">
    <cfRule type="cellIs" dxfId="0" priority="851" operator="lessThan">
      <formula>20</formula>
    </cfRule>
    <cfRule type="cellIs" dxfId="1" priority="455" operator="greaterThan">
      <formula>120</formula>
    </cfRule>
    <cfRule type="containsText" dxfId="2" priority="59" operator="between" text="库存为">
      <formula>NOT(ISERROR(SEARCH("库存为",AU343)))</formula>
    </cfRule>
  </conditionalFormatting>
  <conditionalFormatting sqref="AU344">
    <cfRule type="cellIs" dxfId="0" priority="850" operator="lessThan">
      <formula>20</formula>
    </cfRule>
    <cfRule type="cellIs" dxfId="1" priority="454" operator="greaterThan">
      <formula>120</formula>
    </cfRule>
    <cfRule type="containsText" dxfId="2" priority="58" operator="between" text="库存为">
      <formula>NOT(ISERROR(SEARCH("库存为",AU344)))</formula>
    </cfRule>
  </conditionalFormatting>
  <conditionalFormatting sqref="AU345">
    <cfRule type="cellIs" dxfId="0" priority="849" operator="lessThan">
      <formula>20</formula>
    </cfRule>
    <cfRule type="cellIs" dxfId="1" priority="453" operator="greaterThan">
      <formula>120</formula>
    </cfRule>
    <cfRule type="containsText" dxfId="2" priority="57" operator="between" text="库存为">
      <formula>NOT(ISERROR(SEARCH("库存为",AU345)))</formula>
    </cfRule>
  </conditionalFormatting>
  <conditionalFormatting sqref="AU346">
    <cfRule type="cellIs" dxfId="0" priority="848" operator="lessThan">
      <formula>20</formula>
    </cfRule>
    <cfRule type="cellIs" dxfId="1" priority="452" operator="greaterThan">
      <formula>120</formula>
    </cfRule>
    <cfRule type="containsText" dxfId="2" priority="56" operator="between" text="库存为">
      <formula>NOT(ISERROR(SEARCH("库存为",AU346)))</formula>
    </cfRule>
  </conditionalFormatting>
  <conditionalFormatting sqref="AU347">
    <cfRule type="cellIs" dxfId="0" priority="847" operator="lessThan">
      <formula>20</formula>
    </cfRule>
    <cfRule type="cellIs" dxfId="1" priority="451" operator="greaterThan">
      <formula>120</formula>
    </cfRule>
    <cfRule type="containsText" dxfId="2" priority="55" operator="between" text="库存为">
      <formula>NOT(ISERROR(SEARCH("库存为",AU347)))</formula>
    </cfRule>
  </conditionalFormatting>
  <conditionalFormatting sqref="AU348">
    <cfRule type="cellIs" dxfId="0" priority="846" operator="lessThan">
      <formula>20</formula>
    </cfRule>
    <cfRule type="cellIs" dxfId="1" priority="450" operator="greaterThan">
      <formula>120</formula>
    </cfRule>
    <cfRule type="containsText" dxfId="2" priority="54" operator="between" text="库存为">
      <formula>NOT(ISERROR(SEARCH("库存为",AU348)))</formula>
    </cfRule>
  </conditionalFormatting>
  <conditionalFormatting sqref="AU349">
    <cfRule type="cellIs" dxfId="0" priority="845" operator="lessThan">
      <formula>20</formula>
    </cfRule>
    <cfRule type="cellIs" dxfId="1" priority="449" operator="greaterThan">
      <formula>120</formula>
    </cfRule>
    <cfRule type="containsText" dxfId="2" priority="53" operator="between" text="库存为">
      <formula>NOT(ISERROR(SEARCH("库存为",AU349)))</formula>
    </cfRule>
  </conditionalFormatting>
  <conditionalFormatting sqref="AU350">
    <cfRule type="cellIs" dxfId="0" priority="844" operator="lessThan">
      <formula>20</formula>
    </cfRule>
    <cfRule type="cellIs" dxfId="1" priority="448" operator="greaterThan">
      <formula>120</formula>
    </cfRule>
    <cfRule type="containsText" dxfId="2" priority="52" operator="between" text="库存为">
      <formula>NOT(ISERROR(SEARCH("库存为",AU350)))</formula>
    </cfRule>
  </conditionalFormatting>
  <conditionalFormatting sqref="AU351">
    <cfRule type="cellIs" dxfId="0" priority="843" operator="lessThan">
      <formula>20</formula>
    </cfRule>
    <cfRule type="cellIs" dxfId="1" priority="447" operator="greaterThan">
      <formula>120</formula>
    </cfRule>
    <cfRule type="containsText" dxfId="2" priority="51" operator="between" text="库存为">
      <formula>NOT(ISERROR(SEARCH("库存为",AU351)))</formula>
    </cfRule>
  </conditionalFormatting>
  <conditionalFormatting sqref="AU352">
    <cfRule type="cellIs" dxfId="0" priority="842" operator="lessThan">
      <formula>20</formula>
    </cfRule>
    <cfRule type="cellIs" dxfId="1" priority="446" operator="greaterThan">
      <formula>120</formula>
    </cfRule>
    <cfRule type="containsText" dxfId="2" priority="50" operator="between" text="库存为">
      <formula>NOT(ISERROR(SEARCH("库存为",AU352)))</formula>
    </cfRule>
  </conditionalFormatting>
  <conditionalFormatting sqref="AU353">
    <cfRule type="cellIs" dxfId="0" priority="841" operator="lessThan">
      <formula>20</formula>
    </cfRule>
    <cfRule type="cellIs" dxfId="1" priority="445" operator="greaterThan">
      <formula>120</formula>
    </cfRule>
    <cfRule type="containsText" dxfId="2" priority="49" operator="between" text="库存为">
      <formula>NOT(ISERROR(SEARCH("库存为",AU353)))</formula>
    </cfRule>
  </conditionalFormatting>
  <conditionalFormatting sqref="AU354">
    <cfRule type="cellIs" dxfId="0" priority="840" operator="lessThan">
      <formula>20</formula>
    </cfRule>
    <cfRule type="cellIs" dxfId="1" priority="444" operator="greaterThan">
      <formula>120</formula>
    </cfRule>
    <cfRule type="containsText" dxfId="2" priority="48" operator="between" text="库存为">
      <formula>NOT(ISERROR(SEARCH("库存为",AU354)))</formula>
    </cfRule>
  </conditionalFormatting>
  <conditionalFormatting sqref="AU355">
    <cfRule type="cellIs" dxfId="0" priority="839" operator="lessThan">
      <formula>20</formula>
    </cfRule>
    <cfRule type="cellIs" dxfId="1" priority="443" operator="greaterThan">
      <formula>120</formula>
    </cfRule>
    <cfRule type="containsText" dxfId="2" priority="47" operator="between" text="库存为">
      <formula>NOT(ISERROR(SEARCH("库存为",AU355)))</formula>
    </cfRule>
  </conditionalFormatting>
  <conditionalFormatting sqref="AU356">
    <cfRule type="cellIs" dxfId="0" priority="838" operator="lessThan">
      <formula>20</formula>
    </cfRule>
    <cfRule type="cellIs" dxfId="1" priority="442" operator="greaterThan">
      <formula>120</formula>
    </cfRule>
    <cfRule type="containsText" dxfId="2" priority="46" operator="between" text="库存为">
      <formula>NOT(ISERROR(SEARCH("库存为",AU356)))</formula>
    </cfRule>
  </conditionalFormatting>
  <conditionalFormatting sqref="AU357">
    <cfRule type="cellIs" dxfId="0" priority="837" operator="lessThan">
      <formula>20</formula>
    </cfRule>
    <cfRule type="cellIs" dxfId="1" priority="441" operator="greaterThan">
      <formula>120</formula>
    </cfRule>
    <cfRule type="containsText" dxfId="2" priority="45" operator="between" text="库存为">
      <formula>NOT(ISERROR(SEARCH("库存为",AU357)))</formula>
    </cfRule>
  </conditionalFormatting>
  <conditionalFormatting sqref="AU358">
    <cfRule type="cellIs" dxfId="0" priority="836" operator="lessThan">
      <formula>20</formula>
    </cfRule>
    <cfRule type="cellIs" dxfId="1" priority="440" operator="greaterThan">
      <formula>120</formula>
    </cfRule>
    <cfRule type="containsText" dxfId="2" priority="44" operator="between" text="库存为">
      <formula>NOT(ISERROR(SEARCH("库存为",AU358)))</formula>
    </cfRule>
  </conditionalFormatting>
  <conditionalFormatting sqref="AU359">
    <cfRule type="cellIs" dxfId="0" priority="835" operator="lessThan">
      <formula>20</formula>
    </cfRule>
    <cfRule type="cellIs" dxfId="1" priority="439" operator="greaterThan">
      <formula>120</formula>
    </cfRule>
    <cfRule type="containsText" dxfId="2" priority="43" operator="between" text="库存为">
      <formula>NOT(ISERROR(SEARCH("库存为",AU359)))</formula>
    </cfRule>
  </conditionalFormatting>
  <conditionalFormatting sqref="AU360">
    <cfRule type="cellIs" dxfId="0" priority="834" operator="lessThan">
      <formula>20</formula>
    </cfRule>
    <cfRule type="cellIs" dxfId="1" priority="438" operator="greaterThan">
      <formula>120</formula>
    </cfRule>
    <cfRule type="containsText" dxfId="2" priority="42" operator="between" text="库存为">
      <formula>NOT(ISERROR(SEARCH("库存为",AU360)))</formula>
    </cfRule>
  </conditionalFormatting>
  <conditionalFormatting sqref="AU361">
    <cfRule type="cellIs" dxfId="0" priority="833" operator="lessThan">
      <formula>20</formula>
    </cfRule>
    <cfRule type="cellIs" dxfId="1" priority="437" operator="greaterThan">
      <formula>120</formula>
    </cfRule>
    <cfRule type="containsText" dxfId="2" priority="41" operator="between" text="库存为">
      <formula>NOT(ISERROR(SEARCH("库存为",AU361)))</formula>
    </cfRule>
  </conditionalFormatting>
  <conditionalFormatting sqref="AU362">
    <cfRule type="cellIs" dxfId="0" priority="832" operator="lessThan">
      <formula>20</formula>
    </cfRule>
    <cfRule type="cellIs" dxfId="1" priority="436" operator="greaterThan">
      <formula>120</formula>
    </cfRule>
    <cfRule type="containsText" dxfId="2" priority="40" operator="between" text="库存为">
      <formula>NOT(ISERROR(SEARCH("库存为",AU362)))</formula>
    </cfRule>
  </conditionalFormatting>
  <conditionalFormatting sqref="AU363">
    <cfRule type="cellIs" dxfId="0" priority="831" operator="lessThan">
      <formula>20</formula>
    </cfRule>
    <cfRule type="cellIs" dxfId="1" priority="435" operator="greaterThan">
      <formula>120</formula>
    </cfRule>
    <cfRule type="containsText" dxfId="2" priority="39" operator="between" text="库存为">
      <formula>NOT(ISERROR(SEARCH("库存为",AU363)))</formula>
    </cfRule>
  </conditionalFormatting>
  <conditionalFormatting sqref="AU364">
    <cfRule type="cellIs" dxfId="0" priority="830" operator="lessThan">
      <formula>20</formula>
    </cfRule>
    <cfRule type="cellIs" dxfId="1" priority="434" operator="greaterThan">
      <formula>120</formula>
    </cfRule>
    <cfRule type="containsText" dxfId="2" priority="38" operator="between" text="库存为">
      <formula>NOT(ISERROR(SEARCH("库存为",AU364)))</formula>
    </cfRule>
  </conditionalFormatting>
  <conditionalFormatting sqref="AU365">
    <cfRule type="cellIs" dxfId="0" priority="829" operator="lessThan">
      <formula>20</formula>
    </cfRule>
    <cfRule type="cellIs" dxfId="1" priority="433" operator="greaterThan">
      <formula>120</formula>
    </cfRule>
    <cfRule type="containsText" dxfId="2" priority="37" operator="between" text="库存为">
      <formula>NOT(ISERROR(SEARCH("库存为",AU365)))</formula>
    </cfRule>
  </conditionalFormatting>
  <conditionalFormatting sqref="AU366">
    <cfRule type="cellIs" dxfId="0" priority="828" operator="lessThan">
      <formula>20</formula>
    </cfRule>
    <cfRule type="cellIs" dxfId="1" priority="432" operator="greaterThan">
      <formula>120</formula>
    </cfRule>
    <cfRule type="containsText" dxfId="2" priority="36" operator="between" text="库存为">
      <formula>NOT(ISERROR(SEARCH("库存为",AU366)))</formula>
    </cfRule>
  </conditionalFormatting>
  <conditionalFormatting sqref="AU367">
    <cfRule type="cellIs" dxfId="0" priority="827" operator="lessThan">
      <formula>20</formula>
    </cfRule>
    <cfRule type="cellIs" dxfId="1" priority="431" operator="greaterThan">
      <formula>120</formula>
    </cfRule>
    <cfRule type="containsText" dxfId="2" priority="35" operator="between" text="库存为">
      <formula>NOT(ISERROR(SEARCH("库存为",AU367)))</formula>
    </cfRule>
  </conditionalFormatting>
  <conditionalFormatting sqref="AU368">
    <cfRule type="cellIs" dxfId="0" priority="826" operator="lessThan">
      <formula>20</formula>
    </cfRule>
    <cfRule type="cellIs" dxfId="1" priority="430" operator="greaterThan">
      <formula>120</formula>
    </cfRule>
    <cfRule type="containsText" dxfId="2" priority="34" operator="between" text="库存为">
      <formula>NOT(ISERROR(SEARCH("库存为",AU368)))</formula>
    </cfRule>
  </conditionalFormatting>
  <conditionalFormatting sqref="AU369">
    <cfRule type="cellIs" dxfId="0" priority="825" operator="lessThan">
      <formula>20</formula>
    </cfRule>
    <cfRule type="cellIs" dxfId="1" priority="429" operator="greaterThan">
      <formula>120</formula>
    </cfRule>
    <cfRule type="containsText" dxfId="2" priority="33" operator="between" text="库存为">
      <formula>NOT(ISERROR(SEARCH("库存为",AU369)))</formula>
    </cfRule>
  </conditionalFormatting>
  <conditionalFormatting sqref="AU370">
    <cfRule type="cellIs" dxfId="0" priority="824" operator="lessThan">
      <formula>20</formula>
    </cfRule>
    <cfRule type="cellIs" dxfId="1" priority="428" operator="greaterThan">
      <formula>120</formula>
    </cfRule>
    <cfRule type="containsText" dxfId="2" priority="32" operator="between" text="库存为">
      <formula>NOT(ISERROR(SEARCH("库存为",AU370)))</formula>
    </cfRule>
  </conditionalFormatting>
  <conditionalFormatting sqref="AU371">
    <cfRule type="cellIs" dxfId="0" priority="823" operator="lessThan">
      <formula>20</formula>
    </cfRule>
    <cfRule type="cellIs" dxfId="1" priority="427" operator="greaterThan">
      <formula>120</formula>
    </cfRule>
    <cfRule type="containsText" dxfId="2" priority="31" operator="between" text="库存为">
      <formula>NOT(ISERROR(SEARCH("库存为",AU371)))</formula>
    </cfRule>
  </conditionalFormatting>
  <conditionalFormatting sqref="AU372">
    <cfRule type="cellIs" dxfId="0" priority="822" operator="lessThan">
      <formula>20</formula>
    </cfRule>
    <cfRule type="cellIs" dxfId="1" priority="426" operator="greaterThan">
      <formula>120</formula>
    </cfRule>
    <cfRule type="containsText" dxfId="2" priority="30" operator="between" text="库存为">
      <formula>NOT(ISERROR(SEARCH("库存为",AU372)))</formula>
    </cfRule>
  </conditionalFormatting>
  <conditionalFormatting sqref="AU373">
    <cfRule type="cellIs" dxfId="0" priority="821" operator="lessThan">
      <formula>20</formula>
    </cfRule>
    <cfRule type="cellIs" dxfId="1" priority="425" operator="greaterThan">
      <formula>120</formula>
    </cfRule>
    <cfRule type="containsText" dxfId="2" priority="29" operator="between" text="库存为">
      <formula>NOT(ISERROR(SEARCH("库存为",AU373)))</formula>
    </cfRule>
  </conditionalFormatting>
  <conditionalFormatting sqref="AU374">
    <cfRule type="cellIs" dxfId="0" priority="820" operator="lessThan">
      <formula>20</formula>
    </cfRule>
    <cfRule type="cellIs" dxfId="1" priority="424" operator="greaterThan">
      <formula>120</formula>
    </cfRule>
    <cfRule type="containsText" dxfId="2" priority="28" operator="between" text="库存为">
      <formula>NOT(ISERROR(SEARCH("库存为",AU374)))</formula>
    </cfRule>
  </conditionalFormatting>
  <conditionalFormatting sqref="AU375">
    <cfRule type="cellIs" dxfId="0" priority="819" operator="lessThan">
      <formula>20</formula>
    </cfRule>
    <cfRule type="cellIs" dxfId="1" priority="423" operator="greaterThan">
      <formula>120</formula>
    </cfRule>
    <cfRule type="containsText" dxfId="2" priority="27" operator="between" text="库存为">
      <formula>NOT(ISERROR(SEARCH("库存为",AU375)))</formula>
    </cfRule>
  </conditionalFormatting>
  <conditionalFormatting sqref="AU376">
    <cfRule type="cellIs" dxfId="0" priority="818" operator="lessThan">
      <formula>20</formula>
    </cfRule>
    <cfRule type="cellIs" dxfId="1" priority="422" operator="greaterThan">
      <formula>120</formula>
    </cfRule>
    <cfRule type="containsText" dxfId="2" priority="26" operator="between" text="库存为">
      <formula>NOT(ISERROR(SEARCH("库存为",AU376)))</formula>
    </cfRule>
  </conditionalFormatting>
  <conditionalFormatting sqref="AU377">
    <cfRule type="cellIs" dxfId="0" priority="817" operator="lessThan">
      <formula>20</formula>
    </cfRule>
    <cfRule type="cellIs" dxfId="1" priority="421" operator="greaterThan">
      <formula>120</formula>
    </cfRule>
    <cfRule type="containsText" dxfId="2" priority="25" operator="between" text="库存为">
      <formula>NOT(ISERROR(SEARCH("库存为",AU377)))</formula>
    </cfRule>
  </conditionalFormatting>
  <conditionalFormatting sqref="AU378">
    <cfRule type="cellIs" dxfId="0" priority="816" operator="lessThan">
      <formula>20</formula>
    </cfRule>
    <cfRule type="cellIs" dxfId="1" priority="420" operator="greaterThan">
      <formula>120</formula>
    </cfRule>
    <cfRule type="containsText" dxfId="2" priority="24" operator="between" text="库存为">
      <formula>NOT(ISERROR(SEARCH("库存为",AU378)))</formula>
    </cfRule>
  </conditionalFormatting>
  <conditionalFormatting sqref="AU379">
    <cfRule type="cellIs" dxfId="0" priority="815" operator="lessThan">
      <formula>20</formula>
    </cfRule>
    <cfRule type="cellIs" dxfId="1" priority="419" operator="greaterThan">
      <formula>120</formula>
    </cfRule>
    <cfRule type="containsText" dxfId="2" priority="23" operator="between" text="库存为">
      <formula>NOT(ISERROR(SEARCH("库存为",AU379)))</formula>
    </cfRule>
  </conditionalFormatting>
  <conditionalFormatting sqref="AU380">
    <cfRule type="cellIs" dxfId="0" priority="814" operator="lessThan">
      <formula>20</formula>
    </cfRule>
    <cfRule type="cellIs" dxfId="1" priority="418" operator="greaterThan">
      <formula>120</formula>
    </cfRule>
    <cfRule type="containsText" dxfId="2" priority="22" operator="between" text="库存为">
      <formula>NOT(ISERROR(SEARCH("库存为",AU380)))</formula>
    </cfRule>
  </conditionalFormatting>
  <conditionalFormatting sqref="AU381">
    <cfRule type="cellIs" dxfId="0" priority="813" operator="lessThan">
      <formula>20</formula>
    </cfRule>
    <cfRule type="cellIs" dxfId="1" priority="417" operator="greaterThan">
      <formula>120</formula>
    </cfRule>
    <cfRule type="containsText" dxfId="2" priority="21" operator="between" text="库存为">
      <formula>NOT(ISERROR(SEARCH("库存为",AU381)))</formula>
    </cfRule>
  </conditionalFormatting>
  <conditionalFormatting sqref="AU382">
    <cfRule type="cellIs" dxfId="0" priority="812" operator="lessThan">
      <formula>20</formula>
    </cfRule>
    <cfRule type="cellIs" dxfId="1" priority="416" operator="greaterThan">
      <formula>120</formula>
    </cfRule>
    <cfRule type="containsText" dxfId="2" priority="20" operator="between" text="库存为">
      <formula>NOT(ISERROR(SEARCH("库存为",AU382)))</formula>
    </cfRule>
  </conditionalFormatting>
  <conditionalFormatting sqref="AU383">
    <cfRule type="cellIs" dxfId="0" priority="811" operator="lessThan">
      <formula>20</formula>
    </cfRule>
    <cfRule type="cellIs" dxfId="1" priority="415" operator="greaterThan">
      <formula>120</formula>
    </cfRule>
    <cfRule type="containsText" dxfId="2" priority="19" operator="between" text="库存为">
      <formula>NOT(ISERROR(SEARCH("库存为",AU383)))</formula>
    </cfRule>
  </conditionalFormatting>
  <conditionalFormatting sqref="AU384">
    <cfRule type="cellIs" dxfId="0" priority="810" operator="lessThan">
      <formula>20</formula>
    </cfRule>
    <cfRule type="cellIs" dxfId="1" priority="414" operator="greaterThan">
      <formula>120</formula>
    </cfRule>
    <cfRule type="containsText" dxfId="2" priority="18" operator="between" text="库存为">
      <formula>NOT(ISERROR(SEARCH("库存为",AU384)))</formula>
    </cfRule>
  </conditionalFormatting>
  <conditionalFormatting sqref="AU385">
    <cfRule type="cellIs" dxfId="0" priority="809" operator="lessThan">
      <formula>20</formula>
    </cfRule>
    <cfRule type="cellIs" dxfId="1" priority="413" operator="greaterThan">
      <formula>120</formula>
    </cfRule>
    <cfRule type="containsText" dxfId="2" priority="17" operator="between" text="库存为">
      <formula>NOT(ISERROR(SEARCH("库存为",AU385)))</formula>
    </cfRule>
  </conditionalFormatting>
  <conditionalFormatting sqref="AU386">
    <cfRule type="cellIs" dxfId="0" priority="808" operator="lessThan">
      <formula>20</formula>
    </cfRule>
    <cfRule type="cellIs" dxfId="1" priority="412" operator="greaterThan">
      <formula>120</formula>
    </cfRule>
    <cfRule type="containsText" dxfId="2" priority="16" operator="between" text="库存为">
      <formula>NOT(ISERROR(SEARCH("库存为",AU386)))</formula>
    </cfRule>
  </conditionalFormatting>
  <conditionalFormatting sqref="AU387">
    <cfRule type="cellIs" dxfId="0" priority="807" operator="lessThan">
      <formula>20</formula>
    </cfRule>
    <cfRule type="cellIs" dxfId="1" priority="411" operator="greaterThan">
      <formula>120</formula>
    </cfRule>
    <cfRule type="containsText" dxfId="2" priority="15" operator="between" text="库存为">
      <formula>NOT(ISERROR(SEARCH("库存为",AU387)))</formula>
    </cfRule>
  </conditionalFormatting>
  <conditionalFormatting sqref="AU388">
    <cfRule type="cellIs" dxfId="0" priority="806" operator="lessThan">
      <formula>20</formula>
    </cfRule>
    <cfRule type="cellIs" dxfId="1" priority="410" operator="greaterThan">
      <formula>120</formula>
    </cfRule>
    <cfRule type="containsText" dxfId="2" priority="14" operator="between" text="库存为">
      <formula>NOT(ISERROR(SEARCH("库存为",AU388)))</formula>
    </cfRule>
  </conditionalFormatting>
  <conditionalFormatting sqref="AU389">
    <cfRule type="cellIs" dxfId="0" priority="805" operator="lessThan">
      <formula>20</formula>
    </cfRule>
    <cfRule type="cellIs" dxfId="1" priority="409" operator="greaterThan">
      <formula>120</formula>
    </cfRule>
    <cfRule type="containsText" dxfId="2" priority="13" operator="between" text="库存为">
      <formula>NOT(ISERROR(SEARCH("库存为",AU389)))</formula>
    </cfRule>
  </conditionalFormatting>
  <conditionalFormatting sqref="AU390">
    <cfRule type="cellIs" dxfId="0" priority="804" operator="lessThan">
      <formula>20</formula>
    </cfRule>
    <cfRule type="cellIs" dxfId="1" priority="408" operator="greaterThan">
      <formula>120</formula>
    </cfRule>
    <cfRule type="containsText" dxfId="2" priority="12" operator="between" text="库存为">
      <formula>NOT(ISERROR(SEARCH("库存为",AU390)))</formula>
    </cfRule>
  </conditionalFormatting>
  <conditionalFormatting sqref="AU391">
    <cfRule type="cellIs" dxfId="0" priority="803" operator="lessThan">
      <formula>20</formula>
    </cfRule>
    <cfRule type="cellIs" dxfId="1" priority="407" operator="greaterThan">
      <formula>120</formula>
    </cfRule>
    <cfRule type="containsText" dxfId="2" priority="11" operator="between" text="库存为">
      <formula>NOT(ISERROR(SEARCH("库存为",AU391)))</formula>
    </cfRule>
  </conditionalFormatting>
  <conditionalFormatting sqref="AU392">
    <cfRule type="cellIs" dxfId="0" priority="802" operator="lessThan">
      <formula>20</formula>
    </cfRule>
    <cfRule type="cellIs" dxfId="1" priority="406" operator="greaterThan">
      <formula>120</formula>
    </cfRule>
    <cfRule type="containsText" dxfId="2" priority="10" operator="between" text="库存为">
      <formula>NOT(ISERROR(SEARCH("库存为",AU392)))</formula>
    </cfRule>
  </conditionalFormatting>
  <conditionalFormatting sqref="AU393">
    <cfRule type="cellIs" dxfId="0" priority="801" operator="lessThan">
      <formula>20</formula>
    </cfRule>
    <cfRule type="cellIs" dxfId="1" priority="405" operator="greaterThan">
      <formula>120</formula>
    </cfRule>
    <cfRule type="containsText" dxfId="2" priority="9" operator="between" text="库存为">
      <formula>NOT(ISERROR(SEARCH("库存为",AU393)))</formula>
    </cfRule>
  </conditionalFormatting>
  <conditionalFormatting sqref="AU394">
    <cfRule type="cellIs" dxfId="0" priority="800" operator="lessThan">
      <formula>20</formula>
    </cfRule>
    <cfRule type="cellIs" dxfId="1" priority="404" operator="greaterThan">
      <formula>120</formula>
    </cfRule>
    <cfRule type="containsText" dxfId="2" priority="8" operator="between" text="库存为">
      <formula>NOT(ISERROR(SEARCH("库存为",AU394)))</formula>
    </cfRule>
  </conditionalFormatting>
  <conditionalFormatting sqref="AU395">
    <cfRule type="cellIs" dxfId="0" priority="799" operator="lessThan">
      <formula>20</formula>
    </cfRule>
    <cfRule type="cellIs" dxfId="1" priority="403" operator="greaterThan">
      <formula>120</formula>
    </cfRule>
    <cfRule type="containsText" dxfId="2" priority="7" operator="between" text="库存为">
      <formula>NOT(ISERROR(SEARCH("库存为",AU395)))</formula>
    </cfRule>
  </conditionalFormatting>
  <conditionalFormatting sqref="AU396">
    <cfRule type="cellIs" dxfId="0" priority="798" operator="lessThan">
      <formula>20</formula>
    </cfRule>
    <cfRule type="cellIs" dxfId="1" priority="402" operator="greaterThan">
      <formula>120</formula>
    </cfRule>
    <cfRule type="containsText" dxfId="2" priority="6" operator="between" text="库存为">
      <formula>NOT(ISERROR(SEARCH("库存为",AU396)))</formula>
    </cfRule>
  </conditionalFormatting>
  <conditionalFormatting sqref="AU397">
    <cfRule type="cellIs" dxfId="0" priority="797" operator="lessThan">
      <formula>20</formula>
    </cfRule>
    <cfRule type="cellIs" dxfId="1" priority="401" operator="greaterThan">
      <formula>120</formula>
    </cfRule>
    <cfRule type="containsText" dxfId="2" priority="5" operator="between" text="库存为">
      <formula>NOT(ISERROR(SEARCH("库存为",AU397)))</formula>
    </cfRule>
  </conditionalFormatting>
  <conditionalFormatting sqref="AU398">
    <cfRule type="cellIs" dxfId="0" priority="796" operator="lessThan">
      <formula>20</formula>
    </cfRule>
    <cfRule type="cellIs" dxfId="1" priority="400" operator="greaterThan">
      <formula>120</formula>
    </cfRule>
    <cfRule type="containsText" dxfId="2" priority="4" operator="between" text="库存为">
      <formula>NOT(ISERROR(SEARCH("库存为",AU398)))</formula>
    </cfRule>
  </conditionalFormatting>
  <conditionalFormatting sqref="AU399">
    <cfRule type="cellIs" dxfId="0" priority="795" operator="lessThan">
      <formula>20</formula>
    </cfRule>
    <cfRule type="cellIs" dxfId="1" priority="399" operator="greaterThan">
      <formula>120</formula>
    </cfRule>
    <cfRule type="containsText" dxfId="2" priority="3" operator="between" text="库存为">
      <formula>NOT(ISERROR(SEARCH("库存为",AU399)))</formula>
    </cfRule>
  </conditionalFormatting>
  <conditionalFormatting sqref="AU400">
    <cfRule type="cellIs" dxfId="0" priority="794" operator="lessThan">
      <formula>20</formula>
    </cfRule>
    <cfRule type="cellIs" dxfId="1" priority="398" operator="greaterThan">
      <formula>120</formula>
    </cfRule>
    <cfRule type="containsText" dxfId="2" priority="2" operator="between" text="库存为">
      <formula>NOT(ISERROR(SEARCH("库存为",AU400)))</formula>
    </cfRule>
  </conditionalFormatting>
  <conditionalFormatting sqref="AU401">
    <cfRule type="cellIs" dxfId="0" priority="793" operator="lessThan">
      <formula>20</formula>
    </cfRule>
    <cfRule type="cellIs" dxfId="1" priority="397" operator="greaterThan">
      <formula>120</formula>
    </cfRule>
    <cfRule type="containsText" dxfId="2" priority="1" operator="between" text="库存为">
      <formula>NOT(ISERROR(SEARCH("库存为",AU401)))</formula>
    </cfRule>
  </conditionalFormatting>
  <conditionalFormatting sqref="AU402">
    <cfRule type="cellIs" dxfId="0" priority="1983" operator="lessThan">
      <formula>20</formula>
    </cfRule>
    <cfRule type="cellIs" dxfId="1" priority="1586" operator="greaterThan">
      <formula>120</formula>
    </cfRule>
    <cfRule type="containsText" dxfId="2" priority="1189" operator="between" text="库存为">
      <formula>NOT(ISERROR(SEARCH("库存为",AU402)))</formula>
    </cfRule>
  </conditionalFormatting>
  <conditionalFormatting sqref="AU403">
    <cfRule type="cellIs" dxfId="0" priority="5708" operator="lessThan">
      <formula>20</formula>
    </cfRule>
    <cfRule type="cellIs" dxfId="1" priority="4863" operator="greaterThan">
      <formula>120</formula>
    </cfRule>
    <cfRule type="containsText" dxfId="2" priority="4018" operator="between" text="库存为">
      <formula>NOT(ISERROR(SEARCH("库存为",AU403)))</formula>
    </cfRule>
  </conditionalFormatting>
  <conditionalFormatting sqref="AU404">
    <cfRule type="cellIs" dxfId="0" priority="5707" operator="lessThan">
      <formula>20</formula>
    </cfRule>
    <cfRule type="cellIs" dxfId="1" priority="4862" operator="greaterThan">
      <formula>120</formula>
    </cfRule>
    <cfRule type="containsText" dxfId="2" priority="4017" operator="between" text="库存为">
      <formula>NOT(ISERROR(SEARCH("库存为",AU404)))</formula>
    </cfRule>
  </conditionalFormatting>
  <conditionalFormatting sqref="AU405">
    <cfRule type="cellIs" dxfId="0" priority="5706" operator="lessThan">
      <formula>20</formula>
    </cfRule>
    <cfRule type="cellIs" dxfId="1" priority="4861" operator="greaterThan">
      <formula>120</formula>
    </cfRule>
    <cfRule type="containsText" dxfId="2" priority="4016" operator="between" text="库存为">
      <formula>NOT(ISERROR(SEARCH("库存为",AU405)))</formula>
    </cfRule>
  </conditionalFormatting>
  <conditionalFormatting sqref="AU406">
    <cfRule type="cellIs" dxfId="0" priority="5705" operator="lessThan">
      <formula>20</formula>
    </cfRule>
    <cfRule type="cellIs" dxfId="1" priority="4860" operator="greaterThan">
      <formula>120</formula>
    </cfRule>
    <cfRule type="containsText" dxfId="2" priority="4015" operator="between" text="库存为">
      <formula>NOT(ISERROR(SEARCH("库存为",AU406)))</formula>
    </cfRule>
  </conditionalFormatting>
  <conditionalFormatting sqref="AU407">
    <cfRule type="cellIs" dxfId="0" priority="5704" operator="lessThan">
      <formula>20</formula>
    </cfRule>
    <cfRule type="cellIs" dxfId="1" priority="4859" operator="greaterThan">
      <formula>120</formula>
    </cfRule>
    <cfRule type="containsText" dxfId="2" priority="4014" operator="between" text="库存为">
      <formula>NOT(ISERROR(SEARCH("库存为",AU407)))</formula>
    </cfRule>
  </conditionalFormatting>
  <conditionalFormatting sqref="AU408">
    <cfRule type="cellIs" dxfId="0" priority="5703" operator="lessThan">
      <formula>20</formula>
    </cfRule>
    <cfRule type="cellIs" dxfId="1" priority="4858" operator="greaterThan">
      <formula>120</formula>
    </cfRule>
    <cfRule type="containsText" dxfId="2" priority="4013" operator="between" text="库存为">
      <formula>NOT(ISERROR(SEARCH("库存为",AU408)))</formula>
    </cfRule>
  </conditionalFormatting>
  <conditionalFormatting sqref="AU409">
    <cfRule type="cellIs" dxfId="0" priority="5702" operator="lessThan">
      <formula>20</formula>
    </cfRule>
    <cfRule type="cellIs" dxfId="1" priority="4857" operator="greaterThan">
      <formula>120</formula>
    </cfRule>
    <cfRule type="containsText" dxfId="2" priority="4012" operator="between" text="库存为">
      <formula>NOT(ISERROR(SEARCH("库存为",AU409)))</formula>
    </cfRule>
  </conditionalFormatting>
  <conditionalFormatting sqref="AU410">
    <cfRule type="cellIs" dxfId="0" priority="5701" operator="lessThan">
      <formula>20</formula>
    </cfRule>
    <cfRule type="cellIs" dxfId="1" priority="4856" operator="greaterThan">
      <formula>120</formula>
    </cfRule>
    <cfRule type="containsText" dxfId="2" priority="4011" operator="between" text="库存为">
      <formula>NOT(ISERROR(SEARCH("库存为",AU410)))</formula>
    </cfRule>
  </conditionalFormatting>
  <conditionalFormatting sqref="AU411">
    <cfRule type="cellIs" dxfId="0" priority="5700" operator="lessThan">
      <formula>20</formula>
    </cfRule>
    <cfRule type="cellIs" dxfId="1" priority="4855" operator="greaterThan">
      <formula>120</formula>
    </cfRule>
    <cfRule type="containsText" dxfId="2" priority="4010" operator="between" text="库存为">
      <formula>NOT(ISERROR(SEARCH("库存为",AU411)))</formula>
    </cfRule>
  </conditionalFormatting>
  <conditionalFormatting sqref="AU412">
    <cfRule type="cellIs" dxfId="0" priority="5699" operator="lessThan">
      <formula>20</formula>
    </cfRule>
    <cfRule type="cellIs" dxfId="1" priority="4854" operator="greaterThan">
      <formula>120</formula>
    </cfRule>
    <cfRule type="containsText" dxfId="2" priority="4009" operator="between" text="库存为">
      <formula>NOT(ISERROR(SEARCH("库存为",AU412)))</formula>
    </cfRule>
  </conditionalFormatting>
  <conditionalFormatting sqref="AU413">
    <cfRule type="cellIs" dxfId="0" priority="5698" operator="lessThan">
      <formula>20</formula>
    </cfRule>
    <cfRule type="cellIs" dxfId="1" priority="4853" operator="greaterThan">
      <formula>120</formula>
    </cfRule>
    <cfRule type="containsText" dxfId="2" priority="4008" operator="between" text="库存为">
      <formula>NOT(ISERROR(SEARCH("库存为",AU413)))</formula>
    </cfRule>
  </conditionalFormatting>
  <conditionalFormatting sqref="AU414">
    <cfRule type="cellIs" dxfId="0" priority="5697" operator="lessThan">
      <formula>20</formula>
    </cfRule>
    <cfRule type="cellIs" dxfId="1" priority="4852" operator="greaterThan">
      <formula>120</formula>
    </cfRule>
    <cfRule type="containsText" dxfId="2" priority="4007" operator="between" text="库存为">
      <formula>NOT(ISERROR(SEARCH("库存为",AU414)))</formula>
    </cfRule>
  </conditionalFormatting>
  <conditionalFormatting sqref="AU415">
    <cfRule type="cellIs" dxfId="0" priority="5696" operator="lessThan">
      <formula>20</formula>
    </cfRule>
    <cfRule type="cellIs" dxfId="1" priority="4851" operator="greaterThan">
      <formula>120</formula>
    </cfRule>
    <cfRule type="containsText" dxfId="2" priority="4006" operator="between" text="库存为">
      <formula>NOT(ISERROR(SEARCH("库存为",AU415)))</formula>
    </cfRule>
  </conditionalFormatting>
  <conditionalFormatting sqref="AU416">
    <cfRule type="cellIs" dxfId="0" priority="5695" operator="lessThan">
      <formula>20</formula>
    </cfRule>
    <cfRule type="cellIs" dxfId="1" priority="4850" operator="greaterThan">
      <formula>120</formula>
    </cfRule>
    <cfRule type="containsText" dxfId="2" priority="4005" operator="between" text="库存为">
      <formula>NOT(ISERROR(SEARCH("库存为",AU416)))</formula>
    </cfRule>
  </conditionalFormatting>
  <conditionalFormatting sqref="AU417">
    <cfRule type="cellIs" dxfId="0" priority="5694" operator="lessThan">
      <formula>20</formula>
    </cfRule>
    <cfRule type="cellIs" dxfId="1" priority="4849" operator="greaterThan">
      <formula>120</formula>
    </cfRule>
    <cfRule type="containsText" dxfId="2" priority="4004" operator="between" text="库存为">
      <formula>NOT(ISERROR(SEARCH("库存为",AU417)))</formula>
    </cfRule>
  </conditionalFormatting>
  <conditionalFormatting sqref="AU418">
    <cfRule type="cellIs" dxfId="0" priority="5693" operator="lessThan">
      <formula>20</formula>
    </cfRule>
    <cfRule type="cellIs" dxfId="1" priority="4848" operator="greaterThan">
      <formula>120</formula>
    </cfRule>
    <cfRule type="containsText" dxfId="2" priority="4003" operator="between" text="库存为">
      <formula>NOT(ISERROR(SEARCH("库存为",AU418)))</formula>
    </cfRule>
  </conditionalFormatting>
  <conditionalFormatting sqref="AU419">
    <cfRule type="cellIs" dxfId="0" priority="5692" operator="lessThan">
      <formula>20</formula>
    </cfRule>
    <cfRule type="cellIs" dxfId="1" priority="4847" operator="greaterThan">
      <formula>120</formula>
    </cfRule>
    <cfRule type="containsText" dxfId="2" priority="4002" operator="between" text="库存为">
      <formula>NOT(ISERROR(SEARCH("库存为",AU419)))</formula>
    </cfRule>
  </conditionalFormatting>
  <conditionalFormatting sqref="AU420">
    <cfRule type="cellIs" dxfId="0" priority="5691" operator="lessThan">
      <formula>20</formula>
    </cfRule>
    <cfRule type="cellIs" dxfId="1" priority="4846" operator="greaterThan">
      <formula>120</formula>
    </cfRule>
    <cfRule type="containsText" dxfId="2" priority="4001" operator="between" text="库存为">
      <formula>NOT(ISERROR(SEARCH("库存为",AU420)))</formula>
    </cfRule>
  </conditionalFormatting>
  <conditionalFormatting sqref="AU421">
    <cfRule type="cellIs" dxfId="0" priority="5690" operator="lessThan">
      <formula>20</formula>
    </cfRule>
    <cfRule type="cellIs" dxfId="1" priority="4845" operator="greaterThan">
      <formula>120</formula>
    </cfRule>
    <cfRule type="containsText" dxfId="2" priority="4000" operator="between" text="库存为">
      <formula>NOT(ISERROR(SEARCH("库存为",AU421)))</formula>
    </cfRule>
  </conditionalFormatting>
  <conditionalFormatting sqref="AU422">
    <cfRule type="cellIs" dxfId="0" priority="5689" operator="lessThan">
      <formula>20</formula>
    </cfRule>
    <cfRule type="cellIs" dxfId="1" priority="4844" operator="greaterThan">
      <formula>120</formula>
    </cfRule>
    <cfRule type="containsText" dxfId="2" priority="3999" operator="between" text="库存为">
      <formula>NOT(ISERROR(SEARCH("库存为",AU422)))</formula>
    </cfRule>
  </conditionalFormatting>
  <conditionalFormatting sqref="AU423">
    <cfRule type="cellIs" dxfId="0" priority="5688" operator="lessThan">
      <formula>20</formula>
    </cfRule>
    <cfRule type="cellIs" dxfId="1" priority="4843" operator="greaterThan">
      <formula>120</formula>
    </cfRule>
    <cfRule type="containsText" dxfId="2" priority="3998" operator="between" text="库存为">
      <formula>NOT(ISERROR(SEARCH("库存为",AU423)))</formula>
    </cfRule>
  </conditionalFormatting>
  <conditionalFormatting sqref="AU424">
    <cfRule type="cellIs" dxfId="0" priority="5687" operator="lessThan">
      <formula>20</formula>
    </cfRule>
    <cfRule type="cellIs" dxfId="1" priority="4842" operator="greaterThan">
      <formula>120</formula>
    </cfRule>
    <cfRule type="containsText" dxfId="2" priority="3997" operator="between" text="库存为">
      <formula>NOT(ISERROR(SEARCH("库存为",AU424)))</formula>
    </cfRule>
  </conditionalFormatting>
  <conditionalFormatting sqref="AU425">
    <cfRule type="cellIs" dxfId="0" priority="5686" operator="lessThan">
      <formula>20</formula>
    </cfRule>
    <cfRule type="cellIs" dxfId="1" priority="4841" operator="greaterThan">
      <formula>120</formula>
    </cfRule>
    <cfRule type="containsText" dxfId="2" priority="3996" operator="between" text="库存为">
      <formula>NOT(ISERROR(SEARCH("库存为",AU425)))</formula>
    </cfRule>
  </conditionalFormatting>
  <conditionalFormatting sqref="AU426">
    <cfRule type="cellIs" dxfId="0" priority="5685" operator="lessThan">
      <formula>20</formula>
    </cfRule>
    <cfRule type="cellIs" dxfId="1" priority="4840" operator="greaterThan">
      <formula>120</formula>
    </cfRule>
    <cfRule type="containsText" dxfId="2" priority="3995" operator="between" text="库存为">
      <formula>NOT(ISERROR(SEARCH("库存为",AU426)))</formula>
    </cfRule>
  </conditionalFormatting>
  <conditionalFormatting sqref="AU427">
    <cfRule type="cellIs" dxfId="0" priority="5684" operator="lessThan">
      <formula>20</formula>
    </cfRule>
    <cfRule type="cellIs" dxfId="1" priority="4839" operator="greaterThan">
      <formula>120</formula>
    </cfRule>
    <cfRule type="containsText" dxfId="2" priority="3994" operator="between" text="库存为">
      <formula>NOT(ISERROR(SEARCH("库存为",AU427)))</formula>
    </cfRule>
  </conditionalFormatting>
  <conditionalFormatting sqref="AU428">
    <cfRule type="cellIs" dxfId="0" priority="5683" operator="lessThan">
      <formula>20</formula>
    </cfRule>
    <cfRule type="cellIs" dxfId="1" priority="4838" operator="greaterThan">
      <formula>120</formula>
    </cfRule>
    <cfRule type="containsText" dxfId="2" priority="3993" operator="between" text="库存为">
      <formula>NOT(ISERROR(SEARCH("库存为",AU428)))</formula>
    </cfRule>
  </conditionalFormatting>
  <conditionalFormatting sqref="AU429">
    <cfRule type="cellIs" dxfId="0" priority="5682" operator="lessThan">
      <formula>20</formula>
    </cfRule>
    <cfRule type="cellIs" dxfId="1" priority="4837" operator="greaterThan">
      <formula>120</formula>
    </cfRule>
    <cfRule type="containsText" dxfId="2" priority="3992" operator="between" text="库存为">
      <formula>NOT(ISERROR(SEARCH("库存为",AU429)))</formula>
    </cfRule>
  </conditionalFormatting>
  <conditionalFormatting sqref="AU430">
    <cfRule type="cellIs" dxfId="0" priority="5681" operator="lessThan">
      <formula>20</formula>
    </cfRule>
    <cfRule type="cellIs" dxfId="1" priority="4836" operator="greaterThan">
      <formula>120</formula>
    </cfRule>
    <cfRule type="containsText" dxfId="2" priority="3991" operator="between" text="库存为">
      <formula>NOT(ISERROR(SEARCH("库存为",AU430)))</formula>
    </cfRule>
  </conditionalFormatting>
  <conditionalFormatting sqref="AU431">
    <cfRule type="cellIs" dxfId="0" priority="5680" operator="lessThan">
      <formula>20</formula>
    </cfRule>
    <cfRule type="cellIs" dxfId="1" priority="4835" operator="greaterThan">
      <formula>120</formula>
    </cfRule>
    <cfRule type="containsText" dxfId="2" priority="3990" operator="between" text="库存为">
      <formula>NOT(ISERROR(SEARCH("库存为",AU431)))</formula>
    </cfRule>
  </conditionalFormatting>
  <conditionalFormatting sqref="AU432">
    <cfRule type="cellIs" dxfId="0" priority="5679" operator="lessThan">
      <formula>20</formula>
    </cfRule>
    <cfRule type="cellIs" dxfId="1" priority="4834" operator="greaterThan">
      <formula>120</formula>
    </cfRule>
    <cfRule type="containsText" dxfId="2" priority="3989" operator="between" text="库存为">
      <formula>NOT(ISERROR(SEARCH("库存为",AU432)))</formula>
    </cfRule>
  </conditionalFormatting>
  <conditionalFormatting sqref="AU433">
    <cfRule type="cellIs" dxfId="0" priority="5678" operator="lessThan">
      <formula>20</formula>
    </cfRule>
    <cfRule type="cellIs" dxfId="1" priority="4833" operator="greaterThan">
      <formula>120</formula>
    </cfRule>
    <cfRule type="containsText" dxfId="2" priority="3988" operator="between" text="库存为">
      <formula>NOT(ISERROR(SEARCH("库存为",AU433)))</formula>
    </cfRule>
  </conditionalFormatting>
  <conditionalFormatting sqref="AU434">
    <cfRule type="cellIs" dxfId="0" priority="5677" operator="lessThan">
      <formula>20</formula>
    </cfRule>
    <cfRule type="cellIs" dxfId="1" priority="4832" operator="greaterThan">
      <formula>120</formula>
    </cfRule>
    <cfRule type="containsText" dxfId="2" priority="3987" operator="between" text="库存为">
      <formula>NOT(ISERROR(SEARCH("库存为",AU434)))</formula>
    </cfRule>
  </conditionalFormatting>
  <conditionalFormatting sqref="AU435">
    <cfRule type="cellIs" dxfId="0" priority="5676" operator="lessThan">
      <formula>20</formula>
    </cfRule>
    <cfRule type="cellIs" dxfId="1" priority="4831" operator="greaterThan">
      <formula>120</formula>
    </cfRule>
    <cfRule type="containsText" dxfId="2" priority="3986" operator="between" text="库存为">
      <formula>NOT(ISERROR(SEARCH("库存为",AU435)))</formula>
    </cfRule>
  </conditionalFormatting>
  <conditionalFormatting sqref="AU436">
    <cfRule type="cellIs" dxfId="0" priority="5675" operator="lessThan">
      <formula>20</formula>
    </cfRule>
    <cfRule type="cellIs" dxfId="1" priority="4830" operator="greaterThan">
      <formula>120</formula>
    </cfRule>
    <cfRule type="containsText" dxfId="2" priority="3985" operator="between" text="库存为">
      <formula>NOT(ISERROR(SEARCH("库存为",AU436)))</formula>
    </cfRule>
  </conditionalFormatting>
  <conditionalFormatting sqref="AU437">
    <cfRule type="cellIs" dxfId="0" priority="5674" operator="lessThan">
      <formula>20</formula>
    </cfRule>
    <cfRule type="cellIs" dxfId="1" priority="4829" operator="greaterThan">
      <formula>120</formula>
    </cfRule>
    <cfRule type="containsText" dxfId="2" priority="3984" operator="between" text="库存为">
      <formula>NOT(ISERROR(SEARCH("库存为",AU437)))</formula>
    </cfRule>
  </conditionalFormatting>
  <conditionalFormatting sqref="AU438">
    <cfRule type="cellIs" dxfId="0" priority="5673" operator="lessThan">
      <formula>20</formula>
    </cfRule>
    <cfRule type="cellIs" dxfId="1" priority="4828" operator="greaterThan">
      <formula>120</formula>
    </cfRule>
    <cfRule type="containsText" dxfId="2" priority="3983" operator="between" text="库存为">
      <formula>NOT(ISERROR(SEARCH("库存为",AU438)))</formula>
    </cfRule>
  </conditionalFormatting>
  <conditionalFormatting sqref="AU439">
    <cfRule type="cellIs" dxfId="0" priority="5672" operator="lessThan">
      <formula>20</formula>
    </cfRule>
    <cfRule type="cellIs" dxfId="1" priority="4827" operator="greaterThan">
      <formula>120</formula>
    </cfRule>
    <cfRule type="containsText" dxfId="2" priority="3982" operator="between" text="库存为">
      <formula>NOT(ISERROR(SEARCH("库存为",AU439)))</formula>
    </cfRule>
  </conditionalFormatting>
  <conditionalFormatting sqref="AU440">
    <cfRule type="cellIs" dxfId="0" priority="5671" operator="lessThan">
      <formula>20</formula>
    </cfRule>
    <cfRule type="cellIs" dxfId="1" priority="4826" operator="greaterThan">
      <formula>120</formula>
    </cfRule>
    <cfRule type="containsText" dxfId="2" priority="3981" operator="between" text="库存为">
      <formula>NOT(ISERROR(SEARCH("库存为",AU440)))</formula>
    </cfRule>
  </conditionalFormatting>
  <conditionalFormatting sqref="AU441">
    <cfRule type="cellIs" dxfId="0" priority="5670" operator="lessThan">
      <formula>20</formula>
    </cfRule>
    <cfRule type="cellIs" dxfId="1" priority="4825" operator="greaterThan">
      <formula>120</formula>
    </cfRule>
    <cfRule type="containsText" dxfId="2" priority="3980" operator="between" text="库存为">
      <formula>NOT(ISERROR(SEARCH("库存为",AU441)))</formula>
    </cfRule>
  </conditionalFormatting>
  <conditionalFormatting sqref="AU442">
    <cfRule type="cellIs" dxfId="0" priority="5669" operator="lessThan">
      <formula>20</formula>
    </cfRule>
    <cfRule type="cellIs" dxfId="1" priority="4824" operator="greaterThan">
      <formula>120</formula>
    </cfRule>
    <cfRule type="containsText" dxfId="2" priority="3979" operator="between" text="库存为">
      <formula>NOT(ISERROR(SEARCH("库存为",AU442)))</formula>
    </cfRule>
  </conditionalFormatting>
  <conditionalFormatting sqref="AU443">
    <cfRule type="cellIs" dxfId="0" priority="5668" operator="lessThan">
      <formula>20</formula>
    </cfRule>
    <cfRule type="cellIs" dxfId="1" priority="4823" operator="greaterThan">
      <formula>120</formula>
    </cfRule>
    <cfRule type="containsText" dxfId="2" priority="3978" operator="between" text="库存为">
      <formula>NOT(ISERROR(SEARCH("库存为",AU443)))</formula>
    </cfRule>
  </conditionalFormatting>
  <conditionalFormatting sqref="AU444">
    <cfRule type="cellIs" dxfId="0" priority="5667" operator="lessThan">
      <formula>20</formula>
    </cfRule>
    <cfRule type="cellIs" dxfId="1" priority="4822" operator="greaterThan">
      <formula>120</formula>
    </cfRule>
    <cfRule type="containsText" dxfId="2" priority="3977" operator="between" text="库存为">
      <formula>NOT(ISERROR(SEARCH("库存为",AU444)))</formula>
    </cfRule>
  </conditionalFormatting>
  <conditionalFormatting sqref="AU445">
    <cfRule type="cellIs" dxfId="0" priority="5666" operator="lessThan">
      <formula>20</formula>
    </cfRule>
    <cfRule type="cellIs" dxfId="1" priority="4821" operator="greaterThan">
      <formula>120</formula>
    </cfRule>
    <cfRule type="containsText" dxfId="2" priority="3976" operator="between" text="库存为">
      <formula>NOT(ISERROR(SEARCH("库存为",AU445)))</formula>
    </cfRule>
  </conditionalFormatting>
  <conditionalFormatting sqref="AU446">
    <cfRule type="cellIs" dxfId="0" priority="5665" operator="lessThan">
      <formula>20</formula>
    </cfRule>
    <cfRule type="cellIs" dxfId="1" priority="4820" operator="greaterThan">
      <formula>120</formula>
    </cfRule>
    <cfRule type="containsText" dxfId="2" priority="3975" operator="between" text="库存为">
      <formula>NOT(ISERROR(SEARCH("库存为",AU446)))</formula>
    </cfRule>
  </conditionalFormatting>
  <conditionalFormatting sqref="AU447">
    <cfRule type="cellIs" dxfId="0" priority="5664" operator="lessThan">
      <formula>20</formula>
    </cfRule>
    <cfRule type="cellIs" dxfId="1" priority="4819" operator="greaterThan">
      <formula>120</formula>
    </cfRule>
    <cfRule type="containsText" dxfId="2" priority="3974" operator="between" text="库存为">
      <formula>NOT(ISERROR(SEARCH("库存为",AU447)))</formula>
    </cfRule>
  </conditionalFormatting>
  <conditionalFormatting sqref="AU448">
    <cfRule type="cellIs" dxfId="0" priority="5663" operator="lessThan">
      <formula>20</formula>
    </cfRule>
    <cfRule type="cellIs" dxfId="1" priority="4818" operator="greaterThan">
      <formula>120</formula>
    </cfRule>
    <cfRule type="containsText" dxfId="2" priority="3973" operator="between" text="库存为">
      <formula>NOT(ISERROR(SEARCH("库存为",AU448)))</formula>
    </cfRule>
  </conditionalFormatting>
  <conditionalFormatting sqref="AU449">
    <cfRule type="cellIs" dxfId="0" priority="5662" operator="lessThan">
      <formula>20</formula>
    </cfRule>
    <cfRule type="cellIs" dxfId="1" priority="4817" operator="greaterThan">
      <formula>120</formula>
    </cfRule>
    <cfRule type="containsText" dxfId="2" priority="3972" operator="between" text="库存为">
      <formula>NOT(ISERROR(SEARCH("库存为",AU449)))</formula>
    </cfRule>
  </conditionalFormatting>
  <conditionalFormatting sqref="AU450">
    <cfRule type="cellIs" dxfId="0" priority="5661" operator="lessThan">
      <formula>20</formula>
    </cfRule>
    <cfRule type="cellIs" dxfId="1" priority="4816" operator="greaterThan">
      <formula>120</formula>
    </cfRule>
    <cfRule type="containsText" dxfId="2" priority="3971" operator="between" text="库存为">
      <formula>NOT(ISERROR(SEARCH("库存为",AU450)))</formula>
    </cfRule>
  </conditionalFormatting>
  <conditionalFormatting sqref="AU451">
    <cfRule type="cellIs" dxfId="0" priority="5660" operator="lessThan">
      <formula>20</formula>
    </cfRule>
    <cfRule type="cellIs" dxfId="1" priority="4815" operator="greaterThan">
      <formula>120</formula>
    </cfRule>
    <cfRule type="containsText" dxfId="2" priority="3970" operator="between" text="库存为">
      <formula>NOT(ISERROR(SEARCH("库存为",AU451)))</formula>
    </cfRule>
  </conditionalFormatting>
  <conditionalFormatting sqref="AU452">
    <cfRule type="cellIs" dxfId="0" priority="5659" operator="lessThan">
      <formula>20</formula>
    </cfRule>
    <cfRule type="cellIs" dxfId="1" priority="4814" operator="greaterThan">
      <formula>120</formula>
    </cfRule>
    <cfRule type="containsText" dxfId="2" priority="3969" operator="between" text="库存为">
      <formula>NOT(ISERROR(SEARCH("库存为",AU452)))</formula>
    </cfRule>
  </conditionalFormatting>
  <conditionalFormatting sqref="AU453">
    <cfRule type="cellIs" dxfId="0" priority="5658" operator="lessThan">
      <formula>20</formula>
    </cfRule>
    <cfRule type="cellIs" dxfId="1" priority="4813" operator="greaterThan">
      <formula>120</formula>
    </cfRule>
    <cfRule type="containsText" dxfId="2" priority="3968" operator="between" text="库存为">
      <formula>NOT(ISERROR(SEARCH("库存为",AU453)))</formula>
    </cfRule>
  </conditionalFormatting>
  <conditionalFormatting sqref="AU454">
    <cfRule type="cellIs" dxfId="0" priority="5657" operator="lessThan">
      <formula>20</formula>
    </cfRule>
    <cfRule type="cellIs" dxfId="1" priority="4812" operator="greaterThan">
      <formula>120</formula>
    </cfRule>
    <cfRule type="containsText" dxfId="2" priority="3967" operator="between" text="库存为">
      <formula>NOT(ISERROR(SEARCH("库存为",AU454)))</formula>
    </cfRule>
  </conditionalFormatting>
  <conditionalFormatting sqref="AU455">
    <cfRule type="cellIs" dxfId="0" priority="5656" operator="lessThan">
      <formula>20</formula>
    </cfRule>
    <cfRule type="cellIs" dxfId="1" priority="4811" operator="greaterThan">
      <formula>120</formula>
    </cfRule>
    <cfRule type="containsText" dxfId="2" priority="3966" operator="between" text="库存为">
      <formula>NOT(ISERROR(SEARCH("库存为",AU455)))</formula>
    </cfRule>
  </conditionalFormatting>
  <conditionalFormatting sqref="AU456">
    <cfRule type="cellIs" dxfId="0" priority="5655" operator="lessThan">
      <formula>20</formula>
    </cfRule>
    <cfRule type="cellIs" dxfId="1" priority="4810" operator="greaterThan">
      <formula>120</formula>
    </cfRule>
    <cfRule type="containsText" dxfId="2" priority="3965" operator="between" text="库存为">
      <formula>NOT(ISERROR(SEARCH("库存为",AU456)))</formula>
    </cfRule>
  </conditionalFormatting>
  <conditionalFormatting sqref="AU457">
    <cfRule type="cellIs" dxfId="0" priority="5654" operator="lessThan">
      <formula>20</formula>
    </cfRule>
    <cfRule type="cellIs" dxfId="1" priority="4809" operator="greaterThan">
      <formula>120</formula>
    </cfRule>
    <cfRule type="containsText" dxfId="2" priority="3964" operator="between" text="库存为">
      <formula>NOT(ISERROR(SEARCH("库存为",AU457)))</formula>
    </cfRule>
  </conditionalFormatting>
  <conditionalFormatting sqref="AU458">
    <cfRule type="cellIs" dxfId="0" priority="5653" operator="lessThan">
      <formula>20</formula>
    </cfRule>
    <cfRule type="cellIs" dxfId="1" priority="4808" operator="greaterThan">
      <formula>120</formula>
    </cfRule>
    <cfRule type="containsText" dxfId="2" priority="3963" operator="between" text="库存为">
      <formula>NOT(ISERROR(SEARCH("库存为",AU458)))</formula>
    </cfRule>
  </conditionalFormatting>
  <conditionalFormatting sqref="AU459">
    <cfRule type="cellIs" dxfId="0" priority="5652" operator="lessThan">
      <formula>20</formula>
    </cfRule>
    <cfRule type="cellIs" dxfId="1" priority="4807" operator="greaterThan">
      <formula>120</formula>
    </cfRule>
    <cfRule type="containsText" dxfId="2" priority="3962" operator="between" text="库存为">
      <formula>NOT(ISERROR(SEARCH("库存为",AU459)))</formula>
    </cfRule>
  </conditionalFormatting>
  <conditionalFormatting sqref="AU460">
    <cfRule type="cellIs" dxfId="0" priority="5651" operator="lessThan">
      <formula>20</formula>
    </cfRule>
    <cfRule type="cellIs" dxfId="1" priority="4806" operator="greaterThan">
      <formula>120</formula>
    </cfRule>
    <cfRule type="containsText" dxfId="2" priority="3961" operator="between" text="库存为">
      <formula>NOT(ISERROR(SEARCH("库存为",AU460)))</formula>
    </cfRule>
  </conditionalFormatting>
  <conditionalFormatting sqref="AU461">
    <cfRule type="cellIs" dxfId="0" priority="5650" operator="lessThan">
      <formula>20</formula>
    </cfRule>
    <cfRule type="cellIs" dxfId="1" priority="4805" operator="greaterThan">
      <formula>120</formula>
    </cfRule>
    <cfRule type="containsText" dxfId="2" priority="3960" operator="between" text="库存为">
      <formula>NOT(ISERROR(SEARCH("库存为",AU461)))</formula>
    </cfRule>
  </conditionalFormatting>
  <conditionalFormatting sqref="AU462">
    <cfRule type="cellIs" dxfId="0" priority="5649" operator="lessThan">
      <formula>20</formula>
    </cfRule>
    <cfRule type="cellIs" dxfId="1" priority="4804" operator="greaterThan">
      <formula>120</formula>
    </cfRule>
    <cfRule type="containsText" dxfId="2" priority="3959" operator="between" text="库存为">
      <formula>NOT(ISERROR(SEARCH("库存为",AU462)))</formula>
    </cfRule>
  </conditionalFormatting>
  <conditionalFormatting sqref="AU463">
    <cfRule type="cellIs" dxfId="0" priority="5648" operator="lessThan">
      <formula>20</formula>
    </cfRule>
    <cfRule type="cellIs" dxfId="1" priority="4803" operator="greaterThan">
      <formula>120</formula>
    </cfRule>
    <cfRule type="containsText" dxfId="2" priority="3958" operator="between" text="库存为">
      <formula>NOT(ISERROR(SEARCH("库存为",AU463)))</formula>
    </cfRule>
  </conditionalFormatting>
  <conditionalFormatting sqref="AU464">
    <cfRule type="cellIs" dxfId="0" priority="5647" operator="lessThan">
      <formula>20</formula>
    </cfRule>
    <cfRule type="cellIs" dxfId="1" priority="4802" operator="greaterThan">
      <formula>120</formula>
    </cfRule>
    <cfRule type="containsText" dxfId="2" priority="3957" operator="between" text="库存为">
      <formula>NOT(ISERROR(SEARCH("库存为",AU464)))</formula>
    </cfRule>
  </conditionalFormatting>
  <conditionalFormatting sqref="AU465">
    <cfRule type="cellIs" dxfId="0" priority="5646" operator="lessThan">
      <formula>20</formula>
    </cfRule>
    <cfRule type="cellIs" dxfId="1" priority="4801" operator="greaterThan">
      <formula>120</formula>
    </cfRule>
    <cfRule type="containsText" dxfId="2" priority="3956" operator="between" text="库存为">
      <formula>NOT(ISERROR(SEARCH("库存为",AU465)))</formula>
    </cfRule>
  </conditionalFormatting>
  <conditionalFormatting sqref="AU466">
    <cfRule type="cellIs" dxfId="0" priority="5645" operator="lessThan">
      <formula>20</formula>
    </cfRule>
    <cfRule type="cellIs" dxfId="1" priority="4800" operator="greaterThan">
      <formula>120</formula>
    </cfRule>
    <cfRule type="containsText" dxfId="2" priority="3955" operator="between" text="库存为">
      <formula>NOT(ISERROR(SEARCH("库存为",AU466)))</formula>
    </cfRule>
  </conditionalFormatting>
  <conditionalFormatting sqref="AU467">
    <cfRule type="cellIs" dxfId="0" priority="5644" operator="lessThan">
      <formula>20</formula>
    </cfRule>
    <cfRule type="cellIs" dxfId="1" priority="4799" operator="greaterThan">
      <formula>120</formula>
    </cfRule>
    <cfRule type="containsText" dxfId="2" priority="3954" operator="between" text="库存为">
      <formula>NOT(ISERROR(SEARCH("库存为",AU467)))</formula>
    </cfRule>
  </conditionalFormatting>
  <conditionalFormatting sqref="AU468">
    <cfRule type="cellIs" dxfId="0" priority="5643" operator="lessThan">
      <formula>20</formula>
    </cfRule>
    <cfRule type="cellIs" dxfId="1" priority="4798" operator="greaterThan">
      <formula>120</formula>
    </cfRule>
    <cfRule type="containsText" dxfId="2" priority="3953" operator="between" text="库存为">
      <formula>NOT(ISERROR(SEARCH("库存为",AU468)))</formula>
    </cfRule>
  </conditionalFormatting>
  <conditionalFormatting sqref="AU469">
    <cfRule type="cellIs" dxfId="0" priority="5642" operator="lessThan">
      <formula>20</formula>
    </cfRule>
    <cfRule type="cellIs" dxfId="1" priority="4797" operator="greaterThan">
      <formula>120</formula>
    </cfRule>
    <cfRule type="containsText" dxfId="2" priority="3952" operator="between" text="库存为">
      <formula>NOT(ISERROR(SEARCH("库存为",AU469)))</formula>
    </cfRule>
  </conditionalFormatting>
  <conditionalFormatting sqref="AU470">
    <cfRule type="cellIs" dxfId="0" priority="5641" operator="lessThan">
      <formula>20</formula>
    </cfRule>
    <cfRule type="cellIs" dxfId="1" priority="4796" operator="greaterThan">
      <formula>120</formula>
    </cfRule>
    <cfRule type="containsText" dxfId="2" priority="3951" operator="between" text="库存为">
      <formula>NOT(ISERROR(SEARCH("库存为",AU470)))</formula>
    </cfRule>
  </conditionalFormatting>
  <conditionalFormatting sqref="AU471">
    <cfRule type="cellIs" dxfId="0" priority="5640" operator="lessThan">
      <formula>20</formula>
    </cfRule>
    <cfRule type="cellIs" dxfId="1" priority="4795" operator="greaterThan">
      <formula>120</formula>
    </cfRule>
    <cfRule type="containsText" dxfId="2" priority="3950" operator="between" text="库存为">
      <formula>NOT(ISERROR(SEARCH("库存为",AU471)))</formula>
    </cfRule>
  </conditionalFormatting>
  <conditionalFormatting sqref="AU472">
    <cfRule type="cellIs" dxfId="0" priority="5639" operator="lessThan">
      <formula>20</formula>
    </cfRule>
    <cfRule type="cellIs" dxfId="1" priority="4794" operator="greaterThan">
      <formula>120</formula>
    </cfRule>
    <cfRule type="containsText" dxfId="2" priority="3949" operator="between" text="库存为">
      <formula>NOT(ISERROR(SEARCH("库存为",AU472)))</formula>
    </cfRule>
  </conditionalFormatting>
  <conditionalFormatting sqref="AU473">
    <cfRule type="cellIs" dxfId="0" priority="5638" operator="lessThan">
      <formula>20</formula>
    </cfRule>
    <cfRule type="cellIs" dxfId="1" priority="4793" operator="greaterThan">
      <formula>120</formula>
    </cfRule>
    <cfRule type="containsText" dxfId="2" priority="3948" operator="between" text="库存为">
      <formula>NOT(ISERROR(SEARCH("库存为",AU473)))</formula>
    </cfRule>
  </conditionalFormatting>
  <conditionalFormatting sqref="AU474">
    <cfRule type="cellIs" dxfId="0" priority="5637" operator="lessThan">
      <formula>20</formula>
    </cfRule>
    <cfRule type="cellIs" dxfId="1" priority="4792" operator="greaterThan">
      <formula>120</formula>
    </cfRule>
    <cfRule type="containsText" dxfId="2" priority="3947" operator="between" text="库存为">
      <formula>NOT(ISERROR(SEARCH("库存为",AU474)))</formula>
    </cfRule>
  </conditionalFormatting>
  <conditionalFormatting sqref="AU475">
    <cfRule type="cellIs" dxfId="0" priority="5636" operator="lessThan">
      <formula>20</formula>
    </cfRule>
    <cfRule type="cellIs" dxfId="1" priority="4791" operator="greaterThan">
      <formula>120</formula>
    </cfRule>
    <cfRule type="containsText" dxfId="2" priority="3946" operator="between" text="库存为">
      <formula>NOT(ISERROR(SEARCH("库存为",AU475)))</formula>
    </cfRule>
  </conditionalFormatting>
  <conditionalFormatting sqref="AU476">
    <cfRule type="cellIs" dxfId="0" priority="5635" operator="lessThan">
      <formula>20</formula>
    </cfRule>
    <cfRule type="cellIs" dxfId="1" priority="4790" operator="greaterThan">
      <formula>120</formula>
    </cfRule>
    <cfRule type="containsText" dxfId="2" priority="3945" operator="between" text="库存为">
      <formula>NOT(ISERROR(SEARCH("库存为",AU476)))</formula>
    </cfRule>
  </conditionalFormatting>
  <conditionalFormatting sqref="AU477">
    <cfRule type="cellIs" dxfId="0" priority="5634" operator="lessThan">
      <formula>20</formula>
    </cfRule>
    <cfRule type="cellIs" dxfId="1" priority="4789" operator="greaterThan">
      <formula>120</formula>
    </cfRule>
    <cfRule type="containsText" dxfId="2" priority="3944" operator="between" text="库存为">
      <formula>NOT(ISERROR(SEARCH("库存为",AU477)))</formula>
    </cfRule>
  </conditionalFormatting>
  <conditionalFormatting sqref="AU478">
    <cfRule type="cellIs" dxfId="0" priority="5633" operator="lessThan">
      <formula>20</formula>
    </cfRule>
    <cfRule type="cellIs" dxfId="1" priority="4788" operator="greaterThan">
      <formula>120</formula>
    </cfRule>
    <cfRule type="containsText" dxfId="2" priority="3943" operator="between" text="库存为">
      <formula>NOT(ISERROR(SEARCH("库存为",AU478)))</formula>
    </cfRule>
  </conditionalFormatting>
  <conditionalFormatting sqref="AU479">
    <cfRule type="cellIs" dxfId="0" priority="5632" operator="lessThan">
      <formula>20</formula>
    </cfRule>
    <cfRule type="cellIs" dxfId="1" priority="4787" operator="greaterThan">
      <formula>120</formula>
    </cfRule>
    <cfRule type="containsText" dxfId="2" priority="3942" operator="between" text="库存为">
      <formula>NOT(ISERROR(SEARCH("库存为",AU479)))</formula>
    </cfRule>
  </conditionalFormatting>
  <conditionalFormatting sqref="AU480">
    <cfRule type="cellIs" dxfId="0" priority="5631" operator="lessThan">
      <formula>20</formula>
    </cfRule>
    <cfRule type="cellIs" dxfId="1" priority="4786" operator="greaterThan">
      <formula>120</formula>
    </cfRule>
    <cfRule type="containsText" dxfId="2" priority="3941" operator="between" text="库存为">
      <formula>NOT(ISERROR(SEARCH("库存为",AU480)))</formula>
    </cfRule>
  </conditionalFormatting>
  <conditionalFormatting sqref="AU481">
    <cfRule type="cellIs" dxfId="0" priority="5630" operator="lessThan">
      <formula>20</formula>
    </cfRule>
    <cfRule type="cellIs" dxfId="1" priority="4785" operator="greaterThan">
      <formula>120</formula>
    </cfRule>
    <cfRule type="containsText" dxfId="2" priority="3940" operator="between" text="库存为">
      <formula>NOT(ISERROR(SEARCH("库存为",AU481)))</formula>
    </cfRule>
  </conditionalFormatting>
  <conditionalFormatting sqref="AU482">
    <cfRule type="cellIs" dxfId="0" priority="5629" operator="lessThan">
      <formula>20</formula>
    </cfRule>
    <cfRule type="cellIs" dxfId="1" priority="4784" operator="greaterThan">
      <formula>120</formula>
    </cfRule>
    <cfRule type="containsText" dxfId="2" priority="3939" operator="between" text="库存为">
      <formula>NOT(ISERROR(SEARCH("库存为",AU482)))</formula>
    </cfRule>
  </conditionalFormatting>
  <conditionalFormatting sqref="AU483">
    <cfRule type="cellIs" dxfId="0" priority="5628" operator="lessThan">
      <formula>20</formula>
    </cfRule>
    <cfRule type="cellIs" dxfId="1" priority="4783" operator="greaterThan">
      <formula>120</formula>
    </cfRule>
    <cfRule type="containsText" dxfId="2" priority="3938" operator="between" text="库存为">
      <formula>NOT(ISERROR(SEARCH("库存为",AU483)))</formula>
    </cfRule>
  </conditionalFormatting>
  <conditionalFormatting sqref="AU484">
    <cfRule type="cellIs" dxfId="0" priority="5627" operator="lessThan">
      <formula>20</formula>
    </cfRule>
    <cfRule type="cellIs" dxfId="1" priority="4782" operator="greaterThan">
      <formula>120</formula>
    </cfRule>
    <cfRule type="containsText" dxfId="2" priority="3937" operator="between" text="库存为">
      <formula>NOT(ISERROR(SEARCH("库存为",AU484)))</formula>
    </cfRule>
  </conditionalFormatting>
  <conditionalFormatting sqref="AU485">
    <cfRule type="cellIs" dxfId="0" priority="5626" operator="lessThan">
      <formula>20</formula>
    </cfRule>
    <cfRule type="cellIs" dxfId="1" priority="4781" operator="greaterThan">
      <formula>120</formula>
    </cfRule>
    <cfRule type="containsText" dxfId="2" priority="3936" operator="between" text="库存为">
      <formula>NOT(ISERROR(SEARCH("库存为",AU485)))</formula>
    </cfRule>
  </conditionalFormatting>
  <conditionalFormatting sqref="AU486">
    <cfRule type="cellIs" dxfId="0" priority="5625" operator="lessThan">
      <formula>20</formula>
    </cfRule>
    <cfRule type="cellIs" dxfId="1" priority="4780" operator="greaterThan">
      <formula>120</formula>
    </cfRule>
    <cfRule type="containsText" dxfId="2" priority="3935" operator="between" text="库存为">
      <formula>NOT(ISERROR(SEARCH("库存为",AU486)))</formula>
    </cfRule>
  </conditionalFormatting>
  <conditionalFormatting sqref="AU487">
    <cfRule type="cellIs" dxfId="0" priority="5624" operator="lessThan">
      <formula>20</formula>
    </cfRule>
    <cfRule type="cellIs" dxfId="1" priority="4779" operator="greaterThan">
      <formula>120</formula>
    </cfRule>
    <cfRule type="containsText" dxfId="2" priority="3934" operator="between" text="库存为">
      <formula>NOT(ISERROR(SEARCH("库存为",AU487)))</formula>
    </cfRule>
  </conditionalFormatting>
  <conditionalFormatting sqref="AU488">
    <cfRule type="cellIs" dxfId="0" priority="5623" operator="lessThan">
      <formula>20</formula>
    </cfRule>
    <cfRule type="cellIs" dxfId="1" priority="4778" operator="greaterThan">
      <formula>120</formula>
    </cfRule>
    <cfRule type="containsText" dxfId="2" priority="3933" operator="between" text="库存为">
      <formula>NOT(ISERROR(SEARCH("库存为",AU488)))</formula>
    </cfRule>
  </conditionalFormatting>
  <conditionalFormatting sqref="AU489">
    <cfRule type="cellIs" dxfId="0" priority="5622" operator="lessThan">
      <formula>20</formula>
    </cfRule>
    <cfRule type="cellIs" dxfId="1" priority="4777" operator="greaterThan">
      <formula>120</formula>
    </cfRule>
    <cfRule type="containsText" dxfId="2" priority="3932" operator="between" text="库存为">
      <formula>NOT(ISERROR(SEARCH("库存为",AU489)))</formula>
    </cfRule>
  </conditionalFormatting>
  <conditionalFormatting sqref="AU490">
    <cfRule type="cellIs" dxfId="0" priority="5621" operator="lessThan">
      <formula>20</formula>
    </cfRule>
    <cfRule type="cellIs" dxfId="1" priority="4776" operator="greaterThan">
      <formula>120</formula>
    </cfRule>
    <cfRule type="containsText" dxfId="2" priority="3931" operator="between" text="库存为">
      <formula>NOT(ISERROR(SEARCH("库存为",AU490)))</formula>
    </cfRule>
  </conditionalFormatting>
  <conditionalFormatting sqref="AU491">
    <cfRule type="cellIs" dxfId="0" priority="5620" operator="lessThan">
      <formula>20</formula>
    </cfRule>
    <cfRule type="cellIs" dxfId="1" priority="4775" operator="greaterThan">
      <formula>120</formula>
    </cfRule>
    <cfRule type="containsText" dxfId="2" priority="3930" operator="between" text="库存为">
      <formula>NOT(ISERROR(SEARCH("库存为",AU491)))</formula>
    </cfRule>
  </conditionalFormatting>
  <conditionalFormatting sqref="AU492">
    <cfRule type="cellIs" dxfId="0" priority="5619" operator="lessThan">
      <formula>20</formula>
    </cfRule>
    <cfRule type="cellIs" dxfId="1" priority="4774" operator="greaterThan">
      <formula>120</formula>
    </cfRule>
    <cfRule type="containsText" dxfId="2" priority="3929" operator="between" text="库存为">
      <formula>NOT(ISERROR(SEARCH("库存为",AU492)))</formula>
    </cfRule>
  </conditionalFormatting>
  <conditionalFormatting sqref="AU493">
    <cfRule type="cellIs" dxfId="0" priority="5618" operator="lessThan">
      <formula>20</formula>
    </cfRule>
    <cfRule type="cellIs" dxfId="1" priority="4773" operator="greaterThan">
      <formula>120</formula>
    </cfRule>
    <cfRule type="containsText" dxfId="2" priority="3928" operator="between" text="库存为">
      <formula>NOT(ISERROR(SEARCH("库存为",AU493)))</formula>
    </cfRule>
  </conditionalFormatting>
  <conditionalFormatting sqref="AU494">
    <cfRule type="cellIs" dxfId="0" priority="5617" operator="lessThan">
      <formula>20</formula>
    </cfRule>
    <cfRule type="cellIs" dxfId="1" priority="4772" operator="greaterThan">
      <formula>120</formula>
    </cfRule>
    <cfRule type="containsText" dxfId="2" priority="3927" operator="between" text="库存为">
      <formula>NOT(ISERROR(SEARCH("库存为",AU494)))</formula>
    </cfRule>
  </conditionalFormatting>
  <conditionalFormatting sqref="AU495">
    <cfRule type="cellIs" dxfId="0" priority="5616" operator="lessThan">
      <formula>20</formula>
    </cfRule>
    <cfRule type="cellIs" dxfId="1" priority="4771" operator="greaterThan">
      <formula>120</formula>
    </cfRule>
    <cfRule type="containsText" dxfId="2" priority="3926" operator="between" text="库存为">
      <formula>NOT(ISERROR(SEARCH("库存为",AU495)))</formula>
    </cfRule>
  </conditionalFormatting>
  <conditionalFormatting sqref="AU496">
    <cfRule type="cellIs" dxfId="0" priority="5615" operator="lessThan">
      <formula>20</formula>
    </cfRule>
    <cfRule type="cellIs" dxfId="1" priority="4770" operator="greaterThan">
      <formula>120</formula>
    </cfRule>
    <cfRule type="containsText" dxfId="2" priority="3925" operator="between" text="库存为">
      <formula>NOT(ISERROR(SEARCH("库存为",AU496)))</formula>
    </cfRule>
  </conditionalFormatting>
  <conditionalFormatting sqref="AU497">
    <cfRule type="cellIs" dxfId="0" priority="5614" operator="lessThan">
      <formula>20</formula>
    </cfRule>
    <cfRule type="cellIs" dxfId="1" priority="4769" operator="greaterThan">
      <formula>120</formula>
    </cfRule>
    <cfRule type="containsText" dxfId="2" priority="3924" operator="between" text="库存为">
      <formula>NOT(ISERROR(SEARCH("库存为",AU497)))</formula>
    </cfRule>
  </conditionalFormatting>
  <conditionalFormatting sqref="AU498">
    <cfRule type="cellIs" dxfId="0" priority="5613" operator="lessThan">
      <formula>20</formula>
    </cfRule>
    <cfRule type="cellIs" dxfId="1" priority="4768" operator="greaterThan">
      <formula>120</formula>
    </cfRule>
    <cfRule type="containsText" dxfId="2" priority="3923" operator="between" text="库存为">
      <formula>NOT(ISERROR(SEARCH("库存为",AU498)))</formula>
    </cfRule>
  </conditionalFormatting>
  <conditionalFormatting sqref="AU499">
    <cfRule type="cellIs" dxfId="0" priority="5612" operator="lessThan">
      <formula>20</formula>
    </cfRule>
    <cfRule type="cellIs" dxfId="1" priority="4767" operator="greaterThan">
      <formula>120</formula>
    </cfRule>
    <cfRule type="containsText" dxfId="2" priority="3922" operator="between" text="库存为">
      <formula>NOT(ISERROR(SEARCH("库存为",AU499)))</formula>
    </cfRule>
  </conditionalFormatting>
  <conditionalFormatting sqref="AU500">
    <cfRule type="cellIs" dxfId="0" priority="5611" operator="lessThan">
      <formula>20</formula>
    </cfRule>
    <cfRule type="cellIs" dxfId="1" priority="4766" operator="greaterThan">
      <formula>120</formula>
    </cfRule>
    <cfRule type="containsText" dxfId="2" priority="3921" operator="between" text="库存为">
      <formula>NOT(ISERROR(SEARCH("库存为",AU500)))</formula>
    </cfRule>
  </conditionalFormatting>
  <conditionalFormatting sqref="AU501">
    <cfRule type="cellIs" dxfId="0" priority="5610" operator="lessThan">
      <formula>20</formula>
    </cfRule>
    <cfRule type="cellIs" dxfId="1" priority="4765" operator="greaterThan">
      <formula>120</formula>
    </cfRule>
    <cfRule type="containsText" dxfId="2" priority="3920" operator="between" text="库存为">
      <formula>NOT(ISERROR(SEARCH("库存为",AU501)))</formula>
    </cfRule>
  </conditionalFormatting>
  <conditionalFormatting sqref="AU502">
    <cfRule type="cellIs" dxfId="0" priority="5609" operator="lessThan">
      <formula>20</formula>
    </cfRule>
    <cfRule type="cellIs" dxfId="1" priority="4764" operator="greaterThan">
      <formula>120</formula>
    </cfRule>
    <cfRule type="containsText" dxfId="2" priority="3919" operator="between" text="库存为">
      <formula>NOT(ISERROR(SEARCH("库存为",AU502)))</formula>
    </cfRule>
  </conditionalFormatting>
  <conditionalFormatting sqref="AU503">
    <cfRule type="cellIs" dxfId="0" priority="5608" operator="lessThan">
      <formula>20</formula>
    </cfRule>
    <cfRule type="cellIs" dxfId="1" priority="4763" operator="greaterThan">
      <formula>120</formula>
    </cfRule>
    <cfRule type="containsText" dxfId="2" priority="3918" operator="between" text="库存为">
      <formula>NOT(ISERROR(SEARCH("库存为",AU503)))</formula>
    </cfRule>
  </conditionalFormatting>
  <conditionalFormatting sqref="AU504">
    <cfRule type="cellIs" dxfId="0" priority="5607" operator="lessThan">
      <formula>20</formula>
    </cfRule>
    <cfRule type="cellIs" dxfId="1" priority="4762" operator="greaterThan">
      <formula>120</formula>
    </cfRule>
    <cfRule type="containsText" dxfId="2" priority="3917" operator="between" text="库存为">
      <formula>NOT(ISERROR(SEARCH("库存为",AU504)))</formula>
    </cfRule>
  </conditionalFormatting>
  <conditionalFormatting sqref="AU505">
    <cfRule type="cellIs" dxfId="0" priority="5606" operator="lessThan">
      <formula>20</formula>
    </cfRule>
    <cfRule type="cellIs" dxfId="1" priority="4761" operator="greaterThan">
      <formula>120</formula>
    </cfRule>
    <cfRule type="containsText" dxfId="2" priority="3916" operator="between" text="库存为">
      <formula>NOT(ISERROR(SEARCH("库存为",AU505)))</formula>
    </cfRule>
  </conditionalFormatting>
  <conditionalFormatting sqref="AU506">
    <cfRule type="cellIs" dxfId="0" priority="5605" operator="lessThan">
      <formula>20</formula>
    </cfRule>
    <cfRule type="cellIs" dxfId="1" priority="4760" operator="greaterThan">
      <formula>120</formula>
    </cfRule>
    <cfRule type="containsText" dxfId="2" priority="3915" operator="between" text="库存为">
      <formula>NOT(ISERROR(SEARCH("库存为",AU506)))</formula>
    </cfRule>
  </conditionalFormatting>
  <conditionalFormatting sqref="AU507">
    <cfRule type="cellIs" dxfId="0" priority="5604" operator="lessThan">
      <formula>20</formula>
    </cfRule>
    <cfRule type="cellIs" dxfId="1" priority="4759" operator="greaterThan">
      <formula>120</formula>
    </cfRule>
    <cfRule type="containsText" dxfId="2" priority="3914" operator="between" text="库存为">
      <formula>NOT(ISERROR(SEARCH("库存为",AU507)))</formula>
    </cfRule>
  </conditionalFormatting>
  <conditionalFormatting sqref="AU508">
    <cfRule type="cellIs" dxfId="0" priority="5603" operator="lessThan">
      <formula>20</formula>
    </cfRule>
    <cfRule type="cellIs" dxfId="1" priority="4758" operator="greaterThan">
      <formula>120</formula>
    </cfRule>
    <cfRule type="containsText" dxfId="2" priority="3913" operator="between" text="库存为">
      <formula>NOT(ISERROR(SEARCH("库存为",AU508)))</formula>
    </cfRule>
  </conditionalFormatting>
  <conditionalFormatting sqref="AU509">
    <cfRule type="cellIs" dxfId="0" priority="5602" operator="lessThan">
      <formula>20</formula>
    </cfRule>
    <cfRule type="cellIs" dxfId="1" priority="4757" operator="greaterThan">
      <formula>120</formula>
    </cfRule>
    <cfRule type="containsText" dxfId="2" priority="3912" operator="between" text="库存为">
      <formula>NOT(ISERROR(SEARCH("库存为",AU509)))</formula>
    </cfRule>
  </conditionalFormatting>
  <conditionalFormatting sqref="AU510">
    <cfRule type="cellIs" dxfId="0" priority="5601" operator="lessThan">
      <formula>20</formula>
    </cfRule>
    <cfRule type="cellIs" dxfId="1" priority="4756" operator="greaterThan">
      <formula>120</formula>
    </cfRule>
    <cfRule type="containsText" dxfId="2" priority="3911" operator="between" text="库存为">
      <formula>NOT(ISERROR(SEARCH("库存为",AU510)))</formula>
    </cfRule>
  </conditionalFormatting>
  <conditionalFormatting sqref="AU511">
    <cfRule type="cellIs" dxfId="0" priority="5600" operator="lessThan">
      <formula>20</formula>
    </cfRule>
    <cfRule type="cellIs" dxfId="1" priority="4755" operator="greaterThan">
      <formula>120</formula>
    </cfRule>
    <cfRule type="containsText" dxfId="2" priority="3910" operator="between" text="库存为">
      <formula>NOT(ISERROR(SEARCH("库存为",AU511)))</formula>
    </cfRule>
  </conditionalFormatting>
  <conditionalFormatting sqref="AU512">
    <cfRule type="cellIs" dxfId="0" priority="5599" operator="lessThan">
      <formula>20</formula>
    </cfRule>
    <cfRule type="cellIs" dxfId="1" priority="4754" operator="greaterThan">
      <formula>120</formula>
    </cfRule>
    <cfRule type="containsText" dxfId="2" priority="3909" operator="between" text="库存为">
      <formula>NOT(ISERROR(SEARCH("库存为",AU512)))</formula>
    </cfRule>
  </conditionalFormatting>
  <conditionalFormatting sqref="AU513">
    <cfRule type="cellIs" dxfId="0" priority="5598" operator="lessThan">
      <formula>20</formula>
    </cfRule>
    <cfRule type="cellIs" dxfId="1" priority="4753" operator="greaterThan">
      <formula>120</formula>
    </cfRule>
    <cfRule type="containsText" dxfId="2" priority="3908" operator="between" text="库存为">
      <formula>NOT(ISERROR(SEARCH("库存为",AU513)))</formula>
    </cfRule>
  </conditionalFormatting>
  <conditionalFormatting sqref="AU514">
    <cfRule type="cellIs" dxfId="0" priority="5597" operator="lessThan">
      <formula>20</formula>
    </cfRule>
    <cfRule type="cellIs" dxfId="1" priority="4752" operator="greaterThan">
      <formula>120</formula>
    </cfRule>
    <cfRule type="containsText" dxfId="2" priority="3907" operator="between" text="库存为">
      <formula>NOT(ISERROR(SEARCH("库存为",AU514)))</formula>
    </cfRule>
  </conditionalFormatting>
  <conditionalFormatting sqref="AU515">
    <cfRule type="cellIs" dxfId="0" priority="5596" operator="lessThan">
      <formula>20</formula>
    </cfRule>
    <cfRule type="cellIs" dxfId="1" priority="4751" operator="greaterThan">
      <formula>120</formula>
    </cfRule>
    <cfRule type="containsText" dxfId="2" priority="3906" operator="between" text="库存为">
      <formula>NOT(ISERROR(SEARCH("库存为",AU515)))</formula>
    </cfRule>
  </conditionalFormatting>
  <conditionalFormatting sqref="AU516">
    <cfRule type="cellIs" dxfId="0" priority="5595" operator="lessThan">
      <formula>20</formula>
    </cfRule>
    <cfRule type="cellIs" dxfId="1" priority="4750" operator="greaterThan">
      <formula>120</formula>
    </cfRule>
    <cfRule type="containsText" dxfId="2" priority="3905" operator="between" text="库存为">
      <formula>NOT(ISERROR(SEARCH("库存为",AU516)))</formula>
    </cfRule>
  </conditionalFormatting>
  <conditionalFormatting sqref="AU517">
    <cfRule type="cellIs" dxfId="0" priority="5594" operator="lessThan">
      <formula>20</formula>
    </cfRule>
    <cfRule type="cellIs" dxfId="1" priority="4749" operator="greaterThan">
      <formula>120</formula>
    </cfRule>
    <cfRule type="containsText" dxfId="2" priority="3904" operator="between" text="库存为">
      <formula>NOT(ISERROR(SEARCH("库存为",AU517)))</formula>
    </cfRule>
  </conditionalFormatting>
  <conditionalFormatting sqref="AU518">
    <cfRule type="cellIs" dxfId="0" priority="5593" operator="lessThan">
      <formula>20</formula>
    </cfRule>
    <cfRule type="cellIs" dxfId="1" priority="4748" operator="greaterThan">
      <formula>120</formula>
    </cfRule>
    <cfRule type="containsText" dxfId="2" priority="3903" operator="between" text="库存为">
      <formula>NOT(ISERROR(SEARCH("库存为",AU518)))</formula>
    </cfRule>
  </conditionalFormatting>
  <conditionalFormatting sqref="AU519">
    <cfRule type="cellIs" dxfId="0" priority="5592" operator="lessThan">
      <formula>20</formula>
    </cfRule>
    <cfRule type="cellIs" dxfId="1" priority="4747" operator="greaterThan">
      <formula>120</formula>
    </cfRule>
    <cfRule type="containsText" dxfId="2" priority="3902" operator="between" text="库存为">
      <formula>NOT(ISERROR(SEARCH("库存为",AU519)))</formula>
    </cfRule>
  </conditionalFormatting>
  <conditionalFormatting sqref="AU520">
    <cfRule type="cellIs" dxfId="0" priority="5591" operator="lessThan">
      <formula>20</formula>
    </cfRule>
    <cfRule type="cellIs" dxfId="1" priority="4746" operator="greaterThan">
      <formula>120</formula>
    </cfRule>
    <cfRule type="containsText" dxfId="2" priority="3901" operator="between" text="库存为">
      <formula>NOT(ISERROR(SEARCH("库存为",AU520)))</formula>
    </cfRule>
  </conditionalFormatting>
  <conditionalFormatting sqref="AU521">
    <cfRule type="cellIs" dxfId="0" priority="5590" operator="lessThan">
      <formula>20</formula>
    </cfRule>
    <cfRule type="cellIs" dxfId="1" priority="4745" operator="greaterThan">
      <formula>120</formula>
    </cfRule>
    <cfRule type="containsText" dxfId="2" priority="3900" operator="between" text="库存为">
      <formula>NOT(ISERROR(SEARCH("库存为",AU521)))</formula>
    </cfRule>
  </conditionalFormatting>
  <conditionalFormatting sqref="AU522">
    <cfRule type="cellIs" dxfId="0" priority="5589" operator="lessThan">
      <formula>20</formula>
    </cfRule>
    <cfRule type="cellIs" dxfId="1" priority="4744" operator="greaterThan">
      <formula>120</formula>
    </cfRule>
    <cfRule type="containsText" dxfId="2" priority="3899" operator="between" text="库存为">
      <formula>NOT(ISERROR(SEARCH("库存为",AU522)))</formula>
    </cfRule>
  </conditionalFormatting>
  <conditionalFormatting sqref="AU523">
    <cfRule type="cellIs" dxfId="0" priority="5588" operator="lessThan">
      <formula>20</formula>
    </cfRule>
    <cfRule type="cellIs" dxfId="1" priority="4743" operator="greaterThan">
      <formula>120</formula>
    </cfRule>
    <cfRule type="containsText" dxfId="2" priority="3898" operator="between" text="库存为">
      <formula>NOT(ISERROR(SEARCH("库存为",AU523)))</formula>
    </cfRule>
  </conditionalFormatting>
  <conditionalFormatting sqref="AU524">
    <cfRule type="cellIs" dxfId="0" priority="5587" operator="lessThan">
      <formula>20</formula>
    </cfRule>
    <cfRule type="cellIs" dxfId="1" priority="4742" operator="greaterThan">
      <formula>120</formula>
    </cfRule>
    <cfRule type="containsText" dxfId="2" priority="3897" operator="between" text="库存为">
      <formula>NOT(ISERROR(SEARCH("库存为",AU524)))</formula>
    </cfRule>
  </conditionalFormatting>
  <conditionalFormatting sqref="AU525">
    <cfRule type="cellIs" dxfId="0" priority="5586" operator="lessThan">
      <formula>20</formula>
    </cfRule>
    <cfRule type="cellIs" dxfId="1" priority="4741" operator="greaterThan">
      <formula>120</formula>
    </cfRule>
    <cfRule type="containsText" dxfId="2" priority="3896" operator="between" text="库存为">
      <formula>NOT(ISERROR(SEARCH("库存为",AU525)))</formula>
    </cfRule>
  </conditionalFormatting>
  <conditionalFormatting sqref="AU526">
    <cfRule type="cellIs" dxfId="0" priority="5585" operator="lessThan">
      <formula>20</formula>
    </cfRule>
    <cfRule type="cellIs" dxfId="1" priority="4740" operator="greaterThan">
      <formula>120</formula>
    </cfRule>
    <cfRule type="containsText" dxfId="2" priority="3895" operator="between" text="库存为">
      <formula>NOT(ISERROR(SEARCH("库存为",AU526)))</formula>
    </cfRule>
  </conditionalFormatting>
  <conditionalFormatting sqref="AU527">
    <cfRule type="cellIs" dxfId="0" priority="5584" operator="lessThan">
      <formula>20</formula>
    </cfRule>
    <cfRule type="cellIs" dxfId="1" priority="4739" operator="greaterThan">
      <formula>120</formula>
    </cfRule>
    <cfRule type="containsText" dxfId="2" priority="3894" operator="between" text="库存为">
      <formula>NOT(ISERROR(SEARCH("库存为",AU527)))</formula>
    </cfRule>
  </conditionalFormatting>
  <conditionalFormatting sqref="AU528">
    <cfRule type="cellIs" dxfId="0" priority="5583" operator="lessThan">
      <formula>20</formula>
    </cfRule>
    <cfRule type="cellIs" dxfId="1" priority="4738" operator="greaterThan">
      <formula>120</formula>
    </cfRule>
    <cfRule type="containsText" dxfId="2" priority="3893" operator="between" text="库存为">
      <formula>NOT(ISERROR(SEARCH("库存为",AU528)))</formula>
    </cfRule>
  </conditionalFormatting>
  <conditionalFormatting sqref="AU529">
    <cfRule type="cellIs" dxfId="0" priority="5582" operator="lessThan">
      <formula>20</formula>
    </cfRule>
    <cfRule type="cellIs" dxfId="1" priority="4737" operator="greaterThan">
      <formula>120</formula>
    </cfRule>
    <cfRule type="containsText" dxfId="2" priority="3892" operator="between" text="库存为">
      <formula>NOT(ISERROR(SEARCH("库存为",AU529)))</formula>
    </cfRule>
  </conditionalFormatting>
  <conditionalFormatting sqref="AU530">
    <cfRule type="cellIs" dxfId="0" priority="5581" operator="lessThan">
      <formula>20</formula>
    </cfRule>
    <cfRule type="cellIs" dxfId="1" priority="4736" operator="greaterThan">
      <formula>120</formula>
    </cfRule>
    <cfRule type="containsText" dxfId="2" priority="3891" operator="between" text="库存为">
      <formula>NOT(ISERROR(SEARCH("库存为",AU530)))</formula>
    </cfRule>
  </conditionalFormatting>
  <conditionalFormatting sqref="AU531">
    <cfRule type="cellIs" dxfId="0" priority="5580" operator="lessThan">
      <formula>20</formula>
    </cfRule>
    <cfRule type="cellIs" dxfId="1" priority="4735" operator="greaterThan">
      <formula>120</formula>
    </cfRule>
    <cfRule type="containsText" dxfId="2" priority="3890" operator="between" text="库存为">
      <formula>NOT(ISERROR(SEARCH("库存为",AU531)))</formula>
    </cfRule>
  </conditionalFormatting>
  <conditionalFormatting sqref="AU532">
    <cfRule type="cellIs" dxfId="0" priority="5579" operator="lessThan">
      <formula>20</formula>
    </cfRule>
    <cfRule type="cellIs" dxfId="1" priority="4734" operator="greaterThan">
      <formula>120</formula>
    </cfRule>
    <cfRule type="containsText" dxfId="2" priority="3889" operator="between" text="库存为">
      <formula>NOT(ISERROR(SEARCH("库存为",AU532)))</formula>
    </cfRule>
  </conditionalFormatting>
  <conditionalFormatting sqref="AU533">
    <cfRule type="cellIs" dxfId="0" priority="5578" operator="lessThan">
      <formula>20</formula>
    </cfRule>
    <cfRule type="cellIs" dxfId="1" priority="4733" operator="greaterThan">
      <formula>120</formula>
    </cfRule>
    <cfRule type="containsText" dxfId="2" priority="3888" operator="between" text="库存为">
      <formula>NOT(ISERROR(SEARCH("库存为",AU533)))</formula>
    </cfRule>
  </conditionalFormatting>
  <conditionalFormatting sqref="AU534">
    <cfRule type="cellIs" dxfId="0" priority="5577" operator="lessThan">
      <formula>20</formula>
    </cfRule>
    <cfRule type="cellIs" dxfId="1" priority="4732" operator="greaterThan">
      <formula>120</formula>
    </cfRule>
    <cfRule type="containsText" dxfId="2" priority="3887" operator="between" text="库存为">
      <formula>NOT(ISERROR(SEARCH("库存为",AU534)))</formula>
    </cfRule>
  </conditionalFormatting>
  <conditionalFormatting sqref="AU535">
    <cfRule type="cellIs" dxfId="0" priority="5576" operator="lessThan">
      <formula>20</formula>
    </cfRule>
    <cfRule type="cellIs" dxfId="1" priority="4731" operator="greaterThan">
      <formula>120</formula>
    </cfRule>
    <cfRule type="containsText" dxfId="2" priority="3886" operator="between" text="库存为">
      <formula>NOT(ISERROR(SEARCH("库存为",AU535)))</formula>
    </cfRule>
  </conditionalFormatting>
  <conditionalFormatting sqref="AU536">
    <cfRule type="cellIs" dxfId="0" priority="5575" operator="lessThan">
      <formula>20</formula>
    </cfRule>
    <cfRule type="cellIs" dxfId="1" priority="4730" operator="greaterThan">
      <formula>120</formula>
    </cfRule>
    <cfRule type="containsText" dxfId="2" priority="3885" operator="between" text="库存为">
      <formula>NOT(ISERROR(SEARCH("库存为",AU536)))</formula>
    </cfRule>
  </conditionalFormatting>
  <conditionalFormatting sqref="AU537">
    <cfRule type="cellIs" dxfId="0" priority="5574" operator="lessThan">
      <formula>20</formula>
    </cfRule>
    <cfRule type="cellIs" dxfId="1" priority="4729" operator="greaterThan">
      <formula>120</formula>
    </cfRule>
    <cfRule type="containsText" dxfId="2" priority="3884" operator="between" text="库存为">
      <formula>NOT(ISERROR(SEARCH("库存为",AU537)))</formula>
    </cfRule>
  </conditionalFormatting>
  <conditionalFormatting sqref="AU538">
    <cfRule type="cellIs" dxfId="0" priority="5573" operator="lessThan">
      <formula>20</formula>
    </cfRule>
    <cfRule type="cellIs" dxfId="1" priority="4728" operator="greaterThan">
      <formula>120</formula>
    </cfRule>
    <cfRule type="containsText" dxfId="2" priority="3883" operator="between" text="库存为">
      <formula>NOT(ISERROR(SEARCH("库存为",AU538)))</formula>
    </cfRule>
  </conditionalFormatting>
  <conditionalFormatting sqref="AU539">
    <cfRule type="cellIs" dxfId="0" priority="5572" operator="lessThan">
      <formula>20</formula>
    </cfRule>
    <cfRule type="cellIs" dxfId="1" priority="4727" operator="greaterThan">
      <formula>120</formula>
    </cfRule>
    <cfRule type="containsText" dxfId="2" priority="3882" operator="between" text="库存为">
      <formula>NOT(ISERROR(SEARCH("库存为",AU539)))</formula>
    </cfRule>
  </conditionalFormatting>
  <conditionalFormatting sqref="AU540">
    <cfRule type="cellIs" dxfId="0" priority="5571" operator="lessThan">
      <formula>20</formula>
    </cfRule>
    <cfRule type="cellIs" dxfId="1" priority="4726" operator="greaterThan">
      <formula>120</formula>
    </cfRule>
    <cfRule type="containsText" dxfId="2" priority="3881" operator="between" text="库存为">
      <formula>NOT(ISERROR(SEARCH("库存为",AU540)))</formula>
    </cfRule>
  </conditionalFormatting>
  <conditionalFormatting sqref="AU541">
    <cfRule type="cellIs" dxfId="0" priority="5570" operator="lessThan">
      <formula>20</formula>
    </cfRule>
    <cfRule type="cellIs" dxfId="1" priority="4725" operator="greaterThan">
      <formula>120</formula>
    </cfRule>
    <cfRule type="containsText" dxfId="2" priority="3880" operator="between" text="库存为">
      <formula>NOT(ISERROR(SEARCH("库存为",AU541)))</formula>
    </cfRule>
  </conditionalFormatting>
  <conditionalFormatting sqref="AU542">
    <cfRule type="cellIs" dxfId="0" priority="5569" operator="lessThan">
      <formula>20</formula>
    </cfRule>
    <cfRule type="cellIs" dxfId="1" priority="4724" operator="greaterThan">
      <formula>120</formula>
    </cfRule>
    <cfRule type="containsText" dxfId="2" priority="3879" operator="between" text="库存为">
      <formula>NOT(ISERROR(SEARCH("库存为",AU542)))</formula>
    </cfRule>
  </conditionalFormatting>
  <conditionalFormatting sqref="AU543">
    <cfRule type="cellIs" dxfId="0" priority="5568" operator="lessThan">
      <formula>20</formula>
    </cfRule>
    <cfRule type="cellIs" dxfId="1" priority="4723" operator="greaterThan">
      <formula>120</formula>
    </cfRule>
    <cfRule type="containsText" dxfId="2" priority="3878" operator="between" text="库存为">
      <formula>NOT(ISERROR(SEARCH("库存为",AU543)))</formula>
    </cfRule>
  </conditionalFormatting>
  <conditionalFormatting sqref="AU544">
    <cfRule type="cellIs" dxfId="0" priority="5567" operator="lessThan">
      <formula>20</formula>
    </cfRule>
    <cfRule type="cellIs" dxfId="1" priority="4722" operator="greaterThan">
      <formula>120</formula>
    </cfRule>
    <cfRule type="containsText" dxfId="2" priority="3877" operator="between" text="库存为">
      <formula>NOT(ISERROR(SEARCH("库存为",AU544)))</formula>
    </cfRule>
  </conditionalFormatting>
  <conditionalFormatting sqref="AU545">
    <cfRule type="cellIs" dxfId="0" priority="5566" operator="lessThan">
      <formula>20</formula>
    </cfRule>
    <cfRule type="cellIs" dxfId="1" priority="4721" operator="greaterThan">
      <formula>120</formula>
    </cfRule>
    <cfRule type="containsText" dxfId="2" priority="3876" operator="between" text="库存为">
      <formula>NOT(ISERROR(SEARCH("库存为",AU545)))</formula>
    </cfRule>
  </conditionalFormatting>
  <conditionalFormatting sqref="AU546">
    <cfRule type="cellIs" dxfId="0" priority="5565" operator="lessThan">
      <formula>20</formula>
    </cfRule>
    <cfRule type="cellIs" dxfId="1" priority="4720" operator="greaterThan">
      <formula>120</formula>
    </cfRule>
    <cfRule type="containsText" dxfId="2" priority="3875" operator="between" text="库存为">
      <formula>NOT(ISERROR(SEARCH("库存为",AU546)))</formula>
    </cfRule>
  </conditionalFormatting>
  <conditionalFormatting sqref="AU547">
    <cfRule type="cellIs" dxfId="0" priority="5564" operator="lessThan">
      <formula>20</formula>
    </cfRule>
    <cfRule type="cellIs" dxfId="1" priority="4719" operator="greaterThan">
      <formula>120</formula>
    </cfRule>
    <cfRule type="containsText" dxfId="2" priority="3874" operator="between" text="库存为">
      <formula>NOT(ISERROR(SEARCH("库存为",AU547)))</formula>
    </cfRule>
  </conditionalFormatting>
  <conditionalFormatting sqref="AU548">
    <cfRule type="cellIs" dxfId="0" priority="5563" operator="lessThan">
      <formula>20</formula>
    </cfRule>
    <cfRule type="cellIs" dxfId="1" priority="4718" operator="greaterThan">
      <formula>120</formula>
    </cfRule>
    <cfRule type="containsText" dxfId="2" priority="3873" operator="between" text="库存为">
      <formula>NOT(ISERROR(SEARCH("库存为",AU548)))</formula>
    </cfRule>
  </conditionalFormatting>
  <conditionalFormatting sqref="AU549">
    <cfRule type="cellIs" dxfId="0" priority="5562" operator="lessThan">
      <formula>20</formula>
    </cfRule>
    <cfRule type="cellIs" dxfId="1" priority="4717" operator="greaterThan">
      <formula>120</formula>
    </cfRule>
    <cfRule type="containsText" dxfId="2" priority="3872" operator="between" text="库存为">
      <formula>NOT(ISERROR(SEARCH("库存为",AU549)))</formula>
    </cfRule>
  </conditionalFormatting>
  <conditionalFormatting sqref="AU550">
    <cfRule type="cellIs" dxfId="0" priority="5561" operator="lessThan">
      <formula>20</formula>
    </cfRule>
    <cfRule type="cellIs" dxfId="1" priority="4716" operator="greaterThan">
      <formula>120</formula>
    </cfRule>
    <cfRule type="containsText" dxfId="2" priority="3871" operator="between" text="库存为">
      <formula>NOT(ISERROR(SEARCH("库存为",AU550)))</formula>
    </cfRule>
  </conditionalFormatting>
  <conditionalFormatting sqref="AU551">
    <cfRule type="cellIs" dxfId="0" priority="5560" operator="lessThan">
      <formula>20</formula>
    </cfRule>
    <cfRule type="cellIs" dxfId="1" priority="4715" operator="greaterThan">
      <formula>120</formula>
    </cfRule>
    <cfRule type="containsText" dxfId="2" priority="3870" operator="between" text="库存为">
      <formula>NOT(ISERROR(SEARCH("库存为",AU551)))</formula>
    </cfRule>
  </conditionalFormatting>
  <conditionalFormatting sqref="AU552">
    <cfRule type="cellIs" dxfId="0" priority="5559" operator="lessThan">
      <formula>20</formula>
    </cfRule>
    <cfRule type="cellIs" dxfId="1" priority="4714" operator="greaterThan">
      <formula>120</formula>
    </cfRule>
    <cfRule type="containsText" dxfId="2" priority="3869" operator="between" text="库存为">
      <formula>NOT(ISERROR(SEARCH("库存为",AU552)))</formula>
    </cfRule>
  </conditionalFormatting>
  <conditionalFormatting sqref="AU553">
    <cfRule type="cellIs" dxfId="0" priority="5558" operator="lessThan">
      <formula>20</formula>
    </cfRule>
    <cfRule type="cellIs" dxfId="1" priority="4713" operator="greaterThan">
      <formula>120</formula>
    </cfRule>
    <cfRule type="containsText" dxfId="2" priority="3868" operator="between" text="库存为">
      <formula>NOT(ISERROR(SEARCH("库存为",AU553)))</formula>
    </cfRule>
  </conditionalFormatting>
  <conditionalFormatting sqref="AU554">
    <cfRule type="cellIs" dxfId="0" priority="5557" operator="lessThan">
      <formula>20</formula>
    </cfRule>
    <cfRule type="cellIs" dxfId="1" priority="4712" operator="greaterThan">
      <formula>120</formula>
    </cfRule>
    <cfRule type="containsText" dxfId="2" priority="3867" operator="between" text="库存为">
      <formula>NOT(ISERROR(SEARCH("库存为",AU554)))</formula>
    </cfRule>
  </conditionalFormatting>
  <conditionalFormatting sqref="AU555">
    <cfRule type="cellIs" dxfId="0" priority="5556" operator="lessThan">
      <formula>20</formula>
    </cfRule>
    <cfRule type="cellIs" dxfId="1" priority="4711" operator="greaterThan">
      <formula>120</formula>
    </cfRule>
    <cfRule type="containsText" dxfId="2" priority="3866" operator="between" text="库存为">
      <formula>NOT(ISERROR(SEARCH("库存为",AU555)))</formula>
    </cfRule>
  </conditionalFormatting>
  <conditionalFormatting sqref="AU556">
    <cfRule type="cellIs" dxfId="0" priority="5555" operator="lessThan">
      <formula>20</formula>
    </cfRule>
    <cfRule type="cellIs" dxfId="1" priority="4710" operator="greaterThan">
      <formula>120</formula>
    </cfRule>
    <cfRule type="containsText" dxfId="2" priority="3865" operator="between" text="库存为">
      <formula>NOT(ISERROR(SEARCH("库存为",AU556)))</formula>
    </cfRule>
  </conditionalFormatting>
  <conditionalFormatting sqref="AU557">
    <cfRule type="cellIs" dxfId="0" priority="5554" operator="lessThan">
      <formula>20</formula>
    </cfRule>
    <cfRule type="cellIs" dxfId="1" priority="4709" operator="greaterThan">
      <formula>120</formula>
    </cfRule>
    <cfRule type="containsText" dxfId="2" priority="3864" operator="between" text="库存为">
      <formula>NOT(ISERROR(SEARCH("库存为",AU557)))</formula>
    </cfRule>
  </conditionalFormatting>
  <conditionalFormatting sqref="AU558">
    <cfRule type="cellIs" dxfId="0" priority="5553" operator="lessThan">
      <formula>20</formula>
    </cfRule>
    <cfRule type="cellIs" dxfId="1" priority="4708" operator="greaterThan">
      <formula>120</formula>
    </cfRule>
    <cfRule type="containsText" dxfId="2" priority="3863" operator="between" text="库存为">
      <formula>NOT(ISERROR(SEARCH("库存为",AU558)))</formula>
    </cfRule>
  </conditionalFormatting>
  <conditionalFormatting sqref="AU559">
    <cfRule type="cellIs" dxfId="0" priority="5552" operator="lessThan">
      <formula>20</formula>
    </cfRule>
    <cfRule type="cellIs" dxfId="1" priority="4707" operator="greaterThan">
      <formula>120</formula>
    </cfRule>
    <cfRule type="containsText" dxfId="2" priority="3862" operator="between" text="库存为">
      <formula>NOT(ISERROR(SEARCH("库存为",AU559)))</formula>
    </cfRule>
  </conditionalFormatting>
  <conditionalFormatting sqref="AU560">
    <cfRule type="cellIs" dxfId="0" priority="5551" operator="lessThan">
      <formula>20</formula>
    </cfRule>
    <cfRule type="cellIs" dxfId="1" priority="4706" operator="greaterThan">
      <formula>120</formula>
    </cfRule>
    <cfRule type="containsText" dxfId="2" priority="3861" operator="between" text="库存为">
      <formula>NOT(ISERROR(SEARCH("库存为",AU560)))</formula>
    </cfRule>
  </conditionalFormatting>
  <conditionalFormatting sqref="AU561">
    <cfRule type="cellIs" dxfId="0" priority="5550" operator="lessThan">
      <formula>20</formula>
    </cfRule>
    <cfRule type="cellIs" dxfId="1" priority="4705" operator="greaterThan">
      <formula>120</formula>
    </cfRule>
    <cfRule type="containsText" dxfId="2" priority="3860" operator="between" text="库存为">
      <formula>NOT(ISERROR(SEARCH("库存为",AU561)))</formula>
    </cfRule>
  </conditionalFormatting>
  <conditionalFormatting sqref="AU562">
    <cfRule type="cellIs" dxfId="0" priority="5549" operator="lessThan">
      <formula>20</formula>
    </cfRule>
    <cfRule type="cellIs" dxfId="1" priority="4704" operator="greaterThan">
      <formula>120</formula>
    </cfRule>
    <cfRule type="containsText" dxfId="2" priority="3859" operator="between" text="库存为">
      <formula>NOT(ISERROR(SEARCH("库存为",AU562)))</formula>
    </cfRule>
  </conditionalFormatting>
  <conditionalFormatting sqref="AU563">
    <cfRule type="cellIs" dxfId="0" priority="5548" operator="lessThan">
      <formula>20</formula>
    </cfRule>
    <cfRule type="cellIs" dxfId="1" priority="4703" operator="greaterThan">
      <formula>120</formula>
    </cfRule>
    <cfRule type="containsText" dxfId="2" priority="3858" operator="between" text="库存为">
      <formula>NOT(ISERROR(SEARCH("库存为",AU563)))</formula>
    </cfRule>
  </conditionalFormatting>
  <conditionalFormatting sqref="AU564">
    <cfRule type="cellIs" dxfId="0" priority="5547" operator="lessThan">
      <formula>20</formula>
    </cfRule>
    <cfRule type="cellIs" dxfId="1" priority="4702" operator="greaterThan">
      <formula>120</formula>
    </cfRule>
    <cfRule type="containsText" dxfId="2" priority="3857" operator="between" text="库存为">
      <formula>NOT(ISERROR(SEARCH("库存为",AU564)))</formula>
    </cfRule>
  </conditionalFormatting>
  <conditionalFormatting sqref="AU565">
    <cfRule type="cellIs" dxfId="0" priority="5546" operator="lessThan">
      <formula>20</formula>
    </cfRule>
    <cfRule type="cellIs" dxfId="1" priority="4701" operator="greaterThan">
      <formula>120</formula>
    </cfRule>
    <cfRule type="containsText" dxfId="2" priority="3856" operator="between" text="库存为">
      <formula>NOT(ISERROR(SEARCH("库存为",AU565)))</formula>
    </cfRule>
  </conditionalFormatting>
  <conditionalFormatting sqref="AU566">
    <cfRule type="cellIs" dxfId="0" priority="5545" operator="lessThan">
      <formula>20</formula>
    </cfRule>
    <cfRule type="cellIs" dxfId="1" priority="4700" operator="greaterThan">
      <formula>120</formula>
    </cfRule>
    <cfRule type="containsText" dxfId="2" priority="3855" operator="between" text="库存为">
      <formula>NOT(ISERROR(SEARCH("库存为",AU566)))</formula>
    </cfRule>
  </conditionalFormatting>
  <conditionalFormatting sqref="AU567">
    <cfRule type="cellIs" dxfId="0" priority="5544" operator="lessThan">
      <formula>20</formula>
    </cfRule>
    <cfRule type="cellIs" dxfId="1" priority="4699" operator="greaterThan">
      <formula>120</formula>
    </cfRule>
    <cfRule type="containsText" dxfId="2" priority="3854" operator="between" text="库存为">
      <formula>NOT(ISERROR(SEARCH("库存为",AU567)))</formula>
    </cfRule>
  </conditionalFormatting>
  <conditionalFormatting sqref="AU568">
    <cfRule type="cellIs" dxfId="0" priority="5543" operator="lessThan">
      <formula>20</formula>
    </cfRule>
    <cfRule type="cellIs" dxfId="1" priority="4698" operator="greaterThan">
      <formula>120</formula>
    </cfRule>
    <cfRule type="containsText" dxfId="2" priority="3853" operator="between" text="库存为">
      <formula>NOT(ISERROR(SEARCH("库存为",AU568)))</formula>
    </cfRule>
  </conditionalFormatting>
  <conditionalFormatting sqref="AU569">
    <cfRule type="cellIs" dxfId="0" priority="5542" operator="lessThan">
      <formula>20</formula>
    </cfRule>
    <cfRule type="cellIs" dxfId="1" priority="4697" operator="greaterThan">
      <formula>120</formula>
    </cfRule>
    <cfRule type="containsText" dxfId="2" priority="3852" operator="between" text="库存为">
      <formula>NOT(ISERROR(SEARCH("库存为",AU569)))</formula>
    </cfRule>
  </conditionalFormatting>
  <conditionalFormatting sqref="AU570">
    <cfRule type="cellIs" dxfId="0" priority="5541" operator="lessThan">
      <formula>20</formula>
    </cfRule>
    <cfRule type="cellIs" dxfId="1" priority="4696" operator="greaterThan">
      <formula>120</formula>
    </cfRule>
    <cfRule type="containsText" dxfId="2" priority="3851" operator="between" text="库存为">
      <formula>NOT(ISERROR(SEARCH("库存为",AU570)))</formula>
    </cfRule>
  </conditionalFormatting>
  <conditionalFormatting sqref="AU571">
    <cfRule type="cellIs" dxfId="0" priority="5540" operator="lessThan">
      <formula>20</formula>
    </cfRule>
    <cfRule type="cellIs" dxfId="1" priority="4695" operator="greaterThan">
      <formula>120</formula>
    </cfRule>
    <cfRule type="containsText" dxfId="2" priority="3850" operator="between" text="库存为">
      <formula>NOT(ISERROR(SEARCH("库存为",AU571)))</formula>
    </cfRule>
  </conditionalFormatting>
  <conditionalFormatting sqref="AU572">
    <cfRule type="cellIs" dxfId="0" priority="5539" operator="lessThan">
      <formula>20</formula>
    </cfRule>
    <cfRule type="cellIs" dxfId="1" priority="4694" operator="greaterThan">
      <formula>120</formula>
    </cfRule>
    <cfRule type="containsText" dxfId="2" priority="3849" operator="between" text="库存为">
      <formula>NOT(ISERROR(SEARCH("库存为",AU572)))</formula>
    </cfRule>
  </conditionalFormatting>
  <conditionalFormatting sqref="AU573">
    <cfRule type="cellIs" dxfId="0" priority="5538" operator="lessThan">
      <formula>20</formula>
    </cfRule>
    <cfRule type="cellIs" dxfId="1" priority="4693" operator="greaterThan">
      <formula>120</formula>
    </cfRule>
    <cfRule type="containsText" dxfId="2" priority="3848" operator="between" text="库存为">
      <formula>NOT(ISERROR(SEARCH("库存为",AU573)))</formula>
    </cfRule>
  </conditionalFormatting>
  <conditionalFormatting sqref="AU574">
    <cfRule type="cellIs" dxfId="0" priority="5537" operator="lessThan">
      <formula>20</formula>
    </cfRule>
    <cfRule type="cellIs" dxfId="1" priority="4692" operator="greaterThan">
      <formula>120</formula>
    </cfRule>
    <cfRule type="containsText" dxfId="2" priority="3847" operator="between" text="库存为">
      <formula>NOT(ISERROR(SEARCH("库存为",AU574)))</formula>
    </cfRule>
  </conditionalFormatting>
  <conditionalFormatting sqref="AU575">
    <cfRule type="cellIs" dxfId="0" priority="5536" operator="lessThan">
      <formula>20</formula>
    </cfRule>
    <cfRule type="cellIs" dxfId="1" priority="4691" operator="greaterThan">
      <formula>120</formula>
    </cfRule>
    <cfRule type="containsText" dxfId="2" priority="3846" operator="between" text="库存为">
      <formula>NOT(ISERROR(SEARCH("库存为",AU575)))</formula>
    </cfRule>
  </conditionalFormatting>
  <conditionalFormatting sqref="AU576">
    <cfRule type="cellIs" dxfId="0" priority="5535" operator="lessThan">
      <formula>20</formula>
    </cfRule>
    <cfRule type="cellIs" dxfId="1" priority="4690" operator="greaterThan">
      <formula>120</formula>
    </cfRule>
    <cfRule type="containsText" dxfId="2" priority="3845" operator="between" text="库存为">
      <formula>NOT(ISERROR(SEARCH("库存为",AU576)))</formula>
    </cfRule>
  </conditionalFormatting>
  <conditionalFormatting sqref="AU577">
    <cfRule type="cellIs" dxfId="0" priority="5534" operator="lessThan">
      <formula>20</formula>
    </cfRule>
    <cfRule type="cellIs" dxfId="1" priority="4689" operator="greaterThan">
      <formula>120</formula>
    </cfRule>
    <cfRule type="containsText" dxfId="2" priority="3844" operator="between" text="库存为">
      <formula>NOT(ISERROR(SEARCH("库存为",AU577)))</formula>
    </cfRule>
  </conditionalFormatting>
  <conditionalFormatting sqref="AU578">
    <cfRule type="cellIs" dxfId="0" priority="5533" operator="lessThan">
      <formula>20</formula>
    </cfRule>
    <cfRule type="cellIs" dxfId="1" priority="4688" operator="greaterThan">
      <formula>120</formula>
    </cfRule>
    <cfRule type="containsText" dxfId="2" priority="3843" operator="between" text="库存为">
      <formula>NOT(ISERROR(SEARCH("库存为",AU578)))</formula>
    </cfRule>
  </conditionalFormatting>
  <conditionalFormatting sqref="AU579">
    <cfRule type="cellIs" dxfId="0" priority="5532" operator="lessThan">
      <formula>20</formula>
    </cfRule>
    <cfRule type="cellIs" dxfId="1" priority="4687" operator="greaterThan">
      <formula>120</formula>
    </cfRule>
    <cfRule type="containsText" dxfId="2" priority="3842" operator="between" text="库存为">
      <formula>NOT(ISERROR(SEARCH("库存为",AU579)))</formula>
    </cfRule>
  </conditionalFormatting>
  <conditionalFormatting sqref="AU580">
    <cfRule type="cellIs" dxfId="0" priority="5531" operator="lessThan">
      <formula>20</formula>
    </cfRule>
    <cfRule type="cellIs" dxfId="1" priority="4686" operator="greaterThan">
      <formula>120</formula>
    </cfRule>
    <cfRule type="containsText" dxfId="2" priority="3841" operator="between" text="库存为">
      <formula>NOT(ISERROR(SEARCH("库存为",AU580)))</formula>
    </cfRule>
  </conditionalFormatting>
  <conditionalFormatting sqref="AU581">
    <cfRule type="cellIs" dxfId="0" priority="5530" operator="lessThan">
      <formula>20</formula>
    </cfRule>
    <cfRule type="cellIs" dxfId="1" priority="4685" operator="greaterThan">
      <formula>120</formula>
    </cfRule>
    <cfRule type="containsText" dxfId="2" priority="3840" operator="between" text="库存为">
      <formula>NOT(ISERROR(SEARCH("库存为",AU581)))</formula>
    </cfRule>
  </conditionalFormatting>
  <conditionalFormatting sqref="AU582">
    <cfRule type="cellIs" dxfId="0" priority="5529" operator="lessThan">
      <formula>20</formula>
    </cfRule>
    <cfRule type="cellIs" dxfId="1" priority="4684" operator="greaterThan">
      <formula>120</formula>
    </cfRule>
    <cfRule type="containsText" dxfId="2" priority="3839" operator="between" text="库存为">
      <formula>NOT(ISERROR(SEARCH("库存为",AU582)))</formula>
    </cfRule>
  </conditionalFormatting>
  <conditionalFormatting sqref="AU583">
    <cfRule type="cellIs" dxfId="0" priority="5528" operator="lessThan">
      <formula>20</formula>
    </cfRule>
    <cfRule type="cellIs" dxfId="1" priority="4683" operator="greaterThan">
      <formula>120</formula>
    </cfRule>
    <cfRule type="containsText" dxfId="2" priority="3838" operator="between" text="库存为">
      <formula>NOT(ISERROR(SEARCH("库存为",AU583)))</formula>
    </cfRule>
  </conditionalFormatting>
  <conditionalFormatting sqref="AU584">
    <cfRule type="cellIs" dxfId="0" priority="5527" operator="lessThan">
      <formula>20</formula>
    </cfRule>
    <cfRule type="cellIs" dxfId="1" priority="4682" operator="greaterThan">
      <formula>120</formula>
    </cfRule>
    <cfRule type="containsText" dxfId="2" priority="3837" operator="between" text="库存为">
      <formula>NOT(ISERROR(SEARCH("库存为",AU584)))</formula>
    </cfRule>
  </conditionalFormatting>
  <conditionalFormatting sqref="AU585">
    <cfRule type="cellIs" dxfId="0" priority="5526" operator="lessThan">
      <formula>20</formula>
    </cfRule>
    <cfRule type="cellIs" dxfId="1" priority="4681" operator="greaterThan">
      <formula>120</formula>
    </cfRule>
    <cfRule type="containsText" dxfId="2" priority="3836" operator="between" text="库存为">
      <formula>NOT(ISERROR(SEARCH("库存为",AU585)))</formula>
    </cfRule>
  </conditionalFormatting>
  <conditionalFormatting sqref="AU586">
    <cfRule type="cellIs" dxfId="0" priority="5525" operator="lessThan">
      <formula>20</formula>
    </cfRule>
    <cfRule type="cellIs" dxfId="1" priority="4680" operator="greaterThan">
      <formula>120</formula>
    </cfRule>
    <cfRule type="containsText" dxfId="2" priority="3835" operator="between" text="库存为">
      <formula>NOT(ISERROR(SEARCH("库存为",AU586)))</formula>
    </cfRule>
  </conditionalFormatting>
  <conditionalFormatting sqref="AU587">
    <cfRule type="cellIs" dxfId="0" priority="5524" operator="lessThan">
      <formula>20</formula>
    </cfRule>
    <cfRule type="cellIs" dxfId="1" priority="4679" operator="greaterThan">
      <formula>120</formula>
    </cfRule>
    <cfRule type="containsText" dxfId="2" priority="3834" operator="between" text="库存为">
      <formula>NOT(ISERROR(SEARCH("库存为",AU587)))</formula>
    </cfRule>
  </conditionalFormatting>
  <conditionalFormatting sqref="AU588">
    <cfRule type="cellIs" dxfId="0" priority="5523" operator="lessThan">
      <formula>20</formula>
    </cfRule>
    <cfRule type="cellIs" dxfId="1" priority="4678" operator="greaterThan">
      <formula>120</formula>
    </cfRule>
    <cfRule type="containsText" dxfId="2" priority="3833" operator="between" text="库存为">
      <formula>NOT(ISERROR(SEARCH("库存为",AU588)))</formula>
    </cfRule>
  </conditionalFormatting>
  <conditionalFormatting sqref="AU589">
    <cfRule type="cellIs" dxfId="0" priority="5522" operator="lessThan">
      <formula>20</formula>
    </cfRule>
    <cfRule type="cellIs" dxfId="1" priority="4677" operator="greaterThan">
      <formula>120</formula>
    </cfRule>
    <cfRule type="containsText" dxfId="2" priority="3832" operator="between" text="库存为">
      <formula>NOT(ISERROR(SEARCH("库存为",AU589)))</formula>
    </cfRule>
  </conditionalFormatting>
  <conditionalFormatting sqref="AU590">
    <cfRule type="cellIs" dxfId="0" priority="5521" operator="lessThan">
      <formula>20</formula>
    </cfRule>
    <cfRule type="cellIs" dxfId="1" priority="4676" operator="greaterThan">
      <formula>120</formula>
    </cfRule>
    <cfRule type="containsText" dxfId="2" priority="3831" operator="between" text="库存为">
      <formula>NOT(ISERROR(SEARCH("库存为",AU590)))</formula>
    </cfRule>
  </conditionalFormatting>
  <conditionalFormatting sqref="AU591">
    <cfRule type="cellIs" dxfId="0" priority="5520" operator="lessThan">
      <formula>20</formula>
    </cfRule>
    <cfRule type="cellIs" dxfId="1" priority="4675" operator="greaterThan">
      <formula>120</formula>
    </cfRule>
    <cfRule type="containsText" dxfId="2" priority="3830" operator="between" text="库存为">
      <formula>NOT(ISERROR(SEARCH("库存为",AU591)))</formula>
    </cfRule>
  </conditionalFormatting>
  <conditionalFormatting sqref="AU592">
    <cfRule type="cellIs" dxfId="0" priority="5519" operator="lessThan">
      <formula>20</formula>
    </cfRule>
    <cfRule type="cellIs" dxfId="1" priority="4674" operator="greaterThan">
      <formula>120</formula>
    </cfRule>
    <cfRule type="containsText" dxfId="2" priority="3829" operator="between" text="库存为">
      <formula>NOT(ISERROR(SEARCH("库存为",AU592)))</formula>
    </cfRule>
  </conditionalFormatting>
  <conditionalFormatting sqref="AU593">
    <cfRule type="cellIs" dxfId="0" priority="5518" operator="lessThan">
      <formula>20</formula>
    </cfRule>
    <cfRule type="cellIs" dxfId="1" priority="4673" operator="greaterThan">
      <formula>120</formula>
    </cfRule>
    <cfRule type="containsText" dxfId="2" priority="3828" operator="between" text="库存为">
      <formula>NOT(ISERROR(SEARCH("库存为",AU593)))</formula>
    </cfRule>
  </conditionalFormatting>
  <conditionalFormatting sqref="AU594">
    <cfRule type="cellIs" dxfId="0" priority="5517" operator="lessThan">
      <formula>20</formula>
    </cfRule>
    <cfRule type="cellIs" dxfId="1" priority="4672" operator="greaterThan">
      <formula>120</formula>
    </cfRule>
    <cfRule type="containsText" dxfId="2" priority="3827" operator="between" text="库存为">
      <formula>NOT(ISERROR(SEARCH("库存为",AU594)))</formula>
    </cfRule>
  </conditionalFormatting>
  <conditionalFormatting sqref="AU595">
    <cfRule type="cellIs" dxfId="0" priority="5516" operator="lessThan">
      <formula>20</formula>
    </cfRule>
    <cfRule type="cellIs" dxfId="1" priority="4671" operator="greaterThan">
      <formula>120</formula>
    </cfRule>
    <cfRule type="containsText" dxfId="2" priority="3826" operator="between" text="库存为">
      <formula>NOT(ISERROR(SEARCH("库存为",AU595)))</formula>
    </cfRule>
  </conditionalFormatting>
  <conditionalFormatting sqref="AU596">
    <cfRule type="cellIs" dxfId="0" priority="5515" operator="lessThan">
      <formula>20</formula>
    </cfRule>
    <cfRule type="cellIs" dxfId="1" priority="4670" operator="greaterThan">
      <formula>120</formula>
    </cfRule>
    <cfRule type="containsText" dxfId="2" priority="3825" operator="between" text="库存为">
      <formula>NOT(ISERROR(SEARCH("库存为",AU596)))</formula>
    </cfRule>
  </conditionalFormatting>
  <conditionalFormatting sqref="AU597">
    <cfRule type="cellIs" dxfId="0" priority="5514" operator="lessThan">
      <formula>20</formula>
    </cfRule>
    <cfRule type="cellIs" dxfId="1" priority="4669" operator="greaterThan">
      <formula>120</formula>
    </cfRule>
    <cfRule type="containsText" dxfId="2" priority="3824" operator="between" text="库存为">
      <formula>NOT(ISERROR(SEARCH("库存为",AU597)))</formula>
    </cfRule>
  </conditionalFormatting>
  <conditionalFormatting sqref="AU598">
    <cfRule type="cellIs" dxfId="0" priority="5513" operator="lessThan">
      <formula>20</formula>
    </cfRule>
    <cfRule type="cellIs" dxfId="1" priority="4668" operator="greaterThan">
      <formula>120</formula>
    </cfRule>
    <cfRule type="containsText" dxfId="2" priority="3823" operator="between" text="库存为">
      <formula>NOT(ISERROR(SEARCH("库存为",AU598)))</formula>
    </cfRule>
  </conditionalFormatting>
  <conditionalFormatting sqref="AU599">
    <cfRule type="cellIs" dxfId="0" priority="5512" operator="lessThan">
      <formula>20</formula>
    </cfRule>
    <cfRule type="cellIs" dxfId="1" priority="4667" operator="greaterThan">
      <formula>120</formula>
    </cfRule>
    <cfRule type="containsText" dxfId="2" priority="3822" operator="between" text="库存为">
      <formula>NOT(ISERROR(SEARCH("库存为",AU599)))</formula>
    </cfRule>
  </conditionalFormatting>
  <conditionalFormatting sqref="AU600">
    <cfRule type="cellIs" dxfId="0" priority="5511" operator="lessThan">
      <formula>20</formula>
    </cfRule>
    <cfRule type="cellIs" dxfId="1" priority="4666" operator="greaterThan">
      <formula>120</formula>
    </cfRule>
    <cfRule type="containsText" dxfId="2" priority="3821" operator="between" text="库存为">
      <formula>NOT(ISERROR(SEARCH("库存为",AU600)))</formula>
    </cfRule>
  </conditionalFormatting>
  <conditionalFormatting sqref="AU601">
    <cfRule type="cellIs" dxfId="0" priority="5510" operator="lessThan">
      <formula>20</formula>
    </cfRule>
    <cfRule type="cellIs" dxfId="1" priority="4665" operator="greaterThan">
      <formula>120</formula>
    </cfRule>
    <cfRule type="containsText" dxfId="2" priority="3820" operator="between" text="库存为">
      <formula>NOT(ISERROR(SEARCH("库存为",AU601)))</formula>
    </cfRule>
  </conditionalFormatting>
  <conditionalFormatting sqref="AU602">
    <cfRule type="cellIs" dxfId="0" priority="5509" operator="lessThan">
      <formula>20</formula>
    </cfRule>
    <cfRule type="cellIs" dxfId="1" priority="4664" operator="greaterThan">
      <formula>120</formula>
    </cfRule>
    <cfRule type="containsText" dxfId="2" priority="3819" operator="between" text="库存为">
      <formula>NOT(ISERROR(SEARCH("库存为",AU602)))</formula>
    </cfRule>
  </conditionalFormatting>
  <conditionalFormatting sqref="AU603">
    <cfRule type="cellIs" dxfId="0" priority="5508" operator="lessThan">
      <formula>20</formula>
    </cfRule>
    <cfRule type="cellIs" dxfId="1" priority="4663" operator="greaterThan">
      <formula>120</formula>
    </cfRule>
    <cfRule type="containsText" dxfId="2" priority="3818" operator="between" text="库存为">
      <formula>NOT(ISERROR(SEARCH("库存为",AU603)))</formula>
    </cfRule>
  </conditionalFormatting>
  <conditionalFormatting sqref="AU604">
    <cfRule type="cellIs" dxfId="0" priority="5507" operator="lessThan">
      <formula>20</formula>
    </cfRule>
    <cfRule type="cellIs" dxfId="1" priority="4662" operator="greaterThan">
      <formula>120</formula>
    </cfRule>
    <cfRule type="containsText" dxfId="2" priority="3817" operator="between" text="库存为">
      <formula>NOT(ISERROR(SEARCH("库存为",AU604)))</formula>
    </cfRule>
  </conditionalFormatting>
  <conditionalFormatting sqref="AU605">
    <cfRule type="cellIs" dxfId="0" priority="5506" operator="lessThan">
      <formula>20</formula>
    </cfRule>
    <cfRule type="cellIs" dxfId="1" priority="4661" operator="greaterThan">
      <formula>120</formula>
    </cfRule>
    <cfRule type="containsText" dxfId="2" priority="3816" operator="between" text="库存为">
      <formula>NOT(ISERROR(SEARCH("库存为",AU605)))</formula>
    </cfRule>
  </conditionalFormatting>
  <conditionalFormatting sqref="AU606">
    <cfRule type="cellIs" dxfId="0" priority="5505" operator="lessThan">
      <formula>20</formula>
    </cfRule>
    <cfRule type="cellIs" dxfId="1" priority="4660" operator="greaterThan">
      <formula>120</formula>
    </cfRule>
    <cfRule type="containsText" dxfId="2" priority="3815" operator="between" text="库存为">
      <formula>NOT(ISERROR(SEARCH("库存为",AU606)))</formula>
    </cfRule>
  </conditionalFormatting>
  <conditionalFormatting sqref="AU607">
    <cfRule type="cellIs" dxfId="0" priority="5504" operator="lessThan">
      <formula>20</formula>
    </cfRule>
    <cfRule type="cellIs" dxfId="1" priority="4659" operator="greaterThan">
      <formula>120</formula>
    </cfRule>
    <cfRule type="containsText" dxfId="2" priority="3814" operator="between" text="库存为">
      <formula>NOT(ISERROR(SEARCH("库存为",AU607)))</formula>
    </cfRule>
  </conditionalFormatting>
  <conditionalFormatting sqref="AU608">
    <cfRule type="cellIs" dxfId="0" priority="5503" operator="lessThan">
      <formula>20</formula>
    </cfRule>
    <cfRule type="cellIs" dxfId="1" priority="4658" operator="greaterThan">
      <formula>120</formula>
    </cfRule>
    <cfRule type="containsText" dxfId="2" priority="3813" operator="between" text="库存为">
      <formula>NOT(ISERROR(SEARCH("库存为",AU608)))</formula>
    </cfRule>
  </conditionalFormatting>
  <conditionalFormatting sqref="AU609">
    <cfRule type="cellIs" dxfId="0" priority="5502" operator="lessThan">
      <formula>20</formula>
    </cfRule>
    <cfRule type="cellIs" dxfId="1" priority="4657" operator="greaterThan">
      <formula>120</formula>
    </cfRule>
    <cfRule type="containsText" dxfId="2" priority="3812" operator="between" text="库存为">
      <formula>NOT(ISERROR(SEARCH("库存为",AU609)))</formula>
    </cfRule>
  </conditionalFormatting>
  <conditionalFormatting sqref="AU610">
    <cfRule type="cellIs" dxfId="0" priority="5501" operator="lessThan">
      <formula>20</formula>
    </cfRule>
    <cfRule type="cellIs" dxfId="1" priority="4656" operator="greaterThan">
      <formula>120</formula>
    </cfRule>
    <cfRule type="containsText" dxfId="2" priority="3811" operator="between" text="库存为">
      <formula>NOT(ISERROR(SEARCH("库存为",AU610)))</formula>
    </cfRule>
  </conditionalFormatting>
  <conditionalFormatting sqref="AU611">
    <cfRule type="cellIs" dxfId="0" priority="5500" operator="lessThan">
      <formula>20</formula>
    </cfRule>
    <cfRule type="cellIs" dxfId="1" priority="4655" operator="greaterThan">
      <formula>120</formula>
    </cfRule>
    <cfRule type="containsText" dxfId="2" priority="3810" operator="between" text="库存为">
      <formula>NOT(ISERROR(SEARCH("库存为",AU611)))</formula>
    </cfRule>
  </conditionalFormatting>
  <conditionalFormatting sqref="AU612">
    <cfRule type="cellIs" dxfId="0" priority="5499" operator="lessThan">
      <formula>20</formula>
    </cfRule>
    <cfRule type="cellIs" dxfId="1" priority="4654" operator="greaterThan">
      <formula>120</formula>
    </cfRule>
    <cfRule type="containsText" dxfId="2" priority="3809" operator="between" text="库存为">
      <formula>NOT(ISERROR(SEARCH("库存为",AU612)))</formula>
    </cfRule>
  </conditionalFormatting>
  <conditionalFormatting sqref="AU613">
    <cfRule type="cellIs" dxfId="0" priority="5498" operator="lessThan">
      <formula>20</formula>
    </cfRule>
    <cfRule type="cellIs" dxfId="1" priority="4653" operator="greaterThan">
      <formula>120</formula>
    </cfRule>
    <cfRule type="containsText" dxfId="2" priority="3808" operator="between" text="库存为">
      <formula>NOT(ISERROR(SEARCH("库存为",AU613)))</formula>
    </cfRule>
  </conditionalFormatting>
  <conditionalFormatting sqref="AU614">
    <cfRule type="cellIs" dxfId="0" priority="5497" operator="lessThan">
      <formula>20</formula>
    </cfRule>
    <cfRule type="cellIs" dxfId="1" priority="4652" operator="greaterThan">
      <formula>120</formula>
    </cfRule>
    <cfRule type="containsText" dxfId="2" priority="3807" operator="between" text="库存为">
      <formula>NOT(ISERROR(SEARCH("库存为",AU614)))</formula>
    </cfRule>
  </conditionalFormatting>
  <conditionalFormatting sqref="AU615">
    <cfRule type="cellIs" dxfId="0" priority="5496" operator="lessThan">
      <formula>20</formula>
    </cfRule>
    <cfRule type="cellIs" dxfId="1" priority="4651" operator="greaterThan">
      <formula>120</formula>
    </cfRule>
    <cfRule type="containsText" dxfId="2" priority="3806" operator="between" text="库存为">
      <formula>NOT(ISERROR(SEARCH("库存为",AU615)))</formula>
    </cfRule>
  </conditionalFormatting>
  <conditionalFormatting sqref="AU616">
    <cfRule type="cellIs" dxfId="0" priority="5495" operator="lessThan">
      <formula>20</formula>
    </cfRule>
    <cfRule type="cellIs" dxfId="1" priority="4650" operator="greaterThan">
      <formula>120</formula>
    </cfRule>
    <cfRule type="containsText" dxfId="2" priority="3805" operator="between" text="库存为">
      <formula>NOT(ISERROR(SEARCH("库存为",AU616)))</formula>
    </cfRule>
  </conditionalFormatting>
  <conditionalFormatting sqref="AU617">
    <cfRule type="cellIs" dxfId="0" priority="5494" operator="lessThan">
      <formula>20</formula>
    </cfRule>
    <cfRule type="cellIs" dxfId="1" priority="4649" operator="greaterThan">
      <formula>120</formula>
    </cfRule>
    <cfRule type="containsText" dxfId="2" priority="3804" operator="between" text="库存为">
      <formula>NOT(ISERROR(SEARCH("库存为",AU617)))</formula>
    </cfRule>
  </conditionalFormatting>
  <conditionalFormatting sqref="AU618">
    <cfRule type="cellIs" dxfId="0" priority="5493" operator="lessThan">
      <formula>20</formula>
    </cfRule>
    <cfRule type="cellIs" dxfId="1" priority="4648" operator="greaterThan">
      <formula>120</formula>
    </cfRule>
    <cfRule type="containsText" dxfId="2" priority="3803" operator="between" text="库存为">
      <formula>NOT(ISERROR(SEARCH("库存为",AU618)))</formula>
    </cfRule>
  </conditionalFormatting>
  <conditionalFormatting sqref="AU619">
    <cfRule type="cellIs" dxfId="0" priority="5492" operator="lessThan">
      <formula>20</formula>
    </cfRule>
    <cfRule type="cellIs" dxfId="1" priority="4647" operator="greaterThan">
      <formula>120</formula>
    </cfRule>
    <cfRule type="containsText" dxfId="2" priority="3802" operator="between" text="库存为">
      <formula>NOT(ISERROR(SEARCH("库存为",AU619)))</formula>
    </cfRule>
  </conditionalFormatting>
  <conditionalFormatting sqref="AU620">
    <cfRule type="cellIs" dxfId="0" priority="5491" operator="lessThan">
      <formula>20</formula>
    </cfRule>
    <cfRule type="cellIs" dxfId="1" priority="4646" operator="greaterThan">
      <formula>120</formula>
    </cfRule>
    <cfRule type="containsText" dxfId="2" priority="3801" operator="between" text="库存为">
      <formula>NOT(ISERROR(SEARCH("库存为",AU620)))</formula>
    </cfRule>
  </conditionalFormatting>
  <conditionalFormatting sqref="AU621">
    <cfRule type="cellIs" dxfId="0" priority="5490" operator="lessThan">
      <formula>20</formula>
    </cfRule>
    <cfRule type="cellIs" dxfId="1" priority="4645" operator="greaterThan">
      <formula>120</formula>
    </cfRule>
    <cfRule type="containsText" dxfId="2" priority="3800" operator="between" text="库存为">
      <formula>NOT(ISERROR(SEARCH("库存为",AU621)))</formula>
    </cfRule>
  </conditionalFormatting>
  <conditionalFormatting sqref="AU622">
    <cfRule type="cellIs" dxfId="0" priority="5489" operator="lessThan">
      <formula>20</formula>
    </cfRule>
    <cfRule type="cellIs" dxfId="1" priority="4644" operator="greaterThan">
      <formula>120</formula>
    </cfRule>
    <cfRule type="containsText" dxfId="2" priority="3799" operator="between" text="库存为">
      <formula>NOT(ISERROR(SEARCH("库存为",AU622)))</formula>
    </cfRule>
  </conditionalFormatting>
  <conditionalFormatting sqref="AU623">
    <cfRule type="cellIs" dxfId="0" priority="5488" operator="lessThan">
      <formula>20</formula>
    </cfRule>
    <cfRule type="cellIs" dxfId="1" priority="4643" operator="greaterThan">
      <formula>120</formula>
    </cfRule>
    <cfRule type="containsText" dxfId="2" priority="3798" operator="between" text="库存为">
      <formula>NOT(ISERROR(SEARCH("库存为",AU623)))</formula>
    </cfRule>
  </conditionalFormatting>
  <conditionalFormatting sqref="AU624">
    <cfRule type="cellIs" dxfId="0" priority="5487" operator="lessThan">
      <formula>20</formula>
    </cfRule>
    <cfRule type="cellIs" dxfId="1" priority="4642" operator="greaterThan">
      <formula>120</formula>
    </cfRule>
    <cfRule type="containsText" dxfId="2" priority="3797" operator="between" text="库存为">
      <formula>NOT(ISERROR(SEARCH("库存为",AU624)))</formula>
    </cfRule>
  </conditionalFormatting>
  <conditionalFormatting sqref="AU625">
    <cfRule type="cellIs" dxfId="0" priority="5486" operator="lessThan">
      <formula>20</formula>
    </cfRule>
    <cfRule type="cellIs" dxfId="1" priority="4641" operator="greaterThan">
      <formula>120</formula>
    </cfRule>
    <cfRule type="containsText" dxfId="2" priority="3796" operator="between" text="库存为">
      <formula>NOT(ISERROR(SEARCH("库存为",AU625)))</formula>
    </cfRule>
  </conditionalFormatting>
  <conditionalFormatting sqref="AU626">
    <cfRule type="cellIs" dxfId="0" priority="5485" operator="lessThan">
      <formula>20</formula>
    </cfRule>
    <cfRule type="cellIs" dxfId="1" priority="4640" operator="greaterThan">
      <formula>120</formula>
    </cfRule>
    <cfRule type="containsText" dxfId="2" priority="3795" operator="between" text="库存为">
      <formula>NOT(ISERROR(SEARCH("库存为",AU626)))</formula>
    </cfRule>
  </conditionalFormatting>
  <conditionalFormatting sqref="AU627">
    <cfRule type="cellIs" dxfId="0" priority="5484" operator="lessThan">
      <formula>20</formula>
    </cfRule>
    <cfRule type="cellIs" dxfId="1" priority="4639" operator="greaterThan">
      <formula>120</formula>
    </cfRule>
    <cfRule type="containsText" dxfId="2" priority="3794" operator="between" text="库存为">
      <formula>NOT(ISERROR(SEARCH("库存为",AU627)))</formula>
    </cfRule>
  </conditionalFormatting>
  <conditionalFormatting sqref="AU628">
    <cfRule type="cellIs" dxfId="0" priority="5483" operator="lessThan">
      <formula>20</formula>
    </cfRule>
    <cfRule type="cellIs" dxfId="1" priority="4638" operator="greaterThan">
      <formula>120</formula>
    </cfRule>
    <cfRule type="containsText" dxfId="2" priority="3793" operator="between" text="库存为">
      <formula>NOT(ISERROR(SEARCH("库存为",AU628)))</formula>
    </cfRule>
  </conditionalFormatting>
  <conditionalFormatting sqref="AU629">
    <cfRule type="cellIs" dxfId="0" priority="5482" operator="lessThan">
      <formula>20</formula>
    </cfRule>
    <cfRule type="cellIs" dxfId="1" priority="4637" operator="greaterThan">
      <formula>120</formula>
    </cfRule>
    <cfRule type="containsText" dxfId="2" priority="3792" operator="between" text="库存为">
      <formula>NOT(ISERROR(SEARCH("库存为",AU629)))</formula>
    </cfRule>
  </conditionalFormatting>
  <conditionalFormatting sqref="AU630">
    <cfRule type="cellIs" dxfId="0" priority="5481" operator="lessThan">
      <formula>20</formula>
    </cfRule>
    <cfRule type="cellIs" dxfId="1" priority="4636" operator="greaterThan">
      <formula>120</formula>
    </cfRule>
    <cfRule type="containsText" dxfId="2" priority="3791" operator="between" text="库存为">
      <formula>NOT(ISERROR(SEARCH("库存为",AU630)))</formula>
    </cfRule>
  </conditionalFormatting>
  <conditionalFormatting sqref="AU631">
    <cfRule type="cellIs" dxfId="0" priority="5480" operator="lessThan">
      <formula>20</formula>
    </cfRule>
    <cfRule type="cellIs" dxfId="1" priority="4635" operator="greaterThan">
      <formula>120</formula>
    </cfRule>
    <cfRule type="containsText" dxfId="2" priority="3790" operator="between" text="库存为">
      <formula>NOT(ISERROR(SEARCH("库存为",AU631)))</formula>
    </cfRule>
  </conditionalFormatting>
  <conditionalFormatting sqref="AU632">
    <cfRule type="cellIs" dxfId="0" priority="5479" operator="lessThan">
      <formula>20</formula>
    </cfRule>
    <cfRule type="cellIs" dxfId="1" priority="4634" operator="greaterThan">
      <formula>120</formula>
    </cfRule>
    <cfRule type="containsText" dxfId="2" priority="3789" operator="between" text="库存为">
      <formula>NOT(ISERROR(SEARCH("库存为",AU632)))</formula>
    </cfRule>
  </conditionalFormatting>
  <conditionalFormatting sqref="AU633">
    <cfRule type="cellIs" dxfId="0" priority="5478" operator="lessThan">
      <formula>20</formula>
    </cfRule>
    <cfRule type="cellIs" dxfId="1" priority="4633" operator="greaterThan">
      <formula>120</formula>
    </cfRule>
    <cfRule type="containsText" dxfId="2" priority="3788" operator="between" text="库存为">
      <formula>NOT(ISERROR(SEARCH("库存为",AU633)))</formula>
    </cfRule>
  </conditionalFormatting>
  <conditionalFormatting sqref="AU634">
    <cfRule type="cellIs" dxfId="0" priority="5477" operator="lessThan">
      <formula>20</formula>
    </cfRule>
    <cfRule type="cellIs" dxfId="1" priority="4632" operator="greaterThan">
      <formula>120</formula>
    </cfRule>
    <cfRule type="containsText" dxfId="2" priority="3787" operator="between" text="库存为">
      <formula>NOT(ISERROR(SEARCH("库存为",AU634)))</formula>
    </cfRule>
  </conditionalFormatting>
  <conditionalFormatting sqref="AU635">
    <cfRule type="cellIs" dxfId="0" priority="5476" operator="lessThan">
      <formula>20</formula>
    </cfRule>
    <cfRule type="cellIs" dxfId="1" priority="4631" operator="greaterThan">
      <formula>120</formula>
    </cfRule>
    <cfRule type="containsText" dxfId="2" priority="3786" operator="between" text="库存为">
      <formula>NOT(ISERROR(SEARCH("库存为",AU635)))</formula>
    </cfRule>
  </conditionalFormatting>
  <conditionalFormatting sqref="AU636">
    <cfRule type="cellIs" dxfId="0" priority="5475" operator="lessThan">
      <formula>20</formula>
    </cfRule>
    <cfRule type="cellIs" dxfId="1" priority="4630" operator="greaterThan">
      <formula>120</formula>
    </cfRule>
    <cfRule type="containsText" dxfId="2" priority="3785" operator="between" text="库存为">
      <formula>NOT(ISERROR(SEARCH("库存为",AU636)))</formula>
    </cfRule>
  </conditionalFormatting>
  <conditionalFormatting sqref="AU637">
    <cfRule type="cellIs" dxfId="0" priority="5474" operator="lessThan">
      <formula>20</formula>
    </cfRule>
    <cfRule type="cellIs" dxfId="1" priority="4629" operator="greaterThan">
      <formula>120</formula>
    </cfRule>
    <cfRule type="containsText" dxfId="2" priority="3784" operator="between" text="库存为">
      <formula>NOT(ISERROR(SEARCH("库存为",AU637)))</formula>
    </cfRule>
  </conditionalFormatting>
  <conditionalFormatting sqref="AU638">
    <cfRule type="cellIs" dxfId="0" priority="5473" operator="lessThan">
      <formula>20</formula>
    </cfRule>
    <cfRule type="cellIs" dxfId="1" priority="4628" operator="greaterThan">
      <formula>120</formula>
    </cfRule>
    <cfRule type="containsText" dxfId="2" priority="3783" operator="between" text="库存为">
      <formula>NOT(ISERROR(SEARCH("库存为",AU638)))</formula>
    </cfRule>
  </conditionalFormatting>
  <conditionalFormatting sqref="AU639">
    <cfRule type="cellIs" dxfId="0" priority="5472" operator="lessThan">
      <formula>20</formula>
    </cfRule>
    <cfRule type="cellIs" dxfId="1" priority="4627" operator="greaterThan">
      <formula>120</formula>
    </cfRule>
    <cfRule type="containsText" dxfId="2" priority="3782" operator="between" text="库存为">
      <formula>NOT(ISERROR(SEARCH("库存为",AU639)))</formula>
    </cfRule>
  </conditionalFormatting>
  <conditionalFormatting sqref="AU640">
    <cfRule type="cellIs" dxfId="0" priority="5471" operator="lessThan">
      <formula>20</formula>
    </cfRule>
    <cfRule type="cellIs" dxfId="1" priority="4626" operator="greaterThan">
      <formula>120</formula>
    </cfRule>
    <cfRule type="containsText" dxfId="2" priority="3781" operator="between" text="库存为">
      <formula>NOT(ISERROR(SEARCH("库存为",AU640)))</formula>
    </cfRule>
  </conditionalFormatting>
  <conditionalFormatting sqref="AU641">
    <cfRule type="cellIs" dxfId="0" priority="5470" operator="lessThan">
      <formula>20</formula>
    </cfRule>
    <cfRule type="cellIs" dxfId="1" priority="4625" operator="greaterThan">
      <formula>120</formula>
    </cfRule>
    <cfRule type="containsText" dxfId="2" priority="3780" operator="between" text="库存为">
      <formula>NOT(ISERROR(SEARCH("库存为",AU641)))</formula>
    </cfRule>
  </conditionalFormatting>
  <conditionalFormatting sqref="AU642">
    <cfRule type="cellIs" dxfId="0" priority="5469" operator="lessThan">
      <formula>20</formula>
    </cfRule>
    <cfRule type="cellIs" dxfId="1" priority="4624" operator="greaterThan">
      <formula>120</formula>
    </cfRule>
    <cfRule type="containsText" dxfId="2" priority="3779" operator="between" text="库存为">
      <formula>NOT(ISERROR(SEARCH("库存为",AU642)))</formula>
    </cfRule>
  </conditionalFormatting>
  <conditionalFormatting sqref="AU643">
    <cfRule type="cellIs" dxfId="0" priority="5468" operator="lessThan">
      <formula>20</formula>
    </cfRule>
    <cfRule type="cellIs" dxfId="1" priority="4623" operator="greaterThan">
      <formula>120</formula>
    </cfRule>
    <cfRule type="containsText" dxfId="2" priority="3778" operator="between" text="库存为">
      <formula>NOT(ISERROR(SEARCH("库存为",AU643)))</formula>
    </cfRule>
  </conditionalFormatting>
  <conditionalFormatting sqref="AU644">
    <cfRule type="cellIs" dxfId="0" priority="5467" operator="lessThan">
      <formula>20</formula>
    </cfRule>
    <cfRule type="cellIs" dxfId="1" priority="4622" operator="greaterThan">
      <formula>120</formula>
    </cfRule>
    <cfRule type="containsText" dxfId="2" priority="3777" operator="between" text="库存为">
      <formula>NOT(ISERROR(SEARCH("库存为",AU644)))</formula>
    </cfRule>
  </conditionalFormatting>
  <conditionalFormatting sqref="AU645">
    <cfRule type="cellIs" dxfId="0" priority="5466" operator="lessThan">
      <formula>20</formula>
    </cfRule>
    <cfRule type="cellIs" dxfId="1" priority="4621" operator="greaterThan">
      <formula>120</formula>
    </cfRule>
    <cfRule type="containsText" dxfId="2" priority="3776" operator="between" text="库存为">
      <formula>NOT(ISERROR(SEARCH("库存为",AU645)))</formula>
    </cfRule>
  </conditionalFormatting>
  <conditionalFormatting sqref="AU646">
    <cfRule type="cellIs" dxfId="0" priority="5465" operator="lessThan">
      <formula>20</formula>
    </cfRule>
    <cfRule type="cellIs" dxfId="1" priority="4620" operator="greaterThan">
      <formula>120</formula>
    </cfRule>
    <cfRule type="containsText" dxfId="2" priority="3775" operator="between" text="库存为">
      <formula>NOT(ISERROR(SEARCH("库存为",AU646)))</formula>
    </cfRule>
  </conditionalFormatting>
  <conditionalFormatting sqref="AU647">
    <cfRule type="cellIs" dxfId="0" priority="5464" operator="lessThan">
      <formula>20</formula>
    </cfRule>
    <cfRule type="cellIs" dxfId="1" priority="4619" operator="greaterThan">
      <formula>120</formula>
    </cfRule>
    <cfRule type="containsText" dxfId="2" priority="3774" operator="between" text="库存为">
      <formula>NOT(ISERROR(SEARCH("库存为",AU647)))</formula>
    </cfRule>
  </conditionalFormatting>
  <conditionalFormatting sqref="AU648">
    <cfRule type="cellIs" dxfId="0" priority="5463" operator="lessThan">
      <formula>20</formula>
    </cfRule>
    <cfRule type="cellIs" dxfId="1" priority="4618" operator="greaterThan">
      <formula>120</formula>
    </cfRule>
    <cfRule type="containsText" dxfId="2" priority="3773" operator="between" text="库存为">
      <formula>NOT(ISERROR(SEARCH("库存为",AU648)))</formula>
    </cfRule>
  </conditionalFormatting>
  <conditionalFormatting sqref="AU649">
    <cfRule type="cellIs" dxfId="0" priority="5462" operator="lessThan">
      <formula>20</formula>
    </cfRule>
    <cfRule type="cellIs" dxfId="1" priority="4617" operator="greaterThan">
      <formula>120</formula>
    </cfRule>
    <cfRule type="containsText" dxfId="2" priority="3772" operator="between" text="库存为">
      <formula>NOT(ISERROR(SEARCH("库存为",AU649)))</formula>
    </cfRule>
  </conditionalFormatting>
  <conditionalFormatting sqref="AU650">
    <cfRule type="cellIs" dxfId="0" priority="5461" operator="lessThan">
      <formula>20</formula>
    </cfRule>
    <cfRule type="cellIs" dxfId="1" priority="4616" operator="greaterThan">
      <formula>120</formula>
    </cfRule>
    <cfRule type="containsText" dxfId="2" priority="3771" operator="between" text="库存为">
      <formula>NOT(ISERROR(SEARCH("库存为",AU650)))</formula>
    </cfRule>
  </conditionalFormatting>
  <conditionalFormatting sqref="AU651">
    <cfRule type="cellIs" dxfId="0" priority="5460" operator="lessThan">
      <formula>20</formula>
    </cfRule>
    <cfRule type="cellIs" dxfId="1" priority="4615" operator="greaterThan">
      <formula>120</formula>
    </cfRule>
    <cfRule type="containsText" dxfId="2" priority="3770" operator="between" text="库存为">
      <formula>NOT(ISERROR(SEARCH("库存为",AU651)))</formula>
    </cfRule>
  </conditionalFormatting>
  <conditionalFormatting sqref="AU652">
    <cfRule type="cellIs" dxfId="0" priority="5459" operator="lessThan">
      <formula>20</formula>
    </cfRule>
    <cfRule type="cellIs" dxfId="1" priority="4614" operator="greaterThan">
      <formula>120</formula>
    </cfRule>
    <cfRule type="containsText" dxfId="2" priority="3769" operator="between" text="库存为">
      <formula>NOT(ISERROR(SEARCH("库存为",AU652)))</formula>
    </cfRule>
  </conditionalFormatting>
  <conditionalFormatting sqref="AU653">
    <cfRule type="cellIs" dxfId="0" priority="5458" operator="lessThan">
      <formula>20</formula>
    </cfRule>
    <cfRule type="cellIs" dxfId="1" priority="4613" operator="greaterThan">
      <formula>120</formula>
    </cfRule>
    <cfRule type="containsText" dxfId="2" priority="3768" operator="between" text="库存为">
      <formula>NOT(ISERROR(SEARCH("库存为",AU653)))</formula>
    </cfRule>
  </conditionalFormatting>
  <conditionalFormatting sqref="AU654">
    <cfRule type="cellIs" dxfId="0" priority="5457" operator="lessThan">
      <formula>20</formula>
    </cfRule>
    <cfRule type="cellIs" dxfId="1" priority="4612" operator="greaterThan">
      <formula>120</formula>
    </cfRule>
    <cfRule type="containsText" dxfId="2" priority="3767" operator="between" text="库存为">
      <formula>NOT(ISERROR(SEARCH("库存为",AU654)))</formula>
    </cfRule>
  </conditionalFormatting>
  <conditionalFormatting sqref="AU655">
    <cfRule type="cellIs" dxfId="0" priority="5456" operator="lessThan">
      <formula>20</formula>
    </cfRule>
    <cfRule type="cellIs" dxfId="1" priority="4611" operator="greaterThan">
      <formula>120</formula>
    </cfRule>
    <cfRule type="containsText" dxfId="2" priority="3766" operator="between" text="库存为">
      <formula>NOT(ISERROR(SEARCH("库存为",AU655)))</formula>
    </cfRule>
  </conditionalFormatting>
  <conditionalFormatting sqref="AU656">
    <cfRule type="cellIs" dxfId="0" priority="5455" operator="lessThan">
      <formula>20</formula>
    </cfRule>
    <cfRule type="cellIs" dxfId="1" priority="4610" operator="greaterThan">
      <formula>120</formula>
    </cfRule>
    <cfRule type="containsText" dxfId="2" priority="3765" operator="between" text="库存为">
      <formula>NOT(ISERROR(SEARCH("库存为",AU656)))</formula>
    </cfRule>
  </conditionalFormatting>
  <conditionalFormatting sqref="AU657">
    <cfRule type="cellIs" dxfId="0" priority="5454" operator="lessThan">
      <formula>20</formula>
    </cfRule>
    <cfRule type="cellIs" dxfId="1" priority="4609" operator="greaterThan">
      <formula>120</formula>
    </cfRule>
    <cfRule type="containsText" dxfId="2" priority="3764" operator="between" text="库存为">
      <formula>NOT(ISERROR(SEARCH("库存为",AU657)))</formula>
    </cfRule>
  </conditionalFormatting>
  <conditionalFormatting sqref="AU658">
    <cfRule type="cellIs" dxfId="0" priority="5453" operator="lessThan">
      <formula>20</formula>
    </cfRule>
    <cfRule type="cellIs" dxfId="1" priority="4608" operator="greaterThan">
      <formula>120</formula>
    </cfRule>
    <cfRule type="containsText" dxfId="2" priority="3763" operator="between" text="库存为">
      <formula>NOT(ISERROR(SEARCH("库存为",AU658)))</formula>
    </cfRule>
  </conditionalFormatting>
  <conditionalFormatting sqref="AU659">
    <cfRule type="cellIs" dxfId="0" priority="5452" operator="lessThan">
      <formula>20</formula>
    </cfRule>
    <cfRule type="cellIs" dxfId="1" priority="4607" operator="greaterThan">
      <formula>120</formula>
    </cfRule>
    <cfRule type="containsText" dxfId="2" priority="3762" operator="between" text="库存为">
      <formula>NOT(ISERROR(SEARCH("库存为",AU659)))</formula>
    </cfRule>
  </conditionalFormatting>
  <conditionalFormatting sqref="AU660">
    <cfRule type="cellIs" dxfId="0" priority="5451" operator="lessThan">
      <formula>20</formula>
    </cfRule>
    <cfRule type="cellIs" dxfId="1" priority="4606" operator="greaterThan">
      <formula>120</formula>
    </cfRule>
    <cfRule type="containsText" dxfId="2" priority="3761" operator="between" text="库存为">
      <formula>NOT(ISERROR(SEARCH("库存为",AU660)))</formula>
    </cfRule>
  </conditionalFormatting>
  <conditionalFormatting sqref="AU661">
    <cfRule type="cellIs" dxfId="0" priority="5450" operator="lessThan">
      <formula>20</formula>
    </cfRule>
    <cfRule type="cellIs" dxfId="1" priority="4605" operator="greaterThan">
      <formula>120</formula>
    </cfRule>
    <cfRule type="containsText" dxfId="2" priority="3760" operator="between" text="库存为">
      <formula>NOT(ISERROR(SEARCH("库存为",AU661)))</formula>
    </cfRule>
  </conditionalFormatting>
  <conditionalFormatting sqref="AU662">
    <cfRule type="cellIs" dxfId="0" priority="5449" operator="lessThan">
      <formula>20</formula>
    </cfRule>
    <cfRule type="cellIs" dxfId="1" priority="4604" operator="greaterThan">
      <formula>120</formula>
    </cfRule>
    <cfRule type="containsText" dxfId="2" priority="3759" operator="between" text="库存为">
      <formula>NOT(ISERROR(SEARCH("库存为",AU662)))</formula>
    </cfRule>
  </conditionalFormatting>
  <conditionalFormatting sqref="AU663">
    <cfRule type="cellIs" dxfId="0" priority="5448" operator="lessThan">
      <formula>20</formula>
    </cfRule>
    <cfRule type="cellIs" dxfId="1" priority="4603" operator="greaterThan">
      <formula>120</formula>
    </cfRule>
    <cfRule type="containsText" dxfId="2" priority="3758" operator="between" text="库存为">
      <formula>NOT(ISERROR(SEARCH("库存为",AU663)))</formula>
    </cfRule>
  </conditionalFormatting>
  <conditionalFormatting sqref="AU664">
    <cfRule type="cellIs" dxfId="0" priority="5447" operator="lessThan">
      <formula>20</formula>
    </cfRule>
    <cfRule type="cellIs" dxfId="1" priority="4602" operator="greaterThan">
      <formula>120</formula>
    </cfRule>
    <cfRule type="containsText" dxfId="2" priority="3757" operator="between" text="库存为">
      <formula>NOT(ISERROR(SEARCH("库存为",AU664)))</formula>
    </cfRule>
  </conditionalFormatting>
  <conditionalFormatting sqref="AU665">
    <cfRule type="cellIs" dxfId="0" priority="5446" operator="lessThan">
      <formula>20</formula>
    </cfRule>
    <cfRule type="cellIs" dxfId="1" priority="4601" operator="greaterThan">
      <formula>120</formula>
    </cfRule>
    <cfRule type="containsText" dxfId="2" priority="3756" operator="between" text="库存为">
      <formula>NOT(ISERROR(SEARCH("库存为",AU665)))</formula>
    </cfRule>
  </conditionalFormatting>
  <conditionalFormatting sqref="AU666">
    <cfRule type="cellIs" dxfId="0" priority="5445" operator="lessThan">
      <formula>20</formula>
    </cfRule>
    <cfRule type="cellIs" dxfId="1" priority="4600" operator="greaterThan">
      <formula>120</formula>
    </cfRule>
    <cfRule type="containsText" dxfId="2" priority="3755" operator="between" text="库存为">
      <formula>NOT(ISERROR(SEARCH("库存为",AU666)))</formula>
    </cfRule>
  </conditionalFormatting>
  <conditionalFormatting sqref="AU667">
    <cfRule type="cellIs" dxfId="0" priority="5444" operator="lessThan">
      <formula>20</formula>
    </cfRule>
    <cfRule type="cellIs" dxfId="1" priority="4599" operator="greaterThan">
      <formula>120</formula>
    </cfRule>
    <cfRule type="containsText" dxfId="2" priority="3754" operator="between" text="库存为">
      <formula>NOT(ISERROR(SEARCH("库存为",AU667)))</formula>
    </cfRule>
  </conditionalFormatting>
  <conditionalFormatting sqref="AU668">
    <cfRule type="cellIs" dxfId="0" priority="5443" operator="lessThan">
      <formula>20</formula>
    </cfRule>
    <cfRule type="cellIs" dxfId="1" priority="4598" operator="greaterThan">
      <formula>120</formula>
    </cfRule>
    <cfRule type="containsText" dxfId="2" priority="3753" operator="between" text="库存为">
      <formula>NOT(ISERROR(SEARCH("库存为",AU668)))</formula>
    </cfRule>
  </conditionalFormatting>
  <conditionalFormatting sqref="AU669">
    <cfRule type="cellIs" dxfId="0" priority="5442" operator="lessThan">
      <formula>20</formula>
    </cfRule>
    <cfRule type="cellIs" dxfId="1" priority="4597" operator="greaterThan">
      <formula>120</formula>
    </cfRule>
    <cfRule type="containsText" dxfId="2" priority="3752" operator="between" text="库存为">
      <formula>NOT(ISERROR(SEARCH("库存为",AU669)))</formula>
    </cfRule>
  </conditionalFormatting>
  <conditionalFormatting sqref="AU670">
    <cfRule type="cellIs" dxfId="0" priority="5441" operator="lessThan">
      <formula>20</formula>
    </cfRule>
    <cfRule type="cellIs" dxfId="1" priority="4596" operator="greaterThan">
      <formula>120</formula>
    </cfRule>
    <cfRule type="containsText" dxfId="2" priority="3751" operator="between" text="库存为">
      <formula>NOT(ISERROR(SEARCH("库存为",AU670)))</formula>
    </cfRule>
  </conditionalFormatting>
  <conditionalFormatting sqref="AU671">
    <cfRule type="cellIs" dxfId="0" priority="5440" operator="lessThan">
      <formula>20</formula>
    </cfRule>
    <cfRule type="cellIs" dxfId="1" priority="4595" operator="greaterThan">
      <formula>120</formula>
    </cfRule>
    <cfRule type="containsText" dxfId="2" priority="3750" operator="between" text="库存为">
      <formula>NOT(ISERROR(SEARCH("库存为",AU671)))</formula>
    </cfRule>
  </conditionalFormatting>
  <conditionalFormatting sqref="AU672">
    <cfRule type="cellIs" dxfId="0" priority="5439" operator="lessThan">
      <formula>20</formula>
    </cfRule>
    <cfRule type="cellIs" dxfId="1" priority="4594" operator="greaterThan">
      <formula>120</formula>
    </cfRule>
    <cfRule type="containsText" dxfId="2" priority="3749" operator="between" text="库存为">
      <formula>NOT(ISERROR(SEARCH("库存为",AU672)))</formula>
    </cfRule>
  </conditionalFormatting>
  <conditionalFormatting sqref="AU673">
    <cfRule type="cellIs" dxfId="0" priority="5438" operator="lessThan">
      <formula>20</formula>
    </cfRule>
    <cfRule type="cellIs" dxfId="1" priority="4593" operator="greaterThan">
      <formula>120</formula>
    </cfRule>
    <cfRule type="containsText" dxfId="2" priority="3748" operator="between" text="库存为">
      <formula>NOT(ISERROR(SEARCH("库存为",AU673)))</formula>
    </cfRule>
  </conditionalFormatting>
  <conditionalFormatting sqref="AU674">
    <cfRule type="cellIs" dxfId="0" priority="5437" operator="lessThan">
      <formula>20</formula>
    </cfRule>
    <cfRule type="cellIs" dxfId="1" priority="4592" operator="greaterThan">
      <formula>120</formula>
    </cfRule>
    <cfRule type="containsText" dxfId="2" priority="3747" operator="between" text="库存为">
      <formula>NOT(ISERROR(SEARCH("库存为",AU674)))</formula>
    </cfRule>
  </conditionalFormatting>
  <conditionalFormatting sqref="AU675">
    <cfRule type="cellIs" dxfId="0" priority="5436" operator="lessThan">
      <formula>20</formula>
    </cfRule>
    <cfRule type="cellIs" dxfId="1" priority="4591" operator="greaterThan">
      <formula>120</formula>
    </cfRule>
    <cfRule type="containsText" dxfId="2" priority="3746" operator="between" text="库存为">
      <formula>NOT(ISERROR(SEARCH("库存为",AU675)))</formula>
    </cfRule>
  </conditionalFormatting>
  <conditionalFormatting sqref="AU676">
    <cfRule type="cellIs" dxfId="0" priority="5435" operator="lessThan">
      <formula>20</formula>
    </cfRule>
    <cfRule type="cellIs" dxfId="1" priority="4590" operator="greaterThan">
      <formula>120</formula>
    </cfRule>
    <cfRule type="containsText" dxfId="2" priority="3745" operator="between" text="库存为">
      <formula>NOT(ISERROR(SEARCH("库存为",AU676)))</formula>
    </cfRule>
  </conditionalFormatting>
  <conditionalFormatting sqref="AU677">
    <cfRule type="cellIs" dxfId="0" priority="5434" operator="lessThan">
      <formula>20</formula>
    </cfRule>
    <cfRule type="cellIs" dxfId="1" priority="4589" operator="greaterThan">
      <formula>120</formula>
    </cfRule>
    <cfRule type="containsText" dxfId="2" priority="3744" operator="between" text="库存为">
      <formula>NOT(ISERROR(SEARCH("库存为",AU677)))</formula>
    </cfRule>
  </conditionalFormatting>
  <conditionalFormatting sqref="AU678">
    <cfRule type="cellIs" dxfId="0" priority="5433" operator="lessThan">
      <formula>20</formula>
    </cfRule>
    <cfRule type="cellIs" dxfId="1" priority="4588" operator="greaterThan">
      <formula>120</formula>
    </cfRule>
    <cfRule type="containsText" dxfId="2" priority="3743" operator="between" text="库存为">
      <formula>NOT(ISERROR(SEARCH("库存为",AU678)))</formula>
    </cfRule>
  </conditionalFormatting>
  <conditionalFormatting sqref="AU679">
    <cfRule type="cellIs" dxfId="0" priority="5432" operator="lessThan">
      <formula>20</formula>
    </cfRule>
    <cfRule type="cellIs" dxfId="1" priority="4587" operator="greaterThan">
      <formula>120</formula>
    </cfRule>
    <cfRule type="containsText" dxfId="2" priority="3742" operator="between" text="库存为">
      <formula>NOT(ISERROR(SEARCH("库存为",AU679)))</formula>
    </cfRule>
  </conditionalFormatting>
  <conditionalFormatting sqref="AU680">
    <cfRule type="cellIs" dxfId="0" priority="5431" operator="lessThan">
      <formula>20</formula>
    </cfRule>
    <cfRule type="cellIs" dxfId="1" priority="4586" operator="greaterThan">
      <formula>120</formula>
    </cfRule>
    <cfRule type="containsText" dxfId="2" priority="3741" operator="between" text="库存为">
      <formula>NOT(ISERROR(SEARCH("库存为",AU680)))</formula>
    </cfRule>
  </conditionalFormatting>
  <conditionalFormatting sqref="AU681">
    <cfRule type="cellIs" dxfId="0" priority="5430" operator="lessThan">
      <formula>20</formula>
    </cfRule>
    <cfRule type="cellIs" dxfId="1" priority="4585" operator="greaterThan">
      <formula>120</formula>
    </cfRule>
    <cfRule type="containsText" dxfId="2" priority="3740" operator="between" text="库存为">
      <formula>NOT(ISERROR(SEARCH("库存为",AU681)))</formula>
    </cfRule>
  </conditionalFormatting>
  <conditionalFormatting sqref="AU682">
    <cfRule type="cellIs" dxfId="0" priority="5429" operator="lessThan">
      <formula>20</formula>
    </cfRule>
    <cfRule type="cellIs" dxfId="1" priority="4584" operator="greaterThan">
      <formula>120</formula>
    </cfRule>
    <cfRule type="containsText" dxfId="2" priority="3739" operator="between" text="库存为">
      <formula>NOT(ISERROR(SEARCH("库存为",AU682)))</formula>
    </cfRule>
  </conditionalFormatting>
  <conditionalFormatting sqref="AU683">
    <cfRule type="cellIs" dxfId="0" priority="5428" operator="lessThan">
      <formula>20</formula>
    </cfRule>
    <cfRule type="cellIs" dxfId="1" priority="4583" operator="greaterThan">
      <formula>120</formula>
    </cfRule>
    <cfRule type="containsText" dxfId="2" priority="3738" operator="between" text="库存为">
      <formula>NOT(ISERROR(SEARCH("库存为",AU683)))</formula>
    </cfRule>
  </conditionalFormatting>
  <conditionalFormatting sqref="AU684">
    <cfRule type="cellIs" dxfId="0" priority="5427" operator="lessThan">
      <formula>20</formula>
    </cfRule>
    <cfRule type="cellIs" dxfId="1" priority="4582" operator="greaterThan">
      <formula>120</formula>
    </cfRule>
    <cfRule type="containsText" dxfId="2" priority="3737" operator="between" text="库存为">
      <formula>NOT(ISERROR(SEARCH("库存为",AU684)))</formula>
    </cfRule>
  </conditionalFormatting>
  <conditionalFormatting sqref="AU685">
    <cfRule type="cellIs" dxfId="0" priority="5426" operator="lessThan">
      <formula>20</formula>
    </cfRule>
    <cfRule type="cellIs" dxfId="1" priority="4581" operator="greaterThan">
      <formula>120</formula>
    </cfRule>
    <cfRule type="containsText" dxfId="2" priority="3736" operator="between" text="库存为">
      <formula>NOT(ISERROR(SEARCH("库存为",AU685)))</formula>
    </cfRule>
  </conditionalFormatting>
  <conditionalFormatting sqref="AU686">
    <cfRule type="cellIs" dxfId="0" priority="5425" operator="lessThan">
      <formula>20</formula>
    </cfRule>
    <cfRule type="cellIs" dxfId="1" priority="4580" operator="greaterThan">
      <formula>120</formula>
    </cfRule>
    <cfRule type="containsText" dxfId="2" priority="3735" operator="between" text="库存为">
      <formula>NOT(ISERROR(SEARCH("库存为",AU686)))</formula>
    </cfRule>
  </conditionalFormatting>
  <conditionalFormatting sqref="AU687">
    <cfRule type="cellIs" dxfId="0" priority="5424" operator="lessThan">
      <formula>20</formula>
    </cfRule>
    <cfRule type="cellIs" dxfId="1" priority="4579" operator="greaterThan">
      <formula>120</formula>
    </cfRule>
    <cfRule type="containsText" dxfId="2" priority="3734" operator="between" text="库存为">
      <formula>NOT(ISERROR(SEARCH("库存为",AU687)))</formula>
    </cfRule>
  </conditionalFormatting>
  <conditionalFormatting sqref="AU688">
    <cfRule type="cellIs" dxfId="0" priority="5423" operator="lessThan">
      <formula>20</formula>
    </cfRule>
    <cfRule type="cellIs" dxfId="1" priority="4578" operator="greaterThan">
      <formula>120</formula>
    </cfRule>
    <cfRule type="containsText" dxfId="2" priority="3733" operator="between" text="库存为">
      <formula>NOT(ISERROR(SEARCH("库存为",AU688)))</formula>
    </cfRule>
  </conditionalFormatting>
  <conditionalFormatting sqref="AU689">
    <cfRule type="cellIs" dxfId="0" priority="5422" operator="lessThan">
      <formula>20</formula>
    </cfRule>
    <cfRule type="cellIs" dxfId="1" priority="4577" operator="greaterThan">
      <formula>120</formula>
    </cfRule>
    <cfRule type="containsText" dxfId="2" priority="3732" operator="between" text="库存为">
      <formula>NOT(ISERROR(SEARCH("库存为",AU689)))</formula>
    </cfRule>
  </conditionalFormatting>
  <conditionalFormatting sqref="AU690">
    <cfRule type="cellIs" dxfId="0" priority="5421" operator="lessThan">
      <formula>20</formula>
    </cfRule>
    <cfRule type="cellIs" dxfId="1" priority="4576" operator="greaterThan">
      <formula>120</formula>
    </cfRule>
    <cfRule type="containsText" dxfId="2" priority="3731" operator="between" text="库存为">
      <formula>NOT(ISERROR(SEARCH("库存为",AU690)))</formula>
    </cfRule>
  </conditionalFormatting>
  <conditionalFormatting sqref="AU691">
    <cfRule type="cellIs" dxfId="0" priority="5420" operator="lessThan">
      <formula>20</formula>
    </cfRule>
    <cfRule type="cellIs" dxfId="1" priority="4575" operator="greaterThan">
      <formula>120</formula>
    </cfRule>
    <cfRule type="containsText" dxfId="2" priority="3730" operator="between" text="库存为">
      <formula>NOT(ISERROR(SEARCH("库存为",AU691)))</formula>
    </cfRule>
  </conditionalFormatting>
  <conditionalFormatting sqref="AU692">
    <cfRule type="cellIs" dxfId="0" priority="5419" operator="lessThan">
      <formula>20</formula>
    </cfRule>
    <cfRule type="cellIs" dxfId="1" priority="4574" operator="greaterThan">
      <formula>120</formula>
    </cfRule>
    <cfRule type="containsText" dxfId="2" priority="3729" operator="between" text="库存为">
      <formula>NOT(ISERROR(SEARCH("库存为",AU692)))</formula>
    </cfRule>
  </conditionalFormatting>
  <conditionalFormatting sqref="AU693">
    <cfRule type="cellIs" dxfId="0" priority="5418" operator="lessThan">
      <formula>20</formula>
    </cfRule>
    <cfRule type="cellIs" dxfId="1" priority="4573" operator="greaterThan">
      <formula>120</formula>
    </cfRule>
    <cfRule type="containsText" dxfId="2" priority="3728" operator="between" text="库存为">
      <formula>NOT(ISERROR(SEARCH("库存为",AU693)))</formula>
    </cfRule>
  </conditionalFormatting>
  <conditionalFormatting sqref="AU694">
    <cfRule type="cellIs" dxfId="0" priority="5417" operator="lessThan">
      <formula>20</formula>
    </cfRule>
    <cfRule type="cellIs" dxfId="1" priority="4572" operator="greaterThan">
      <formula>120</formula>
    </cfRule>
    <cfRule type="containsText" dxfId="2" priority="3727" operator="between" text="库存为">
      <formula>NOT(ISERROR(SEARCH("库存为",AU694)))</formula>
    </cfRule>
  </conditionalFormatting>
  <conditionalFormatting sqref="AU695">
    <cfRule type="cellIs" dxfId="0" priority="5416" operator="lessThan">
      <formula>20</formula>
    </cfRule>
    <cfRule type="cellIs" dxfId="1" priority="4571" operator="greaterThan">
      <formula>120</formula>
    </cfRule>
    <cfRule type="containsText" dxfId="2" priority="3726" operator="between" text="库存为">
      <formula>NOT(ISERROR(SEARCH("库存为",AU695)))</formula>
    </cfRule>
  </conditionalFormatting>
  <conditionalFormatting sqref="AU696">
    <cfRule type="cellIs" dxfId="0" priority="5415" operator="lessThan">
      <formula>20</formula>
    </cfRule>
    <cfRule type="cellIs" dxfId="1" priority="4570" operator="greaterThan">
      <formula>120</formula>
    </cfRule>
    <cfRule type="containsText" dxfId="2" priority="3725" operator="between" text="库存为">
      <formula>NOT(ISERROR(SEARCH("库存为",AU696)))</formula>
    </cfRule>
  </conditionalFormatting>
  <conditionalFormatting sqref="AU697">
    <cfRule type="cellIs" dxfId="0" priority="5414" operator="lessThan">
      <formula>20</formula>
    </cfRule>
    <cfRule type="cellIs" dxfId="1" priority="4569" operator="greaterThan">
      <formula>120</formula>
    </cfRule>
    <cfRule type="containsText" dxfId="2" priority="3724" operator="between" text="库存为">
      <formula>NOT(ISERROR(SEARCH("库存为",AU697)))</formula>
    </cfRule>
  </conditionalFormatting>
  <conditionalFormatting sqref="AU698">
    <cfRule type="cellIs" dxfId="0" priority="5413" operator="lessThan">
      <formula>20</formula>
    </cfRule>
    <cfRule type="cellIs" dxfId="1" priority="4568" operator="greaterThan">
      <formula>120</formula>
    </cfRule>
    <cfRule type="containsText" dxfId="2" priority="3723" operator="between" text="库存为">
      <formula>NOT(ISERROR(SEARCH("库存为",AU698)))</formula>
    </cfRule>
  </conditionalFormatting>
  <conditionalFormatting sqref="AU699">
    <cfRule type="cellIs" dxfId="0" priority="5412" operator="lessThan">
      <formula>20</formula>
    </cfRule>
    <cfRule type="cellIs" dxfId="1" priority="4567" operator="greaterThan">
      <formula>120</formula>
    </cfRule>
    <cfRule type="containsText" dxfId="2" priority="3722" operator="between" text="库存为">
      <formula>NOT(ISERROR(SEARCH("库存为",AU699)))</formula>
    </cfRule>
  </conditionalFormatting>
  <conditionalFormatting sqref="AU700">
    <cfRule type="cellIs" dxfId="0" priority="5411" operator="lessThan">
      <formula>20</formula>
    </cfRule>
    <cfRule type="cellIs" dxfId="1" priority="4566" operator="greaterThan">
      <formula>120</formula>
    </cfRule>
    <cfRule type="containsText" dxfId="2" priority="3721" operator="between" text="库存为">
      <formula>NOT(ISERROR(SEARCH("库存为",AU700)))</formula>
    </cfRule>
  </conditionalFormatting>
  <conditionalFormatting sqref="AU701">
    <cfRule type="cellIs" dxfId="0" priority="5410" operator="lessThan">
      <formula>20</formula>
    </cfRule>
    <cfRule type="cellIs" dxfId="1" priority="4565" operator="greaterThan">
      <formula>120</formula>
    </cfRule>
    <cfRule type="containsText" dxfId="2" priority="3720" operator="between" text="库存为">
      <formula>NOT(ISERROR(SEARCH("库存为",AU701)))</formula>
    </cfRule>
  </conditionalFormatting>
  <conditionalFormatting sqref="AU702">
    <cfRule type="cellIs" dxfId="0" priority="5409" operator="lessThan">
      <formula>20</formula>
    </cfRule>
    <cfRule type="cellIs" dxfId="1" priority="4564" operator="greaterThan">
      <formula>120</formula>
    </cfRule>
    <cfRule type="containsText" dxfId="2" priority="3719" operator="between" text="库存为">
      <formula>NOT(ISERROR(SEARCH("库存为",AU702)))</formula>
    </cfRule>
  </conditionalFormatting>
  <conditionalFormatting sqref="AU703">
    <cfRule type="cellIs" dxfId="0" priority="5408" operator="lessThan">
      <formula>20</formula>
    </cfRule>
    <cfRule type="cellIs" dxfId="1" priority="4563" operator="greaterThan">
      <formula>120</formula>
    </cfRule>
    <cfRule type="containsText" dxfId="2" priority="3718" operator="between" text="库存为">
      <formula>NOT(ISERROR(SEARCH("库存为",AU703)))</formula>
    </cfRule>
  </conditionalFormatting>
  <conditionalFormatting sqref="AU704">
    <cfRule type="cellIs" dxfId="0" priority="5407" operator="lessThan">
      <formula>20</formula>
    </cfRule>
    <cfRule type="cellIs" dxfId="1" priority="4562" operator="greaterThan">
      <formula>120</formula>
    </cfRule>
    <cfRule type="containsText" dxfId="2" priority="3717" operator="between" text="库存为">
      <formula>NOT(ISERROR(SEARCH("库存为",AU704)))</formula>
    </cfRule>
  </conditionalFormatting>
  <conditionalFormatting sqref="AU705">
    <cfRule type="cellIs" dxfId="0" priority="5406" operator="lessThan">
      <formula>20</formula>
    </cfRule>
    <cfRule type="cellIs" dxfId="1" priority="4561" operator="greaterThan">
      <formula>120</formula>
    </cfRule>
    <cfRule type="containsText" dxfId="2" priority="3716" operator="between" text="库存为">
      <formula>NOT(ISERROR(SEARCH("库存为",AU705)))</formula>
    </cfRule>
  </conditionalFormatting>
  <conditionalFormatting sqref="AU706">
    <cfRule type="cellIs" dxfId="0" priority="5405" operator="lessThan">
      <formula>20</formula>
    </cfRule>
    <cfRule type="cellIs" dxfId="1" priority="4560" operator="greaterThan">
      <formula>120</formula>
    </cfRule>
    <cfRule type="containsText" dxfId="2" priority="3715" operator="between" text="库存为">
      <formula>NOT(ISERROR(SEARCH("库存为",AU706)))</formula>
    </cfRule>
  </conditionalFormatting>
  <conditionalFormatting sqref="AU707">
    <cfRule type="cellIs" dxfId="0" priority="5404" operator="lessThan">
      <formula>20</formula>
    </cfRule>
    <cfRule type="cellIs" dxfId="1" priority="4559" operator="greaterThan">
      <formula>120</formula>
    </cfRule>
    <cfRule type="containsText" dxfId="2" priority="3714" operator="between" text="库存为">
      <formula>NOT(ISERROR(SEARCH("库存为",AU707)))</formula>
    </cfRule>
  </conditionalFormatting>
  <conditionalFormatting sqref="AU708">
    <cfRule type="cellIs" dxfId="0" priority="5403" operator="lessThan">
      <formula>20</formula>
    </cfRule>
    <cfRule type="cellIs" dxfId="1" priority="4558" operator="greaterThan">
      <formula>120</formula>
    </cfRule>
    <cfRule type="containsText" dxfId="2" priority="3713" operator="between" text="库存为">
      <formula>NOT(ISERROR(SEARCH("库存为",AU708)))</formula>
    </cfRule>
  </conditionalFormatting>
  <conditionalFormatting sqref="AU709">
    <cfRule type="cellIs" dxfId="0" priority="5402" operator="lessThan">
      <formula>20</formula>
    </cfRule>
    <cfRule type="cellIs" dxfId="1" priority="4557" operator="greaterThan">
      <formula>120</formula>
    </cfRule>
    <cfRule type="containsText" dxfId="2" priority="3712" operator="between" text="库存为">
      <formula>NOT(ISERROR(SEARCH("库存为",AU709)))</formula>
    </cfRule>
  </conditionalFormatting>
  <conditionalFormatting sqref="AU710">
    <cfRule type="cellIs" dxfId="0" priority="5401" operator="lessThan">
      <formula>20</formula>
    </cfRule>
    <cfRule type="cellIs" dxfId="1" priority="4556" operator="greaterThan">
      <formula>120</formula>
    </cfRule>
    <cfRule type="containsText" dxfId="2" priority="3711" operator="between" text="库存为">
      <formula>NOT(ISERROR(SEARCH("库存为",AU710)))</formula>
    </cfRule>
  </conditionalFormatting>
  <conditionalFormatting sqref="AU711">
    <cfRule type="cellIs" dxfId="0" priority="5400" operator="lessThan">
      <formula>20</formula>
    </cfRule>
    <cfRule type="cellIs" dxfId="1" priority="4555" operator="greaterThan">
      <formula>120</formula>
    </cfRule>
    <cfRule type="containsText" dxfId="2" priority="3710" operator="between" text="库存为">
      <formula>NOT(ISERROR(SEARCH("库存为",AU711)))</formula>
    </cfRule>
  </conditionalFormatting>
  <conditionalFormatting sqref="AU712">
    <cfRule type="cellIs" dxfId="0" priority="5399" operator="lessThan">
      <formula>20</formula>
    </cfRule>
    <cfRule type="cellIs" dxfId="1" priority="4554" operator="greaterThan">
      <formula>120</formula>
    </cfRule>
    <cfRule type="containsText" dxfId="2" priority="3709" operator="between" text="库存为">
      <formula>NOT(ISERROR(SEARCH("库存为",AU712)))</formula>
    </cfRule>
  </conditionalFormatting>
  <conditionalFormatting sqref="AU713">
    <cfRule type="cellIs" dxfId="0" priority="5398" operator="lessThan">
      <formula>20</formula>
    </cfRule>
    <cfRule type="cellIs" dxfId="1" priority="4553" operator="greaterThan">
      <formula>120</formula>
    </cfRule>
    <cfRule type="containsText" dxfId="2" priority="3708" operator="between" text="库存为">
      <formula>NOT(ISERROR(SEARCH("库存为",AU713)))</formula>
    </cfRule>
  </conditionalFormatting>
  <conditionalFormatting sqref="AU714">
    <cfRule type="cellIs" dxfId="0" priority="5397" operator="lessThan">
      <formula>20</formula>
    </cfRule>
    <cfRule type="cellIs" dxfId="1" priority="4552" operator="greaterThan">
      <formula>120</formula>
    </cfRule>
    <cfRule type="containsText" dxfId="2" priority="3707" operator="between" text="库存为">
      <formula>NOT(ISERROR(SEARCH("库存为",AU714)))</formula>
    </cfRule>
  </conditionalFormatting>
  <conditionalFormatting sqref="AU715">
    <cfRule type="cellIs" dxfId="0" priority="5396" operator="lessThan">
      <formula>20</formula>
    </cfRule>
    <cfRule type="cellIs" dxfId="1" priority="4551" operator="greaterThan">
      <formula>120</formula>
    </cfRule>
    <cfRule type="containsText" dxfId="2" priority="3706" operator="between" text="库存为">
      <formula>NOT(ISERROR(SEARCH("库存为",AU715)))</formula>
    </cfRule>
  </conditionalFormatting>
  <conditionalFormatting sqref="AU716">
    <cfRule type="cellIs" dxfId="0" priority="5395" operator="lessThan">
      <formula>20</formula>
    </cfRule>
    <cfRule type="cellIs" dxfId="1" priority="4550" operator="greaterThan">
      <formula>120</formula>
    </cfRule>
    <cfRule type="containsText" dxfId="2" priority="3705" operator="between" text="库存为">
      <formula>NOT(ISERROR(SEARCH("库存为",AU716)))</formula>
    </cfRule>
  </conditionalFormatting>
  <conditionalFormatting sqref="AU717">
    <cfRule type="cellIs" dxfId="0" priority="5394" operator="lessThan">
      <formula>20</formula>
    </cfRule>
    <cfRule type="cellIs" dxfId="1" priority="4549" operator="greaterThan">
      <formula>120</formula>
    </cfRule>
    <cfRule type="containsText" dxfId="2" priority="3704" operator="between" text="库存为">
      <formula>NOT(ISERROR(SEARCH("库存为",AU717)))</formula>
    </cfRule>
  </conditionalFormatting>
  <conditionalFormatting sqref="AU718">
    <cfRule type="cellIs" dxfId="0" priority="5393" operator="lessThan">
      <formula>20</formula>
    </cfRule>
    <cfRule type="cellIs" dxfId="1" priority="4548" operator="greaterThan">
      <formula>120</formula>
    </cfRule>
    <cfRule type="containsText" dxfId="2" priority="3703" operator="between" text="库存为">
      <formula>NOT(ISERROR(SEARCH("库存为",AU718)))</formula>
    </cfRule>
  </conditionalFormatting>
  <conditionalFormatting sqref="AU719">
    <cfRule type="cellIs" dxfId="0" priority="5392" operator="lessThan">
      <formula>20</formula>
    </cfRule>
    <cfRule type="cellIs" dxfId="1" priority="4547" operator="greaterThan">
      <formula>120</formula>
    </cfRule>
    <cfRule type="containsText" dxfId="2" priority="3702" operator="between" text="库存为">
      <formula>NOT(ISERROR(SEARCH("库存为",AU719)))</formula>
    </cfRule>
  </conditionalFormatting>
  <conditionalFormatting sqref="AU720">
    <cfRule type="cellIs" dxfId="0" priority="5391" operator="lessThan">
      <formula>20</formula>
    </cfRule>
    <cfRule type="cellIs" dxfId="1" priority="4546" operator="greaterThan">
      <formula>120</formula>
    </cfRule>
    <cfRule type="containsText" dxfId="2" priority="3701" operator="between" text="库存为">
      <formula>NOT(ISERROR(SEARCH("库存为",AU720)))</formula>
    </cfRule>
  </conditionalFormatting>
  <conditionalFormatting sqref="AU721">
    <cfRule type="cellIs" dxfId="0" priority="5390" operator="lessThan">
      <formula>20</formula>
    </cfRule>
    <cfRule type="cellIs" dxfId="1" priority="4545" operator="greaterThan">
      <formula>120</formula>
    </cfRule>
    <cfRule type="containsText" dxfId="2" priority="3700" operator="between" text="库存为">
      <formula>NOT(ISERROR(SEARCH("库存为",AU721)))</formula>
    </cfRule>
  </conditionalFormatting>
  <conditionalFormatting sqref="AU722">
    <cfRule type="cellIs" dxfId="0" priority="5389" operator="lessThan">
      <formula>20</formula>
    </cfRule>
    <cfRule type="cellIs" dxfId="1" priority="4544" operator="greaterThan">
      <formula>120</formula>
    </cfRule>
    <cfRule type="containsText" dxfId="2" priority="3699" operator="between" text="库存为">
      <formula>NOT(ISERROR(SEARCH("库存为",AU722)))</formula>
    </cfRule>
  </conditionalFormatting>
  <conditionalFormatting sqref="AU723">
    <cfRule type="cellIs" dxfId="0" priority="5388" operator="lessThan">
      <formula>20</formula>
    </cfRule>
    <cfRule type="cellIs" dxfId="1" priority="4543" operator="greaterThan">
      <formula>120</formula>
    </cfRule>
    <cfRule type="containsText" dxfId="2" priority="3698" operator="between" text="库存为">
      <formula>NOT(ISERROR(SEARCH("库存为",AU723)))</formula>
    </cfRule>
  </conditionalFormatting>
  <conditionalFormatting sqref="AU724">
    <cfRule type="cellIs" dxfId="0" priority="5387" operator="lessThan">
      <formula>20</formula>
    </cfRule>
    <cfRule type="cellIs" dxfId="1" priority="4542" operator="greaterThan">
      <formula>120</formula>
    </cfRule>
    <cfRule type="containsText" dxfId="2" priority="3697" operator="between" text="库存为">
      <formula>NOT(ISERROR(SEARCH("库存为",AU724)))</formula>
    </cfRule>
  </conditionalFormatting>
  <conditionalFormatting sqref="AU725">
    <cfRule type="cellIs" dxfId="0" priority="5386" operator="lessThan">
      <formula>20</formula>
    </cfRule>
    <cfRule type="cellIs" dxfId="1" priority="4541" operator="greaterThan">
      <formula>120</formula>
    </cfRule>
    <cfRule type="containsText" dxfId="2" priority="3696" operator="between" text="库存为">
      <formula>NOT(ISERROR(SEARCH("库存为",AU725)))</formula>
    </cfRule>
  </conditionalFormatting>
  <conditionalFormatting sqref="AU726">
    <cfRule type="cellIs" dxfId="0" priority="5385" operator="lessThan">
      <formula>20</formula>
    </cfRule>
    <cfRule type="cellIs" dxfId="1" priority="4540" operator="greaterThan">
      <formula>120</formula>
    </cfRule>
    <cfRule type="containsText" dxfId="2" priority="3695" operator="between" text="库存为">
      <formula>NOT(ISERROR(SEARCH("库存为",AU726)))</formula>
    </cfRule>
  </conditionalFormatting>
  <conditionalFormatting sqref="AU727">
    <cfRule type="cellIs" dxfId="0" priority="5384" operator="lessThan">
      <formula>20</formula>
    </cfRule>
    <cfRule type="cellIs" dxfId="1" priority="4539" operator="greaterThan">
      <formula>120</formula>
    </cfRule>
    <cfRule type="containsText" dxfId="2" priority="3694" operator="between" text="库存为">
      <formula>NOT(ISERROR(SEARCH("库存为",AU727)))</formula>
    </cfRule>
  </conditionalFormatting>
  <conditionalFormatting sqref="AU728">
    <cfRule type="cellIs" dxfId="0" priority="5383" operator="lessThan">
      <formula>20</formula>
    </cfRule>
    <cfRule type="cellIs" dxfId="1" priority="4538" operator="greaterThan">
      <formula>120</formula>
    </cfRule>
    <cfRule type="containsText" dxfId="2" priority="3693" operator="between" text="库存为">
      <formula>NOT(ISERROR(SEARCH("库存为",AU728)))</formula>
    </cfRule>
  </conditionalFormatting>
  <conditionalFormatting sqref="AU729">
    <cfRule type="cellIs" dxfId="0" priority="5382" operator="lessThan">
      <formula>20</formula>
    </cfRule>
    <cfRule type="cellIs" dxfId="1" priority="4537" operator="greaterThan">
      <formula>120</formula>
    </cfRule>
    <cfRule type="containsText" dxfId="2" priority="3692" operator="between" text="库存为">
      <formula>NOT(ISERROR(SEARCH("库存为",AU729)))</formula>
    </cfRule>
  </conditionalFormatting>
  <conditionalFormatting sqref="AU730">
    <cfRule type="cellIs" dxfId="0" priority="5381" operator="lessThan">
      <formula>20</formula>
    </cfRule>
    <cfRule type="cellIs" dxfId="1" priority="4536" operator="greaterThan">
      <formula>120</formula>
    </cfRule>
    <cfRule type="containsText" dxfId="2" priority="3691" operator="between" text="库存为">
      <formula>NOT(ISERROR(SEARCH("库存为",AU730)))</formula>
    </cfRule>
  </conditionalFormatting>
  <conditionalFormatting sqref="AU731">
    <cfRule type="cellIs" dxfId="0" priority="5380" operator="lessThan">
      <formula>20</formula>
    </cfRule>
    <cfRule type="cellIs" dxfId="1" priority="4535" operator="greaterThan">
      <formula>120</formula>
    </cfRule>
    <cfRule type="containsText" dxfId="2" priority="3690" operator="between" text="库存为">
      <formula>NOT(ISERROR(SEARCH("库存为",AU731)))</formula>
    </cfRule>
  </conditionalFormatting>
  <conditionalFormatting sqref="AU732">
    <cfRule type="cellIs" dxfId="0" priority="5379" operator="lessThan">
      <formula>20</formula>
    </cfRule>
    <cfRule type="cellIs" dxfId="1" priority="4534" operator="greaterThan">
      <formula>120</formula>
    </cfRule>
    <cfRule type="containsText" dxfId="2" priority="3689" operator="between" text="库存为">
      <formula>NOT(ISERROR(SEARCH("库存为",AU732)))</formula>
    </cfRule>
  </conditionalFormatting>
  <conditionalFormatting sqref="AU733">
    <cfRule type="cellIs" dxfId="0" priority="5378" operator="lessThan">
      <formula>20</formula>
    </cfRule>
    <cfRule type="cellIs" dxfId="1" priority="4533" operator="greaterThan">
      <formula>120</formula>
    </cfRule>
    <cfRule type="containsText" dxfId="2" priority="3688" operator="between" text="库存为">
      <formula>NOT(ISERROR(SEARCH("库存为",AU733)))</formula>
    </cfRule>
  </conditionalFormatting>
  <conditionalFormatting sqref="AU734">
    <cfRule type="cellIs" dxfId="0" priority="5377" operator="lessThan">
      <formula>20</formula>
    </cfRule>
    <cfRule type="cellIs" dxfId="1" priority="4532" operator="greaterThan">
      <formula>120</formula>
    </cfRule>
    <cfRule type="containsText" dxfId="2" priority="3687" operator="between" text="库存为">
      <formula>NOT(ISERROR(SEARCH("库存为",AU734)))</formula>
    </cfRule>
  </conditionalFormatting>
  <conditionalFormatting sqref="AU735">
    <cfRule type="cellIs" dxfId="0" priority="5376" operator="lessThan">
      <formula>20</formula>
    </cfRule>
    <cfRule type="cellIs" dxfId="1" priority="4531" operator="greaterThan">
      <formula>120</formula>
    </cfRule>
    <cfRule type="containsText" dxfId="2" priority="3686" operator="between" text="库存为">
      <formula>NOT(ISERROR(SEARCH("库存为",AU735)))</formula>
    </cfRule>
  </conditionalFormatting>
  <conditionalFormatting sqref="AU736">
    <cfRule type="cellIs" dxfId="0" priority="5375" operator="lessThan">
      <formula>20</formula>
    </cfRule>
    <cfRule type="cellIs" dxfId="1" priority="4530" operator="greaterThan">
      <formula>120</formula>
    </cfRule>
    <cfRule type="containsText" dxfId="2" priority="3685" operator="between" text="库存为">
      <formula>NOT(ISERROR(SEARCH("库存为",AU736)))</formula>
    </cfRule>
  </conditionalFormatting>
  <conditionalFormatting sqref="AU737">
    <cfRule type="cellIs" dxfId="0" priority="5374" operator="lessThan">
      <formula>20</formula>
    </cfRule>
    <cfRule type="cellIs" dxfId="1" priority="4529" operator="greaterThan">
      <formula>120</formula>
    </cfRule>
    <cfRule type="containsText" dxfId="2" priority="3684" operator="between" text="库存为">
      <formula>NOT(ISERROR(SEARCH("库存为",AU737)))</formula>
    </cfRule>
  </conditionalFormatting>
  <conditionalFormatting sqref="AU738">
    <cfRule type="cellIs" dxfId="0" priority="5373" operator="lessThan">
      <formula>20</formula>
    </cfRule>
    <cfRule type="cellIs" dxfId="1" priority="4528" operator="greaterThan">
      <formula>120</formula>
    </cfRule>
    <cfRule type="containsText" dxfId="2" priority="3683" operator="between" text="库存为">
      <formula>NOT(ISERROR(SEARCH("库存为",AU738)))</formula>
    </cfRule>
  </conditionalFormatting>
  <conditionalFormatting sqref="AU739">
    <cfRule type="cellIs" dxfId="0" priority="5372" operator="lessThan">
      <formula>20</formula>
    </cfRule>
    <cfRule type="cellIs" dxfId="1" priority="4527" operator="greaterThan">
      <formula>120</formula>
    </cfRule>
    <cfRule type="containsText" dxfId="2" priority="3682" operator="between" text="库存为">
      <formula>NOT(ISERROR(SEARCH("库存为",AU739)))</formula>
    </cfRule>
  </conditionalFormatting>
  <conditionalFormatting sqref="AU740">
    <cfRule type="cellIs" dxfId="0" priority="5371" operator="lessThan">
      <formula>20</formula>
    </cfRule>
    <cfRule type="cellIs" dxfId="1" priority="4526" operator="greaterThan">
      <formula>120</formula>
    </cfRule>
    <cfRule type="containsText" dxfId="2" priority="3681" operator="between" text="库存为">
      <formula>NOT(ISERROR(SEARCH("库存为",AU740)))</formula>
    </cfRule>
  </conditionalFormatting>
  <conditionalFormatting sqref="AU741">
    <cfRule type="cellIs" dxfId="0" priority="5370" operator="lessThan">
      <formula>20</formula>
    </cfRule>
    <cfRule type="cellIs" dxfId="1" priority="4525" operator="greaterThan">
      <formula>120</formula>
    </cfRule>
    <cfRule type="containsText" dxfId="2" priority="3680" operator="between" text="库存为">
      <formula>NOT(ISERROR(SEARCH("库存为",AU741)))</formula>
    </cfRule>
  </conditionalFormatting>
  <conditionalFormatting sqref="AU742">
    <cfRule type="cellIs" dxfId="0" priority="5369" operator="lessThan">
      <formula>20</formula>
    </cfRule>
    <cfRule type="cellIs" dxfId="1" priority="4524" operator="greaterThan">
      <formula>120</formula>
    </cfRule>
    <cfRule type="containsText" dxfId="2" priority="3679" operator="between" text="库存为">
      <formula>NOT(ISERROR(SEARCH("库存为",AU742)))</formula>
    </cfRule>
  </conditionalFormatting>
  <conditionalFormatting sqref="AU743">
    <cfRule type="cellIs" dxfId="0" priority="5368" operator="lessThan">
      <formula>20</formula>
    </cfRule>
    <cfRule type="cellIs" dxfId="1" priority="4523" operator="greaterThan">
      <formula>120</formula>
    </cfRule>
    <cfRule type="containsText" dxfId="2" priority="3678" operator="between" text="库存为">
      <formula>NOT(ISERROR(SEARCH("库存为",AU743)))</formula>
    </cfRule>
  </conditionalFormatting>
  <conditionalFormatting sqref="AU744">
    <cfRule type="cellIs" dxfId="0" priority="5367" operator="lessThan">
      <formula>20</formula>
    </cfRule>
    <cfRule type="cellIs" dxfId="1" priority="4522" operator="greaterThan">
      <formula>120</formula>
    </cfRule>
    <cfRule type="containsText" dxfId="2" priority="3677" operator="between" text="库存为">
      <formula>NOT(ISERROR(SEARCH("库存为",AU744)))</formula>
    </cfRule>
  </conditionalFormatting>
  <conditionalFormatting sqref="AU745">
    <cfRule type="cellIs" dxfId="0" priority="5366" operator="lessThan">
      <formula>20</formula>
    </cfRule>
    <cfRule type="cellIs" dxfId="1" priority="4521" operator="greaterThan">
      <formula>120</formula>
    </cfRule>
    <cfRule type="containsText" dxfId="2" priority="3676" operator="between" text="库存为">
      <formula>NOT(ISERROR(SEARCH("库存为",AU745)))</formula>
    </cfRule>
  </conditionalFormatting>
  <conditionalFormatting sqref="AU746">
    <cfRule type="cellIs" dxfId="0" priority="5365" operator="lessThan">
      <formula>20</formula>
    </cfRule>
    <cfRule type="cellIs" dxfId="1" priority="4520" operator="greaterThan">
      <formula>120</formula>
    </cfRule>
    <cfRule type="containsText" dxfId="2" priority="3675" operator="between" text="库存为">
      <formula>NOT(ISERROR(SEARCH("库存为",AU746)))</formula>
    </cfRule>
  </conditionalFormatting>
  <conditionalFormatting sqref="AU747">
    <cfRule type="cellIs" dxfId="0" priority="5364" operator="lessThan">
      <formula>20</formula>
    </cfRule>
    <cfRule type="cellIs" dxfId="1" priority="4519" operator="greaterThan">
      <formula>120</formula>
    </cfRule>
    <cfRule type="containsText" dxfId="2" priority="3674" operator="between" text="库存为">
      <formula>NOT(ISERROR(SEARCH("库存为",AU747)))</formula>
    </cfRule>
  </conditionalFormatting>
  <conditionalFormatting sqref="AU748">
    <cfRule type="cellIs" dxfId="0" priority="5363" operator="lessThan">
      <formula>20</formula>
    </cfRule>
    <cfRule type="cellIs" dxfId="1" priority="4518" operator="greaterThan">
      <formula>120</formula>
    </cfRule>
    <cfRule type="containsText" dxfId="2" priority="3673" operator="between" text="库存为">
      <formula>NOT(ISERROR(SEARCH("库存为",AU748)))</formula>
    </cfRule>
  </conditionalFormatting>
  <conditionalFormatting sqref="AU749">
    <cfRule type="cellIs" dxfId="0" priority="5362" operator="lessThan">
      <formula>20</formula>
    </cfRule>
    <cfRule type="cellIs" dxfId="1" priority="4517" operator="greaterThan">
      <formula>120</formula>
    </cfRule>
    <cfRule type="containsText" dxfId="2" priority="3672" operator="between" text="库存为">
      <formula>NOT(ISERROR(SEARCH("库存为",AU749)))</formula>
    </cfRule>
  </conditionalFormatting>
  <conditionalFormatting sqref="AU750">
    <cfRule type="cellIs" dxfId="0" priority="5361" operator="lessThan">
      <formula>20</formula>
    </cfRule>
    <cfRule type="cellIs" dxfId="1" priority="4516" operator="greaterThan">
      <formula>120</formula>
    </cfRule>
    <cfRule type="containsText" dxfId="2" priority="3671" operator="between" text="库存为">
      <formula>NOT(ISERROR(SEARCH("库存为",AU750)))</formula>
    </cfRule>
  </conditionalFormatting>
  <conditionalFormatting sqref="AU751">
    <cfRule type="cellIs" dxfId="0" priority="5360" operator="lessThan">
      <formula>20</formula>
    </cfRule>
    <cfRule type="cellIs" dxfId="1" priority="4515" operator="greaterThan">
      <formula>120</formula>
    </cfRule>
    <cfRule type="containsText" dxfId="2" priority="3670" operator="between" text="库存为">
      <formula>NOT(ISERROR(SEARCH("库存为",AU751)))</formula>
    </cfRule>
  </conditionalFormatting>
  <conditionalFormatting sqref="AU752">
    <cfRule type="cellIs" dxfId="0" priority="5359" operator="lessThan">
      <formula>20</formula>
    </cfRule>
    <cfRule type="cellIs" dxfId="1" priority="4514" operator="greaterThan">
      <formula>120</formula>
    </cfRule>
    <cfRule type="containsText" dxfId="2" priority="3669" operator="between" text="库存为">
      <formula>NOT(ISERROR(SEARCH("库存为",AU752)))</formula>
    </cfRule>
  </conditionalFormatting>
  <conditionalFormatting sqref="AU753">
    <cfRule type="cellIs" dxfId="0" priority="5358" operator="lessThan">
      <formula>20</formula>
    </cfRule>
    <cfRule type="cellIs" dxfId="1" priority="4513" operator="greaterThan">
      <formula>120</formula>
    </cfRule>
    <cfRule type="containsText" dxfId="2" priority="3668" operator="between" text="库存为">
      <formula>NOT(ISERROR(SEARCH("库存为",AU753)))</formula>
    </cfRule>
  </conditionalFormatting>
  <conditionalFormatting sqref="AU754">
    <cfRule type="cellIs" dxfId="0" priority="5357" operator="lessThan">
      <formula>20</formula>
    </cfRule>
    <cfRule type="cellIs" dxfId="1" priority="4512" operator="greaterThan">
      <formula>120</formula>
    </cfRule>
    <cfRule type="containsText" dxfId="2" priority="3667" operator="between" text="库存为">
      <formula>NOT(ISERROR(SEARCH("库存为",AU754)))</formula>
    </cfRule>
  </conditionalFormatting>
  <conditionalFormatting sqref="AU755">
    <cfRule type="cellIs" dxfId="0" priority="5356" operator="lessThan">
      <formula>20</formula>
    </cfRule>
    <cfRule type="cellIs" dxfId="1" priority="4511" operator="greaterThan">
      <formula>120</formula>
    </cfRule>
    <cfRule type="containsText" dxfId="2" priority="3666" operator="between" text="库存为">
      <formula>NOT(ISERROR(SEARCH("库存为",AU755)))</formula>
    </cfRule>
  </conditionalFormatting>
  <conditionalFormatting sqref="AU756">
    <cfRule type="cellIs" dxfId="0" priority="5355" operator="lessThan">
      <formula>20</formula>
    </cfRule>
    <cfRule type="cellIs" dxfId="1" priority="4510" operator="greaterThan">
      <formula>120</formula>
    </cfRule>
    <cfRule type="containsText" dxfId="2" priority="3665" operator="between" text="库存为">
      <formula>NOT(ISERROR(SEARCH("库存为",AU756)))</formula>
    </cfRule>
  </conditionalFormatting>
  <conditionalFormatting sqref="AU757">
    <cfRule type="cellIs" dxfId="0" priority="5354" operator="lessThan">
      <formula>20</formula>
    </cfRule>
    <cfRule type="cellIs" dxfId="1" priority="4509" operator="greaterThan">
      <formula>120</formula>
    </cfRule>
    <cfRule type="containsText" dxfId="2" priority="3664" operator="between" text="库存为">
      <formula>NOT(ISERROR(SEARCH("库存为",AU757)))</formula>
    </cfRule>
  </conditionalFormatting>
  <conditionalFormatting sqref="AU758">
    <cfRule type="cellIs" dxfId="0" priority="5353" operator="lessThan">
      <formula>20</formula>
    </cfRule>
    <cfRule type="cellIs" dxfId="1" priority="4508" operator="greaterThan">
      <formula>120</formula>
    </cfRule>
    <cfRule type="containsText" dxfId="2" priority="3663" operator="between" text="库存为">
      <formula>NOT(ISERROR(SEARCH("库存为",AU758)))</formula>
    </cfRule>
  </conditionalFormatting>
  <conditionalFormatting sqref="AU759">
    <cfRule type="cellIs" dxfId="0" priority="5352" operator="lessThan">
      <formula>20</formula>
    </cfRule>
    <cfRule type="cellIs" dxfId="1" priority="4507" operator="greaterThan">
      <formula>120</formula>
    </cfRule>
    <cfRule type="containsText" dxfId="2" priority="3662" operator="between" text="库存为">
      <formula>NOT(ISERROR(SEARCH("库存为",AU759)))</formula>
    </cfRule>
  </conditionalFormatting>
  <conditionalFormatting sqref="AU760">
    <cfRule type="cellIs" dxfId="0" priority="5351" operator="lessThan">
      <formula>20</formula>
    </cfRule>
    <cfRule type="cellIs" dxfId="1" priority="4506" operator="greaterThan">
      <formula>120</formula>
    </cfRule>
    <cfRule type="containsText" dxfId="2" priority="3661" operator="between" text="库存为">
      <formula>NOT(ISERROR(SEARCH("库存为",AU760)))</formula>
    </cfRule>
  </conditionalFormatting>
  <conditionalFormatting sqref="AU761">
    <cfRule type="cellIs" dxfId="0" priority="5350" operator="lessThan">
      <formula>20</formula>
    </cfRule>
    <cfRule type="cellIs" dxfId="1" priority="4505" operator="greaterThan">
      <formula>120</formula>
    </cfRule>
    <cfRule type="containsText" dxfId="2" priority="3660" operator="between" text="库存为">
      <formula>NOT(ISERROR(SEARCH("库存为",AU761)))</formula>
    </cfRule>
  </conditionalFormatting>
  <conditionalFormatting sqref="AU762">
    <cfRule type="cellIs" dxfId="0" priority="5349" operator="lessThan">
      <formula>20</formula>
    </cfRule>
    <cfRule type="cellIs" dxfId="1" priority="4504" operator="greaterThan">
      <formula>120</formula>
    </cfRule>
    <cfRule type="containsText" dxfId="2" priority="3659" operator="between" text="库存为">
      <formula>NOT(ISERROR(SEARCH("库存为",AU762)))</formula>
    </cfRule>
  </conditionalFormatting>
  <conditionalFormatting sqref="AU763">
    <cfRule type="cellIs" dxfId="0" priority="5348" operator="lessThan">
      <formula>20</formula>
    </cfRule>
    <cfRule type="cellIs" dxfId="1" priority="4503" operator="greaterThan">
      <formula>120</formula>
    </cfRule>
    <cfRule type="containsText" dxfId="2" priority="3658" operator="between" text="库存为">
      <formula>NOT(ISERROR(SEARCH("库存为",AU763)))</formula>
    </cfRule>
  </conditionalFormatting>
  <conditionalFormatting sqref="AU764">
    <cfRule type="cellIs" dxfId="0" priority="5347" operator="lessThan">
      <formula>20</formula>
    </cfRule>
    <cfRule type="cellIs" dxfId="1" priority="4502" operator="greaterThan">
      <formula>120</formula>
    </cfRule>
    <cfRule type="containsText" dxfId="2" priority="3657" operator="between" text="库存为">
      <formula>NOT(ISERROR(SEARCH("库存为",AU764)))</formula>
    </cfRule>
  </conditionalFormatting>
  <conditionalFormatting sqref="AU765">
    <cfRule type="cellIs" dxfId="0" priority="5346" operator="lessThan">
      <formula>20</formula>
    </cfRule>
    <cfRule type="cellIs" dxfId="1" priority="4501" operator="greaterThan">
      <formula>120</formula>
    </cfRule>
    <cfRule type="containsText" dxfId="2" priority="3656" operator="between" text="库存为">
      <formula>NOT(ISERROR(SEARCH("库存为",AU765)))</formula>
    </cfRule>
  </conditionalFormatting>
  <conditionalFormatting sqref="AU766">
    <cfRule type="cellIs" dxfId="0" priority="5345" operator="lessThan">
      <formula>20</formula>
    </cfRule>
    <cfRule type="cellIs" dxfId="1" priority="4500" operator="greaterThan">
      <formula>120</formula>
    </cfRule>
    <cfRule type="containsText" dxfId="2" priority="3655" operator="between" text="库存为">
      <formula>NOT(ISERROR(SEARCH("库存为",AU766)))</formula>
    </cfRule>
  </conditionalFormatting>
  <conditionalFormatting sqref="AU767">
    <cfRule type="cellIs" dxfId="0" priority="5344" operator="lessThan">
      <formula>20</formula>
    </cfRule>
    <cfRule type="cellIs" dxfId="1" priority="4499" operator="greaterThan">
      <formula>120</formula>
    </cfRule>
    <cfRule type="containsText" dxfId="2" priority="3654" operator="between" text="库存为">
      <formula>NOT(ISERROR(SEARCH("库存为",AU767)))</formula>
    </cfRule>
  </conditionalFormatting>
  <conditionalFormatting sqref="AU768">
    <cfRule type="cellIs" dxfId="0" priority="5343" operator="lessThan">
      <formula>20</formula>
    </cfRule>
    <cfRule type="cellIs" dxfId="1" priority="4498" operator="greaterThan">
      <formula>120</formula>
    </cfRule>
    <cfRule type="containsText" dxfId="2" priority="3653" operator="between" text="库存为">
      <formula>NOT(ISERROR(SEARCH("库存为",AU768)))</formula>
    </cfRule>
  </conditionalFormatting>
  <conditionalFormatting sqref="AU769">
    <cfRule type="cellIs" dxfId="0" priority="5342" operator="lessThan">
      <formula>20</formula>
    </cfRule>
    <cfRule type="cellIs" dxfId="1" priority="4497" operator="greaterThan">
      <formula>120</formula>
    </cfRule>
    <cfRule type="containsText" dxfId="2" priority="3652" operator="between" text="库存为">
      <formula>NOT(ISERROR(SEARCH("库存为",AU769)))</formula>
    </cfRule>
  </conditionalFormatting>
  <conditionalFormatting sqref="AU770">
    <cfRule type="cellIs" dxfId="0" priority="5341" operator="lessThan">
      <formula>20</formula>
    </cfRule>
    <cfRule type="cellIs" dxfId="1" priority="4496" operator="greaterThan">
      <formula>120</formula>
    </cfRule>
    <cfRule type="containsText" dxfId="2" priority="3651" operator="between" text="库存为">
      <formula>NOT(ISERROR(SEARCH("库存为",AU770)))</formula>
    </cfRule>
  </conditionalFormatting>
  <conditionalFormatting sqref="AU771">
    <cfRule type="cellIs" dxfId="0" priority="5340" operator="lessThan">
      <formula>20</formula>
    </cfRule>
    <cfRule type="cellIs" dxfId="1" priority="4495" operator="greaterThan">
      <formula>120</formula>
    </cfRule>
    <cfRule type="containsText" dxfId="2" priority="3650" operator="between" text="库存为">
      <formula>NOT(ISERROR(SEARCH("库存为",AU771)))</formula>
    </cfRule>
  </conditionalFormatting>
  <conditionalFormatting sqref="AU772">
    <cfRule type="cellIs" dxfId="0" priority="5339" operator="lessThan">
      <formula>20</formula>
    </cfRule>
    <cfRule type="cellIs" dxfId="1" priority="4494" operator="greaterThan">
      <formula>120</formula>
    </cfRule>
    <cfRule type="containsText" dxfId="2" priority="3649" operator="between" text="库存为">
      <formula>NOT(ISERROR(SEARCH("库存为",AU772)))</formula>
    </cfRule>
  </conditionalFormatting>
  <conditionalFormatting sqref="AU773">
    <cfRule type="cellIs" dxfId="0" priority="5338" operator="lessThan">
      <formula>20</formula>
    </cfRule>
    <cfRule type="cellIs" dxfId="1" priority="4493" operator="greaterThan">
      <formula>120</formula>
    </cfRule>
    <cfRule type="containsText" dxfId="2" priority="3648" operator="between" text="库存为">
      <formula>NOT(ISERROR(SEARCH("库存为",AU773)))</formula>
    </cfRule>
  </conditionalFormatting>
  <conditionalFormatting sqref="AU774">
    <cfRule type="cellIs" dxfId="0" priority="5337" operator="lessThan">
      <formula>20</formula>
    </cfRule>
    <cfRule type="cellIs" dxfId="1" priority="4492" operator="greaterThan">
      <formula>120</formula>
    </cfRule>
    <cfRule type="containsText" dxfId="2" priority="3647" operator="between" text="库存为">
      <formula>NOT(ISERROR(SEARCH("库存为",AU774)))</formula>
    </cfRule>
  </conditionalFormatting>
  <conditionalFormatting sqref="AU775">
    <cfRule type="cellIs" dxfId="0" priority="5336" operator="lessThan">
      <formula>20</formula>
    </cfRule>
    <cfRule type="cellIs" dxfId="1" priority="4491" operator="greaterThan">
      <formula>120</formula>
    </cfRule>
    <cfRule type="containsText" dxfId="2" priority="3646" operator="between" text="库存为">
      <formula>NOT(ISERROR(SEARCH("库存为",AU775)))</formula>
    </cfRule>
  </conditionalFormatting>
  <conditionalFormatting sqref="AU776">
    <cfRule type="cellIs" dxfId="0" priority="5335" operator="lessThan">
      <formula>20</formula>
    </cfRule>
    <cfRule type="cellIs" dxfId="1" priority="4490" operator="greaterThan">
      <formula>120</formula>
    </cfRule>
    <cfRule type="containsText" dxfId="2" priority="3645" operator="between" text="库存为">
      <formula>NOT(ISERROR(SEARCH("库存为",AU776)))</formula>
    </cfRule>
  </conditionalFormatting>
  <conditionalFormatting sqref="AU777">
    <cfRule type="cellIs" dxfId="0" priority="5334" operator="lessThan">
      <formula>20</formula>
    </cfRule>
    <cfRule type="cellIs" dxfId="1" priority="4489" operator="greaterThan">
      <formula>120</formula>
    </cfRule>
    <cfRule type="containsText" dxfId="2" priority="3644" operator="between" text="库存为">
      <formula>NOT(ISERROR(SEARCH("库存为",AU777)))</formula>
    </cfRule>
  </conditionalFormatting>
  <conditionalFormatting sqref="AU778">
    <cfRule type="cellIs" dxfId="0" priority="5333" operator="lessThan">
      <formula>20</formula>
    </cfRule>
    <cfRule type="cellIs" dxfId="1" priority="4488" operator="greaterThan">
      <formula>120</formula>
    </cfRule>
    <cfRule type="containsText" dxfId="2" priority="3643" operator="between" text="库存为">
      <formula>NOT(ISERROR(SEARCH("库存为",AU778)))</formula>
    </cfRule>
  </conditionalFormatting>
  <conditionalFormatting sqref="AU779">
    <cfRule type="cellIs" dxfId="0" priority="5332" operator="lessThan">
      <formula>20</formula>
    </cfRule>
    <cfRule type="cellIs" dxfId="1" priority="4487" operator="greaterThan">
      <formula>120</formula>
    </cfRule>
    <cfRule type="containsText" dxfId="2" priority="3642" operator="between" text="库存为">
      <formula>NOT(ISERROR(SEARCH("库存为",AU779)))</formula>
    </cfRule>
  </conditionalFormatting>
  <conditionalFormatting sqref="AU780">
    <cfRule type="cellIs" dxfId="0" priority="5331" operator="lessThan">
      <formula>20</formula>
    </cfRule>
    <cfRule type="cellIs" dxfId="1" priority="4486" operator="greaterThan">
      <formula>120</formula>
    </cfRule>
    <cfRule type="containsText" dxfId="2" priority="3641" operator="between" text="库存为">
      <formula>NOT(ISERROR(SEARCH("库存为",AU780)))</formula>
    </cfRule>
  </conditionalFormatting>
  <conditionalFormatting sqref="AU781">
    <cfRule type="cellIs" dxfId="0" priority="5330" operator="lessThan">
      <formula>20</formula>
    </cfRule>
    <cfRule type="cellIs" dxfId="1" priority="4485" operator="greaterThan">
      <formula>120</formula>
    </cfRule>
    <cfRule type="containsText" dxfId="2" priority="3640" operator="between" text="库存为">
      <formula>NOT(ISERROR(SEARCH("库存为",AU781)))</formula>
    </cfRule>
  </conditionalFormatting>
  <conditionalFormatting sqref="AU782">
    <cfRule type="cellIs" dxfId="0" priority="5329" operator="lessThan">
      <formula>20</formula>
    </cfRule>
    <cfRule type="cellIs" dxfId="1" priority="4484" operator="greaterThan">
      <formula>120</formula>
    </cfRule>
    <cfRule type="containsText" dxfId="2" priority="3639" operator="between" text="库存为">
      <formula>NOT(ISERROR(SEARCH("库存为",AU782)))</formula>
    </cfRule>
  </conditionalFormatting>
  <conditionalFormatting sqref="AU783">
    <cfRule type="cellIs" dxfId="0" priority="5328" operator="lessThan">
      <formula>20</formula>
    </cfRule>
    <cfRule type="cellIs" dxfId="1" priority="4483" operator="greaterThan">
      <formula>120</formula>
    </cfRule>
    <cfRule type="containsText" dxfId="2" priority="3638" operator="between" text="库存为">
      <formula>NOT(ISERROR(SEARCH("库存为",AU783)))</formula>
    </cfRule>
  </conditionalFormatting>
  <conditionalFormatting sqref="AU784">
    <cfRule type="cellIs" dxfId="0" priority="5327" operator="lessThan">
      <formula>20</formula>
    </cfRule>
    <cfRule type="cellIs" dxfId="1" priority="4482" operator="greaterThan">
      <formula>120</formula>
    </cfRule>
    <cfRule type="containsText" dxfId="2" priority="3637" operator="between" text="库存为">
      <formula>NOT(ISERROR(SEARCH("库存为",AU784)))</formula>
    </cfRule>
  </conditionalFormatting>
  <conditionalFormatting sqref="AU785">
    <cfRule type="cellIs" dxfId="0" priority="5326" operator="lessThan">
      <formula>20</formula>
    </cfRule>
    <cfRule type="cellIs" dxfId="1" priority="4481" operator="greaterThan">
      <formula>120</formula>
    </cfRule>
    <cfRule type="containsText" dxfId="2" priority="3636" operator="between" text="库存为">
      <formula>NOT(ISERROR(SEARCH("库存为",AU785)))</formula>
    </cfRule>
  </conditionalFormatting>
  <conditionalFormatting sqref="AU786">
    <cfRule type="cellIs" dxfId="0" priority="5325" operator="lessThan">
      <formula>20</formula>
    </cfRule>
    <cfRule type="cellIs" dxfId="1" priority="4480" operator="greaterThan">
      <formula>120</formula>
    </cfRule>
    <cfRule type="containsText" dxfId="2" priority="3635" operator="between" text="库存为">
      <formula>NOT(ISERROR(SEARCH("库存为",AU786)))</formula>
    </cfRule>
  </conditionalFormatting>
  <conditionalFormatting sqref="AU787">
    <cfRule type="cellIs" dxfId="0" priority="5324" operator="lessThan">
      <formula>20</formula>
    </cfRule>
    <cfRule type="cellIs" dxfId="1" priority="4479" operator="greaterThan">
      <formula>120</formula>
    </cfRule>
    <cfRule type="containsText" dxfId="2" priority="3634" operator="between" text="库存为">
      <formula>NOT(ISERROR(SEARCH("库存为",AU787)))</formula>
    </cfRule>
  </conditionalFormatting>
  <conditionalFormatting sqref="AU788">
    <cfRule type="cellIs" dxfId="0" priority="5323" operator="lessThan">
      <formula>20</formula>
    </cfRule>
    <cfRule type="cellIs" dxfId="1" priority="4478" operator="greaterThan">
      <formula>120</formula>
    </cfRule>
    <cfRule type="containsText" dxfId="2" priority="3633" operator="between" text="库存为">
      <formula>NOT(ISERROR(SEARCH("库存为",AU788)))</formula>
    </cfRule>
  </conditionalFormatting>
  <conditionalFormatting sqref="AU789">
    <cfRule type="cellIs" dxfId="0" priority="5322" operator="lessThan">
      <formula>20</formula>
    </cfRule>
    <cfRule type="cellIs" dxfId="1" priority="4477" operator="greaterThan">
      <formula>120</formula>
    </cfRule>
    <cfRule type="containsText" dxfId="2" priority="3632" operator="between" text="库存为">
      <formula>NOT(ISERROR(SEARCH("库存为",AU789)))</formula>
    </cfRule>
  </conditionalFormatting>
  <conditionalFormatting sqref="AU790">
    <cfRule type="cellIs" dxfId="0" priority="5321" operator="lessThan">
      <formula>20</formula>
    </cfRule>
    <cfRule type="cellIs" dxfId="1" priority="4476" operator="greaterThan">
      <formula>120</formula>
    </cfRule>
    <cfRule type="containsText" dxfId="2" priority="3631" operator="between" text="库存为">
      <formula>NOT(ISERROR(SEARCH("库存为",AU790)))</formula>
    </cfRule>
  </conditionalFormatting>
  <conditionalFormatting sqref="AU791">
    <cfRule type="cellIs" dxfId="0" priority="5320" operator="lessThan">
      <formula>20</formula>
    </cfRule>
    <cfRule type="cellIs" dxfId="1" priority="4475" operator="greaterThan">
      <formula>120</formula>
    </cfRule>
    <cfRule type="containsText" dxfId="2" priority="3630" operator="between" text="库存为">
      <formula>NOT(ISERROR(SEARCH("库存为",AU791)))</formula>
    </cfRule>
  </conditionalFormatting>
  <conditionalFormatting sqref="AU792">
    <cfRule type="cellIs" dxfId="0" priority="5319" operator="lessThan">
      <formula>20</formula>
    </cfRule>
    <cfRule type="cellIs" dxfId="1" priority="4474" operator="greaterThan">
      <formula>120</formula>
    </cfRule>
    <cfRule type="containsText" dxfId="2" priority="3629" operator="between" text="库存为">
      <formula>NOT(ISERROR(SEARCH("库存为",AU792)))</formula>
    </cfRule>
  </conditionalFormatting>
  <conditionalFormatting sqref="AU793">
    <cfRule type="cellIs" dxfId="0" priority="5318" operator="lessThan">
      <formula>20</formula>
    </cfRule>
    <cfRule type="cellIs" dxfId="1" priority="4473" operator="greaterThan">
      <formula>120</formula>
    </cfRule>
    <cfRule type="containsText" dxfId="2" priority="3628" operator="between" text="库存为">
      <formula>NOT(ISERROR(SEARCH("库存为",AU793)))</formula>
    </cfRule>
  </conditionalFormatting>
  <conditionalFormatting sqref="AU794">
    <cfRule type="cellIs" dxfId="0" priority="5317" operator="lessThan">
      <formula>20</formula>
    </cfRule>
    <cfRule type="cellIs" dxfId="1" priority="4472" operator="greaterThan">
      <formula>120</formula>
    </cfRule>
    <cfRule type="containsText" dxfId="2" priority="3627" operator="between" text="库存为">
      <formula>NOT(ISERROR(SEARCH("库存为",AU794)))</formula>
    </cfRule>
  </conditionalFormatting>
  <conditionalFormatting sqref="AU795">
    <cfRule type="cellIs" dxfId="0" priority="5316" operator="lessThan">
      <formula>20</formula>
    </cfRule>
    <cfRule type="cellIs" dxfId="1" priority="4471" operator="greaterThan">
      <formula>120</formula>
    </cfRule>
    <cfRule type="containsText" dxfId="2" priority="3626" operator="between" text="库存为">
      <formula>NOT(ISERROR(SEARCH("库存为",AU795)))</formula>
    </cfRule>
  </conditionalFormatting>
  <conditionalFormatting sqref="AU796">
    <cfRule type="cellIs" dxfId="0" priority="5315" operator="lessThan">
      <formula>20</formula>
    </cfRule>
    <cfRule type="cellIs" dxfId="1" priority="4470" operator="greaterThan">
      <formula>120</formula>
    </cfRule>
    <cfRule type="containsText" dxfId="2" priority="3625" operator="between" text="库存为">
      <formula>NOT(ISERROR(SEARCH("库存为",AU796)))</formula>
    </cfRule>
  </conditionalFormatting>
  <conditionalFormatting sqref="AU797">
    <cfRule type="cellIs" dxfId="0" priority="5314" operator="lessThan">
      <formula>20</formula>
    </cfRule>
    <cfRule type="cellIs" dxfId="1" priority="4469" operator="greaterThan">
      <formula>120</formula>
    </cfRule>
    <cfRule type="containsText" dxfId="2" priority="3624" operator="between" text="库存为">
      <formula>NOT(ISERROR(SEARCH("库存为",AU797)))</formula>
    </cfRule>
  </conditionalFormatting>
  <conditionalFormatting sqref="AU798">
    <cfRule type="cellIs" dxfId="0" priority="5313" operator="lessThan">
      <formula>20</formula>
    </cfRule>
    <cfRule type="cellIs" dxfId="1" priority="4468" operator="greaterThan">
      <formula>120</formula>
    </cfRule>
    <cfRule type="containsText" dxfId="2" priority="3623" operator="between" text="库存为">
      <formula>NOT(ISERROR(SEARCH("库存为",AU798)))</formula>
    </cfRule>
  </conditionalFormatting>
  <conditionalFormatting sqref="AU799">
    <cfRule type="cellIs" dxfId="0" priority="5312" operator="lessThan">
      <formula>20</formula>
    </cfRule>
    <cfRule type="cellIs" dxfId="1" priority="4467" operator="greaterThan">
      <formula>120</formula>
    </cfRule>
    <cfRule type="containsText" dxfId="2" priority="3622" operator="between" text="库存为">
      <formula>NOT(ISERROR(SEARCH("库存为",AU799)))</formula>
    </cfRule>
  </conditionalFormatting>
  <conditionalFormatting sqref="AU800">
    <cfRule type="cellIs" dxfId="0" priority="5311" operator="lessThan">
      <formula>20</formula>
    </cfRule>
    <cfRule type="cellIs" dxfId="1" priority="4466" operator="greaterThan">
      <formula>120</formula>
    </cfRule>
    <cfRule type="containsText" dxfId="2" priority="3621" operator="between" text="库存为">
      <formula>NOT(ISERROR(SEARCH("库存为",AU800)))</formula>
    </cfRule>
  </conditionalFormatting>
  <conditionalFormatting sqref="AU801">
    <cfRule type="cellIs" dxfId="0" priority="5310" operator="lessThan">
      <formula>20</formula>
    </cfRule>
    <cfRule type="cellIs" dxfId="1" priority="4465" operator="greaterThan">
      <formula>120</formula>
    </cfRule>
    <cfRule type="containsText" dxfId="2" priority="3620" operator="between" text="库存为">
      <formula>NOT(ISERROR(SEARCH("库存为",AU801)))</formula>
    </cfRule>
  </conditionalFormatting>
  <conditionalFormatting sqref="AU802">
    <cfRule type="cellIs" dxfId="0" priority="5309" operator="lessThan">
      <formula>20</formula>
    </cfRule>
    <cfRule type="cellIs" dxfId="1" priority="4464" operator="greaterThan">
      <formula>120</formula>
    </cfRule>
    <cfRule type="containsText" dxfId="2" priority="3619" operator="between" text="库存为">
      <formula>NOT(ISERROR(SEARCH("库存为",AU802)))</formula>
    </cfRule>
  </conditionalFormatting>
  <conditionalFormatting sqref="AU803">
    <cfRule type="cellIs" dxfId="0" priority="5308" operator="lessThan">
      <formula>20</formula>
    </cfRule>
    <cfRule type="cellIs" dxfId="1" priority="4463" operator="greaterThan">
      <formula>120</formula>
    </cfRule>
    <cfRule type="containsText" dxfId="2" priority="3618" operator="between" text="库存为">
      <formula>NOT(ISERROR(SEARCH("库存为",AU803)))</formula>
    </cfRule>
  </conditionalFormatting>
  <conditionalFormatting sqref="AU804">
    <cfRule type="cellIs" dxfId="0" priority="5307" operator="lessThan">
      <formula>20</formula>
    </cfRule>
    <cfRule type="cellIs" dxfId="1" priority="4462" operator="greaterThan">
      <formula>120</formula>
    </cfRule>
    <cfRule type="containsText" dxfId="2" priority="3617" operator="between" text="库存为">
      <formula>NOT(ISERROR(SEARCH("库存为",AU804)))</formula>
    </cfRule>
  </conditionalFormatting>
  <conditionalFormatting sqref="AU805">
    <cfRule type="cellIs" dxfId="0" priority="5306" operator="lessThan">
      <formula>20</formula>
    </cfRule>
    <cfRule type="cellIs" dxfId="1" priority="4461" operator="greaterThan">
      <formula>120</formula>
    </cfRule>
    <cfRule type="containsText" dxfId="2" priority="3616" operator="between" text="库存为">
      <formula>NOT(ISERROR(SEARCH("库存为",AU805)))</formula>
    </cfRule>
  </conditionalFormatting>
  <conditionalFormatting sqref="AU806">
    <cfRule type="cellIs" dxfId="0" priority="5305" operator="lessThan">
      <formula>20</formula>
    </cfRule>
    <cfRule type="cellIs" dxfId="1" priority="4460" operator="greaterThan">
      <formula>120</formula>
    </cfRule>
    <cfRule type="containsText" dxfId="2" priority="3615" operator="between" text="库存为">
      <formula>NOT(ISERROR(SEARCH("库存为",AU806)))</formula>
    </cfRule>
  </conditionalFormatting>
  <conditionalFormatting sqref="AU807">
    <cfRule type="cellIs" dxfId="0" priority="5304" operator="lessThan">
      <formula>20</formula>
    </cfRule>
    <cfRule type="cellIs" dxfId="1" priority="4459" operator="greaterThan">
      <formula>120</formula>
    </cfRule>
    <cfRule type="containsText" dxfId="2" priority="3614" operator="between" text="库存为">
      <formula>NOT(ISERROR(SEARCH("库存为",AU807)))</formula>
    </cfRule>
  </conditionalFormatting>
  <conditionalFormatting sqref="AU808">
    <cfRule type="cellIs" dxfId="0" priority="5303" operator="lessThan">
      <formula>20</formula>
    </cfRule>
    <cfRule type="cellIs" dxfId="1" priority="4458" operator="greaterThan">
      <formula>120</formula>
    </cfRule>
    <cfRule type="containsText" dxfId="2" priority="3613" operator="between" text="库存为">
      <formula>NOT(ISERROR(SEARCH("库存为",AU808)))</formula>
    </cfRule>
  </conditionalFormatting>
  <conditionalFormatting sqref="AU809">
    <cfRule type="cellIs" dxfId="0" priority="5302" operator="lessThan">
      <formula>20</formula>
    </cfRule>
    <cfRule type="cellIs" dxfId="1" priority="4457" operator="greaterThan">
      <formula>120</formula>
    </cfRule>
    <cfRule type="containsText" dxfId="2" priority="3612" operator="between" text="库存为">
      <formula>NOT(ISERROR(SEARCH("库存为",AU809)))</formula>
    </cfRule>
  </conditionalFormatting>
  <conditionalFormatting sqref="AU810">
    <cfRule type="cellIs" dxfId="0" priority="5301" operator="lessThan">
      <formula>20</formula>
    </cfRule>
    <cfRule type="cellIs" dxfId="1" priority="4456" operator="greaterThan">
      <formula>120</formula>
    </cfRule>
    <cfRule type="containsText" dxfId="2" priority="3611" operator="between" text="库存为">
      <formula>NOT(ISERROR(SEARCH("库存为",AU810)))</formula>
    </cfRule>
  </conditionalFormatting>
  <conditionalFormatting sqref="AU811">
    <cfRule type="cellIs" dxfId="0" priority="5300" operator="lessThan">
      <formula>20</formula>
    </cfRule>
    <cfRule type="cellIs" dxfId="1" priority="4455" operator="greaterThan">
      <formula>120</formula>
    </cfRule>
    <cfRule type="containsText" dxfId="2" priority="3610" operator="between" text="库存为">
      <formula>NOT(ISERROR(SEARCH("库存为",AU811)))</formula>
    </cfRule>
  </conditionalFormatting>
  <conditionalFormatting sqref="AU812">
    <cfRule type="cellIs" dxfId="0" priority="5299" operator="lessThan">
      <formula>20</formula>
    </cfRule>
    <cfRule type="cellIs" dxfId="1" priority="4454" operator="greaterThan">
      <formula>120</formula>
    </cfRule>
    <cfRule type="containsText" dxfId="2" priority="3609" operator="between" text="库存为">
      <formula>NOT(ISERROR(SEARCH("库存为",AU812)))</formula>
    </cfRule>
  </conditionalFormatting>
  <conditionalFormatting sqref="AU813">
    <cfRule type="cellIs" dxfId="0" priority="5298" operator="lessThan">
      <formula>20</formula>
    </cfRule>
    <cfRule type="cellIs" dxfId="1" priority="4453" operator="greaterThan">
      <formula>120</formula>
    </cfRule>
    <cfRule type="containsText" dxfId="2" priority="3608" operator="between" text="库存为">
      <formula>NOT(ISERROR(SEARCH("库存为",AU813)))</formula>
    </cfRule>
  </conditionalFormatting>
  <conditionalFormatting sqref="AU814">
    <cfRule type="cellIs" dxfId="0" priority="5297" operator="lessThan">
      <formula>20</formula>
    </cfRule>
    <cfRule type="cellIs" dxfId="1" priority="4452" operator="greaterThan">
      <formula>120</formula>
    </cfRule>
    <cfRule type="containsText" dxfId="2" priority="3607" operator="between" text="库存为">
      <formula>NOT(ISERROR(SEARCH("库存为",AU814)))</formula>
    </cfRule>
  </conditionalFormatting>
  <conditionalFormatting sqref="AU815">
    <cfRule type="cellIs" dxfId="0" priority="5296" operator="lessThan">
      <formula>20</formula>
    </cfRule>
    <cfRule type="cellIs" dxfId="1" priority="4451" operator="greaterThan">
      <formula>120</formula>
    </cfRule>
    <cfRule type="containsText" dxfId="2" priority="3606" operator="between" text="库存为">
      <formula>NOT(ISERROR(SEARCH("库存为",AU815)))</formula>
    </cfRule>
  </conditionalFormatting>
  <conditionalFormatting sqref="AU816">
    <cfRule type="cellIs" dxfId="0" priority="5295" operator="lessThan">
      <formula>20</formula>
    </cfRule>
    <cfRule type="cellIs" dxfId="1" priority="4450" operator="greaterThan">
      <formula>120</formula>
    </cfRule>
    <cfRule type="containsText" dxfId="2" priority="3605" operator="between" text="库存为">
      <formula>NOT(ISERROR(SEARCH("库存为",AU816)))</formula>
    </cfRule>
  </conditionalFormatting>
  <conditionalFormatting sqref="AU817">
    <cfRule type="cellIs" dxfId="0" priority="5294" operator="lessThan">
      <formula>20</formula>
    </cfRule>
    <cfRule type="cellIs" dxfId="1" priority="4449" operator="greaterThan">
      <formula>120</formula>
    </cfRule>
    <cfRule type="containsText" dxfId="2" priority="3604" operator="between" text="库存为">
      <formula>NOT(ISERROR(SEARCH("库存为",AU817)))</formula>
    </cfRule>
  </conditionalFormatting>
  <conditionalFormatting sqref="AU818">
    <cfRule type="cellIs" dxfId="0" priority="5293" operator="lessThan">
      <formula>20</formula>
    </cfRule>
    <cfRule type="cellIs" dxfId="1" priority="4448" operator="greaterThan">
      <formula>120</formula>
    </cfRule>
    <cfRule type="containsText" dxfId="2" priority="3603" operator="between" text="库存为">
      <formula>NOT(ISERROR(SEARCH("库存为",AU818)))</formula>
    </cfRule>
  </conditionalFormatting>
  <conditionalFormatting sqref="AU819">
    <cfRule type="cellIs" dxfId="0" priority="5292" operator="lessThan">
      <formula>20</formula>
    </cfRule>
    <cfRule type="cellIs" dxfId="1" priority="4447" operator="greaterThan">
      <formula>120</formula>
    </cfRule>
    <cfRule type="containsText" dxfId="2" priority="3602" operator="between" text="库存为">
      <formula>NOT(ISERROR(SEARCH("库存为",AU819)))</formula>
    </cfRule>
  </conditionalFormatting>
  <conditionalFormatting sqref="AU820">
    <cfRule type="cellIs" dxfId="0" priority="5291" operator="lessThan">
      <formula>20</formula>
    </cfRule>
    <cfRule type="cellIs" dxfId="1" priority="4446" operator="greaterThan">
      <formula>120</formula>
    </cfRule>
    <cfRule type="containsText" dxfId="2" priority="3601" operator="between" text="库存为">
      <formula>NOT(ISERROR(SEARCH("库存为",AU820)))</formula>
    </cfRule>
  </conditionalFormatting>
  <conditionalFormatting sqref="AU821">
    <cfRule type="cellIs" dxfId="0" priority="5290" operator="lessThan">
      <formula>20</formula>
    </cfRule>
    <cfRule type="cellIs" dxfId="1" priority="4445" operator="greaterThan">
      <formula>120</formula>
    </cfRule>
    <cfRule type="containsText" dxfId="2" priority="3600" operator="between" text="库存为">
      <formula>NOT(ISERROR(SEARCH("库存为",AU821)))</formula>
    </cfRule>
  </conditionalFormatting>
  <conditionalFormatting sqref="AU822">
    <cfRule type="cellIs" dxfId="0" priority="5289" operator="lessThan">
      <formula>20</formula>
    </cfRule>
    <cfRule type="cellIs" dxfId="1" priority="4444" operator="greaterThan">
      <formula>120</formula>
    </cfRule>
    <cfRule type="containsText" dxfId="2" priority="3599" operator="between" text="库存为">
      <formula>NOT(ISERROR(SEARCH("库存为",AU822)))</formula>
    </cfRule>
  </conditionalFormatting>
  <conditionalFormatting sqref="AU823">
    <cfRule type="cellIs" dxfId="0" priority="5288" operator="lessThan">
      <formula>20</formula>
    </cfRule>
    <cfRule type="cellIs" dxfId="1" priority="4443" operator="greaterThan">
      <formula>120</formula>
    </cfRule>
    <cfRule type="containsText" dxfId="2" priority="3598" operator="between" text="库存为">
      <formula>NOT(ISERROR(SEARCH("库存为",AU823)))</formula>
    </cfRule>
  </conditionalFormatting>
  <conditionalFormatting sqref="AU824">
    <cfRule type="cellIs" dxfId="0" priority="5287" operator="lessThan">
      <formula>20</formula>
    </cfRule>
    <cfRule type="cellIs" dxfId="1" priority="4442" operator="greaterThan">
      <formula>120</formula>
    </cfRule>
    <cfRule type="containsText" dxfId="2" priority="3597" operator="between" text="库存为">
      <formula>NOT(ISERROR(SEARCH("库存为",AU824)))</formula>
    </cfRule>
  </conditionalFormatting>
  <conditionalFormatting sqref="AU825">
    <cfRule type="cellIs" dxfId="0" priority="5286" operator="lessThan">
      <formula>20</formula>
    </cfRule>
    <cfRule type="cellIs" dxfId="1" priority="4441" operator="greaterThan">
      <formula>120</formula>
    </cfRule>
    <cfRule type="containsText" dxfId="2" priority="3596" operator="between" text="库存为">
      <formula>NOT(ISERROR(SEARCH("库存为",AU825)))</formula>
    </cfRule>
  </conditionalFormatting>
  <conditionalFormatting sqref="AU826">
    <cfRule type="cellIs" dxfId="0" priority="5285" operator="lessThan">
      <formula>20</formula>
    </cfRule>
    <cfRule type="cellIs" dxfId="1" priority="4440" operator="greaterThan">
      <formula>120</formula>
    </cfRule>
    <cfRule type="containsText" dxfId="2" priority="3595" operator="between" text="库存为">
      <formula>NOT(ISERROR(SEARCH("库存为",AU826)))</formula>
    </cfRule>
  </conditionalFormatting>
  <conditionalFormatting sqref="AU827">
    <cfRule type="cellIs" dxfId="0" priority="5284" operator="lessThan">
      <formula>20</formula>
    </cfRule>
    <cfRule type="cellIs" dxfId="1" priority="4439" operator="greaterThan">
      <formula>120</formula>
    </cfRule>
    <cfRule type="containsText" dxfId="2" priority="3594" operator="between" text="库存为">
      <formula>NOT(ISERROR(SEARCH("库存为",AU827)))</formula>
    </cfRule>
  </conditionalFormatting>
  <conditionalFormatting sqref="AU828">
    <cfRule type="cellIs" dxfId="0" priority="5283" operator="lessThan">
      <formula>20</formula>
    </cfRule>
    <cfRule type="cellIs" dxfId="1" priority="4438" operator="greaterThan">
      <formula>120</formula>
    </cfRule>
    <cfRule type="containsText" dxfId="2" priority="3593" operator="between" text="库存为">
      <formula>NOT(ISERROR(SEARCH("库存为",AU828)))</formula>
    </cfRule>
  </conditionalFormatting>
  <conditionalFormatting sqref="AU829">
    <cfRule type="cellIs" dxfId="0" priority="5282" operator="lessThan">
      <formula>20</formula>
    </cfRule>
    <cfRule type="cellIs" dxfId="1" priority="4437" operator="greaterThan">
      <formula>120</formula>
    </cfRule>
    <cfRule type="containsText" dxfId="2" priority="3592" operator="between" text="库存为">
      <formula>NOT(ISERROR(SEARCH("库存为",AU829)))</formula>
    </cfRule>
  </conditionalFormatting>
  <conditionalFormatting sqref="AU830">
    <cfRule type="cellIs" dxfId="0" priority="5281" operator="lessThan">
      <formula>20</formula>
    </cfRule>
    <cfRule type="cellIs" dxfId="1" priority="4436" operator="greaterThan">
      <formula>120</formula>
    </cfRule>
    <cfRule type="containsText" dxfId="2" priority="3591" operator="between" text="库存为">
      <formula>NOT(ISERROR(SEARCH("库存为",AU830)))</formula>
    </cfRule>
  </conditionalFormatting>
  <conditionalFormatting sqref="AU831">
    <cfRule type="cellIs" dxfId="0" priority="5280" operator="lessThan">
      <formula>20</formula>
    </cfRule>
    <cfRule type="cellIs" dxfId="1" priority="4435" operator="greaterThan">
      <formula>120</formula>
    </cfRule>
    <cfRule type="containsText" dxfId="2" priority="3590" operator="between" text="库存为">
      <formula>NOT(ISERROR(SEARCH("库存为",AU831)))</formula>
    </cfRule>
  </conditionalFormatting>
  <conditionalFormatting sqref="AU832">
    <cfRule type="cellIs" dxfId="0" priority="5279" operator="lessThan">
      <formula>20</formula>
    </cfRule>
    <cfRule type="cellIs" dxfId="1" priority="4434" operator="greaterThan">
      <formula>120</formula>
    </cfRule>
    <cfRule type="containsText" dxfId="2" priority="3589" operator="between" text="库存为">
      <formula>NOT(ISERROR(SEARCH("库存为",AU832)))</formula>
    </cfRule>
  </conditionalFormatting>
  <conditionalFormatting sqref="AU833">
    <cfRule type="cellIs" dxfId="0" priority="5278" operator="lessThan">
      <formula>20</formula>
    </cfRule>
    <cfRule type="cellIs" dxfId="1" priority="4433" operator="greaterThan">
      <formula>120</formula>
    </cfRule>
    <cfRule type="containsText" dxfId="2" priority="3588" operator="between" text="库存为">
      <formula>NOT(ISERROR(SEARCH("库存为",AU833)))</formula>
    </cfRule>
  </conditionalFormatting>
  <conditionalFormatting sqref="AU834">
    <cfRule type="cellIs" dxfId="0" priority="5277" operator="lessThan">
      <formula>20</formula>
    </cfRule>
    <cfRule type="cellIs" dxfId="1" priority="4432" operator="greaterThan">
      <formula>120</formula>
    </cfRule>
    <cfRule type="containsText" dxfId="2" priority="3587" operator="between" text="库存为">
      <formula>NOT(ISERROR(SEARCH("库存为",AU834)))</formula>
    </cfRule>
  </conditionalFormatting>
  <conditionalFormatting sqref="AU835">
    <cfRule type="cellIs" dxfId="0" priority="5276" operator="lessThan">
      <formula>20</formula>
    </cfRule>
    <cfRule type="cellIs" dxfId="1" priority="4431" operator="greaterThan">
      <formula>120</formula>
    </cfRule>
    <cfRule type="containsText" dxfId="2" priority="3586" operator="between" text="库存为">
      <formula>NOT(ISERROR(SEARCH("库存为",AU835)))</formula>
    </cfRule>
  </conditionalFormatting>
  <conditionalFormatting sqref="AU836">
    <cfRule type="cellIs" dxfId="0" priority="5275" operator="lessThan">
      <formula>20</formula>
    </cfRule>
    <cfRule type="cellIs" dxfId="1" priority="4430" operator="greaterThan">
      <formula>120</formula>
    </cfRule>
    <cfRule type="containsText" dxfId="2" priority="3585" operator="between" text="库存为">
      <formula>NOT(ISERROR(SEARCH("库存为",AU836)))</formula>
    </cfRule>
  </conditionalFormatting>
  <conditionalFormatting sqref="AU837">
    <cfRule type="cellIs" dxfId="0" priority="5274" operator="lessThan">
      <formula>20</formula>
    </cfRule>
    <cfRule type="cellIs" dxfId="1" priority="4429" operator="greaterThan">
      <formula>120</formula>
    </cfRule>
    <cfRule type="containsText" dxfId="2" priority="3584" operator="between" text="库存为">
      <formula>NOT(ISERROR(SEARCH("库存为",AU837)))</formula>
    </cfRule>
  </conditionalFormatting>
  <conditionalFormatting sqref="AU838">
    <cfRule type="cellIs" dxfId="0" priority="5273" operator="lessThan">
      <formula>20</formula>
    </cfRule>
    <cfRule type="cellIs" dxfId="1" priority="4428" operator="greaterThan">
      <formula>120</formula>
    </cfRule>
    <cfRule type="containsText" dxfId="2" priority="3583" operator="between" text="库存为">
      <formula>NOT(ISERROR(SEARCH("库存为",AU838)))</formula>
    </cfRule>
  </conditionalFormatting>
  <conditionalFormatting sqref="AU839">
    <cfRule type="cellIs" dxfId="0" priority="5272" operator="lessThan">
      <formula>20</formula>
    </cfRule>
    <cfRule type="cellIs" dxfId="1" priority="4427" operator="greaterThan">
      <formula>120</formula>
    </cfRule>
    <cfRule type="containsText" dxfId="2" priority="3582" operator="between" text="库存为">
      <formula>NOT(ISERROR(SEARCH("库存为",AU839)))</formula>
    </cfRule>
  </conditionalFormatting>
  <conditionalFormatting sqref="AU840">
    <cfRule type="cellIs" dxfId="0" priority="5271" operator="lessThan">
      <formula>20</formula>
    </cfRule>
    <cfRule type="cellIs" dxfId="1" priority="4426" operator="greaterThan">
      <formula>120</formula>
    </cfRule>
    <cfRule type="containsText" dxfId="2" priority="3581" operator="between" text="库存为">
      <formula>NOT(ISERROR(SEARCH("库存为",AU840)))</formula>
    </cfRule>
  </conditionalFormatting>
  <conditionalFormatting sqref="AU841">
    <cfRule type="cellIs" dxfId="0" priority="5270" operator="lessThan">
      <formula>20</formula>
    </cfRule>
    <cfRule type="cellIs" dxfId="1" priority="4425" operator="greaterThan">
      <formula>120</formula>
    </cfRule>
    <cfRule type="containsText" dxfId="2" priority="3580" operator="between" text="库存为">
      <formula>NOT(ISERROR(SEARCH("库存为",AU841)))</formula>
    </cfRule>
  </conditionalFormatting>
  <conditionalFormatting sqref="AU842">
    <cfRule type="cellIs" dxfId="0" priority="5269" operator="lessThan">
      <formula>20</formula>
    </cfRule>
    <cfRule type="cellIs" dxfId="1" priority="4424" operator="greaterThan">
      <formula>120</formula>
    </cfRule>
    <cfRule type="containsText" dxfId="2" priority="3579" operator="between" text="库存为">
      <formula>NOT(ISERROR(SEARCH("库存为",AU842)))</formula>
    </cfRule>
  </conditionalFormatting>
  <conditionalFormatting sqref="AU843">
    <cfRule type="cellIs" dxfId="0" priority="5268" operator="lessThan">
      <formula>20</formula>
    </cfRule>
    <cfRule type="cellIs" dxfId="1" priority="4423" operator="greaterThan">
      <formula>120</formula>
    </cfRule>
    <cfRule type="containsText" dxfId="2" priority="3578" operator="between" text="库存为">
      <formula>NOT(ISERROR(SEARCH("库存为",AU843)))</formula>
    </cfRule>
  </conditionalFormatting>
  <conditionalFormatting sqref="AU844">
    <cfRule type="cellIs" dxfId="0" priority="5267" operator="lessThan">
      <formula>20</formula>
    </cfRule>
    <cfRule type="cellIs" dxfId="1" priority="4422" operator="greaterThan">
      <formula>120</formula>
    </cfRule>
    <cfRule type="containsText" dxfId="2" priority="3577" operator="between" text="库存为">
      <formula>NOT(ISERROR(SEARCH("库存为",AU844)))</formula>
    </cfRule>
  </conditionalFormatting>
  <conditionalFormatting sqref="AU845">
    <cfRule type="cellIs" dxfId="0" priority="5266" operator="lessThan">
      <formula>20</formula>
    </cfRule>
    <cfRule type="cellIs" dxfId="1" priority="4421" operator="greaterThan">
      <formula>120</formula>
    </cfRule>
    <cfRule type="containsText" dxfId="2" priority="3576" operator="between" text="库存为">
      <formula>NOT(ISERROR(SEARCH("库存为",AU845)))</formula>
    </cfRule>
  </conditionalFormatting>
  <conditionalFormatting sqref="AU846">
    <cfRule type="cellIs" dxfId="0" priority="5265" operator="lessThan">
      <formula>20</formula>
    </cfRule>
    <cfRule type="cellIs" dxfId="1" priority="4420" operator="greaterThan">
      <formula>120</formula>
    </cfRule>
    <cfRule type="containsText" dxfId="2" priority="3575" operator="between" text="库存为">
      <formula>NOT(ISERROR(SEARCH("库存为",AU846)))</formula>
    </cfRule>
  </conditionalFormatting>
  <conditionalFormatting sqref="AU847">
    <cfRule type="cellIs" dxfId="0" priority="5264" operator="lessThan">
      <formula>20</formula>
    </cfRule>
    <cfRule type="cellIs" dxfId="1" priority="4419" operator="greaterThan">
      <formula>120</formula>
    </cfRule>
    <cfRule type="containsText" dxfId="2" priority="3574" operator="between" text="库存为">
      <formula>NOT(ISERROR(SEARCH("库存为",AU847)))</formula>
    </cfRule>
  </conditionalFormatting>
  <conditionalFormatting sqref="AU848">
    <cfRule type="cellIs" dxfId="0" priority="5263" operator="lessThan">
      <formula>20</formula>
    </cfRule>
    <cfRule type="cellIs" dxfId="1" priority="4418" operator="greaterThan">
      <formula>120</formula>
    </cfRule>
    <cfRule type="containsText" dxfId="2" priority="3573" operator="between" text="库存为">
      <formula>NOT(ISERROR(SEARCH("库存为",AU848)))</formula>
    </cfRule>
  </conditionalFormatting>
  <conditionalFormatting sqref="AU849">
    <cfRule type="cellIs" dxfId="0" priority="5262" operator="lessThan">
      <formula>20</formula>
    </cfRule>
    <cfRule type="cellIs" dxfId="1" priority="4417" operator="greaterThan">
      <formula>120</formula>
    </cfRule>
    <cfRule type="containsText" dxfId="2" priority="3572" operator="between" text="库存为">
      <formula>NOT(ISERROR(SEARCH("库存为",AU849)))</formula>
    </cfRule>
  </conditionalFormatting>
  <conditionalFormatting sqref="AU850">
    <cfRule type="cellIs" dxfId="0" priority="5261" operator="lessThan">
      <formula>20</formula>
    </cfRule>
    <cfRule type="cellIs" dxfId="1" priority="4416" operator="greaterThan">
      <formula>120</formula>
    </cfRule>
    <cfRule type="containsText" dxfId="2" priority="3571" operator="between" text="库存为">
      <formula>NOT(ISERROR(SEARCH("库存为",AU850)))</formula>
    </cfRule>
  </conditionalFormatting>
  <conditionalFormatting sqref="AU851:AU2811">
    <cfRule type="containsText" dxfId="2" priority="6118" operator="between" text="库存为">
      <formula>NOT(ISERROR(SEARCH("库存为",AU851)))</formula>
    </cfRule>
    <cfRule type="cellIs" dxfId="1" priority="6119" operator="greaterThan">
      <formula>120</formula>
    </cfRule>
    <cfRule type="cellIs" dxfId="0" priority="612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77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447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448</v>
      </c>
      <c r="AI1" s="11"/>
      <c r="AJ1" s="11"/>
      <c r="AK1" s="11"/>
      <c r="AL1" s="11" t="s">
        <v>449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43262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2018/7/2-2018/7/8</v>
      </c>
      <c r="C3" s="14" t="str">
        <f>TEXT(时间!$B$8,"yyyy/M/d")&amp;"-"&amp;TEXT(时间!$B$7,"yyyy/M/d")</f>
        <v>2018/6/25-2018/7/1</v>
      </c>
      <c r="D3" s="14" t="str">
        <f>TEXT(时间!$B$10,"yyyy/M/d")&amp;"-"&amp;TEXT(时间!$B$9,"yyyy/M/d")</f>
        <v>2018/6/18-2018/6/24</v>
      </c>
      <c r="E3" s="14" t="str">
        <f>TEXT(时间!$B$12,"yyyy/M/d")&amp;"-"&amp;TEXT(时间!$B$11,"yyyy/M/d")</f>
        <v>2018/6/11-2018/6/17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450</v>
      </c>
      <c r="C4" s="6" t="s">
        <v>451</v>
      </c>
      <c r="D4" s="6" t="s">
        <v>452</v>
      </c>
      <c r="E4" s="6" t="s">
        <v>453</v>
      </c>
      <c r="F4" s="7" t="s">
        <v>20</v>
      </c>
      <c r="G4" t="s">
        <v>21</v>
      </c>
      <c r="H4" t="s">
        <v>22</v>
      </c>
      <c r="I4" t="s">
        <v>454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43283</v>
      </c>
      <c r="AE4" s="21">
        <f>时间!$B$7</f>
        <v>43282</v>
      </c>
      <c r="AF4" s="21">
        <f>时间!$B$8</f>
        <v>43276</v>
      </c>
      <c r="AG4" s="21">
        <f>时间!$B$9</f>
        <v>43275</v>
      </c>
      <c r="AH4" s="21">
        <f>时间!$B$6</f>
        <v>43283</v>
      </c>
      <c r="AI4" s="21">
        <f>时间!$B$7</f>
        <v>43282</v>
      </c>
      <c r="AJ4" s="21">
        <f>时间!$B$8</f>
        <v>43276</v>
      </c>
      <c r="AK4" s="21">
        <f>时间!$B$9</f>
        <v>43275</v>
      </c>
      <c r="AL4" s="21">
        <f>时间!$B$6</f>
        <v>43283</v>
      </c>
      <c r="AM4" s="21">
        <f>时间!$B$7</f>
        <v>43282</v>
      </c>
      <c r="AN4" s="21">
        <f>时间!$B$8</f>
        <v>43276</v>
      </c>
      <c r="AO4" s="21">
        <f>时间!$B$9</f>
        <v>43275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41</v>
      </c>
      <c r="C5" s="17">
        <f t="shared" si="14"/>
        <v>64</v>
      </c>
      <c r="D5" s="17">
        <f t="shared" si="14"/>
        <v>33</v>
      </c>
      <c r="E5" s="17">
        <f t="shared" si="14"/>
        <v>30</v>
      </c>
      <c r="F5" s="18"/>
      <c r="G5" s="5">
        <f t="shared" si="14"/>
        <v>4369</v>
      </c>
      <c r="H5" s="5">
        <f t="shared" si="14"/>
        <v>0</v>
      </c>
      <c r="I5" s="5">
        <f t="shared" si="14"/>
        <v>0</v>
      </c>
      <c r="J5" s="5">
        <f t="shared" si="14"/>
        <v>5</v>
      </c>
      <c r="K5" s="5">
        <f t="shared" si="14"/>
        <v>4374</v>
      </c>
      <c r="L5" s="5">
        <f t="shared" si="14"/>
        <v>14</v>
      </c>
      <c r="M5" s="5">
        <f t="shared" si="14"/>
        <v>4258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167.95</v>
      </c>
      <c r="AA5" s="5">
        <f>SUM(AA6:AA9999)</f>
        <v>162.94</v>
      </c>
      <c r="AB5" s="5">
        <f>SUM(AB6:AB9999)</f>
        <v>168.45</v>
      </c>
      <c r="AC5" s="5">
        <f>SUM(AC6:AC9999)</f>
        <v>173.67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455</v>
      </c>
      <c r="B6" s="6">
        <f>SUMIF('库存（子SKU）'!$C:$C,$A6,'库存（子SKU）'!D:D)</f>
        <v>1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1</v>
      </c>
      <c r="F6" s="7">
        <f>IFERROR(VLOOKUP(A6,'[3]父sku-单价'!$A:$B,2,0),"")</f>
        <v>15.99</v>
      </c>
      <c r="G6">
        <f>SUMIF('库存（子SKU）'!$C:$C,$A6,'库存（子SKU）'!I:I)</f>
        <v>24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24</v>
      </c>
      <c r="L6">
        <f>SUMIF('库存（子SKU）'!$C:$C,$A6,'库存（子SKU）'!N:N)</f>
        <v>0</v>
      </c>
      <c r="M6">
        <f>SUMIF('库存（子SKU）'!$C:$C,$A6,'库存（子SKU）'!O:O)</f>
        <v>24</v>
      </c>
      <c r="N6">
        <f>SUMIF('库存（子SKU）'!$C:$C,$A6,'库存（子SKU）'!P:P)</f>
        <v>855</v>
      </c>
      <c r="O6">
        <f>SUMIF('库存（子SKU）'!$C:$C,$A6,'库存（子SKU）'!Q:Q)</f>
        <v>467</v>
      </c>
      <c r="P6">
        <f>SUMIF('库存（子SKU）'!$C:$C,$A6,'库存（子SKU）'!R:R)</f>
        <v>258</v>
      </c>
      <c r="Q6">
        <f>SUMIF('库存（子SKU）'!$C:$C,$A6,'库存（子SKU）'!S:S)</f>
        <v>389</v>
      </c>
      <c r="R6">
        <f>SUMIF('库存（子SKU）'!$C:$C,$A6,'库存（子SKU）'!T:T)</f>
        <v>3</v>
      </c>
      <c r="S6">
        <f>SUMIF('库存（子SKU）'!$C:$C,$A6,'库存（子SKU）'!U:U)</f>
        <v>1</v>
      </c>
      <c r="T6">
        <f>SUMIF('库存（子SKU）'!$C:$C,$A6,'库存（子SKU）'!V:V)</f>
        <v>0</v>
      </c>
      <c r="U6">
        <f>SUMIF('库存（子SKU）'!$C:$C,$A6,'库存（子SKU）'!W:W)</f>
        <v>1</v>
      </c>
      <c r="V6" s="23">
        <f t="shared" ref="V6:V69" si="15">IFERROR(R6/N6,"")</f>
        <v>0.00350877192982456</v>
      </c>
      <c r="W6" s="23">
        <f t="shared" ref="W6:W69" si="16">IFERROR(S6/O6,"")</f>
        <v>0.00214132762312634</v>
      </c>
      <c r="X6" s="23">
        <f t="shared" ref="X6:X69" si="17">IFERROR(T6/P6,"")</f>
        <v>0</v>
      </c>
      <c r="Y6" s="23">
        <f t="shared" ref="Y6:Y69" si="18">IFERROR(U6/Q6,"")</f>
        <v>0.0025706940874036</v>
      </c>
      <c r="Z6">
        <f>SUMIF('库存（子SKU）'!$C:$C,$A6,'库存（子SKU）'!AB:AB)</f>
        <v>2.79</v>
      </c>
      <c r="AA6">
        <f>SUMIF('库存（子SKU）'!$C:$C,$A6,'库存（子SKU）'!AC:AC)</f>
        <v>0.82</v>
      </c>
      <c r="AB6">
        <f>SUMIF('库存（子SKU）'!$C:$C,$A6,'库存（子SKU）'!AD:AD)</f>
        <v>0</v>
      </c>
      <c r="AC6">
        <f>SUMIF('库存（子SKU）'!$C:$C,$A6,'库存（子SKU）'!AE:AE)</f>
        <v>1</v>
      </c>
      <c r="AD6" s="23">
        <f t="shared" si="2"/>
        <v>0.174484052532833</v>
      </c>
      <c r="AE6" s="23" t="str">
        <f t="shared" si="3"/>
        <v>无销量广告费为0.82</v>
      </c>
      <c r="AF6" s="23" t="str">
        <f t="shared" si="4"/>
        <v/>
      </c>
      <c r="AG6" s="23">
        <f t="shared" si="5"/>
        <v>0.0625390869293308</v>
      </c>
      <c r="AH6">
        <f>SUMIF('库存（子SKU）'!$C:$C,$A6,'库存（子SKU）'!AJ:AJ)</f>
        <v>11</v>
      </c>
      <c r="AI6">
        <f>SUMIF('库存（子SKU）'!$C:$C,$A6,'库存（子SKU）'!AK:AK)</f>
        <v>5</v>
      </c>
      <c r="AJ6">
        <f>SUMIF('库存（子SKU）'!$C:$C,$A6,'库存（子SKU）'!AL:AL)</f>
        <v>6</v>
      </c>
      <c r="AK6">
        <f>SUMIF('库存（子SKU）'!$C:$C,$A6,'库存（子SKU）'!AM:AM)</f>
        <v>2</v>
      </c>
      <c r="AL6" s="23">
        <f t="shared" si="6"/>
        <v>0.0909090909090909</v>
      </c>
      <c r="AM6" s="23">
        <f t="shared" si="7"/>
        <v>0</v>
      </c>
      <c r="AN6" s="23">
        <f t="shared" si="8"/>
        <v>0</v>
      </c>
      <c r="AO6" s="23">
        <f t="shared" si="9"/>
        <v>0.5</v>
      </c>
      <c r="AP6" s="8">
        <f t="shared" si="10"/>
        <v>0.142857142857143</v>
      </c>
      <c r="AQ6" s="8">
        <f t="shared" si="11"/>
        <v>8.57142857142857</v>
      </c>
      <c r="AR6" s="8">
        <f t="shared" si="12"/>
        <v>15.4285714285714</v>
      </c>
      <c r="AS6">
        <f t="shared" si="13"/>
        <v>168</v>
      </c>
      <c r="AT6" s="25">
        <f>IFERROR(时间!$B$4+AS6,"上周无销量")</f>
        <v>43458</v>
      </c>
    </row>
    <row r="7" spans="1:46">
      <c r="A7" t="s">
        <v>456</v>
      </c>
      <c r="B7" s="6">
        <f>SUMIF('库存（子SKU）'!$C:$C,$A7,'库存（子SKU）'!D:D)</f>
        <v>1</v>
      </c>
      <c r="C7" s="6">
        <f>SUMIF('库存（子SKU）'!$C:$C,$A7,'库存（子SKU）'!E:E)</f>
        <v>0</v>
      </c>
      <c r="D7" s="6">
        <f>SUMIF('库存（子SKU）'!$C:$C,$A7,'库存（子SKU）'!F:F)</f>
        <v>1</v>
      </c>
      <c r="E7" s="6">
        <f>SUMIF('库存（子SKU）'!$C:$C,$A7,'库存（子SKU）'!G:G)</f>
        <v>2</v>
      </c>
      <c r="F7" s="7">
        <f>IFERROR(VLOOKUP(A7,'[3]父sku-单价'!$A:$B,2,0),"")</f>
        <v>15.99</v>
      </c>
      <c r="G7">
        <f>SUMIF('库存（子SKU）'!$C:$C,$A7,'库存（子SKU）'!I:I)</f>
        <v>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6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7648</v>
      </c>
      <c r="O7">
        <f>SUMIF('库存（子SKU）'!$C:$C,$A7,'库存（子SKU）'!Q:Q)</f>
        <v>5406</v>
      </c>
      <c r="P7">
        <f>SUMIF('库存（子SKU）'!$C:$C,$A7,'库存（子SKU）'!R:R)</f>
        <v>3636</v>
      </c>
      <c r="Q7">
        <f>SUMIF('库存（子SKU）'!$C:$C,$A7,'库存（子SKU）'!S:S)</f>
        <v>5303</v>
      </c>
      <c r="R7">
        <f>SUMIF('库存（子SKU）'!$C:$C,$A7,'库存（子SKU）'!T:T)</f>
        <v>19</v>
      </c>
      <c r="S7">
        <f>SUMIF('库存（子SKU）'!$C:$C,$A7,'库存（子SKU）'!U:U)</f>
        <v>16</v>
      </c>
      <c r="T7">
        <f>SUMIF('库存（子SKU）'!$C:$C,$A7,'库存（子SKU）'!V:V)</f>
        <v>24</v>
      </c>
      <c r="U7">
        <f>SUMIF('库存（子SKU）'!$C:$C,$A7,'库存（子SKU）'!W:W)</f>
        <v>29</v>
      </c>
      <c r="V7" s="23">
        <f t="shared" si="15"/>
        <v>0.00248430962343096</v>
      </c>
      <c r="W7" s="23">
        <f t="shared" si="16"/>
        <v>0.00295967443581206</v>
      </c>
      <c r="X7" s="23">
        <f t="shared" si="17"/>
        <v>0.0066006600660066</v>
      </c>
      <c r="Y7" s="23">
        <f t="shared" si="18"/>
        <v>0.00546860267772959</v>
      </c>
      <c r="Z7">
        <f>SUMIF('库存（子SKU）'!$C:$C,$A7,'库存（子SKU）'!AB:AB)</f>
        <v>12.76</v>
      </c>
      <c r="AA7">
        <f>SUMIF('库存（子SKU）'!$C:$C,$A7,'库存（子SKU）'!AC:AC)</f>
        <v>14.03</v>
      </c>
      <c r="AB7">
        <f>SUMIF('库存（子SKU）'!$C:$C,$A7,'库存（子SKU）'!AD:AD)</f>
        <v>18.3</v>
      </c>
      <c r="AC7">
        <f>SUMIF('库存（子SKU）'!$C:$C,$A7,'库存（子SKU）'!AE:AE)</f>
        <v>20.41</v>
      </c>
      <c r="AD7" s="23">
        <f t="shared" si="2"/>
        <v>0.797998749218261</v>
      </c>
      <c r="AE7" s="23" t="str">
        <f t="shared" si="3"/>
        <v>无销量广告费为14.03</v>
      </c>
      <c r="AF7" s="23">
        <f t="shared" si="4"/>
        <v>1.14446529080675</v>
      </c>
      <c r="AG7" s="23">
        <f t="shared" si="5"/>
        <v>0.638211382113821</v>
      </c>
      <c r="AH7">
        <f>SUMIF('库存（子SKU）'!$C:$C,$A7,'库存（子SKU）'!AJ:AJ)</f>
        <v>8</v>
      </c>
      <c r="AI7">
        <f>SUMIF('库存（子SKU）'!$C:$C,$A7,'库存（子SKU）'!AK:AK)</f>
        <v>19</v>
      </c>
      <c r="AJ7">
        <f>SUMIF('库存（子SKU）'!$C:$C,$A7,'库存（子SKU）'!AL:AL)</f>
        <v>9</v>
      </c>
      <c r="AK7">
        <f>SUMIF('库存（子SKU）'!$C:$C,$A7,'库存（子SKU）'!AM:AM)</f>
        <v>20</v>
      </c>
      <c r="AL7" s="23">
        <f t="shared" si="6"/>
        <v>0.125</v>
      </c>
      <c r="AM7" s="23">
        <f t="shared" si="7"/>
        <v>0</v>
      </c>
      <c r="AN7" s="23">
        <f t="shared" si="8"/>
        <v>0.111111111111111</v>
      </c>
      <c r="AO7" s="23">
        <f t="shared" si="9"/>
        <v>0.1</v>
      </c>
      <c r="AP7" s="8">
        <f t="shared" si="10"/>
        <v>0.142857142857143</v>
      </c>
      <c r="AQ7" s="8">
        <f t="shared" si="11"/>
        <v>8.57142857142857</v>
      </c>
      <c r="AR7" s="8">
        <f t="shared" si="12"/>
        <v>-2.57142857142857</v>
      </c>
      <c r="AS7">
        <f t="shared" si="13"/>
        <v>42</v>
      </c>
      <c r="AT7" s="25">
        <f>IFERROR(时间!$B$4+AS7,"上周无销量")</f>
        <v>43332</v>
      </c>
    </row>
    <row r="8" spans="1:46">
      <c r="A8" t="s">
        <v>457</v>
      </c>
      <c r="B8" s="6">
        <f>SUMIF('库存（子SKU）'!$C:$C,$A8,'库存（子SKU）'!D:D)</f>
        <v>1</v>
      </c>
      <c r="C8" s="6">
        <f>SUMIF('库存（子SKU）'!$C:$C,$A8,'库存（子SKU）'!E:E)</f>
        <v>1</v>
      </c>
      <c r="D8" s="6">
        <f>SUMIF('库存（子SKU）'!$C:$C,$A8,'库存（子SKU）'!F:F)</f>
        <v>0</v>
      </c>
      <c r="E8" s="6">
        <f>SUMIF('库存（子SKU）'!$C:$C,$A8,'库存（子SKU）'!G:G)</f>
        <v>1</v>
      </c>
      <c r="F8" s="7">
        <f>IFERROR(VLOOKUP(A8,'[3]父sku-单价'!$A:$B,2,0),"")</f>
        <v>15.99</v>
      </c>
      <c r="G8">
        <f>SUMIF('库存（子SKU）'!$C:$C,$A8,'库存（子SKU）'!I:I)</f>
        <v>40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40</v>
      </c>
      <c r="L8">
        <f>SUMIF('库存（子SKU）'!$C:$C,$A8,'库存（子SKU）'!N:N)</f>
        <v>0</v>
      </c>
      <c r="M8">
        <f>SUMIF('库存（子SKU）'!$C:$C,$A8,'库存（子SKU）'!O:O)</f>
        <v>40</v>
      </c>
      <c r="N8">
        <f>SUMIF('库存（子SKU）'!$C:$C,$A8,'库存（子SKU）'!P:P)</f>
        <v>1991</v>
      </c>
      <c r="O8">
        <f>SUMIF('库存（子SKU）'!$C:$C,$A8,'库存（子SKU）'!Q:Q)</f>
        <v>963</v>
      </c>
      <c r="P8">
        <f>SUMIF('库存（子SKU）'!$C:$C,$A8,'库存（子SKU）'!R:R)</f>
        <v>663</v>
      </c>
      <c r="Q8">
        <f>SUMIF('库存（子SKU）'!$C:$C,$A8,'库存（子SKU）'!S:S)</f>
        <v>1088</v>
      </c>
      <c r="R8">
        <f>SUMIF('库存（子SKU）'!$C:$C,$A8,'库存（子SKU）'!T:T)</f>
        <v>10</v>
      </c>
      <c r="S8">
        <f>SUMIF('库存（子SKU）'!$C:$C,$A8,'库存（子SKU）'!U:U)</f>
        <v>10</v>
      </c>
      <c r="T8">
        <f>SUMIF('库存（子SKU）'!$C:$C,$A8,'库存（子SKU）'!V:V)</f>
        <v>4</v>
      </c>
      <c r="U8">
        <f>SUMIF('库存（子SKU）'!$C:$C,$A8,'库存（子SKU）'!W:W)</f>
        <v>2</v>
      </c>
      <c r="V8" s="23">
        <f t="shared" si="15"/>
        <v>0.00502260170768458</v>
      </c>
      <c r="W8" s="23">
        <f t="shared" si="16"/>
        <v>0.0103842159916926</v>
      </c>
      <c r="X8" s="23">
        <f t="shared" si="17"/>
        <v>0.00603318250377074</v>
      </c>
      <c r="Y8" s="23">
        <f t="shared" si="18"/>
        <v>0.00183823529411765</v>
      </c>
      <c r="Z8">
        <f>SUMIF('库存（子SKU）'!$C:$C,$A8,'库存（子SKU）'!AB:AB)</f>
        <v>8.64</v>
      </c>
      <c r="AA8">
        <f>SUMIF('库存（子SKU）'!$C:$C,$A8,'库存（子SKU）'!AC:AC)</f>
        <v>8.45</v>
      </c>
      <c r="AB8">
        <f>SUMIF('库存（子SKU）'!$C:$C,$A8,'库存（子SKU）'!AD:AD)</f>
        <v>3.26</v>
      </c>
      <c r="AC8">
        <f>SUMIF('库存（子SKU）'!$C:$C,$A8,'库存（子SKU）'!AE:AE)</f>
        <v>1.52</v>
      </c>
      <c r="AD8" s="23">
        <f t="shared" si="2"/>
        <v>0.540337711069418</v>
      </c>
      <c r="AE8" s="23">
        <f t="shared" si="3"/>
        <v>0.528455284552846</v>
      </c>
      <c r="AF8" s="23" t="str">
        <f t="shared" si="4"/>
        <v>无销量广告费为3.26</v>
      </c>
      <c r="AG8" s="23">
        <f t="shared" si="5"/>
        <v>0.0950594121325829</v>
      </c>
      <c r="AH8">
        <f>SUMIF('库存（子SKU）'!$C:$C,$A8,'库存（子SKU）'!AJ:AJ)</f>
        <v>16</v>
      </c>
      <c r="AI8">
        <f>SUMIF('库存（子SKU）'!$C:$C,$A8,'库存（子SKU）'!AK:AK)</f>
        <v>10</v>
      </c>
      <c r="AJ8">
        <f>SUMIF('库存（子SKU）'!$C:$C,$A8,'库存（子SKU）'!AL:AL)</f>
        <v>8</v>
      </c>
      <c r="AK8">
        <f>SUMIF('库存（子SKU）'!$C:$C,$A8,'库存（子SKU）'!AM:AM)</f>
        <v>5</v>
      </c>
      <c r="AL8" s="23">
        <f t="shared" si="6"/>
        <v>0.0625</v>
      </c>
      <c r="AM8" s="23">
        <f t="shared" si="7"/>
        <v>0.1</v>
      </c>
      <c r="AN8" s="23">
        <f t="shared" si="8"/>
        <v>0</v>
      </c>
      <c r="AO8" s="23">
        <f t="shared" si="9"/>
        <v>0.2</v>
      </c>
      <c r="AP8" s="8">
        <f t="shared" si="10"/>
        <v>0.142857142857143</v>
      </c>
      <c r="AQ8" s="8">
        <f t="shared" si="11"/>
        <v>8.57142857142857</v>
      </c>
      <c r="AR8" s="8">
        <f t="shared" si="12"/>
        <v>31.4285714285714</v>
      </c>
      <c r="AS8">
        <f t="shared" si="13"/>
        <v>280</v>
      </c>
      <c r="AT8" s="25">
        <f>IFERROR(时间!$B$4+AS8,"上周无销量")</f>
        <v>43570</v>
      </c>
    </row>
    <row r="9" spans="1:46">
      <c r="A9" t="s">
        <v>458</v>
      </c>
      <c r="B9" s="6">
        <f>SUMIF('库存（子SKU）'!$C:$C,$A9,'库存（子SKU）'!D:D)</f>
        <v>0</v>
      </c>
      <c r="C9" s="6">
        <f>SUMIF('库存（子SKU）'!$C:$C,$A9,'库存（子SKU）'!E:E)</f>
        <v>4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>
        <f>IFERROR(VLOOKUP(A9,'[3]父sku-单价'!$A:$B,2,0),"")</f>
        <v>36.76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45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6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>
        <f t="shared" si="18"/>
        <v>0</v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>
        <f t="shared" si="3"/>
        <v>0</v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3</v>
      </c>
      <c r="AI9">
        <f>SUMIF('库存（子SKU）'!$C:$C,$A9,'库存（子SKU）'!AK:AK)</f>
        <v>17</v>
      </c>
      <c r="AJ9">
        <f>SUMIF('库存（子SKU）'!$C:$C,$A9,'库存（子SKU）'!AL:AL)</f>
        <v>11</v>
      </c>
      <c r="AK9">
        <f>SUMIF('库存（子SKU）'!$C:$C,$A9,'库存（子SKU）'!AM:AM)</f>
        <v>5</v>
      </c>
      <c r="AL9" s="23">
        <f t="shared" si="6"/>
        <v>0</v>
      </c>
      <c r="AM9" s="23">
        <f t="shared" si="7"/>
        <v>0.235294117647059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45</v>
      </c>
      <c r="AS9" t="str">
        <f t="shared" si="13"/>
        <v>库存为45</v>
      </c>
      <c r="AT9" s="25" t="str">
        <f>IFERROR(时间!$B$4+AS9,"上周无销量")</f>
        <v>上周无销量</v>
      </c>
    </row>
    <row r="10" spans="1:46">
      <c r="A10" t="s">
        <v>459</v>
      </c>
      <c r="B10" s="6">
        <f>SUMIF('库存（子SKU）'!$C:$C,$A10,'库存（子SKU）'!D:D)</f>
        <v>1</v>
      </c>
      <c r="C10" s="6">
        <f>SUMIF('库存（子SKU）'!$C:$C,$A10,'库存（子SKU）'!E:E)</f>
        <v>1</v>
      </c>
      <c r="D10" s="6">
        <f>SUMIF('库存（子SKU）'!$C:$C,$A10,'库存（子SKU）'!F:F)</f>
        <v>1</v>
      </c>
      <c r="E10" s="6">
        <f>SUMIF('库存（子SKU）'!$C:$C,$A10,'库存（子SKU）'!G:G)</f>
        <v>0</v>
      </c>
      <c r="F10" s="7">
        <f>IFERROR(VLOOKUP(A10,'[3]父sku-单价'!$A:$B,2,0),"")</f>
        <v>20.9</v>
      </c>
      <c r="G10">
        <f>SUMIF('库存（子SKU）'!$C:$C,$A10,'库存（子SKU）'!I:I)</f>
        <v>5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5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>
        <f t="shared" si="2"/>
        <v>0</v>
      </c>
      <c r="AE10" s="23">
        <f t="shared" si="3"/>
        <v>0</v>
      </c>
      <c r="AF10" s="23">
        <f t="shared" si="4"/>
        <v>0</v>
      </c>
      <c r="AG10" s="23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5</v>
      </c>
      <c r="AJ10">
        <f>SUMIF('库存（子SKU）'!$C:$C,$A10,'库存（子SKU）'!AL:AL)</f>
        <v>4</v>
      </c>
      <c r="AK10">
        <f>SUMIF('库存（子SKU）'!$C:$C,$A10,'库存（子SKU）'!AM:AM)</f>
        <v>3</v>
      </c>
      <c r="AL10" s="23" t="str">
        <f t="shared" si="6"/>
        <v/>
      </c>
      <c r="AM10" s="23">
        <f t="shared" si="7"/>
        <v>0.2</v>
      </c>
      <c r="AN10" s="23">
        <f t="shared" si="8"/>
        <v>0.25</v>
      </c>
      <c r="AO10" s="23">
        <f t="shared" si="9"/>
        <v>0</v>
      </c>
      <c r="AP10" s="8">
        <f t="shared" si="10"/>
        <v>0.142857142857143</v>
      </c>
      <c r="AQ10" s="8">
        <f t="shared" si="11"/>
        <v>8.57142857142857</v>
      </c>
      <c r="AR10" s="8">
        <f t="shared" si="12"/>
        <v>-3.57142857142857</v>
      </c>
      <c r="AS10">
        <f t="shared" si="13"/>
        <v>35</v>
      </c>
      <c r="AT10" s="25">
        <f>IFERROR(时间!$B$4+AS10,"上周无销量")</f>
        <v>43325</v>
      </c>
    </row>
    <row r="11" spans="1:46">
      <c r="A11" t="s">
        <v>460</v>
      </c>
      <c r="B11" s="6">
        <f>SUMIF('库存（子SKU）'!$C:$C,$A11,'库存（子SKU）'!D:D)</f>
        <v>2</v>
      </c>
      <c r="C11" s="6">
        <f>SUMIF('库存（子SKU）'!$C:$C,$A11,'库存（子SKU）'!E:E)</f>
        <v>0</v>
      </c>
      <c r="D11" s="6">
        <f>SUMIF('库存（子SKU）'!$C:$C,$A11,'库存（子SKU）'!F:F)</f>
        <v>0</v>
      </c>
      <c r="E11" s="6">
        <f>SUMIF('库存（子SKU）'!$C:$C,$A11,'库存（子SKU）'!G:G)</f>
        <v>2</v>
      </c>
      <c r="F11" s="7">
        <f>IFERROR(VLOOKUP(A11,'[3]父sku-单价'!$A:$B,2,0),"")</f>
        <v>15.675</v>
      </c>
      <c r="G11">
        <f>SUMIF('库存（子SKU）'!$C:$C,$A11,'库存（子SKU）'!I:I)</f>
        <v>16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16</v>
      </c>
      <c r="L11">
        <f>SUMIF('库存（子SKU）'!$C:$C,$A11,'库存（子SKU）'!N:N)</f>
        <v>0</v>
      </c>
      <c r="M11">
        <f>SUMIF('库存（子SKU）'!$C:$C,$A11,'库存（子SKU）'!O:O)</f>
        <v>17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 t="str">
        <f t="shared" si="3"/>
        <v/>
      </c>
      <c r="AF11" s="23" t="str">
        <f t="shared" si="4"/>
        <v/>
      </c>
      <c r="AG11" s="23">
        <f t="shared" si="5"/>
        <v>0</v>
      </c>
      <c r="AH11">
        <f>SUMIF('库存（子SKU）'!$C:$C,$A11,'库存（子SKU）'!AJ:AJ)</f>
        <v>8</v>
      </c>
      <c r="AI11">
        <f>SUMIF('库存（子SKU）'!$C:$C,$A11,'库存（子SKU）'!AK:AK)</f>
        <v>8</v>
      </c>
      <c r="AJ11">
        <f>SUMIF('库存（子SKU）'!$C:$C,$A11,'库存（子SKU）'!AL:AL)</f>
        <v>11</v>
      </c>
      <c r="AK11">
        <f>SUMIF('库存（子SKU）'!$C:$C,$A11,'库存（子SKU）'!AM:AM)</f>
        <v>4</v>
      </c>
      <c r="AL11" s="23">
        <f t="shared" si="6"/>
        <v>0.25</v>
      </c>
      <c r="AM11" s="23">
        <f t="shared" si="7"/>
        <v>0</v>
      </c>
      <c r="AN11" s="23">
        <f t="shared" si="8"/>
        <v>0</v>
      </c>
      <c r="AO11" s="23">
        <f t="shared" si="9"/>
        <v>0.5</v>
      </c>
      <c r="AP11" s="8">
        <f t="shared" si="10"/>
        <v>0.285714285714286</v>
      </c>
      <c r="AQ11" s="8">
        <f t="shared" si="11"/>
        <v>17.1428571428571</v>
      </c>
      <c r="AR11" s="8">
        <f t="shared" si="12"/>
        <v>-1.14285714285714</v>
      </c>
      <c r="AS11">
        <f t="shared" si="13"/>
        <v>56</v>
      </c>
      <c r="AT11" s="25">
        <f>IFERROR(时间!$B$4+AS11,"上周无销量")</f>
        <v>43346</v>
      </c>
    </row>
    <row r="12" spans="1:46">
      <c r="A12" t="s">
        <v>461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tr">
        <f>IFERROR(VLOOKUP(A12,'[3]父sku-单价'!$A:$B,2,0),"")</f>
        <v/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462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tr">
        <f>IFERROR(VLOOKUP(A13,'[3]父sku-单价'!$A:$B,2,0),"")</f>
        <v/>
      </c>
      <c r="G13">
        <f>SUMIF('库存（子SKU）'!$C:$C,$A13,'库存（子SKU）'!I:I)</f>
        <v>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7</v>
      </c>
      <c r="AI13">
        <f>SUMIF('库存（子SKU）'!$C:$C,$A13,'库存（子SKU）'!AK:AK)</f>
        <v>3</v>
      </c>
      <c r="AJ13">
        <f>SUMIF('库存（子SKU）'!$C:$C,$A13,'库存（子SKU）'!AL:AL)</f>
        <v>1</v>
      </c>
      <c r="AK13">
        <f>SUMIF('库存（子SKU）'!$C:$C,$A13,'库存（子SKU）'!AM:AM)</f>
        <v>0</v>
      </c>
      <c r="AL13" s="23">
        <f t="shared" si="6"/>
        <v>0</v>
      </c>
      <c r="AM13" s="23">
        <f t="shared" si="7"/>
        <v>0</v>
      </c>
      <c r="AN13" s="23">
        <f t="shared" si="8"/>
        <v>0</v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1</v>
      </c>
      <c r="AS13" t="str">
        <f t="shared" si="13"/>
        <v>库存为1</v>
      </c>
      <c r="AT13" s="25" t="str">
        <f>IFERROR(时间!$B$4+AS13,"上周无销量")</f>
        <v>上周无销量</v>
      </c>
    </row>
    <row r="14" spans="1:46">
      <c r="A14" t="s">
        <v>463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tr">
        <f>IFERROR(VLOOKUP(A14,'[3]父sku-单价'!$A:$B,2,0),"")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464</v>
      </c>
      <c r="B15" s="6">
        <f>SUMIF('库存（子SKU）'!$C:$C,$A15,'库存（子SKU）'!D:D)</f>
        <v>11</v>
      </c>
      <c r="C15" s="6">
        <f>SUMIF('库存（子SKU）'!$C:$C,$A15,'库存（子SKU）'!E:E)</f>
        <v>9</v>
      </c>
      <c r="D15" s="6">
        <f>SUMIF('库存（子SKU）'!$C:$C,$A15,'库存（子SKU）'!F:F)</f>
        <v>2</v>
      </c>
      <c r="E15" s="6">
        <f>SUMIF('库存（子SKU）'!$C:$C,$A15,'库存（子SKU）'!G:G)</f>
        <v>1</v>
      </c>
      <c r="F15" s="7">
        <f>IFERROR(VLOOKUP(A15,'[3]父sku-单价'!$A:$B,2,0),"")</f>
        <v>22.0660869565217</v>
      </c>
      <c r="G15">
        <f>SUMIF('库存（子SKU）'!$C:$C,$A15,'库存（子SKU）'!I:I)</f>
        <v>21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1</v>
      </c>
      <c r="K15">
        <f t="shared" si="0"/>
        <v>22</v>
      </c>
      <c r="L15">
        <f>SUMIF('库存（子SKU）'!$C:$C,$A15,'库存（子SKU）'!N:N)</f>
        <v>0</v>
      </c>
      <c r="M15">
        <f>SUMIF('库存（子SKU）'!$C:$C,$A15,'库存（子SKU）'!O:O)</f>
        <v>9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263</v>
      </c>
      <c r="AI15">
        <f>SUMIF('库存（子SKU）'!$C:$C,$A15,'库存（子SKU）'!AK:AK)</f>
        <v>158</v>
      </c>
      <c r="AJ15">
        <f>SUMIF('库存（子SKU）'!$C:$C,$A15,'库存（子SKU）'!AL:AL)</f>
        <v>46</v>
      </c>
      <c r="AK15">
        <f>SUMIF('库存（子SKU）'!$C:$C,$A15,'库存（子SKU）'!AM:AM)</f>
        <v>51</v>
      </c>
      <c r="AL15" s="23">
        <f t="shared" si="6"/>
        <v>0.0418250950570342</v>
      </c>
      <c r="AM15" s="23">
        <f t="shared" si="7"/>
        <v>0.0569620253164557</v>
      </c>
      <c r="AN15" s="23">
        <f t="shared" si="8"/>
        <v>0.0434782608695652</v>
      </c>
      <c r="AO15" s="23">
        <f t="shared" si="9"/>
        <v>0.0196078431372549</v>
      </c>
      <c r="AP15" s="8">
        <f t="shared" si="10"/>
        <v>1.57142857142857</v>
      </c>
      <c r="AQ15" s="8">
        <f t="shared" si="11"/>
        <v>94.2857142857143</v>
      </c>
      <c r="AR15" s="8">
        <f t="shared" si="12"/>
        <v>-72.2857142857143</v>
      </c>
      <c r="AS15">
        <f t="shared" si="13"/>
        <v>14</v>
      </c>
      <c r="AT15" s="25">
        <f>IFERROR(时间!$B$4+AS15,"上周无销量")</f>
        <v>43304</v>
      </c>
    </row>
    <row r="16" spans="1:46">
      <c r="A16" t="s">
        <v>465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tr">
        <f>IFERROR(VLOOKUP(A16,'[3]父sku-单价'!$A:$B,2,0),"")</f>
        <v/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13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>
        <f t="shared" si="18"/>
        <v>0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9</v>
      </c>
      <c r="AI16">
        <f>SUMIF('库存（子SKU）'!$C:$C,$A16,'库存（子SKU）'!AK:AK)</f>
        <v>18</v>
      </c>
      <c r="AJ16">
        <f>SUMIF('库存（子SKU）'!$C:$C,$A16,'库存（子SKU）'!AL:AL)</f>
        <v>14</v>
      </c>
      <c r="AK16">
        <f>SUMIF('库存（子SKU）'!$C:$C,$A16,'库存（子SKU）'!AM:AM)</f>
        <v>8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466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tr">
        <f>IFERROR(VLOOKUP(A17,'[3]父sku-单价'!$A:$B,2,0),"")</f>
        <v/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33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8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>
        <f t="shared" si="18"/>
        <v>0</v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72</v>
      </c>
      <c r="AI17">
        <f>SUMIF('库存（子SKU）'!$C:$C,$A17,'库存（子SKU）'!AK:AK)</f>
        <v>147</v>
      </c>
      <c r="AJ17">
        <f>SUMIF('库存（子SKU）'!$C:$C,$A17,'库存（子SKU）'!AL:AL)</f>
        <v>111</v>
      </c>
      <c r="AK17">
        <f>SUMIF('库存（子SKU）'!$C:$C,$A17,'库存（子SKU）'!AM:AM)</f>
        <v>65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467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1</v>
      </c>
      <c r="F18" s="7">
        <f>IFERROR(VLOOKUP(A18,'[3]父sku-单价'!$A:$B,2,0),"")</f>
        <v>42.99</v>
      </c>
      <c r="G18">
        <f>SUMIF('库存（子SKU）'!$C:$C,$A18,'库存（子SKU）'!I:I)</f>
        <v>41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41</v>
      </c>
      <c r="L18">
        <f>SUMIF('库存（子SKU）'!$C:$C,$A18,'库存（子SKU）'!N:N)</f>
        <v>11</v>
      </c>
      <c r="M18">
        <f>SUMIF('库存（子SKU）'!$C:$C,$A18,'库存（子SKU）'!O:O)</f>
        <v>39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320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1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>
        <f t="shared" si="18"/>
        <v>0.003125</v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0.33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>
        <f t="shared" si="5"/>
        <v>0.00767620376831821</v>
      </c>
      <c r="AH18">
        <f>SUMIF('库存（子SKU）'!$C:$C,$A18,'库存（子SKU）'!AJ:AJ)</f>
        <v>49</v>
      </c>
      <c r="AI18">
        <f>SUMIF('库存（子SKU）'!$C:$C,$A18,'库存（子SKU）'!AK:AK)</f>
        <v>191</v>
      </c>
      <c r="AJ18">
        <f>SUMIF('库存（子SKU）'!$C:$C,$A18,'库存（子SKU）'!AL:AL)</f>
        <v>141</v>
      </c>
      <c r="AK18">
        <f>SUMIF('库存（子SKU）'!$C:$C,$A18,'库存（子SKU）'!AM:AM)</f>
        <v>155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0.00645161290322581</v>
      </c>
      <c r="AP18" s="8">
        <f t="shared" si="10"/>
        <v>0</v>
      </c>
      <c r="AQ18" s="8">
        <f t="shared" si="11"/>
        <v>0</v>
      </c>
      <c r="AR18" s="8">
        <f t="shared" si="12"/>
        <v>41</v>
      </c>
      <c r="AS18" t="str">
        <f t="shared" si="13"/>
        <v>库存为41</v>
      </c>
      <c r="AT18" s="25" t="str">
        <f>IFERROR(时间!$B$4+AS18,"上周无销量")</f>
        <v>上周无销量</v>
      </c>
    </row>
    <row r="19" spans="1:46">
      <c r="A19" t="s">
        <v>468</v>
      </c>
      <c r="B19" s="6">
        <f>SUMIF('库存（子SKU）'!$C:$C,$A19,'库存（子SKU）'!D:D)</f>
        <v>0</v>
      </c>
      <c r="C19" s="6">
        <f>SUMIF('库存（子SKU）'!$C:$C,$A19,'库存（子SKU）'!E:E)</f>
        <v>1</v>
      </c>
      <c r="D19" s="6">
        <f>SUMIF('库存（子SKU）'!$C:$C,$A19,'库存（子SKU）'!F:F)</f>
        <v>1</v>
      </c>
      <c r="E19" s="6">
        <f>SUMIF('库存（子SKU）'!$C:$C,$A19,'库存（子SKU）'!G:G)</f>
        <v>1</v>
      </c>
      <c r="F19" s="7">
        <f>IFERROR(VLOOKUP(A19,'[3]父sku-单价'!$A:$B,2,0),"")</f>
        <v>42.99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2</v>
      </c>
      <c r="M19">
        <f>SUMIF('库存（子SKU）'!$C:$C,$A19,'库存（子SKU）'!O:O)</f>
        <v>59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769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1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>
        <f t="shared" si="18"/>
        <v>0.00130039011703511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0.59</v>
      </c>
      <c r="AD19" s="23" t="str">
        <f t="shared" si="2"/>
        <v/>
      </c>
      <c r="AE19" s="23">
        <f t="shared" si="3"/>
        <v>0</v>
      </c>
      <c r="AF19" s="23">
        <f t="shared" si="4"/>
        <v>0</v>
      </c>
      <c r="AG19" s="23">
        <f t="shared" si="5"/>
        <v>0.0137241218888113</v>
      </c>
      <c r="AH19">
        <f>SUMIF('库存（子SKU）'!$C:$C,$A19,'库存（子SKU）'!AJ:AJ)</f>
        <v>42</v>
      </c>
      <c r="AI19">
        <f>SUMIF('库存（子SKU）'!$C:$C,$A19,'库存（子SKU）'!AK:AK)</f>
        <v>119</v>
      </c>
      <c r="AJ19">
        <f>SUMIF('库存（子SKU）'!$C:$C,$A19,'库存（子SKU）'!AL:AL)</f>
        <v>75</v>
      </c>
      <c r="AK19">
        <f>SUMIF('库存（子SKU）'!$C:$C,$A19,'库存（子SKU）'!AM:AM)</f>
        <v>51</v>
      </c>
      <c r="AL19" s="23">
        <f t="shared" si="6"/>
        <v>0</v>
      </c>
      <c r="AM19" s="23">
        <f t="shared" si="7"/>
        <v>0.00840336134453781</v>
      </c>
      <c r="AN19" s="23">
        <f t="shared" si="8"/>
        <v>0.0133333333333333</v>
      </c>
      <c r="AO19" s="23">
        <f t="shared" si="9"/>
        <v>0.0196078431372549</v>
      </c>
      <c r="AP19" s="8">
        <f t="shared" si="10"/>
        <v>0</v>
      </c>
      <c r="AQ19" s="8">
        <f t="shared" si="11"/>
        <v>0</v>
      </c>
      <c r="AR19" s="8">
        <f t="shared" si="12"/>
        <v>62</v>
      </c>
      <c r="AS19" t="str">
        <f t="shared" si="13"/>
        <v>库存为62</v>
      </c>
      <c r="AT19" s="25" t="str">
        <f>IFERROR(时间!$B$4+AS19,"上周无销量")</f>
        <v>上周无销量</v>
      </c>
    </row>
    <row r="20" spans="1:46">
      <c r="A20" t="s">
        <v>469</v>
      </c>
      <c r="B20" s="6">
        <f>SUMIF('库存（子SKU）'!$C:$C,$A20,'库存（子SKU）'!D:D)</f>
        <v>0</v>
      </c>
      <c r="C20" s="6">
        <f>SUMIF('库存（子SKU）'!$C:$C,$A20,'库存（子SKU）'!E:E)</f>
        <v>1</v>
      </c>
      <c r="D20" s="6">
        <f>SUMIF('库存（子SKU）'!$C:$C,$A20,'库存（子SKU）'!F:F)</f>
        <v>0</v>
      </c>
      <c r="E20" s="6">
        <f>SUMIF('库存（子SKU）'!$C:$C,$A20,'库存（子SKU）'!G:G)</f>
        <v>1</v>
      </c>
      <c r="F20" s="7">
        <f>IFERROR(VLOOKUP(A20,'[3]父sku-单价'!$A:$B,2,0),"")</f>
        <v>7.99</v>
      </c>
      <c r="G20">
        <f>SUMIF('库存（子SKU）'!$C:$C,$A20,'库存（子SKU）'!I:I)</f>
        <v>130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130</v>
      </c>
      <c r="L20">
        <f>SUMIF('库存（子SKU）'!$C:$C,$A20,'库存（子SKU）'!N:N)</f>
        <v>0</v>
      </c>
      <c r="M20">
        <f>SUMIF('库存（子SKU）'!$C:$C,$A20,'库存（子SKU）'!O:O)</f>
        <v>129</v>
      </c>
      <c r="N20">
        <f>SUMIF('库存（子SKU）'!$C:$C,$A20,'库存（子SKU）'!P:P)</f>
        <v>980</v>
      </c>
      <c r="O20">
        <f>SUMIF('库存（子SKU）'!$C:$C,$A20,'库存（子SKU）'!Q:Q)</f>
        <v>719</v>
      </c>
      <c r="P20">
        <f>SUMIF('库存（子SKU）'!$C:$C,$A20,'库存（子SKU）'!R:R)</f>
        <v>1365</v>
      </c>
      <c r="Q20">
        <f>SUMIF('库存（子SKU）'!$C:$C,$A20,'库存（子SKU）'!S:S)</f>
        <v>7304</v>
      </c>
      <c r="R20">
        <f>SUMIF('库存（子SKU）'!$C:$C,$A20,'库存（子SKU）'!T:T)</f>
        <v>7</v>
      </c>
      <c r="S20">
        <f>SUMIF('库存（子SKU）'!$C:$C,$A20,'库存（子SKU）'!U:U)</f>
        <v>1</v>
      </c>
      <c r="T20">
        <f>SUMIF('库存（子SKU）'!$C:$C,$A20,'库存（子SKU）'!V:V)</f>
        <v>2</v>
      </c>
      <c r="U20">
        <f>SUMIF('库存（子SKU）'!$C:$C,$A20,'库存（子SKU）'!W:W)</f>
        <v>15</v>
      </c>
      <c r="V20" s="23">
        <f t="shared" si="15"/>
        <v>0.00714285714285714</v>
      </c>
      <c r="W20" s="23">
        <f t="shared" si="16"/>
        <v>0.00139082058414465</v>
      </c>
      <c r="X20" s="23">
        <f t="shared" si="17"/>
        <v>0.00146520146520147</v>
      </c>
      <c r="Y20" s="23">
        <f t="shared" si="18"/>
        <v>0.00205366922234392</v>
      </c>
      <c r="Z20">
        <f>SUMIF('库存（子SKU）'!$C:$C,$A20,'库存（子SKU）'!AB:AB)</f>
        <v>2.65</v>
      </c>
      <c r="AA20">
        <f>SUMIF('库存（子SKU）'!$C:$C,$A20,'库存（子SKU）'!AC:AC)</f>
        <v>0.4</v>
      </c>
      <c r="AB20">
        <f>SUMIF('库存（子SKU）'!$C:$C,$A20,'库存（子SKU）'!AD:AD)</f>
        <v>0.54</v>
      </c>
      <c r="AC20">
        <f>SUMIF('库存（子SKU）'!$C:$C,$A20,'库存（子SKU）'!AE:AE)</f>
        <v>5.86</v>
      </c>
      <c r="AD20" s="23" t="str">
        <f t="shared" si="2"/>
        <v>无销量广告费为2.65</v>
      </c>
      <c r="AE20" s="23">
        <f t="shared" si="3"/>
        <v>0.0500625782227785</v>
      </c>
      <c r="AF20" s="23" t="str">
        <f t="shared" si="4"/>
        <v>无销量广告费为0.54</v>
      </c>
      <c r="AG20" s="23">
        <f t="shared" si="5"/>
        <v>0.733416770963705</v>
      </c>
      <c r="AH20">
        <f>SUMIF('库存（子SKU）'!$C:$C,$A20,'库存（子SKU）'!AJ:AJ)</f>
        <v>10</v>
      </c>
      <c r="AI20">
        <f>SUMIF('库存（子SKU）'!$C:$C,$A20,'库存（子SKU）'!AK:AK)</f>
        <v>9</v>
      </c>
      <c r="AJ20">
        <f>SUMIF('库存（子SKU）'!$C:$C,$A20,'库存（子SKU）'!AL:AL)</f>
        <v>10</v>
      </c>
      <c r="AK20">
        <f>SUMIF('库存（子SKU）'!$C:$C,$A20,'库存（子SKU）'!AM:AM)</f>
        <v>14</v>
      </c>
      <c r="AL20" s="23">
        <f t="shared" si="6"/>
        <v>0</v>
      </c>
      <c r="AM20" s="23">
        <f t="shared" si="7"/>
        <v>0.111111111111111</v>
      </c>
      <c r="AN20" s="23">
        <f t="shared" si="8"/>
        <v>0</v>
      </c>
      <c r="AO20" s="23">
        <f t="shared" si="9"/>
        <v>0.0714285714285714</v>
      </c>
      <c r="AP20" s="8">
        <f t="shared" si="10"/>
        <v>0</v>
      </c>
      <c r="AQ20" s="8">
        <f t="shared" si="11"/>
        <v>0</v>
      </c>
      <c r="AR20" s="8">
        <f t="shared" si="12"/>
        <v>130</v>
      </c>
      <c r="AS20" t="str">
        <f t="shared" si="13"/>
        <v>库存为130</v>
      </c>
      <c r="AT20" s="25" t="str">
        <f>IFERROR(时间!$B$4+AS20,"上周无销量")</f>
        <v>上周无销量</v>
      </c>
    </row>
    <row r="21" spans="1:46">
      <c r="A21" t="s">
        <v>470</v>
      </c>
      <c r="B21" s="6">
        <f>SUMIF('库存（子SKU）'!$C:$C,$A21,'库存（子SKU）'!D:D)</f>
        <v>0</v>
      </c>
      <c r="C21" s="6">
        <f>SUMIF('库存（子SKU）'!$C:$C,$A21,'库存（子SKU）'!E:E)</f>
        <v>2</v>
      </c>
      <c r="D21" s="6">
        <f>SUMIF('库存（子SKU）'!$C:$C,$A21,'库存（子SKU）'!F:F)</f>
        <v>1</v>
      </c>
      <c r="E21" s="6">
        <f>SUMIF('库存（子SKU）'!$C:$C,$A21,'库存（子SKU）'!G:G)</f>
        <v>1</v>
      </c>
      <c r="F21" s="7">
        <f>IFERROR(VLOOKUP(A21,'[3]父sku-单价'!$A:$B,2,0),"")</f>
        <v>7.8575</v>
      </c>
      <c r="G21">
        <f>SUMIF('库存（子SKU）'!$C:$C,$A21,'库存（子SKU）'!I:I)</f>
        <v>361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361</v>
      </c>
      <c r="L21">
        <f>SUMIF('库存（子SKU）'!$C:$C,$A21,'库存（子SKU）'!N:N)</f>
        <v>0</v>
      </c>
      <c r="M21">
        <f>SUMIF('库存（子SKU）'!$C:$C,$A21,'库存（子SKU）'!O:O)</f>
        <v>356</v>
      </c>
      <c r="N21">
        <f>SUMIF('库存（子SKU）'!$C:$C,$A21,'库存（子SKU）'!P:P)</f>
        <v>7606</v>
      </c>
      <c r="O21">
        <f>SUMIF('库存（子SKU）'!$C:$C,$A21,'库存（子SKU）'!Q:Q)</f>
        <v>8632</v>
      </c>
      <c r="P21">
        <f>SUMIF('库存（子SKU）'!$C:$C,$A21,'库存（子SKU）'!R:R)</f>
        <v>7417</v>
      </c>
      <c r="Q21">
        <f>SUMIF('库存（子SKU）'!$C:$C,$A21,'库存（子SKU）'!S:S)</f>
        <v>6688</v>
      </c>
      <c r="R21">
        <f>SUMIF('库存（子SKU）'!$C:$C,$A21,'库存（子SKU）'!T:T)</f>
        <v>21</v>
      </c>
      <c r="S21">
        <f>SUMIF('库存（子SKU）'!$C:$C,$A21,'库存（子SKU）'!U:U)</f>
        <v>24</v>
      </c>
      <c r="T21">
        <f>SUMIF('库存（子SKU）'!$C:$C,$A21,'库存（子SKU）'!V:V)</f>
        <v>26</v>
      </c>
      <c r="U21">
        <f>SUMIF('库存（子SKU）'!$C:$C,$A21,'库存（子SKU）'!W:W)</f>
        <v>12</v>
      </c>
      <c r="V21" s="23">
        <f t="shared" si="15"/>
        <v>0.0027609781751249</v>
      </c>
      <c r="W21" s="23">
        <f t="shared" si="16"/>
        <v>0.00278035217794254</v>
      </c>
      <c r="X21" s="23">
        <f t="shared" si="17"/>
        <v>0.00350546042874478</v>
      </c>
      <c r="Y21" s="23">
        <f t="shared" si="18"/>
        <v>0.00179425837320574</v>
      </c>
      <c r="Z21">
        <f>SUMIF('库存（子SKU）'!$C:$C,$A21,'库存（子SKU）'!AB:AB)</f>
        <v>7.69</v>
      </c>
      <c r="AA21">
        <f>SUMIF('库存（子SKU）'!$C:$C,$A21,'库存（子SKU）'!AC:AC)</f>
        <v>9.48</v>
      </c>
      <c r="AB21">
        <f>SUMIF('库存（子SKU）'!$C:$C,$A21,'库存（子SKU）'!AD:AD)</f>
        <v>8.84</v>
      </c>
      <c r="AC21">
        <f>SUMIF('库存（子SKU）'!$C:$C,$A21,'库存（子SKU）'!AE:AE)</f>
        <v>3.35</v>
      </c>
      <c r="AD21" s="23" t="str">
        <f t="shared" si="2"/>
        <v>无销量广告费为7.69</v>
      </c>
      <c r="AE21" s="23">
        <f t="shared" si="3"/>
        <v>0.603245307031498</v>
      </c>
      <c r="AF21" s="23">
        <f t="shared" si="4"/>
        <v>1.1250397709195</v>
      </c>
      <c r="AG21" s="23">
        <f t="shared" si="5"/>
        <v>0.426344257079224</v>
      </c>
      <c r="AH21">
        <f>SUMIF('库存（子SKU）'!$C:$C,$A21,'库存（子SKU）'!AJ:AJ)</f>
        <v>27</v>
      </c>
      <c r="AI21">
        <f>SUMIF('库存（子SKU）'!$C:$C,$A21,'库存（子SKU）'!AK:AK)</f>
        <v>34</v>
      </c>
      <c r="AJ21">
        <f>SUMIF('库存（子SKU）'!$C:$C,$A21,'库存（子SKU）'!AL:AL)</f>
        <v>34</v>
      </c>
      <c r="AK21">
        <f>SUMIF('库存（子SKU）'!$C:$C,$A21,'库存（子SKU）'!AM:AM)</f>
        <v>17</v>
      </c>
      <c r="AL21" s="23">
        <f t="shared" si="6"/>
        <v>0</v>
      </c>
      <c r="AM21" s="23">
        <f t="shared" si="7"/>
        <v>0.0588235294117647</v>
      </c>
      <c r="AN21" s="23">
        <f t="shared" si="8"/>
        <v>0.0294117647058824</v>
      </c>
      <c r="AO21" s="23">
        <f t="shared" si="9"/>
        <v>0.0588235294117647</v>
      </c>
      <c r="AP21" s="8">
        <f t="shared" si="10"/>
        <v>0</v>
      </c>
      <c r="AQ21" s="8">
        <f t="shared" si="11"/>
        <v>0</v>
      </c>
      <c r="AR21" s="8">
        <f t="shared" si="12"/>
        <v>361</v>
      </c>
      <c r="AS21" t="str">
        <f t="shared" si="13"/>
        <v>库存为361</v>
      </c>
      <c r="AT21" s="25" t="str">
        <f>IFERROR(时间!$B$4+AS21,"上周无销量")</f>
        <v>上周无销量</v>
      </c>
    </row>
    <row r="22" spans="1:46">
      <c r="A22" t="s">
        <v>471</v>
      </c>
      <c r="B22" s="6">
        <f>SUMIF('库存（子SKU）'!$C:$C,$A22,'库存（子SKU）'!D:D)</f>
        <v>0</v>
      </c>
      <c r="C22" s="6">
        <f>SUMIF('库存（子SKU）'!$C:$C,$A22,'库存（子SKU）'!E:E)</f>
        <v>5</v>
      </c>
      <c r="D22" s="6">
        <f>SUMIF('库存（子SKU）'!$C:$C,$A22,'库存（子SKU）'!F:F)</f>
        <v>3</v>
      </c>
      <c r="E22" s="6">
        <f>SUMIF('库存（子SKU）'!$C:$C,$A22,'库存（子SKU）'!G:G)</f>
        <v>5</v>
      </c>
      <c r="F22" s="7">
        <f>IFERROR(VLOOKUP(A22,'[3]父sku-单价'!$A:$B,2,0),"")</f>
        <v>9.49923076923077</v>
      </c>
      <c r="G22">
        <f>SUMIF('库存（子SKU）'!$C:$C,$A22,'库存（子SKU）'!I:I)</f>
        <v>385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1</v>
      </c>
      <c r="K22">
        <f t="shared" si="0"/>
        <v>386</v>
      </c>
      <c r="L22">
        <f>SUMIF('库存（子SKU）'!$C:$C,$A22,'库存（子SKU）'!N:N)</f>
        <v>0</v>
      </c>
      <c r="M22">
        <f>SUMIF('库存（子SKU）'!$C:$C,$A22,'库存（子SKU）'!O:O)</f>
        <v>382</v>
      </c>
      <c r="N22">
        <f>SUMIF('库存（子SKU）'!$C:$C,$A22,'库存（子SKU）'!P:P)</f>
        <v>9826</v>
      </c>
      <c r="O22">
        <f>SUMIF('库存（子SKU）'!$C:$C,$A22,'库存（子SKU）'!Q:Q)</f>
        <v>11172</v>
      </c>
      <c r="P22">
        <f>SUMIF('库存（子SKU）'!$C:$C,$A22,'库存（子SKU）'!R:R)</f>
        <v>12269</v>
      </c>
      <c r="Q22">
        <f>SUMIF('库存（子SKU）'!$C:$C,$A22,'库存（子SKU）'!S:S)</f>
        <v>29333</v>
      </c>
      <c r="R22">
        <f>SUMIF('库存（子SKU）'!$C:$C,$A22,'库存（子SKU）'!T:T)</f>
        <v>15</v>
      </c>
      <c r="S22">
        <f>SUMIF('库存（子SKU）'!$C:$C,$A22,'库存（子SKU）'!U:U)</f>
        <v>15</v>
      </c>
      <c r="T22">
        <f>SUMIF('库存（子SKU）'!$C:$C,$A22,'库存（子SKU）'!V:V)</f>
        <v>20</v>
      </c>
      <c r="U22">
        <f>SUMIF('库存（子SKU）'!$C:$C,$A22,'库存（子SKU）'!W:W)</f>
        <v>39</v>
      </c>
      <c r="V22" s="23">
        <f t="shared" si="15"/>
        <v>0.00152656218196621</v>
      </c>
      <c r="W22" s="23">
        <f t="shared" si="16"/>
        <v>0.00134264232008593</v>
      </c>
      <c r="X22" s="23">
        <f t="shared" si="17"/>
        <v>0.0016301247045399</v>
      </c>
      <c r="Y22" s="23">
        <f t="shared" si="18"/>
        <v>0.00132956056318822</v>
      </c>
      <c r="Z22">
        <f>SUMIF('库存（子SKU）'!$C:$C,$A22,'库存（子SKU）'!AB:AB)</f>
        <v>5.32</v>
      </c>
      <c r="AA22">
        <f>SUMIF('库存（子SKU）'!$C:$C,$A22,'库存（子SKU）'!AC:AC)</f>
        <v>6.29</v>
      </c>
      <c r="AB22">
        <f>SUMIF('库存（子SKU）'!$C:$C,$A22,'库存（子SKU）'!AD:AD)</f>
        <v>7.28</v>
      </c>
      <c r="AC22">
        <f>SUMIF('库存（子SKU）'!$C:$C,$A22,'库存（子SKU）'!AE:AE)</f>
        <v>11.16</v>
      </c>
      <c r="AD22" s="23" t="str">
        <f t="shared" si="2"/>
        <v>无销量广告费为5.32</v>
      </c>
      <c r="AE22" s="23">
        <f t="shared" si="3"/>
        <v>0.132431775852296</v>
      </c>
      <c r="AF22" s="23">
        <f t="shared" si="4"/>
        <v>0.255459281453289</v>
      </c>
      <c r="AG22" s="23">
        <f t="shared" si="5"/>
        <v>0.234966394040003</v>
      </c>
      <c r="AH22">
        <f>SUMIF('库存（子SKU）'!$C:$C,$A22,'库存（子SKU）'!AJ:AJ)</f>
        <v>61</v>
      </c>
      <c r="AI22">
        <f>SUMIF('库存（子SKU）'!$C:$C,$A22,'库存（子SKU）'!AK:AK)</f>
        <v>44</v>
      </c>
      <c r="AJ22">
        <f>SUMIF('库存（子SKU）'!$C:$C,$A22,'库存（子SKU）'!AL:AL)</f>
        <v>37</v>
      </c>
      <c r="AK22">
        <f>SUMIF('库存（子SKU）'!$C:$C,$A22,'库存（子SKU）'!AM:AM)</f>
        <v>29</v>
      </c>
      <c r="AL22" s="23">
        <f t="shared" si="6"/>
        <v>0</v>
      </c>
      <c r="AM22" s="23">
        <f t="shared" si="7"/>
        <v>0.113636363636364</v>
      </c>
      <c r="AN22" s="23">
        <f t="shared" si="8"/>
        <v>0.0810810810810811</v>
      </c>
      <c r="AO22" s="23">
        <f t="shared" si="9"/>
        <v>0.172413793103448</v>
      </c>
      <c r="AP22" s="8">
        <f t="shared" si="10"/>
        <v>0</v>
      </c>
      <c r="AQ22" s="8">
        <f t="shared" si="11"/>
        <v>0</v>
      </c>
      <c r="AR22" s="8">
        <f t="shared" si="12"/>
        <v>386</v>
      </c>
      <c r="AS22" t="str">
        <f t="shared" si="13"/>
        <v>库存为386</v>
      </c>
      <c r="AT22" s="25" t="str">
        <f>IFERROR(时间!$B$4+AS22,"上周无销量")</f>
        <v>上周无销量</v>
      </c>
    </row>
    <row r="23" spans="1:46">
      <c r="A23" t="s">
        <v>472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tr">
        <f>IFERROR(VLOOKUP(A23,'[3]父sku-单价'!$A:$B,2,0),"")</f>
        <v/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1350</v>
      </c>
      <c r="O23">
        <f>SUMIF('库存（子SKU）'!$C:$C,$A23,'库存（子SKU）'!Q:Q)</f>
        <v>1423</v>
      </c>
      <c r="P23">
        <f>SUMIF('库存（子SKU）'!$C:$C,$A23,'库存（子SKU）'!R:R)</f>
        <v>1474</v>
      </c>
      <c r="Q23">
        <f>SUMIF('库存（子SKU）'!$C:$C,$A23,'库存（子SKU）'!S:S)</f>
        <v>1011</v>
      </c>
      <c r="R23">
        <f>SUMIF('库存（子SKU）'!$C:$C,$A23,'库存（子SKU）'!T:T)</f>
        <v>10</v>
      </c>
      <c r="S23">
        <f>SUMIF('库存（子SKU）'!$C:$C,$A23,'库存（子SKU）'!U:U)</f>
        <v>2</v>
      </c>
      <c r="T23">
        <f>SUMIF('库存（子SKU）'!$C:$C,$A23,'库存（子SKU）'!V:V)</f>
        <v>9</v>
      </c>
      <c r="U23">
        <f>SUMIF('库存（子SKU）'!$C:$C,$A23,'库存（子SKU）'!W:W)</f>
        <v>11</v>
      </c>
      <c r="V23" s="23">
        <f t="shared" si="15"/>
        <v>0.00740740740740741</v>
      </c>
      <c r="W23" s="23">
        <f t="shared" si="16"/>
        <v>0.00140548137737175</v>
      </c>
      <c r="X23" s="23">
        <f t="shared" si="17"/>
        <v>0.00610583446404342</v>
      </c>
      <c r="Y23" s="23">
        <f t="shared" si="18"/>
        <v>0.0108803165182987</v>
      </c>
      <c r="Z23">
        <f>SUMIF('库存（子SKU）'!$C:$C,$A23,'库存（子SKU）'!AB:AB)</f>
        <v>2.59</v>
      </c>
      <c r="AA23">
        <f>SUMIF('库存（子SKU）'!$C:$C,$A23,'库存（子SKU）'!AC:AC)</f>
        <v>0.44</v>
      </c>
      <c r="AB23">
        <f>SUMIF('库存（子SKU）'!$C:$C,$A23,'库存（子SKU）'!AD:AD)</f>
        <v>2.22</v>
      </c>
      <c r="AC23">
        <f>SUMIF('库存（子SKU）'!$C:$C,$A23,'库存（子SKU）'!AE:AE)</f>
        <v>3.12</v>
      </c>
      <c r="AD23" s="23" t="str">
        <f t="shared" si="2"/>
        <v>无销量广告费为2.59</v>
      </c>
      <c r="AE23" s="23" t="str">
        <f t="shared" si="3"/>
        <v>无销量广告费为0.44</v>
      </c>
      <c r="AF23" s="23" t="str">
        <f t="shared" si="4"/>
        <v>无销量广告费为2.22</v>
      </c>
      <c r="AG23" s="23" t="str">
        <f t="shared" si="5"/>
        <v>无销量广告费为3.12</v>
      </c>
      <c r="AH23">
        <f>SUMIF('库存（子SKU）'!$C:$C,$A23,'库存（子SKU）'!AJ:AJ)</f>
        <v>6</v>
      </c>
      <c r="AI23">
        <f>SUMIF('库存（子SKU）'!$C:$C,$A23,'库存（子SKU）'!AK:AK)</f>
        <v>2</v>
      </c>
      <c r="AJ23">
        <f>SUMIF('库存（子SKU）'!$C:$C,$A23,'库存（子SKU）'!AL:AL)</f>
        <v>2</v>
      </c>
      <c r="AK23">
        <f>SUMIF('库存（子SKU）'!$C:$C,$A23,'库存（子SKU）'!AM:AM)</f>
        <v>5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473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tr">
        <f>IFERROR(VLOOKUP(A24,'[3]父sku-单价'!$A:$B,2,0),"")</f>
        <v/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43</v>
      </c>
      <c r="O24">
        <f>SUMIF('库存（子SKU）'!$C:$C,$A24,'库存（子SKU）'!Q:Q)</f>
        <v>37</v>
      </c>
      <c r="P24">
        <f>SUMIF('库存（子SKU）'!$C:$C,$A24,'库存（子SKU）'!R:R)</f>
        <v>99</v>
      </c>
      <c r="Q24">
        <f>SUMIF('库存（子SKU）'!$C:$C,$A24,'库存（子SKU）'!S:S)</f>
        <v>282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1</v>
      </c>
      <c r="U24">
        <f>SUMIF('库存（子SKU）'!$C:$C,$A24,'库存（子SKU）'!W:W)</f>
        <v>2</v>
      </c>
      <c r="V24" s="23">
        <f t="shared" si="15"/>
        <v>0</v>
      </c>
      <c r="W24" s="23">
        <f t="shared" si="16"/>
        <v>0</v>
      </c>
      <c r="X24" s="23">
        <f t="shared" si="17"/>
        <v>0.0101010101010101</v>
      </c>
      <c r="Y24" s="23">
        <f t="shared" si="18"/>
        <v>0.00709219858156028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0.06</v>
      </c>
      <c r="AC24">
        <f>SUMIF('库存（子SKU）'!$C:$C,$A24,'库存（子SKU）'!AE:AE)</f>
        <v>0.71</v>
      </c>
      <c r="AD24" s="23" t="str">
        <f t="shared" si="2"/>
        <v/>
      </c>
      <c r="AE24" s="23" t="str">
        <f t="shared" si="3"/>
        <v/>
      </c>
      <c r="AF24" s="23" t="str">
        <f t="shared" si="4"/>
        <v>无销量广告费为0.06</v>
      </c>
      <c r="AG24" s="23" t="str">
        <f t="shared" si="5"/>
        <v>无销量广告费为0.71</v>
      </c>
      <c r="AH24">
        <f>SUMIF('库存（子SKU）'!$C:$C,$A24,'库存（子SKU）'!AJ:AJ)</f>
        <v>0</v>
      </c>
      <c r="AI24">
        <f>SUMIF('库存（子SKU）'!$C:$C,$A24,'库存（子SKU）'!AK:AK)</f>
        <v>1</v>
      </c>
      <c r="AJ24">
        <f>SUMIF('库存（子SKU）'!$C:$C,$A24,'库存（子SKU）'!AL:AL)</f>
        <v>2</v>
      </c>
      <c r="AK24">
        <f>SUMIF('库存（子SKU）'!$C:$C,$A24,'库存（子SKU）'!AM:AM)</f>
        <v>2</v>
      </c>
      <c r="AL24" s="23" t="str">
        <f t="shared" si="6"/>
        <v/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474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tr">
        <f>IFERROR(VLOOKUP(A25,'[3]父sku-单价'!$A:$B,2,0),"")</f>
        <v/>
      </c>
      <c r="G25">
        <f>SUMIF('库存（子SKU）'!$C:$C,$A25,'库存（子SKU）'!I:I)</f>
        <v>47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47</v>
      </c>
      <c r="L25">
        <f>SUMIF('库存（子SKU）'!$C:$C,$A25,'库存（子SKU）'!N:N)</f>
        <v>0</v>
      </c>
      <c r="M25">
        <f>SUMIF('库存（子SKU）'!$C:$C,$A25,'库存（子SKU）'!O:O)</f>
        <v>47</v>
      </c>
      <c r="N25">
        <f>SUMIF('库存（子SKU）'!$C:$C,$A25,'库存（子SKU）'!P:P)</f>
        <v>2274</v>
      </c>
      <c r="O25">
        <f>SUMIF('库存（子SKU）'!$C:$C,$A25,'库存（子SKU）'!Q:Q)</f>
        <v>2251</v>
      </c>
      <c r="P25">
        <f>SUMIF('库存（子SKU）'!$C:$C,$A25,'库存（子SKU）'!R:R)</f>
        <v>2232</v>
      </c>
      <c r="Q25">
        <f>SUMIF('库存（子SKU）'!$C:$C,$A25,'库存（子SKU）'!S:S)</f>
        <v>1606</v>
      </c>
      <c r="R25">
        <f>SUMIF('库存（子SKU）'!$C:$C,$A25,'库存（子SKU）'!T:T)</f>
        <v>12</v>
      </c>
      <c r="S25">
        <f>SUMIF('库存（子SKU）'!$C:$C,$A25,'库存（子SKU）'!U:U)</f>
        <v>8</v>
      </c>
      <c r="T25">
        <f>SUMIF('库存（子SKU）'!$C:$C,$A25,'库存（子SKU）'!V:V)</f>
        <v>5</v>
      </c>
      <c r="U25">
        <f>SUMIF('库存（子SKU）'!$C:$C,$A25,'库存（子SKU）'!W:W)</f>
        <v>6</v>
      </c>
      <c r="V25" s="23">
        <f t="shared" si="15"/>
        <v>0.00527704485488127</v>
      </c>
      <c r="W25" s="23">
        <f t="shared" si="16"/>
        <v>0.00355397601066193</v>
      </c>
      <c r="X25" s="23">
        <f t="shared" si="17"/>
        <v>0.00224014336917563</v>
      </c>
      <c r="Y25" s="23">
        <f t="shared" si="18"/>
        <v>0.0037359900373599</v>
      </c>
      <c r="Z25">
        <f>SUMIF('库存（子SKU）'!$C:$C,$A25,'库存（子SKU）'!AB:AB)</f>
        <v>3.31</v>
      </c>
      <c r="AA25">
        <f>SUMIF('库存（子SKU）'!$C:$C,$A25,'库存（子SKU）'!AC:AC)</f>
        <v>2</v>
      </c>
      <c r="AB25">
        <f>SUMIF('库存（子SKU）'!$C:$C,$A25,'库存（子SKU）'!AD:AD)</f>
        <v>0.88</v>
      </c>
      <c r="AC25">
        <f>SUMIF('库存（子SKU）'!$C:$C,$A25,'库存（子SKU）'!AE:AE)</f>
        <v>1.23</v>
      </c>
      <c r="AD25" s="23" t="str">
        <f t="shared" si="2"/>
        <v>无销量广告费为3.31</v>
      </c>
      <c r="AE25" s="23" t="str">
        <f t="shared" si="3"/>
        <v>无销量广告费为2</v>
      </c>
      <c r="AF25" s="23" t="str">
        <f t="shared" si="4"/>
        <v>无销量广告费为0.88</v>
      </c>
      <c r="AG25" s="23" t="str">
        <f t="shared" si="5"/>
        <v>无销量广告费为1.23</v>
      </c>
      <c r="AH25">
        <f>SUMIF('库存（子SKU）'!$C:$C,$A25,'库存（子SKU）'!AJ:AJ)</f>
        <v>11</v>
      </c>
      <c r="AI25">
        <f>SUMIF('库存（子SKU）'!$C:$C,$A25,'库存（子SKU）'!AK:AK)</f>
        <v>17</v>
      </c>
      <c r="AJ25">
        <f>SUMIF('库存（子SKU）'!$C:$C,$A25,'库存（子SKU）'!AL:AL)</f>
        <v>14</v>
      </c>
      <c r="AK25">
        <f>SUMIF('库存（子SKU）'!$C:$C,$A25,'库存（子SKU）'!AM:AM)</f>
        <v>9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47</v>
      </c>
      <c r="AS25" t="str">
        <f t="shared" si="13"/>
        <v>库存为47</v>
      </c>
      <c r="AT25" s="25" t="str">
        <f>IFERROR(时间!$B$4+AS25,"上周无销量")</f>
        <v>上周无销量</v>
      </c>
    </row>
    <row r="26" spans="1:46">
      <c r="A26" t="s">
        <v>475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tr">
        <f>IFERROR(VLOOKUP(A26,'[3]父sku-单价'!$A:$B,2,0),"")</f>
        <v/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701</v>
      </c>
      <c r="O26">
        <f>SUMIF('库存（子SKU）'!$C:$C,$A26,'库存（子SKU）'!Q:Q)</f>
        <v>537</v>
      </c>
      <c r="P26">
        <f>SUMIF('库存（子SKU）'!$C:$C,$A26,'库存（子SKU）'!R:R)</f>
        <v>370</v>
      </c>
      <c r="Q26">
        <f>SUMIF('库存（子SKU）'!$C:$C,$A26,'库存（子SKU）'!S:S)</f>
        <v>231</v>
      </c>
      <c r="R26">
        <f>SUMIF('库存（子SKU）'!$C:$C,$A26,'库存（子SKU）'!T:T)</f>
        <v>0</v>
      </c>
      <c r="S26">
        <f>SUMIF('库存（子SKU）'!$C:$C,$A26,'库存（子SKU）'!U:U)</f>
        <v>1</v>
      </c>
      <c r="T26">
        <f>SUMIF('库存（子SKU）'!$C:$C,$A26,'库存（子SKU）'!V:V)</f>
        <v>0</v>
      </c>
      <c r="U26">
        <f>SUMIF('库存（子SKU）'!$C:$C,$A26,'库存（子SKU）'!W:W)</f>
        <v>1</v>
      </c>
      <c r="V26" s="23">
        <f t="shared" si="15"/>
        <v>0</v>
      </c>
      <c r="W26" s="23">
        <f t="shared" si="16"/>
        <v>0.00186219739292365</v>
      </c>
      <c r="X26" s="23">
        <f t="shared" si="17"/>
        <v>0</v>
      </c>
      <c r="Y26" s="23">
        <f t="shared" si="18"/>
        <v>0.00432900432900433</v>
      </c>
      <c r="Z26">
        <f>SUMIF('库存（子SKU）'!$C:$C,$A26,'库存（子SKU）'!AB:AB)</f>
        <v>0</v>
      </c>
      <c r="AA26">
        <f>SUMIF('库存（子SKU）'!$C:$C,$A26,'库存（子SKU）'!AC:AC)</f>
        <v>0.19</v>
      </c>
      <c r="AB26">
        <f>SUMIF('库存（子SKU）'!$C:$C,$A26,'库存（子SKU）'!AD:AD)</f>
        <v>0</v>
      </c>
      <c r="AC26">
        <f>SUMIF('库存（子SKU）'!$C:$C,$A26,'库存（子SKU）'!AE:AE)</f>
        <v>0.07</v>
      </c>
      <c r="AD26" s="23" t="str">
        <f t="shared" si="2"/>
        <v/>
      </c>
      <c r="AE26" s="23" t="str">
        <f t="shared" si="3"/>
        <v>无销量广告费为0.19</v>
      </c>
      <c r="AF26" s="23" t="str">
        <f t="shared" si="4"/>
        <v/>
      </c>
      <c r="AG26" s="23" t="str">
        <f t="shared" si="5"/>
        <v>无销量广告费为0.07</v>
      </c>
      <c r="AH26">
        <f>SUMIF('库存（子SKU）'!$C:$C,$A26,'库存（子SKU）'!AJ:AJ)</f>
        <v>5</v>
      </c>
      <c r="AI26">
        <f>SUMIF('库存（子SKU）'!$C:$C,$A26,'库存（子SKU）'!AK:AK)</f>
        <v>11</v>
      </c>
      <c r="AJ26">
        <f>SUMIF('库存（子SKU）'!$C:$C,$A26,'库存（子SKU）'!AL:AL)</f>
        <v>2</v>
      </c>
      <c r="AK26">
        <f>SUMIF('库存（子SKU）'!$C:$C,$A26,'库存（子SKU）'!AM:AM)</f>
        <v>5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476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tr">
        <f>IFERROR(VLOOKUP(A27,'[3]父sku-单价'!$A:$B,2,0),"")</f>
        <v/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715</v>
      </c>
      <c r="O27">
        <f>SUMIF('库存（子SKU）'!$C:$C,$A27,'库存（子SKU）'!Q:Q)</f>
        <v>884</v>
      </c>
      <c r="P27">
        <f>SUMIF('库存（子SKU）'!$C:$C,$A27,'库存（子SKU）'!R:R)</f>
        <v>1043</v>
      </c>
      <c r="Q27">
        <f>SUMIF('库存（子SKU）'!$C:$C,$A27,'库存（子SKU）'!S:S)</f>
        <v>776</v>
      </c>
      <c r="R27">
        <f>SUMIF('库存（子SKU）'!$C:$C,$A27,'库存（子SKU）'!T:T)</f>
        <v>0</v>
      </c>
      <c r="S27">
        <f>SUMIF('库存（子SKU）'!$C:$C,$A27,'库存（子SKU）'!U:U)</f>
        <v>1</v>
      </c>
      <c r="T27">
        <f>SUMIF('库存（子SKU）'!$C:$C,$A27,'库存（子SKU）'!V:V)</f>
        <v>2</v>
      </c>
      <c r="U27">
        <f>SUMIF('库存（子SKU）'!$C:$C,$A27,'库存（子SKU）'!W:W)</f>
        <v>1</v>
      </c>
      <c r="V27" s="23">
        <f t="shared" si="15"/>
        <v>0</v>
      </c>
      <c r="W27" s="23">
        <f t="shared" si="16"/>
        <v>0.00113122171945701</v>
      </c>
      <c r="X27" s="23">
        <f t="shared" si="17"/>
        <v>0.00191754554170662</v>
      </c>
      <c r="Y27" s="23">
        <f t="shared" si="18"/>
        <v>0.00128865979381443</v>
      </c>
      <c r="Z27">
        <f>SUMIF('库存（子SKU）'!$C:$C,$A27,'库存（子SKU）'!AB:AB)</f>
        <v>0</v>
      </c>
      <c r="AA27">
        <f>SUMIF('库存（子SKU）'!$C:$C,$A27,'库存（子SKU）'!AC:AC)</f>
        <v>0.31</v>
      </c>
      <c r="AB27">
        <f>SUMIF('库存（子SKU）'!$C:$C,$A27,'库存（子SKU）'!AD:AD)</f>
        <v>0.23</v>
      </c>
      <c r="AC27">
        <f>SUMIF('库存（子SKU）'!$C:$C,$A27,'库存（子SKU）'!AE:AE)</f>
        <v>0.41</v>
      </c>
      <c r="AD27" s="23" t="str">
        <f t="shared" si="2"/>
        <v/>
      </c>
      <c r="AE27" s="23" t="str">
        <f t="shared" si="3"/>
        <v>无销量广告费为0.31</v>
      </c>
      <c r="AF27" s="23" t="str">
        <f t="shared" si="4"/>
        <v>无销量广告费为0.23</v>
      </c>
      <c r="AG27" s="23" t="str">
        <f t="shared" si="5"/>
        <v>无销量广告费为0.41</v>
      </c>
      <c r="AH27">
        <f>SUMIF('库存（子SKU）'!$C:$C,$A27,'库存（子SKU）'!AJ:AJ)</f>
        <v>2</v>
      </c>
      <c r="AI27">
        <f>SUMIF('库存（子SKU）'!$C:$C,$A27,'库存（子SKU）'!AK:AK)</f>
        <v>3</v>
      </c>
      <c r="AJ27">
        <f>SUMIF('库存（子SKU）'!$C:$C,$A27,'库存（子SKU）'!AL:AL)</f>
        <v>7</v>
      </c>
      <c r="AK27">
        <f>SUMIF('库存（子SKU）'!$C:$C,$A27,'库存（子SKU）'!AM:AM)</f>
        <v>1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477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tr">
        <f>IFERROR(VLOOKUP(A28,'[3]父sku-单价'!$A:$B,2,0),"")</f>
        <v/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1859</v>
      </c>
      <c r="O28">
        <f>SUMIF('库存（子SKU）'!$C:$C,$A28,'库存（子SKU）'!Q:Q)</f>
        <v>1276</v>
      </c>
      <c r="P28">
        <f>SUMIF('库存（子SKU）'!$C:$C,$A28,'库存（子SKU）'!R:R)</f>
        <v>1025</v>
      </c>
      <c r="Q28">
        <f>SUMIF('库存（子SKU）'!$C:$C,$A28,'库存（子SKU）'!S:S)</f>
        <v>732</v>
      </c>
      <c r="R28">
        <f>SUMIF('库存（子SKU）'!$C:$C,$A28,'库存（子SKU）'!T:T)</f>
        <v>21</v>
      </c>
      <c r="S28">
        <f>SUMIF('库存（子SKU）'!$C:$C,$A28,'库存（子SKU）'!U:U)</f>
        <v>14</v>
      </c>
      <c r="T28">
        <f>SUMIF('库存（子SKU）'!$C:$C,$A28,'库存（子SKU）'!V:V)</f>
        <v>8</v>
      </c>
      <c r="U28">
        <f>SUMIF('库存（子SKU）'!$C:$C,$A28,'库存（子SKU）'!W:W)</f>
        <v>6</v>
      </c>
      <c r="V28" s="23">
        <f t="shared" si="15"/>
        <v>0.0112963959117805</v>
      </c>
      <c r="W28" s="23">
        <f t="shared" si="16"/>
        <v>0.0109717868338558</v>
      </c>
      <c r="X28" s="23">
        <f t="shared" si="17"/>
        <v>0.00780487804878049</v>
      </c>
      <c r="Y28" s="23">
        <f t="shared" si="18"/>
        <v>0.00819672131147541</v>
      </c>
      <c r="Z28">
        <f>SUMIF('库存（子SKU）'!$C:$C,$A28,'库存（子SKU）'!AB:AB)</f>
        <v>5.76</v>
      </c>
      <c r="AA28">
        <f>SUMIF('库存（子SKU）'!$C:$C,$A28,'库存（子SKU）'!AC:AC)</f>
        <v>3.67</v>
      </c>
      <c r="AB28">
        <f>SUMIF('库存（子SKU）'!$C:$C,$A28,'库存（子SKU）'!AD:AD)</f>
        <v>2.55</v>
      </c>
      <c r="AC28">
        <f>SUMIF('库存（子SKU）'!$C:$C,$A28,'库存（子SKU）'!AE:AE)</f>
        <v>2.08</v>
      </c>
      <c r="AD28" s="23" t="str">
        <f t="shared" si="2"/>
        <v>无销量广告费为5.76</v>
      </c>
      <c r="AE28" s="23" t="str">
        <f t="shared" si="3"/>
        <v>无销量广告费为3.67</v>
      </c>
      <c r="AF28" s="23" t="str">
        <f t="shared" si="4"/>
        <v>无销量广告费为2.55</v>
      </c>
      <c r="AG28" s="23" t="str">
        <f t="shared" si="5"/>
        <v>无销量广告费为2.08</v>
      </c>
      <c r="AH28">
        <f>SUMIF('库存（子SKU）'!$C:$C,$A28,'库存（子SKU）'!AJ:AJ)</f>
        <v>9</v>
      </c>
      <c r="AI28">
        <f>SUMIF('库存（子SKU）'!$C:$C,$A28,'库存（子SKU）'!AK:AK)</f>
        <v>14</v>
      </c>
      <c r="AJ28">
        <f>SUMIF('库存（子SKU）'!$C:$C,$A28,'库存（子SKU）'!AL:AL)</f>
        <v>6</v>
      </c>
      <c r="AK28">
        <f>SUMIF('库存（子SKU）'!$C:$C,$A28,'库存（子SKU）'!AM:AM)</f>
        <v>4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6</v>
      </c>
      <c r="AS28" t="str">
        <f t="shared" si="13"/>
        <v>库存为6</v>
      </c>
      <c r="AT28" s="25" t="str">
        <f>IFERROR(时间!$B$4+AS28,"上周无销量")</f>
        <v>上周无销量</v>
      </c>
    </row>
    <row r="29" spans="1:46">
      <c r="A29" t="s">
        <v>478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tr">
        <f>IFERROR(VLOOKUP(A29,'[3]父sku-单价'!$A:$B,2,0),"")</f>
        <v/>
      </c>
      <c r="G29">
        <f>SUMIF('库存（子SKU）'!$C:$C,$A29,'库存（子SKU）'!I:I)</f>
        <v>4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4</v>
      </c>
      <c r="L29">
        <f>SUMIF('库存（子SKU）'!$C:$C,$A29,'库存（子SKU）'!N:N)</f>
        <v>0</v>
      </c>
      <c r="M29">
        <f>SUMIF('库存（子SKU）'!$C:$C,$A29,'库存（子SKU）'!O:O)</f>
        <v>4</v>
      </c>
      <c r="N29">
        <f>SUMIF('库存（子SKU）'!$C:$C,$A29,'库存（子SKU）'!P:P)</f>
        <v>292</v>
      </c>
      <c r="O29">
        <f>SUMIF('库存（子SKU）'!$C:$C,$A29,'库存（子SKU）'!Q:Q)</f>
        <v>496</v>
      </c>
      <c r="P29">
        <f>SUMIF('库存（子SKU）'!$C:$C,$A29,'库存（子SKU）'!R:R)</f>
        <v>370</v>
      </c>
      <c r="Q29">
        <f>SUMIF('库存（子SKU）'!$C:$C,$A29,'库存（子SKU）'!S:S)</f>
        <v>186</v>
      </c>
      <c r="R29">
        <f>SUMIF('库存（子SKU）'!$C:$C,$A29,'库存（子SKU）'!T:T)</f>
        <v>0</v>
      </c>
      <c r="S29">
        <f>SUMIF('库存（子SKU）'!$C:$C,$A29,'库存（子SKU）'!U:U)</f>
        <v>4</v>
      </c>
      <c r="T29">
        <f>SUMIF('库存（子SKU）'!$C:$C,$A29,'库存（子SKU）'!V:V)</f>
        <v>1</v>
      </c>
      <c r="U29">
        <f>SUMIF('库存（子SKU）'!$C:$C,$A29,'库存（子SKU）'!W:W)</f>
        <v>1</v>
      </c>
      <c r="V29" s="23">
        <f t="shared" si="15"/>
        <v>0</v>
      </c>
      <c r="W29" s="23">
        <f t="shared" si="16"/>
        <v>0.00806451612903226</v>
      </c>
      <c r="X29" s="23">
        <f t="shared" si="17"/>
        <v>0.0027027027027027</v>
      </c>
      <c r="Y29" s="23">
        <f t="shared" si="18"/>
        <v>0.00537634408602151</v>
      </c>
      <c r="Z29">
        <f>SUMIF('库存（子SKU）'!$C:$C,$A29,'库存（子SKU）'!AB:AB)</f>
        <v>0</v>
      </c>
      <c r="AA29">
        <f>SUMIF('库存（子SKU）'!$C:$C,$A29,'库存（子SKU）'!AC:AC)</f>
        <v>1.17</v>
      </c>
      <c r="AB29">
        <f>SUMIF('库存（子SKU）'!$C:$C,$A29,'库存（子SKU）'!AD:AD)</f>
        <v>0.56</v>
      </c>
      <c r="AC29">
        <f>SUMIF('库存（子SKU）'!$C:$C,$A29,'库存（子SKU）'!AE:AE)</f>
        <v>0.1</v>
      </c>
      <c r="AD29" s="23" t="str">
        <f t="shared" si="2"/>
        <v/>
      </c>
      <c r="AE29" s="23" t="str">
        <f t="shared" si="3"/>
        <v>无销量广告费为1.17</v>
      </c>
      <c r="AF29" s="23" t="str">
        <f t="shared" si="4"/>
        <v>无销量广告费为0.56</v>
      </c>
      <c r="AG29" s="23" t="str">
        <f t="shared" si="5"/>
        <v>无销量广告费为0.1</v>
      </c>
      <c r="AH29">
        <f>SUMIF('库存（子SKU）'!$C:$C,$A29,'库存（子SKU）'!AJ:AJ)</f>
        <v>9</v>
      </c>
      <c r="AI29">
        <f>SUMIF('库存（子SKU）'!$C:$C,$A29,'库存（子SKU）'!AK:AK)</f>
        <v>3</v>
      </c>
      <c r="AJ29">
        <f>SUMIF('库存（子SKU）'!$C:$C,$A29,'库存（子SKU）'!AL:AL)</f>
        <v>4</v>
      </c>
      <c r="AK29">
        <f>SUMIF('库存（子SKU）'!$C:$C,$A29,'库存（子SKU）'!AM:AM)</f>
        <v>2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4</v>
      </c>
      <c r="AS29" t="str">
        <f t="shared" si="13"/>
        <v>库存为4</v>
      </c>
      <c r="AT29" s="25" t="str">
        <f>IFERROR(时间!$B$4+AS29,"上周无销量")</f>
        <v>上周无销量</v>
      </c>
    </row>
    <row r="30" spans="1:46">
      <c r="A30" t="s">
        <v>479</v>
      </c>
      <c r="B30" s="6">
        <f>SUMIF('库存（子SKU）'!$C:$C,$A30,'库存（子SKU）'!D:D)</f>
        <v>1</v>
      </c>
      <c r="C30" s="6">
        <f>SUMIF('库存（子SKU）'!$C:$C,$A30,'库存（子SKU）'!E:E)</f>
        <v>3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>
        <f>IFERROR(VLOOKUP(A30,'[3]父sku-单价'!$A:$B,2,0),"")</f>
        <v>7.93</v>
      </c>
      <c r="G30">
        <f>SUMIF('库存（子SKU）'!$C:$C,$A30,'库存（子SKU）'!I:I)</f>
        <v>132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132</v>
      </c>
      <c r="L30">
        <f>SUMIF('库存（子SKU）'!$C:$C,$A30,'库存（子SKU）'!N:N)</f>
        <v>0</v>
      </c>
      <c r="M30">
        <f>SUMIF('库存（子SKU）'!$C:$C,$A30,'库存（子SKU）'!O:O)</f>
        <v>132</v>
      </c>
      <c r="N30">
        <f>SUMIF('库存（子SKU）'!$C:$C,$A30,'库存（子SKU）'!P:P)</f>
        <v>915</v>
      </c>
      <c r="O30">
        <f>SUMIF('库存（子SKU）'!$C:$C,$A30,'库存（子SKU）'!Q:Q)</f>
        <v>1395</v>
      </c>
      <c r="P30">
        <f>SUMIF('库存（子SKU）'!$C:$C,$A30,'库存（子SKU）'!R:R)</f>
        <v>1109</v>
      </c>
      <c r="Q30">
        <f>SUMIF('库存（子SKU）'!$C:$C,$A30,'库存（子SKU）'!S:S)</f>
        <v>714</v>
      </c>
      <c r="R30">
        <f>SUMIF('库存（子SKU）'!$C:$C,$A30,'库存（子SKU）'!T:T)</f>
        <v>2</v>
      </c>
      <c r="S30">
        <f>SUMIF('库存（子SKU）'!$C:$C,$A30,'库存（子SKU）'!U:U)</f>
        <v>5</v>
      </c>
      <c r="T30">
        <f>SUMIF('库存（子SKU）'!$C:$C,$A30,'库存（子SKU）'!V:V)</f>
        <v>4</v>
      </c>
      <c r="U30">
        <f>SUMIF('库存（子SKU）'!$C:$C,$A30,'库存（子SKU）'!W:W)</f>
        <v>5</v>
      </c>
      <c r="V30" s="23">
        <f t="shared" si="15"/>
        <v>0.00218579234972678</v>
      </c>
      <c r="W30" s="23">
        <f t="shared" si="16"/>
        <v>0.003584229390681</v>
      </c>
      <c r="X30" s="23">
        <f t="shared" si="17"/>
        <v>0.0036068530207394</v>
      </c>
      <c r="Y30" s="23">
        <f t="shared" si="18"/>
        <v>0.00700280112044818</v>
      </c>
      <c r="Z30">
        <f>SUMIF('库存（子SKU）'!$C:$C,$A30,'库存（子SKU）'!AB:AB)</f>
        <v>0.5</v>
      </c>
      <c r="AA30">
        <f>SUMIF('库存（子SKU）'!$C:$C,$A30,'库存（子SKU）'!AC:AC)</f>
        <v>1.96</v>
      </c>
      <c r="AB30">
        <f>SUMIF('库存（子SKU）'!$C:$C,$A30,'库存（子SKU）'!AD:AD)</f>
        <v>1.08</v>
      </c>
      <c r="AC30">
        <f>SUMIF('库存（子SKU）'!$C:$C,$A30,'库存（子SKU）'!AE:AE)</f>
        <v>1.65</v>
      </c>
      <c r="AD30" s="23">
        <f t="shared" si="2"/>
        <v>0.0630517023959647</v>
      </c>
      <c r="AE30" s="23">
        <f t="shared" si="3"/>
        <v>0.0823875577973939</v>
      </c>
      <c r="AF30" s="23" t="str">
        <f t="shared" si="4"/>
        <v>无销量广告费为1.08</v>
      </c>
      <c r="AG30" s="23" t="str">
        <f t="shared" si="5"/>
        <v>无销量广告费为1.65</v>
      </c>
      <c r="AH30">
        <f>SUMIF('库存（子SKU）'!$C:$C,$A30,'库存（子SKU）'!AJ:AJ)</f>
        <v>12</v>
      </c>
      <c r="AI30">
        <f>SUMIF('库存（子SKU）'!$C:$C,$A30,'库存（子SKU）'!AK:AK)</f>
        <v>13</v>
      </c>
      <c r="AJ30">
        <f>SUMIF('库存（子SKU）'!$C:$C,$A30,'库存（子SKU）'!AL:AL)</f>
        <v>6</v>
      </c>
      <c r="AK30">
        <f>SUMIF('库存（子SKU）'!$C:$C,$A30,'库存（子SKU）'!AM:AM)</f>
        <v>5</v>
      </c>
      <c r="AL30" s="23">
        <f t="shared" si="6"/>
        <v>0.0833333333333333</v>
      </c>
      <c r="AM30" s="23">
        <f t="shared" si="7"/>
        <v>0.230769230769231</v>
      </c>
      <c r="AN30" s="23">
        <f t="shared" si="8"/>
        <v>0</v>
      </c>
      <c r="AO30" s="23">
        <f t="shared" si="9"/>
        <v>0</v>
      </c>
      <c r="AP30" s="8">
        <f t="shared" si="10"/>
        <v>0.142857142857143</v>
      </c>
      <c r="AQ30" s="8">
        <f t="shared" si="11"/>
        <v>8.57142857142857</v>
      </c>
      <c r="AR30" s="8">
        <f t="shared" si="12"/>
        <v>123.428571428571</v>
      </c>
      <c r="AS30">
        <f t="shared" si="13"/>
        <v>924</v>
      </c>
      <c r="AT30" s="25">
        <f>IFERROR(时间!$B$4+AS30,"上周无销量")</f>
        <v>44214</v>
      </c>
    </row>
    <row r="31" spans="1:46">
      <c r="A31" t="s">
        <v>480</v>
      </c>
      <c r="B31" s="6">
        <f>SUMIF('库存（子SKU）'!$C:$C,$A31,'库存（子SKU）'!D:D)</f>
        <v>4</v>
      </c>
      <c r="C31" s="6">
        <f>SUMIF('库存（子SKU）'!$C:$C,$A31,'库存（子SKU）'!E:E)</f>
        <v>8</v>
      </c>
      <c r="D31" s="6">
        <f>SUMIF('库存（子SKU）'!$C:$C,$A31,'库存（子SKU）'!F:F)</f>
        <v>4</v>
      </c>
      <c r="E31" s="6">
        <f>SUMIF('库存（子SKU）'!$C:$C,$A31,'库存（子SKU）'!G:G)</f>
        <v>4</v>
      </c>
      <c r="F31" s="7">
        <f>IFERROR(VLOOKUP(A31,'[3]父sku-单价'!$A:$B,2,0),"")</f>
        <v>8.3165</v>
      </c>
      <c r="G31">
        <f>SUMIF('库存（子SKU）'!$C:$C,$A31,'库存（子SKU）'!I:I)</f>
        <v>328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1</v>
      </c>
      <c r="K31">
        <f t="shared" si="0"/>
        <v>329</v>
      </c>
      <c r="L31">
        <f>SUMIF('库存（子SKU）'!$C:$C,$A31,'库存（子SKU）'!N:N)</f>
        <v>0</v>
      </c>
      <c r="M31">
        <f>SUMIF('库存（子SKU）'!$C:$C,$A31,'库存（子SKU）'!O:O)</f>
        <v>314</v>
      </c>
      <c r="N31">
        <f>SUMIF('库存（子SKU）'!$C:$C,$A31,'库存（子SKU）'!P:P)</f>
        <v>3829</v>
      </c>
      <c r="O31">
        <f>SUMIF('库存（子SKU）'!$C:$C,$A31,'库存（子SKU）'!Q:Q)</f>
        <v>4240</v>
      </c>
      <c r="P31">
        <f>SUMIF('库存（子SKU）'!$C:$C,$A31,'库存（子SKU）'!R:R)</f>
        <v>2394</v>
      </c>
      <c r="Q31">
        <f>SUMIF('库存（子SKU）'!$C:$C,$A31,'库存（子SKU）'!S:S)</f>
        <v>8008</v>
      </c>
      <c r="R31">
        <f>SUMIF('库存（子SKU）'!$C:$C,$A31,'库存（子SKU）'!T:T)</f>
        <v>16</v>
      </c>
      <c r="S31">
        <f>SUMIF('库存（子SKU）'!$C:$C,$A31,'库存（子SKU）'!U:U)</f>
        <v>10</v>
      </c>
      <c r="T31">
        <f>SUMIF('库存（子SKU）'!$C:$C,$A31,'库存（子SKU）'!V:V)</f>
        <v>11</v>
      </c>
      <c r="U31">
        <f>SUMIF('库存（子SKU）'!$C:$C,$A31,'库存（子SKU）'!W:W)</f>
        <v>11</v>
      </c>
      <c r="V31" s="23">
        <f t="shared" si="15"/>
        <v>0.00417863671977018</v>
      </c>
      <c r="W31" s="23">
        <f t="shared" si="16"/>
        <v>0.00235849056603774</v>
      </c>
      <c r="X31" s="23">
        <f t="shared" si="17"/>
        <v>0.00459482038429407</v>
      </c>
      <c r="Y31" s="23">
        <f t="shared" si="18"/>
        <v>0.00137362637362637</v>
      </c>
      <c r="Z31">
        <f>SUMIF('库存（子SKU）'!$C:$C,$A31,'库存（子SKU）'!AB:AB)</f>
        <v>5.8</v>
      </c>
      <c r="AA31">
        <f>SUMIF('库存（子SKU）'!$C:$C,$A31,'库存（子SKU）'!AC:AC)</f>
        <v>3.78</v>
      </c>
      <c r="AB31">
        <f>SUMIF('库存（子SKU）'!$C:$C,$A31,'库存（子SKU）'!AD:AD)</f>
        <v>3.89</v>
      </c>
      <c r="AC31">
        <f>SUMIF('库存（子SKU）'!$C:$C,$A31,'库存（子SKU）'!AE:AE)</f>
        <v>3.42</v>
      </c>
      <c r="AD31" s="23">
        <f t="shared" si="2"/>
        <v>0.174352191426682</v>
      </c>
      <c r="AE31" s="23">
        <f t="shared" si="3"/>
        <v>0.0568147658269705</v>
      </c>
      <c r="AF31" s="23">
        <f t="shared" si="4"/>
        <v>0.116936211146516</v>
      </c>
      <c r="AG31" s="23">
        <f t="shared" si="5"/>
        <v>0.102807671496423</v>
      </c>
      <c r="AH31">
        <f>SUMIF('库存（子SKU）'!$C:$C,$A31,'库存（子SKU）'!AJ:AJ)</f>
        <v>36</v>
      </c>
      <c r="AI31">
        <f>SUMIF('库存（子SKU）'!$C:$C,$A31,'库存（子SKU）'!AK:AK)</f>
        <v>45</v>
      </c>
      <c r="AJ31">
        <f>SUMIF('库存（子SKU）'!$C:$C,$A31,'库存（子SKU）'!AL:AL)</f>
        <v>21</v>
      </c>
      <c r="AK31">
        <f>SUMIF('库存（子SKU）'!$C:$C,$A31,'库存（子SKU）'!AM:AM)</f>
        <v>22</v>
      </c>
      <c r="AL31" s="23">
        <f t="shared" si="6"/>
        <v>0.111111111111111</v>
      </c>
      <c r="AM31" s="23">
        <f t="shared" si="7"/>
        <v>0.177777777777778</v>
      </c>
      <c r="AN31" s="23">
        <f t="shared" si="8"/>
        <v>0.19047619047619</v>
      </c>
      <c r="AO31" s="23">
        <f t="shared" si="9"/>
        <v>0.181818181818182</v>
      </c>
      <c r="AP31" s="8">
        <f t="shared" si="10"/>
        <v>0.571428571428571</v>
      </c>
      <c r="AQ31" s="8">
        <f t="shared" si="11"/>
        <v>34.2857142857143</v>
      </c>
      <c r="AR31" s="8">
        <f t="shared" si="12"/>
        <v>294.714285714286</v>
      </c>
      <c r="AS31">
        <f t="shared" si="13"/>
        <v>575</v>
      </c>
      <c r="AT31" s="25">
        <f>IFERROR(时间!$B$4+AS31,"上周无销量")</f>
        <v>43865</v>
      </c>
    </row>
    <row r="32" spans="1:46">
      <c r="A32" t="s">
        <v>481</v>
      </c>
      <c r="B32" s="6">
        <f>SUMIF('库存（子SKU）'!$C:$C,$A32,'库存（子SKU）'!D:D)</f>
        <v>0</v>
      </c>
      <c r="C32" s="6">
        <f>SUMIF('库存（子SKU）'!$C:$C,$A32,'库存（子SKU）'!E:E)</f>
        <v>1</v>
      </c>
      <c r="D32" s="6">
        <f>SUMIF('库存（子SKU）'!$C:$C,$A32,'库存（子SKU）'!F:F)</f>
        <v>1</v>
      </c>
      <c r="E32" s="6">
        <f>SUMIF('库存（子SKU）'!$C:$C,$A32,'库存（子SKU）'!G:G)</f>
        <v>0</v>
      </c>
      <c r="F32" s="7">
        <f>IFERROR(VLOOKUP(A32,'[3]父sku-单价'!$A:$B,2,0),"")</f>
        <v>13.9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9</v>
      </c>
      <c r="N32">
        <f>SUMIF('库存（子SKU）'!$C:$C,$A32,'库存（子SKU）'!P:P)</f>
        <v>145</v>
      </c>
      <c r="O32">
        <f>SUMIF('库存（子SKU）'!$C:$C,$A32,'库存（子SKU）'!Q:Q)</f>
        <v>129</v>
      </c>
      <c r="P32">
        <f>SUMIF('库存（子SKU）'!$C:$C,$A32,'库存（子SKU）'!R:R)</f>
        <v>107</v>
      </c>
      <c r="Q32">
        <f>SUMIF('库存（子SKU）'!$C:$C,$A32,'库存（子SKU）'!S:S)</f>
        <v>95</v>
      </c>
      <c r="R32">
        <f>SUMIF('库存（子SKU）'!$C:$C,$A32,'库存（子SKU）'!T:T)</f>
        <v>0</v>
      </c>
      <c r="S32">
        <f>SUMIF('库存（子SKU）'!$C:$C,$A32,'库存（子SKU）'!U:U)</f>
        <v>1</v>
      </c>
      <c r="T32">
        <f>SUMIF('库存（子SKU）'!$C:$C,$A32,'库存（子SKU）'!V:V)</f>
        <v>0</v>
      </c>
      <c r="U32">
        <f>SUMIF('库存（子SKU）'!$C:$C,$A32,'库存（子SKU）'!W:W)</f>
        <v>1</v>
      </c>
      <c r="V32" s="23">
        <f t="shared" si="15"/>
        <v>0</v>
      </c>
      <c r="W32" s="23">
        <f t="shared" si="16"/>
        <v>0.00775193798449612</v>
      </c>
      <c r="X32" s="23">
        <f t="shared" si="17"/>
        <v>0</v>
      </c>
      <c r="Y32" s="23">
        <f t="shared" si="18"/>
        <v>0.0105263157894737</v>
      </c>
      <c r="Z32">
        <f>SUMIF('库存（子SKU）'!$C:$C,$A32,'库存（子SKU）'!AB:AB)</f>
        <v>0</v>
      </c>
      <c r="AA32">
        <f>SUMIF('库存（子SKU）'!$C:$C,$A32,'库存（子SKU）'!AC:AC)</f>
        <v>0.17</v>
      </c>
      <c r="AB32">
        <f>SUMIF('库存（子SKU）'!$C:$C,$A32,'库存（子SKU）'!AD:AD)</f>
        <v>0</v>
      </c>
      <c r="AC32">
        <f>SUMIF('库存（子SKU）'!$C:$C,$A32,'库存（子SKU）'!AE:AE)</f>
        <v>0.51</v>
      </c>
      <c r="AD32" s="23" t="str">
        <f t="shared" si="2"/>
        <v/>
      </c>
      <c r="AE32" s="23">
        <f t="shared" si="3"/>
        <v>0.0122302158273381</v>
      </c>
      <c r="AF32" s="23">
        <f t="shared" si="4"/>
        <v>0</v>
      </c>
      <c r="AG32" s="23" t="str">
        <f t="shared" si="5"/>
        <v>无销量广告费为0.51</v>
      </c>
      <c r="AH32">
        <f>SUMIF('库存（子SKU）'!$C:$C,$A32,'库存（子SKU）'!AJ:AJ)</f>
        <v>0</v>
      </c>
      <c r="AI32">
        <f>SUMIF('库存（子SKU）'!$C:$C,$A32,'库存（子SKU）'!AK:AK)</f>
        <v>15</v>
      </c>
      <c r="AJ32">
        <f>SUMIF('库存（子SKU）'!$C:$C,$A32,'库存（子SKU）'!AL:AL)</f>
        <v>3</v>
      </c>
      <c r="AK32">
        <f>SUMIF('库存（子SKU）'!$C:$C,$A32,'库存（子SKU）'!AM:AM)</f>
        <v>1</v>
      </c>
      <c r="AL32" s="23" t="str">
        <f t="shared" si="6"/>
        <v/>
      </c>
      <c r="AM32" s="23">
        <f t="shared" si="7"/>
        <v>0.0666666666666667</v>
      </c>
      <c r="AN32" s="23">
        <f t="shared" si="8"/>
        <v>0.333333333333333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9</v>
      </c>
      <c r="AS32" t="str">
        <f t="shared" si="13"/>
        <v>库存为9</v>
      </c>
      <c r="AT32" s="25" t="str">
        <f>IFERROR(时间!$B$4+AS32,"上周无销量")</f>
        <v>上周无销量</v>
      </c>
    </row>
    <row r="33" spans="1:46">
      <c r="A33" t="s">
        <v>482</v>
      </c>
      <c r="B33" s="6">
        <f>SUMIF('库存（子SKU）'!$C:$C,$A33,'库存（子SKU）'!D:D)</f>
        <v>3</v>
      </c>
      <c r="C33" s="6">
        <f>SUMIF('库存（子SKU）'!$C:$C,$A33,'库存（子SKU）'!E:E)</f>
        <v>5</v>
      </c>
      <c r="D33" s="6">
        <f>SUMIF('库存（子SKU）'!$C:$C,$A33,'库存（子SKU）'!F:F)</f>
        <v>3</v>
      </c>
      <c r="E33" s="6">
        <f>SUMIF('库存（子SKU）'!$C:$C,$A33,'库存（子SKU）'!G:G)</f>
        <v>3</v>
      </c>
      <c r="F33" s="7">
        <f>IFERROR(VLOOKUP(A33,'[3]父sku-单价'!$A:$B,2,0),"")</f>
        <v>12.9071428571429</v>
      </c>
      <c r="G33">
        <f>SUMIF('库存（子SKU）'!$C:$C,$A33,'库存（子SKU）'!I:I)</f>
        <v>61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61</v>
      </c>
      <c r="L33">
        <f>SUMIF('库存（子SKU）'!$C:$C,$A33,'库存（子SKU）'!N:N)</f>
        <v>0</v>
      </c>
      <c r="M33">
        <f>SUMIF('库存（子SKU）'!$C:$C,$A33,'库存（子SKU）'!O:O)</f>
        <v>60</v>
      </c>
      <c r="N33">
        <f>SUMIF('库存（子SKU）'!$C:$C,$A33,'库存（子SKU）'!P:P)</f>
        <v>7931</v>
      </c>
      <c r="O33">
        <f>SUMIF('库存（子SKU）'!$C:$C,$A33,'库存（子SKU）'!Q:Q)</f>
        <v>7518</v>
      </c>
      <c r="P33">
        <f>SUMIF('库存（子SKU）'!$C:$C,$A33,'库存（子SKU）'!R:R)</f>
        <v>7307</v>
      </c>
      <c r="Q33">
        <f>SUMIF('库存（子SKU）'!$C:$C,$A33,'库存（子SKU）'!S:S)</f>
        <v>4828</v>
      </c>
      <c r="R33">
        <f>SUMIF('库存（子SKU）'!$C:$C,$A33,'库存（子SKU）'!T:T)</f>
        <v>42</v>
      </c>
      <c r="S33">
        <f>SUMIF('库存（子SKU）'!$C:$C,$A33,'库存（子SKU）'!U:U)</f>
        <v>40</v>
      </c>
      <c r="T33">
        <f>SUMIF('库存（子SKU）'!$C:$C,$A33,'库存（子SKU）'!V:V)</f>
        <v>30</v>
      </c>
      <c r="U33">
        <f>SUMIF('库存（子SKU）'!$C:$C,$A33,'库存（子SKU）'!W:W)</f>
        <v>23</v>
      </c>
      <c r="V33" s="23">
        <f t="shared" si="15"/>
        <v>0.00529567519858782</v>
      </c>
      <c r="W33" s="23">
        <f t="shared" si="16"/>
        <v>0.00532056397978186</v>
      </c>
      <c r="X33" s="23">
        <f t="shared" si="17"/>
        <v>0.00410565211441084</v>
      </c>
      <c r="Y33" s="23">
        <f t="shared" si="18"/>
        <v>0.00476387738193869</v>
      </c>
      <c r="Z33">
        <f>SUMIF('库存（子SKU）'!$C:$C,$A33,'库存（子SKU）'!AB:AB)</f>
        <v>15.45</v>
      </c>
      <c r="AA33">
        <f>SUMIF('库存（子SKU）'!$C:$C,$A33,'库存（子SKU）'!AC:AC)</f>
        <v>13.99</v>
      </c>
      <c r="AB33">
        <f>SUMIF('库存（子SKU）'!$C:$C,$A33,'库存（子SKU）'!AD:AD)</f>
        <v>10.04</v>
      </c>
      <c r="AC33">
        <f>SUMIF('库存（子SKU）'!$C:$C,$A33,'库存（子SKU）'!AE:AE)</f>
        <v>8.7</v>
      </c>
      <c r="AD33" s="23">
        <f t="shared" si="2"/>
        <v>0.399003873824016</v>
      </c>
      <c r="AE33" s="23">
        <f t="shared" si="3"/>
        <v>0.21677919203099</v>
      </c>
      <c r="AF33" s="23">
        <f t="shared" si="4"/>
        <v>0.259287954251982</v>
      </c>
      <c r="AG33" s="23">
        <f t="shared" si="5"/>
        <v>0.224681793027116</v>
      </c>
      <c r="AH33">
        <f>SUMIF('库存（子SKU）'!$C:$C,$A33,'库存（子SKU）'!AJ:AJ)</f>
        <v>43</v>
      </c>
      <c r="AI33">
        <f>SUMIF('库存（子SKU）'!$C:$C,$A33,'库存（子SKU）'!AK:AK)</f>
        <v>55</v>
      </c>
      <c r="AJ33">
        <f>SUMIF('库存（子SKU）'!$C:$C,$A33,'库存（子SKU）'!AL:AL)</f>
        <v>33</v>
      </c>
      <c r="AK33">
        <f>SUMIF('库存（子SKU）'!$C:$C,$A33,'库存（子SKU）'!AM:AM)</f>
        <v>34</v>
      </c>
      <c r="AL33" s="23">
        <f t="shared" si="6"/>
        <v>0.0697674418604651</v>
      </c>
      <c r="AM33" s="23">
        <f t="shared" si="7"/>
        <v>0.0909090909090909</v>
      </c>
      <c r="AN33" s="23">
        <f t="shared" si="8"/>
        <v>0.0909090909090909</v>
      </c>
      <c r="AO33" s="23">
        <f t="shared" si="9"/>
        <v>0.0882352941176471</v>
      </c>
      <c r="AP33" s="8">
        <f t="shared" si="10"/>
        <v>0.428571428571429</v>
      </c>
      <c r="AQ33" s="8">
        <f t="shared" si="11"/>
        <v>25.7142857142857</v>
      </c>
      <c r="AR33" s="8">
        <f t="shared" si="12"/>
        <v>35.2857142857143</v>
      </c>
      <c r="AS33">
        <f t="shared" si="13"/>
        <v>142</v>
      </c>
      <c r="AT33" s="25">
        <f>IFERROR(时间!$B$4+AS33,"上周无销量")</f>
        <v>43432</v>
      </c>
    </row>
    <row r="34" spans="1:46">
      <c r="A34" t="s">
        <v>483</v>
      </c>
      <c r="B34" s="6">
        <f>SUMIF('库存（子SKU）'!$C:$C,$A34,'库存（子SKU）'!D:D)</f>
        <v>0</v>
      </c>
      <c r="C34" s="6">
        <f>SUMIF('库存（子SKU）'!$C:$C,$A34,'库存（子SKU）'!E:E)</f>
        <v>2</v>
      </c>
      <c r="D34" s="6">
        <f>SUMIF('库存（子SKU）'!$C:$C,$A34,'库存（子SKU）'!F:F)</f>
        <v>1</v>
      </c>
      <c r="E34" s="6">
        <f>SUMIF('库存（子SKU）'!$C:$C,$A34,'库存（子SKU）'!G:G)</f>
        <v>0</v>
      </c>
      <c r="F34" s="7">
        <f>IFERROR(VLOOKUP(A34,'[3]父sku-单价'!$A:$B,2,0),"")</f>
        <v>8.97666666666667</v>
      </c>
      <c r="G34">
        <f>SUMIF('库存（子SKU）'!$C:$C,$A34,'库存（子SKU）'!I:I)</f>
        <v>190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190</v>
      </c>
      <c r="L34">
        <f>SUMIF('库存（子SKU）'!$C:$C,$A34,'库存（子SKU）'!N:N)</f>
        <v>0</v>
      </c>
      <c r="M34">
        <f>SUMIF('库存（子SKU）'!$C:$C,$A34,'库存（子SKU）'!O:O)</f>
        <v>190</v>
      </c>
      <c r="N34">
        <f>SUMIF('库存（子SKU）'!$C:$C,$A34,'库存（子SKU）'!P:P)</f>
        <v>1235</v>
      </c>
      <c r="O34">
        <f>SUMIF('库存（子SKU）'!$C:$C,$A34,'库存（子SKU）'!Q:Q)</f>
        <v>1540</v>
      </c>
      <c r="P34">
        <f>SUMIF('库存（子SKU）'!$C:$C,$A34,'库存（子SKU）'!R:R)</f>
        <v>2496</v>
      </c>
      <c r="Q34">
        <f>SUMIF('库存（子SKU）'!$C:$C,$A34,'库存（子SKU）'!S:S)</f>
        <v>2069</v>
      </c>
      <c r="R34">
        <f>SUMIF('库存（子SKU）'!$C:$C,$A34,'库存（子SKU）'!T:T)</f>
        <v>8</v>
      </c>
      <c r="S34">
        <f>SUMIF('库存（子SKU）'!$C:$C,$A34,'库存（子SKU）'!U:U)</f>
        <v>5</v>
      </c>
      <c r="T34">
        <f>SUMIF('库存（子SKU）'!$C:$C,$A34,'库存（子SKU）'!V:V)</f>
        <v>11</v>
      </c>
      <c r="U34">
        <f>SUMIF('库存（子SKU）'!$C:$C,$A34,'库存（子SKU）'!W:W)</f>
        <v>10</v>
      </c>
      <c r="V34" s="23">
        <f t="shared" si="15"/>
        <v>0.00647773279352227</v>
      </c>
      <c r="W34" s="23">
        <f t="shared" si="16"/>
        <v>0.00324675324675325</v>
      </c>
      <c r="X34" s="23">
        <f t="shared" si="17"/>
        <v>0.00440705128205128</v>
      </c>
      <c r="Y34" s="23">
        <f t="shared" si="18"/>
        <v>0.00483325277912035</v>
      </c>
      <c r="Z34">
        <f>SUMIF('库存（子SKU）'!$C:$C,$A34,'库存（子SKU）'!AB:AB)</f>
        <v>3.08</v>
      </c>
      <c r="AA34">
        <f>SUMIF('库存（子SKU）'!$C:$C,$A34,'库存（子SKU）'!AC:AC)</f>
        <v>2.17</v>
      </c>
      <c r="AB34">
        <f>SUMIF('库存（子SKU）'!$C:$C,$A34,'库存（子SKU）'!AD:AD)</f>
        <v>5.57</v>
      </c>
      <c r="AC34">
        <f>SUMIF('库存（子SKU）'!$C:$C,$A34,'库存（子SKU）'!AE:AE)</f>
        <v>4.53</v>
      </c>
      <c r="AD34" s="23" t="str">
        <f t="shared" si="2"/>
        <v>无销量广告费为3.08</v>
      </c>
      <c r="AE34" s="23">
        <f t="shared" si="3"/>
        <v>0.12086891942072</v>
      </c>
      <c r="AF34" s="23">
        <f t="shared" si="4"/>
        <v>0.620497586334942</v>
      </c>
      <c r="AG34" s="23" t="str">
        <f t="shared" si="5"/>
        <v>无销量广告费为4.53</v>
      </c>
      <c r="AH34">
        <f>SUMIF('库存（子SKU）'!$C:$C,$A34,'库存（子SKU）'!AJ:AJ)</f>
        <v>11</v>
      </c>
      <c r="AI34">
        <f>SUMIF('库存（子SKU）'!$C:$C,$A34,'库存（子SKU）'!AK:AK)</f>
        <v>28</v>
      </c>
      <c r="AJ34">
        <f>SUMIF('库存（子SKU）'!$C:$C,$A34,'库存（子SKU）'!AL:AL)</f>
        <v>12</v>
      </c>
      <c r="AK34">
        <f>SUMIF('库存（子SKU）'!$C:$C,$A34,'库存（子SKU）'!AM:AM)</f>
        <v>9</v>
      </c>
      <c r="AL34" s="23">
        <f t="shared" si="6"/>
        <v>0</v>
      </c>
      <c r="AM34" s="23">
        <f t="shared" si="7"/>
        <v>0.0714285714285714</v>
      </c>
      <c r="AN34" s="23">
        <f t="shared" si="8"/>
        <v>0.0833333333333333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190</v>
      </c>
      <c r="AS34" t="str">
        <f t="shared" si="13"/>
        <v>库存为190</v>
      </c>
      <c r="AT34" s="25" t="str">
        <f>IFERROR(时间!$B$4+AS34,"上周无销量")</f>
        <v>上周无销量</v>
      </c>
    </row>
    <row r="35" spans="1:46">
      <c r="A35" t="s">
        <v>484</v>
      </c>
      <c r="B35" s="6">
        <f>SUMIF('库存（子SKU）'!$C:$C,$A35,'库存（子SKU）'!D:D)</f>
        <v>0</v>
      </c>
      <c r="C35" s="6">
        <f>SUMIF('库存（子SKU）'!$C:$C,$A35,'库存（子SKU）'!E:E)</f>
        <v>2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f>IFERROR(VLOOKUP(A35,'[3]父sku-单价'!$A:$B,2,0),"")</f>
        <v>11.45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80</v>
      </c>
      <c r="N35">
        <f>SUMIF('库存（子SKU）'!$C:$C,$A35,'库存（子SKU）'!P:P)</f>
        <v>604</v>
      </c>
      <c r="O35">
        <f>SUMIF('库存（子SKU）'!$C:$C,$A35,'库存（子SKU）'!Q:Q)</f>
        <v>687</v>
      </c>
      <c r="P35">
        <f>SUMIF('库存（子SKU）'!$C:$C,$A35,'库存（子SKU）'!R:R)</f>
        <v>575</v>
      </c>
      <c r="Q35">
        <f>SUMIF('库存（子SKU）'!$C:$C,$A35,'库存（子SKU）'!S:S)</f>
        <v>407</v>
      </c>
      <c r="R35">
        <f>SUMIF('库存（子SKU）'!$C:$C,$A35,'库存（子SKU）'!T:T)</f>
        <v>0</v>
      </c>
      <c r="S35">
        <f>SUMIF('库存（子SKU）'!$C:$C,$A35,'库存（子SKU）'!U:U)</f>
        <v>4</v>
      </c>
      <c r="T35">
        <f>SUMIF('库存（子SKU）'!$C:$C,$A35,'库存（子SKU）'!V:V)</f>
        <v>3</v>
      </c>
      <c r="U35">
        <f>SUMIF('库存（子SKU）'!$C:$C,$A35,'库存（子SKU）'!W:W)</f>
        <v>0</v>
      </c>
      <c r="V35" s="23">
        <f t="shared" si="15"/>
        <v>0</v>
      </c>
      <c r="W35" s="23">
        <f t="shared" si="16"/>
        <v>0.00582241630276565</v>
      </c>
      <c r="X35" s="23">
        <f t="shared" si="17"/>
        <v>0.00521739130434783</v>
      </c>
      <c r="Y35" s="23">
        <f t="shared" si="18"/>
        <v>0</v>
      </c>
      <c r="Z35">
        <f>SUMIF('库存（子SKU）'!$C:$C,$A35,'库存（子SKU）'!AB:AB)</f>
        <v>0</v>
      </c>
      <c r="AA35">
        <f>SUMIF('库存（子SKU）'!$C:$C,$A35,'库存（子SKU）'!AC:AC)</f>
        <v>1.78</v>
      </c>
      <c r="AB35">
        <f>SUMIF('库存（子SKU）'!$C:$C,$A35,'库存（子SKU）'!AD:AD)</f>
        <v>1.09</v>
      </c>
      <c r="AC35">
        <f>SUMIF('库存（子SKU）'!$C:$C,$A35,'库存（子SKU）'!AE:AE)</f>
        <v>0</v>
      </c>
      <c r="AD35" s="23" t="str">
        <f t="shared" si="2"/>
        <v/>
      </c>
      <c r="AE35" s="23">
        <f t="shared" si="3"/>
        <v>0.0777292576419214</v>
      </c>
      <c r="AF35" s="23" t="str">
        <f t="shared" si="4"/>
        <v>无销量广告费为1.09</v>
      </c>
      <c r="AG35" s="23" t="str">
        <f t="shared" si="5"/>
        <v/>
      </c>
      <c r="AH35">
        <f>SUMIF('库存（子SKU）'!$C:$C,$A35,'库存（子SKU）'!AJ:AJ)</f>
        <v>6</v>
      </c>
      <c r="AI35">
        <f>SUMIF('库存（子SKU）'!$C:$C,$A35,'库存（子SKU）'!AK:AK)</f>
        <v>10</v>
      </c>
      <c r="AJ35">
        <f>SUMIF('库存（子SKU）'!$C:$C,$A35,'库存（子SKU）'!AL:AL)</f>
        <v>5</v>
      </c>
      <c r="AK35">
        <f>SUMIF('库存（子SKU）'!$C:$C,$A35,'库存（子SKU）'!AM:AM)</f>
        <v>1</v>
      </c>
      <c r="AL35" s="23">
        <f t="shared" si="6"/>
        <v>0</v>
      </c>
      <c r="AM35" s="23">
        <f t="shared" si="7"/>
        <v>0.2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80</v>
      </c>
      <c r="AS35" t="str">
        <f t="shared" si="13"/>
        <v>库存为80</v>
      </c>
      <c r="AT35" s="25" t="str">
        <f>IFERROR(时间!$B$4+AS35,"上周无销量")</f>
        <v>上周无销量</v>
      </c>
    </row>
    <row r="36" spans="1:46">
      <c r="A36" t="s">
        <v>485</v>
      </c>
      <c r="B36" s="6">
        <f>SUMIF('库存（子SKU）'!$C:$C,$A36,'库存（子SKU）'!D:D)</f>
        <v>1</v>
      </c>
      <c r="C36" s="6">
        <f>SUMIF('库存（子SKU）'!$C:$C,$A36,'库存（子SKU）'!E:E)</f>
        <v>0</v>
      </c>
      <c r="D36" s="6">
        <f>SUMIF('库存（子SKU）'!$C:$C,$A36,'库存（子SKU）'!F:F)</f>
        <v>1</v>
      </c>
      <c r="E36" s="6">
        <f>SUMIF('库存（子SKU）'!$C:$C,$A36,'库存（子SKU）'!G:G)</f>
        <v>0</v>
      </c>
      <c r="F36" s="7">
        <f>IFERROR(VLOOKUP(A36,'[3]父sku-单价'!$A:$B,2,0),"")</f>
        <v>10.39</v>
      </c>
      <c r="G36">
        <f>SUMIF('库存（子SKU）'!$C:$C,$A36,'库存（子SKU）'!I:I)</f>
        <v>472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472</v>
      </c>
      <c r="L36">
        <f>SUMIF('库存（子SKU）'!$C:$C,$A36,'库存（子SKU）'!N:N)</f>
        <v>0</v>
      </c>
      <c r="M36">
        <f>SUMIF('库存（子SKU）'!$C:$C,$A36,'库存（子SKU）'!O:O)</f>
        <v>471</v>
      </c>
      <c r="N36">
        <f>SUMIF('库存（子SKU）'!$C:$C,$A36,'库存（子SKU）'!P:P)</f>
        <v>6132</v>
      </c>
      <c r="O36">
        <f>SUMIF('库存（子SKU）'!$C:$C,$A36,'库存（子SKU）'!Q:Q)</f>
        <v>5182</v>
      </c>
      <c r="P36">
        <f>SUMIF('库存（子SKU）'!$C:$C,$A36,'库存（子SKU）'!R:R)</f>
        <v>3238</v>
      </c>
      <c r="Q36">
        <f>SUMIF('库存（子SKU）'!$C:$C,$A36,'库存（子SKU）'!S:S)</f>
        <v>2538</v>
      </c>
      <c r="R36">
        <f>SUMIF('库存（子SKU）'!$C:$C,$A36,'库存（子SKU）'!T:T)</f>
        <v>37</v>
      </c>
      <c r="S36">
        <f>SUMIF('库存（子SKU）'!$C:$C,$A36,'库存（子SKU）'!U:U)</f>
        <v>32</v>
      </c>
      <c r="T36">
        <f>SUMIF('库存（子SKU）'!$C:$C,$A36,'库存（子SKU）'!V:V)</f>
        <v>18</v>
      </c>
      <c r="U36">
        <f>SUMIF('库存（子SKU）'!$C:$C,$A36,'库存（子SKU）'!W:W)</f>
        <v>20</v>
      </c>
      <c r="V36" s="23">
        <f t="shared" si="15"/>
        <v>0.00603392041748206</v>
      </c>
      <c r="W36" s="23">
        <f t="shared" si="16"/>
        <v>0.00617522192203782</v>
      </c>
      <c r="X36" s="23">
        <f t="shared" si="17"/>
        <v>0.00555898702903027</v>
      </c>
      <c r="Y36" s="23">
        <f t="shared" si="18"/>
        <v>0.00788022064617809</v>
      </c>
      <c r="Z36">
        <f>SUMIF('库存（子SKU）'!$C:$C,$A36,'库存（子SKU）'!AB:AB)</f>
        <v>7.88</v>
      </c>
      <c r="AA36">
        <f>SUMIF('库存（子SKU）'!$C:$C,$A36,'库存（子SKU）'!AC:AC)</f>
        <v>7.98</v>
      </c>
      <c r="AB36">
        <f>SUMIF('库存（子SKU）'!$C:$C,$A36,'库存（子SKU）'!AD:AD)</f>
        <v>5.72</v>
      </c>
      <c r="AC36">
        <f>SUMIF('库存（子SKU）'!$C:$C,$A36,'库存（子SKU）'!AE:AE)</f>
        <v>6.29</v>
      </c>
      <c r="AD36" s="23">
        <f t="shared" si="2"/>
        <v>0.75842155919153</v>
      </c>
      <c r="AE36" s="23" t="str">
        <f t="shared" si="3"/>
        <v>无销量广告费为7.98</v>
      </c>
      <c r="AF36" s="23">
        <f t="shared" si="4"/>
        <v>0.550529355149182</v>
      </c>
      <c r="AG36" s="23" t="str">
        <f t="shared" si="5"/>
        <v>无销量广告费为6.29</v>
      </c>
      <c r="AH36">
        <f>SUMIF('库存（子SKU）'!$C:$C,$A36,'库存（子SKU）'!AJ:AJ)</f>
        <v>68</v>
      </c>
      <c r="AI36">
        <f>SUMIF('库存（子SKU）'!$C:$C,$A36,'库存（子SKU）'!AK:AK)</f>
        <v>61</v>
      </c>
      <c r="AJ36">
        <f>SUMIF('库存（子SKU）'!$C:$C,$A36,'库存（子SKU）'!AL:AL)</f>
        <v>34</v>
      </c>
      <c r="AK36">
        <f>SUMIF('库存（子SKU）'!$C:$C,$A36,'库存（子SKU）'!AM:AM)</f>
        <v>21</v>
      </c>
      <c r="AL36" s="23">
        <f t="shared" si="6"/>
        <v>0.0147058823529412</v>
      </c>
      <c r="AM36" s="23">
        <f t="shared" si="7"/>
        <v>0</v>
      </c>
      <c r="AN36" s="23">
        <f t="shared" si="8"/>
        <v>0.0294117647058824</v>
      </c>
      <c r="AO36" s="23">
        <f t="shared" si="9"/>
        <v>0</v>
      </c>
      <c r="AP36" s="8">
        <f t="shared" si="10"/>
        <v>0.142857142857143</v>
      </c>
      <c r="AQ36" s="8">
        <f t="shared" si="11"/>
        <v>8.57142857142857</v>
      </c>
      <c r="AR36" s="8">
        <f t="shared" si="12"/>
        <v>463.428571428571</v>
      </c>
      <c r="AS36">
        <f t="shared" si="13"/>
        <v>3304</v>
      </c>
      <c r="AT36" s="25">
        <f>IFERROR(时间!$B$4+AS36,"上周无销量")</f>
        <v>46594</v>
      </c>
    </row>
    <row r="37" spans="1:46">
      <c r="A37" t="s">
        <v>486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tr">
        <f>IFERROR(VLOOKUP(A37,'[3]父sku-单价'!$A:$B,2,0),"")</f>
        <v/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583</v>
      </c>
      <c r="O37">
        <f>SUMIF('库存（子SKU）'!$C:$C,$A37,'库存（子SKU）'!Q:Q)</f>
        <v>648</v>
      </c>
      <c r="P37">
        <f>SUMIF('库存（子SKU）'!$C:$C,$A37,'库存（子SKU）'!R:R)</f>
        <v>798</v>
      </c>
      <c r="Q37">
        <f>SUMIF('库存（子SKU）'!$C:$C,$A37,'库存（子SKU）'!S:S)</f>
        <v>838</v>
      </c>
      <c r="R37">
        <f>SUMIF('库存（子SKU）'!$C:$C,$A37,'库存（子SKU）'!T:T)</f>
        <v>4</v>
      </c>
      <c r="S37">
        <f>SUMIF('库存（子SKU）'!$C:$C,$A37,'库存（子SKU）'!U:U)</f>
        <v>0</v>
      </c>
      <c r="T37">
        <f>SUMIF('库存（子SKU）'!$C:$C,$A37,'库存（子SKU）'!V:V)</f>
        <v>5</v>
      </c>
      <c r="U37">
        <f>SUMIF('库存（子SKU）'!$C:$C,$A37,'库存（子SKU）'!W:W)</f>
        <v>7</v>
      </c>
      <c r="V37" s="23">
        <f t="shared" si="15"/>
        <v>0.00686106346483705</v>
      </c>
      <c r="W37" s="23">
        <f t="shared" si="16"/>
        <v>0</v>
      </c>
      <c r="X37" s="23">
        <f t="shared" si="17"/>
        <v>0.006265664160401</v>
      </c>
      <c r="Y37" s="23">
        <f t="shared" si="18"/>
        <v>0.00835322195704057</v>
      </c>
      <c r="Z37">
        <f>SUMIF('库存（子SKU）'!$C:$C,$A37,'库存（子SKU）'!AB:AB)</f>
        <v>1.33</v>
      </c>
      <c r="AA37">
        <f>SUMIF('库存（子SKU）'!$C:$C,$A37,'库存（子SKU）'!AC:AC)</f>
        <v>0</v>
      </c>
      <c r="AB37">
        <f>SUMIF('库存（子SKU）'!$C:$C,$A37,'库存（子SKU）'!AD:AD)</f>
        <v>1.26</v>
      </c>
      <c r="AC37">
        <f>SUMIF('库存（子SKU）'!$C:$C,$A37,'库存（子SKU）'!AE:AE)</f>
        <v>2.3</v>
      </c>
      <c r="AD37" s="23" t="str">
        <f t="shared" si="2"/>
        <v>无销量广告费为1.33</v>
      </c>
      <c r="AE37" s="23" t="str">
        <f t="shared" si="3"/>
        <v/>
      </c>
      <c r="AF37" s="23" t="str">
        <f t="shared" si="4"/>
        <v>无销量广告费为1.26</v>
      </c>
      <c r="AG37" s="23" t="str">
        <f t="shared" si="5"/>
        <v>无销量广告费为2.3</v>
      </c>
      <c r="AH37">
        <f>SUMIF('库存（子SKU）'!$C:$C,$A37,'库存（子SKU）'!AJ:AJ)</f>
        <v>6</v>
      </c>
      <c r="AI37">
        <f>SUMIF('库存（子SKU）'!$C:$C,$A37,'库存（子SKU）'!AK:AK)</f>
        <v>5</v>
      </c>
      <c r="AJ37">
        <f>SUMIF('库存（子SKU）'!$C:$C,$A37,'库存（子SKU）'!AL:AL)</f>
        <v>1</v>
      </c>
      <c r="AK37">
        <f>SUMIF('库存（子SKU）'!$C:$C,$A37,'库存（子SKU）'!AM:AM)</f>
        <v>1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487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tr">
        <f>IFERROR(VLOOKUP(A38,'[3]父sku-单价'!$A:$B,2,0),"")</f>
        <v/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51</v>
      </c>
      <c r="O38">
        <f>SUMIF('库存（子SKU）'!$C:$C,$A38,'库存（子SKU）'!Q:Q)</f>
        <v>126</v>
      </c>
      <c r="P38">
        <f>SUMIF('库存（子SKU）'!$C:$C,$A38,'库存（子SKU）'!R:R)</f>
        <v>410</v>
      </c>
      <c r="Q38">
        <f>SUMIF('库存（子SKU）'!$C:$C,$A38,'库存（子SKU）'!S:S)</f>
        <v>776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1</v>
      </c>
      <c r="U38">
        <f>SUMIF('库存（子SKU）'!$C:$C,$A38,'库存（子SKU）'!W:W)</f>
        <v>3</v>
      </c>
      <c r="V38" s="23">
        <f t="shared" si="15"/>
        <v>0</v>
      </c>
      <c r="W38" s="23">
        <f t="shared" si="16"/>
        <v>0</v>
      </c>
      <c r="X38" s="23">
        <f t="shared" si="17"/>
        <v>0.0024390243902439</v>
      </c>
      <c r="Y38" s="23">
        <f t="shared" si="18"/>
        <v>0.0038659793814433</v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0.13</v>
      </c>
      <c r="AC38">
        <f>SUMIF('库存（子SKU）'!$C:$C,$A38,'库存（子SKU）'!AE:AE)</f>
        <v>1.06</v>
      </c>
      <c r="AD38" s="23" t="str">
        <f t="shared" si="2"/>
        <v/>
      </c>
      <c r="AE38" s="23" t="str">
        <f t="shared" si="3"/>
        <v/>
      </c>
      <c r="AF38" s="23" t="str">
        <f t="shared" si="4"/>
        <v>无销量广告费为0.13</v>
      </c>
      <c r="AG38" s="23" t="str">
        <f t="shared" si="5"/>
        <v>无销量广告费为1.06</v>
      </c>
      <c r="AH38">
        <f>SUMIF('库存（子SKU）'!$C:$C,$A38,'库存（子SKU）'!AJ:AJ)</f>
        <v>2</v>
      </c>
      <c r="AI38">
        <f>SUMIF('库存（子SKU）'!$C:$C,$A38,'库存（子SKU）'!AK:AK)</f>
        <v>4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>
        <f t="shared" si="6"/>
        <v>0</v>
      </c>
      <c r="AM38" s="23">
        <f t="shared" si="7"/>
        <v>0</v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488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tr">
        <f>IFERROR(VLOOKUP(A39,'[3]父sku-单价'!$A:$B,2,0),"")</f>
        <v/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489</v>
      </c>
      <c r="B40" s="6">
        <f>SUMIF('库存（子SKU）'!$C:$C,$A40,'库存（子SKU）'!D:D)</f>
        <v>0</v>
      </c>
      <c r="C40" s="6">
        <f>SUMIF('库存（子SKU）'!$C:$C,$A40,'库存（子SKU）'!E:E)</f>
        <v>1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>
        <f>IFERROR(VLOOKUP(A40,'[3]父sku-单价'!$A:$B,2,0),"")</f>
        <v>5.27</v>
      </c>
      <c r="G40">
        <f>SUMIF('库存（子SKU）'!$C:$C,$A40,'库存（子SKU）'!I:I)</f>
        <v>2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</v>
      </c>
      <c r="L40">
        <f>SUMIF('库存（子SKU）'!$C:$C,$A40,'库存（子SKU）'!N:N)</f>
        <v>0</v>
      </c>
      <c r="M40">
        <f>SUMIF('库存（子SKU）'!$C:$C,$A40,'库存（子SKU）'!O:O)</f>
        <v>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>
        <f t="shared" si="3"/>
        <v>0</v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3</v>
      </c>
      <c r="AI40">
        <f>SUMIF('库存（子SKU）'!$C:$C,$A40,'库存（子SKU）'!AK:AK)</f>
        <v>6</v>
      </c>
      <c r="AJ40">
        <f>SUMIF('库存（子SKU）'!$C:$C,$A40,'库存（子SKU）'!AL:AL)</f>
        <v>2</v>
      </c>
      <c r="AK40">
        <f>SUMIF('库存（子SKU）'!$C:$C,$A40,'库存（子SKU）'!AM:AM)</f>
        <v>1</v>
      </c>
      <c r="AL40" s="23">
        <f t="shared" si="6"/>
        <v>0</v>
      </c>
      <c r="AM40" s="23">
        <f t="shared" si="7"/>
        <v>0.166666666666667</v>
      </c>
      <c r="AN40" s="23">
        <f t="shared" si="8"/>
        <v>0</v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2</v>
      </c>
      <c r="AS40" t="str">
        <f t="shared" si="13"/>
        <v>库存为2</v>
      </c>
      <c r="AT40" s="25" t="str">
        <f>IFERROR(时间!$B$4+AS40,"上周无销量")</f>
        <v>上周无销量</v>
      </c>
    </row>
    <row r="41" spans="1:46">
      <c r="A41" t="s">
        <v>490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tr">
        <f>IFERROR(VLOOKUP(A41,'[3]父sku-单价'!$A:$B,2,0),"")</f>
        <v/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15</v>
      </c>
      <c r="L41">
        <f>SUMIF('库存（子SKU）'!$C:$C,$A41,'库存（子SKU）'!N:N)</f>
        <v>0</v>
      </c>
      <c r="M41">
        <f>SUMIF('库存（子SKU）'!$C:$C,$A41,'库存（子SKU）'!O:O)</f>
        <v>15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20</v>
      </c>
      <c r="AI41">
        <f>SUMIF('库存（子SKU）'!$C:$C,$A41,'库存（子SKU）'!AK:AK)</f>
        <v>14</v>
      </c>
      <c r="AJ41">
        <f>SUMIF('库存（子SKU）'!$C:$C,$A41,'库存（子SKU）'!AL:AL)</f>
        <v>18</v>
      </c>
      <c r="AK41">
        <f>SUMIF('库存（子SKU）'!$C:$C,$A41,'库存（子SKU）'!AM:AM)</f>
        <v>8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15</v>
      </c>
      <c r="AS41" t="str">
        <f t="shared" si="13"/>
        <v>库存为15</v>
      </c>
      <c r="AT41" s="25" t="str">
        <f>IFERROR(时间!$B$4+AS41,"上周无销量")</f>
        <v>上周无销量</v>
      </c>
    </row>
    <row r="42" spans="1:46">
      <c r="A42" t="s">
        <v>491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tr">
        <f>IFERROR(VLOOKUP(A42,'[3]父sku-单价'!$A:$B,2,0),"")</f>
        <v/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7</v>
      </c>
      <c r="AI42">
        <f>SUMIF('库存（子SKU）'!$C:$C,$A42,'库存（子SKU）'!AK:AK)</f>
        <v>5</v>
      </c>
      <c r="AJ42">
        <f>SUMIF('库存（子SKU）'!$C:$C,$A42,'库存（子SKU）'!AL:AL)</f>
        <v>3</v>
      </c>
      <c r="AK42">
        <f>SUMIF('库存（子SKU）'!$C:$C,$A42,'库存（子SKU）'!AM:AM)</f>
        <v>4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492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tr">
        <f>IFERROR(VLOOKUP(A43,'[3]父sku-单价'!$A:$B,2,0),"")</f>
        <v/>
      </c>
      <c r="G43">
        <f>SUMIF('库存（子SKU）'!$C:$C,$A43,'库存（子SKU）'!I:I)</f>
        <v>8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8</v>
      </c>
      <c r="L43">
        <f>SUMIF('库存（子SKU）'!$C:$C,$A43,'库存（子SKU）'!N:N)</f>
        <v>0</v>
      </c>
      <c r="M43">
        <f>SUMIF('库存（子SKU）'!$C:$C,$A43,'库存（子SKU）'!O:O)</f>
        <v>8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8</v>
      </c>
      <c r="AS43" t="str">
        <f t="shared" si="13"/>
        <v>库存为8</v>
      </c>
      <c r="AT43" s="25" t="str">
        <f>IFERROR(时间!$B$4+AS43,"上周无销量")</f>
        <v>上周无销量</v>
      </c>
    </row>
    <row r="44" spans="1:46">
      <c r="A44" t="s">
        <v>493</v>
      </c>
      <c r="B44" s="6">
        <f>SUMIF('库存（子SKU）'!$C:$C,$A44,'库存（子SKU）'!D:D)</f>
        <v>0</v>
      </c>
      <c r="C44" s="6">
        <f>SUMIF('库存（子SKU）'!$C:$C,$A44,'库存（子SKU）'!E:E)</f>
        <v>1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>
        <f>IFERROR(VLOOKUP(A44,'[3]父sku-单价'!$A:$B,2,0),"")</f>
        <v>4.45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9</v>
      </c>
      <c r="N44">
        <f>SUMIF('库存（子SKU）'!$C:$C,$A44,'库存（子SKU）'!P:P)</f>
        <v>413</v>
      </c>
      <c r="O44">
        <f>SUMIF('库存（子SKU）'!$C:$C,$A44,'库存（子SKU）'!Q:Q)</f>
        <v>512</v>
      </c>
      <c r="P44">
        <f>SUMIF('库存（子SKU）'!$C:$C,$A44,'库存（子SKU）'!R:R)</f>
        <v>537</v>
      </c>
      <c r="Q44">
        <f>SUMIF('库存（子SKU）'!$C:$C,$A44,'库存（子SKU）'!S:S)</f>
        <v>205</v>
      </c>
      <c r="R44">
        <f>SUMIF('库存（子SKU）'!$C:$C,$A44,'库存（子SKU）'!T:T)</f>
        <v>1</v>
      </c>
      <c r="S44">
        <f>SUMIF('库存（子SKU）'!$C:$C,$A44,'库存（子SKU）'!U:U)</f>
        <v>2</v>
      </c>
      <c r="T44">
        <f>SUMIF('库存（子SKU）'!$C:$C,$A44,'库存（子SKU）'!V:V)</f>
        <v>1</v>
      </c>
      <c r="U44">
        <f>SUMIF('库存（子SKU）'!$C:$C,$A44,'库存（子SKU）'!W:W)</f>
        <v>0</v>
      </c>
      <c r="V44" s="23">
        <f t="shared" si="15"/>
        <v>0.00242130750605327</v>
      </c>
      <c r="W44" s="23">
        <f t="shared" si="16"/>
        <v>0.00390625</v>
      </c>
      <c r="X44" s="23">
        <f t="shared" si="17"/>
        <v>0.00186219739292365</v>
      </c>
      <c r="Y44" s="23">
        <f t="shared" si="18"/>
        <v>0</v>
      </c>
      <c r="Z44">
        <f>SUMIF('库存（子SKU）'!$C:$C,$A44,'库存（子SKU）'!AB:AB)</f>
        <v>0.23</v>
      </c>
      <c r="AA44">
        <f>SUMIF('库存（子SKU）'!$C:$C,$A44,'库存（子SKU）'!AC:AC)</f>
        <v>0.8</v>
      </c>
      <c r="AB44">
        <f>SUMIF('库存（子SKU）'!$C:$C,$A44,'库存（子SKU）'!AD:AD)</f>
        <v>0.27</v>
      </c>
      <c r="AC44">
        <f>SUMIF('库存（子SKU）'!$C:$C,$A44,'库存（子SKU）'!AE:AE)</f>
        <v>0</v>
      </c>
      <c r="AD44" s="23" t="str">
        <f t="shared" si="2"/>
        <v>无销量广告费为0.23</v>
      </c>
      <c r="AE44" s="23">
        <f t="shared" si="3"/>
        <v>0.179775280898876</v>
      </c>
      <c r="AF44" s="23" t="str">
        <f t="shared" si="4"/>
        <v>无销量广告费为0.27</v>
      </c>
      <c r="AG44" s="23" t="str">
        <f t="shared" si="5"/>
        <v/>
      </c>
      <c r="AH44">
        <f>SUMIF('库存（子SKU）'!$C:$C,$A44,'库存（子SKU）'!AJ:AJ)</f>
        <v>3</v>
      </c>
      <c r="AI44">
        <f>SUMIF('库存（子SKU）'!$C:$C,$A44,'库存（子SKU）'!AK:AK)</f>
        <v>4</v>
      </c>
      <c r="AJ44">
        <f>SUMIF('库存（子SKU）'!$C:$C,$A44,'库存（子SKU）'!AL:AL)</f>
        <v>4</v>
      </c>
      <c r="AK44">
        <f>SUMIF('库存（子SKU）'!$C:$C,$A44,'库存（子SKU）'!AM:AM)</f>
        <v>1</v>
      </c>
      <c r="AL44" s="23">
        <f t="shared" si="6"/>
        <v>0</v>
      </c>
      <c r="AM44" s="23">
        <f t="shared" si="7"/>
        <v>0.25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10</v>
      </c>
      <c r="AS44" t="str">
        <f t="shared" si="13"/>
        <v>库存为10</v>
      </c>
      <c r="AT44" s="25" t="str">
        <f>IFERROR(时间!$B$4+AS44,"上周无销量")</f>
        <v>上周无销量</v>
      </c>
    </row>
    <row r="45" spans="1:46">
      <c r="A45" t="s">
        <v>494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tr">
        <f>IFERROR(VLOOKUP(A45,'[3]父sku-单价'!$A:$B,2,0),"")</f>
        <v/>
      </c>
      <c r="G45">
        <f>SUMIF('库存（子SKU）'!$C:$C,$A45,'库存（子SKU）'!I:I)</f>
        <v>23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23</v>
      </c>
      <c r="L45">
        <f>SUMIF('库存（子SKU）'!$C:$C,$A45,'库存（子SKU）'!N:N)</f>
        <v>0</v>
      </c>
      <c r="M45">
        <f>SUMIF('库存（子SKU）'!$C:$C,$A45,'库存（子SKU）'!O:O)</f>
        <v>23</v>
      </c>
      <c r="N45">
        <f>SUMIF('库存（子SKU）'!$C:$C,$A45,'库存（子SKU）'!P:P)</f>
        <v>2545</v>
      </c>
      <c r="O45">
        <f>SUMIF('库存（子SKU）'!$C:$C,$A45,'库存（子SKU）'!Q:Q)</f>
        <v>2382</v>
      </c>
      <c r="P45">
        <f>SUMIF('库存（子SKU）'!$C:$C,$A45,'库存（子SKU）'!R:R)</f>
        <v>2396</v>
      </c>
      <c r="Q45">
        <f>SUMIF('库存（子SKU）'!$C:$C,$A45,'库存（子SKU）'!S:S)</f>
        <v>2270</v>
      </c>
      <c r="R45">
        <f>SUMIF('库存（子SKU）'!$C:$C,$A45,'库存（子SKU）'!T:T)</f>
        <v>5</v>
      </c>
      <c r="S45">
        <f>SUMIF('库存（子SKU）'!$C:$C,$A45,'库存（子SKU）'!U:U)</f>
        <v>7</v>
      </c>
      <c r="T45">
        <f>SUMIF('库存（子SKU）'!$C:$C,$A45,'库存（子SKU）'!V:V)</f>
        <v>12</v>
      </c>
      <c r="U45">
        <f>SUMIF('库存（子SKU）'!$C:$C,$A45,'库存（子SKU）'!W:W)</f>
        <v>7</v>
      </c>
      <c r="V45" s="23">
        <f t="shared" si="15"/>
        <v>0.00196463654223969</v>
      </c>
      <c r="W45" s="23">
        <f t="shared" si="16"/>
        <v>0.00293870696893367</v>
      </c>
      <c r="X45" s="23">
        <f t="shared" si="17"/>
        <v>0.00500834724540901</v>
      </c>
      <c r="Y45" s="23">
        <f t="shared" si="18"/>
        <v>0.00308370044052863</v>
      </c>
      <c r="Z45">
        <f>SUMIF('库存（子SKU）'!$C:$C,$A45,'库存（子SKU）'!AB:AB)</f>
        <v>1.64</v>
      </c>
      <c r="AA45">
        <f>SUMIF('库存（子SKU）'!$C:$C,$A45,'库存（子SKU）'!AC:AC)</f>
        <v>2.1</v>
      </c>
      <c r="AB45">
        <f>SUMIF('库存（子SKU）'!$C:$C,$A45,'库存（子SKU）'!AD:AD)</f>
        <v>3.14</v>
      </c>
      <c r="AC45">
        <f>SUMIF('库存（子SKU）'!$C:$C,$A45,'库存（子SKU）'!AE:AE)</f>
        <v>2.57</v>
      </c>
      <c r="AD45" s="23" t="str">
        <f t="shared" si="2"/>
        <v>无销量广告费为1.64</v>
      </c>
      <c r="AE45" s="23" t="str">
        <f t="shared" si="3"/>
        <v>无销量广告费为2.1</v>
      </c>
      <c r="AF45" s="23" t="str">
        <f t="shared" si="4"/>
        <v>无销量广告费为3.14</v>
      </c>
      <c r="AG45" s="23" t="str">
        <f t="shared" si="5"/>
        <v>无销量广告费为2.57</v>
      </c>
      <c r="AH45">
        <f>SUMIF('库存（子SKU）'!$C:$C,$A45,'库存（子SKU）'!AJ:AJ)</f>
        <v>15</v>
      </c>
      <c r="AI45">
        <f>SUMIF('库存（子SKU）'!$C:$C,$A45,'库存（子SKU）'!AK:AK)</f>
        <v>13</v>
      </c>
      <c r="AJ45">
        <f>SUMIF('库存（子SKU）'!$C:$C,$A45,'库存（子SKU）'!AL:AL)</f>
        <v>9</v>
      </c>
      <c r="AK45">
        <f>SUMIF('库存（子SKU）'!$C:$C,$A45,'库存（子SKU）'!AM:AM)</f>
        <v>14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23</v>
      </c>
      <c r="AS45" t="str">
        <f t="shared" si="13"/>
        <v>库存为23</v>
      </c>
      <c r="AT45" s="25" t="str">
        <f>IFERROR(时间!$B$4+AS45,"上周无销量")</f>
        <v>上周无销量</v>
      </c>
    </row>
    <row r="46" spans="1:46">
      <c r="A46" t="s">
        <v>495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tr">
        <f>IFERROR(VLOOKUP(A46,'[3]父sku-单价'!$A:$B,2,0),"")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5" t="str">
        <f>IFERROR(时间!$B$4+AS46,"上周无销量")</f>
        <v>上周无销量</v>
      </c>
    </row>
    <row r="47" spans="1:46">
      <c r="A47" t="s">
        <v>496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tr">
        <f>IFERROR(VLOOKUP(A47,'[3]父sku-单价'!$A:$B,2,0),"")</f>
        <v/>
      </c>
      <c r="G47">
        <f>SUMIF('库存（子SKU）'!$C:$C,$A47,'库存（子SKU）'!I:I)</f>
        <v>3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3</v>
      </c>
      <c r="L47">
        <f>SUMIF('库存（子SKU）'!$C:$C,$A47,'库存（子SKU）'!N:N)</f>
        <v>0</v>
      </c>
      <c r="M47">
        <f>SUMIF('库存（子SKU）'!$C:$C,$A47,'库存（子SKU）'!O:O)</f>
        <v>3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4</v>
      </c>
      <c r="AI47">
        <f>SUMIF('库存（子SKU）'!$C:$C,$A47,'库存（子SKU）'!AK:AK)</f>
        <v>2</v>
      </c>
      <c r="AJ47">
        <f>SUMIF('库存（子SKU）'!$C:$C,$A47,'库存（子SKU）'!AL:AL)</f>
        <v>0</v>
      </c>
      <c r="AK47">
        <f>SUMIF('库存（子SKU）'!$C:$C,$A47,'库存（子SKU）'!AM:AM)</f>
        <v>3</v>
      </c>
      <c r="AL47" s="23">
        <f t="shared" si="6"/>
        <v>0</v>
      </c>
      <c r="AM47" s="23">
        <f t="shared" si="7"/>
        <v>0</v>
      </c>
      <c r="AN47" s="23" t="str">
        <f t="shared" si="8"/>
        <v/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3</v>
      </c>
      <c r="AS47" t="str">
        <f t="shared" si="13"/>
        <v>库存为3</v>
      </c>
      <c r="AT47" s="25" t="str">
        <f>IFERROR(时间!$B$4+AS47,"上周无销量")</f>
        <v>上周无销量</v>
      </c>
    </row>
    <row r="48" spans="1:46">
      <c r="A48" t="s">
        <v>497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tr">
        <f>IFERROR(VLOOKUP(A48,'[3]父sku-单价'!$A:$B,2,0),"")</f>
        <v/>
      </c>
      <c r="G48">
        <f>SUMIF('库存（子SKU）'!$C:$C,$A48,'库存（子SKU）'!I:I)</f>
        <v>10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10</v>
      </c>
      <c r="L48">
        <f>SUMIF('库存（子SKU）'!$C:$C,$A48,'库存（子SKU）'!N:N)</f>
        <v>0</v>
      </c>
      <c r="M48">
        <f>SUMIF('库存（子SKU）'!$C:$C,$A48,'库存（子SKU）'!O:O)</f>
        <v>10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15</v>
      </c>
      <c r="AI48">
        <f>SUMIF('库存（子SKU）'!$C:$C,$A48,'库存（子SKU）'!AK:AK)</f>
        <v>12</v>
      </c>
      <c r="AJ48">
        <f>SUMIF('库存（子SKU）'!$C:$C,$A48,'库存（子SKU）'!AL:AL)</f>
        <v>4</v>
      </c>
      <c r="AK48">
        <f>SUMIF('库存（子SKU）'!$C:$C,$A48,'库存（子SKU）'!AM:AM)</f>
        <v>7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10</v>
      </c>
      <c r="AS48" t="str">
        <f t="shared" si="13"/>
        <v>库存为10</v>
      </c>
      <c r="AT48" s="25" t="str">
        <f>IFERROR(时间!$B$4+AS48,"上周无销量")</f>
        <v>上周无销量</v>
      </c>
    </row>
    <row r="49" spans="1:46">
      <c r="A49" t="s">
        <v>498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tr">
        <f>IFERROR(VLOOKUP(A49,'[3]父sku-单价'!$A:$B,2,0),"")</f>
        <v/>
      </c>
      <c r="G49">
        <f>SUMIF('库存（子SKU）'!$C:$C,$A49,'库存（子SKU）'!I:I)</f>
        <v>41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41</v>
      </c>
      <c r="L49">
        <f>SUMIF('库存（子SKU）'!$C:$C,$A49,'库存（子SKU）'!N:N)</f>
        <v>0</v>
      </c>
      <c r="M49">
        <f>SUMIF('库存（子SKU）'!$C:$C,$A49,'库存（子SKU）'!O:O)</f>
        <v>41</v>
      </c>
      <c r="N49">
        <f>SUMIF('库存（子SKU）'!$C:$C,$A49,'库存（子SKU）'!P:P)</f>
        <v>166</v>
      </c>
      <c r="O49">
        <f>SUMIF('库存（子SKU）'!$C:$C,$A49,'库存（子SKU）'!Q:Q)</f>
        <v>316</v>
      </c>
      <c r="P49">
        <f>SUMIF('库存（子SKU）'!$C:$C,$A49,'库存（子SKU）'!R:R)</f>
        <v>931</v>
      </c>
      <c r="Q49">
        <f>SUMIF('库存（子SKU）'!$C:$C,$A49,'库存（子SKU）'!S:S)</f>
        <v>1163</v>
      </c>
      <c r="R49">
        <f>SUMIF('库存（子SKU）'!$C:$C,$A49,'库存（子SKU）'!T:T)</f>
        <v>0</v>
      </c>
      <c r="S49">
        <f>SUMIF('库存（子SKU）'!$C:$C,$A49,'库存（子SKU）'!U:U)</f>
        <v>1</v>
      </c>
      <c r="T49">
        <f>SUMIF('库存（子SKU）'!$C:$C,$A49,'库存（子SKU）'!V:V)</f>
        <v>3</v>
      </c>
      <c r="U49">
        <f>SUMIF('库存（子SKU）'!$C:$C,$A49,'库存（子SKU）'!W:W)</f>
        <v>5</v>
      </c>
      <c r="V49" s="23">
        <f t="shared" si="15"/>
        <v>0</v>
      </c>
      <c r="W49" s="23">
        <f t="shared" si="16"/>
        <v>0.00316455696202532</v>
      </c>
      <c r="X49" s="23">
        <f t="shared" si="17"/>
        <v>0.00322234156820623</v>
      </c>
      <c r="Y49" s="23">
        <f t="shared" si="18"/>
        <v>0.00429922613929493</v>
      </c>
      <c r="Z49">
        <f>SUMIF('库存（子SKU）'!$C:$C,$A49,'库存（子SKU）'!AB:AB)</f>
        <v>0</v>
      </c>
      <c r="AA49">
        <f>SUMIF('库存（子SKU）'!$C:$C,$A49,'库存（子SKU）'!AC:AC)</f>
        <v>0.04</v>
      </c>
      <c r="AB49">
        <f>SUMIF('库存（子SKU）'!$C:$C,$A49,'库存（子SKU）'!AD:AD)</f>
        <v>1.22</v>
      </c>
      <c r="AC49">
        <f>SUMIF('库存（子SKU）'!$C:$C,$A49,'库存（子SKU）'!AE:AE)</f>
        <v>1.15</v>
      </c>
      <c r="AD49" s="23" t="str">
        <f t="shared" si="2"/>
        <v/>
      </c>
      <c r="AE49" s="23" t="str">
        <f t="shared" si="3"/>
        <v>无销量广告费为0.04</v>
      </c>
      <c r="AF49" s="23" t="str">
        <f t="shared" si="4"/>
        <v>无销量广告费为1.22</v>
      </c>
      <c r="AG49" s="23" t="str">
        <f t="shared" si="5"/>
        <v>无销量广告费为1.15</v>
      </c>
      <c r="AH49">
        <f>SUMIF('库存（子SKU）'!$C:$C,$A49,'库存（子SKU）'!AJ:AJ)</f>
        <v>16</v>
      </c>
      <c r="AI49">
        <f>SUMIF('库存（子SKU）'!$C:$C,$A49,'库存（子SKU）'!AK:AK)</f>
        <v>24</v>
      </c>
      <c r="AJ49">
        <f>SUMIF('库存（子SKU）'!$C:$C,$A49,'库存（子SKU）'!AL:AL)</f>
        <v>13</v>
      </c>
      <c r="AK49">
        <f>SUMIF('库存（子SKU）'!$C:$C,$A49,'库存（子SKU）'!AM:AM)</f>
        <v>15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41</v>
      </c>
      <c r="AS49" t="str">
        <f t="shared" si="13"/>
        <v>库存为41</v>
      </c>
      <c r="AT49" s="25" t="str">
        <f>IFERROR(时间!$B$4+AS49,"上周无销量")</f>
        <v>上周无销量</v>
      </c>
    </row>
    <row r="50" spans="1:46">
      <c r="A50" t="s">
        <v>499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1</v>
      </c>
      <c r="E50" s="6">
        <f>SUMIF('库存（子SKU）'!$C:$C,$A50,'库存（子SKU）'!G:G)</f>
        <v>0</v>
      </c>
      <c r="F50" s="7">
        <f>IFERROR(VLOOKUP(A50,'[3]父sku-单价'!$A:$B,2,0),"")</f>
        <v>12.9</v>
      </c>
      <c r="G50">
        <f>SUMIF('库存（子SKU）'!$C:$C,$A50,'库存（子SKU）'!I:I)</f>
        <v>287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287</v>
      </c>
      <c r="L50">
        <f>SUMIF('库存（子SKU）'!$C:$C,$A50,'库存（子SKU）'!N:N)</f>
        <v>0</v>
      </c>
      <c r="M50">
        <f>SUMIF('库存（子SKU）'!$C:$C,$A50,'库存（子SKU）'!O:O)</f>
        <v>287</v>
      </c>
      <c r="N50">
        <f>SUMIF('库存（子SKU）'!$C:$C,$A50,'库存（子SKU）'!P:P)</f>
        <v>3846</v>
      </c>
      <c r="O50">
        <f>SUMIF('库存（子SKU）'!$C:$C,$A50,'库存（子SKU）'!Q:Q)</f>
        <v>4080</v>
      </c>
      <c r="P50">
        <f>SUMIF('库存（子SKU）'!$C:$C,$A50,'库存（子SKU）'!R:R)</f>
        <v>3639</v>
      </c>
      <c r="Q50">
        <f>SUMIF('库存（子SKU）'!$C:$C,$A50,'库存（子SKU）'!S:S)</f>
        <v>3196</v>
      </c>
      <c r="R50">
        <f>SUMIF('库存（子SKU）'!$C:$C,$A50,'库存（子SKU）'!T:T)</f>
        <v>26</v>
      </c>
      <c r="S50">
        <f>SUMIF('库存（子SKU）'!$C:$C,$A50,'库存（子SKU）'!U:U)</f>
        <v>22</v>
      </c>
      <c r="T50">
        <f>SUMIF('库存（子SKU）'!$C:$C,$A50,'库存（子SKU）'!V:V)</f>
        <v>24</v>
      </c>
      <c r="U50">
        <f>SUMIF('库存（子SKU）'!$C:$C,$A50,'库存（子SKU）'!W:W)</f>
        <v>26</v>
      </c>
      <c r="V50" s="23">
        <f t="shared" si="15"/>
        <v>0.00676027041081643</v>
      </c>
      <c r="W50" s="23">
        <f t="shared" si="16"/>
        <v>0.0053921568627451</v>
      </c>
      <c r="X50" s="23">
        <f t="shared" si="17"/>
        <v>0.00659521846661171</v>
      </c>
      <c r="Y50" s="23">
        <f t="shared" si="18"/>
        <v>0.0081351689612015</v>
      </c>
      <c r="Z50">
        <f>SUMIF('库存（子SKU）'!$C:$C,$A50,'库存（子SKU）'!AB:AB)</f>
        <v>6.73</v>
      </c>
      <c r="AA50">
        <f>SUMIF('库存（子SKU）'!$C:$C,$A50,'库存（子SKU）'!AC:AC)</f>
        <v>6.65</v>
      </c>
      <c r="AB50">
        <f>SUMIF('库存（子SKU）'!$C:$C,$A50,'库存（子SKU）'!AD:AD)</f>
        <v>7.14</v>
      </c>
      <c r="AC50">
        <f>SUMIF('库存（子SKU）'!$C:$C,$A50,'库存（子SKU）'!AE:AE)</f>
        <v>8.59</v>
      </c>
      <c r="AD50" s="23" t="str">
        <f t="shared" si="2"/>
        <v>无销量广告费为6.73</v>
      </c>
      <c r="AE50" s="23" t="str">
        <f t="shared" si="3"/>
        <v>无销量广告费为6.65</v>
      </c>
      <c r="AF50" s="23">
        <f t="shared" si="4"/>
        <v>0.553488372093023</v>
      </c>
      <c r="AG50" s="23" t="str">
        <f t="shared" si="5"/>
        <v>无销量广告费为8.59</v>
      </c>
      <c r="AH50">
        <f>SUMIF('库存（子SKU）'!$C:$C,$A50,'库存（子SKU）'!AJ:AJ)</f>
        <v>56</v>
      </c>
      <c r="AI50">
        <f>SUMIF('库存（子SKU）'!$C:$C,$A50,'库存（子SKU）'!AK:AK)</f>
        <v>62</v>
      </c>
      <c r="AJ50">
        <f>SUMIF('库存（子SKU）'!$C:$C,$A50,'库存（子SKU）'!AL:AL)</f>
        <v>43</v>
      </c>
      <c r="AK50">
        <f>SUMIF('库存（子SKU）'!$C:$C,$A50,'库存（子SKU）'!AM:AM)</f>
        <v>29</v>
      </c>
      <c r="AL50" s="23">
        <f t="shared" si="6"/>
        <v>0</v>
      </c>
      <c r="AM50" s="23">
        <f t="shared" si="7"/>
        <v>0</v>
      </c>
      <c r="AN50" s="23">
        <f t="shared" si="8"/>
        <v>0.0232558139534884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287</v>
      </c>
      <c r="AS50" t="str">
        <f t="shared" si="13"/>
        <v>库存为287</v>
      </c>
      <c r="AT50" s="25" t="str">
        <f>IFERROR(时间!$B$4+AS50,"上周无销量")</f>
        <v>上周无销量</v>
      </c>
    </row>
    <row r="51" spans="1:46">
      <c r="A51" t="s">
        <v>500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tr">
        <f>IFERROR(VLOOKUP(A51,'[3]父sku-单价'!$A:$B,2,0),"")</f>
        <v/>
      </c>
      <c r="G51">
        <f>SUMIF('库存（子SKU）'!$C:$C,$A51,'库存（子SKU）'!I:I)</f>
        <v>22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22</v>
      </c>
      <c r="L51">
        <f>SUMIF('库存（子SKU）'!$C:$C,$A51,'库存（子SKU）'!N:N)</f>
        <v>0</v>
      </c>
      <c r="M51">
        <f>SUMIF('库存（子SKU）'!$C:$C,$A51,'库存（子SKU）'!O:O)</f>
        <v>22</v>
      </c>
      <c r="N51">
        <f>SUMIF('库存（子SKU）'!$C:$C,$A51,'库存（子SKU）'!P:P)</f>
        <v>1720</v>
      </c>
      <c r="O51">
        <f>SUMIF('库存（子SKU）'!$C:$C,$A51,'库存（子SKU）'!Q:Q)</f>
        <v>1721</v>
      </c>
      <c r="P51">
        <f>SUMIF('库存（子SKU）'!$C:$C,$A51,'库存（子SKU）'!R:R)</f>
        <v>1555</v>
      </c>
      <c r="Q51">
        <f>SUMIF('库存（子SKU）'!$C:$C,$A51,'库存（子SKU）'!S:S)</f>
        <v>1157</v>
      </c>
      <c r="R51">
        <f>SUMIF('库存（子SKU）'!$C:$C,$A51,'库存（子SKU）'!T:T)</f>
        <v>5</v>
      </c>
      <c r="S51">
        <f>SUMIF('库存（子SKU）'!$C:$C,$A51,'库存（子SKU）'!U:U)</f>
        <v>7</v>
      </c>
      <c r="T51">
        <f>SUMIF('库存（子SKU）'!$C:$C,$A51,'库存（子SKU）'!V:V)</f>
        <v>7</v>
      </c>
      <c r="U51">
        <f>SUMIF('库存（子SKU）'!$C:$C,$A51,'库存（子SKU）'!W:W)</f>
        <v>5</v>
      </c>
      <c r="V51" s="23">
        <f t="shared" si="15"/>
        <v>0.00290697674418605</v>
      </c>
      <c r="W51" s="23">
        <f t="shared" si="16"/>
        <v>0.00406740267286461</v>
      </c>
      <c r="X51" s="23">
        <f t="shared" si="17"/>
        <v>0.0045016077170418</v>
      </c>
      <c r="Y51" s="23">
        <f t="shared" si="18"/>
        <v>0.00432152117545376</v>
      </c>
      <c r="Z51">
        <f>SUMIF('库存（子SKU）'!$C:$C,$A51,'库存（子SKU）'!AB:AB)</f>
        <v>0.95</v>
      </c>
      <c r="AA51">
        <f>SUMIF('库存（子SKU）'!$C:$C,$A51,'库存（子SKU）'!AC:AC)</f>
        <v>1.9</v>
      </c>
      <c r="AB51">
        <f>SUMIF('库存（子SKU）'!$C:$C,$A51,'库存（子SKU）'!AD:AD)</f>
        <v>1.58</v>
      </c>
      <c r="AC51">
        <f>SUMIF('库存（子SKU）'!$C:$C,$A51,'库存（子SKU）'!AE:AE)</f>
        <v>1.5</v>
      </c>
      <c r="AD51" s="23" t="str">
        <f t="shared" si="2"/>
        <v>无销量广告费为0.95</v>
      </c>
      <c r="AE51" s="23" t="str">
        <f t="shared" si="3"/>
        <v>无销量广告费为1.9</v>
      </c>
      <c r="AF51" s="23" t="str">
        <f t="shared" si="4"/>
        <v>无销量广告费为1.58</v>
      </c>
      <c r="AG51" s="23" t="str">
        <f t="shared" si="5"/>
        <v>无销量广告费为1.5</v>
      </c>
      <c r="AH51">
        <f>SUMIF('库存（子SKU）'!$C:$C,$A51,'库存（子SKU）'!AJ:AJ)</f>
        <v>12</v>
      </c>
      <c r="AI51">
        <f>SUMIF('库存（子SKU）'!$C:$C,$A51,'库存（子SKU）'!AK:AK)</f>
        <v>17</v>
      </c>
      <c r="AJ51">
        <f>SUMIF('库存（子SKU）'!$C:$C,$A51,'库存（子SKU）'!AL:AL)</f>
        <v>11</v>
      </c>
      <c r="AK51">
        <f>SUMIF('库存（子SKU）'!$C:$C,$A51,'库存（子SKU）'!AM:AM)</f>
        <v>8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22</v>
      </c>
      <c r="AS51" t="str">
        <f t="shared" si="13"/>
        <v>库存为22</v>
      </c>
      <c r="AT51" s="25" t="str">
        <f>IFERROR(时间!$B$4+AS51,"上周无销量")</f>
        <v>上周无销量</v>
      </c>
    </row>
    <row r="52" spans="1:46">
      <c r="A52" t="s">
        <v>501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tr">
        <f>IFERROR(VLOOKUP(A52,'[3]父sku-单价'!$A:$B,2,0),"")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8">
        <f t="shared" si="10"/>
        <v>0</v>
      </c>
      <c r="AQ52" s="8">
        <f t="shared" si="11"/>
        <v>0</v>
      </c>
      <c r="AR52" s="8">
        <f t="shared" si="12"/>
        <v>0</v>
      </c>
      <c r="AS52" t="str">
        <f t="shared" si="13"/>
        <v>库存为0</v>
      </c>
      <c r="AT52" s="25" t="str">
        <f>IFERROR(时间!$B$4+AS52,"上周无销量")</f>
        <v>上周无销量</v>
      </c>
    </row>
    <row r="53" spans="1:46">
      <c r="A53" t="s">
        <v>502</v>
      </c>
      <c r="B53" s="6">
        <f>SUMIF('库存（子SKU）'!$C:$C,$A53,'库存（子SKU）'!D:D)</f>
        <v>0</v>
      </c>
      <c r="C53" s="6">
        <f>SUMIF('库存（子SKU）'!$C:$C,$A53,'库存（子SKU）'!E:E)</f>
        <v>1</v>
      </c>
      <c r="D53" s="6">
        <f>SUMIF('库存（子SKU）'!$C:$C,$A53,'库存（子SKU）'!F:F)</f>
        <v>1</v>
      </c>
      <c r="E53" s="6">
        <f>SUMIF('库存（子SKU）'!$C:$C,$A53,'库存（子SKU）'!G:G)</f>
        <v>0</v>
      </c>
      <c r="F53" s="7">
        <f>IFERROR(VLOOKUP(A53,'[3]父sku-单价'!$A:$B,2,0),"")</f>
        <v>5.59</v>
      </c>
      <c r="G53">
        <f>SUMIF('库存（子SKU）'!$C:$C,$A53,'库存（子SKU）'!I:I)</f>
        <v>71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71</v>
      </c>
      <c r="L53">
        <f>SUMIF('库存（子SKU）'!$C:$C,$A53,'库存（子SKU）'!N:N)</f>
        <v>0</v>
      </c>
      <c r="M53">
        <f>SUMIF('库存（子SKU）'!$C:$C,$A53,'库存（子SKU）'!O:O)</f>
        <v>71</v>
      </c>
      <c r="N53">
        <f>SUMIF('库存（子SKU）'!$C:$C,$A53,'库存（子SKU）'!P:P)</f>
        <v>447</v>
      </c>
      <c r="O53">
        <f>SUMIF('库存（子SKU）'!$C:$C,$A53,'库存（子SKU）'!Q:Q)</f>
        <v>571</v>
      </c>
      <c r="P53">
        <f>SUMIF('库存（子SKU）'!$C:$C,$A53,'库存（子SKU）'!R:R)</f>
        <v>408</v>
      </c>
      <c r="Q53">
        <f>SUMIF('库存（子SKU）'!$C:$C,$A53,'库存（子SKU）'!S:S)</f>
        <v>912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6</v>
      </c>
      <c r="V53" s="23">
        <f t="shared" si="15"/>
        <v>0</v>
      </c>
      <c r="W53" s="23">
        <f t="shared" si="16"/>
        <v>0</v>
      </c>
      <c r="X53" s="23">
        <f t="shared" si="17"/>
        <v>0</v>
      </c>
      <c r="Y53" s="23">
        <f t="shared" si="18"/>
        <v>0.00657894736842105</v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2.41</v>
      </c>
      <c r="AD53" s="23" t="str">
        <f t="shared" si="2"/>
        <v/>
      </c>
      <c r="AE53" s="23">
        <f t="shared" si="3"/>
        <v>0</v>
      </c>
      <c r="AF53" s="23">
        <f t="shared" si="4"/>
        <v>0</v>
      </c>
      <c r="AG53" s="23" t="str">
        <f t="shared" si="5"/>
        <v>无销量广告费为2.41</v>
      </c>
      <c r="AH53">
        <f>SUMIF('库存（子SKU）'!$C:$C,$A53,'库存（子SKU）'!AJ:AJ)</f>
        <v>0</v>
      </c>
      <c r="AI53">
        <f>SUMIF('库存（子SKU）'!$C:$C,$A53,'库存（子SKU）'!AK:AK)</f>
        <v>2</v>
      </c>
      <c r="AJ53">
        <f>SUMIF('库存（子SKU）'!$C:$C,$A53,'库存（子SKU）'!AL:AL)</f>
        <v>9</v>
      </c>
      <c r="AK53">
        <f>SUMIF('库存（子SKU）'!$C:$C,$A53,'库存（子SKU）'!AM:AM)</f>
        <v>3</v>
      </c>
      <c r="AL53" s="23" t="str">
        <f t="shared" si="6"/>
        <v/>
      </c>
      <c r="AM53" s="23">
        <f t="shared" si="7"/>
        <v>0.5</v>
      </c>
      <c r="AN53" s="23">
        <f t="shared" si="8"/>
        <v>0.111111111111111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71</v>
      </c>
      <c r="AS53" t="str">
        <f t="shared" si="13"/>
        <v>库存为71</v>
      </c>
      <c r="AT53" s="25" t="str">
        <f>IFERROR(时间!$B$4+AS53,"上周无销量")</f>
        <v>上周无销量</v>
      </c>
    </row>
    <row r="54" spans="1:46">
      <c r="A54" t="s">
        <v>503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1</v>
      </c>
      <c r="F54" s="7">
        <f>IFERROR(VLOOKUP(A54,'[3]父sku-单价'!$A:$B,2,0),"")</f>
        <v>4.71</v>
      </c>
      <c r="G54">
        <f>SUMIF('库存（子SKU）'!$C:$C,$A54,'库存（子SKU）'!I:I)</f>
        <v>57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57</v>
      </c>
      <c r="L54">
        <f>SUMIF('库存（子SKU）'!$C:$C,$A54,'库存（子SKU）'!N:N)</f>
        <v>0</v>
      </c>
      <c r="M54">
        <f>SUMIF('库存（子SKU）'!$C:$C,$A54,'库存（子SKU）'!O:O)</f>
        <v>57</v>
      </c>
      <c r="N54">
        <f>SUMIF('库存（子SKU）'!$C:$C,$A54,'库存（子SKU）'!P:P)</f>
        <v>224</v>
      </c>
      <c r="O54">
        <f>SUMIF('库存（子SKU）'!$C:$C,$A54,'库存（子SKU）'!Q:Q)</f>
        <v>550</v>
      </c>
      <c r="P54">
        <f>SUMIF('库存（子SKU）'!$C:$C,$A54,'库存（子SKU）'!R:R)</f>
        <v>1232</v>
      </c>
      <c r="Q54">
        <f>SUMIF('库存（子SKU）'!$C:$C,$A54,'库存（子SKU）'!S:S)</f>
        <v>5273</v>
      </c>
      <c r="R54">
        <f>SUMIF('库存（子SKU）'!$C:$C,$A54,'库存（子SKU）'!T:T)</f>
        <v>1</v>
      </c>
      <c r="S54">
        <f>SUMIF('库存（子SKU）'!$C:$C,$A54,'库存（子SKU）'!U:U)</f>
        <v>0</v>
      </c>
      <c r="T54">
        <f>SUMIF('库存（子SKU）'!$C:$C,$A54,'库存（子SKU）'!V:V)</f>
        <v>3</v>
      </c>
      <c r="U54">
        <f>SUMIF('库存（子SKU）'!$C:$C,$A54,'库存（子SKU）'!W:W)</f>
        <v>7</v>
      </c>
      <c r="V54" s="23">
        <f t="shared" si="15"/>
        <v>0.00446428571428571</v>
      </c>
      <c r="W54" s="23">
        <f t="shared" si="16"/>
        <v>0</v>
      </c>
      <c r="X54" s="23">
        <f t="shared" si="17"/>
        <v>0.00243506493506494</v>
      </c>
      <c r="Y54" s="23">
        <f t="shared" si="18"/>
        <v>0.00132751754219609</v>
      </c>
      <c r="Z54">
        <f>SUMIF('库存（子SKU）'!$C:$C,$A54,'库存（子SKU）'!AB:AB)</f>
        <v>0.5</v>
      </c>
      <c r="AA54">
        <f>SUMIF('库存（子SKU）'!$C:$C,$A54,'库存（子SKU）'!AC:AC)</f>
        <v>0</v>
      </c>
      <c r="AB54">
        <f>SUMIF('库存（子SKU）'!$C:$C,$A54,'库存（子SKU）'!AD:AD)</f>
        <v>0.89</v>
      </c>
      <c r="AC54">
        <f>SUMIF('库存（子SKU）'!$C:$C,$A54,'库存（子SKU）'!AE:AE)</f>
        <v>2.58</v>
      </c>
      <c r="AD54" s="23" t="str">
        <f t="shared" si="2"/>
        <v>无销量广告费为0.5</v>
      </c>
      <c r="AE54" s="23" t="str">
        <f t="shared" si="3"/>
        <v/>
      </c>
      <c r="AF54" s="23" t="str">
        <f t="shared" si="4"/>
        <v>无销量广告费为0.89</v>
      </c>
      <c r="AG54" s="23">
        <f t="shared" si="5"/>
        <v>0.547770700636943</v>
      </c>
      <c r="AH54">
        <f>SUMIF('库存（子SKU）'!$C:$C,$A54,'库存（子SKU）'!AJ:AJ)</f>
        <v>2</v>
      </c>
      <c r="AI54">
        <f>SUMIF('库存（子SKU）'!$C:$C,$A54,'库存（子SKU）'!AK:AK)</f>
        <v>2</v>
      </c>
      <c r="AJ54">
        <f>SUMIF('库存（子SKU）'!$C:$C,$A54,'库存（子SKU）'!AL:AL)</f>
        <v>3</v>
      </c>
      <c r="AK54">
        <f>SUMIF('库存（子SKU）'!$C:$C,$A54,'库存（子SKU）'!AM:AM)</f>
        <v>5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0.2</v>
      </c>
      <c r="AP54" s="8">
        <f t="shared" si="10"/>
        <v>0</v>
      </c>
      <c r="AQ54" s="8">
        <f t="shared" si="11"/>
        <v>0</v>
      </c>
      <c r="AR54" s="8">
        <f t="shared" si="12"/>
        <v>57</v>
      </c>
      <c r="AS54" t="str">
        <f t="shared" si="13"/>
        <v>库存为57</v>
      </c>
      <c r="AT54" s="25" t="str">
        <f>IFERROR(时间!$B$4+AS54,"上周无销量")</f>
        <v>上周无销量</v>
      </c>
    </row>
    <row r="55" spans="1:46">
      <c r="A55" t="s">
        <v>504</v>
      </c>
      <c r="B55" s="6">
        <f>SUMIF('库存（子SKU）'!$C:$C,$A55,'库存（子SKU）'!D:D)</f>
        <v>1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>
        <f>IFERROR(VLOOKUP(A55,'[3]父sku-单价'!$A:$B,2,0),"")</f>
        <v>5.59</v>
      </c>
      <c r="G55">
        <f>SUMIF('库存（子SKU）'!$C:$C,$A55,'库存（子SKU）'!I:I)</f>
        <v>33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33</v>
      </c>
      <c r="L55">
        <f>SUMIF('库存（子SKU）'!$C:$C,$A55,'库存（子SKU）'!N:N)</f>
        <v>0</v>
      </c>
      <c r="M55">
        <f>SUMIF('库存（子SKU）'!$C:$C,$A55,'库存（子SKU）'!O:O)</f>
        <v>33</v>
      </c>
      <c r="N55">
        <f>SUMIF('库存（子SKU）'!$C:$C,$A55,'库存（子SKU）'!P:P)</f>
        <v>384</v>
      </c>
      <c r="O55">
        <f>SUMIF('库存（子SKU）'!$C:$C,$A55,'库存（子SKU）'!Q:Q)</f>
        <v>1182</v>
      </c>
      <c r="P55">
        <f>SUMIF('库存（子SKU）'!$C:$C,$A55,'库存（子SKU）'!R:R)</f>
        <v>1710</v>
      </c>
      <c r="Q55">
        <f>SUMIF('库存（子SKU）'!$C:$C,$A55,'库存（子SKU）'!S:S)</f>
        <v>753</v>
      </c>
      <c r="R55">
        <f>SUMIF('库存（子SKU）'!$C:$C,$A55,'库存（子SKU）'!T:T)</f>
        <v>1</v>
      </c>
      <c r="S55">
        <f>SUMIF('库存（子SKU）'!$C:$C,$A55,'库存（子SKU）'!U:U)</f>
        <v>0</v>
      </c>
      <c r="T55">
        <f>SUMIF('库存（子SKU）'!$C:$C,$A55,'库存（子SKU）'!V:V)</f>
        <v>3</v>
      </c>
      <c r="U55">
        <f>SUMIF('库存（子SKU）'!$C:$C,$A55,'库存（子SKU）'!W:W)</f>
        <v>1</v>
      </c>
      <c r="V55" s="23">
        <f t="shared" si="15"/>
        <v>0.00260416666666667</v>
      </c>
      <c r="W55" s="23">
        <f t="shared" si="16"/>
        <v>0</v>
      </c>
      <c r="X55" s="23">
        <f t="shared" si="17"/>
        <v>0.00175438596491228</v>
      </c>
      <c r="Y55" s="23">
        <f t="shared" si="18"/>
        <v>0.00132802124833997</v>
      </c>
      <c r="Z55">
        <f>SUMIF('库存（子SKU）'!$C:$C,$A55,'库存（子SKU）'!AB:AB)</f>
        <v>0.8</v>
      </c>
      <c r="AA55">
        <f>SUMIF('库存（子SKU）'!$C:$C,$A55,'库存（子SKU）'!AC:AC)</f>
        <v>0</v>
      </c>
      <c r="AB55">
        <f>SUMIF('库存（子SKU）'!$C:$C,$A55,'库存（子SKU）'!AD:AD)</f>
        <v>1.17</v>
      </c>
      <c r="AC55">
        <f>SUMIF('库存（子SKU）'!$C:$C,$A55,'库存（子SKU）'!AE:AE)</f>
        <v>0.52</v>
      </c>
      <c r="AD55" s="23">
        <f t="shared" si="2"/>
        <v>0.143112701252236</v>
      </c>
      <c r="AE55" s="23" t="str">
        <f t="shared" si="3"/>
        <v/>
      </c>
      <c r="AF55" s="23" t="str">
        <f t="shared" si="4"/>
        <v>无销量广告费为1.17</v>
      </c>
      <c r="AG55" s="23" t="str">
        <f t="shared" si="5"/>
        <v>无销量广告费为0.52</v>
      </c>
      <c r="AH55">
        <f>SUMIF('库存（子SKU）'!$C:$C,$A55,'库存（子SKU）'!AJ:AJ)</f>
        <v>1</v>
      </c>
      <c r="AI55">
        <f>SUMIF('库存（子SKU）'!$C:$C,$A55,'库存（子SKU）'!AK:AK)</f>
        <v>2</v>
      </c>
      <c r="AJ55">
        <f>SUMIF('库存（子SKU）'!$C:$C,$A55,'库存（子SKU）'!AL:AL)</f>
        <v>3</v>
      </c>
      <c r="AK55">
        <f>SUMIF('库存（子SKU）'!$C:$C,$A55,'库存（子SKU）'!AM:AM)</f>
        <v>1</v>
      </c>
      <c r="AL55" s="23">
        <f t="shared" si="6"/>
        <v>1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0.142857142857143</v>
      </c>
      <c r="AQ55" s="8">
        <f t="shared" si="11"/>
        <v>8.57142857142857</v>
      </c>
      <c r="AR55" s="8">
        <f t="shared" si="12"/>
        <v>24.4285714285714</v>
      </c>
      <c r="AS55">
        <f t="shared" si="13"/>
        <v>231</v>
      </c>
      <c r="AT55" s="25">
        <f>IFERROR(时间!$B$4+AS55,"上周无销量")</f>
        <v>43521</v>
      </c>
    </row>
    <row r="56" spans="1:46">
      <c r="A56" t="s">
        <v>505</v>
      </c>
      <c r="B56" s="6">
        <f>SUMIF('库存（子SKU）'!$C:$C,$A56,'库存（子SKU）'!D:D)</f>
        <v>0</v>
      </c>
      <c r="C56" s="6">
        <f>SUMIF('库存（子SKU）'!$C:$C,$A56,'库存（子SKU）'!E:E)</f>
        <v>3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>
        <f>IFERROR(VLOOKUP(A56,'[3]父sku-单价'!$A:$B,2,0),"")</f>
        <v>6.99</v>
      </c>
      <c r="G56">
        <f>SUMIF('库存（子SKU）'!$C:$C,$A56,'库存（子SKU）'!I:I)</f>
        <v>186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186</v>
      </c>
      <c r="L56">
        <f>SUMIF('库存（子SKU）'!$C:$C,$A56,'库存（子SKU）'!N:N)</f>
        <v>0</v>
      </c>
      <c r="M56">
        <f>SUMIF('库存（子SKU）'!$C:$C,$A56,'库存（子SKU）'!O:O)</f>
        <v>186</v>
      </c>
      <c r="N56">
        <f>SUMIF('库存（子SKU）'!$C:$C,$A56,'库存（子SKU）'!P:P)</f>
        <v>13996</v>
      </c>
      <c r="O56">
        <f>SUMIF('库存（子SKU）'!$C:$C,$A56,'库存（子SKU）'!Q:Q)</f>
        <v>20155</v>
      </c>
      <c r="P56">
        <f>SUMIF('库存（子SKU）'!$C:$C,$A56,'库存（子SKU）'!R:R)</f>
        <v>16680</v>
      </c>
      <c r="Q56">
        <f>SUMIF('库存（子SKU）'!$C:$C,$A56,'库存（子SKU）'!S:S)</f>
        <v>23016</v>
      </c>
      <c r="R56">
        <f>SUMIF('库存（子SKU）'!$C:$C,$A56,'库存（子SKU）'!T:T)</f>
        <v>39</v>
      </c>
      <c r="S56">
        <f>SUMIF('库存（子SKU）'!$C:$C,$A56,'库存（子SKU）'!U:U)</f>
        <v>42</v>
      </c>
      <c r="T56">
        <f>SUMIF('库存（子SKU）'!$C:$C,$A56,'库存（子SKU）'!V:V)</f>
        <v>41</v>
      </c>
      <c r="U56">
        <f>SUMIF('库存（子SKU）'!$C:$C,$A56,'库存（子SKU）'!W:W)</f>
        <v>34</v>
      </c>
      <c r="V56" s="23">
        <f t="shared" si="15"/>
        <v>0.00278651043155187</v>
      </c>
      <c r="W56" s="23">
        <f t="shared" si="16"/>
        <v>0.00208385016125031</v>
      </c>
      <c r="X56" s="23">
        <f t="shared" si="17"/>
        <v>0.00245803357314149</v>
      </c>
      <c r="Y56" s="23">
        <f t="shared" si="18"/>
        <v>0.00147723322905805</v>
      </c>
      <c r="Z56">
        <f>SUMIF('库存（子SKU）'!$C:$C,$A56,'库存（子SKU）'!AB:AB)</f>
        <v>16.18</v>
      </c>
      <c r="AA56">
        <f>SUMIF('库存（子SKU）'!$C:$C,$A56,'库存（子SKU）'!AC:AC)</f>
        <v>15.75</v>
      </c>
      <c r="AB56">
        <f>SUMIF('库存（子SKU）'!$C:$C,$A56,'库存（子SKU）'!AD:AD)</f>
        <v>17.85</v>
      </c>
      <c r="AC56">
        <f>SUMIF('库存（子SKU）'!$C:$C,$A56,'库存（子SKU）'!AE:AE)</f>
        <v>15.61</v>
      </c>
      <c r="AD56" s="23" t="str">
        <f t="shared" si="2"/>
        <v>无销量广告费为16.18</v>
      </c>
      <c r="AE56" s="23">
        <f t="shared" si="3"/>
        <v>0.751072961373391</v>
      </c>
      <c r="AF56" s="23" t="str">
        <f t="shared" si="4"/>
        <v>无销量广告费为17.85</v>
      </c>
      <c r="AG56" s="23" t="str">
        <f t="shared" si="5"/>
        <v>无销量广告费为15.61</v>
      </c>
      <c r="AH56">
        <f>SUMIF('库存（子SKU）'!$C:$C,$A56,'库存（子SKU）'!AJ:AJ)</f>
        <v>18</v>
      </c>
      <c r="AI56">
        <f>SUMIF('库存（子SKU）'!$C:$C,$A56,'库存（子SKU）'!AK:AK)</f>
        <v>31</v>
      </c>
      <c r="AJ56">
        <f>SUMIF('库存（子SKU）'!$C:$C,$A56,'库存（子SKU）'!AL:AL)</f>
        <v>15</v>
      </c>
      <c r="AK56">
        <f>SUMIF('库存（子SKU）'!$C:$C,$A56,'库存（子SKU）'!AM:AM)</f>
        <v>15</v>
      </c>
      <c r="AL56" s="23">
        <f t="shared" si="6"/>
        <v>0</v>
      </c>
      <c r="AM56" s="23">
        <f t="shared" si="7"/>
        <v>0.0967741935483871</v>
      </c>
      <c r="AN56" s="23">
        <f t="shared" si="8"/>
        <v>0</v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186</v>
      </c>
      <c r="AS56" t="str">
        <f t="shared" si="13"/>
        <v>库存为186</v>
      </c>
      <c r="AT56" s="25" t="str">
        <f>IFERROR(时间!$B$4+AS56,"上周无销量")</f>
        <v>上周无销量</v>
      </c>
    </row>
    <row r="57" spans="1:46">
      <c r="A57" t="s">
        <v>506</v>
      </c>
      <c r="B57" s="6">
        <f>SUMIF('库存（子SKU）'!$C:$C,$A57,'库存（子SKU）'!D:D)</f>
        <v>2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1</v>
      </c>
      <c r="F57" s="7">
        <f>IFERROR(VLOOKUP(A57,'[3]父sku-单价'!$A:$B,2,0),"")</f>
        <v>18.99</v>
      </c>
      <c r="G57">
        <f>SUMIF('库存（子SKU）'!$C:$C,$A57,'库存（子SKU）'!I:I)</f>
        <v>22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22</v>
      </c>
      <c r="L57">
        <f>SUMIF('库存（子SKU）'!$C:$C,$A57,'库存（子SKU）'!N:N)</f>
        <v>0</v>
      </c>
      <c r="M57">
        <f>SUMIF('库存（子SKU）'!$C:$C,$A57,'库存（子SKU）'!O:O)</f>
        <v>18</v>
      </c>
      <c r="N57">
        <f>SUMIF('库存（子SKU）'!$C:$C,$A57,'库存（子SKU）'!P:P)</f>
        <v>1298</v>
      </c>
      <c r="O57">
        <f>SUMIF('库存（子SKU）'!$C:$C,$A57,'库存（子SKU）'!Q:Q)</f>
        <v>2646</v>
      </c>
      <c r="P57">
        <f>SUMIF('库存（子SKU）'!$C:$C,$A57,'库存（子SKU）'!R:R)</f>
        <v>1450</v>
      </c>
      <c r="Q57">
        <f>SUMIF('库存（子SKU）'!$C:$C,$A57,'库存（子SKU）'!S:S)</f>
        <v>3295</v>
      </c>
      <c r="R57">
        <f>SUMIF('库存（子SKU）'!$C:$C,$A57,'库存（子SKU）'!T:T)</f>
        <v>3</v>
      </c>
      <c r="S57">
        <f>SUMIF('库存（子SKU）'!$C:$C,$A57,'库存（子SKU）'!U:U)</f>
        <v>5</v>
      </c>
      <c r="T57">
        <f>SUMIF('库存（子SKU）'!$C:$C,$A57,'库存（子SKU）'!V:V)</f>
        <v>3</v>
      </c>
      <c r="U57">
        <f>SUMIF('库存（子SKU）'!$C:$C,$A57,'库存（子SKU）'!W:W)</f>
        <v>12</v>
      </c>
      <c r="V57" s="23">
        <f t="shared" si="15"/>
        <v>0.00231124807395994</v>
      </c>
      <c r="W57" s="23">
        <f t="shared" si="16"/>
        <v>0.0018896447467876</v>
      </c>
      <c r="X57" s="23">
        <f t="shared" si="17"/>
        <v>0.00206896551724138</v>
      </c>
      <c r="Y57" s="23">
        <f t="shared" si="18"/>
        <v>0.00364188163884674</v>
      </c>
      <c r="Z57">
        <f>SUMIF('库存（子SKU）'!$C:$C,$A57,'库存（子SKU）'!AB:AB)</f>
        <v>1.25</v>
      </c>
      <c r="AA57">
        <f>SUMIF('库存（子SKU）'!$C:$C,$A57,'库存（子SKU）'!AC:AC)</f>
        <v>1.96</v>
      </c>
      <c r="AB57">
        <f>SUMIF('库存（子SKU）'!$C:$C,$A57,'库存（子SKU）'!AD:AD)</f>
        <v>1.71</v>
      </c>
      <c r="AC57">
        <f>SUMIF('库存（子SKU）'!$C:$C,$A57,'库存（子SKU）'!AE:AE)</f>
        <v>4.42</v>
      </c>
      <c r="AD57" s="23">
        <f t="shared" si="2"/>
        <v>0.0329120589784097</v>
      </c>
      <c r="AE57" s="23" t="str">
        <f t="shared" si="3"/>
        <v>无销量广告费为1.96</v>
      </c>
      <c r="AF57" s="23" t="str">
        <f t="shared" si="4"/>
        <v>无销量广告费为1.71</v>
      </c>
      <c r="AG57" s="23">
        <f t="shared" si="5"/>
        <v>0.232754081095313</v>
      </c>
      <c r="AH57">
        <f>SUMIF('库存（子SKU）'!$C:$C,$A57,'库存（子SKU）'!AJ:AJ)</f>
        <v>7</v>
      </c>
      <c r="AI57">
        <f>SUMIF('库存（子SKU）'!$C:$C,$A57,'库存（子SKU）'!AK:AK)</f>
        <v>11</v>
      </c>
      <c r="AJ57">
        <f>SUMIF('库存（子SKU）'!$C:$C,$A57,'库存（子SKU）'!AL:AL)</f>
        <v>9</v>
      </c>
      <c r="AK57">
        <f>SUMIF('库存（子SKU）'!$C:$C,$A57,'库存（子SKU）'!AM:AM)</f>
        <v>10</v>
      </c>
      <c r="AL57" s="23">
        <f t="shared" si="6"/>
        <v>0.285714285714286</v>
      </c>
      <c r="AM57" s="23">
        <f t="shared" si="7"/>
        <v>0</v>
      </c>
      <c r="AN57" s="23">
        <f t="shared" si="8"/>
        <v>0</v>
      </c>
      <c r="AO57" s="23">
        <f t="shared" si="9"/>
        <v>0.1</v>
      </c>
      <c r="AP57" s="8">
        <f t="shared" si="10"/>
        <v>0.285714285714286</v>
      </c>
      <c r="AQ57" s="8">
        <f t="shared" si="11"/>
        <v>17.1428571428571</v>
      </c>
      <c r="AR57" s="8">
        <f t="shared" si="12"/>
        <v>4.85714285714286</v>
      </c>
      <c r="AS57">
        <f t="shared" si="13"/>
        <v>77</v>
      </c>
      <c r="AT57" s="25">
        <f>IFERROR(时间!$B$4+AS57,"上周无销量")</f>
        <v>43367</v>
      </c>
    </row>
    <row r="58" spans="1:46">
      <c r="A58" t="s">
        <v>507</v>
      </c>
      <c r="B58" s="6">
        <f>SUMIF('库存（子SKU）'!$C:$C,$A58,'库存（子SKU）'!D:D)</f>
        <v>0</v>
      </c>
      <c r="C58" s="6">
        <f>SUMIF('库存（子SKU）'!$C:$C,$A58,'库存（子SKU）'!E:E)</f>
        <v>3</v>
      </c>
      <c r="D58" s="6">
        <f>SUMIF('库存（子SKU）'!$C:$C,$A58,'库存（子SKU）'!F:F)</f>
        <v>2</v>
      </c>
      <c r="E58" s="6">
        <f>SUMIF('库存（子SKU）'!$C:$C,$A58,'库存（子SKU）'!G:G)</f>
        <v>1</v>
      </c>
      <c r="F58" s="7">
        <f>IFERROR(VLOOKUP(A58,'[3]父sku-单价'!$A:$B,2,0),"")</f>
        <v>18.99</v>
      </c>
      <c r="G58">
        <f>SUMIF('库存（子SKU）'!$C:$C,$A58,'库存（子SKU）'!I:I)</f>
        <v>71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71</v>
      </c>
      <c r="L58">
        <f>SUMIF('库存（子SKU）'!$C:$C,$A58,'库存（子SKU）'!N:N)</f>
        <v>0</v>
      </c>
      <c r="M58">
        <f>SUMIF('库存（子SKU）'!$C:$C,$A58,'库存（子SKU）'!O:O)</f>
        <v>70</v>
      </c>
      <c r="N58">
        <f>SUMIF('库存（子SKU）'!$C:$C,$A58,'库存（子SKU）'!P:P)</f>
        <v>8971</v>
      </c>
      <c r="O58">
        <f>SUMIF('库存（子SKU）'!$C:$C,$A58,'库存（子SKU）'!Q:Q)</f>
        <v>15392</v>
      </c>
      <c r="P58">
        <f>SUMIF('库存（子SKU）'!$C:$C,$A58,'库存（子SKU）'!R:R)</f>
        <v>14085</v>
      </c>
      <c r="Q58">
        <f>SUMIF('库存（子SKU）'!$C:$C,$A58,'库存（子SKU）'!S:S)</f>
        <v>13077</v>
      </c>
      <c r="R58">
        <f>SUMIF('库存（子SKU）'!$C:$C,$A58,'库存（子SKU）'!T:T)</f>
        <v>37</v>
      </c>
      <c r="S58">
        <f>SUMIF('库存（子SKU）'!$C:$C,$A58,'库存（子SKU）'!U:U)</f>
        <v>59</v>
      </c>
      <c r="T58">
        <f>SUMIF('库存（子SKU）'!$C:$C,$A58,'库存（子SKU）'!V:V)</f>
        <v>41</v>
      </c>
      <c r="U58">
        <f>SUMIF('库存（子SKU）'!$C:$C,$A58,'库存（子SKU）'!W:W)</f>
        <v>28</v>
      </c>
      <c r="V58" s="23">
        <f t="shared" si="15"/>
        <v>0.00412440084717423</v>
      </c>
      <c r="W58" s="23">
        <f t="shared" si="16"/>
        <v>0.00383316008316008</v>
      </c>
      <c r="X58" s="23">
        <f t="shared" si="17"/>
        <v>0.00291089811856585</v>
      </c>
      <c r="Y58" s="23">
        <f t="shared" si="18"/>
        <v>0.00214116387550661</v>
      </c>
      <c r="Z58">
        <f>SUMIF('库存（子SKU）'!$C:$C,$A58,'库存（子SKU）'!AB:AB)</f>
        <v>13.55</v>
      </c>
      <c r="AA58">
        <f>SUMIF('库存（子SKU）'!$C:$C,$A58,'库存（子SKU）'!AC:AC)</f>
        <v>19.37</v>
      </c>
      <c r="AB58">
        <f>SUMIF('库存（子SKU）'!$C:$C,$A58,'库存（子SKU）'!AD:AD)</f>
        <v>17</v>
      </c>
      <c r="AC58">
        <f>SUMIF('库存（子SKU）'!$C:$C,$A58,'库存（子SKU）'!AE:AE)</f>
        <v>10.87</v>
      </c>
      <c r="AD58" s="23" t="str">
        <f t="shared" si="2"/>
        <v>无销量广告费为13.55</v>
      </c>
      <c r="AE58" s="23">
        <f t="shared" si="3"/>
        <v>0.340003510619624</v>
      </c>
      <c r="AF58" s="23">
        <f t="shared" si="4"/>
        <v>0.447604002106372</v>
      </c>
      <c r="AG58" s="23">
        <f t="shared" si="5"/>
        <v>0.572406529752501</v>
      </c>
      <c r="AH58">
        <f>SUMIF('库存（子SKU）'!$C:$C,$A58,'库存（子SKU）'!AJ:AJ)</f>
        <v>43</v>
      </c>
      <c r="AI58">
        <f>SUMIF('库存（子SKU）'!$C:$C,$A58,'库存（子SKU）'!AK:AK)</f>
        <v>51</v>
      </c>
      <c r="AJ58">
        <f>SUMIF('库存（子SKU）'!$C:$C,$A58,'库存（子SKU）'!AL:AL)</f>
        <v>55</v>
      </c>
      <c r="AK58">
        <f>SUMIF('库存（子SKU）'!$C:$C,$A58,'库存（子SKU）'!AM:AM)</f>
        <v>33</v>
      </c>
      <c r="AL58" s="23">
        <f t="shared" si="6"/>
        <v>0</v>
      </c>
      <c r="AM58" s="23">
        <f t="shared" si="7"/>
        <v>0.0588235294117647</v>
      </c>
      <c r="AN58" s="23">
        <f t="shared" si="8"/>
        <v>0.0363636363636364</v>
      </c>
      <c r="AO58" s="23">
        <f t="shared" si="9"/>
        <v>0.0303030303030303</v>
      </c>
      <c r="AP58" s="8">
        <f t="shared" si="10"/>
        <v>0</v>
      </c>
      <c r="AQ58" s="8">
        <f t="shared" si="11"/>
        <v>0</v>
      </c>
      <c r="AR58" s="8">
        <f t="shared" si="12"/>
        <v>71</v>
      </c>
      <c r="AS58" t="str">
        <f t="shared" si="13"/>
        <v>库存为71</v>
      </c>
      <c r="AT58" s="25" t="str">
        <f>IFERROR(时间!$B$4+AS58,"上周无销量")</f>
        <v>上周无销量</v>
      </c>
    </row>
    <row r="59" spans="1:46">
      <c r="A59" t="s">
        <v>508</v>
      </c>
      <c r="B59" s="6">
        <f>SUMIF('库存（子SKU）'!$C:$C,$A59,'库存（子SKU）'!D:D)</f>
        <v>4</v>
      </c>
      <c r="C59" s="6">
        <f>SUMIF('库存（子SKU）'!$C:$C,$A59,'库存（子SKU）'!E:E)</f>
        <v>4</v>
      </c>
      <c r="D59" s="6">
        <f>SUMIF('库存（子SKU）'!$C:$C,$A59,'库存（子SKU）'!F:F)</f>
        <v>6</v>
      </c>
      <c r="E59" s="6">
        <f>SUMIF('库存（子SKU）'!$C:$C,$A59,'库存（子SKU）'!G:G)</f>
        <v>3</v>
      </c>
      <c r="F59" s="7">
        <f>IFERROR(VLOOKUP(A59,'[3]父sku-单价'!$A:$B,2,0),"")</f>
        <v>17.2370588235294</v>
      </c>
      <c r="G59">
        <f>SUMIF('库存（子SKU）'!$C:$C,$A59,'库存（子SKU）'!I:I)</f>
        <v>286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0"/>
        <v>287</v>
      </c>
      <c r="L59">
        <f>SUMIF('库存（子SKU）'!$C:$C,$A59,'库存（子SKU）'!N:N)</f>
        <v>0</v>
      </c>
      <c r="M59">
        <f>SUMIF('库存（子SKU）'!$C:$C,$A59,'库存（子SKU）'!O:O)</f>
        <v>281</v>
      </c>
      <c r="N59">
        <f>SUMIF('库存（子SKU）'!$C:$C,$A59,'库存（子SKU）'!P:P)</f>
        <v>28937</v>
      </c>
      <c r="O59">
        <f>SUMIF('库存（子SKU）'!$C:$C,$A59,'库存（子SKU）'!Q:Q)</f>
        <v>40724</v>
      </c>
      <c r="P59">
        <f>SUMIF('库存（子SKU）'!$C:$C,$A59,'库存（子SKU）'!R:R)</f>
        <v>37945</v>
      </c>
      <c r="Q59">
        <f>SUMIF('库存（子SKU）'!$C:$C,$A59,'库存（子SKU）'!S:S)</f>
        <v>35499</v>
      </c>
      <c r="R59">
        <f>SUMIF('库存（子SKU）'!$C:$C,$A59,'库存（子SKU）'!T:T)</f>
        <v>110</v>
      </c>
      <c r="S59">
        <f>SUMIF('库存（子SKU）'!$C:$C,$A59,'库存（子SKU）'!U:U)</f>
        <v>90</v>
      </c>
      <c r="T59">
        <f>SUMIF('库存（子SKU）'!$C:$C,$A59,'库存（子SKU）'!V:V)</f>
        <v>97</v>
      </c>
      <c r="U59">
        <f>SUMIF('库存（子SKU）'!$C:$C,$A59,'库存（子SKU）'!W:W)</f>
        <v>110</v>
      </c>
      <c r="V59" s="23">
        <f t="shared" si="15"/>
        <v>0.00380136157860179</v>
      </c>
      <c r="W59" s="23">
        <f t="shared" si="16"/>
        <v>0.00220999901777821</v>
      </c>
      <c r="X59" s="23">
        <f t="shared" si="17"/>
        <v>0.00255633153248122</v>
      </c>
      <c r="Y59" s="23">
        <f t="shared" si="18"/>
        <v>0.00309867883602355</v>
      </c>
      <c r="Z59">
        <f>SUMIF('库存（子SKU）'!$C:$C,$A59,'库存（子SKU）'!AB:AB)</f>
        <v>38.24</v>
      </c>
      <c r="AA59">
        <f>SUMIF('库存（子SKU）'!$C:$C,$A59,'库存（子SKU）'!AC:AC)</f>
        <v>32.85</v>
      </c>
      <c r="AB59">
        <f>SUMIF('库存（子SKU）'!$C:$C,$A59,'库存（子SKU）'!AD:AD)</f>
        <v>36.03</v>
      </c>
      <c r="AC59">
        <f>SUMIF('库存（子SKU）'!$C:$C,$A59,'库存（子SKU）'!AE:AE)</f>
        <v>38.86</v>
      </c>
      <c r="AD59" s="23">
        <f t="shared" si="2"/>
        <v>0.554618980991708</v>
      </c>
      <c r="AE59" s="23">
        <f t="shared" si="3"/>
        <v>0.476444391359247</v>
      </c>
      <c r="AF59" s="23">
        <f t="shared" si="4"/>
        <v>0.348377299252636</v>
      </c>
      <c r="AG59" s="23">
        <f t="shared" si="5"/>
        <v>0.751481645792809</v>
      </c>
      <c r="AH59">
        <f>SUMIF('库存（子SKU）'!$C:$C,$A59,'库存（子SKU）'!AJ:AJ)</f>
        <v>111</v>
      </c>
      <c r="AI59">
        <f>SUMIF('库存（子SKU）'!$C:$C,$A59,'库存（子SKU）'!AK:AK)</f>
        <v>125</v>
      </c>
      <c r="AJ59">
        <f>SUMIF('库存（子SKU）'!$C:$C,$A59,'库存（子SKU）'!AL:AL)</f>
        <v>84</v>
      </c>
      <c r="AK59">
        <f>SUMIF('库存（子SKU）'!$C:$C,$A59,'库存（子SKU）'!AM:AM)</f>
        <v>84</v>
      </c>
      <c r="AL59" s="23">
        <f t="shared" si="6"/>
        <v>0.036036036036036</v>
      </c>
      <c r="AM59" s="23">
        <f t="shared" si="7"/>
        <v>0.032</v>
      </c>
      <c r="AN59" s="23">
        <f t="shared" si="8"/>
        <v>0.0714285714285714</v>
      </c>
      <c r="AO59" s="23">
        <f t="shared" si="9"/>
        <v>0.0357142857142857</v>
      </c>
      <c r="AP59" s="8">
        <f t="shared" si="10"/>
        <v>0.571428571428571</v>
      </c>
      <c r="AQ59" s="8">
        <f t="shared" si="11"/>
        <v>34.2857142857143</v>
      </c>
      <c r="AR59" s="8">
        <f t="shared" si="12"/>
        <v>252.714285714286</v>
      </c>
      <c r="AS59">
        <f t="shared" si="13"/>
        <v>502</v>
      </c>
      <c r="AT59" s="25">
        <f>IFERROR(时间!$B$4+AS59,"上周无销量")</f>
        <v>43792</v>
      </c>
    </row>
    <row r="60" spans="1:46">
      <c r="A60" t="s">
        <v>509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tr">
        <f>IFERROR(VLOOKUP(A60,'[3]父sku-单价'!$A:$B,2,0),"")</f>
        <v/>
      </c>
      <c r="G60">
        <f>SUMIF('库存（子SKU）'!$C:$C,$A60,'库存（子SKU）'!I:I)</f>
        <v>24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24</v>
      </c>
      <c r="L60">
        <f>SUMIF('库存（子SKU）'!$C:$C,$A60,'库存（子SKU）'!N:N)</f>
        <v>0</v>
      </c>
      <c r="M60">
        <f>SUMIF('库存（子SKU）'!$C:$C,$A60,'库存（子SKU）'!O:O)</f>
        <v>24</v>
      </c>
      <c r="N60">
        <f>SUMIF('库存（子SKU）'!$C:$C,$A60,'库存（子SKU）'!P:P)</f>
        <v>1342</v>
      </c>
      <c r="O60">
        <f>SUMIF('库存（子SKU）'!$C:$C,$A60,'库存（子SKU）'!Q:Q)</f>
        <v>3579</v>
      </c>
      <c r="P60">
        <f>SUMIF('库存（子SKU）'!$C:$C,$A60,'库存（子SKU）'!R:R)</f>
        <v>3072</v>
      </c>
      <c r="Q60">
        <f>SUMIF('库存（子SKU）'!$C:$C,$A60,'库存（子SKU）'!S:S)</f>
        <v>2018</v>
      </c>
      <c r="R60">
        <f>SUMIF('库存（子SKU）'!$C:$C,$A60,'库存（子SKU）'!T:T)</f>
        <v>0</v>
      </c>
      <c r="S60">
        <f>SUMIF('库存（子SKU）'!$C:$C,$A60,'库存（子SKU）'!U:U)</f>
        <v>5</v>
      </c>
      <c r="T60">
        <f>SUMIF('库存（子SKU）'!$C:$C,$A60,'库存（子SKU）'!V:V)</f>
        <v>7</v>
      </c>
      <c r="U60">
        <f>SUMIF('库存（子SKU）'!$C:$C,$A60,'库存（子SKU）'!W:W)</f>
        <v>0</v>
      </c>
      <c r="V60" s="23">
        <f t="shared" si="15"/>
        <v>0</v>
      </c>
      <c r="W60" s="23">
        <f t="shared" si="16"/>
        <v>0.00139703827884884</v>
      </c>
      <c r="X60" s="23">
        <f t="shared" si="17"/>
        <v>0.00227864583333333</v>
      </c>
      <c r="Y60" s="23">
        <f t="shared" si="18"/>
        <v>0</v>
      </c>
      <c r="Z60">
        <f>SUMIF('库存（子SKU）'!$C:$C,$A60,'库存（子SKU）'!AB:AB)</f>
        <v>0</v>
      </c>
      <c r="AA60">
        <f>SUMIF('库存（子SKU）'!$C:$C,$A60,'库存（子SKU）'!AC:AC)</f>
        <v>1.96</v>
      </c>
      <c r="AB60">
        <f>SUMIF('库存（子SKU）'!$C:$C,$A60,'库存（子SKU）'!AD:AD)</f>
        <v>2.97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>无销量广告费为1.96</v>
      </c>
      <c r="AF60" s="23" t="str">
        <f t="shared" si="4"/>
        <v>无销量广告费为2.97</v>
      </c>
      <c r="AG60" s="23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5</v>
      </c>
      <c r="AJ60">
        <f>SUMIF('库存（子SKU）'!$C:$C,$A60,'库存（子SKU）'!AL:AL)</f>
        <v>0</v>
      </c>
      <c r="AK60">
        <f>SUMIF('库存（子SKU）'!$C:$C,$A60,'库存（子SKU）'!AM:AM)</f>
        <v>4</v>
      </c>
      <c r="AL60" s="23">
        <f t="shared" si="6"/>
        <v>0</v>
      </c>
      <c r="AM60" s="23">
        <f t="shared" si="7"/>
        <v>0</v>
      </c>
      <c r="AN60" s="23" t="str">
        <f t="shared" si="8"/>
        <v/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24</v>
      </c>
      <c r="AS60" t="str">
        <f t="shared" si="13"/>
        <v>库存为24</v>
      </c>
      <c r="AT60" s="25" t="str">
        <f>IFERROR(时间!$B$4+AS60,"上周无销量")</f>
        <v>上周无销量</v>
      </c>
    </row>
    <row r="61" spans="1:46">
      <c r="A61" t="s">
        <v>510</v>
      </c>
      <c r="B61" s="6">
        <f>SUMIF('库存（子SKU）'!$C:$C,$A61,'库存（子SKU）'!D:D)</f>
        <v>3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>
        <f>IFERROR(VLOOKUP(A61,'[3]父sku-单价'!$A:$B,2,0),"")</f>
        <v>9.99</v>
      </c>
      <c r="G61">
        <f>SUMIF('库存（子SKU）'!$C:$C,$A61,'库存（子SKU）'!I:I)</f>
        <v>24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1</v>
      </c>
      <c r="K61">
        <f t="shared" si="0"/>
        <v>25</v>
      </c>
      <c r="L61">
        <f>SUMIF('库存（子SKU）'!$C:$C,$A61,'库存（子SKU）'!N:N)</f>
        <v>0</v>
      </c>
      <c r="M61">
        <f>SUMIF('库存（子SKU）'!$C:$C,$A61,'库存（子SKU）'!O:O)</f>
        <v>29</v>
      </c>
      <c r="N61">
        <f>SUMIF('库存（子SKU）'!$C:$C,$A61,'库存（子SKU）'!P:P)</f>
        <v>24</v>
      </c>
      <c r="O61">
        <f>SUMIF('库存（子SKU）'!$C:$C,$A61,'库存（子SKU）'!Q:Q)</f>
        <v>11</v>
      </c>
      <c r="P61">
        <f>SUMIF('库存（子SKU）'!$C:$C,$A61,'库存（子SKU）'!R:R)</f>
        <v>14</v>
      </c>
      <c r="Q61">
        <f>SUMIF('库存（子SKU）'!$C:$C,$A61,'库存（子SKU）'!S:S)</f>
        <v>13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>
        <f t="shared" si="15"/>
        <v>0</v>
      </c>
      <c r="W61" s="23">
        <f t="shared" si="16"/>
        <v>0</v>
      </c>
      <c r="X61" s="23">
        <f t="shared" si="17"/>
        <v>0</v>
      </c>
      <c r="Y61" s="23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>
        <f t="shared" si="2"/>
        <v>0</v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5</v>
      </c>
      <c r="AI61">
        <f>SUMIF('库存（子SKU）'!$C:$C,$A61,'库存（子SKU）'!AK:AK)</f>
        <v>5</v>
      </c>
      <c r="AJ61">
        <f>SUMIF('库存（子SKU）'!$C:$C,$A61,'库存（子SKU）'!AL:AL)</f>
        <v>1</v>
      </c>
      <c r="AK61">
        <f>SUMIF('库存（子SKU）'!$C:$C,$A61,'库存（子SKU）'!AM:AM)</f>
        <v>0</v>
      </c>
      <c r="AL61" s="23">
        <f t="shared" si="6"/>
        <v>0.6</v>
      </c>
      <c r="AM61" s="23">
        <f t="shared" si="7"/>
        <v>0</v>
      </c>
      <c r="AN61" s="23">
        <f t="shared" si="8"/>
        <v>0</v>
      </c>
      <c r="AO61" s="23" t="str">
        <f t="shared" si="9"/>
        <v/>
      </c>
      <c r="AP61" s="8">
        <f t="shared" si="10"/>
        <v>0.428571428571429</v>
      </c>
      <c r="AQ61" s="8">
        <f t="shared" si="11"/>
        <v>25.7142857142857</v>
      </c>
      <c r="AR61" s="8">
        <f t="shared" si="12"/>
        <v>-0.714285714285712</v>
      </c>
      <c r="AS61">
        <f t="shared" si="13"/>
        <v>58</v>
      </c>
      <c r="AT61" s="25">
        <f>IFERROR(时间!$B$4+AS61,"上周无销量")</f>
        <v>43348</v>
      </c>
    </row>
    <row r="62" spans="1:46">
      <c r="A62" t="s">
        <v>511</v>
      </c>
      <c r="B62" s="6">
        <f>SUMIF('库存（子SKU）'!$C:$C,$A62,'库存（子SKU）'!D:D)</f>
        <v>2</v>
      </c>
      <c r="C62" s="6">
        <f>SUMIF('库存（子SKU）'!$C:$C,$A62,'库存（子SKU）'!E:E)</f>
        <v>5</v>
      </c>
      <c r="D62" s="6">
        <f>SUMIF('库存（子SKU）'!$C:$C,$A62,'库存（子SKU）'!F:F)</f>
        <v>4</v>
      </c>
      <c r="E62" s="6">
        <f>SUMIF('库存（子SKU）'!$C:$C,$A62,'库存（子SKU）'!G:G)</f>
        <v>0</v>
      </c>
      <c r="F62" s="7">
        <f>IFERROR(VLOOKUP(A62,'[3]父sku-单价'!$A:$B,2,0),"")</f>
        <v>12.99</v>
      </c>
      <c r="G62">
        <f>SUMIF('库存（子SKU）'!$C:$C,$A62,'库存（子SKU）'!I:I)</f>
        <v>46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46</v>
      </c>
      <c r="L62">
        <f>SUMIF('库存（子SKU）'!$C:$C,$A62,'库存（子SKU）'!N:N)</f>
        <v>0</v>
      </c>
      <c r="M62">
        <f>SUMIF('库存（子SKU）'!$C:$C,$A62,'库存（子SKU）'!O:O)</f>
        <v>46</v>
      </c>
      <c r="N62">
        <f>SUMIF('库存（子SKU）'!$C:$C,$A62,'库存（子SKU）'!P:P)</f>
        <v>30</v>
      </c>
      <c r="O62">
        <f>SUMIF('库存（子SKU）'!$C:$C,$A62,'库存（子SKU）'!Q:Q)</f>
        <v>25</v>
      </c>
      <c r="P62">
        <f>SUMIF('库存（子SKU）'!$C:$C,$A62,'库存（子SKU）'!R:R)</f>
        <v>45</v>
      </c>
      <c r="Q62">
        <f>SUMIF('库存（子SKU）'!$C:$C,$A62,'库存（子SKU）'!S:S)</f>
        <v>46</v>
      </c>
      <c r="R62">
        <f>SUMIF('库存（子SKU）'!$C:$C,$A62,'库存（子SKU）'!T:T)</f>
        <v>1</v>
      </c>
      <c r="S62">
        <f>SUMIF('库存（子SKU）'!$C:$C,$A62,'库存（子SKU）'!U:U)</f>
        <v>0</v>
      </c>
      <c r="T62">
        <f>SUMIF('库存（子SKU）'!$C:$C,$A62,'库存（子SKU）'!V:V)</f>
        <v>2</v>
      </c>
      <c r="U62">
        <f>SUMIF('库存（子SKU）'!$C:$C,$A62,'库存（子SKU）'!W:W)</f>
        <v>1</v>
      </c>
      <c r="V62" s="23">
        <f t="shared" si="15"/>
        <v>0.0333333333333333</v>
      </c>
      <c r="W62" s="23">
        <f t="shared" si="16"/>
        <v>0</v>
      </c>
      <c r="X62" s="23">
        <f t="shared" si="17"/>
        <v>0.0444444444444444</v>
      </c>
      <c r="Y62" s="23">
        <f t="shared" si="18"/>
        <v>0.0217391304347826</v>
      </c>
      <c r="Z62">
        <f>SUMIF('库存（子SKU）'!$C:$C,$A62,'库存（子SKU）'!AB:AB)</f>
        <v>0.32</v>
      </c>
      <c r="AA62">
        <f>SUMIF('库存（子SKU）'!$C:$C,$A62,'库存（子SKU）'!AC:AC)</f>
        <v>0</v>
      </c>
      <c r="AB62">
        <f>SUMIF('库存（子SKU）'!$C:$C,$A62,'库存（子SKU）'!AD:AD)</f>
        <v>0.22</v>
      </c>
      <c r="AC62">
        <f>SUMIF('库存（子SKU）'!$C:$C,$A62,'库存（子SKU）'!AE:AE)</f>
        <v>0.25</v>
      </c>
      <c r="AD62" s="23">
        <f t="shared" si="2"/>
        <v>0.0123171670515781</v>
      </c>
      <c r="AE62" s="23">
        <f t="shared" si="3"/>
        <v>0</v>
      </c>
      <c r="AF62" s="23">
        <f t="shared" si="4"/>
        <v>0.00423402617397998</v>
      </c>
      <c r="AG62" s="23" t="str">
        <f t="shared" si="5"/>
        <v>无销量广告费为0.25</v>
      </c>
      <c r="AH62">
        <f>SUMIF('库存（子SKU）'!$C:$C,$A62,'库存（子SKU）'!AJ:AJ)</f>
        <v>6</v>
      </c>
      <c r="AI62">
        <f>SUMIF('库存（子SKU）'!$C:$C,$A62,'库存（子SKU）'!AK:AK)</f>
        <v>8</v>
      </c>
      <c r="AJ62">
        <f>SUMIF('库存（子SKU）'!$C:$C,$A62,'库存（子SKU）'!AL:AL)</f>
        <v>9</v>
      </c>
      <c r="AK62">
        <f>SUMIF('库存（子SKU）'!$C:$C,$A62,'库存（子SKU）'!AM:AM)</f>
        <v>3</v>
      </c>
      <c r="AL62" s="23">
        <f t="shared" si="6"/>
        <v>0.333333333333333</v>
      </c>
      <c r="AM62" s="23">
        <f t="shared" si="7"/>
        <v>0.625</v>
      </c>
      <c r="AN62" s="23">
        <f t="shared" si="8"/>
        <v>0.444444444444444</v>
      </c>
      <c r="AO62" s="23">
        <f t="shared" si="9"/>
        <v>0</v>
      </c>
      <c r="AP62" s="8">
        <f t="shared" si="10"/>
        <v>0.285714285714286</v>
      </c>
      <c r="AQ62" s="8">
        <f t="shared" si="11"/>
        <v>17.1428571428571</v>
      </c>
      <c r="AR62" s="8">
        <f t="shared" si="12"/>
        <v>28.8571428571429</v>
      </c>
      <c r="AS62">
        <f t="shared" si="13"/>
        <v>161</v>
      </c>
      <c r="AT62" s="25">
        <f>IFERROR(时间!$B$4+AS62,"上周无销量")</f>
        <v>43451</v>
      </c>
    </row>
    <row r="63" spans="1:46">
      <c r="A63" t="s">
        <v>512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tr">
        <f>IFERROR(VLOOKUP(A63,'[3]父sku-单价'!$A:$B,2,0),"")</f>
        <v/>
      </c>
      <c r="G63">
        <f>SUMIF('库存（子SKU）'!$C:$C,$A63,'库存（子SKU）'!I:I)</f>
        <v>56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56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52</v>
      </c>
      <c r="O63">
        <f>SUMIF('库存（子SKU）'!$C:$C,$A63,'库存（子SKU）'!Q:Q)</f>
        <v>42</v>
      </c>
      <c r="P63">
        <f>SUMIF('库存（子SKU）'!$C:$C,$A63,'库存（子SKU）'!R:R)</f>
        <v>84</v>
      </c>
      <c r="Q63">
        <f>SUMIF('库存（子SKU）'!$C:$C,$A63,'库存（子SKU）'!S:S)</f>
        <v>21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>
        <f t="shared" si="15"/>
        <v>0</v>
      </c>
      <c r="W63" s="23">
        <f t="shared" si="16"/>
        <v>0</v>
      </c>
      <c r="X63" s="23">
        <f t="shared" si="17"/>
        <v>0</v>
      </c>
      <c r="Y63" s="23">
        <f t="shared" si="18"/>
        <v>0</v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3</v>
      </c>
      <c r="AI63">
        <f>SUMIF('库存（子SKU）'!$C:$C,$A63,'库存（子SKU）'!AK:AK)</f>
        <v>9</v>
      </c>
      <c r="AJ63">
        <f>SUMIF('库存（子SKU）'!$C:$C,$A63,'库存（子SKU）'!AL:AL)</f>
        <v>9</v>
      </c>
      <c r="AK63">
        <f>SUMIF('库存（子SKU）'!$C:$C,$A63,'库存（子SKU）'!AM:AM)</f>
        <v>6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56</v>
      </c>
      <c r="AS63" t="str">
        <f t="shared" si="13"/>
        <v>库存为56</v>
      </c>
      <c r="AT63" s="25" t="str">
        <f>IFERROR(时间!$B$4+AS63,"上周无销量")</f>
        <v>上周无销量</v>
      </c>
    </row>
    <row r="64" spans="1:46">
      <c r="A64" t="s">
        <v>513</v>
      </c>
      <c r="B64" s="6">
        <f>SUMIF('库存（子SKU）'!$C:$C,$A64,'库存（子SKU）'!D:D)</f>
        <v>1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>
        <f>IFERROR(VLOOKUP(A64,'[3]父sku-单价'!$A:$B,2,0),"")</f>
        <v>15.99</v>
      </c>
      <c r="G64">
        <f>SUMIF('库存（子SKU）'!$C:$C,$A64,'库存（子SKU）'!I:I)</f>
        <v>92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92</v>
      </c>
      <c r="L64">
        <f>SUMIF('库存（子SKU）'!$C:$C,$A64,'库存（子SKU）'!N:N)</f>
        <v>0</v>
      </c>
      <c r="M64">
        <f>SUMIF('库存（子SKU）'!$C:$C,$A64,'库存（子SKU）'!O:O)</f>
        <v>92</v>
      </c>
      <c r="N64">
        <f>SUMIF('库存（子SKU）'!$C:$C,$A64,'库存（子SKU）'!P:P)</f>
        <v>1895</v>
      </c>
      <c r="O64">
        <f>SUMIF('库存（子SKU）'!$C:$C,$A64,'库存（子SKU）'!Q:Q)</f>
        <v>3183</v>
      </c>
      <c r="P64">
        <f>SUMIF('库存（子SKU）'!$C:$C,$A64,'库存（子SKU）'!R:R)</f>
        <v>3004</v>
      </c>
      <c r="Q64">
        <f>SUMIF('库存（子SKU）'!$C:$C,$A64,'库存（子SKU）'!S:S)</f>
        <v>3753</v>
      </c>
      <c r="R64">
        <f>SUMIF('库存（子SKU）'!$C:$C,$A64,'库存（子SKU）'!T:T)</f>
        <v>2</v>
      </c>
      <c r="S64">
        <f>SUMIF('库存（子SKU）'!$C:$C,$A64,'库存（子SKU）'!U:U)</f>
        <v>1</v>
      </c>
      <c r="T64">
        <f>SUMIF('库存（子SKU）'!$C:$C,$A64,'库存（子SKU）'!V:V)</f>
        <v>4</v>
      </c>
      <c r="U64">
        <f>SUMIF('库存（子SKU）'!$C:$C,$A64,'库存（子SKU）'!W:W)</f>
        <v>8</v>
      </c>
      <c r="V64" s="23">
        <f t="shared" si="15"/>
        <v>0.00105540897097625</v>
      </c>
      <c r="W64" s="23">
        <f t="shared" si="16"/>
        <v>0.000314169022934339</v>
      </c>
      <c r="X64" s="23">
        <f t="shared" si="17"/>
        <v>0.00133155792276964</v>
      </c>
      <c r="Y64" s="23">
        <f t="shared" si="18"/>
        <v>0.00213162803090861</v>
      </c>
      <c r="Z64">
        <f>SUMIF('库存（子SKU）'!$C:$C,$A64,'库存（子SKU）'!AB:AB)</f>
        <v>0.47</v>
      </c>
      <c r="AA64">
        <f>SUMIF('库存（子SKU）'!$C:$C,$A64,'库存（子SKU）'!AC:AC)</f>
        <v>0.48</v>
      </c>
      <c r="AB64">
        <f>SUMIF('库存（子SKU）'!$C:$C,$A64,'库存（子SKU）'!AD:AD)</f>
        <v>1.71</v>
      </c>
      <c r="AC64">
        <f>SUMIF('库存（子SKU）'!$C:$C,$A64,'库存（子SKU）'!AE:AE)</f>
        <v>3.17</v>
      </c>
      <c r="AD64" s="23">
        <f t="shared" si="2"/>
        <v>0.0293933708567855</v>
      </c>
      <c r="AE64" s="23" t="str">
        <f t="shared" si="3"/>
        <v>无销量广告费为0.48</v>
      </c>
      <c r="AF64" s="23" t="str">
        <f t="shared" si="4"/>
        <v>无销量广告费为1.71</v>
      </c>
      <c r="AG64" s="23" t="str">
        <f t="shared" si="5"/>
        <v>无销量广告费为3.17</v>
      </c>
      <c r="AH64">
        <f>SUMIF('库存（子SKU）'!$C:$C,$A64,'库存（子SKU）'!AJ:AJ)</f>
        <v>7</v>
      </c>
      <c r="AI64">
        <f>SUMIF('库存（子SKU）'!$C:$C,$A64,'库存（子SKU）'!AK:AK)</f>
        <v>22</v>
      </c>
      <c r="AJ64">
        <f>SUMIF('库存（子SKU）'!$C:$C,$A64,'库存（子SKU）'!AL:AL)</f>
        <v>6</v>
      </c>
      <c r="AK64">
        <f>SUMIF('库存（子SKU）'!$C:$C,$A64,'库存（子SKU）'!AM:AM)</f>
        <v>13</v>
      </c>
      <c r="AL64" s="23">
        <f t="shared" si="6"/>
        <v>0.142857142857143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0.142857142857143</v>
      </c>
      <c r="AQ64" s="8">
        <f t="shared" si="11"/>
        <v>8.57142857142857</v>
      </c>
      <c r="AR64" s="8">
        <f t="shared" si="12"/>
        <v>83.4285714285714</v>
      </c>
      <c r="AS64">
        <f t="shared" si="13"/>
        <v>644</v>
      </c>
      <c r="AT64" s="25">
        <f>IFERROR(时间!$B$4+AS64,"上周无销量")</f>
        <v>43934</v>
      </c>
    </row>
    <row r="65" spans="1:46">
      <c r="A65" t="s">
        <v>514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tr">
        <f>IFERROR(VLOOKUP(A65,'[3]父sku-单价'!$A:$B,2,0),"")</f>
        <v/>
      </c>
      <c r="G65">
        <f>SUMIF('库存（子SKU）'!$C:$C,$A65,'库存（子SKU）'!I:I)</f>
        <v>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</v>
      </c>
      <c r="L65">
        <f>SUMIF('库存（子SKU）'!$C:$C,$A65,'库存（子SKU）'!N:N)</f>
        <v>0</v>
      </c>
      <c r="M65">
        <f>SUMIF('库存（子SKU）'!$C:$C,$A65,'库存（子SKU）'!O:O)</f>
        <v>1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2</v>
      </c>
      <c r="AI65">
        <f>SUMIF('库存（子SKU）'!$C:$C,$A65,'库存（子SKU）'!AK:AK)</f>
        <v>3</v>
      </c>
      <c r="AJ65">
        <f>SUMIF('库存（子SKU）'!$C:$C,$A65,'库存（子SKU）'!AL:AL)</f>
        <v>0</v>
      </c>
      <c r="AK65">
        <f>SUMIF('库存（子SKU）'!$C:$C,$A65,'库存（子SKU）'!AM:AM)</f>
        <v>1</v>
      </c>
      <c r="AL65" s="23">
        <f t="shared" si="6"/>
        <v>0</v>
      </c>
      <c r="AM65" s="23">
        <f t="shared" si="7"/>
        <v>0</v>
      </c>
      <c r="AN65" s="23" t="str">
        <f t="shared" si="8"/>
        <v/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1</v>
      </c>
      <c r="AS65" t="str">
        <f t="shared" si="13"/>
        <v>库存为1</v>
      </c>
      <c r="AT65" s="25" t="str">
        <f>IFERROR(时间!$B$4+AS65,"上周无销量")</f>
        <v>上周无销量</v>
      </c>
    </row>
    <row r="66" spans="1:46">
      <c r="A66" t="s">
        <v>515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tr">
        <f>IFERROR(VLOOKUP(A66,'[3]父sku-单价'!$A:$B,2,0),"")</f>
        <v/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</v>
      </c>
      <c r="L66">
        <f>SUMIF('库存（子SKU）'!$C:$C,$A66,'库存（子SKU）'!N:N)</f>
        <v>0</v>
      </c>
      <c r="M66">
        <f>SUMIF('库存（子SKU）'!$C:$C,$A66,'库存（子SKU）'!O:O)</f>
        <v>2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5</v>
      </c>
      <c r="AI66">
        <f>SUMIF('库存（子SKU）'!$C:$C,$A66,'库存（子SKU）'!AK:AK)</f>
        <v>7</v>
      </c>
      <c r="AJ66">
        <f>SUMIF('库存（子SKU）'!$C:$C,$A66,'库存（子SKU）'!AL:AL)</f>
        <v>4</v>
      </c>
      <c r="AK66">
        <f>SUMIF('库存（子SKU）'!$C:$C,$A66,'库存（子SKU）'!AM:AM)</f>
        <v>2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3</v>
      </c>
      <c r="AS66" t="str">
        <f t="shared" si="13"/>
        <v>库存为3</v>
      </c>
      <c r="AT66" s="25" t="str">
        <f>IFERROR(时间!$B$4+AS66,"上周无销量")</f>
        <v>上周无销量</v>
      </c>
    </row>
    <row r="67" spans="1:46">
      <c r="A67" t="s">
        <v>516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tr">
        <f>IFERROR(VLOOKUP(A67,'[3]父sku-单价'!$A:$B,2,0),"")</f>
        <v/>
      </c>
      <c r="G67">
        <f>SUMIF('库存（子SKU）'!$C:$C,$A67,'库存（子SKU）'!I:I)</f>
        <v>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4</v>
      </c>
      <c r="AI67">
        <f>SUMIF('库存（子SKU）'!$C:$C,$A67,'库存（子SKU）'!AK:AK)</f>
        <v>1</v>
      </c>
      <c r="AJ67">
        <f>SUMIF('库存（子SKU）'!$C:$C,$A67,'库存（子SKU）'!AL:AL)</f>
        <v>2</v>
      </c>
      <c r="AK67">
        <f>SUMIF('库存（子SKU）'!$C:$C,$A67,'库存（子SKU）'!AM:AM)</f>
        <v>1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1</v>
      </c>
      <c r="AS67" t="str">
        <f t="shared" si="13"/>
        <v>库存为1</v>
      </c>
      <c r="AT67" s="25" t="str">
        <f>IFERROR(时间!$B$4+AS67,"上周无销量")</f>
        <v>上周无销量</v>
      </c>
    </row>
    <row r="68" spans="1:46">
      <c r="A68" t="s">
        <v>517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tr">
        <f>IFERROR(VLOOKUP(A68,'[3]父sku-单价'!$A:$B,2,0),"")</f>
        <v/>
      </c>
      <c r="G68">
        <f>SUMIF('库存（子SKU）'!$C:$C,$A68,'库存（子SKU）'!I:I)</f>
        <v>23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23</v>
      </c>
      <c r="L68">
        <f>SUMIF('库存（子SKU）'!$C:$C,$A68,'库存（子SKU）'!N:N)</f>
        <v>0</v>
      </c>
      <c r="M68">
        <f>SUMIF('库存（子SKU）'!$C:$C,$A68,'库存（子SKU）'!O:O)</f>
        <v>23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20</v>
      </c>
      <c r="AI68">
        <f>SUMIF('库存（子SKU）'!$C:$C,$A68,'库存（子SKU）'!AK:AK)</f>
        <v>6</v>
      </c>
      <c r="AJ68">
        <f>SUMIF('库存（子SKU）'!$C:$C,$A68,'库存（子SKU）'!AL:AL)</f>
        <v>7</v>
      </c>
      <c r="AK68">
        <f>SUMIF('库存（子SKU）'!$C:$C,$A68,'库存（子SKU）'!AM:AM)</f>
        <v>8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23</v>
      </c>
      <c r="AS68" t="str">
        <f t="shared" si="13"/>
        <v>库存为23</v>
      </c>
      <c r="AT68" s="25" t="str">
        <f>IFERROR(时间!$B$4+AS68,"上周无销量")</f>
        <v>上周无销量</v>
      </c>
    </row>
    <row r="69" spans="1:46">
      <c r="A69" t="s">
        <v>518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tr">
        <f>IFERROR(VLOOKUP(A69,'[3]父sku-单价'!$A:$B,2,0),"")</f>
        <v/>
      </c>
      <c r="G69">
        <f>SUMIF('库存（子SKU）'!$C:$C,$A69,'库存（子SKU）'!I:I)</f>
        <v>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7" si="19">SUM(G69:J69)</f>
        <v>5</v>
      </c>
      <c r="L69">
        <f>SUMIF('库存（子SKU）'!$C:$C,$A69,'库存（子SKU）'!N:N)</f>
        <v>0</v>
      </c>
      <c r="M69">
        <f>SUMIF('库存（子SKU）'!$C:$C,$A69,'库存（子SKU）'!O:O)</f>
        <v>5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77" si="20">IF(AND(Z69&gt;0,B69=0),"无销量广告费为"&amp;Z69,IFERROR(Z69/(B69*$F69),""))</f>
        <v/>
      </c>
      <c r="AE69" s="23" t="str">
        <f t="shared" ref="AE69:AE77" si="21">IF(AND(AA69&gt;0,C69=0),"无销量广告费为"&amp;AA69,IFERROR(AA69/(C69*$F69),""))</f>
        <v/>
      </c>
      <c r="AF69" s="23" t="str">
        <f t="shared" ref="AF69:AF77" si="22">IF(AND(AB69&gt;0,D69=0),"无销量广告费为"&amp;AB69,IFERROR(AB69/(D69*$F69),""))</f>
        <v/>
      </c>
      <c r="AG69" s="23" t="str">
        <f t="shared" ref="AG69:AG77" si="23">IF(AND(AC69&gt;0,E69=0),"无销量广告费为"&amp;AC69,IFERROR(AC69/(E69*$F69),""))</f>
        <v/>
      </c>
      <c r="AH69">
        <f>SUMIF('库存（子SKU）'!$C:$C,$A69,'库存（子SKU）'!AJ:AJ)</f>
        <v>8</v>
      </c>
      <c r="AI69">
        <f>SUMIF('库存（子SKU）'!$C:$C,$A69,'库存（子SKU）'!AK:AK)</f>
        <v>6</v>
      </c>
      <c r="AJ69">
        <f>SUMIF('库存（子SKU）'!$C:$C,$A69,'库存（子SKU）'!AL:AL)</f>
        <v>2</v>
      </c>
      <c r="AK69">
        <f>SUMIF('库存（子SKU）'!$C:$C,$A69,'库存（子SKU）'!AM:AM)</f>
        <v>5</v>
      </c>
      <c r="AL69" s="23">
        <f t="shared" ref="AL69:AL77" si="24">IFERROR(B69/AH69,"")</f>
        <v>0</v>
      </c>
      <c r="AM69" s="23">
        <f t="shared" ref="AM69:AM77" si="25">IFERROR(C69/AI69,"")</f>
        <v>0</v>
      </c>
      <c r="AN69" s="23">
        <f t="shared" ref="AN69:AN77" si="26">IFERROR(D69/AJ69,"")</f>
        <v>0</v>
      </c>
      <c r="AO69" s="23">
        <f t="shared" ref="AO69:AO77" si="27">IFERROR(E69/AK69,"")</f>
        <v>0</v>
      </c>
      <c r="AP69" s="8">
        <f t="shared" ref="AP69:AP77" si="28">B69/7</f>
        <v>0</v>
      </c>
      <c r="AQ69" s="8">
        <f t="shared" ref="AQ69:AQ77" si="29">AP69*60</f>
        <v>0</v>
      </c>
      <c r="AR69" s="8">
        <f t="shared" ref="AR69:AR77" si="30">K69-AQ69</f>
        <v>5</v>
      </c>
      <c r="AS69" t="str">
        <f t="shared" ref="AS69:AS77" si="31">IF(AP69=0,"库存为"&amp;K69,INT(K69/AP69))</f>
        <v>库存为5</v>
      </c>
      <c r="AT69" s="25" t="str">
        <f>IFERROR(时间!$B$4+AS69,"上周无销量")</f>
        <v>上周无销量</v>
      </c>
    </row>
    <row r="70" spans="1:46">
      <c r="A70" t="s">
        <v>519</v>
      </c>
      <c r="B70" s="6">
        <f>SUMIF('库存（子SKU）'!$C:$C,$A70,'库存（子SKU）'!D:D)</f>
        <v>1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>
        <f>IFERROR(VLOOKUP(A70,'[3]父sku-单价'!$A:$B,2,0),"")</f>
        <v>15.99</v>
      </c>
      <c r="G70">
        <f>SUMIF('库存（子SKU）'!$C:$C,$A70,'库存（子SKU）'!I:I)</f>
        <v>8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8</v>
      </c>
      <c r="L70">
        <f>SUMIF('库存（子SKU）'!$C:$C,$A70,'库存（子SKU）'!N:N)</f>
        <v>0</v>
      </c>
      <c r="M70">
        <f>SUMIF('库存（子SKU）'!$C:$C,$A70,'库存（子SKU）'!O:O)</f>
        <v>8</v>
      </c>
      <c r="N70">
        <f>SUMIF('库存（子SKU）'!$C:$C,$A70,'库存（子SKU）'!P:P)</f>
        <v>436</v>
      </c>
      <c r="O70">
        <f>SUMIF('库存（子SKU）'!$C:$C,$A70,'库存（子SKU）'!Q:Q)</f>
        <v>257</v>
      </c>
      <c r="P70">
        <f>SUMIF('库存（子SKU）'!$C:$C,$A70,'库存（子SKU）'!R:R)</f>
        <v>260</v>
      </c>
      <c r="Q70">
        <f>SUMIF('库存（子SKU）'!$C:$C,$A70,'库存（子SKU）'!S:S)</f>
        <v>350</v>
      </c>
      <c r="R70">
        <f>SUMIF('库存（子SKU）'!$C:$C,$A70,'库存（子SKU）'!T:T)</f>
        <v>2</v>
      </c>
      <c r="S70">
        <f>SUMIF('库存（子SKU）'!$C:$C,$A70,'库存（子SKU）'!U:U)</f>
        <v>0</v>
      </c>
      <c r="T70">
        <f>SUMIF('库存（子SKU）'!$C:$C,$A70,'库存（子SKU）'!V:V)</f>
        <v>2</v>
      </c>
      <c r="U70">
        <f>SUMIF('库存（子SKU）'!$C:$C,$A70,'库存（子SKU）'!W:W)</f>
        <v>1</v>
      </c>
      <c r="V70" s="23">
        <f t="shared" ref="V70:V77" si="32">IFERROR(R70/N70,"")</f>
        <v>0.00458715596330275</v>
      </c>
      <c r="W70" s="23">
        <f t="shared" ref="W70:W77" si="33">IFERROR(S70/O70,"")</f>
        <v>0</v>
      </c>
      <c r="X70" s="23">
        <f t="shared" ref="X70:X77" si="34">IFERROR(T70/P70,"")</f>
        <v>0.00769230769230769</v>
      </c>
      <c r="Y70" s="23">
        <f t="shared" ref="Y70:Y77" si="35">IFERROR(U70/Q70,"")</f>
        <v>0.00285714285714286</v>
      </c>
      <c r="Z70">
        <f>SUMIF('库存（子SKU）'!$C:$C,$A70,'库存（子SKU）'!AB:AB)</f>
        <v>1.33</v>
      </c>
      <c r="AA70">
        <f>SUMIF('库存（子SKU）'!$C:$C,$A70,'库存（子SKU）'!AC:AC)</f>
        <v>0</v>
      </c>
      <c r="AB70">
        <f>SUMIF('库存（子SKU）'!$C:$C,$A70,'库存（子SKU）'!AD:AD)</f>
        <v>1.89</v>
      </c>
      <c r="AC70">
        <f>SUMIF('库存（子SKU）'!$C:$C,$A70,'库存（子SKU）'!AE:AE)</f>
        <v>0.77</v>
      </c>
      <c r="AD70" s="23">
        <f t="shared" si="20"/>
        <v>0.08317698561601</v>
      </c>
      <c r="AE70" s="23" t="str">
        <f t="shared" si="21"/>
        <v/>
      </c>
      <c r="AF70" s="23" t="str">
        <f t="shared" si="22"/>
        <v>无销量广告费为1.89</v>
      </c>
      <c r="AG70" s="23" t="str">
        <f t="shared" si="23"/>
        <v>无销量广告费为0.77</v>
      </c>
      <c r="AH70">
        <f>SUMIF('库存（子SKU）'!$C:$C,$A70,'库存（子SKU）'!AJ:AJ)</f>
        <v>7</v>
      </c>
      <c r="AI70">
        <f>SUMIF('库存（子SKU）'!$C:$C,$A70,'库存（子SKU）'!AK:AK)</f>
        <v>4</v>
      </c>
      <c r="AJ70">
        <f>SUMIF('库存（子SKU）'!$C:$C,$A70,'库存（子SKU）'!AL:AL)</f>
        <v>4</v>
      </c>
      <c r="AK70">
        <f>SUMIF('库存（子SKU）'!$C:$C,$A70,'库存（子SKU）'!AM:AM)</f>
        <v>3</v>
      </c>
      <c r="AL70" s="23">
        <f t="shared" si="24"/>
        <v>0.142857142857143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0.142857142857143</v>
      </c>
      <c r="AQ70" s="8">
        <f t="shared" si="29"/>
        <v>8.57142857142857</v>
      </c>
      <c r="AR70" s="8">
        <f t="shared" si="30"/>
        <v>-0.571428571428571</v>
      </c>
      <c r="AS70">
        <f t="shared" si="31"/>
        <v>56</v>
      </c>
      <c r="AT70" s="25">
        <f>IFERROR(时间!$B$4+AS70,"上周无销量")</f>
        <v>43346</v>
      </c>
    </row>
    <row r="71" spans="1:46">
      <c r="A71" t="s">
        <v>520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tr">
        <f>IFERROR(VLOOKUP(A71,'[3]父sku-单价'!$A:$B,2,0),"")</f>
        <v/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1</v>
      </c>
      <c r="AI71">
        <f>SUMIF('库存（子SKU）'!$C:$C,$A71,'库存（子SKU）'!AK:AK)</f>
        <v>1</v>
      </c>
      <c r="AJ71">
        <f>SUMIF('库存（子SKU）'!$C:$C,$A71,'库存（子SKU）'!AL:AL)</f>
        <v>1</v>
      </c>
      <c r="AK71">
        <f>SUMIF('库存（子SKU）'!$C:$C,$A71,'库存（子SKU）'!AM:AM)</f>
        <v>1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1</v>
      </c>
      <c r="AS71" t="str">
        <f t="shared" si="31"/>
        <v>库存为1</v>
      </c>
      <c r="AT71" s="25" t="str">
        <f>IFERROR(时间!$B$4+AS71,"上周无销量")</f>
        <v>上周无销量</v>
      </c>
    </row>
    <row r="72" spans="1:46">
      <c r="A72" t="s">
        <v>521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tr">
        <f>IFERROR(VLOOKUP(A72,'[3]父sku-单价'!$A:$B,2,0),"")</f>
        <v/>
      </c>
      <c r="G72">
        <f>SUMIF('库存（子SKU）'!$C:$C,$A72,'库存（子SKU）'!I:I)</f>
        <v>20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20</v>
      </c>
      <c r="L72">
        <f>SUMIF('库存（子SKU）'!$C:$C,$A72,'库存（子SKU）'!N:N)</f>
        <v>0</v>
      </c>
      <c r="M72">
        <f>SUMIF('库存（子SKU）'!$C:$C,$A72,'库存（子SKU）'!O:O)</f>
        <v>20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3</v>
      </c>
      <c r="AI72">
        <f>SUMIF('库存（子SKU）'!$C:$C,$A72,'库存（子SKU）'!AK:AK)</f>
        <v>2</v>
      </c>
      <c r="AJ72">
        <f>SUMIF('库存（子SKU）'!$C:$C,$A72,'库存（子SKU）'!AL:AL)</f>
        <v>4</v>
      </c>
      <c r="AK72">
        <f>SUMIF('库存（子SKU）'!$C:$C,$A72,'库存（子SKU）'!AM:AM)</f>
        <v>2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20</v>
      </c>
      <c r="AS72" t="str">
        <f t="shared" si="31"/>
        <v>库存为20</v>
      </c>
      <c r="AT72" s="25" t="str">
        <f>IFERROR(时间!$B$4+AS72,"上周无销量")</f>
        <v>上周无销量</v>
      </c>
    </row>
    <row r="73" spans="1:46">
      <c r="A73" t="s">
        <v>522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tr">
        <f>IFERROR(VLOOKUP(A73,'[3]父sku-单价'!$A:$B,2,0),"")</f>
        <v/>
      </c>
      <c r="G73">
        <f>SUMIF('库存（子SKU）'!$C:$C,$A73,'库存（子SKU）'!I:I)</f>
        <v>2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</v>
      </c>
      <c r="L73">
        <f>SUMIF('库存（子SKU）'!$C:$C,$A73,'库存（子SKU）'!N:N)</f>
        <v>0</v>
      </c>
      <c r="M73">
        <f>SUMIF('库存（子SKU）'!$C:$C,$A73,'库存（子SKU）'!O:O)</f>
        <v>2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2</v>
      </c>
      <c r="AI73">
        <f>SUMIF('库存（子SKU）'!$C:$C,$A73,'库存（子SKU）'!AK:AK)</f>
        <v>0</v>
      </c>
      <c r="AJ73">
        <f>SUMIF('库存（子SKU）'!$C:$C,$A73,'库存（子SKU）'!AL:AL)</f>
        <v>2</v>
      </c>
      <c r="AK73">
        <f>SUMIF('库存（子SKU）'!$C:$C,$A73,'库存（子SKU）'!AM:AM)</f>
        <v>0</v>
      </c>
      <c r="AL73" s="23">
        <f t="shared" si="24"/>
        <v>0</v>
      </c>
      <c r="AM73" s="23" t="str">
        <f t="shared" si="25"/>
        <v/>
      </c>
      <c r="AN73" s="23">
        <f t="shared" si="26"/>
        <v>0</v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2</v>
      </c>
      <c r="AS73" t="str">
        <f t="shared" si="31"/>
        <v>库存为2</v>
      </c>
      <c r="AT73" s="25" t="str">
        <f>IFERROR(时间!$B$4+AS73,"上周无销量")</f>
        <v>上周无销量</v>
      </c>
    </row>
    <row r="74" spans="1:46">
      <c r="A74" t="s">
        <v>523</v>
      </c>
      <c r="B74" s="6">
        <f>SUMIF('库存（子SKU）'!$C:$C,$A74,'库存（子SKU）'!D:D)</f>
        <v>1</v>
      </c>
      <c r="C74" s="6">
        <f>SUMIF('库存（子SKU）'!$C:$C,$A74,'库存（子SKU）'!E:E)</f>
        <v>1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>
        <f>IFERROR(VLOOKUP(A74,'[3]父sku-单价'!$A:$B,2,0),"")</f>
        <v>8.89</v>
      </c>
      <c r="G74">
        <f>SUMIF('库存（子SKU）'!$C:$C,$A74,'库存（子SKU）'!I:I)</f>
        <v>263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263</v>
      </c>
      <c r="L74">
        <f>SUMIF('库存（子SKU）'!$C:$C,$A74,'库存（子SKU）'!N:N)</f>
        <v>0</v>
      </c>
      <c r="M74">
        <f>SUMIF('库存（子SKU）'!$C:$C,$A74,'库存（子SKU）'!O:O)</f>
        <v>263</v>
      </c>
      <c r="N74">
        <f>SUMIF('库存（子SKU）'!$C:$C,$A74,'库存（子SKU）'!P:P)</f>
        <v>107</v>
      </c>
      <c r="O74">
        <f>SUMIF('库存（子SKU）'!$C:$C,$A74,'库存（子SKU）'!Q:Q)</f>
        <v>118</v>
      </c>
      <c r="P74">
        <f>SUMIF('库存（子SKU）'!$C:$C,$A74,'库存（子SKU）'!R:R)</f>
        <v>136</v>
      </c>
      <c r="Q74">
        <f>SUMIF('库存（子SKU）'!$C:$C,$A74,'库存（子SKU）'!S:S)</f>
        <v>103</v>
      </c>
      <c r="R74">
        <f>SUMIF('库存（子SKU）'!$C:$C,$A74,'库存（子SKU）'!T:T)</f>
        <v>1</v>
      </c>
      <c r="S74">
        <f>SUMIF('库存（子SKU）'!$C:$C,$A74,'库存（子SKU）'!U:U)</f>
        <v>0</v>
      </c>
      <c r="T74">
        <f>SUMIF('库存（子SKU）'!$C:$C,$A74,'库存（子SKU）'!V:V)</f>
        <v>1</v>
      </c>
      <c r="U74">
        <f>SUMIF('库存（子SKU）'!$C:$C,$A74,'库存（子SKU）'!W:W)</f>
        <v>0</v>
      </c>
      <c r="V74" s="23">
        <f t="shared" si="32"/>
        <v>0.00934579439252336</v>
      </c>
      <c r="W74" s="23">
        <f t="shared" si="33"/>
        <v>0</v>
      </c>
      <c r="X74" s="23">
        <f t="shared" si="34"/>
        <v>0.00735294117647059</v>
      </c>
      <c r="Y74" s="23">
        <f t="shared" si="35"/>
        <v>0</v>
      </c>
      <c r="Z74">
        <f>SUMIF('库存（子SKU）'!$C:$C,$A74,'库存（子SKU）'!AB:AB)</f>
        <v>0.21</v>
      </c>
      <c r="AA74">
        <f>SUMIF('库存（子SKU）'!$C:$C,$A74,'库存（子SKU）'!AC:AC)</f>
        <v>0</v>
      </c>
      <c r="AB74">
        <f>SUMIF('库存（子SKU）'!$C:$C,$A74,'库存（子SKU）'!AD:AD)</f>
        <v>0.16</v>
      </c>
      <c r="AC74">
        <f>SUMIF('库存（子SKU）'!$C:$C,$A74,'库存（子SKU）'!AE:AE)</f>
        <v>0</v>
      </c>
      <c r="AD74" s="23">
        <f t="shared" si="20"/>
        <v>0.0236220472440945</v>
      </c>
      <c r="AE74" s="23">
        <f t="shared" si="21"/>
        <v>0</v>
      </c>
      <c r="AF74" s="23" t="str">
        <f t="shared" si="22"/>
        <v>无销量广告费为0.16</v>
      </c>
      <c r="AG74" s="23" t="str">
        <f t="shared" si="23"/>
        <v/>
      </c>
      <c r="AH74">
        <f>SUMIF('库存（子SKU）'!$C:$C,$A74,'库存（子SKU）'!AJ:AJ)</f>
        <v>7</v>
      </c>
      <c r="AI74">
        <f>SUMIF('库存（子SKU）'!$C:$C,$A74,'库存（子SKU）'!AK:AK)</f>
        <v>15</v>
      </c>
      <c r="AJ74">
        <f>SUMIF('库存（子SKU）'!$C:$C,$A74,'库存（子SKU）'!AL:AL)</f>
        <v>15</v>
      </c>
      <c r="AK74">
        <f>SUMIF('库存（子SKU）'!$C:$C,$A74,'库存（子SKU）'!AM:AM)</f>
        <v>9</v>
      </c>
      <c r="AL74" s="23">
        <f t="shared" si="24"/>
        <v>0.142857142857143</v>
      </c>
      <c r="AM74" s="23">
        <f t="shared" si="25"/>
        <v>0.0666666666666667</v>
      </c>
      <c r="AN74" s="23">
        <f t="shared" si="26"/>
        <v>0</v>
      </c>
      <c r="AO74" s="23">
        <f t="shared" si="27"/>
        <v>0</v>
      </c>
      <c r="AP74" s="8">
        <f t="shared" si="28"/>
        <v>0.142857142857143</v>
      </c>
      <c r="AQ74" s="8">
        <f t="shared" si="29"/>
        <v>8.57142857142857</v>
      </c>
      <c r="AR74" s="8">
        <f t="shared" si="30"/>
        <v>254.428571428571</v>
      </c>
      <c r="AS74">
        <f t="shared" si="31"/>
        <v>1841</v>
      </c>
      <c r="AT74" s="25">
        <f>IFERROR(时间!$B$4+AS74,"上周无销量")</f>
        <v>45131</v>
      </c>
    </row>
    <row r="75" spans="1:46">
      <c r="A75" t="s">
        <v>524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1</v>
      </c>
      <c r="F75" s="7">
        <f>IFERROR(VLOOKUP(A75,'[3]父sku-单价'!$A:$B,2,0),"")</f>
        <v>8.79</v>
      </c>
      <c r="G75">
        <f>SUMIF('库存（子SKU）'!$C:$C,$A75,'库存（子SKU）'!I:I)</f>
        <v>102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102</v>
      </c>
      <c r="L75">
        <f>SUMIF('库存（子SKU）'!$C:$C,$A75,'库存（子SKU）'!N:N)</f>
        <v>0</v>
      </c>
      <c r="M75">
        <f>SUMIF('库存（子SKU）'!$C:$C,$A75,'库存（子SKU）'!O:O)</f>
        <v>101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>
        <f t="shared" si="23"/>
        <v>0</v>
      </c>
      <c r="AH75">
        <f>SUMIF('库存（子SKU）'!$C:$C,$A75,'库存（子SKU）'!AJ:AJ)</f>
        <v>1</v>
      </c>
      <c r="AI75">
        <f>SUMIF('库存（子SKU）'!$C:$C,$A75,'库存（子SKU）'!AK:AK)</f>
        <v>3</v>
      </c>
      <c r="AJ75">
        <f>SUMIF('库存（子SKU）'!$C:$C,$A75,'库存（子SKU）'!AL:AL)</f>
        <v>9</v>
      </c>
      <c r="AK75">
        <f>SUMIF('库存（子SKU）'!$C:$C,$A75,'库存（子SKU）'!AM:AM)</f>
        <v>2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0.5</v>
      </c>
      <c r="AP75" s="8">
        <f t="shared" si="28"/>
        <v>0</v>
      </c>
      <c r="AQ75" s="8">
        <f t="shared" si="29"/>
        <v>0</v>
      </c>
      <c r="AR75" s="8">
        <f t="shared" si="30"/>
        <v>102</v>
      </c>
      <c r="AS75" t="str">
        <f t="shared" si="31"/>
        <v>库存为102</v>
      </c>
      <c r="AT75" s="25" t="str">
        <f>IFERROR(时间!$B$4+AS75,"上周无销量")</f>
        <v>上周无销量</v>
      </c>
    </row>
    <row r="76" spans="1:46">
      <c r="A76" t="s">
        <v>525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tr">
        <f>IFERROR(VLOOKUP(A76,'[3]父sku-单价'!$A:$B,2,0),"")</f>
        <v/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3</v>
      </c>
      <c r="AJ76">
        <f>SUMIF('库存（子SKU）'!$C:$C,$A76,'库存（子SKU）'!AL:AL)</f>
        <v>0</v>
      </c>
      <c r="AK76">
        <f>SUMIF('库存（子SKU）'!$C:$C,$A76,'库存（子SKU）'!AM:AM)</f>
        <v>1</v>
      </c>
      <c r="AL76" s="23">
        <f t="shared" si="24"/>
        <v>0</v>
      </c>
      <c r="AM76" s="23">
        <f t="shared" si="25"/>
        <v>0</v>
      </c>
      <c r="AN76" s="23" t="str">
        <f t="shared" si="26"/>
        <v/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 t="s">
        <v>526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tr">
        <f>IFERROR(VLOOKUP(A77,'[3]父sku-单价'!$A:$B,2,0),"")</f>
        <v/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</v>
      </c>
      <c r="L77">
        <f>SUMIF('库存（子SKU）'!$C:$C,$A77,'库存（子SKU）'!N:N)</f>
        <v>0</v>
      </c>
      <c r="M77">
        <f>SUMIF('库存（子SKU）'!$C:$C,$A77,'库存（子SKU）'!O:O)</f>
        <v>3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3</v>
      </c>
      <c r="AI77">
        <f>SUMIF('库存（子SKU）'!$C:$C,$A77,'库存（子SKU）'!AK:AK)</f>
        <v>1</v>
      </c>
      <c r="AJ77">
        <f>SUMIF('库存（子SKU）'!$C:$C,$A77,'库存（子SKU）'!AL:AL)</f>
        <v>0</v>
      </c>
      <c r="AK77">
        <f>SUMIF('库存（子SKU）'!$C:$C,$A77,'库存（子SKU）'!AM:AM)</f>
        <v>1</v>
      </c>
      <c r="AL77" s="23">
        <f t="shared" si="24"/>
        <v>0</v>
      </c>
      <c r="AM77" s="23">
        <f t="shared" si="25"/>
        <v>0</v>
      </c>
      <c r="AN77" s="23" t="str">
        <f t="shared" si="26"/>
        <v/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3</v>
      </c>
      <c r="AS77" t="str">
        <f t="shared" si="31"/>
        <v>库存为3</v>
      </c>
      <c r="AT77" s="25" t="str">
        <f>IFERROR(时间!$B$4+AS77,"上周无销量")</f>
        <v>上周无销量</v>
      </c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137" operator="lessThan">
      <formula>20</formula>
    </cfRule>
    <cfRule type="cellIs" dxfId="1" priority="1136" operator="greaterThan">
      <formula>120</formula>
    </cfRule>
    <cfRule type="containsText" dxfId="3" priority="1135" operator="between" text="库存">
      <formula>NOT(ISERROR(SEARCH("库存",AS2)))</formula>
    </cfRule>
  </conditionalFormatting>
  <conditionalFormatting sqref="AS6">
    <cfRule type="cellIs" dxfId="0" priority="216" operator="lessThan">
      <formula>20</formula>
    </cfRule>
    <cfRule type="cellIs" dxfId="1" priority="144" operator="greaterThan">
      <formula>120</formula>
    </cfRule>
    <cfRule type="containsText" dxfId="3" priority="72" operator="between" text="库存">
      <formula>NOT(ISERROR(SEARCH("库存",AS6)))</formula>
    </cfRule>
  </conditionalFormatting>
  <conditionalFormatting sqref="AS7">
    <cfRule type="cellIs" dxfId="0" priority="215" operator="lessThan">
      <formula>20</formula>
    </cfRule>
    <cfRule type="cellIs" dxfId="1" priority="143" operator="greaterThan">
      <formula>120</formula>
    </cfRule>
    <cfRule type="containsText" dxfId="3" priority="71" operator="between" text="库存">
      <formula>NOT(ISERROR(SEARCH("库存",AS7)))</formula>
    </cfRule>
  </conditionalFormatting>
  <conditionalFormatting sqref="AS8">
    <cfRule type="cellIs" dxfId="0" priority="214" operator="lessThan">
      <formula>20</formula>
    </cfRule>
    <cfRule type="cellIs" dxfId="1" priority="142" operator="greaterThan">
      <formula>120</formula>
    </cfRule>
    <cfRule type="containsText" dxfId="3" priority="70" operator="between" text="库存">
      <formula>NOT(ISERROR(SEARCH("库存",AS8)))</formula>
    </cfRule>
  </conditionalFormatting>
  <conditionalFormatting sqref="AS9">
    <cfRule type="cellIs" dxfId="0" priority="213" operator="lessThan">
      <formula>20</formula>
    </cfRule>
    <cfRule type="cellIs" dxfId="1" priority="141" operator="greaterThan">
      <formula>120</formula>
    </cfRule>
    <cfRule type="containsText" dxfId="3" priority="69" operator="between" text="库存">
      <formula>NOT(ISERROR(SEARCH("库存",AS9)))</formula>
    </cfRule>
  </conditionalFormatting>
  <conditionalFormatting sqref="AS10">
    <cfRule type="cellIs" dxfId="0" priority="212" operator="lessThan">
      <formula>20</formula>
    </cfRule>
    <cfRule type="cellIs" dxfId="1" priority="140" operator="greaterThan">
      <formula>120</formula>
    </cfRule>
    <cfRule type="containsText" dxfId="3" priority="68" operator="between" text="库存">
      <formula>NOT(ISERROR(SEARCH("库存",AS10)))</formula>
    </cfRule>
  </conditionalFormatting>
  <conditionalFormatting sqref="AS11">
    <cfRule type="cellIs" dxfId="0" priority="211" operator="lessThan">
      <formula>20</formula>
    </cfRule>
    <cfRule type="cellIs" dxfId="1" priority="139" operator="greaterThan">
      <formula>120</formula>
    </cfRule>
    <cfRule type="containsText" dxfId="3" priority="67" operator="between" text="库存">
      <formula>NOT(ISERROR(SEARCH("库存",AS11)))</formula>
    </cfRule>
  </conditionalFormatting>
  <conditionalFormatting sqref="AS12">
    <cfRule type="cellIs" dxfId="0" priority="210" operator="lessThan">
      <formula>20</formula>
    </cfRule>
    <cfRule type="cellIs" dxfId="1" priority="138" operator="greaterThan">
      <formula>120</formula>
    </cfRule>
    <cfRule type="containsText" dxfId="3" priority="66" operator="between" text="库存">
      <formula>NOT(ISERROR(SEARCH("库存",AS12)))</formula>
    </cfRule>
  </conditionalFormatting>
  <conditionalFormatting sqref="AS13">
    <cfRule type="cellIs" dxfId="0" priority="209" operator="lessThan">
      <formula>20</formula>
    </cfRule>
    <cfRule type="cellIs" dxfId="1" priority="137" operator="greaterThan">
      <formula>120</formula>
    </cfRule>
    <cfRule type="containsText" dxfId="3" priority="65" operator="between" text="库存">
      <formula>NOT(ISERROR(SEARCH("库存",AS13)))</formula>
    </cfRule>
  </conditionalFormatting>
  <conditionalFormatting sqref="AS14">
    <cfRule type="cellIs" dxfId="0" priority="208" operator="lessThan">
      <formula>20</formula>
    </cfRule>
    <cfRule type="cellIs" dxfId="1" priority="136" operator="greaterThan">
      <formula>120</formula>
    </cfRule>
    <cfRule type="containsText" dxfId="3" priority="64" operator="between" text="库存">
      <formula>NOT(ISERROR(SEARCH("库存",AS14)))</formula>
    </cfRule>
  </conditionalFormatting>
  <conditionalFormatting sqref="AS15">
    <cfRule type="cellIs" dxfId="0" priority="207" operator="lessThan">
      <formula>20</formula>
    </cfRule>
    <cfRule type="cellIs" dxfId="1" priority="135" operator="greaterThan">
      <formula>120</formula>
    </cfRule>
    <cfRule type="containsText" dxfId="3" priority="63" operator="between" text="库存">
      <formula>NOT(ISERROR(SEARCH("库存",AS15)))</formula>
    </cfRule>
  </conditionalFormatting>
  <conditionalFormatting sqref="AS16">
    <cfRule type="cellIs" dxfId="0" priority="206" operator="lessThan">
      <formula>20</formula>
    </cfRule>
    <cfRule type="cellIs" dxfId="1" priority="134" operator="greaterThan">
      <formula>120</formula>
    </cfRule>
    <cfRule type="containsText" dxfId="3" priority="62" operator="between" text="库存">
      <formula>NOT(ISERROR(SEARCH("库存",AS16)))</formula>
    </cfRule>
  </conditionalFormatting>
  <conditionalFormatting sqref="AS17">
    <cfRule type="cellIs" dxfId="0" priority="205" operator="lessThan">
      <formula>20</formula>
    </cfRule>
    <cfRule type="cellIs" dxfId="1" priority="133" operator="greaterThan">
      <formula>120</formula>
    </cfRule>
    <cfRule type="containsText" dxfId="3" priority="61" operator="between" text="库存">
      <formula>NOT(ISERROR(SEARCH("库存",AS17)))</formula>
    </cfRule>
  </conditionalFormatting>
  <conditionalFormatting sqref="AS18">
    <cfRule type="cellIs" dxfId="0" priority="204" operator="lessThan">
      <formula>20</formula>
    </cfRule>
    <cfRule type="cellIs" dxfId="1" priority="132" operator="greaterThan">
      <formula>120</formula>
    </cfRule>
    <cfRule type="containsText" dxfId="3" priority="60" operator="between" text="库存">
      <formula>NOT(ISERROR(SEARCH("库存",AS18)))</formula>
    </cfRule>
  </conditionalFormatting>
  <conditionalFormatting sqref="AS19">
    <cfRule type="cellIs" dxfId="0" priority="203" operator="lessThan">
      <formula>20</formula>
    </cfRule>
    <cfRule type="cellIs" dxfId="1" priority="131" operator="greaterThan">
      <formula>120</formula>
    </cfRule>
    <cfRule type="containsText" dxfId="3" priority="59" operator="between" text="库存">
      <formula>NOT(ISERROR(SEARCH("库存",AS19)))</formula>
    </cfRule>
  </conditionalFormatting>
  <conditionalFormatting sqref="AS20">
    <cfRule type="cellIs" dxfId="0" priority="202" operator="lessThan">
      <formula>20</formula>
    </cfRule>
    <cfRule type="cellIs" dxfId="1" priority="130" operator="greaterThan">
      <formula>120</formula>
    </cfRule>
    <cfRule type="containsText" dxfId="3" priority="58" operator="between" text="库存">
      <formula>NOT(ISERROR(SEARCH("库存",AS20)))</formula>
    </cfRule>
  </conditionalFormatting>
  <conditionalFormatting sqref="AS21">
    <cfRule type="cellIs" dxfId="0" priority="201" operator="lessThan">
      <formula>20</formula>
    </cfRule>
    <cfRule type="cellIs" dxfId="1" priority="129" operator="greaterThan">
      <formula>120</formula>
    </cfRule>
    <cfRule type="containsText" dxfId="3" priority="57" operator="between" text="库存">
      <formula>NOT(ISERROR(SEARCH("库存",AS21)))</formula>
    </cfRule>
  </conditionalFormatting>
  <conditionalFormatting sqref="AS22">
    <cfRule type="cellIs" dxfId="0" priority="200" operator="lessThan">
      <formula>20</formula>
    </cfRule>
    <cfRule type="cellIs" dxfId="1" priority="128" operator="greaterThan">
      <formula>120</formula>
    </cfRule>
    <cfRule type="containsText" dxfId="3" priority="56" operator="between" text="库存">
      <formula>NOT(ISERROR(SEARCH("库存",AS22)))</formula>
    </cfRule>
  </conditionalFormatting>
  <conditionalFormatting sqref="AS23">
    <cfRule type="cellIs" dxfId="0" priority="199" operator="lessThan">
      <formula>20</formula>
    </cfRule>
    <cfRule type="cellIs" dxfId="1" priority="127" operator="greaterThan">
      <formula>120</formula>
    </cfRule>
    <cfRule type="containsText" dxfId="3" priority="55" operator="between" text="库存">
      <formula>NOT(ISERROR(SEARCH("库存",AS23)))</formula>
    </cfRule>
  </conditionalFormatting>
  <conditionalFormatting sqref="AS24">
    <cfRule type="cellIs" dxfId="0" priority="198" operator="lessThan">
      <formula>20</formula>
    </cfRule>
    <cfRule type="cellIs" dxfId="1" priority="126" operator="greaterThan">
      <formula>120</formula>
    </cfRule>
    <cfRule type="containsText" dxfId="3" priority="54" operator="between" text="库存">
      <formula>NOT(ISERROR(SEARCH("库存",AS24)))</formula>
    </cfRule>
  </conditionalFormatting>
  <conditionalFormatting sqref="AS25">
    <cfRule type="cellIs" dxfId="0" priority="197" operator="lessThan">
      <formula>20</formula>
    </cfRule>
    <cfRule type="cellIs" dxfId="1" priority="125" operator="greaterThan">
      <formula>120</formula>
    </cfRule>
    <cfRule type="containsText" dxfId="3" priority="53" operator="between" text="库存">
      <formula>NOT(ISERROR(SEARCH("库存",AS25)))</formula>
    </cfRule>
  </conditionalFormatting>
  <conditionalFormatting sqref="AS26">
    <cfRule type="cellIs" dxfId="0" priority="196" operator="lessThan">
      <formula>20</formula>
    </cfRule>
    <cfRule type="cellIs" dxfId="1" priority="124" operator="greaterThan">
      <formula>120</formula>
    </cfRule>
    <cfRule type="containsText" dxfId="3" priority="52" operator="between" text="库存">
      <formula>NOT(ISERROR(SEARCH("库存",AS26)))</formula>
    </cfRule>
  </conditionalFormatting>
  <conditionalFormatting sqref="AS27">
    <cfRule type="cellIs" dxfId="0" priority="195" operator="lessThan">
      <formula>20</formula>
    </cfRule>
    <cfRule type="cellIs" dxfId="1" priority="123" operator="greaterThan">
      <formula>120</formula>
    </cfRule>
    <cfRule type="containsText" dxfId="3" priority="51" operator="between" text="库存">
      <formula>NOT(ISERROR(SEARCH("库存",AS27)))</formula>
    </cfRule>
  </conditionalFormatting>
  <conditionalFormatting sqref="AS28">
    <cfRule type="cellIs" dxfId="0" priority="194" operator="lessThan">
      <formula>20</formula>
    </cfRule>
    <cfRule type="cellIs" dxfId="1" priority="122" operator="greaterThan">
      <formula>120</formula>
    </cfRule>
    <cfRule type="containsText" dxfId="3" priority="50" operator="between" text="库存">
      <formula>NOT(ISERROR(SEARCH("库存",AS28)))</formula>
    </cfRule>
  </conditionalFormatting>
  <conditionalFormatting sqref="AS29">
    <cfRule type="cellIs" dxfId="0" priority="193" operator="lessThan">
      <formula>20</formula>
    </cfRule>
    <cfRule type="cellIs" dxfId="1" priority="121" operator="greaterThan">
      <formula>120</formula>
    </cfRule>
    <cfRule type="containsText" dxfId="3" priority="49" operator="between" text="库存">
      <formula>NOT(ISERROR(SEARCH("库存",AS29)))</formula>
    </cfRule>
  </conditionalFormatting>
  <conditionalFormatting sqref="AS30">
    <cfRule type="cellIs" dxfId="0" priority="192" operator="lessThan">
      <formula>20</formula>
    </cfRule>
    <cfRule type="cellIs" dxfId="1" priority="120" operator="greaterThan">
      <formula>120</formula>
    </cfRule>
    <cfRule type="containsText" dxfId="3" priority="48" operator="between" text="库存">
      <formula>NOT(ISERROR(SEARCH("库存",AS30)))</formula>
    </cfRule>
  </conditionalFormatting>
  <conditionalFormatting sqref="AS31">
    <cfRule type="cellIs" dxfId="0" priority="191" operator="lessThan">
      <formula>20</formula>
    </cfRule>
    <cfRule type="cellIs" dxfId="1" priority="119" operator="greaterThan">
      <formula>120</formula>
    </cfRule>
    <cfRule type="containsText" dxfId="3" priority="47" operator="between" text="库存">
      <formula>NOT(ISERROR(SEARCH("库存",AS31)))</formula>
    </cfRule>
  </conditionalFormatting>
  <conditionalFormatting sqref="AS32">
    <cfRule type="cellIs" dxfId="0" priority="190" operator="lessThan">
      <formula>20</formula>
    </cfRule>
    <cfRule type="cellIs" dxfId="1" priority="118" operator="greaterThan">
      <formula>120</formula>
    </cfRule>
    <cfRule type="containsText" dxfId="3" priority="46" operator="between" text="库存">
      <formula>NOT(ISERROR(SEARCH("库存",AS32)))</formula>
    </cfRule>
  </conditionalFormatting>
  <conditionalFormatting sqref="AS33">
    <cfRule type="cellIs" dxfId="0" priority="189" operator="lessThan">
      <formula>20</formula>
    </cfRule>
    <cfRule type="cellIs" dxfId="1" priority="117" operator="greaterThan">
      <formula>120</formula>
    </cfRule>
    <cfRule type="containsText" dxfId="3" priority="45" operator="between" text="库存">
      <formula>NOT(ISERROR(SEARCH("库存",AS33)))</formula>
    </cfRule>
  </conditionalFormatting>
  <conditionalFormatting sqref="AS34">
    <cfRule type="cellIs" dxfId="0" priority="188" operator="lessThan">
      <formula>20</formula>
    </cfRule>
    <cfRule type="cellIs" dxfId="1" priority="116" operator="greaterThan">
      <formula>120</formula>
    </cfRule>
    <cfRule type="containsText" dxfId="3" priority="44" operator="between" text="库存">
      <formula>NOT(ISERROR(SEARCH("库存",AS34)))</formula>
    </cfRule>
  </conditionalFormatting>
  <conditionalFormatting sqref="AS35">
    <cfRule type="cellIs" dxfId="0" priority="187" operator="lessThan">
      <formula>20</formula>
    </cfRule>
    <cfRule type="cellIs" dxfId="1" priority="115" operator="greaterThan">
      <formula>120</formula>
    </cfRule>
    <cfRule type="containsText" dxfId="3" priority="43" operator="between" text="库存">
      <formula>NOT(ISERROR(SEARCH("库存",AS35)))</formula>
    </cfRule>
  </conditionalFormatting>
  <conditionalFormatting sqref="AS36">
    <cfRule type="cellIs" dxfId="0" priority="186" operator="lessThan">
      <formula>20</formula>
    </cfRule>
    <cfRule type="cellIs" dxfId="1" priority="114" operator="greaterThan">
      <formula>120</formula>
    </cfRule>
    <cfRule type="containsText" dxfId="3" priority="42" operator="between" text="库存">
      <formula>NOT(ISERROR(SEARCH("库存",AS36)))</formula>
    </cfRule>
  </conditionalFormatting>
  <conditionalFormatting sqref="AS37">
    <cfRule type="cellIs" dxfId="0" priority="185" operator="lessThan">
      <formula>20</formula>
    </cfRule>
    <cfRule type="cellIs" dxfId="1" priority="113" operator="greaterThan">
      <formula>120</formula>
    </cfRule>
    <cfRule type="containsText" dxfId="3" priority="41" operator="between" text="库存">
      <formula>NOT(ISERROR(SEARCH("库存",AS37)))</formula>
    </cfRule>
  </conditionalFormatting>
  <conditionalFormatting sqref="AS38">
    <cfRule type="cellIs" dxfId="0" priority="184" operator="lessThan">
      <formula>20</formula>
    </cfRule>
    <cfRule type="cellIs" dxfId="1" priority="112" operator="greaterThan">
      <formula>120</formula>
    </cfRule>
    <cfRule type="containsText" dxfId="3" priority="40" operator="between" text="库存">
      <formula>NOT(ISERROR(SEARCH("库存",AS38)))</formula>
    </cfRule>
  </conditionalFormatting>
  <conditionalFormatting sqref="AS39">
    <cfRule type="cellIs" dxfId="0" priority="183" operator="lessThan">
      <formula>20</formula>
    </cfRule>
    <cfRule type="cellIs" dxfId="1" priority="111" operator="greaterThan">
      <formula>120</formula>
    </cfRule>
    <cfRule type="containsText" dxfId="3" priority="39" operator="between" text="库存">
      <formula>NOT(ISERROR(SEARCH("库存",AS39)))</formula>
    </cfRule>
  </conditionalFormatting>
  <conditionalFormatting sqref="AS40">
    <cfRule type="cellIs" dxfId="0" priority="182" operator="lessThan">
      <formula>20</formula>
    </cfRule>
    <cfRule type="cellIs" dxfId="1" priority="110" operator="greaterThan">
      <formula>120</formula>
    </cfRule>
    <cfRule type="containsText" dxfId="3" priority="38" operator="between" text="库存">
      <formula>NOT(ISERROR(SEARCH("库存",AS40)))</formula>
    </cfRule>
  </conditionalFormatting>
  <conditionalFormatting sqref="AS41">
    <cfRule type="cellIs" dxfId="0" priority="181" operator="lessThan">
      <formula>20</formula>
    </cfRule>
    <cfRule type="cellIs" dxfId="1" priority="109" operator="greaterThan">
      <formula>120</formula>
    </cfRule>
    <cfRule type="containsText" dxfId="3" priority="37" operator="between" text="库存">
      <formula>NOT(ISERROR(SEARCH("库存",AS41)))</formula>
    </cfRule>
  </conditionalFormatting>
  <conditionalFormatting sqref="AS42">
    <cfRule type="cellIs" dxfId="0" priority="180" operator="lessThan">
      <formula>20</formula>
    </cfRule>
    <cfRule type="cellIs" dxfId="1" priority="108" operator="greaterThan">
      <formula>120</formula>
    </cfRule>
    <cfRule type="containsText" dxfId="3" priority="36" operator="between" text="库存">
      <formula>NOT(ISERROR(SEARCH("库存",AS42)))</formula>
    </cfRule>
  </conditionalFormatting>
  <conditionalFormatting sqref="AS43">
    <cfRule type="cellIs" dxfId="0" priority="179" operator="lessThan">
      <formula>20</formula>
    </cfRule>
    <cfRule type="cellIs" dxfId="1" priority="107" operator="greaterThan">
      <formula>120</formula>
    </cfRule>
    <cfRule type="containsText" dxfId="3" priority="35" operator="between" text="库存">
      <formula>NOT(ISERROR(SEARCH("库存",AS43)))</formula>
    </cfRule>
  </conditionalFormatting>
  <conditionalFormatting sqref="AS44">
    <cfRule type="cellIs" dxfId="0" priority="178" operator="lessThan">
      <formula>20</formula>
    </cfRule>
    <cfRule type="cellIs" dxfId="1" priority="106" operator="greaterThan">
      <formula>120</formula>
    </cfRule>
    <cfRule type="containsText" dxfId="3" priority="34" operator="between" text="库存">
      <formula>NOT(ISERROR(SEARCH("库存",AS44)))</formula>
    </cfRule>
  </conditionalFormatting>
  <conditionalFormatting sqref="AS45">
    <cfRule type="cellIs" dxfId="0" priority="177" operator="lessThan">
      <formula>20</formula>
    </cfRule>
    <cfRule type="cellIs" dxfId="1" priority="105" operator="greaterThan">
      <formula>120</formula>
    </cfRule>
    <cfRule type="containsText" dxfId="3" priority="33" operator="between" text="库存">
      <formula>NOT(ISERROR(SEARCH("库存",AS45)))</formula>
    </cfRule>
  </conditionalFormatting>
  <conditionalFormatting sqref="AS46">
    <cfRule type="cellIs" dxfId="0" priority="176" operator="lessThan">
      <formula>20</formula>
    </cfRule>
    <cfRule type="cellIs" dxfId="1" priority="104" operator="greaterThan">
      <formula>120</formula>
    </cfRule>
    <cfRule type="containsText" dxfId="3" priority="32" operator="between" text="库存">
      <formula>NOT(ISERROR(SEARCH("库存",AS46)))</formula>
    </cfRule>
  </conditionalFormatting>
  <conditionalFormatting sqref="AS47">
    <cfRule type="cellIs" dxfId="0" priority="175" operator="lessThan">
      <formula>20</formula>
    </cfRule>
    <cfRule type="cellIs" dxfId="1" priority="103" operator="greaterThan">
      <formula>120</formula>
    </cfRule>
    <cfRule type="containsText" dxfId="3" priority="31" operator="between" text="库存">
      <formula>NOT(ISERROR(SEARCH("库存",AS47)))</formula>
    </cfRule>
  </conditionalFormatting>
  <conditionalFormatting sqref="AS48">
    <cfRule type="cellIs" dxfId="0" priority="174" operator="lessThan">
      <formula>20</formula>
    </cfRule>
    <cfRule type="cellIs" dxfId="1" priority="102" operator="greaterThan">
      <formula>120</formula>
    </cfRule>
    <cfRule type="containsText" dxfId="3" priority="30" operator="between" text="库存">
      <formula>NOT(ISERROR(SEARCH("库存",AS48)))</formula>
    </cfRule>
  </conditionalFormatting>
  <conditionalFormatting sqref="AS49">
    <cfRule type="cellIs" dxfId="0" priority="173" operator="lessThan">
      <formula>20</formula>
    </cfRule>
    <cfRule type="cellIs" dxfId="1" priority="101" operator="greaterThan">
      <formula>120</formula>
    </cfRule>
    <cfRule type="containsText" dxfId="3" priority="29" operator="between" text="库存">
      <formula>NOT(ISERROR(SEARCH("库存",AS49)))</formula>
    </cfRule>
  </conditionalFormatting>
  <conditionalFormatting sqref="AS50">
    <cfRule type="cellIs" dxfId="0" priority="172" operator="lessThan">
      <formula>20</formula>
    </cfRule>
    <cfRule type="cellIs" dxfId="1" priority="100" operator="greaterThan">
      <formula>120</formula>
    </cfRule>
    <cfRule type="containsText" dxfId="3" priority="28" operator="between" text="库存">
      <formula>NOT(ISERROR(SEARCH("库存",AS50)))</formula>
    </cfRule>
  </conditionalFormatting>
  <conditionalFormatting sqref="AS51">
    <cfRule type="cellIs" dxfId="0" priority="171" operator="lessThan">
      <formula>20</formula>
    </cfRule>
    <cfRule type="cellIs" dxfId="1" priority="99" operator="greaterThan">
      <formula>120</formula>
    </cfRule>
    <cfRule type="containsText" dxfId="3" priority="27" operator="between" text="库存">
      <formula>NOT(ISERROR(SEARCH("库存",AS51)))</formula>
    </cfRule>
  </conditionalFormatting>
  <conditionalFormatting sqref="AS52">
    <cfRule type="cellIs" dxfId="0" priority="170" operator="lessThan">
      <formula>20</formula>
    </cfRule>
    <cfRule type="cellIs" dxfId="1" priority="98" operator="greaterThan">
      <formula>120</formula>
    </cfRule>
    <cfRule type="containsText" dxfId="3" priority="26" operator="between" text="库存">
      <formula>NOT(ISERROR(SEARCH("库存",AS52)))</formula>
    </cfRule>
  </conditionalFormatting>
  <conditionalFormatting sqref="AS53">
    <cfRule type="cellIs" dxfId="0" priority="169" operator="lessThan">
      <formula>20</formula>
    </cfRule>
    <cfRule type="cellIs" dxfId="1" priority="97" operator="greaterThan">
      <formula>120</formula>
    </cfRule>
    <cfRule type="containsText" dxfId="3" priority="25" operator="between" text="库存">
      <formula>NOT(ISERROR(SEARCH("库存",AS53)))</formula>
    </cfRule>
  </conditionalFormatting>
  <conditionalFormatting sqref="AS54">
    <cfRule type="cellIs" dxfId="0" priority="168" operator="lessThan">
      <formula>20</formula>
    </cfRule>
    <cfRule type="cellIs" dxfId="1" priority="96" operator="greaterThan">
      <formula>120</formula>
    </cfRule>
    <cfRule type="containsText" dxfId="3" priority="24" operator="between" text="库存">
      <formula>NOT(ISERROR(SEARCH("库存",AS54)))</formula>
    </cfRule>
  </conditionalFormatting>
  <conditionalFormatting sqref="AS55">
    <cfRule type="cellIs" dxfId="0" priority="167" operator="lessThan">
      <formula>20</formula>
    </cfRule>
    <cfRule type="cellIs" dxfId="1" priority="95" operator="greaterThan">
      <formula>120</formula>
    </cfRule>
    <cfRule type="containsText" dxfId="3" priority="23" operator="between" text="库存">
      <formula>NOT(ISERROR(SEARCH("库存",AS55)))</formula>
    </cfRule>
  </conditionalFormatting>
  <conditionalFormatting sqref="AS56">
    <cfRule type="cellIs" dxfId="0" priority="166" operator="lessThan">
      <formula>20</formula>
    </cfRule>
    <cfRule type="cellIs" dxfId="1" priority="94" operator="greaterThan">
      <formula>120</formula>
    </cfRule>
    <cfRule type="containsText" dxfId="3" priority="22" operator="between" text="库存">
      <formula>NOT(ISERROR(SEARCH("库存",AS56)))</formula>
    </cfRule>
  </conditionalFormatting>
  <conditionalFormatting sqref="AS57">
    <cfRule type="cellIs" dxfId="0" priority="165" operator="lessThan">
      <formula>20</formula>
    </cfRule>
    <cfRule type="cellIs" dxfId="1" priority="93" operator="greaterThan">
      <formula>120</formula>
    </cfRule>
    <cfRule type="containsText" dxfId="3" priority="21" operator="between" text="库存">
      <formula>NOT(ISERROR(SEARCH("库存",AS57)))</formula>
    </cfRule>
  </conditionalFormatting>
  <conditionalFormatting sqref="AS58">
    <cfRule type="cellIs" dxfId="0" priority="164" operator="lessThan">
      <formula>20</formula>
    </cfRule>
    <cfRule type="cellIs" dxfId="1" priority="92" operator="greaterThan">
      <formula>120</formula>
    </cfRule>
    <cfRule type="containsText" dxfId="3" priority="20" operator="between" text="库存">
      <formula>NOT(ISERROR(SEARCH("库存",AS58)))</formula>
    </cfRule>
  </conditionalFormatting>
  <conditionalFormatting sqref="AS59">
    <cfRule type="cellIs" dxfId="0" priority="163" operator="lessThan">
      <formula>20</formula>
    </cfRule>
    <cfRule type="cellIs" dxfId="1" priority="91" operator="greaterThan">
      <formula>120</formula>
    </cfRule>
    <cfRule type="containsText" dxfId="3" priority="19" operator="between" text="库存">
      <formula>NOT(ISERROR(SEARCH("库存",AS59)))</formula>
    </cfRule>
  </conditionalFormatting>
  <conditionalFormatting sqref="AS60">
    <cfRule type="cellIs" dxfId="0" priority="162" operator="lessThan">
      <formula>20</formula>
    </cfRule>
    <cfRule type="cellIs" dxfId="1" priority="90" operator="greaterThan">
      <formula>120</formula>
    </cfRule>
    <cfRule type="containsText" dxfId="3" priority="18" operator="between" text="库存">
      <formula>NOT(ISERROR(SEARCH("库存",AS60)))</formula>
    </cfRule>
  </conditionalFormatting>
  <conditionalFormatting sqref="AS61">
    <cfRule type="cellIs" dxfId="0" priority="161" operator="lessThan">
      <formula>20</formula>
    </cfRule>
    <cfRule type="cellIs" dxfId="1" priority="89" operator="greaterThan">
      <formula>120</formula>
    </cfRule>
    <cfRule type="containsText" dxfId="3" priority="17" operator="between" text="库存">
      <formula>NOT(ISERROR(SEARCH("库存",AS61)))</formula>
    </cfRule>
  </conditionalFormatting>
  <conditionalFormatting sqref="AS62">
    <cfRule type="cellIs" dxfId="0" priority="160" operator="lessThan">
      <formula>20</formula>
    </cfRule>
    <cfRule type="cellIs" dxfId="1" priority="88" operator="greaterThan">
      <formula>120</formula>
    </cfRule>
    <cfRule type="containsText" dxfId="3" priority="16" operator="between" text="库存">
      <formula>NOT(ISERROR(SEARCH("库存",AS62)))</formula>
    </cfRule>
  </conditionalFormatting>
  <conditionalFormatting sqref="AS63">
    <cfRule type="cellIs" dxfId="0" priority="159" operator="lessThan">
      <formula>20</formula>
    </cfRule>
    <cfRule type="cellIs" dxfId="1" priority="87" operator="greaterThan">
      <formula>120</formula>
    </cfRule>
    <cfRule type="containsText" dxfId="3" priority="15" operator="between" text="库存">
      <formula>NOT(ISERROR(SEARCH("库存",AS63)))</formula>
    </cfRule>
  </conditionalFormatting>
  <conditionalFormatting sqref="AS64">
    <cfRule type="cellIs" dxfId="0" priority="158" operator="lessThan">
      <formula>20</formula>
    </cfRule>
    <cfRule type="cellIs" dxfId="1" priority="86" operator="greaterThan">
      <formula>120</formula>
    </cfRule>
    <cfRule type="containsText" dxfId="3" priority="14" operator="between" text="库存">
      <formula>NOT(ISERROR(SEARCH("库存",AS64)))</formula>
    </cfRule>
  </conditionalFormatting>
  <conditionalFormatting sqref="AS65">
    <cfRule type="cellIs" dxfId="0" priority="157" operator="lessThan">
      <formula>20</formula>
    </cfRule>
    <cfRule type="cellIs" dxfId="1" priority="85" operator="greaterThan">
      <formula>120</formula>
    </cfRule>
    <cfRule type="containsText" dxfId="3" priority="13" operator="between" text="库存">
      <formula>NOT(ISERROR(SEARCH("库存",AS65)))</formula>
    </cfRule>
  </conditionalFormatting>
  <conditionalFormatting sqref="AS66">
    <cfRule type="cellIs" dxfId="0" priority="156" operator="lessThan">
      <formula>20</formula>
    </cfRule>
    <cfRule type="cellIs" dxfId="1" priority="84" operator="greaterThan">
      <formula>120</formula>
    </cfRule>
    <cfRule type="containsText" dxfId="3" priority="12" operator="between" text="库存">
      <formula>NOT(ISERROR(SEARCH("库存",AS66)))</formula>
    </cfRule>
  </conditionalFormatting>
  <conditionalFormatting sqref="AS67">
    <cfRule type="cellIs" dxfId="0" priority="155" operator="lessThan">
      <formula>20</formula>
    </cfRule>
    <cfRule type="cellIs" dxfId="1" priority="83" operator="greaterThan">
      <formula>120</formula>
    </cfRule>
    <cfRule type="containsText" dxfId="3" priority="11" operator="between" text="库存">
      <formula>NOT(ISERROR(SEARCH("库存",AS67)))</formula>
    </cfRule>
  </conditionalFormatting>
  <conditionalFormatting sqref="AS68">
    <cfRule type="cellIs" dxfId="0" priority="154" operator="lessThan">
      <formula>20</formula>
    </cfRule>
    <cfRule type="cellIs" dxfId="1" priority="82" operator="greaterThan">
      <formula>120</formula>
    </cfRule>
    <cfRule type="containsText" dxfId="3" priority="10" operator="between" text="库存">
      <formula>NOT(ISERROR(SEARCH("库存",AS68)))</formula>
    </cfRule>
  </conditionalFormatting>
  <conditionalFormatting sqref="AS69">
    <cfRule type="cellIs" dxfId="0" priority="153" operator="lessThan">
      <formula>20</formula>
    </cfRule>
    <cfRule type="cellIs" dxfId="1" priority="81" operator="greaterThan">
      <formula>120</formula>
    </cfRule>
    <cfRule type="containsText" dxfId="3" priority="9" operator="between" text="库存">
      <formula>NOT(ISERROR(SEARCH("库存",AS69)))</formula>
    </cfRule>
  </conditionalFormatting>
  <conditionalFormatting sqref="AS70">
    <cfRule type="cellIs" dxfId="0" priority="152" operator="lessThan">
      <formula>20</formula>
    </cfRule>
    <cfRule type="cellIs" dxfId="1" priority="80" operator="greaterThan">
      <formula>120</formula>
    </cfRule>
    <cfRule type="containsText" dxfId="3" priority="8" operator="between" text="库存">
      <formula>NOT(ISERROR(SEARCH("库存",AS70)))</formula>
    </cfRule>
  </conditionalFormatting>
  <conditionalFormatting sqref="AS71">
    <cfRule type="cellIs" dxfId="0" priority="151" operator="lessThan">
      <formula>20</formula>
    </cfRule>
    <cfRule type="cellIs" dxfId="1" priority="79" operator="greaterThan">
      <formula>120</formula>
    </cfRule>
    <cfRule type="containsText" dxfId="3" priority="7" operator="between" text="库存">
      <formula>NOT(ISERROR(SEARCH("库存",AS71)))</formula>
    </cfRule>
  </conditionalFormatting>
  <conditionalFormatting sqref="AS72">
    <cfRule type="cellIs" dxfId="0" priority="150" operator="lessThan">
      <formula>20</formula>
    </cfRule>
    <cfRule type="cellIs" dxfId="1" priority="78" operator="greaterThan">
      <formula>120</formula>
    </cfRule>
    <cfRule type="containsText" dxfId="3" priority="6" operator="between" text="库存">
      <formula>NOT(ISERROR(SEARCH("库存",AS72)))</formula>
    </cfRule>
  </conditionalFormatting>
  <conditionalFormatting sqref="AS73">
    <cfRule type="cellIs" dxfId="0" priority="149" operator="lessThan">
      <formula>20</formula>
    </cfRule>
    <cfRule type="cellIs" dxfId="1" priority="77" operator="greaterThan">
      <formula>120</formula>
    </cfRule>
    <cfRule type="containsText" dxfId="3" priority="5" operator="between" text="库存">
      <formula>NOT(ISERROR(SEARCH("库存",AS73)))</formula>
    </cfRule>
  </conditionalFormatting>
  <conditionalFormatting sqref="AS74">
    <cfRule type="cellIs" dxfId="0" priority="148" operator="lessThan">
      <formula>20</formula>
    </cfRule>
    <cfRule type="cellIs" dxfId="1" priority="76" operator="greaterThan">
      <formula>120</formula>
    </cfRule>
    <cfRule type="containsText" dxfId="3" priority="4" operator="between" text="库存">
      <formula>NOT(ISERROR(SEARCH("库存",AS74)))</formula>
    </cfRule>
  </conditionalFormatting>
  <conditionalFormatting sqref="AS75">
    <cfRule type="cellIs" dxfId="0" priority="147" operator="lessThan">
      <formula>20</formula>
    </cfRule>
    <cfRule type="cellIs" dxfId="1" priority="75" operator="greaterThan">
      <formula>120</formula>
    </cfRule>
    <cfRule type="containsText" dxfId="3" priority="3" operator="between" text="库存">
      <formula>NOT(ISERROR(SEARCH("库存",AS75)))</formula>
    </cfRule>
  </conditionalFormatting>
  <conditionalFormatting sqref="AS76">
    <cfRule type="cellIs" dxfId="0" priority="146" operator="lessThan">
      <formula>20</formula>
    </cfRule>
    <cfRule type="cellIs" dxfId="1" priority="74" operator="greaterThan">
      <formula>120</formula>
    </cfRule>
    <cfRule type="containsText" dxfId="3" priority="2" operator="between" text="库存">
      <formula>NOT(ISERROR(SEARCH("库存",AS76)))</formula>
    </cfRule>
  </conditionalFormatting>
  <conditionalFormatting sqref="AS77">
    <cfRule type="cellIs" dxfId="0" priority="145" operator="lessThan">
      <formula>20</formula>
    </cfRule>
    <cfRule type="cellIs" dxfId="1" priority="73" operator="greaterThan">
      <formula>120</formula>
    </cfRule>
    <cfRule type="containsText" dxfId="3" priority="1" operator="between" text="库存">
      <formula>NOT(ISERROR(SEARCH("库存",AS77)))</formula>
    </cfRule>
  </conditionalFormatting>
  <conditionalFormatting sqref="AS78">
    <cfRule type="cellIs" dxfId="0" priority="1062" operator="lessThan">
      <formula>20</formula>
    </cfRule>
    <cfRule type="cellIs" dxfId="1" priority="972" operator="greaterThan">
      <formula>120</formula>
    </cfRule>
    <cfRule type="containsText" dxfId="3" priority="882" operator="between" text="库存">
      <formula>NOT(ISERROR(SEARCH("库存",AS78)))</formula>
    </cfRule>
  </conditionalFormatting>
  <conditionalFormatting sqref="AS79">
    <cfRule type="cellIs" dxfId="0" priority="1061" operator="lessThan">
      <formula>20</formula>
    </cfRule>
    <cfRule type="cellIs" dxfId="1" priority="971" operator="greaterThan">
      <formula>120</formula>
    </cfRule>
    <cfRule type="containsText" dxfId="3" priority="881" operator="between" text="库存">
      <formula>NOT(ISERROR(SEARCH("库存",AS79)))</formula>
    </cfRule>
  </conditionalFormatting>
  <conditionalFormatting sqref="AS80">
    <cfRule type="cellIs" dxfId="0" priority="1060" operator="lessThan">
      <formula>20</formula>
    </cfRule>
    <cfRule type="cellIs" dxfId="1" priority="970" operator="greaterThan">
      <formula>120</formula>
    </cfRule>
    <cfRule type="containsText" dxfId="3" priority="880" operator="between" text="库存">
      <formula>NOT(ISERROR(SEARCH("库存",AS80)))</formula>
    </cfRule>
  </conditionalFormatting>
  <conditionalFormatting sqref="AS81">
    <cfRule type="cellIs" dxfId="0" priority="1059" operator="lessThan">
      <formula>20</formula>
    </cfRule>
    <cfRule type="cellIs" dxfId="1" priority="969" operator="greaterThan">
      <formula>120</formula>
    </cfRule>
    <cfRule type="containsText" dxfId="3" priority="879" operator="between" text="库存">
      <formula>NOT(ISERROR(SEARCH("库存",AS81)))</formula>
    </cfRule>
  </conditionalFormatting>
  <conditionalFormatting sqref="AS82">
    <cfRule type="cellIs" dxfId="0" priority="1058" operator="lessThan">
      <formula>20</formula>
    </cfRule>
    <cfRule type="cellIs" dxfId="1" priority="968" operator="greaterThan">
      <formula>120</formula>
    </cfRule>
    <cfRule type="containsText" dxfId="3" priority="878" operator="between" text="库存">
      <formula>NOT(ISERROR(SEARCH("库存",AS82)))</formula>
    </cfRule>
  </conditionalFormatting>
  <conditionalFormatting sqref="AS83">
    <cfRule type="cellIs" dxfId="0" priority="1057" operator="lessThan">
      <formula>20</formula>
    </cfRule>
    <cfRule type="cellIs" dxfId="1" priority="967" operator="greaterThan">
      <formula>120</formula>
    </cfRule>
    <cfRule type="containsText" dxfId="3" priority="877" operator="between" text="库存">
      <formula>NOT(ISERROR(SEARCH("库存",AS83)))</formula>
    </cfRule>
  </conditionalFormatting>
  <conditionalFormatting sqref="AS84">
    <cfRule type="cellIs" dxfId="0" priority="1056" operator="lessThan">
      <formula>20</formula>
    </cfRule>
    <cfRule type="cellIs" dxfId="1" priority="966" operator="greaterThan">
      <formula>120</formula>
    </cfRule>
    <cfRule type="containsText" dxfId="3" priority="876" operator="between" text="库存">
      <formula>NOT(ISERROR(SEARCH("库存",AS84)))</formula>
    </cfRule>
  </conditionalFormatting>
  <conditionalFormatting sqref="AS85">
    <cfRule type="cellIs" dxfId="0" priority="1055" operator="lessThan">
      <formula>20</formula>
    </cfRule>
    <cfRule type="cellIs" dxfId="1" priority="965" operator="greaterThan">
      <formula>120</formula>
    </cfRule>
    <cfRule type="containsText" dxfId="3" priority="875" operator="between" text="库存">
      <formula>NOT(ISERROR(SEARCH("库存",AS85)))</formula>
    </cfRule>
  </conditionalFormatting>
  <conditionalFormatting sqref="AS86">
    <cfRule type="cellIs" dxfId="0" priority="1054" operator="lessThan">
      <formula>20</formula>
    </cfRule>
    <cfRule type="cellIs" dxfId="1" priority="964" operator="greaterThan">
      <formula>120</formula>
    </cfRule>
    <cfRule type="containsText" dxfId="3" priority="874" operator="between" text="库存">
      <formula>NOT(ISERROR(SEARCH("库存",AS86)))</formula>
    </cfRule>
  </conditionalFormatting>
  <conditionalFormatting sqref="AS87">
    <cfRule type="cellIs" dxfId="0" priority="1053" operator="lessThan">
      <formula>20</formula>
    </cfRule>
    <cfRule type="cellIs" dxfId="1" priority="963" operator="greaterThan">
      <formula>120</formula>
    </cfRule>
    <cfRule type="containsText" dxfId="3" priority="873" operator="between" text="库存">
      <formula>NOT(ISERROR(SEARCH("库存",AS87)))</formula>
    </cfRule>
  </conditionalFormatting>
  <conditionalFormatting sqref="AS88">
    <cfRule type="cellIs" dxfId="0" priority="1052" operator="lessThan">
      <formula>20</formula>
    </cfRule>
    <cfRule type="cellIs" dxfId="1" priority="962" operator="greaterThan">
      <formula>120</formula>
    </cfRule>
    <cfRule type="containsText" dxfId="3" priority="872" operator="between" text="库存">
      <formula>NOT(ISERROR(SEARCH("库存",AS88)))</formula>
    </cfRule>
  </conditionalFormatting>
  <conditionalFormatting sqref="AS89">
    <cfRule type="cellIs" dxfId="0" priority="1051" operator="lessThan">
      <formula>20</formula>
    </cfRule>
    <cfRule type="cellIs" dxfId="1" priority="961" operator="greaterThan">
      <formula>120</formula>
    </cfRule>
    <cfRule type="containsText" dxfId="3" priority="871" operator="between" text="库存">
      <formula>NOT(ISERROR(SEARCH("库存",AS89)))</formula>
    </cfRule>
  </conditionalFormatting>
  <conditionalFormatting sqref="AS90">
    <cfRule type="cellIs" dxfId="0" priority="1050" operator="lessThan">
      <formula>20</formula>
    </cfRule>
    <cfRule type="cellIs" dxfId="1" priority="960" operator="greaterThan">
      <formula>120</formula>
    </cfRule>
    <cfRule type="containsText" dxfId="3" priority="870" operator="between" text="库存">
      <formula>NOT(ISERROR(SEARCH("库存",AS90)))</formula>
    </cfRule>
  </conditionalFormatting>
  <conditionalFormatting sqref="AS91">
    <cfRule type="cellIs" dxfId="0" priority="1049" operator="lessThan">
      <formula>20</formula>
    </cfRule>
    <cfRule type="cellIs" dxfId="1" priority="959" operator="greaterThan">
      <formula>120</formula>
    </cfRule>
    <cfRule type="containsText" dxfId="3" priority="869" operator="between" text="库存">
      <formula>NOT(ISERROR(SEARCH("库存",AS91)))</formula>
    </cfRule>
  </conditionalFormatting>
  <conditionalFormatting sqref="AS92">
    <cfRule type="cellIs" dxfId="0" priority="1048" operator="lessThan">
      <formula>20</formula>
    </cfRule>
    <cfRule type="cellIs" dxfId="1" priority="958" operator="greaterThan">
      <formula>120</formula>
    </cfRule>
    <cfRule type="containsText" dxfId="3" priority="868" operator="between" text="库存">
      <formula>NOT(ISERROR(SEARCH("库存",AS92)))</formula>
    </cfRule>
  </conditionalFormatting>
  <conditionalFormatting sqref="AS93">
    <cfRule type="cellIs" dxfId="0" priority="1047" operator="lessThan">
      <formula>20</formula>
    </cfRule>
    <cfRule type="cellIs" dxfId="1" priority="957" operator="greaterThan">
      <formula>120</formula>
    </cfRule>
    <cfRule type="containsText" dxfId="3" priority="867" operator="between" text="库存">
      <formula>NOT(ISERROR(SEARCH("库存",AS93)))</formula>
    </cfRule>
  </conditionalFormatting>
  <conditionalFormatting sqref="AS94">
    <cfRule type="cellIs" dxfId="0" priority="1046" operator="lessThan">
      <formula>20</formula>
    </cfRule>
    <cfRule type="cellIs" dxfId="1" priority="956" operator="greaterThan">
      <formula>120</formula>
    </cfRule>
    <cfRule type="containsText" dxfId="3" priority="866" operator="between" text="库存">
      <formula>NOT(ISERROR(SEARCH("库存",AS94)))</formula>
    </cfRule>
  </conditionalFormatting>
  <conditionalFormatting sqref="AS95">
    <cfRule type="cellIs" dxfId="0" priority="1045" operator="lessThan">
      <formula>20</formula>
    </cfRule>
    <cfRule type="cellIs" dxfId="1" priority="955" operator="greaterThan">
      <formula>120</formula>
    </cfRule>
    <cfRule type="containsText" dxfId="3" priority="865" operator="between" text="库存">
      <formula>NOT(ISERROR(SEARCH("库存",AS95)))</formula>
    </cfRule>
  </conditionalFormatting>
  <conditionalFormatting sqref="AS1 AS3:AS5 AS96:AS1048576">
    <cfRule type="cellIs" dxfId="0" priority="1140" operator="lessThan">
      <formula>20</formula>
    </cfRule>
    <cfRule type="cellIs" dxfId="1" priority="1139" operator="greaterThan">
      <formula>120</formula>
    </cfRule>
    <cfRule type="containsText" dxfId="3" priority="1138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527</v>
      </c>
      <c r="B1" s="2">
        <f>B12</f>
        <v>43262</v>
      </c>
    </row>
    <row r="2" spans="1:2">
      <c r="A2" s="1" t="s">
        <v>528</v>
      </c>
      <c r="B2" s="2">
        <v>43289</v>
      </c>
    </row>
    <row r="3" spans="1:2">
      <c r="A3" s="1"/>
      <c r="B3" s="1"/>
    </row>
    <row r="4" spans="1:2">
      <c r="A4" s="1" t="s">
        <v>529</v>
      </c>
      <c r="B4" s="3">
        <f>B2+1</f>
        <v>43290</v>
      </c>
    </row>
    <row r="5" spans="1:2">
      <c r="A5" s="1" t="s">
        <v>530</v>
      </c>
      <c r="B5" s="4">
        <f>B2</f>
        <v>43289</v>
      </c>
    </row>
    <row r="6" spans="1:2">
      <c r="A6" s="1" t="s">
        <v>531</v>
      </c>
      <c r="B6" s="3">
        <f>B5-6</f>
        <v>43283</v>
      </c>
    </row>
    <row r="7" spans="1:2">
      <c r="A7" s="1" t="s">
        <v>532</v>
      </c>
      <c r="B7" s="3">
        <f>B5-7</f>
        <v>43282</v>
      </c>
    </row>
    <row r="8" spans="1:2">
      <c r="A8" s="1" t="s">
        <v>533</v>
      </c>
      <c r="B8" s="3">
        <f>B5-13</f>
        <v>43276</v>
      </c>
    </row>
    <row r="9" spans="1:2">
      <c r="A9" s="1" t="s">
        <v>534</v>
      </c>
      <c r="B9" s="3">
        <f>B5-14</f>
        <v>43275</v>
      </c>
    </row>
    <row r="10" spans="1:2">
      <c r="A10" s="1" t="s">
        <v>535</v>
      </c>
      <c r="B10" s="3">
        <f>B5-20</f>
        <v>43269</v>
      </c>
    </row>
    <row r="11" spans="1:2">
      <c r="A11" s="1" t="s">
        <v>536</v>
      </c>
      <c r="B11" s="3">
        <f>B5-21</f>
        <v>43268</v>
      </c>
    </row>
    <row r="12" spans="1:2">
      <c r="A12" s="1" t="s">
        <v>537</v>
      </c>
      <c r="B12" s="3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2018-07-10T08:42:20Z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