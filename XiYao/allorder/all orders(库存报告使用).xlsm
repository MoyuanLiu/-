
<file path=[Content_Types].xml><?xml version="1.0" encoding="utf-8"?>
<Types xmlns="http://schemas.openxmlformats.org/package/2006/content-types">
  <Default Extension="vml" ContentType="application/vnd.openxmlformats-officedocument.vmlDrawing"/>
  <Default Extension="wmf" ContentType="image/x-wmf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activeX/activeX1.bin" ContentType="application/vnd.ms-office.activeX"/>
  <Override PartName="/xl/activeX/activeX1.xml" ContentType="application/vnd.ms-office.activeX+xml"/>
  <Override PartName="/xl/activeX/activeX2.bin" ContentType="application/vnd.ms-office.activeX"/>
  <Override PartName="/xl/activeX/activeX2.xml" ContentType="application/vnd.ms-office.activeX+xml"/>
  <Override PartName="/xl/activeX/activeX3.bin" ContentType="application/vnd.ms-office.activeX"/>
  <Override PartName="/xl/activeX/activeX3.xml" ContentType="application/vnd.ms-office.activeX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externalLinks/externalLink1.xml" ContentType="application/vnd.openxmlformats-officedocument.spreadsheetml.externalLink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8695" windowHeight="12630"/>
  </bookViews>
  <sheets>
    <sheet name="allorders" sheetId="1" r:id="rId1"/>
    <sheet name="数据处理(仓储使用)" sheetId="2" r:id="rId2"/>
    <sheet name="库存报告使用数据处理" sheetId="4" r:id="rId3"/>
    <sheet name="日期" sheetId="3" r:id="rId4"/>
    <sheet name="父sku-单价" sheetId="5" r:id="rId5"/>
  </sheets>
  <externalReferences>
    <externalReference r:id="rId6"/>
  </externalReferences>
  <definedNames>
    <definedName name="_xlnm._FilterDatabase" localSheetId="0" hidden="1">allorders!$A$1:$AG$170</definedName>
    <definedName name="_xlnm._FilterDatabase" localSheetId="2" hidden="1">库存报告使用数据处理!$A$3:$I$99</definedName>
    <definedName name="_xlnm._FilterDatabase" localSheetId="4" hidden="1">'父sku-单价'!$A$1:$B$49</definedName>
  </definedNames>
  <calcPr calcId="144525" concurrentCalc="0"/>
</workbook>
</file>

<file path=xl/sharedStrings.xml><?xml version="1.0" encoding="utf-8"?>
<sst xmlns="http://schemas.openxmlformats.org/spreadsheetml/2006/main" count="1189">
  <si>
    <t>amazon-order-id</t>
  </si>
  <si>
    <t>merchant-order-id</t>
  </si>
  <si>
    <t>purchase-date</t>
  </si>
  <si>
    <t>last-updated-date</t>
  </si>
  <si>
    <t>order-status</t>
  </si>
  <si>
    <t>fulfillment-channel</t>
  </si>
  <si>
    <t>sales-channel</t>
  </si>
  <si>
    <t>order-channel</t>
  </si>
  <si>
    <t>url</t>
  </si>
  <si>
    <t>ship-service-level</t>
  </si>
  <si>
    <t>product-name</t>
  </si>
  <si>
    <t>sku</t>
  </si>
  <si>
    <t>asin</t>
  </si>
  <si>
    <t>item-status</t>
  </si>
  <si>
    <t>quantity</t>
  </si>
  <si>
    <t>currency</t>
  </si>
  <si>
    <t>item-price</t>
  </si>
  <si>
    <t>item-tax</t>
  </si>
  <si>
    <t>shipping-price</t>
  </si>
  <si>
    <t>shipping-tax</t>
  </si>
  <si>
    <t>gift-wrap-price</t>
  </si>
  <si>
    <t>gift-wrap-tax</t>
  </si>
  <si>
    <t>item-promotion-discount</t>
  </si>
  <si>
    <t>ship-promotion-discount</t>
  </si>
  <si>
    <t>ship-city</t>
  </si>
  <si>
    <t>ship-state</t>
  </si>
  <si>
    <t>ship-postal-code</t>
  </si>
  <si>
    <t>ship-country</t>
  </si>
  <si>
    <t>promotion-ids</t>
  </si>
  <si>
    <t>is-business-order</t>
  </si>
  <si>
    <t>purchase-order-number</t>
  </si>
  <si>
    <t xml:space="preserve">price-designation </t>
  </si>
  <si>
    <t>日期</t>
  </si>
  <si>
    <t>114-0236480-0129833</t>
  </si>
  <si>
    <t>2018-06-04T20:06:49+00:00</t>
  </si>
  <si>
    <t>2018-06-05T03:12:03+00:00</t>
  </si>
  <si>
    <t>Shipped</t>
  </si>
  <si>
    <t>Amazon</t>
  </si>
  <si>
    <t>Amazon.com</t>
  </si>
  <si>
    <t>SecondDay</t>
  </si>
  <si>
    <t>Big Girls'Basic Nursing Bra Red 38</t>
  </si>
  <si>
    <t>N531YR038</t>
  </si>
  <si>
    <t>B074JXHFTJ</t>
  </si>
  <si>
    <t>USD</t>
  </si>
  <si>
    <t>BETHLEHEM</t>
  </si>
  <si>
    <t>PA</t>
  </si>
  <si>
    <t>18015-1415</t>
  </si>
  <si>
    <t>US</t>
  </si>
  <si>
    <t>113-2149307-1271409</t>
  </si>
  <si>
    <t>2018-06-04T19:00:56+00:00</t>
  </si>
  <si>
    <t>2018-06-05T19:29:42+00:00</t>
  </si>
  <si>
    <t>Women's Bras Panties Rose Red 46</t>
  </si>
  <si>
    <t>N31459YMH48</t>
  </si>
  <si>
    <t>B074CXPPQM</t>
  </si>
  <si>
    <t>MOBILE</t>
  </si>
  <si>
    <t>AL</t>
  </si>
  <si>
    <t>36619-1962</t>
  </si>
  <si>
    <t>112-5221035-0184236</t>
  </si>
  <si>
    <t>2018-06-04T18:42:38+00:00</t>
  </si>
  <si>
    <t>2018-06-05T22:39:50+00:00</t>
  </si>
  <si>
    <t>ZAIAI Maidenform Bra Sports Bras For Women Green 36</t>
  </si>
  <si>
    <t>N039YG036</t>
  </si>
  <si>
    <t>B074JZ2HSX</t>
  </si>
  <si>
    <t>BOCA RATON</t>
  </si>
  <si>
    <t>FL</t>
  </si>
  <si>
    <t>33496-3354</t>
  </si>
  <si>
    <t>ZAIAI Women Bras Size 36D Sports Bra Pink 36</t>
  </si>
  <si>
    <t>N039YTHS36</t>
  </si>
  <si>
    <t>B074JTR9T4</t>
  </si>
  <si>
    <t>114-6530501-1687439</t>
  </si>
  <si>
    <t>2018-06-04T17:48:40+00:00</t>
  </si>
  <si>
    <t>2018-06-10T07:58:34+00:00</t>
  </si>
  <si>
    <t>Standard</t>
  </si>
  <si>
    <t>Women Bras Comfor Straps Sports Bra Red 40</t>
  </si>
  <si>
    <t>N039YR040</t>
  </si>
  <si>
    <t>B074K4GLGJ</t>
  </si>
  <si>
    <t>VIRGINIA BEACH</t>
  </si>
  <si>
    <t>VA</t>
  </si>
  <si>
    <t>23457-1410</t>
  </si>
  <si>
    <t>US Core Free Shipping Promotion A3JU1FCINF5SD0</t>
  </si>
  <si>
    <t>111-7918427-7622606</t>
  </si>
  <si>
    <t>2018-06-05T20:27:25+00:00</t>
  </si>
  <si>
    <t>2018-06-20T06:26:35+00:00</t>
  </si>
  <si>
    <t>Merchant</t>
  </si>
  <si>
    <t>MOCOTONO Women's Plus Size Elastic Waist Wide Leg Linen Cropped Pants Grey Medium</t>
  </si>
  <si>
    <t>KTKXKG0</t>
  </si>
  <si>
    <t>B071VFYY2V</t>
  </si>
  <si>
    <t>Durham</t>
  </si>
  <si>
    <t>NC</t>
  </si>
  <si>
    <t>MOCOTONO Women's Plus Size Elastic Waist Wide Leg Linen Cropped Pants Black Medium</t>
  </si>
  <si>
    <t>KTKXKB0</t>
  </si>
  <si>
    <t>B0725CDCCN</t>
  </si>
  <si>
    <t>114-3683846-8989027</t>
  </si>
  <si>
    <t>2018-06-05T13:36:36+00:00</t>
  </si>
  <si>
    <t>2018-06-09T16:44:49+00:00</t>
  </si>
  <si>
    <t>ZAIAI Women's Microfiber Longline Lace Bralette Yellow L</t>
  </si>
  <si>
    <t>NY-B15016-Y0-L</t>
  </si>
  <si>
    <t>B078NN9RQR</t>
  </si>
  <si>
    <t>Springfield</t>
  </si>
  <si>
    <t>22150-2804</t>
  </si>
  <si>
    <t>113-9185472-6385023</t>
  </si>
  <si>
    <t>2018-06-05T10:58:24+00:00</t>
  </si>
  <si>
    <t>2018-06-05T14:17:39+00:00</t>
  </si>
  <si>
    <t>NextDay</t>
  </si>
  <si>
    <t>Women's Bras Panties Red 36</t>
  </si>
  <si>
    <t>N9383YR038</t>
  </si>
  <si>
    <t>B074CWSQFG</t>
  </si>
  <si>
    <t>CHICAGO RIDGE</t>
  </si>
  <si>
    <t>IL</t>
  </si>
  <si>
    <t>60415-2129</t>
  </si>
  <si>
    <t>113-9112101-1004250</t>
  </si>
  <si>
    <t>2018-06-05T02:33:24+00:00</t>
  </si>
  <si>
    <t>2018-06-08T04:11:51+00:00</t>
  </si>
  <si>
    <t>Cancelled</t>
  </si>
  <si>
    <t>Women's Panty And Bra Set Watermelon Red 36</t>
  </si>
  <si>
    <t>N9383YXGH38</t>
  </si>
  <si>
    <t>B074CX1PRD</t>
  </si>
  <si>
    <t>Unshipped</t>
  </si>
  <si>
    <t>PARAGOULD</t>
  </si>
  <si>
    <t>AR</t>
  </si>
  <si>
    <t>72450-7470</t>
  </si>
  <si>
    <t>113-9783135-6793824</t>
  </si>
  <si>
    <t>2018-06-06T23:35:53+00:00</t>
  </si>
  <si>
    <t>2018-06-13T00:34:35+00:00</t>
  </si>
  <si>
    <t>Women s Laced  and  Lace Sexy Trimmed Bra Set  Orange/Black  42/95</t>
  </si>
  <si>
    <t>N31459YJS42</t>
  </si>
  <si>
    <t>B074CX7NWQ</t>
  </si>
  <si>
    <t>COWARD</t>
  </si>
  <si>
    <t>SC</t>
  </si>
  <si>
    <t>29530-5038</t>
  </si>
  <si>
    <t>114-3911472-5677824</t>
  </si>
  <si>
    <t>2018-06-06T21:34:53+00:00</t>
  </si>
  <si>
    <t>2018-06-08T00:27:47+00:00</t>
  </si>
  <si>
    <t>HuXang Cloth Womens Fold Over Waist Solid Ruffled Flare Palazzo Pants Capris(Pink,L)</t>
  </si>
  <si>
    <t>JBL-QFFMR5L</t>
  </si>
  <si>
    <t>B073F29B28</t>
  </si>
  <si>
    <t>ST SIMONS ISLAND</t>
  </si>
  <si>
    <t>GEORGIA</t>
  </si>
  <si>
    <t>31522-5417</t>
  </si>
  <si>
    <t>114-6179133-3077855</t>
  </si>
  <si>
    <t>2018-06-06T21:31:40+00:00</t>
  </si>
  <si>
    <t>2018-06-08T00:27:55+00:00</t>
  </si>
  <si>
    <t>HuXang Cloth Womens Fold Over Waist Solid Ruffled Flare Palazzo Pants Capris(Pink,M)</t>
  </si>
  <si>
    <t>JBL-QFFMR5M</t>
  </si>
  <si>
    <t>B073F2QMQK</t>
  </si>
  <si>
    <t>114-8723431-9226634</t>
  </si>
  <si>
    <t>2018-06-06T14:31:00+00:00</t>
  </si>
  <si>
    <t>2018-06-08T00:30:14+00:00</t>
  </si>
  <si>
    <t>ZAIAI Women's Microfiber Longline Lace Bralette Yellow S</t>
  </si>
  <si>
    <t>NY-B15016-Y0-S</t>
  </si>
  <si>
    <t>B078NNB2PQ</t>
  </si>
  <si>
    <t>WILLIAMSBURG</t>
  </si>
  <si>
    <t>23188-1704</t>
  </si>
  <si>
    <t>111-3944492-1935407</t>
  </si>
  <si>
    <t>2018-06-06T05:06:21+00:00</t>
  </si>
  <si>
    <t>2018-06-06T22:32:07+00:00</t>
  </si>
  <si>
    <t>Women's Bra Panty Set Rose Red 36</t>
  </si>
  <si>
    <t>N31459YMH38</t>
  </si>
  <si>
    <t>B074CWRDHL</t>
  </si>
  <si>
    <t>LOS ANGELES</t>
  </si>
  <si>
    <t>CA</t>
  </si>
  <si>
    <t>90008-2934</t>
  </si>
  <si>
    <t>112-1537355-8001005</t>
  </si>
  <si>
    <t>2018-06-06T04:01:56+00:00</t>
  </si>
  <si>
    <t>2018-06-07T21:38:43+00:00</t>
  </si>
  <si>
    <t>ZAIAI Women's Comfort Revolution Front-Close Shaping Underwire Bra Light Blue 38</t>
  </si>
  <si>
    <t>N2082YQLS38</t>
  </si>
  <si>
    <t>B074DWNCM6</t>
  </si>
  <si>
    <t>NY</t>
  </si>
  <si>
    <t>112-1084022-4620204</t>
  </si>
  <si>
    <t>2018-06-06T00:20:44+00:00</t>
  </si>
  <si>
    <t>2018-06-07T08:40:39+00:00</t>
  </si>
  <si>
    <t>ZAIAI Women's Comfort Revolution Shaping Wire-Free Bra with Smart Sizes Purple Melange L</t>
  </si>
  <si>
    <t>NY-XUHM331-B0-L</t>
  </si>
  <si>
    <t>B07BKS4NK1</t>
  </si>
  <si>
    <t>Austin</t>
  </si>
  <si>
    <t>TX</t>
  </si>
  <si>
    <t>112-5521683-5937029</t>
  </si>
  <si>
    <t>2018-06-07T23:10:50+00:00</t>
  </si>
  <si>
    <t>2018-06-11T21:14:45+00:00</t>
  </si>
  <si>
    <t>HuXang Cloth Womens Fold Over Waist Solid Ruffled Flare Palazzo Pants Capris(Rose Red,L)</t>
  </si>
  <si>
    <t>JBL-QFFMMHL</t>
  </si>
  <si>
    <t>B073F2HG9P</t>
  </si>
  <si>
    <t>WALLINS CREEK</t>
  </si>
  <si>
    <t>KY</t>
  </si>
  <si>
    <t>40873-8997</t>
  </si>
  <si>
    <t>113-3681663-7930632</t>
  </si>
  <si>
    <t>2018-06-07T17:19:54+00:00</t>
  </si>
  <si>
    <t>2018-06-08T09:37:06+00:00</t>
  </si>
  <si>
    <t>Nursing Bras For Women Sports Bra Red 36</t>
  </si>
  <si>
    <t>N2716YR036</t>
  </si>
  <si>
    <t>B074QGLLQN</t>
  </si>
  <si>
    <t>NEWARK</t>
  </si>
  <si>
    <t>DE</t>
  </si>
  <si>
    <t>19702-5336</t>
  </si>
  <si>
    <t>111-8406686-4015423</t>
  </si>
  <si>
    <t>2018-06-07T12:52:26+00:00</t>
  </si>
  <si>
    <t>2018-06-14T10:36:21+00:00</t>
  </si>
  <si>
    <t>HuXang Cloth Womens Fold Over Waist Solid Ruffled Flare Palazzo Pants Capris(Rose Red,XL)</t>
  </si>
  <si>
    <t>JBL-QFFMMHXL</t>
  </si>
  <si>
    <t>B073F2M56J</t>
  </si>
  <si>
    <t>Harriman</t>
  </si>
  <si>
    <t>TN</t>
  </si>
  <si>
    <t>37748-3429</t>
  </si>
  <si>
    <t>113-0538954-2686662</t>
  </si>
  <si>
    <t>2018-06-07T03:54:10+00:00</t>
  </si>
  <si>
    <t>2018-06-08T04:39:48+00:00</t>
  </si>
  <si>
    <t>ZAIAI Women's Microfiber Longline Lace Bralette Black L</t>
  </si>
  <si>
    <t>NY-XUHM002-K0-L</t>
  </si>
  <si>
    <t>B07BKR7DCF</t>
  </si>
  <si>
    <t>GAINESVILLE</t>
  </si>
  <si>
    <t>32608-2072</t>
  </si>
  <si>
    <t>114-3117601-4037019</t>
  </si>
  <si>
    <t>2018-06-07T00:48:48+00:00</t>
  </si>
  <si>
    <t>2018-06-08T02:29:04+00:00</t>
  </si>
  <si>
    <t>FRISCO</t>
  </si>
  <si>
    <t>75034-2381</t>
  </si>
  <si>
    <t>113-3802452-4813017</t>
  </si>
  <si>
    <t>2018-06-08T14:14:22+00:00</t>
  </si>
  <si>
    <t>2018-06-10T16:44:00+00:00</t>
  </si>
  <si>
    <t>ZAIAI Sports Bras For Women Padded Sports Bra Lake Blue 36</t>
  </si>
  <si>
    <t>N2716YHL36</t>
  </si>
  <si>
    <t>B074Q9CTNJ</t>
  </si>
  <si>
    <t>KALONA</t>
  </si>
  <si>
    <t>IA</t>
  </si>
  <si>
    <t>52247-9313</t>
  </si>
  <si>
    <t>ZAIAI Womens Yoga Strappy Sports Bra Green 36</t>
  </si>
  <si>
    <t>N2716YYGL36</t>
  </si>
  <si>
    <t>B074QDSYXY</t>
  </si>
  <si>
    <t>111-4874007-6257841</t>
  </si>
  <si>
    <t>2018-06-08T08:44:27+00:00</t>
  </si>
  <si>
    <t>2018-06-09T08:33:16+00:00</t>
  </si>
  <si>
    <t>Women's Embroidery Bras Set Lace Lingerie Bra and Panties White 38</t>
  </si>
  <si>
    <t>N3818-2YW038</t>
  </si>
  <si>
    <t>B074CW3HDD</t>
  </si>
  <si>
    <t>BREMERTON</t>
  </si>
  <si>
    <t>WA</t>
  </si>
  <si>
    <t>111-0488482-7697053</t>
  </si>
  <si>
    <t>2018-06-08T01:28:14+00:00</t>
  </si>
  <si>
    <t>2018-06-09T17:58:45+00:00</t>
  </si>
  <si>
    <t>Women's Microfiber Longline Lace Bralette Yellow M</t>
  </si>
  <si>
    <t>NY-B15016-Y0-M</t>
  </si>
  <si>
    <t>B078NQWBSV</t>
  </si>
  <si>
    <t>macomb</t>
  </si>
  <si>
    <t>mi</t>
  </si>
  <si>
    <t>114-1267579-6553030</t>
  </si>
  <si>
    <t>2018-06-09T22:08:55+00:00</t>
  </si>
  <si>
    <t>2018-06-10T16:10:58+00:00</t>
  </si>
  <si>
    <t>Women Bras On Sale Plus Size Every Day Sports Bra Red 38</t>
  </si>
  <si>
    <t>N039YR038</t>
  </si>
  <si>
    <t>B074K3YM47</t>
  </si>
  <si>
    <t>CINCINNATI</t>
  </si>
  <si>
    <t>OH</t>
  </si>
  <si>
    <t>45242-6819</t>
  </si>
  <si>
    <t>113-7499740-7850659</t>
  </si>
  <si>
    <t>2018-06-09T19:08:28+00:00</t>
  </si>
  <si>
    <t>2018-06-10T04:25:49+00:00</t>
  </si>
  <si>
    <t>ZAIAI Women Floral Lace Bralette Padded Breathable Sexy Racerback Lace Bra Bustier Black S</t>
  </si>
  <si>
    <t>NY-XUHM005-K0-S</t>
  </si>
  <si>
    <t>B07BKS8YTN</t>
  </si>
  <si>
    <t>BRONX</t>
  </si>
  <si>
    <t>10465-1276</t>
  </si>
  <si>
    <t>111-3915646-1462603</t>
  </si>
  <si>
    <t>2018-06-09T18:32:16+00:00</t>
  </si>
  <si>
    <t>2018-06-10T15:37:29+00:00</t>
  </si>
  <si>
    <t>ZAIAI Women Super Soft Lace Bra Top Seamless Bralette Cup Wireless Bra Black XL</t>
  </si>
  <si>
    <t>NY-XUHM463-K0-XL</t>
  </si>
  <si>
    <t>B07BKQLKBG</t>
  </si>
  <si>
    <t>Dearborn</t>
  </si>
  <si>
    <t>MI</t>
  </si>
  <si>
    <t>111-6241014-8239462</t>
  </si>
  <si>
    <t>2018-06-09T17:49:24+00:00</t>
  </si>
  <si>
    <t>2018-06-10T03:22:38+00:00</t>
  </si>
  <si>
    <t>Women's Microfiber Longline Lace Bralette Pink L</t>
  </si>
  <si>
    <t>NY-XUHM002-PI-L</t>
  </si>
  <si>
    <t>B07BKR7DCG</t>
  </si>
  <si>
    <t>East Northport</t>
  </si>
  <si>
    <t>11731-1305</t>
  </si>
  <si>
    <t>113-1994992-4753844</t>
  </si>
  <si>
    <t>2018-06-09T11:19:02+00:00</t>
  </si>
  <si>
    <t>2018-06-15T04:22:39+00:00</t>
  </si>
  <si>
    <t>NY-B15021-K0-XL</t>
  </si>
  <si>
    <t>B078NPBXD2</t>
  </si>
  <si>
    <t>MOROVIS</t>
  </si>
  <si>
    <t>PR</t>
  </si>
  <si>
    <t>113-4941422-7742662</t>
  </si>
  <si>
    <t>2018-06-09T00:41:13+00:00</t>
  </si>
  <si>
    <t>2018-06-12T01:06:34+00:00</t>
  </si>
  <si>
    <t>Women Bras Dize 36D Underwire Bra Red 36</t>
  </si>
  <si>
    <t>N039YR036</t>
  </si>
  <si>
    <t>B074JYMHZL</t>
  </si>
  <si>
    <t>MIAMI</t>
  </si>
  <si>
    <t>33196-2966</t>
  </si>
  <si>
    <t>113-5858814-3525850</t>
  </si>
  <si>
    <t>2018-06-09T00:06:12+00:00</t>
  </si>
  <si>
    <t>2018-06-11T18:52:12+00:00</t>
  </si>
  <si>
    <t>Women's Pushup Bra Panty Set Rose Red 40</t>
  </si>
  <si>
    <t>N31459YMH42</t>
  </si>
  <si>
    <t>B074CXR8YG</t>
  </si>
  <si>
    <t>RENO</t>
  </si>
  <si>
    <t>NV</t>
  </si>
  <si>
    <t>89511-9812</t>
  </si>
  <si>
    <t>112-4303796-1208254</t>
  </si>
  <si>
    <t>2018-06-10T21:21:30+00:00</t>
  </si>
  <si>
    <t>2018-06-12T02:19:41+00:00</t>
  </si>
  <si>
    <t>Urbandale</t>
  </si>
  <si>
    <t>50323-2251</t>
  </si>
  <si>
    <t>113-6383934-7833054</t>
  </si>
  <si>
    <t>2018-06-10T21:07:44+00:00</t>
  </si>
  <si>
    <t>2018-06-11T23:35:25+00:00</t>
  </si>
  <si>
    <t>ZAIAI Women's Coat with Fur Hood with 90% Down Parka Puffer Jacket Black XL</t>
  </si>
  <si>
    <t>MY71115K0XXL</t>
  </si>
  <si>
    <t>B0761SKR3P</t>
  </si>
  <si>
    <t>33191-1116</t>
  </si>
  <si>
    <t>114-5782126-2663424</t>
  </si>
  <si>
    <t>2018-06-10T20:52:54+00:00</t>
  </si>
  <si>
    <t>2018-06-12T19:47:01+00:00</t>
  </si>
  <si>
    <t>MOCOTONO Women's Plus Size Elastic Waist Wide Leg Linen Cropped Pants White Large</t>
  </si>
  <si>
    <t>KTKXKW0L</t>
  </si>
  <si>
    <t>B073XMFYWX</t>
  </si>
  <si>
    <t>WASHINGTON</t>
  </si>
  <si>
    <t>DC</t>
  </si>
  <si>
    <t>20003-1539</t>
  </si>
  <si>
    <t>112-8741133-7035429</t>
  </si>
  <si>
    <t>2018-06-10T18:32:46+00:00</t>
  </si>
  <si>
    <t>2018-06-11T21:45:18+00:00</t>
  </si>
  <si>
    <t>BALTIMORE</t>
  </si>
  <si>
    <t>MD</t>
  </si>
  <si>
    <t>21230-3605</t>
  </si>
  <si>
    <t>112-5388689-2762640</t>
  </si>
  <si>
    <t>2018-06-10T14:04:09+00:00</t>
  </si>
  <si>
    <t>2018-06-11T01:45:15+00:00</t>
  </si>
  <si>
    <t>Pembroke</t>
  </si>
  <si>
    <t>MA</t>
  </si>
  <si>
    <t>02359-1978</t>
  </si>
  <si>
    <t>S01-8220362-1757806</t>
  </si>
  <si>
    <t>vi6b6bK606</t>
  </si>
  <si>
    <t>2018-06-11T06:11:47+00:00</t>
  </si>
  <si>
    <t>2018-06-20T10:03:20+00:00</t>
  </si>
  <si>
    <t>Non-Amazon</t>
  </si>
  <si>
    <t>111-0566924-2784223</t>
  </si>
  <si>
    <t>2018-06-11T23:22:18+00:00</t>
  </si>
  <si>
    <t>2018-06-12T16:49:52+00:00</t>
  </si>
  <si>
    <t>N31459YR038</t>
  </si>
  <si>
    <t>B074CX7218</t>
  </si>
  <si>
    <t>OLDSMAR</t>
  </si>
  <si>
    <t>34677-5224</t>
  </si>
  <si>
    <t>114-4152026-0879432</t>
  </si>
  <si>
    <t>2018-06-11T17:08:22+00:00</t>
  </si>
  <si>
    <t>2018-06-13T20:48:22+00:00</t>
  </si>
  <si>
    <t>Womens Sports Bra Small Lightly Padded Rose Red 34</t>
  </si>
  <si>
    <t>N2716YMH34</t>
  </si>
  <si>
    <t>B074QGD61W</t>
  </si>
  <si>
    <t>WINDOM</t>
  </si>
  <si>
    <t>MN</t>
  </si>
  <si>
    <t>56101-1817</t>
  </si>
  <si>
    <t>111-3955165-5707432</t>
  </si>
  <si>
    <t>2018-06-11T15:18:20+00:00</t>
  </si>
  <si>
    <t>2018-06-20T16:55:32+00:00</t>
  </si>
  <si>
    <t>ZAIAI Women Floral Lace Bralette Padded Breathable Sexy Racerback Lace Bra Bustier Black M</t>
  </si>
  <si>
    <t>NY-B15016-K0-M</t>
  </si>
  <si>
    <t>B078NN9LW4</t>
  </si>
  <si>
    <t>DOVER</t>
  </si>
  <si>
    <t>19901-8838</t>
  </si>
  <si>
    <t>113-9113630-8781005</t>
  </si>
  <si>
    <t>2018-06-11T15:07:41+00:00</t>
  </si>
  <si>
    <t>2018-06-13T06:27:54+00:00</t>
  </si>
  <si>
    <t>GROTON</t>
  </si>
  <si>
    <t>CT</t>
  </si>
  <si>
    <t>06340-4104</t>
  </si>
  <si>
    <t>111-6335411-5797853</t>
  </si>
  <si>
    <t>2018-06-11T14:33:59+00:00</t>
  </si>
  <si>
    <t>2018-06-11T20:40:30+00:00</t>
  </si>
  <si>
    <t>114-4098254-5933024</t>
  </si>
  <si>
    <t>2018-06-11T09:18:53+00:00</t>
  </si>
  <si>
    <t>2018-06-13T03:10:47+00:00</t>
  </si>
  <si>
    <t>ZAIAI Boyshort Panties Women Sexy Lace Fun Underwear Briefs Ladies Knickers Womens Triangle Thong Black M</t>
  </si>
  <si>
    <t>NK-XUHM001-K0-M</t>
  </si>
  <si>
    <t>B078WQY3NM</t>
  </si>
  <si>
    <t>Monticello</t>
  </si>
  <si>
    <t>Minnesota</t>
  </si>
  <si>
    <t>111-0550610-1005025</t>
  </si>
  <si>
    <t>2018-06-11T07:55:22+00:00</t>
  </si>
  <si>
    <t>2018-06-16T02:06:06+00:00</t>
  </si>
  <si>
    <t>Women's Matching Bra And Panty Sets Purple 36</t>
  </si>
  <si>
    <t>N31459YP038</t>
  </si>
  <si>
    <t>B074CXK6RZ</t>
  </si>
  <si>
    <t>GLENDALE</t>
  </si>
  <si>
    <t>91202-2506</t>
  </si>
  <si>
    <t>111-0097379-6206660</t>
  </si>
  <si>
    <t>2018-06-11T00:46:56+00:00</t>
  </si>
  <si>
    <t>2018-06-15T06:04:40+00:00</t>
  </si>
  <si>
    <t>ZAIAI Women's Microfiber Longline Lace Bralette Black M</t>
  </si>
  <si>
    <t>NY-XUHM002-K0-M</t>
  </si>
  <si>
    <t>B07BKT1Y4D</t>
  </si>
  <si>
    <t>HOUSTON</t>
  </si>
  <si>
    <t>TEXAS</t>
  </si>
  <si>
    <t>77044-4917</t>
  </si>
  <si>
    <t>113-2516830-6590607</t>
  </si>
  <si>
    <t>2018-06-12T15:53:48+00:00</t>
  </si>
  <si>
    <t>2018-06-18T04:51:14+00:00</t>
  </si>
  <si>
    <t>WEST PARK</t>
  </si>
  <si>
    <t>33023-3008</t>
  </si>
  <si>
    <t>112-6095008-9824268</t>
  </si>
  <si>
    <t>2018-06-12T13:48:23+00:00</t>
  </si>
  <si>
    <t>2018-06-17T07:42:04+00:00</t>
  </si>
  <si>
    <t>Nursing Bra Underwire No Bra Bra Rose Red 38</t>
  </si>
  <si>
    <t>N2716YMH38</t>
  </si>
  <si>
    <t>B074QCYQ9L</t>
  </si>
  <si>
    <t>Taft</t>
  </si>
  <si>
    <t>114-1821913-0950665</t>
  </si>
  <si>
    <t>2018-06-13T23:13:01+00:00</t>
  </si>
  <si>
    <t>2018-06-15T09:52:42+00:00</t>
  </si>
  <si>
    <t>ZAIAI Women's Parka Winter Coat Overcoat Long Down Jacket Outwear Beige M</t>
  </si>
  <si>
    <t>MY71107MSM</t>
  </si>
  <si>
    <t>B0761NJPNM</t>
  </si>
  <si>
    <t>ALPHARETTA</t>
  </si>
  <si>
    <t>GA</t>
  </si>
  <si>
    <t>30005-8963</t>
  </si>
  <si>
    <t>114-9411324-3119450</t>
  </si>
  <si>
    <t>2018-06-13T19:44:28+00:00</t>
  </si>
  <si>
    <t>2018-06-14T21:24:32+00:00</t>
  </si>
  <si>
    <t>ZAIAI Women Sexy Lingerie For Women For Sex, Lace Bodysuit Mesh Babydoll Halter Chemise Strapped Outfits Black1</t>
  </si>
  <si>
    <t>DDHNYK0</t>
  </si>
  <si>
    <t>B074FP8NZF</t>
  </si>
  <si>
    <t>MIRAMAR</t>
  </si>
  <si>
    <t>33027-4543</t>
  </si>
  <si>
    <t>111-2935617-8054611</t>
  </si>
  <si>
    <t>2018-06-13T18:29:11+00:00</t>
  </si>
  <si>
    <t>2018-06-14T20:42:08+00:00</t>
  </si>
  <si>
    <t>Womens Apparel Strappy Sports Bra Blue 38</t>
  </si>
  <si>
    <t>N039YB038</t>
  </si>
  <si>
    <t>B074JX2YCX</t>
  </si>
  <si>
    <t>Jarrell</t>
  </si>
  <si>
    <t>114-9411364-5774601</t>
  </si>
  <si>
    <t>2018-06-13T17:35:06+00:00</t>
  </si>
  <si>
    <t>2018-06-14T18:38:38+00:00</t>
  </si>
  <si>
    <t>CORONA DEL MAR</t>
  </si>
  <si>
    <t>92625-2426</t>
  </si>
  <si>
    <t>111-7016124-0920264</t>
  </si>
  <si>
    <t>2018-06-13T16:10:37+00:00</t>
  </si>
  <si>
    <t>2018-06-15T03:49:16+00:00</t>
  </si>
  <si>
    <t>VENICE</t>
  </si>
  <si>
    <t>34293-6865</t>
  </si>
  <si>
    <t>113-8436774-6064246</t>
  </si>
  <si>
    <t>2018-06-13T13:09:40+00:00</t>
  </si>
  <si>
    <t>2018-06-17T05:22:26+00:00</t>
  </si>
  <si>
    <t>ZAIAI Women's Bra Panty Set Bras Bright Green 46</t>
  </si>
  <si>
    <t>N31459YLL48</t>
  </si>
  <si>
    <t>B074CXBB31</t>
  </si>
  <si>
    <t>NEW RICHMOND</t>
  </si>
  <si>
    <t>WI</t>
  </si>
  <si>
    <t>54017-1113</t>
  </si>
  <si>
    <t>114-3269164-9913028</t>
  </si>
  <si>
    <t>2018-06-13T06:05:04+00:00</t>
  </si>
  <si>
    <t>2018-06-14T08:24:09+00:00</t>
  </si>
  <si>
    <t>Women Bras Size Underwire Bra Red 36</t>
  </si>
  <si>
    <t>FREMONT</t>
  </si>
  <si>
    <t>113-1266863-5846630</t>
  </si>
  <si>
    <t>2018-06-14T21:27:37+00:00</t>
  </si>
  <si>
    <t>2018-06-16T21:03:38+00:00</t>
  </si>
  <si>
    <t>Womens Yoga Sport Bra For Free Bra Red 34</t>
  </si>
  <si>
    <t>N2716YR034</t>
  </si>
  <si>
    <t>B074QDS9ZN</t>
  </si>
  <si>
    <t>Charlotte</t>
  </si>
  <si>
    <t>Nc</t>
  </si>
  <si>
    <t>S01-5491105-3577014</t>
  </si>
  <si>
    <t>vi6fjB2774</t>
  </si>
  <si>
    <t>2018-06-15T19:37:03+00:00</t>
  </si>
  <si>
    <t>2018-06-22T12:46:50+00:00</t>
  </si>
  <si>
    <t>111-4192903-9644266</t>
  </si>
  <si>
    <t>2018-06-15T23:00:19+00:00</t>
  </si>
  <si>
    <t>2018-06-16T22:13:15+00:00</t>
  </si>
  <si>
    <t>Orem</t>
  </si>
  <si>
    <t>Utah</t>
  </si>
  <si>
    <t>111-9483963-8407420</t>
  </si>
  <si>
    <t>2018-06-15T12:14:16+00:00</t>
  </si>
  <si>
    <t>2018-06-16T15:45:30+00:00</t>
  </si>
  <si>
    <t>ZAIAI Women's Lace Bralette Wireless Band Lace Bra Dark Green M</t>
  </si>
  <si>
    <t>NY-XUHM005-GA-M</t>
  </si>
  <si>
    <t>B07BKTCPPS</t>
  </si>
  <si>
    <t>PETERSBURG</t>
  </si>
  <si>
    <t>23803-4140</t>
  </si>
  <si>
    <t>114-4813640-9477011</t>
  </si>
  <si>
    <t>2018-06-15T03:22:58+00:00</t>
  </si>
  <si>
    <t>2018-06-16T01:22:54+00:00</t>
  </si>
  <si>
    <t>ZAIAI Women's Florence Halter Dress with Garter and Stockings White</t>
  </si>
  <si>
    <t>DDBNYW0</t>
  </si>
  <si>
    <t>B074FPYB9N</t>
  </si>
  <si>
    <t>SPRING VALLEY</t>
  </si>
  <si>
    <t>10977-7027</t>
  </si>
  <si>
    <t>114-1860761-4797868</t>
  </si>
  <si>
    <t>2018-06-15T02:01:12+00:00</t>
  </si>
  <si>
    <t>2018-06-15T22:30:13+00:00</t>
  </si>
  <si>
    <t>SOCIAL CIRCLE</t>
  </si>
  <si>
    <t>30025-4904</t>
  </si>
  <si>
    <t>114-2158712-9537801</t>
  </si>
  <si>
    <t>2018-06-15T00:16:49+00:00</t>
  </si>
  <si>
    <t>2018-06-18T14:36:44+00:00</t>
  </si>
  <si>
    <t>SANTA BARBARA</t>
  </si>
  <si>
    <t>93101-3101</t>
  </si>
  <si>
    <t>112-5977192-3816259</t>
  </si>
  <si>
    <t>2018-06-16T13:26:39+00:00</t>
  </si>
  <si>
    <t>2018-06-18T03:06:39+00:00</t>
  </si>
  <si>
    <t>Women Floral Lace Bralette Padded Breathable Sexy Racerback Lace Bra Bustier Black L</t>
  </si>
  <si>
    <t>NY-XUHM005-K0-L</t>
  </si>
  <si>
    <t>B07BKTSQ1R</t>
  </si>
  <si>
    <t>77064-7151</t>
  </si>
  <si>
    <t>113-7970066-2816257</t>
  </si>
  <si>
    <t>2018-06-16T12:49:01+00:00</t>
  </si>
  <si>
    <t>2018-06-18T03:36:57+00:00</t>
  </si>
  <si>
    <t>ZAIAI Women's Microfiber Longline Lace Bralette White L</t>
  </si>
  <si>
    <t>NY-B15016-W0-L</t>
  </si>
  <si>
    <t>B078NQ7BCX</t>
  </si>
  <si>
    <t>Rye</t>
  </si>
  <si>
    <t>111-0958376-2042602</t>
  </si>
  <si>
    <t>2018-06-16T08:10:58+00:00</t>
  </si>
  <si>
    <t>2018-06-18T16:35:03+00:00</t>
  </si>
  <si>
    <t>ZAIAI Women Sexy Lace Dress G-string Lingerie Sheer Babydoll Sleepwear Nightdress Robe Black2</t>
  </si>
  <si>
    <t>GJHNYK0</t>
  </si>
  <si>
    <t>B074FQSTJL</t>
  </si>
  <si>
    <t>GUTHRIE</t>
  </si>
  <si>
    <t>OK</t>
  </si>
  <si>
    <t>73044-7553</t>
  </si>
  <si>
    <t>111-9401291-7726602</t>
  </si>
  <si>
    <t>2018-06-16T06:11:22+00:00</t>
  </si>
  <si>
    <t>2018-06-18T20:56:17+00:00</t>
  </si>
  <si>
    <t>patagonia</t>
  </si>
  <si>
    <t>AZ</t>
  </si>
  <si>
    <t>113-4462121-1801814</t>
  </si>
  <si>
    <t>2018-06-16T02:05:01+00:00</t>
  </si>
  <si>
    <t>2018-06-18T06:34:35+00:00</t>
  </si>
  <si>
    <t>ZAIAI Women Super Soft Lace Bra Top Seamless Bralette Cup Wireless Bra Pink XL</t>
  </si>
  <si>
    <t>NY-B15021-PI-XL</t>
  </si>
  <si>
    <t>B078NNZWD6</t>
  </si>
  <si>
    <t>LODI</t>
  </si>
  <si>
    <t>53555-1021</t>
  </si>
  <si>
    <t>112-1258507-0310662</t>
  </si>
  <si>
    <t>2018-06-17T23:25:52+00:00</t>
  </si>
  <si>
    <t>2018-06-19T04:10:40+00:00</t>
  </si>
  <si>
    <t>Expedited</t>
  </si>
  <si>
    <t>ZAIAI LALABRA Women's Strapless Bra Self Adhesive Silicone Push Up With Drawstring Black1 B Cup</t>
  </si>
  <si>
    <t>XTLAK0B</t>
  </si>
  <si>
    <t>B074NQW76F</t>
  </si>
  <si>
    <t>Chicago</t>
  </si>
  <si>
    <t>112-0399981-0619413</t>
  </si>
  <si>
    <t>2018-06-17T22:43:45+00:00</t>
  </si>
  <si>
    <t>2018-06-19T06:41:11+00:00</t>
  </si>
  <si>
    <t>Women Bras Plus Size Front Hook sports Bra for Women Gray 38</t>
  </si>
  <si>
    <t>N029YE038</t>
  </si>
  <si>
    <t>B074JWL4F2</t>
  </si>
  <si>
    <t>BRECKENRIDGE</t>
  </si>
  <si>
    <t>CO</t>
  </si>
  <si>
    <t>80424-8946</t>
  </si>
  <si>
    <t>111-7847839-8729035</t>
  </si>
  <si>
    <t>2018-06-17T19:38:01+00:00</t>
  </si>
  <si>
    <t>2018-06-19T00:58:47+00:00</t>
  </si>
  <si>
    <t>ZAIAI Women's Quilted Puffer Jacket Coat with Faux Fur Trimmed Hood Navy L</t>
  </si>
  <si>
    <t>MY71115ZQXL</t>
  </si>
  <si>
    <t>B0761PBXCV</t>
  </si>
  <si>
    <t>33182-1346</t>
  </si>
  <si>
    <t>113-4547345-2826653</t>
  </si>
  <si>
    <t>2018-06-17T15:26:04+00:00</t>
  </si>
  <si>
    <t>2018-06-20T06:34:28+00:00</t>
  </si>
  <si>
    <t>BATESVILLE</t>
  </si>
  <si>
    <t>MS</t>
  </si>
  <si>
    <t>38606-8220</t>
  </si>
  <si>
    <t>112-2435990-3075450</t>
  </si>
  <si>
    <t>2018-06-18T20:41:03+00:00</t>
  </si>
  <si>
    <t>2018-06-18T20:41:28+00:00</t>
  </si>
  <si>
    <t>Women's Embroidery Bras Set Lace Lingerie Bra and Panties White 46</t>
  </si>
  <si>
    <t>N3818-2YW046</t>
  </si>
  <si>
    <t>B074CWWB41</t>
  </si>
  <si>
    <t>SACRAMENTO</t>
  </si>
  <si>
    <t>95826-4116</t>
  </si>
  <si>
    <t>112-4789861-2625865</t>
  </si>
  <si>
    <t>2018-06-18T16:43:11+00:00</t>
  </si>
  <si>
    <t>2018-06-18T23:26:16+00:00</t>
  </si>
  <si>
    <t>Pendergrass</t>
  </si>
  <si>
    <t>112-8492533-2399469</t>
  </si>
  <si>
    <t>2018-06-18T16:30:25+00:00</t>
  </si>
  <si>
    <t>2018-06-20T02:51:51+00:00</t>
  </si>
  <si>
    <t>ZAIAI Women Super Soft Lace Bra Top Seamless Bralette Cup Wireless Bra Pink M</t>
  </si>
  <si>
    <t>NY-B15021-PI-M</t>
  </si>
  <si>
    <t>B078NQW8Y6</t>
  </si>
  <si>
    <t>NEW YORK</t>
  </si>
  <si>
    <t>10012-2865</t>
  </si>
  <si>
    <t>114-1926233-0269056</t>
  </si>
  <si>
    <t>2018-06-18T13:51:25+00:00</t>
  </si>
  <si>
    <t>2018-06-19T08:11:47+00:00</t>
  </si>
  <si>
    <t>Sports Bras For Women Plus Size Rose Red 36</t>
  </si>
  <si>
    <t>N2716YMH36</t>
  </si>
  <si>
    <t>B074QFDH8R</t>
  </si>
  <si>
    <t>Macomb Twp</t>
  </si>
  <si>
    <t>113-9229986-0085063</t>
  </si>
  <si>
    <t>2018-06-18T08:33:14+00:00</t>
  </si>
  <si>
    <t>2018-06-21T20:44:58+00:00</t>
  </si>
  <si>
    <t>Miami</t>
  </si>
  <si>
    <t>112-3940042-5557806</t>
  </si>
  <si>
    <t>2018-06-18T05:42:53+00:00</t>
  </si>
  <si>
    <t>2018-06-19T08:24:09+00:00</t>
  </si>
  <si>
    <t>Women Bras On Sale 38A Bras For Women Pink 38</t>
  </si>
  <si>
    <t>N039YTHS38</t>
  </si>
  <si>
    <t>B074K3MSFD</t>
  </si>
  <si>
    <t>TRIADELPHIA</t>
  </si>
  <si>
    <t>WV</t>
  </si>
  <si>
    <t>26059-1315</t>
  </si>
  <si>
    <t>111-9501432-4727451</t>
  </si>
  <si>
    <t>2018-06-19T22:17:53+00:00</t>
  </si>
  <si>
    <t>2018-06-20T09:36:05+00:00</t>
  </si>
  <si>
    <t>LONG ISLAND CITY</t>
  </si>
  <si>
    <t>11101-6619</t>
  </si>
  <si>
    <t>111-5635782-7520256</t>
  </si>
  <si>
    <t>2018-06-19T22:15:51+00:00</t>
  </si>
  <si>
    <t>2018-06-19T22:18:51+00:00</t>
  </si>
  <si>
    <t>114-0160271-3885061</t>
  </si>
  <si>
    <t>2018-06-19T16:56:44+00:00</t>
  </si>
  <si>
    <t>2018-06-21T09:25:37+00:00</t>
  </si>
  <si>
    <t>METAIRIE</t>
  </si>
  <si>
    <t>LA</t>
  </si>
  <si>
    <t>70002-3531</t>
  </si>
  <si>
    <t>111-9129282-7970611</t>
  </si>
  <si>
    <t>2018-06-19T12:52:44+00:00</t>
  </si>
  <si>
    <t>2018-06-19T23:18:28+00:00</t>
  </si>
  <si>
    <t>ZAIAI Women's Microfiber Longline Lace Bralette Pink M</t>
  </si>
  <si>
    <t>NY-XUHM002-PI-M</t>
  </si>
  <si>
    <t>B07BKSWCR3</t>
  </si>
  <si>
    <t>BROOKLYN</t>
  </si>
  <si>
    <t>11239-1306</t>
  </si>
  <si>
    <t>114-5219823-3371402</t>
  </si>
  <si>
    <t>2018-06-19T12:23:03+00:00</t>
  </si>
  <si>
    <t>2018-06-22T01:02:24+00:00</t>
  </si>
  <si>
    <t>ZAIAI Boyshort Panties Women Sexy Lace Fun Underwear Briefs Ladies Knickers Womens Triangle Thong Black L</t>
  </si>
  <si>
    <t>NK-XUHM001-K0-L</t>
  </si>
  <si>
    <t>B078WQCTTM</t>
  </si>
  <si>
    <t>Cedar</t>
  </si>
  <si>
    <t>Mi</t>
  </si>
  <si>
    <t>113-3703266-1134645</t>
  </si>
  <si>
    <t>2018-06-19T09:14:22+00:00</t>
  </si>
  <si>
    <t>2018-06-20T01:45:25+00:00</t>
  </si>
  <si>
    <t>Women's Panty And Bra Set Purple 46</t>
  </si>
  <si>
    <t>N31459YP048</t>
  </si>
  <si>
    <t>B074CWTLXY</t>
  </si>
  <si>
    <t>BETHALTO</t>
  </si>
  <si>
    <t>62010-1021</t>
  </si>
  <si>
    <t>112-2129522-2660253</t>
  </si>
  <si>
    <t>2018-06-20T17:08:24+00:00</t>
  </si>
  <si>
    <t>2018-06-21T08:42:05+00:00</t>
  </si>
  <si>
    <t>Women Bras Comfort Sports Bras For Women Green 38</t>
  </si>
  <si>
    <t>N2716YYGL38</t>
  </si>
  <si>
    <t>B074Q9RQFH</t>
  </si>
  <si>
    <t>AUBURN</t>
  </si>
  <si>
    <t>98092-7920</t>
  </si>
  <si>
    <t>111-5955455-6975401</t>
  </si>
  <si>
    <t>2018-06-20T12:21:50+00:00</t>
  </si>
  <si>
    <t>2018-06-20T20:58:10+00:00</t>
  </si>
  <si>
    <t>ZAIAI Women's Quilted Puffer Jacket Coat with Faux Fur Trimmed Hood Navy XL</t>
  </si>
  <si>
    <t>MY71115ZQXXL</t>
  </si>
  <si>
    <t>B0761MLYTQ</t>
  </si>
  <si>
    <t>WESTON</t>
  </si>
  <si>
    <t>33327-2130</t>
  </si>
  <si>
    <t>113-1984070-2422625</t>
  </si>
  <si>
    <t>2018-06-20T04:00:38+00:00</t>
  </si>
  <si>
    <t>2018-06-20T10:27:26+00:00</t>
  </si>
  <si>
    <t>Baton Rouge</t>
  </si>
  <si>
    <t>112-6852999-3847427</t>
  </si>
  <si>
    <t>2018-06-21T15:22:06+00:00</t>
  </si>
  <si>
    <t>2018-06-22T22:25:16+00:00</t>
  </si>
  <si>
    <t>CHICAGO</t>
  </si>
  <si>
    <t>60643-3722</t>
  </si>
  <si>
    <t>113-3643115-2235429</t>
  </si>
  <si>
    <t>2018-06-21T13:44:45+00:00</t>
  </si>
  <si>
    <t>2018-06-27T22:25:24+00:00</t>
  </si>
  <si>
    <t>ZAIAI Women's Microfiber Longline Lace Bralette White S</t>
  </si>
  <si>
    <t>NY-B15016-W0-S</t>
  </si>
  <si>
    <t>B078NQ98JD</t>
  </si>
  <si>
    <t>APO</t>
  </si>
  <si>
    <t>AE</t>
  </si>
  <si>
    <t>112-3662772-5033801</t>
  </si>
  <si>
    <t>2018-06-21T13:37:34+00:00</t>
  </si>
  <si>
    <t>2018-06-21T22:23:24+00:00</t>
  </si>
  <si>
    <t>ZAIAI Women's Secrets Body Revelations Underwire Bra Black 36</t>
  </si>
  <si>
    <t>N9932YK036</t>
  </si>
  <si>
    <t>B074FTXNPM</t>
  </si>
  <si>
    <t>JONESBORO</t>
  </si>
  <si>
    <t>30236-5318</t>
  </si>
  <si>
    <t>114-7957001-0273049</t>
  </si>
  <si>
    <t>2018-06-21T00:57:11+00:00</t>
  </si>
  <si>
    <t>2018-06-21T19:59:42+00:00</t>
  </si>
  <si>
    <t>HuXang Cloth Women's Plus Size Casual Pant Suits Cropped Palazzo Pants(Grey,L)</t>
  </si>
  <si>
    <t>KTKXKG0L</t>
  </si>
  <si>
    <t>B073XLK4G5</t>
  </si>
  <si>
    <t>PISCATAWAY</t>
  </si>
  <si>
    <t>NJ</t>
  </si>
  <si>
    <t>08854-4717</t>
  </si>
  <si>
    <t>S01-6275862-7831418</t>
  </si>
  <si>
    <t>vi6mjDw433</t>
  </si>
  <si>
    <t>2018-06-22T19:39:33+00:00</t>
  </si>
  <si>
    <t>2018-06-28T12:26:56+00:00</t>
  </si>
  <si>
    <t>Women's White Linen Pants Casual Loose Linen Cropped Wide Leg Pants(White,L)</t>
  </si>
  <si>
    <t>114-6910428-4488268</t>
  </si>
  <si>
    <t>2018-06-22T20:48:01+00:00</t>
  </si>
  <si>
    <t>2018-06-23T19:38:31+00:00</t>
  </si>
  <si>
    <t>Long Beach</t>
  </si>
  <si>
    <t>113-2531457-0968255</t>
  </si>
  <si>
    <t>2018-06-22T15:38:44+00:00</t>
  </si>
  <si>
    <t>2018-06-25T14:23:57+00:00</t>
  </si>
  <si>
    <t>San Tan Valley</t>
  </si>
  <si>
    <t>Arizona</t>
  </si>
  <si>
    <t>Women Bras 38D Green Bras For Women Green 38</t>
  </si>
  <si>
    <t>N039YG038</t>
  </si>
  <si>
    <t>B074JW9ZRS</t>
  </si>
  <si>
    <t>113-9891517-2830629</t>
  </si>
  <si>
    <t>2018-06-22T14:50:16+00:00</t>
  </si>
  <si>
    <t>2018-06-24T02:59:13+00:00</t>
  </si>
  <si>
    <t>Women's Panty Bra Push Up Blue 38</t>
  </si>
  <si>
    <t>N31459YB040</t>
  </si>
  <si>
    <t>B074CXLQVY</t>
  </si>
  <si>
    <t>JOHNSON</t>
  </si>
  <si>
    <t>VT</t>
  </si>
  <si>
    <t>05656-0241</t>
  </si>
  <si>
    <t>113-4302858-7995409</t>
  </si>
  <si>
    <t>2018-06-22T00:31:16+00:00</t>
  </si>
  <si>
    <t>2018-06-22T06:33:40+00:00</t>
  </si>
  <si>
    <t>Women's Lace Bralette Wireless Band Lace Bra Dark Green L</t>
  </si>
  <si>
    <t>NY-XUHM005-GA-L</t>
  </si>
  <si>
    <t>B07BKTKK7K</t>
  </si>
  <si>
    <t>MURFREESBORO</t>
  </si>
  <si>
    <t>37128-5149</t>
  </si>
  <si>
    <t>114-8022758-2949018</t>
  </si>
  <si>
    <t>2018-06-23T19:51:40+00:00</t>
  </si>
  <si>
    <t>2018-06-25T02:10:34+00:00</t>
  </si>
  <si>
    <t>Women's Pushup Bra Panty Set Purple 44</t>
  </si>
  <si>
    <t>N31459YP046</t>
  </si>
  <si>
    <t>B074CXNBPV</t>
  </si>
  <si>
    <t>DEFIANCE</t>
  </si>
  <si>
    <t>43512-3418</t>
  </si>
  <si>
    <t>111-5478714-0892224</t>
  </si>
  <si>
    <t>2018-06-23T18:00:37+00:00</t>
  </si>
  <si>
    <t>2018-06-25T19:04:05+00:00</t>
  </si>
  <si>
    <t>ELGIN</t>
  </si>
  <si>
    <t>73538-8435</t>
  </si>
  <si>
    <t>111-9595337-3254618</t>
  </si>
  <si>
    <t>2018-06-23T17:38:22+00:00</t>
  </si>
  <si>
    <t>2018-06-25T23:07:16+00:00</t>
  </si>
  <si>
    <t>Women s Laced  and  Lace Sexy Trimmed Bra Set  Red/Black  44/100</t>
  </si>
  <si>
    <t>N31459YR044</t>
  </si>
  <si>
    <t>B074CXMS2N</t>
  </si>
  <si>
    <t>CRYSTAL CITY</t>
  </si>
  <si>
    <t>78839-4600</t>
  </si>
  <si>
    <t>114-5400367-3386667</t>
  </si>
  <si>
    <t>2018-06-23T13:29:24+00:00</t>
  </si>
  <si>
    <t>2018-06-24T06:33:56+00:00</t>
  </si>
  <si>
    <t>ZAIAI Women's Lace Bralette Wireless Band Lace Bra Blue XL</t>
  </si>
  <si>
    <t>NY-B15021-B0-XL</t>
  </si>
  <si>
    <t>B078NPVY5T</t>
  </si>
  <si>
    <t>Napa</t>
  </si>
  <si>
    <t>94558-2631</t>
  </si>
  <si>
    <t>111-0748975-8748252</t>
  </si>
  <si>
    <t>2018-06-23T03:35:57+00:00</t>
  </si>
  <si>
    <t>2018-06-24T18:49:08+00:00</t>
  </si>
  <si>
    <t>Women Bras Sports Sexy Bra Lake Blue 36</t>
  </si>
  <si>
    <t>N029YHL36</t>
  </si>
  <si>
    <t>B074K1L386</t>
  </si>
  <si>
    <t>STATEN ISLAND</t>
  </si>
  <si>
    <t>10307-1329</t>
  </si>
  <si>
    <t>113-5804369-1028263</t>
  </si>
  <si>
    <t>2018-06-24T23:56:19+00:00</t>
  </si>
  <si>
    <t>2018-06-25T06:43:30+00:00</t>
  </si>
  <si>
    <t>ZAIAI Women Bras On Clearance Underwire Bra Black 40</t>
  </si>
  <si>
    <t>N531YK040</t>
  </si>
  <si>
    <t>B074K4K838</t>
  </si>
  <si>
    <t>ANTIOCH</t>
  </si>
  <si>
    <t>37013-2904</t>
  </si>
  <si>
    <t>112-6506116-2639428</t>
  </si>
  <si>
    <t>2018-06-24T12:53:25+00:00</t>
  </si>
  <si>
    <t>2018-06-24T18:56:03+00:00</t>
  </si>
  <si>
    <t>ZAIAI Women's Comfort Revolution Shaping Wire-Free Bra Pack of 2 Rose/Purple Melange M</t>
  </si>
  <si>
    <t>NY-XUHM332-HS-M</t>
  </si>
  <si>
    <t>B07BKNWPWQ</t>
  </si>
  <si>
    <t>APPLING</t>
  </si>
  <si>
    <t>30802-3708</t>
  </si>
  <si>
    <t>112-7815244-2986623</t>
  </si>
  <si>
    <t>2018-06-24T07:33:25+00:00</t>
  </si>
  <si>
    <t>2018-06-27T21:08:16+00:00</t>
  </si>
  <si>
    <t>FRESNO</t>
  </si>
  <si>
    <t>93705-4146</t>
  </si>
  <si>
    <t>112-3961448-1957006</t>
  </si>
  <si>
    <t>2018-06-24T05:53:18+00:00</t>
  </si>
  <si>
    <t>2018-06-24T19:12:33+00:00</t>
  </si>
  <si>
    <t>STOCKTON</t>
  </si>
  <si>
    <t>95204-1913</t>
  </si>
  <si>
    <t>112-3487865-6153030</t>
  </si>
  <si>
    <t>2018-06-24T05:26:30+00:00</t>
  </si>
  <si>
    <t>2018-06-24T18:49:28+00:00</t>
  </si>
  <si>
    <t>SAVANNAH</t>
  </si>
  <si>
    <t>31410-1055</t>
  </si>
  <si>
    <t>113-8280108-2211419</t>
  </si>
  <si>
    <t>2018-06-25T22:21:59+00:00</t>
  </si>
  <si>
    <t>2018-06-27T06:08:50+00:00</t>
  </si>
  <si>
    <t>CUMMING</t>
  </si>
  <si>
    <t>30028-2298</t>
  </si>
  <si>
    <t>112-1204500-8924220</t>
  </si>
  <si>
    <t>2018-06-25T21:19:09+00:00</t>
  </si>
  <si>
    <t>2018-06-27T01:08:02+00:00</t>
  </si>
  <si>
    <t>Brookline</t>
  </si>
  <si>
    <t>112-7569761-1372263</t>
  </si>
  <si>
    <t>2018-06-25T14:12:52+00:00</t>
  </si>
  <si>
    <t>2018-06-26T22:16:22+00:00</t>
  </si>
  <si>
    <t>ELK RIVER</t>
  </si>
  <si>
    <t>55330-5610</t>
  </si>
  <si>
    <t>111-3082049-1710608</t>
  </si>
  <si>
    <t>2018-06-25T12:37:07+00:00</t>
  </si>
  <si>
    <t>2018-06-26T06:50:44+00:00</t>
  </si>
  <si>
    <t>Brown City</t>
  </si>
  <si>
    <t>112-5226840-8974650</t>
  </si>
  <si>
    <t>2018-06-25T07:23:27+00:00</t>
  </si>
  <si>
    <t>2018-07-02T03:15:34+00:00</t>
  </si>
  <si>
    <t>Panties Underwear Hipster Panties Sexy Lace Briefs for Women (4 Pack)Apricot L</t>
  </si>
  <si>
    <t>N87319KXSL</t>
  </si>
  <si>
    <t>B074FSD3R1</t>
  </si>
  <si>
    <t>Woodinville</t>
  </si>
  <si>
    <t>98072-8720</t>
  </si>
  <si>
    <t>114-3440811-2974610</t>
  </si>
  <si>
    <t>2018-06-25T04:58:02+00:00</t>
  </si>
  <si>
    <t>2018-06-26T08:25:29+00:00</t>
  </si>
  <si>
    <t>Hanford</t>
  </si>
  <si>
    <t>Ca</t>
  </si>
  <si>
    <t>112-7465912-1757062</t>
  </si>
  <si>
    <t>2018-06-25T03:26:58+00:00</t>
  </si>
  <si>
    <t>2018-06-25T21:02:31+00:00</t>
  </si>
  <si>
    <t>SEMINOLE</t>
  </si>
  <si>
    <t>33772-2242</t>
  </si>
  <si>
    <t>112-3663325-5114655</t>
  </si>
  <si>
    <t>2018-06-25T03:22:41+00:00</t>
  </si>
  <si>
    <t>2018-06-28T09:33:02+00:00</t>
  </si>
  <si>
    <t>112-5937064-6597007</t>
  </si>
  <si>
    <t>2018-06-25T02:26:27+00:00</t>
  </si>
  <si>
    <t>2018-06-25T15:18:58+00:00</t>
  </si>
  <si>
    <t>ZAIAI Women's Anorak Parka Coat Silver Gray</t>
  </si>
  <si>
    <t>HLYHMYSG</t>
  </si>
  <si>
    <t>B0761NFQMT</t>
  </si>
  <si>
    <t>111-0466533-6210664</t>
  </si>
  <si>
    <t>2018-06-25T00:46:20+00:00</t>
  </si>
  <si>
    <t>2018-06-26T19:08:19+00:00</t>
  </si>
  <si>
    <t>KINGWOOD</t>
  </si>
  <si>
    <t>77339-1886</t>
  </si>
  <si>
    <t>111-1603489-6292241</t>
  </si>
  <si>
    <t>2018-06-26T15:49:41+00:00</t>
  </si>
  <si>
    <t>2018-06-26T18:48:35+00:00</t>
  </si>
  <si>
    <t>ZAIAI Nursing Bras For Women Sports Bra Red 36</t>
  </si>
  <si>
    <t>PHILADELPHIA</t>
  </si>
  <si>
    <t>19144-4531</t>
  </si>
  <si>
    <t>112-7166518-0853056</t>
  </si>
  <si>
    <t>2018-06-26T13:23:03+00:00</t>
  </si>
  <si>
    <t>2018-06-29T00:23:55+00:00</t>
  </si>
  <si>
    <t>ZAIAI Women Bras and Panties Sexy Bra Lake Blue 38</t>
  </si>
  <si>
    <t>N2716YHL38</t>
  </si>
  <si>
    <t>B074QQ5S79</t>
  </si>
  <si>
    <t>BESSEMER</t>
  </si>
  <si>
    <t>35022-6712</t>
  </si>
  <si>
    <t>114-9967405-7157060</t>
  </si>
  <si>
    <t>2018-06-26T09:35:15+00:00</t>
  </si>
  <si>
    <t>2018-06-26T20:29:55+00:00</t>
  </si>
  <si>
    <t>INDIANOLA</t>
  </si>
  <si>
    <t>50125-1916</t>
  </si>
  <si>
    <t>114-6236732-8398616</t>
  </si>
  <si>
    <t>2018-06-26T08:09:06+00:00</t>
  </si>
  <si>
    <t>2018-06-26T23:44:45+00:00</t>
  </si>
  <si>
    <t>Qeauty Adhesive Bra,Push Up Drawstring Strapless Bra with Qualities for Sexy Backless Dress Apricot2 C Cup</t>
  </si>
  <si>
    <t>XTHQXSC</t>
  </si>
  <si>
    <t>B074NNZXDV</t>
  </si>
  <si>
    <t>CHICO</t>
  </si>
  <si>
    <t>95926-4502</t>
  </si>
  <si>
    <t>112-0584198-2835452</t>
  </si>
  <si>
    <t>2018-06-26T07:46:24+00:00</t>
  </si>
  <si>
    <t>2018-06-27T06:11:41+00:00</t>
  </si>
  <si>
    <t>DOWNEY</t>
  </si>
  <si>
    <t>90240-3717</t>
  </si>
  <si>
    <t>112-7131862-5807432</t>
  </si>
  <si>
    <t>2018-06-26T04:31:27+00:00</t>
  </si>
  <si>
    <t>2018-06-27T08:44:28+00:00</t>
  </si>
  <si>
    <t>ORLANDO</t>
  </si>
  <si>
    <t>32807-1744</t>
  </si>
  <si>
    <t>112-0804351-9205034</t>
  </si>
  <si>
    <t>2018-06-26T02:14:52+00:00</t>
  </si>
  <si>
    <t>2018-06-27T07:30:04+00:00</t>
  </si>
  <si>
    <t>TACOMA</t>
  </si>
  <si>
    <t>98444-7006</t>
  </si>
  <si>
    <t>111-7726232-4272224</t>
  </si>
  <si>
    <t>2018-06-26T01:39:20+00:00</t>
  </si>
  <si>
    <t>2018-06-27T02:46:37+00:00</t>
  </si>
  <si>
    <t>PHOENIX</t>
  </si>
  <si>
    <t>85008-1607</t>
  </si>
  <si>
    <t>113-2210125-1946610</t>
  </si>
  <si>
    <t>2018-06-27T20:45:32+00:00</t>
  </si>
  <si>
    <t>2018-06-29T07:12:38+00:00</t>
  </si>
  <si>
    <t>Magnolia</t>
  </si>
  <si>
    <t>Texas</t>
  </si>
  <si>
    <t>111-1943842-0009017</t>
  </si>
  <si>
    <t>2018-06-27T20:21:28+00:00</t>
  </si>
  <si>
    <t>2018-06-28T06:36:04+00:00</t>
  </si>
  <si>
    <t>ZAIAI Women Bras Sports Sexy Bra Lake Blue 36</t>
  </si>
  <si>
    <t>SAINT JAMES</t>
  </si>
  <si>
    <t>56081-4564</t>
  </si>
  <si>
    <t>ZAIAI Women Bras Sports Bras For Women Rose Red 36</t>
  </si>
  <si>
    <t>N029YMH36</t>
  </si>
  <si>
    <t>B074K5FMRM</t>
  </si>
  <si>
    <t>112-7406038-1929866</t>
  </si>
  <si>
    <t>2018-06-27T16:17:16+00:00</t>
  </si>
  <si>
    <t>2018-06-28T09:43:53+00:00</t>
  </si>
  <si>
    <t>113-5860613-0857024</t>
  </si>
  <si>
    <t>2018-06-27T15:51:50+00:00</t>
  </si>
  <si>
    <t>2018-06-29T22:27:43+00:00</t>
  </si>
  <si>
    <t>MOCOTONO Women's Plus Size Elastic Waist Wide Leg Linen Cropped Pants Yellow Medium</t>
  </si>
  <si>
    <t>KTKXKY0</t>
  </si>
  <si>
    <t>B071HHSJ1R</t>
  </si>
  <si>
    <t>COLUMBIA</t>
  </si>
  <si>
    <t>MO</t>
  </si>
  <si>
    <t>65203-2623</t>
  </si>
  <si>
    <t>111-3328238-0458615</t>
  </si>
  <si>
    <t>2018-06-27T15:31:15+00:00</t>
  </si>
  <si>
    <t>2018-06-28T08:39:58+00:00</t>
  </si>
  <si>
    <t>Women's Bra Panty Set Bras Purple 42</t>
  </si>
  <si>
    <t>N31459YP044</t>
  </si>
  <si>
    <t>B074CXP24Y</t>
  </si>
  <si>
    <t>PLACERVILLE</t>
  </si>
  <si>
    <t>95667-0361</t>
  </si>
  <si>
    <t>113-5237624-1449013</t>
  </si>
  <si>
    <t>2018-06-27T15:16:53+00:00</t>
  </si>
  <si>
    <t>2018-06-28T03:57:38+00:00</t>
  </si>
  <si>
    <t>IRVINE</t>
  </si>
  <si>
    <t>92614-7448</t>
  </si>
  <si>
    <t>112-7156545-0077803</t>
  </si>
  <si>
    <t>2018-06-27T15:15:36+00:00</t>
  </si>
  <si>
    <t>2018-06-28T08:19:20+00:00</t>
  </si>
  <si>
    <t>LANGHORNE</t>
  </si>
  <si>
    <t>19047-5161</t>
  </si>
  <si>
    <t>114-8441244-7336255</t>
  </si>
  <si>
    <t>2018-06-27T13:49:45+00:00</t>
  </si>
  <si>
    <t>2018-07-02T06:29:57+00:00</t>
  </si>
  <si>
    <t>BELTSVILLE</t>
  </si>
  <si>
    <t>20705-1765</t>
  </si>
  <si>
    <t>113-3446932-9687446</t>
  </si>
  <si>
    <t>2018-06-27T12:33:02+00:00</t>
  </si>
  <si>
    <t>2018-06-28T09:15:46+00:00</t>
  </si>
  <si>
    <t>ZAIAI Sports Bras For Women Plus Size Rose Red 36</t>
  </si>
  <si>
    <t>JACKSON</t>
  </si>
  <si>
    <t>53037-8914</t>
  </si>
  <si>
    <t>111-9762911-6498658</t>
  </si>
  <si>
    <t>2018-06-27T12:26:50+00:00</t>
  </si>
  <si>
    <t>2018-06-27T20:27:31+00:00</t>
  </si>
  <si>
    <t>MOCOTONO Women's Plus Size Elastic Waist Wide Leg Linen Cropped Pants Red Medium</t>
  </si>
  <si>
    <t>KTKXKR0</t>
  </si>
  <si>
    <t>B071NP2X5N</t>
  </si>
  <si>
    <t>11216-1906</t>
  </si>
  <si>
    <t>114-4328370-7150610</t>
  </si>
  <si>
    <t>2018-06-27T12:05:26+00:00</t>
  </si>
  <si>
    <t>2018-06-28T06:15:28+00:00</t>
  </si>
  <si>
    <t>HOBART</t>
  </si>
  <si>
    <t>INDIANA</t>
  </si>
  <si>
    <t>46342-1127</t>
  </si>
  <si>
    <t>112-2919524-4225806</t>
  </si>
  <si>
    <t>2018-06-27T09:34:17+00:00</t>
  </si>
  <si>
    <t>2018-06-28T00:19:01+00:00</t>
  </si>
  <si>
    <t>Laurel</t>
  </si>
  <si>
    <t>Mississippi</t>
  </si>
  <si>
    <t>112-2698869-2659451</t>
  </si>
  <si>
    <t>2018-06-27T08:20:43+00:00</t>
  </si>
  <si>
    <t>2018-06-29T22:37:47+00:00</t>
  </si>
  <si>
    <t>Women Bras Cotton Underwire Bra Blue 36</t>
  </si>
  <si>
    <t>N531YB036</t>
  </si>
  <si>
    <t>B074JVMQRW</t>
  </si>
  <si>
    <t>Olathe</t>
  </si>
  <si>
    <t>KS</t>
  </si>
  <si>
    <t>112-6502240-5230621</t>
  </si>
  <si>
    <t>2018-06-27T03:51:38+00:00</t>
  </si>
  <si>
    <t>2018-06-28T04:24:20+00:00</t>
  </si>
  <si>
    <t>SANTA ANA</t>
  </si>
  <si>
    <t>92703-1426</t>
  </si>
  <si>
    <t>114-9299451-3077018</t>
  </si>
  <si>
    <t>2018-06-27T02:38:33+00:00</t>
  </si>
  <si>
    <t>2018-06-27T21:33:10+00:00</t>
  </si>
  <si>
    <t>HuXang Cloth Womens Fold Over Waist Solid Ruffled Flare Palazzo Pants Capris(Rose Red,S)</t>
  </si>
  <si>
    <t>JBL-QFFMMHS</t>
  </si>
  <si>
    <t>B073F35WHV</t>
  </si>
  <si>
    <t>ST AUGUSTINE</t>
  </si>
  <si>
    <t>32084-2215</t>
  </si>
  <si>
    <t>114-6661784-2118617</t>
  </si>
  <si>
    <t>2018-06-28T22:37:27+00:00</t>
  </si>
  <si>
    <t>2018-07-01T16:05:49+00:00</t>
  </si>
  <si>
    <t>WOODRUFF</t>
  </si>
  <si>
    <t>54568-9243</t>
  </si>
  <si>
    <t>111-3881448-8415435</t>
  </si>
  <si>
    <t>2018-06-28T19:56:04+00:00</t>
  </si>
  <si>
    <t>2018-06-29T03:34:57+00:00</t>
  </si>
  <si>
    <t>Fountain Valley</t>
  </si>
  <si>
    <t>113-6458608-0866645</t>
  </si>
  <si>
    <t>2018-06-28T19:23:55+00:00</t>
  </si>
  <si>
    <t>2018-07-01T06:28:51+00:00</t>
  </si>
  <si>
    <t>SAN JOSE</t>
  </si>
  <si>
    <t>95113-1810</t>
  </si>
  <si>
    <t>113-9674895-9274623</t>
  </si>
  <si>
    <t>2018-06-28T16:47:03+00:00</t>
  </si>
  <si>
    <t>2018-07-03T04:50:44+00:00</t>
  </si>
  <si>
    <t>ZAIAI Boyshort Panties Women Sexy Lace Fun Underwear Briefs Ladies Knickers Womens Triangle Thong Black XXL</t>
  </si>
  <si>
    <t>NK-XUHM001-K0-XXL</t>
  </si>
  <si>
    <t>B078WQHD98</t>
  </si>
  <si>
    <t>SOUTH RIDING</t>
  </si>
  <si>
    <t>20152-5332</t>
  </si>
  <si>
    <t>111-6925118-7232215</t>
  </si>
  <si>
    <t>2018-06-28T15:04:02+00:00</t>
  </si>
  <si>
    <t>2018-07-01T02:33:25+00:00</t>
  </si>
  <si>
    <t>Women's Pushup Bra Panty Set Orange 44</t>
  </si>
  <si>
    <t>N31459YJS46</t>
  </si>
  <si>
    <t>B074CXNWMZ</t>
  </si>
  <si>
    <t>CHARLOTTESVILLE</t>
  </si>
  <si>
    <t>22911-5637</t>
  </si>
  <si>
    <t>114-2323828-9950647</t>
  </si>
  <si>
    <t>2018-06-28T13:42:37+00:00</t>
  </si>
  <si>
    <t>2018-07-02T06:51:27+00:00</t>
  </si>
  <si>
    <t>113-7354819-4779456</t>
  </si>
  <si>
    <t>2018-06-28T12:51:48+00:00</t>
  </si>
  <si>
    <t>2018-06-29T01:07:40+00:00</t>
  </si>
  <si>
    <t>Middleburg</t>
  </si>
  <si>
    <t>114-9044945-2641041</t>
  </si>
  <si>
    <t>2018-06-28T09:15:33+00:00</t>
  </si>
  <si>
    <t>2018-06-29T16:35:57+00:00</t>
  </si>
  <si>
    <t>ROCKVILLE</t>
  </si>
  <si>
    <t>20852-2447</t>
  </si>
  <si>
    <t>114-8352783-8664243</t>
  </si>
  <si>
    <t>2018-06-29T21:11:48+00:00</t>
  </si>
  <si>
    <t>2018-06-30T06:24:16+00:00</t>
  </si>
  <si>
    <t>ZAIAI Womens Cotton Thong Underwear Lace Trim Soft Sexy Lingerie Panties Set(6 Pack) Purple XL</t>
  </si>
  <si>
    <t>N87232KP0XL</t>
  </si>
  <si>
    <t>B074FS9DHG</t>
  </si>
  <si>
    <t>GAITHERSBURG</t>
  </si>
  <si>
    <t>20877-1042</t>
  </si>
  <si>
    <t>112-0949353-6699456</t>
  </si>
  <si>
    <t>2018-06-29T19:48:25+00:00</t>
  </si>
  <si>
    <t>2018-06-30T17:41:29+00:00</t>
  </si>
  <si>
    <t>TORRINGTON</t>
  </si>
  <si>
    <t>06790-7020</t>
  </si>
  <si>
    <t>111-1152867-7946617</t>
  </si>
  <si>
    <t>2018-06-29T19:45:31+00:00</t>
  </si>
  <si>
    <t>2018-06-30T19:33:23+00:00</t>
  </si>
  <si>
    <t>LITCHFIELD PARK</t>
  </si>
  <si>
    <t>85340-6252</t>
  </si>
  <si>
    <t>111-7500650-9929828</t>
  </si>
  <si>
    <t>2018-06-29T18:24:00+00:00</t>
  </si>
  <si>
    <t>2018-07-01T15:46:27+00:00</t>
  </si>
  <si>
    <t>ZAIAI Boyshort Panties Women Sexy Lace Fun Underwear Briefs Ladies Knickers Womens Triangle Thong Black XL</t>
  </si>
  <si>
    <t>NK-XUHM001-K0-XL</t>
  </si>
  <si>
    <t>B078WPYL96</t>
  </si>
  <si>
    <t>AMHERST</t>
  </si>
  <si>
    <t>OHIO</t>
  </si>
  <si>
    <t>44001-2757</t>
  </si>
  <si>
    <t>113-3039746-3841050</t>
  </si>
  <si>
    <t>2018-06-29T13:46:25+00:00</t>
  </si>
  <si>
    <t>2018-06-30T19:58:08+00:00</t>
  </si>
  <si>
    <t>WEST MILFORD</t>
  </si>
  <si>
    <t>07480-2213</t>
  </si>
  <si>
    <t>113-1079582-9705042</t>
  </si>
  <si>
    <t>2018-06-29T09:31:52+00:00</t>
  </si>
  <si>
    <t>2018-06-30T17:38:19+00:00</t>
  </si>
  <si>
    <t>ZAIAI Women Bras No Wire Sports Bra Watermelon Red 40</t>
  </si>
  <si>
    <t>N039YXGH40</t>
  </si>
  <si>
    <t>B074JXZSJM</t>
  </si>
  <si>
    <t>kokomo</t>
  </si>
  <si>
    <t>IN</t>
  </si>
  <si>
    <t>113-6595743-9965050</t>
  </si>
  <si>
    <t>2018-06-29T06:56:30+00:00</t>
  </si>
  <si>
    <t>2018-06-30T10:30:27+00:00</t>
  </si>
  <si>
    <t>ZAIAI Women's Embroidery Bras Set Lace Lingerie Bra and Panties White 46</t>
  </si>
  <si>
    <t>ALEXANDRIA</t>
  </si>
  <si>
    <t>43001-9712</t>
  </si>
  <si>
    <t>111-4418315-4441839</t>
  </si>
  <si>
    <t>2018-06-30T22:12:47+00:00</t>
  </si>
  <si>
    <t>2018-07-02T02:52:48+00:00</t>
  </si>
  <si>
    <t>ZAIAI Women Bras Comfor Straps Sports Bra Red 40</t>
  </si>
  <si>
    <t>Philadelphia</t>
  </si>
  <si>
    <t>19145-4112</t>
  </si>
  <si>
    <t>ZAIAI Women Bras Size Sports Bra Pink 36</t>
  </si>
  <si>
    <t>114-6459199-1171456</t>
  </si>
  <si>
    <t>2018-06-30T19:32:03+00:00</t>
  </si>
  <si>
    <t>2018-07-03T03:22:15+00:00</t>
  </si>
  <si>
    <t>Women Bras Plus Size Front Hook Sports Bra For Women Gray 38</t>
  </si>
  <si>
    <t>TUCSON</t>
  </si>
  <si>
    <t>85718-6858</t>
  </si>
  <si>
    <t>114-5441904-8920206</t>
  </si>
  <si>
    <t>2018-06-30T17:39:07+00:00</t>
  </si>
  <si>
    <t>2018-07-01T21:23:50+00:00</t>
  </si>
  <si>
    <t>Sports Bras For Teens Seamless Nursing Bra Green 34</t>
  </si>
  <si>
    <t>N2716YYGL34</t>
  </si>
  <si>
    <t>B074QCGCJC</t>
  </si>
  <si>
    <t>surprise</t>
  </si>
  <si>
    <t>az</t>
  </si>
  <si>
    <t>114-0782387-6455453</t>
  </si>
  <si>
    <t>2018-06-30T17:07:51+00:00</t>
  </si>
  <si>
    <t>2018-07-02T06:19:33+00:00</t>
  </si>
  <si>
    <t>MILWAUKIE</t>
  </si>
  <si>
    <t>OR</t>
  </si>
  <si>
    <t>97267-1520</t>
  </si>
  <si>
    <t>114-7847963-3486621</t>
  </si>
  <si>
    <t>2018-06-30T02:04:31+00:00</t>
  </si>
  <si>
    <t>2018-07-02T08:21:06+00:00</t>
  </si>
  <si>
    <t>New Milford</t>
  </si>
  <si>
    <t>114-2466176-5809826</t>
  </si>
  <si>
    <t>2018-06-30T01:24:01+00:00</t>
  </si>
  <si>
    <t>2018-07-02T13:29:01+00:00</t>
  </si>
  <si>
    <t>CHOWCHILLA</t>
  </si>
  <si>
    <t>93610-2043</t>
  </si>
  <si>
    <t>111-5597186-8239459</t>
  </si>
  <si>
    <t>2018-06-30T00:16:36+00:00</t>
  </si>
  <si>
    <t>2018-07-01T02:59:36+00:00</t>
  </si>
  <si>
    <t>77092-1342</t>
  </si>
  <si>
    <t>114-9656361-4433006</t>
  </si>
  <si>
    <t>2018-07-01T21:29:37+00:00</t>
  </si>
  <si>
    <t>2018-07-03T04:00:52+00:00</t>
  </si>
  <si>
    <t>Pending</t>
  </si>
  <si>
    <t>VALRICO</t>
  </si>
  <si>
    <t>33596-8400</t>
  </si>
  <si>
    <t>111-2463657-6389804</t>
  </si>
  <si>
    <t>2018-07-01T12:00:16+00:00</t>
  </si>
  <si>
    <t>2018-07-02T02:25:11+00:00</t>
  </si>
  <si>
    <t>Herndon</t>
  </si>
  <si>
    <t>112-2215291-9999407</t>
  </si>
  <si>
    <t>2018-07-01T04:46:27+00:00</t>
  </si>
  <si>
    <t>2018-07-02T14:33:26+00:00</t>
  </si>
  <si>
    <t>SAN DIMAS</t>
  </si>
  <si>
    <t>91773-1133</t>
  </si>
  <si>
    <t>销量</t>
  </si>
  <si>
    <t>日均销量</t>
  </si>
  <si>
    <t>合计</t>
  </si>
  <si>
    <t>父sku</t>
  </si>
  <si>
    <t>一周销量</t>
  </si>
  <si>
    <t>二周销量</t>
  </si>
  <si>
    <t>三周销量</t>
  </si>
  <si>
    <t>四周销量</t>
  </si>
  <si>
    <t>销售单价</t>
  </si>
  <si>
    <t>销售额</t>
  </si>
  <si>
    <t>总销量</t>
  </si>
  <si>
    <t>开始日期（输人至B1）</t>
  </si>
  <si>
    <t>结束日期（输人至B2）</t>
  </si>
  <si>
    <t>库存报告使用日期</t>
  </si>
  <si>
    <t>第一周结束日期</t>
  </si>
  <si>
    <t>第一周开始日期</t>
  </si>
  <si>
    <t>第二周结束日期</t>
  </si>
  <si>
    <t>第二周开始日期</t>
  </si>
  <si>
    <t>第三周结束日期</t>
  </si>
  <si>
    <t>第三周开始日期</t>
  </si>
  <si>
    <t>第四周结束日期</t>
  </si>
  <si>
    <t>第四周开始日期</t>
  </si>
  <si>
    <t>单价</t>
  </si>
  <si>
    <t>N531Y</t>
  </si>
  <si>
    <t>N31459Y</t>
  </si>
  <si>
    <t>N039Y</t>
  </si>
  <si>
    <t>KTKXJFK</t>
  </si>
  <si>
    <t>NY-B15016</t>
  </si>
  <si>
    <t>N9383Y</t>
  </si>
  <si>
    <t>JBL-QFFM</t>
  </si>
  <si>
    <t>N2082Y</t>
  </si>
  <si>
    <t>NY-XUHM331</t>
  </si>
  <si>
    <t>JBLKTK</t>
  </si>
  <si>
    <t>N2716Y</t>
  </si>
  <si>
    <t>NY-B15021</t>
  </si>
  <si>
    <t>N263Y</t>
  </si>
  <si>
    <t>N3818-2Y</t>
  </si>
  <si>
    <t>NY-XUHM463</t>
  </si>
  <si>
    <t>MY71115</t>
  </si>
  <si>
    <t>KTKXXK</t>
  </si>
  <si>
    <t>NWZE</t>
  </si>
  <si>
    <t>ZSNW</t>
  </si>
  <si>
    <t>MY71107</t>
  </si>
  <si>
    <t>DDHNY</t>
  </si>
  <si>
    <t>N029Y</t>
  </si>
  <si>
    <t>DDBNY</t>
  </si>
  <si>
    <t>GJHNY</t>
  </si>
  <si>
    <t>XTLA</t>
  </si>
  <si>
    <t>MZCXK</t>
  </si>
  <si>
    <t>ZIMUYH</t>
  </si>
  <si>
    <t>N299Y</t>
  </si>
  <si>
    <t>NY-XUHM332</t>
  </si>
  <si>
    <t>N87319K</t>
  </si>
  <si>
    <t>TTYCMZFCXH</t>
  </si>
  <si>
    <t>XTHQ</t>
  </si>
  <si>
    <t>N5100Y</t>
  </si>
  <si>
    <t>NK-XUHM001</t>
  </si>
  <si>
    <t>N87232K</t>
  </si>
</sst>
</file>

<file path=xl/styles.xml><?xml version="1.0" encoding="utf-8"?>
<styleSheet xmlns="http://schemas.openxmlformats.org/spreadsheetml/2006/main">
  <numFmts count="7">
    <numFmt numFmtId="44" formatCode="_ &quot;￥&quot;* #,##0.00_ ;_ &quot;￥&quot;* \-#,##0.00_ ;_ &quot;￥&quot;* &quot;-&quot;??_ ;_ @_ "/>
    <numFmt numFmtId="41" formatCode="_ * #,##0_ ;_ * \-#,##0_ ;_ * &quot;-&quot;_ ;_ @_ "/>
    <numFmt numFmtId="42" formatCode="_ &quot;￥&quot;* #,##0_ ;_ &quot;￥&quot;* \-#,##0_ ;_ &quot;￥&quot;* &quot;-&quot;_ ;_ @_ "/>
    <numFmt numFmtId="43" formatCode="_ * #,##0.00_ ;_ * \-#,##0.00_ ;_ * &quot;-&quot;??_ ;_ @_ "/>
    <numFmt numFmtId="176" formatCode="yyyy&quot;年&quot;m&quot;月&quot;d&quot;日&quot;;@"/>
    <numFmt numFmtId="177" formatCode="0.00_ "/>
    <numFmt numFmtId="178" formatCode="&quot;US$&quot;#,##0.00_);\(&quot;US$&quot;#,##0.00\)"/>
  </numFmts>
  <fonts count="23">
    <font>
      <sz val="11"/>
      <color theme="1"/>
      <name val="等线"/>
      <charset val="134"/>
      <scheme val="minor"/>
    </font>
    <font>
      <sz val="11"/>
      <color theme="1"/>
      <name val="Calibri"/>
      <charset val="134"/>
    </font>
    <font>
      <sz val="11"/>
      <color rgb="FFFF0000"/>
      <name val="等线"/>
      <charset val="134"/>
      <scheme val="minor"/>
    </font>
    <font>
      <sz val="11"/>
      <color rgb="FF000000"/>
      <name val="宋体"/>
      <charset val="134"/>
    </font>
    <font>
      <b/>
      <sz val="11"/>
      <color rgb="FFFFFFFF"/>
      <name val="等线"/>
      <charset val="0"/>
      <scheme val="minor"/>
    </font>
    <font>
      <sz val="11"/>
      <color theme="0"/>
      <name val="等线"/>
      <charset val="0"/>
      <scheme val="minor"/>
    </font>
    <font>
      <b/>
      <sz val="15"/>
      <color theme="3"/>
      <name val="等线"/>
      <charset val="134"/>
      <scheme val="minor"/>
    </font>
    <font>
      <sz val="11"/>
      <color theme="1"/>
      <name val="等线"/>
      <charset val="0"/>
      <scheme val="minor"/>
    </font>
    <font>
      <b/>
      <sz val="11"/>
      <color theme="3"/>
      <name val="等线"/>
      <charset val="134"/>
      <scheme val="minor"/>
    </font>
    <font>
      <sz val="11"/>
      <color rgb="FF9C0006"/>
      <name val="等线"/>
      <charset val="0"/>
      <scheme val="minor"/>
    </font>
    <font>
      <sz val="11"/>
      <color rgb="FF006100"/>
      <name val="等线"/>
      <charset val="0"/>
      <scheme val="minor"/>
    </font>
    <font>
      <i/>
      <sz val="11"/>
      <color rgb="FF7F7F7F"/>
      <name val="等线"/>
      <charset val="0"/>
      <scheme val="minor"/>
    </font>
    <font>
      <b/>
      <sz val="11"/>
      <color rgb="FFFA7D00"/>
      <name val="等线"/>
      <charset val="0"/>
      <scheme val="minor"/>
    </font>
    <font>
      <u/>
      <sz val="11"/>
      <color rgb="FF0000FF"/>
      <name val="等线"/>
      <charset val="0"/>
      <scheme val="minor"/>
    </font>
    <font>
      <sz val="11"/>
      <color rgb="FF3F3F76"/>
      <name val="等线"/>
      <charset val="0"/>
      <scheme val="minor"/>
    </font>
    <font>
      <b/>
      <sz val="13"/>
      <color theme="3"/>
      <name val="等线"/>
      <charset val="134"/>
      <scheme val="minor"/>
    </font>
    <font>
      <u/>
      <sz val="11"/>
      <color rgb="FF800080"/>
      <name val="等线"/>
      <charset val="0"/>
      <scheme val="minor"/>
    </font>
    <font>
      <b/>
      <sz val="11"/>
      <color theme="1"/>
      <name val="等线"/>
      <charset val="0"/>
      <scheme val="minor"/>
    </font>
    <font>
      <sz val="11"/>
      <color rgb="FFFF0000"/>
      <name val="等线"/>
      <charset val="0"/>
      <scheme val="minor"/>
    </font>
    <font>
      <b/>
      <sz val="11"/>
      <color rgb="FF3F3F3F"/>
      <name val="等线"/>
      <charset val="0"/>
      <scheme val="minor"/>
    </font>
    <font>
      <b/>
      <sz val="18"/>
      <color theme="3"/>
      <name val="等线"/>
      <charset val="134"/>
      <scheme val="minor"/>
    </font>
    <font>
      <sz val="11"/>
      <color rgb="FFFA7D00"/>
      <name val="等线"/>
      <charset val="0"/>
      <scheme val="minor"/>
    </font>
    <font>
      <sz val="11"/>
      <color rgb="FF9C6500"/>
      <name val="等线"/>
      <charset val="0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 tint="0.799981688894314"/>
        <bgColor indexed="64"/>
      </patternFill>
    </fill>
  </fills>
  <borders count="9">
    <border>
      <left/>
      <right/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</borders>
  <cellStyleXfs count="49">
    <xf numFmtId="0" fontId="0" fillId="0" borderId="0"/>
    <xf numFmtId="42" fontId="0" fillId="0" borderId="0" applyFont="0" applyFill="0" applyBorder="0" applyAlignment="0" applyProtection="0">
      <alignment vertical="center"/>
    </xf>
    <xf numFmtId="0" fontId="7" fillId="10" borderId="0" applyNumberFormat="0" applyBorder="0" applyAlignment="0" applyProtection="0">
      <alignment vertical="center"/>
    </xf>
    <xf numFmtId="0" fontId="14" fillId="16" borderId="4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7" fillId="11" borderId="0" applyNumberFormat="0" applyBorder="0" applyAlignment="0" applyProtection="0">
      <alignment vertical="center"/>
    </xf>
    <xf numFmtId="0" fontId="9" fillId="7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0" fillId="15" borderId="5" applyNumberFormat="0" applyFont="0" applyAlignment="0" applyProtection="0">
      <alignment vertical="center"/>
    </xf>
    <xf numFmtId="0" fontId="5" fillId="21" borderId="0" applyNumberFormat="0" applyBorder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6" fillId="0" borderId="2" applyNumberFormat="0" applyFill="0" applyAlignment="0" applyProtection="0">
      <alignment vertical="center"/>
    </xf>
    <xf numFmtId="0" fontId="15" fillId="0" borderId="2" applyNumberFormat="0" applyFill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8" fillId="0" borderId="3" applyNumberFormat="0" applyFill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19" fillId="14" borderId="7" applyNumberFormat="0" applyAlignment="0" applyProtection="0">
      <alignment vertical="center"/>
    </xf>
    <xf numFmtId="0" fontId="12" fillId="14" borderId="4" applyNumberFormat="0" applyAlignment="0" applyProtection="0">
      <alignment vertical="center"/>
    </xf>
    <xf numFmtId="0" fontId="4" fillId="3" borderId="1" applyNumberFormat="0" applyAlignment="0" applyProtection="0">
      <alignment vertical="center"/>
    </xf>
    <xf numFmtId="0" fontId="7" fillId="6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21" fillId="0" borderId="8" applyNumberFormat="0" applyFill="0" applyAlignment="0" applyProtection="0">
      <alignment vertical="center"/>
    </xf>
    <xf numFmtId="0" fontId="17" fillId="0" borderId="6" applyNumberFormat="0" applyFill="0" applyAlignment="0" applyProtection="0">
      <alignment vertical="center"/>
    </xf>
    <xf numFmtId="0" fontId="10" fillId="9" borderId="0" applyNumberFormat="0" applyBorder="0" applyAlignment="0" applyProtection="0">
      <alignment vertical="center"/>
    </xf>
    <xf numFmtId="0" fontId="22" fillId="32" borderId="0" applyNumberFormat="0" applyBorder="0" applyAlignment="0" applyProtection="0">
      <alignment vertical="center"/>
    </xf>
    <xf numFmtId="0" fontId="7" fillId="8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7" fillId="33" borderId="0" applyNumberFormat="0" applyBorder="0" applyAlignment="0" applyProtection="0">
      <alignment vertical="center"/>
    </xf>
    <xf numFmtId="0" fontId="7" fillId="27" borderId="0" applyNumberFormat="0" applyBorder="0" applyAlignment="0" applyProtection="0">
      <alignment vertical="center"/>
    </xf>
    <xf numFmtId="0" fontId="7" fillId="13" borderId="0" applyNumberFormat="0" applyBorder="0" applyAlignment="0" applyProtection="0">
      <alignment vertical="center"/>
    </xf>
    <xf numFmtId="0" fontId="7" fillId="24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7" fillId="23" borderId="0" applyNumberFormat="0" applyBorder="0" applyAlignment="0" applyProtection="0">
      <alignment vertical="center"/>
    </xf>
    <xf numFmtId="0" fontId="7" fillId="5" borderId="0" applyNumberFormat="0" applyBorder="0" applyAlignment="0" applyProtection="0">
      <alignment vertical="center"/>
    </xf>
    <xf numFmtId="0" fontId="5" fillId="12" borderId="0" applyNumberFormat="0" applyBorder="0" applyAlignment="0" applyProtection="0">
      <alignment vertical="center"/>
    </xf>
    <xf numFmtId="0" fontId="7" fillId="26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7" fillId="25" borderId="0" applyNumberFormat="0" applyBorder="0" applyAlignment="0" applyProtection="0">
      <alignment vertical="center"/>
    </xf>
    <xf numFmtId="0" fontId="5" fillId="29" borderId="0" applyNumberFormat="0" applyBorder="0" applyAlignment="0" applyProtection="0">
      <alignment vertical="center"/>
    </xf>
  </cellStyleXfs>
  <cellXfs count="25">
    <xf numFmtId="0" fontId="0" fillId="0" borderId="0" xfId="0"/>
    <xf numFmtId="177" fontId="0" fillId="0" borderId="0" xfId="0" applyNumberFormat="1"/>
    <xf numFmtId="0" fontId="1" fillId="0" borderId="0" xfId="0" applyFont="1"/>
    <xf numFmtId="0" fontId="0" fillId="0" borderId="0" xfId="0" applyFill="1" applyAlignment="1"/>
    <xf numFmtId="176" fontId="0" fillId="0" borderId="0" xfId="0" applyNumberFormat="1" applyFill="1" applyAlignment="1">
      <alignment horizontal="center"/>
    </xf>
    <xf numFmtId="176" fontId="0" fillId="0" borderId="0" xfId="0" applyNumberFormat="1"/>
    <xf numFmtId="176" fontId="0" fillId="0" borderId="0" xfId="0" applyNumberFormat="1" applyFill="1" applyAlignment="1">
      <alignment horizontal="right"/>
    </xf>
    <xf numFmtId="176" fontId="0" fillId="0" borderId="0" xfId="0" applyNumberFormat="1" applyFill="1" applyAlignment="1"/>
    <xf numFmtId="0" fontId="2" fillId="0" borderId="0" xfId="0" applyFont="1"/>
    <xf numFmtId="0" fontId="0" fillId="0" borderId="0" xfId="0" applyFill="1" applyBorder="1" applyAlignment="1">
      <alignment vertical="center"/>
    </xf>
    <xf numFmtId="0" fontId="0" fillId="0" borderId="0" xfId="0" applyFill="1" applyAlignment="1">
      <alignment vertical="center"/>
    </xf>
    <xf numFmtId="0" fontId="0" fillId="2" borderId="0" xfId="0" applyFill="1"/>
    <xf numFmtId="176" fontId="0" fillId="2" borderId="0" xfId="0" applyNumberFormat="1" applyFill="1" applyBorder="1"/>
    <xf numFmtId="14" fontId="0" fillId="0" borderId="0" xfId="0" applyNumberFormat="1" applyFill="1" applyAlignment="1">
      <alignment vertical="center"/>
    </xf>
    <xf numFmtId="176" fontId="0" fillId="2" borderId="0" xfId="0" applyNumberFormat="1" applyFill="1"/>
    <xf numFmtId="10" fontId="0" fillId="0" borderId="0" xfId="0" applyNumberFormat="1" applyFill="1" applyAlignment="1">
      <alignment vertical="center"/>
    </xf>
    <xf numFmtId="9" fontId="0" fillId="0" borderId="0" xfId="0" applyNumberFormat="1" applyFill="1" applyAlignment="1">
      <alignment vertical="center"/>
    </xf>
    <xf numFmtId="178" fontId="0" fillId="0" borderId="0" xfId="0" applyNumberFormat="1" applyFill="1" applyAlignment="1">
      <alignment vertical="center"/>
    </xf>
    <xf numFmtId="14" fontId="3" fillId="0" borderId="0" xfId="0" applyNumberFormat="1" applyFont="1" applyFill="1" applyAlignment="1">
      <alignment vertical="center"/>
    </xf>
    <xf numFmtId="0" fontId="3" fillId="0" borderId="0" xfId="0" applyFont="1" applyFill="1" applyAlignment="1">
      <alignment vertical="center"/>
    </xf>
    <xf numFmtId="10" fontId="3" fillId="0" borderId="0" xfId="0" applyNumberFormat="1" applyFont="1" applyFill="1" applyAlignment="1">
      <alignment vertical="center"/>
    </xf>
    <xf numFmtId="9" fontId="3" fillId="0" borderId="0" xfId="0" applyNumberFormat="1" applyFont="1" applyFill="1" applyAlignment="1">
      <alignment vertical="center"/>
    </xf>
    <xf numFmtId="178" fontId="3" fillId="0" borderId="0" xfId="0" applyNumberFormat="1" applyFont="1" applyFill="1" applyAlignment="1">
      <alignment vertical="center"/>
    </xf>
    <xf numFmtId="14" fontId="0" fillId="0" borderId="0" xfId="0" applyNumberFormat="1" applyFill="1" applyBorder="1" applyAlignment="1">
      <alignment vertical="center"/>
    </xf>
    <xf numFmtId="17" fontId="0" fillId="0" borderId="0" xfId="0" applyNumberFormat="1"/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sharedStrings" Target="sharedStrings.xml"/><Relationship Id="rId8" Type="http://schemas.openxmlformats.org/officeDocument/2006/relationships/styles" Target="styles.xml"/><Relationship Id="rId7" Type="http://schemas.openxmlformats.org/officeDocument/2006/relationships/theme" Target="theme/theme1.xml"/><Relationship Id="rId6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0" Type="http://schemas.microsoft.com/office/2006/relationships/vbaProject" Target="vbaProject.bin"/><Relationship Id="rId1" Type="http://schemas.openxmlformats.org/officeDocument/2006/relationships/worksheet" Target="worksheets/sheet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w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w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wmf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28575</xdr:colOff>
          <xdr:row>1</xdr:row>
          <xdr:rowOff>9525</xdr:rowOff>
        </xdr:from>
        <xdr:to>
          <xdr:col>35</xdr:col>
          <xdr:colOff>28575</xdr:colOff>
          <xdr:row>2</xdr:row>
          <xdr:rowOff>161925</xdr:rowOff>
        </xdr:to>
        <xdr:sp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25179655" y="190500"/>
              <a:ext cx="1371600" cy="333375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1</xdr:row>
          <xdr:rowOff>152400</xdr:rowOff>
        </xdr:from>
        <xdr:to>
          <xdr:col>4</xdr:col>
          <xdr:colOff>47625</xdr:colOff>
          <xdr:row>4</xdr:row>
          <xdr:rowOff>0</xdr:rowOff>
        </xdr:to>
        <xdr:sp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2825750" y="333375"/>
              <a:ext cx="1390650" cy="390525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0</xdr:row>
          <xdr:rowOff>171450</xdr:rowOff>
        </xdr:from>
        <xdr:to>
          <xdr:col>5</xdr:col>
          <xdr:colOff>19050</xdr:colOff>
          <xdr:row>3</xdr:row>
          <xdr:rowOff>19050</xdr:rowOff>
        </xdr:to>
        <xdr:sp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2676525" y="171450"/>
              <a:ext cx="1381125" cy="409575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\&#24037;&#20316;&#32467;&#26524;\&#24191;&#21578;&#24211;&#23384;&#25253;&#21578;&#33258;&#21160;&#21270;&#27169;&#26495;\XiYao\&#23376;&#29238;&#20307;SKU-&#23376;&#29238;&#20307;ASIN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子sku-父sku"/>
      <sheetName val="父sku-父asin"/>
      <sheetName val="sku-asin（子）"/>
      <sheetName val="子ASIN-子SKU"/>
    </sheetNames>
    <sheetDataSet>
      <sheetData sheetId="0">
        <row r="1">
          <cell r="A1" t="str">
            <v>子sku</v>
          </cell>
          <cell r="B1" t="str">
            <v>父sku</v>
          </cell>
        </row>
        <row r="2">
          <cell r="A2" t="str">
            <v>ADAOB0L</v>
          </cell>
          <cell r="B2" t="str">
            <v>ADAO</v>
          </cell>
        </row>
        <row r="3">
          <cell r="A3" t="str">
            <v>ADAOB0M</v>
          </cell>
          <cell r="B3" t="str">
            <v>ADAO</v>
          </cell>
        </row>
        <row r="4">
          <cell r="A4" t="str">
            <v>ADAOB0XL</v>
          </cell>
          <cell r="B4" t="str">
            <v>ADAO</v>
          </cell>
        </row>
        <row r="5">
          <cell r="A5" t="str">
            <v>ADAOK0L</v>
          </cell>
          <cell r="B5" t="str">
            <v>ADAO</v>
          </cell>
        </row>
        <row r="6">
          <cell r="A6" t="str">
            <v>ADAOK0M</v>
          </cell>
          <cell r="B6" t="str">
            <v>ADAO</v>
          </cell>
        </row>
        <row r="7">
          <cell r="A7" t="str">
            <v>ADAOK0XL</v>
          </cell>
          <cell r="B7" t="str">
            <v>ADAO</v>
          </cell>
        </row>
        <row r="8">
          <cell r="A8" t="str">
            <v>ADAOP0L</v>
          </cell>
          <cell r="B8" t="str">
            <v>ADAO</v>
          </cell>
        </row>
        <row r="9">
          <cell r="A9" t="str">
            <v>ADAOP0M</v>
          </cell>
          <cell r="B9" t="str">
            <v>ADAO</v>
          </cell>
        </row>
        <row r="10">
          <cell r="A10" t="str">
            <v>ADAOP0XL</v>
          </cell>
          <cell r="B10" t="str">
            <v>ADAO</v>
          </cell>
        </row>
        <row r="11">
          <cell r="A11" t="str">
            <v>AELMB0L</v>
          </cell>
          <cell r="B11" t="str">
            <v>AELM</v>
          </cell>
        </row>
        <row r="12">
          <cell r="A12" t="str">
            <v>AELMB0M</v>
          </cell>
          <cell r="B12" t="str">
            <v>AELM</v>
          </cell>
        </row>
        <row r="13">
          <cell r="A13" t="str">
            <v>AELMB0XL</v>
          </cell>
          <cell r="B13" t="str">
            <v>AELM</v>
          </cell>
        </row>
        <row r="14">
          <cell r="A14" t="str">
            <v>AELME0L</v>
          </cell>
          <cell r="B14" t="str">
            <v>AELM</v>
          </cell>
        </row>
        <row r="15">
          <cell r="A15" t="str">
            <v>AELME0M</v>
          </cell>
          <cell r="B15" t="str">
            <v>AELM</v>
          </cell>
        </row>
        <row r="16">
          <cell r="A16" t="str">
            <v>AELME0XL</v>
          </cell>
          <cell r="B16" t="str">
            <v>AELM</v>
          </cell>
        </row>
        <row r="17">
          <cell r="A17" t="str">
            <v>AELMG0L</v>
          </cell>
          <cell r="B17" t="str">
            <v>AELM</v>
          </cell>
        </row>
        <row r="18">
          <cell r="A18" t="str">
            <v>AELMG0M</v>
          </cell>
          <cell r="B18" t="str">
            <v>AELM</v>
          </cell>
        </row>
        <row r="19">
          <cell r="A19" t="str">
            <v>AELMG0XL</v>
          </cell>
          <cell r="B19" t="str">
            <v>AELM</v>
          </cell>
        </row>
        <row r="20">
          <cell r="A20" t="str">
            <v>AELMP0L</v>
          </cell>
          <cell r="B20" t="str">
            <v>AELM</v>
          </cell>
        </row>
        <row r="21">
          <cell r="A21" t="str">
            <v>AELMP0M</v>
          </cell>
          <cell r="B21" t="str">
            <v>AELM</v>
          </cell>
        </row>
        <row r="22">
          <cell r="A22" t="str">
            <v>AELMP0XL</v>
          </cell>
          <cell r="B22" t="str">
            <v>AELM</v>
          </cell>
        </row>
        <row r="23">
          <cell r="A23" t="str">
            <v>AJNSG0L</v>
          </cell>
          <cell r="B23" t="str">
            <v>AJNS</v>
          </cell>
        </row>
        <row r="24">
          <cell r="A24" t="str">
            <v>AJNSG0M</v>
          </cell>
          <cell r="B24" t="str">
            <v>AJNS</v>
          </cell>
        </row>
        <row r="25">
          <cell r="A25" t="str">
            <v>AJNSG0XL</v>
          </cell>
          <cell r="B25" t="str">
            <v>AJNS</v>
          </cell>
        </row>
        <row r="26">
          <cell r="A26" t="str">
            <v>ALBZG0</v>
          </cell>
          <cell r="B26" t="str">
            <v>ALBZ</v>
          </cell>
        </row>
        <row r="27">
          <cell r="A27" t="str">
            <v>B0716LH9B7</v>
          </cell>
          <cell r="B27" t="str">
            <v>B071</v>
          </cell>
        </row>
        <row r="28">
          <cell r="A28" t="str">
            <v>B071HHSJ1R</v>
          </cell>
          <cell r="B28" t="str">
            <v>B071</v>
          </cell>
        </row>
        <row r="29">
          <cell r="A29" t="str">
            <v>B071JYNS5V</v>
          </cell>
          <cell r="B29" t="str">
            <v>B071</v>
          </cell>
        </row>
        <row r="30">
          <cell r="A30" t="str">
            <v>B071K8MVBL</v>
          </cell>
          <cell r="B30" t="str">
            <v>B071</v>
          </cell>
        </row>
        <row r="31">
          <cell r="A31" t="str">
            <v>B071NP2X5N</v>
          </cell>
          <cell r="B31" t="str">
            <v>B071</v>
          </cell>
        </row>
        <row r="32">
          <cell r="A32" t="str">
            <v>B071VFYY2V</v>
          </cell>
          <cell r="B32" t="str">
            <v>B071</v>
          </cell>
        </row>
        <row r="33">
          <cell r="A33" t="str">
            <v>B0721PYJL2</v>
          </cell>
          <cell r="B33" t="str">
            <v>B072</v>
          </cell>
        </row>
        <row r="34">
          <cell r="A34" t="str">
            <v>B0722RFW38</v>
          </cell>
          <cell r="B34" t="str">
            <v>B072</v>
          </cell>
        </row>
        <row r="35">
          <cell r="A35" t="str">
            <v>B0725CDCCN</v>
          </cell>
          <cell r="B35" t="str">
            <v>B072</v>
          </cell>
        </row>
        <row r="36">
          <cell r="A36" t="str">
            <v>B072KH5Y75</v>
          </cell>
          <cell r="B36" t="str">
            <v>B072</v>
          </cell>
        </row>
        <row r="37">
          <cell r="A37" t="str">
            <v>B072N2WZ5J</v>
          </cell>
          <cell r="B37" t="str">
            <v>B072</v>
          </cell>
        </row>
        <row r="38">
          <cell r="A38" t="str">
            <v>B072RD6VF2</v>
          </cell>
          <cell r="B38" t="str">
            <v>B072</v>
          </cell>
        </row>
        <row r="39">
          <cell r="A39" t="str">
            <v>B073F1HX4C</v>
          </cell>
          <cell r="B39" t="str">
            <v>B073</v>
          </cell>
        </row>
        <row r="40">
          <cell r="A40" t="str">
            <v>B073F1L1DN</v>
          </cell>
          <cell r="B40" t="str">
            <v>B073</v>
          </cell>
        </row>
        <row r="41">
          <cell r="A41" t="str">
            <v>B073F29B28</v>
          </cell>
          <cell r="B41" t="str">
            <v>B073</v>
          </cell>
        </row>
        <row r="42">
          <cell r="A42" t="str">
            <v>B073F2HG9P</v>
          </cell>
          <cell r="B42" t="str">
            <v>B073</v>
          </cell>
        </row>
        <row r="43">
          <cell r="A43" t="str">
            <v>B073F2M56J</v>
          </cell>
          <cell r="B43" t="str">
            <v>B073</v>
          </cell>
        </row>
        <row r="44">
          <cell r="A44" t="str">
            <v>B073F2WTJX</v>
          </cell>
          <cell r="B44" t="str">
            <v>B073</v>
          </cell>
        </row>
        <row r="45">
          <cell r="A45" t="str">
            <v>B073F34CV3</v>
          </cell>
          <cell r="B45" t="str">
            <v>B073</v>
          </cell>
        </row>
        <row r="46">
          <cell r="A46" t="str">
            <v>B073F35WHV</v>
          </cell>
          <cell r="B46" t="str">
            <v>B073</v>
          </cell>
        </row>
        <row r="47">
          <cell r="A47" t="str">
            <v>B073F3JBY6</v>
          </cell>
          <cell r="B47" t="str">
            <v>B073</v>
          </cell>
        </row>
        <row r="48">
          <cell r="A48" t="str">
            <v>B073F4G8B1</v>
          </cell>
          <cell r="B48" t="str">
            <v>B073</v>
          </cell>
        </row>
        <row r="49">
          <cell r="A49" t="str">
            <v>B073W39HF6</v>
          </cell>
          <cell r="B49" t="str">
            <v>B073</v>
          </cell>
        </row>
        <row r="50">
          <cell r="A50" t="str">
            <v>B073W5J3FN</v>
          </cell>
          <cell r="B50" t="str">
            <v>B073</v>
          </cell>
        </row>
        <row r="51">
          <cell r="A51" t="str">
            <v>B073W69WZK</v>
          </cell>
          <cell r="B51" t="str">
            <v>B073</v>
          </cell>
        </row>
        <row r="52">
          <cell r="A52" t="str">
            <v>B073W6VTYY</v>
          </cell>
          <cell r="B52" t="str">
            <v>B073</v>
          </cell>
        </row>
        <row r="53">
          <cell r="A53" t="str">
            <v>B073WB3TLC</v>
          </cell>
          <cell r="B53" t="str">
            <v>B073</v>
          </cell>
        </row>
        <row r="54">
          <cell r="A54" t="str">
            <v>B073XLK4G5</v>
          </cell>
          <cell r="B54" t="str">
            <v>B073</v>
          </cell>
        </row>
        <row r="55">
          <cell r="A55" t="str">
            <v>B073XM44QG</v>
          </cell>
          <cell r="B55" t="str">
            <v>B073</v>
          </cell>
        </row>
        <row r="56">
          <cell r="A56" t="str">
            <v>B073XMFYWX</v>
          </cell>
          <cell r="B56" t="str">
            <v>B073</v>
          </cell>
        </row>
        <row r="57">
          <cell r="A57" t="str">
            <v>B074CS535P</v>
          </cell>
          <cell r="B57" t="str">
            <v>B074</v>
          </cell>
        </row>
        <row r="58">
          <cell r="A58" t="str">
            <v>B074CS5P3X</v>
          </cell>
          <cell r="B58" t="str">
            <v>B074</v>
          </cell>
        </row>
        <row r="59">
          <cell r="A59" t="str">
            <v>B074CS9H1P</v>
          </cell>
          <cell r="B59" t="str">
            <v>B074</v>
          </cell>
        </row>
        <row r="60">
          <cell r="A60" t="str">
            <v>B074CSF1MY</v>
          </cell>
          <cell r="B60" t="str">
            <v>B074</v>
          </cell>
        </row>
        <row r="61">
          <cell r="A61" t="str">
            <v>B074CV3L2T</v>
          </cell>
          <cell r="B61" t="str">
            <v>B074</v>
          </cell>
        </row>
        <row r="62">
          <cell r="A62" t="str">
            <v>B074CW3HDD</v>
          </cell>
          <cell r="B62" t="str">
            <v>B074</v>
          </cell>
        </row>
        <row r="63">
          <cell r="A63" t="str">
            <v>B074CW3JWV</v>
          </cell>
          <cell r="B63" t="str">
            <v>B074</v>
          </cell>
        </row>
        <row r="64">
          <cell r="A64" t="str">
            <v>B074CW4J9M</v>
          </cell>
          <cell r="B64" t="str">
            <v>B074</v>
          </cell>
        </row>
        <row r="65">
          <cell r="A65" t="str">
            <v>B074CWBNL1</v>
          </cell>
          <cell r="B65" t="str">
            <v>B074</v>
          </cell>
        </row>
        <row r="66">
          <cell r="A66" t="str">
            <v>B074CWG2B2</v>
          </cell>
          <cell r="B66" t="str">
            <v>B074</v>
          </cell>
        </row>
        <row r="67">
          <cell r="A67" t="str">
            <v>B074CWG8L2</v>
          </cell>
          <cell r="B67" t="str">
            <v>B074</v>
          </cell>
        </row>
        <row r="68">
          <cell r="A68" t="str">
            <v>B074CWJNRX</v>
          </cell>
          <cell r="B68" t="str">
            <v>B074</v>
          </cell>
        </row>
        <row r="69">
          <cell r="A69" t="str">
            <v>B074CWLV9M</v>
          </cell>
          <cell r="B69" t="str">
            <v>B074</v>
          </cell>
        </row>
        <row r="70">
          <cell r="A70" t="str">
            <v>B074CWLZDG</v>
          </cell>
          <cell r="B70" t="str">
            <v>B074</v>
          </cell>
        </row>
        <row r="71">
          <cell r="A71" t="str">
            <v>B074CWMB5Z</v>
          </cell>
          <cell r="B71" t="str">
            <v>B074</v>
          </cell>
        </row>
        <row r="72">
          <cell r="A72" t="str">
            <v>B074CWMB62</v>
          </cell>
          <cell r="B72" t="str">
            <v>B074</v>
          </cell>
        </row>
        <row r="73">
          <cell r="A73" t="str">
            <v>B074CWN2HB</v>
          </cell>
          <cell r="B73" t="str">
            <v>B074</v>
          </cell>
        </row>
        <row r="74">
          <cell r="A74" t="str">
            <v>B074CWPQFT</v>
          </cell>
          <cell r="B74" t="str">
            <v>B074</v>
          </cell>
        </row>
        <row r="75">
          <cell r="A75" t="str">
            <v>B074CWQJVH</v>
          </cell>
          <cell r="B75" t="str">
            <v>B074</v>
          </cell>
        </row>
        <row r="76">
          <cell r="A76" t="str">
            <v>B074CWQPZP</v>
          </cell>
          <cell r="B76" t="str">
            <v>B074</v>
          </cell>
        </row>
        <row r="77">
          <cell r="A77" t="str">
            <v>B074CWR4ZR</v>
          </cell>
          <cell r="B77" t="str">
            <v>B074</v>
          </cell>
        </row>
        <row r="78">
          <cell r="A78" t="str">
            <v>B074CWRDHL</v>
          </cell>
          <cell r="B78" t="str">
            <v>B074</v>
          </cell>
        </row>
        <row r="79">
          <cell r="A79" t="str">
            <v>B074CWSQFG</v>
          </cell>
          <cell r="B79" t="str">
            <v>B074</v>
          </cell>
        </row>
        <row r="80">
          <cell r="A80" t="str">
            <v>B074CWTBK6</v>
          </cell>
          <cell r="B80" t="str">
            <v>B074</v>
          </cell>
        </row>
        <row r="81">
          <cell r="A81" t="str">
            <v>B074CWTLXY</v>
          </cell>
          <cell r="B81" t="str">
            <v>B074</v>
          </cell>
        </row>
        <row r="82">
          <cell r="A82" t="str">
            <v>B074CWTQW9</v>
          </cell>
          <cell r="B82" t="str">
            <v>B074</v>
          </cell>
        </row>
        <row r="83">
          <cell r="A83" t="str">
            <v>B074CWWB41</v>
          </cell>
          <cell r="B83" t="str">
            <v>B074</v>
          </cell>
        </row>
        <row r="84">
          <cell r="A84" t="str">
            <v>B074CWYHQ7</v>
          </cell>
          <cell r="B84" t="str">
            <v>B074</v>
          </cell>
        </row>
        <row r="85">
          <cell r="A85" t="str">
            <v>B074CWZFK3</v>
          </cell>
          <cell r="B85" t="str">
            <v>B074</v>
          </cell>
        </row>
        <row r="86">
          <cell r="A86" t="str">
            <v>B074CWZSVH</v>
          </cell>
          <cell r="B86" t="str">
            <v>B074</v>
          </cell>
        </row>
        <row r="87">
          <cell r="A87" t="str">
            <v>B074CX1PRD</v>
          </cell>
          <cell r="B87" t="str">
            <v>B074</v>
          </cell>
        </row>
        <row r="88">
          <cell r="A88" t="str">
            <v>B074CX22LX</v>
          </cell>
          <cell r="B88" t="str">
            <v>B074</v>
          </cell>
        </row>
        <row r="89">
          <cell r="A89" t="str">
            <v>B074CX2BPL</v>
          </cell>
          <cell r="B89" t="str">
            <v>B074</v>
          </cell>
        </row>
        <row r="90">
          <cell r="A90" t="str">
            <v>B074CX451K</v>
          </cell>
          <cell r="B90" t="str">
            <v>B074</v>
          </cell>
        </row>
        <row r="91">
          <cell r="A91" t="str">
            <v>B074CX4VVP</v>
          </cell>
          <cell r="B91" t="str">
            <v>B074</v>
          </cell>
        </row>
        <row r="92">
          <cell r="A92" t="str">
            <v>B074CX534Z</v>
          </cell>
          <cell r="B92" t="str">
            <v>B074</v>
          </cell>
        </row>
        <row r="93">
          <cell r="A93" t="str">
            <v>B074CX7218</v>
          </cell>
          <cell r="B93" t="str">
            <v>B074</v>
          </cell>
        </row>
        <row r="94">
          <cell r="A94" t="str">
            <v>B074CX73CM</v>
          </cell>
          <cell r="B94" t="str">
            <v>B074</v>
          </cell>
        </row>
        <row r="95">
          <cell r="A95" t="str">
            <v>B074CX7NWQ</v>
          </cell>
          <cell r="B95" t="str">
            <v>B074</v>
          </cell>
        </row>
        <row r="96">
          <cell r="A96" t="str">
            <v>B074CX8YMH</v>
          </cell>
          <cell r="B96" t="str">
            <v>B074</v>
          </cell>
        </row>
        <row r="97">
          <cell r="A97" t="str">
            <v>B074CX9229</v>
          </cell>
          <cell r="B97" t="str">
            <v>B074</v>
          </cell>
        </row>
        <row r="98">
          <cell r="A98" t="str">
            <v>B074CXBB31</v>
          </cell>
          <cell r="B98" t="str">
            <v>B074</v>
          </cell>
        </row>
        <row r="99">
          <cell r="A99" t="str">
            <v>B074CXDX58</v>
          </cell>
          <cell r="B99" t="str">
            <v>B074</v>
          </cell>
        </row>
        <row r="100">
          <cell r="A100" t="str">
            <v>B074CXHT3T</v>
          </cell>
          <cell r="B100" t="str">
            <v>B074</v>
          </cell>
        </row>
        <row r="101">
          <cell r="A101" t="str">
            <v>B074CXK4TV</v>
          </cell>
          <cell r="B101" t="str">
            <v>B074</v>
          </cell>
        </row>
        <row r="102">
          <cell r="A102" t="str">
            <v>B074CXK6RZ</v>
          </cell>
          <cell r="B102" t="str">
            <v>B074</v>
          </cell>
        </row>
        <row r="103">
          <cell r="A103" t="str">
            <v>B074CXLQVY</v>
          </cell>
          <cell r="B103" t="str">
            <v>B074</v>
          </cell>
        </row>
        <row r="104">
          <cell r="A104" t="str">
            <v>B074CXMS2N</v>
          </cell>
          <cell r="B104" t="str">
            <v>B074</v>
          </cell>
        </row>
        <row r="105">
          <cell r="A105" t="str">
            <v>B074CXN24S</v>
          </cell>
          <cell r="B105" t="str">
            <v>B074</v>
          </cell>
        </row>
        <row r="106">
          <cell r="A106" t="str">
            <v>B074CXNBPV</v>
          </cell>
          <cell r="B106" t="str">
            <v>B074</v>
          </cell>
        </row>
        <row r="107">
          <cell r="A107" t="str">
            <v>B074CXNWMZ</v>
          </cell>
          <cell r="B107" t="str">
            <v>B074</v>
          </cell>
        </row>
        <row r="108">
          <cell r="A108" t="str">
            <v>B074CXP24Y</v>
          </cell>
          <cell r="B108" t="str">
            <v>B074</v>
          </cell>
        </row>
        <row r="109">
          <cell r="A109" t="str">
            <v>B074CXPPQM</v>
          </cell>
          <cell r="B109" t="str">
            <v>B074</v>
          </cell>
        </row>
        <row r="110">
          <cell r="A110" t="str">
            <v>B074CXQ86P</v>
          </cell>
          <cell r="B110" t="str">
            <v>B074</v>
          </cell>
        </row>
        <row r="111">
          <cell r="A111" t="str">
            <v>B074CXR8YG</v>
          </cell>
          <cell r="B111" t="str">
            <v>B074</v>
          </cell>
        </row>
        <row r="112">
          <cell r="A112" t="str">
            <v>B074DV7WDZ</v>
          </cell>
          <cell r="B112" t="str">
            <v>B074</v>
          </cell>
        </row>
        <row r="113">
          <cell r="A113" t="str">
            <v>B074DVLRRB</v>
          </cell>
          <cell r="B113" t="str">
            <v>B074</v>
          </cell>
        </row>
        <row r="114">
          <cell r="A114" t="str">
            <v>B074DVQP6Q</v>
          </cell>
          <cell r="B114" t="str">
            <v>B074</v>
          </cell>
        </row>
        <row r="115">
          <cell r="A115" t="str">
            <v>B074DVQR1S</v>
          </cell>
          <cell r="B115" t="str">
            <v>B074</v>
          </cell>
        </row>
        <row r="116">
          <cell r="A116" t="str">
            <v>B074DVVVVP</v>
          </cell>
          <cell r="B116" t="str">
            <v>B074</v>
          </cell>
        </row>
        <row r="117">
          <cell r="A117" t="str">
            <v>B074DVY6FY</v>
          </cell>
          <cell r="B117" t="str">
            <v>B074</v>
          </cell>
        </row>
        <row r="118">
          <cell r="A118" t="str">
            <v>B074DW1685</v>
          </cell>
          <cell r="B118" t="str">
            <v>B074</v>
          </cell>
        </row>
        <row r="119">
          <cell r="A119" t="str">
            <v>B074DW59FV</v>
          </cell>
          <cell r="B119" t="str">
            <v>B074</v>
          </cell>
        </row>
        <row r="120">
          <cell r="A120" t="str">
            <v>B074DWBXBD</v>
          </cell>
          <cell r="B120" t="str">
            <v>B074</v>
          </cell>
        </row>
        <row r="121">
          <cell r="A121" t="str">
            <v>B074DWC6PK</v>
          </cell>
          <cell r="B121" t="str">
            <v>B074</v>
          </cell>
        </row>
        <row r="122">
          <cell r="A122" t="str">
            <v>B074DWCC89</v>
          </cell>
          <cell r="B122" t="str">
            <v>B074</v>
          </cell>
        </row>
        <row r="123">
          <cell r="A123" t="str">
            <v>B074DWD9YY</v>
          </cell>
          <cell r="B123" t="str">
            <v>B074</v>
          </cell>
        </row>
        <row r="124">
          <cell r="A124" t="str">
            <v>B074DWFHTM</v>
          </cell>
          <cell r="B124" t="str">
            <v>B074</v>
          </cell>
        </row>
        <row r="125">
          <cell r="A125" t="str">
            <v>B074DWFV62</v>
          </cell>
          <cell r="B125" t="str">
            <v>B074</v>
          </cell>
        </row>
        <row r="126">
          <cell r="A126" t="str">
            <v>B074DWGDMH</v>
          </cell>
          <cell r="B126" t="str">
            <v>B074</v>
          </cell>
        </row>
        <row r="127">
          <cell r="A127" t="str">
            <v>B074DWNCM6</v>
          </cell>
          <cell r="B127" t="str">
            <v>B074</v>
          </cell>
        </row>
        <row r="128">
          <cell r="A128" t="str">
            <v>B074FJ37K7</v>
          </cell>
          <cell r="B128" t="str">
            <v>B074</v>
          </cell>
        </row>
        <row r="129">
          <cell r="A129" t="str">
            <v>B074FL1674</v>
          </cell>
          <cell r="B129" t="str">
            <v>B074</v>
          </cell>
        </row>
        <row r="130">
          <cell r="A130" t="str">
            <v>B074FNN3HY</v>
          </cell>
          <cell r="B130" t="str">
            <v>B074</v>
          </cell>
        </row>
        <row r="131">
          <cell r="A131" t="str">
            <v>B074FP8NZF</v>
          </cell>
          <cell r="B131" t="str">
            <v>B074</v>
          </cell>
        </row>
        <row r="132">
          <cell r="A132" t="str">
            <v>B074FP8V7K</v>
          </cell>
          <cell r="B132" t="str">
            <v>B074</v>
          </cell>
        </row>
        <row r="133">
          <cell r="A133" t="str">
            <v>B074FPR99C</v>
          </cell>
          <cell r="B133" t="str">
            <v>B074</v>
          </cell>
        </row>
        <row r="134">
          <cell r="A134" t="str">
            <v>B074FPYB9N</v>
          </cell>
          <cell r="B134" t="str">
            <v>B074</v>
          </cell>
        </row>
        <row r="135">
          <cell r="A135" t="str">
            <v>B074FQ84QJ</v>
          </cell>
          <cell r="B135" t="str">
            <v>B074</v>
          </cell>
        </row>
        <row r="136">
          <cell r="A136" t="str">
            <v>B074FQSTJL</v>
          </cell>
          <cell r="B136" t="str">
            <v>B074</v>
          </cell>
        </row>
        <row r="137">
          <cell r="A137" t="str">
            <v>B074FQWCTK</v>
          </cell>
          <cell r="B137" t="str">
            <v>B074</v>
          </cell>
        </row>
        <row r="138">
          <cell r="A138" t="str">
            <v>B074FR8NL9</v>
          </cell>
          <cell r="B138" t="str">
            <v>B074</v>
          </cell>
        </row>
        <row r="139">
          <cell r="A139" t="str">
            <v>B074FRC3TW</v>
          </cell>
          <cell r="B139" t="str">
            <v>B074</v>
          </cell>
        </row>
        <row r="140">
          <cell r="A140" t="str">
            <v>B074FRG96Y</v>
          </cell>
          <cell r="B140" t="str">
            <v>B074</v>
          </cell>
        </row>
        <row r="141">
          <cell r="A141" t="str">
            <v>B074FRGW4F</v>
          </cell>
          <cell r="B141" t="str">
            <v>B074</v>
          </cell>
        </row>
        <row r="142">
          <cell r="A142" t="str">
            <v>B074FRWKSK</v>
          </cell>
          <cell r="B142" t="str">
            <v>B074</v>
          </cell>
        </row>
        <row r="143">
          <cell r="A143" t="str">
            <v>B074FRX8XF</v>
          </cell>
          <cell r="B143" t="str">
            <v>B074</v>
          </cell>
        </row>
        <row r="144">
          <cell r="A144" t="str">
            <v>B074FSCZT2</v>
          </cell>
          <cell r="B144" t="str">
            <v>B074</v>
          </cell>
        </row>
        <row r="145">
          <cell r="A145" t="str">
            <v>B074FSGM8N</v>
          </cell>
          <cell r="B145" t="str">
            <v>B074</v>
          </cell>
        </row>
        <row r="146">
          <cell r="A146" t="str">
            <v>B074FSXVNK</v>
          </cell>
          <cell r="B146" t="str">
            <v>B074</v>
          </cell>
        </row>
        <row r="147">
          <cell r="A147" t="str">
            <v>B074FT3DCL</v>
          </cell>
          <cell r="B147" t="str">
            <v>B074</v>
          </cell>
        </row>
        <row r="148">
          <cell r="A148" t="str">
            <v>B074FT4GVL</v>
          </cell>
          <cell r="B148" t="str">
            <v>B074</v>
          </cell>
        </row>
        <row r="149">
          <cell r="A149" t="str">
            <v>B074FTJ6WL</v>
          </cell>
          <cell r="B149" t="str">
            <v>B074</v>
          </cell>
        </row>
        <row r="150">
          <cell r="A150" t="str">
            <v>B074FTPHX1</v>
          </cell>
          <cell r="B150" t="str">
            <v>B074</v>
          </cell>
        </row>
        <row r="151">
          <cell r="A151" t="str">
            <v>B074FTXNPM</v>
          </cell>
          <cell r="B151" t="str">
            <v>B074</v>
          </cell>
        </row>
        <row r="152">
          <cell r="A152" t="str">
            <v>B074FV1TSD</v>
          </cell>
          <cell r="B152" t="str">
            <v>B074</v>
          </cell>
        </row>
        <row r="153">
          <cell r="A153" t="str">
            <v>B074FVPGVL</v>
          </cell>
          <cell r="B153" t="str">
            <v>B074</v>
          </cell>
        </row>
        <row r="154">
          <cell r="A154" t="str">
            <v>B074FVRK4X</v>
          </cell>
          <cell r="B154" t="str">
            <v>B074</v>
          </cell>
        </row>
        <row r="155">
          <cell r="A155" t="str">
            <v>B074FVTBYK</v>
          </cell>
          <cell r="B155" t="str">
            <v>B074</v>
          </cell>
        </row>
        <row r="156">
          <cell r="A156" t="str">
            <v>B074FW1KLY</v>
          </cell>
          <cell r="B156" t="str">
            <v>B074</v>
          </cell>
        </row>
        <row r="157">
          <cell r="A157" t="str">
            <v>B074FW2887</v>
          </cell>
          <cell r="B157" t="str">
            <v>B074</v>
          </cell>
        </row>
        <row r="158">
          <cell r="A158" t="str">
            <v>B074FW623M</v>
          </cell>
          <cell r="B158" t="str">
            <v>B074</v>
          </cell>
        </row>
        <row r="159">
          <cell r="A159" t="str">
            <v>B074FX1CXN</v>
          </cell>
          <cell r="B159" t="str">
            <v>B074</v>
          </cell>
        </row>
        <row r="160">
          <cell r="A160" t="str">
            <v>B074FXCCGK</v>
          </cell>
          <cell r="B160" t="str">
            <v>B074</v>
          </cell>
        </row>
        <row r="161">
          <cell r="A161" t="str">
            <v>B074FXCYQT</v>
          </cell>
          <cell r="B161" t="str">
            <v>B074</v>
          </cell>
        </row>
        <row r="162">
          <cell r="A162" t="str">
            <v>B074FYG9SM</v>
          </cell>
          <cell r="B162" t="str">
            <v>B074</v>
          </cell>
        </row>
        <row r="163">
          <cell r="A163" t="str">
            <v>B074FYL2WF</v>
          </cell>
          <cell r="B163" t="str">
            <v>B074</v>
          </cell>
        </row>
        <row r="164">
          <cell r="A164" t="str">
            <v>B074FYMTFF</v>
          </cell>
          <cell r="B164" t="str">
            <v>B074</v>
          </cell>
        </row>
        <row r="165">
          <cell r="A165" t="str">
            <v>B074FZKWPJ</v>
          </cell>
          <cell r="B165" t="str">
            <v>B074</v>
          </cell>
        </row>
        <row r="166">
          <cell r="A166" t="str">
            <v>B074FZYNXK</v>
          </cell>
          <cell r="B166" t="str">
            <v>B074</v>
          </cell>
        </row>
        <row r="167">
          <cell r="A167" t="str">
            <v>B074JV1QKT</v>
          </cell>
          <cell r="B167" t="str">
            <v>B074</v>
          </cell>
        </row>
        <row r="168">
          <cell r="A168" t="str">
            <v>B074JV7QWX</v>
          </cell>
          <cell r="B168" t="str">
            <v>B074</v>
          </cell>
        </row>
        <row r="169">
          <cell r="A169" t="str">
            <v>B074JV7QWX.missing</v>
          </cell>
          <cell r="B169" t="str">
            <v>B074</v>
          </cell>
        </row>
        <row r="170">
          <cell r="A170" t="str">
            <v>B074JVF4LK</v>
          </cell>
          <cell r="B170" t="str">
            <v>B074</v>
          </cell>
        </row>
        <row r="171">
          <cell r="A171" t="str">
            <v>B074JVMQRW</v>
          </cell>
          <cell r="B171" t="str">
            <v>B074</v>
          </cell>
        </row>
        <row r="172">
          <cell r="A172" t="str">
            <v>B074JW5XZ4</v>
          </cell>
          <cell r="B172" t="str">
            <v>B074</v>
          </cell>
        </row>
        <row r="173">
          <cell r="A173" t="str">
            <v>B074JW998T</v>
          </cell>
          <cell r="B173" t="str">
            <v>B074</v>
          </cell>
        </row>
        <row r="174">
          <cell r="A174" t="str">
            <v>B074JW9ZRS</v>
          </cell>
          <cell r="B174" t="str">
            <v>B074</v>
          </cell>
        </row>
        <row r="175">
          <cell r="A175" t="str">
            <v>B074JWL4F2</v>
          </cell>
          <cell r="B175" t="str">
            <v>B074</v>
          </cell>
        </row>
        <row r="176">
          <cell r="A176" t="str">
            <v>B074JWL6PF</v>
          </cell>
          <cell r="B176" t="str">
            <v>B074</v>
          </cell>
        </row>
        <row r="177">
          <cell r="A177" t="str">
            <v>B074JWQ644</v>
          </cell>
          <cell r="B177" t="str">
            <v>B074</v>
          </cell>
        </row>
        <row r="178">
          <cell r="A178" t="str">
            <v>B074JWS1CB</v>
          </cell>
          <cell r="B178" t="str">
            <v>B074</v>
          </cell>
        </row>
        <row r="179">
          <cell r="A179" t="str">
            <v>B074JX2YCN</v>
          </cell>
          <cell r="B179" t="str">
            <v>B074</v>
          </cell>
        </row>
        <row r="180">
          <cell r="A180" t="str">
            <v>B074JX2YCX</v>
          </cell>
          <cell r="B180" t="str">
            <v>B074</v>
          </cell>
        </row>
        <row r="181">
          <cell r="A181" t="str">
            <v>B074JXGVBD</v>
          </cell>
          <cell r="B181" t="str">
            <v>B074</v>
          </cell>
        </row>
        <row r="182">
          <cell r="A182" t="str">
            <v>B074JXQX4Z</v>
          </cell>
          <cell r="B182" t="str">
            <v>B074</v>
          </cell>
        </row>
        <row r="183">
          <cell r="A183" t="str">
            <v>B074JXZYR5</v>
          </cell>
          <cell r="B183" t="str">
            <v>B074</v>
          </cell>
        </row>
        <row r="184">
          <cell r="A184" t="str">
            <v>B074JY1RXB</v>
          </cell>
          <cell r="B184" t="str">
            <v>B074</v>
          </cell>
        </row>
        <row r="185">
          <cell r="A185" t="str">
            <v>B074JY219R</v>
          </cell>
          <cell r="B185" t="str">
            <v>B074</v>
          </cell>
        </row>
        <row r="186">
          <cell r="A186" t="str">
            <v>B074JYD8F3</v>
          </cell>
          <cell r="B186" t="str">
            <v>B074</v>
          </cell>
        </row>
        <row r="187">
          <cell r="A187" t="str">
            <v>B074JYMHZL</v>
          </cell>
          <cell r="B187" t="str">
            <v>B074</v>
          </cell>
        </row>
        <row r="188">
          <cell r="A188" t="str">
            <v>B074JYYM5F</v>
          </cell>
          <cell r="B188" t="str">
            <v>B074</v>
          </cell>
        </row>
        <row r="189">
          <cell r="A189" t="str">
            <v>B074JZ1THP</v>
          </cell>
          <cell r="B189" t="str">
            <v>B074</v>
          </cell>
        </row>
        <row r="190">
          <cell r="A190" t="str">
            <v>B074JZ2HSX</v>
          </cell>
          <cell r="B190" t="str">
            <v>B074</v>
          </cell>
        </row>
        <row r="191">
          <cell r="A191" t="str">
            <v>B074K1913X</v>
          </cell>
          <cell r="B191" t="str">
            <v>B074</v>
          </cell>
        </row>
        <row r="192">
          <cell r="A192" t="str">
            <v>B074K1JLQ3</v>
          </cell>
          <cell r="B192" t="str">
            <v>B074</v>
          </cell>
        </row>
        <row r="193">
          <cell r="A193" t="str">
            <v>B074K24HL3</v>
          </cell>
          <cell r="B193" t="str">
            <v>B074</v>
          </cell>
        </row>
        <row r="194">
          <cell r="A194" t="str">
            <v>B074K26CND</v>
          </cell>
          <cell r="B194" t="str">
            <v>B074</v>
          </cell>
        </row>
        <row r="195">
          <cell r="A195" t="str">
            <v>B074K2QJ5H</v>
          </cell>
          <cell r="B195" t="str">
            <v>B074</v>
          </cell>
        </row>
        <row r="196">
          <cell r="A196" t="str">
            <v>B074K2VQNZ</v>
          </cell>
          <cell r="B196" t="str">
            <v>B074</v>
          </cell>
        </row>
        <row r="197">
          <cell r="A197" t="str">
            <v>B074K3MSFD</v>
          </cell>
          <cell r="B197" t="str">
            <v>B074</v>
          </cell>
        </row>
        <row r="198">
          <cell r="A198" t="str">
            <v>B074K3VJ4G</v>
          </cell>
          <cell r="B198" t="str">
            <v>B074</v>
          </cell>
        </row>
        <row r="199">
          <cell r="A199" t="str">
            <v>B074K3YM47</v>
          </cell>
          <cell r="B199" t="str">
            <v>B074</v>
          </cell>
        </row>
        <row r="200">
          <cell r="A200" t="str">
            <v>B074K4DJKF</v>
          </cell>
          <cell r="B200" t="str">
            <v>B074</v>
          </cell>
        </row>
        <row r="201">
          <cell r="A201" t="str">
            <v>B074K4GLGJ</v>
          </cell>
          <cell r="B201" t="str">
            <v>B074</v>
          </cell>
        </row>
        <row r="202">
          <cell r="A202" t="str">
            <v>B074K53FDK</v>
          </cell>
          <cell r="B202" t="str">
            <v>B074</v>
          </cell>
        </row>
        <row r="203">
          <cell r="A203" t="str">
            <v>B074NQW8FF</v>
          </cell>
          <cell r="B203" t="str">
            <v>B074</v>
          </cell>
        </row>
        <row r="204">
          <cell r="A204" t="str">
            <v>B074P1BLMD</v>
          </cell>
          <cell r="B204" t="str">
            <v>B074</v>
          </cell>
        </row>
        <row r="205">
          <cell r="A205" t="str">
            <v>B074Q9CTNJ</v>
          </cell>
          <cell r="B205" t="str">
            <v>B074</v>
          </cell>
        </row>
        <row r="206">
          <cell r="A206" t="str">
            <v>B074Q9RQFH</v>
          </cell>
          <cell r="B206" t="str">
            <v>B074</v>
          </cell>
        </row>
        <row r="207">
          <cell r="A207" t="str">
            <v>B074Q9S43R</v>
          </cell>
          <cell r="B207" t="str">
            <v>B074</v>
          </cell>
        </row>
        <row r="208">
          <cell r="A208" t="str">
            <v>B074QCGCJC</v>
          </cell>
          <cell r="B208" t="str">
            <v>B074</v>
          </cell>
        </row>
        <row r="209">
          <cell r="A209" t="str">
            <v>B074QCYQ9L</v>
          </cell>
          <cell r="B209" t="str">
            <v>B074</v>
          </cell>
        </row>
        <row r="210">
          <cell r="A210" t="str">
            <v>B074QDS9ZN</v>
          </cell>
          <cell r="B210" t="str">
            <v>B074</v>
          </cell>
        </row>
        <row r="211">
          <cell r="A211" t="str">
            <v>B074QDSYXY</v>
          </cell>
          <cell r="B211" t="str">
            <v>B074</v>
          </cell>
        </row>
        <row r="212">
          <cell r="A212" t="str">
            <v>B074QFDH8R</v>
          </cell>
          <cell r="B212" t="str">
            <v>B074</v>
          </cell>
        </row>
        <row r="213">
          <cell r="A213" t="str">
            <v>B074QG3P8G</v>
          </cell>
          <cell r="B213" t="str">
            <v>B074</v>
          </cell>
        </row>
        <row r="214">
          <cell r="A214" t="str">
            <v>B074QGD61W</v>
          </cell>
          <cell r="B214" t="str">
            <v>B074</v>
          </cell>
        </row>
        <row r="215">
          <cell r="A215" t="str">
            <v>B074QGLLQN</v>
          </cell>
          <cell r="B215" t="str">
            <v>B074</v>
          </cell>
        </row>
        <row r="216">
          <cell r="A216" t="str">
            <v>B074QJ923S</v>
          </cell>
          <cell r="B216" t="str">
            <v>B074</v>
          </cell>
        </row>
        <row r="217">
          <cell r="A217" t="str">
            <v>B074QQ5S79</v>
          </cell>
          <cell r="B217" t="str">
            <v>B074</v>
          </cell>
        </row>
        <row r="218">
          <cell r="A218" t="str">
            <v>B0761MLYTQ</v>
          </cell>
          <cell r="B218" t="str">
            <v>B076</v>
          </cell>
        </row>
        <row r="219">
          <cell r="A219" t="str">
            <v>B0761MXCJB</v>
          </cell>
          <cell r="B219" t="str">
            <v>B076</v>
          </cell>
        </row>
        <row r="220">
          <cell r="A220" t="str">
            <v>B0761MXYJC</v>
          </cell>
          <cell r="B220" t="str">
            <v>B076</v>
          </cell>
        </row>
        <row r="221">
          <cell r="A221" t="str">
            <v>B0761N286T</v>
          </cell>
          <cell r="B221" t="str">
            <v>B076</v>
          </cell>
        </row>
        <row r="222">
          <cell r="A222" t="str">
            <v>B0761N3HJ3</v>
          </cell>
          <cell r="B222" t="str">
            <v>B076</v>
          </cell>
        </row>
        <row r="223">
          <cell r="A223" t="str">
            <v>B0761N46BN</v>
          </cell>
          <cell r="B223" t="str">
            <v>B076</v>
          </cell>
        </row>
        <row r="224">
          <cell r="A224" t="str">
            <v>B0761NFQMT</v>
          </cell>
          <cell r="B224" t="str">
            <v>B076</v>
          </cell>
        </row>
        <row r="225">
          <cell r="A225" t="str">
            <v>B0761NFTQC</v>
          </cell>
          <cell r="B225" t="str">
            <v>B076</v>
          </cell>
        </row>
        <row r="226">
          <cell r="A226" t="str">
            <v>B0761NGWJD</v>
          </cell>
          <cell r="B226" t="str">
            <v>B076</v>
          </cell>
        </row>
        <row r="227">
          <cell r="A227" t="str">
            <v>B0761NGYTK</v>
          </cell>
          <cell r="B227" t="str">
            <v>B076</v>
          </cell>
        </row>
        <row r="228">
          <cell r="A228" t="str">
            <v>B0761NHB1Y</v>
          </cell>
          <cell r="B228" t="str">
            <v>B076</v>
          </cell>
        </row>
        <row r="229">
          <cell r="A229" t="str">
            <v>B0761NJPNM</v>
          </cell>
          <cell r="B229" t="str">
            <v>B076</v>
          </cell>
        </row>
        <row r="230">
          <cell r="A230" t="str">
            <v>B0761NLN4R</v>
          </cell>
          <cell r="B230" t="str">
            <v>B076</v>
          </cell>
        </row>
        <row r="231">
          <cell r="A231" t="str">
            <v>B0761NM1NH</v>
          </cell>
          <cell r="B231" t="str">
            <v>B076</v>
          </cell>
        </row>
        <row r="232">
          <cell r="A232" t="str">
            <v>B0761NM3SZ</v>
          </cell>
          <cell r="B232" t="str">
            <v>B076</v>
          </cell>
        </row>
        <row r="233">
          <cell r="A233" t="str">
            <v>B0761NNDWM</v>
          </cell>
          <cell r="B233" t="str">
            <v>B076</v>
          </cell>
        </row>
        <row r="234">
          <cell r="A234" t="str">
            <v>B0761NNM84</v>
          </cell>
          <cell r="B234" t="str">
            <v>B076</v>
          </cell>
        </row>
        <row r="235">
          <cell r="A235" t="str">
            <v>B0761P4LK2</v>
          </cell>
          <cell r="B235" t="str">
            <v>B076</v>
          </cell>
        </row>
        <row r="236">
          <cell r="A236" t="str">
            <v>B0761P4LKC</v>
          </cell>
          <cell r="B236" t="str">
            <v>B076</v>
          </cell>
        </row>
        <row r="237">
          <cell r="A237" t="str">
            <v>B0761PBXCV</v>
          </cell>
          <cell r="B237" t="str">
            <v>B076</v>
          </cell>
        </row>
        <row r="238">
          <cell r="A238" t="str">
            <v>B0761PDHV5</v>
          </cell>
          <cell r="B238" t="str">
            <v>B076</v>
          </cell>
        </row>
        <row r="239">
          <cell r="A239" t="str">
            <v>B0761PDMGN</v>
          </cell>
          <cell r="B239" t="str">
            <v>B076</v>
          </cell>
        </row>
        <row r="240">
          <cell r="A240" t="str">
            <v>B0761PL2N2</v>
          </cell>
          <cell r="B240" t="str">
            <v>B076</v>
          </cell>
        </row>
        <row r="241">
          <cell r="A241" t="str">
            <v>B0761PSPTJ</v>
          </cell>
          <cell r="B241" t="str">
            <v>B076</v>
          </cell>
        </row>
        <row r="242">
          <cell r="A242" t="str">
            <v>B0761PTZY2</v>
          </cell>
          <cell r="B242" t="str">
            <v>B076</v>
          </cell>
        </row>
        <row r="243">
          <cell r="A243" t="str">
            <v>B0761PV7ZS</v>
          </cell>
          <cell r="B243" t="str">
            <v>B076</v>
          </cell>
        </row>
        <row r="244">
          <cell r="A244" t="str">
            <v>B0761PV952</v>
          </cell>
          <cell r="B244" t="str">
            <v>B076</v>
          </cell>
        </row>
        <row r="245">
          <cell r="A245" t="str">
            <v>B0761PWB12</v>
          </cell>
          <cell r="B245" t="str">
            <v>B076</v>
          </cell>
        </row>
        <row r="246">
          <cell r="A246" t="str">
            <v>B0761PXTK8</v>
          </cell>
          <cell r="B246" t="str">
            <v>B076</v>
          </cell>
        </row>
        <row r="247">
          <cell r="A247" t="str">
            <v>B0761Q1QWN</v>
          </cell>
          <cell r="B247" t="str">
            <v>B076</v>
          </cell>
        </row>
        <row r="248">
          <cell r="A248" t="str">
            <v>B0761Q4YF6</v>
          </cell>
          <cell r="B248" t="str">
            <v>B076</v>
          </cell>
        </row>
        <row r="249">
          <cell r="A249" t="str">
            <v>B0761Q7KPX</v>
          </cell>
          <cell r="B249" t="str">
            <v>B076</v>
          </cell>
        </row>
        <row r="250">
          <cell r="A250" t="str">
            <v>B0761Q9VPH</v>
          </cell>
          <cell r="B250" t="str">
            <v>B076</v>
          </cell>
        </row>
        <row r="251">
          <cell r="A251" t="str">
            <v>B0761QBHM9</v>
          </cell>
          <cell r="B251" t="str">
            <v>B076</v>
          </cell>
        </row>
        <row r="252">
          <cell r="A252" t="str">
            <v>B0761QW2JK</v>
          </cell>
          <cell r="B252" t="str">
            <v>B076</v>
          </cell>
        </row>
        <row r="253">
          <cell r="A253" t="str">
            <v>B0761R6ZG2</v>
          </cell>
          <cell r="B253" t="str">
            <v>B076</v>
          </cell>
        </row>
        <row r="254">
          <cell r="A254" t="str">
            <v>B0761R93J2</v>
          </cell>
          <cell r="B254" t="str">
            <v>B076</v>
          </cell>
        </row>
        <row r="255">
          <cell r="A255" t="str">
            <v>B0761RRL7M</v>
          </cell>
          <cell r="B255" t="str">
            <v>B076</v>
          </cell>
        </row>
        <row r="256">
          <cell r="A256" t="str">
            <v>B0761S2M63</v>
          </cell>
          <cell r="B256" t="str">
            <v>B076</v>
          </cell>
        </row>
        <row r="257">
          <cell r="A257" t="str">
            <v>B0761S4G52</v>
          </cell>
          <cell r="B257" t="str">
            <v>B076</v>
          </cell>
        </row>
        <row r="258">
          <cell r="A258" t="str">
            <v>B0761S8TXR</v>
          </cell>
          <cell r="B258" t="str">
            <v>B076</v>
          </cell>
        </row>
        <row r="259">
          <cell r="A259" t="str">
            <v>B0761SKR3P</v>
          </cell>
          <cell r="B259" t="str">
            <v>B076</v>
          </cell>
        </row>
        <row r="260">
          <cell r="A260" t="str">
            <v>B0761V7L2R</v>
          </cell>
          <cell r="B260" t="str">
            <v>B076</v>
          </cell>
        </row>
        <row r="261">
          <cell r="A261" t="str">
            <v>B078NGPQK3</v>
          </cell>
          <cell r="B261" t="str">
            <v>B078</v>
          </cell>
        </row>
        <row r="262">
          <cell r="A262" t="str">
            <v>B078NN9LW4</v>
          </cell>
          <cell r="B262" t="str">
            <v>B078</v>
          </cell>
        </row>
        <row r="263">
          <cell r="A263" t="str">
            <v>B078NN9RD2</v>
          </cell>
          <cell r="B263" t="str">
            <v>B078</v>
          </cell>
        </row>
        <row r="264">
          <cell r="A264" t="str">
            <v>B078NN9RQR</v>
          </cell>
          <cell r="B264" t="str">
            <v>B078</v>
          </cell>
        </row>
        <row r="265">
          <cell r="A265" t="str">
            <v>B078NNB2PQ</v>
          </cell>
          <cell r="B265" t="str">
            <v>B078</v>
          </cell>
        </row>
        <row r="266">
          <cell r="A266" t="str">
            <v>B078NNLWT7</v>
          </cell>
          <cell r="B266" t="str">
            <v>B078</v>
          </cell>
        </row>
        <row r="267">
          <cell r="A267" t="str">
            <v>B078NNNW7X</v>
          </cell>
          <cell r="B267" t="str">
            <v>B078</v>
          </cell>
        </row>
        <row r="268">
          <cell r="A268" t="str">
            <v>B078NNWT42</v>
          </cell>
          <cell r="B268" t="str">
            <v>B078</v>
          </cell>
        </row>
        <row r="269">
          <cell r="A269" t="str">
            <v>B078NNYW4V</v>
          </cell>
          <cell r="B269" t="str">
            <v>B078</v>
          </cell>
        </row>
        <row r="270">
          <cell r="A270" t="str">
            <v>B078NNZ9M6</v>
          </cell>
          <cell r="B270" t="str">
            <v>B078</v>
          </cell>
        </row>
        <row r="271">
          <cell r="A271" t="str">
            <v>B078NNZQ5Y</v>
          </cell>
          <cell r="B271" t="str">
            <v>B078</v>
          </cell>
        </row>
        <row r="272">
          <cell r="A272" t="str">
            <v>B078NNZWD6</v>
          </cell>
          <cell r="B272" t="str">
            <v>B078</v>
          </cell>
        </row>
        <row r="273">
          <cell r="A273" t="str">
            <v>B078NPBXD2</v>
          </cell>
          <cell r="B273" t="str">
            <v>B078</v>
          </cell>
        </row>
        <row r="274">
          <cell r="A274" t="str">
            <v>B078NPV9SY</v>
          </cell>
          <cell r="B274" t="str">
            <v>B078</v>
          </cell>
        </row>
        <row r="275">
          <cell r="A275" t="str">
            <v>B078NPVY5T</v>
          </cell>
          <cell r="B275" t="str">
            <v>B078</v>
          </cell>
        </row>
        <row r="276">
          <cell r="A276" t="str">
            <v>B078NQ6C6H</v>
          </cell>
          <cell r="B276" t="str">
            <v>B078</v>
          </cell>
        </row>
        <row r="277">
          <cell r="A277" t="str">
            <v>B078NQ7BCX</v>
          </cell>
          <cell r="B277" t="str">
            <v>B078</v>
          </cell>
        </row>
        <row r="278">
          <cell r="A278" t="str">
            <v>B078NQ8ZF7</v>
          </cell>
          <cell r="B278" t="str">
            <v>B078</v>
          </cell>
        </row>
        <row r="279">
          <cell r="A279" t="str">
            <v>B078NQ98JD</v>
          </cell>
          <cell r="B279" t="str">
            <v>B078</v>
          </cell>
        </row>
        <row r="280">
          <cell r="A280" t="str">
            <v>B078NQ9D6V</v>
          </cell>
          <cell r="B280" t="str">
            <v>B078</v>
          </cell>
        </row>
        <row r="281">
          <cell r="A281" t="str">
            <v>B078NQW8Y6</v>
          </cell>
          <cell r="B281" t="str">
            <v>B078</v>
          </cell>
        </row>
        <row r="282">
          <cell r="A282" t="str">
            <v>B078NQWBSV</v>
          </cell>
          <cell r="B282" t="str">
            <v>B078</v>
          </cell>
        </row>
        <row r="283">
          <cell r="A283" t="str">
            <v>B078NQZYP7</v>
          </cell>
          <cell r="B283" t="str">
            <v>B078</v>
          </cell>
        </row>
        <row r="284">
          <cell r="A284" t="str">
            <v>B078WPW9YL</v>
          </cell>
          <cell r="B284" t="str">
            <v>B078</v>
          </cell>
        </row>
        <row r="285">
          <cell r="A285" t="str">
            <v>B078WPYL96</v>
          </cell>
          <cell r="B285" t="str">
            <v>B078</v>
          </cell>
        </row>
        <row r="286">
          <cell r="A286" t="str">
            <v>B078WQ3MJ9</v>
          </cell>
          <cell r="B286" t="str">
            <v>B078</v>
          </cell>
        </row>
        <row r="287">
          <cell r="A287" t="str">
            <v>B078WQCTTM</v>
          </cell>
          <cell r="B287" t="str">
            <v>B078</v>
          </cell>
        </row>
        <row r="288">
          <cell r="A288" t="str">
            <v>B078WQHD98</v>
          </cell>
          <cell r="B288" t="str">
            <v>B078</v>
          </cell>
        </row>
        <row r="289">
          <cell r="A289" t="str">
            <v>B078WQMW23</v>
          </cell>
          <cell r="B289" t="str">
            <v>B078</v>
          </cell>
        </row>
        <row r="290">
          <cell r="A290" t="str">
            <v>B078WQN4YQ</v>
          </cell>
          <cell r="B290" t="str">
            <v>B078</v>
          </cell>
        </row>
        <row r="291">
          <cell r="A291" t="str">
            <v>B078WQVSNV</v>
          </cell>
          <cell r="B291" t="str">
            <v>B078</v>
          </cell>
        </row>
        <row r="292">
          <cell r="A292" t="str">
            <v>B078WQY3NM</v>
          </cell>
          <cell r="B292" t="str">
            <v>B078</v>
          </cell>
        </row>
        <row r="293">
          <cell r="A293" t="str">
            <v>B078WR3XZL</v>
          </cell>
          <cell r="B293" t="str">
            <v>B078</v>
          </cell>
        </row>
        <row r="294">
          <cell r="A294" t="str">
            <v>B078WR4F43</v>
          </cell>
          <cell r="B294" t="str">
            <v>B078</v>
          </cell>
        </row>
        <row r="295">
          <cell r="A295" t="str">
            <v>B078WR6PY8</v>
          </cell>
          <cell r="B295" t="str">
            <v>B078</v>
          </cell>
        </row>
        <row r="296">
          <cell r="A296" t="str">
            <v>B078WRLGFX</v>
          </cell>
          <cell r="B296" t="str">
            <v>B078</v>
          </cell>
        </row>
        <row r="297">
          <cell r="A297" t="str">
            <v>B078WRMSBV</v>
          </cell>
          <cell r="B297" t="str">
            <v>B078</v>
          </cell>
        </row>
        <row r="298">
          <cell r="A298" t="str">
            <v>B07B3TW6D2</v>
          </cell>
          <cell r="B298" t="str">
            <v>B07B</v>
          </cell>
        </row>
        <row r="299">
          <cell r="A299" t="str">
            <v>B07B3TXJH7</v>
          </cell>
          <cell r="B299" t="str">
            <v>B07B</v>
          </cell>
        </row>
        <row r="300">
          <cell r="A300" t="str">
            <v>B07B3V3BV5</v>
          </cell>
          <cell r="B300" t="str">
            <v>B07B</v>
          </cell>
        </row>
        <row r="301">
          <cell r="A301" t="str">
            <v>B07BKNH45J</v>
          </cell>
          <cell r="B301" t="str">
            <v>B07B</v>
          </cell>
        </row>
        <row r="302">
          <cell r="A302" t="str">
            <v>B07BKNWPWQ</v>
          </cell>
          <cell r="B302" t="str">
            <v>B07B</v>
          </cell>
        </row>
        <row r="303">
          <cell r="A303" t="str">
            <v>B07BKPX8X2</v>
          </cell>
          <cell r="B303" t="str">
            <v>B07B</v>
          </cell>
        </row>
        <row r="304">
          <cell r="A304" t="str">
            <v>B07BKQDRB2</v>
          </cell>
          <cell r="B304" t="str">
            <v>B07B</v>
          </cell>
        </row>
        <row r="305">
          <cell r="A305" t="str">
            <v>B07BKQLKBG</v>
          </cell>
          <cell r="B305" t="str">
            <v>B07B</v>
          </cell>
        </row>
        <row r="306">
          <cell r="A306" t="str">
            <v>B07BKR7DCF</v>
          </cell>
          <cell r="B306" t="str">
            <v>B07B</v>
          </cell>
        </row>
        <row r="307">
          <cell r="A307" t="str">
            <v>B07BKR7DCG</v>
          </cell>
          <cell r="B307" t="str">
            <v>B07B</v>
          </cell>
        </row>
        <row r="308">
          <cell r="A308" t="str">
            <v>B07BKR8D8Z</v>
          </cell>
          <cell r="B308" t="str">
            <v>B07B</v>
          </cell>
        </row>
        <row r="309">
          <cell r="A309" t="str">
            <v>B07BKR9KYR</v>
          </cell>
          <cell r="B309" t="str">
            <v>B07B</v>
          </cell>
        </row>
        <row r="310">
          <cell r="A310" t="str">
            <v>B07BKRLXJK</v>
          </cell>
          <cell r="B310" t="str">
            <v>B07B</v>
          </cell>
        </row>
        <row r="311">
          <cell r="A311" t="str">
            <v>B07BKRPH4T</v>
          </cell>
          <cell r="B311" t="str">
            <v>B07B</v>
          </cell>
        </row>
        <row r="312">
          <cell r="A312" t="str">
            <v>B07BKS8YTN</v>
          </cell>
          <cell r="B312" t="str">
            <v>B07B</v>
          </cell>
        </row>
        <row r="313">
          <cell r="A313" t="str">
            <v>B07BKSWCR3</v>
          </cell>
          <cell r="B313" t="str">
            <v>B07B</v>
          </cell>
        </row>
        <row r="314">
          <cell r="A314" t="str">
            <v>B07BKT1Y4D</v>
          </cell>
          <cell r="B314" t="str">
            <v>B07B</v>
          </cell>
        </row>
        <row r="315">
          <cell r="A315" t="str">
            <v>B07BKTCPPS</v>
          </cell>
          <cell r="B315" t="str">
            <v>B07B</v>
          </cell>
        </row>
        <row r="316">
          <cell r="A316" t="str">
            <v>B07BKTFWMH</v>
          </cell>
          <cell r="B316" t="str">
            <v>B07B</v>
          </cell>
        </row>
        <row r="317">
          <cell r="A317" t="str">
            <v>B07BKTKK7K</v>
          </cell>
          <cell r="B317" t="str">
            <v>B07B</v>
          </cell>
        </row>
        <row r="318">
          <cell r="A318" t="str">
            <v>B07BKTLC85</v>
          </cell>
          <cell r="B318" t="str">
            <v>B07B</v>
          </cell>
        </row>
        <row r="319">
          <cell r="A319" t="str">
            <v>B07BKTSQ1R</v>
          </cell>
          <cell r="B319" t="str">
            <v>B07B</v>
          </cell>
        </row>
        <row r="320">
          <cell r="A320" t="str">
            <v>B07BKWBM9B</v>
          </cell>
          <cell r="B320" t="str">
            <v>B07B</v>
          </cell>
        </row>
        <row r="321">
          <cell r="A321" t="str">
            <v>B07BKWNVLL</v>
          </cell>
          <cell r="B321" t="str">
            <v>B07B</v>
          </cell>
        </row>
        <row r="322">
          <cell r="A322" t="str">
            <v>B9-JNKB-MXFQ</v>
          </cell>
          <cell r="B322" t="str">
            <v>B9-JNKB</v>
          </cell>
        </row>
        <row r="323">
          <cell r="A323" t="str">
            <v>BD-D2UF-9EFN</v>
          </cell>
          <cell r="B323" t="str">
            <v>BD-D2UF</v>
          </cell>
        </row>
        <row r="324">
          <cell r="A324" t="str">
            <v>BPJ-BSCXW0</v>
          </cell>
          <cell r="B324" t="str">
            <v>BPJ-BSCX</v>
          </cell>
        </row>
        <row r="325">
          <cell r="A325" t="str">
            <v>BPJ-CXKJW0</v>
          </cell>
          <cell r="B325" t="str">
            <v>BPJ-CXKJ</v>
          </cell>
        </row>
        <row r="326">
          <cell r="A326" t="str">
            <v>BPJ-CXLW0</v>
          </cell>
          <cell r="B326" t="str">
            <v>BPJ-CXL</v>
          </cell>
        </row>
        <row r="327">
          <cell r="A327" t="str">
            <v>BPJ-DLLSW0</v>
          </cell>
          <cell r="B327" t="str">
            <v>BPJ-DLLS</v>
          </cell>
        </row>
        <row r="328">
          <cell r="A328" t="str">
            <v>BPJ-GLKW0</v>
          </cell>
          <cell r="B328" t="str">
            <v>BPJ-GLK</v>
          </cell>
        </row>
        <row r="329">
          <cell r="A329" t="str">
            <v>BPJ-HLSR0</v>
          </cell>
          <cell r="B329" t="str">
            <v>BPJ-HLS</v>
          </cell>
        </row>
        <row r="330">
          <cell r="A330" t="str">
            <v>BPJ-LLSR0</v>
          </cell>
          <cell r="B330" t="str">
            <v>BPJ-LLS</v>
          </cell>
        </row>
        <row r="331">
          <cell r="A331" t="str">
            <v>BPJ-LPSW0</v>
          </cell>
          <cell r="B331" t="str">
            <v>BPJ-LPS</v>
          </cell>
        </row>
        <row r="332">
          <cell r="A332" t="str">
            <v>BPJ-LSBW0</v>
          </cell>
          <cell r="B332" t="str">
            <v>BPJ-LSB</v>
          </cell>
        </row>
        <row r="333">
          <cell r="A333" t="str">
            <v>BPJ-LSHBW0</v>
          </cell>
          <cell r="B333" t="str">
            <v>BPJ-LSHB</v>
          </cell>
        </row>
        <row r="334">
          <cell r="A334" t="str">
            <v>BPJ-LS-HF7</v>
          </cell>
          <cell r="B334" t="str">
            <v>BPJ-LS-H</v>
          </cell>
        </row>
        <row r="335">
          <cell r="A335" t="str">
            <v>BPJ-LS-HF8</v>
          </cell>
          <cell r="B335" t="str">
            <v>BPJ-LS-H</v>
          </cell>
        </row>
        <row r="336">
          <cell r="A336" t="str">
            <v>BPJ-LS-HF9</v>
          </cell>
          <cell r="B336" t="str">
            <v>BPJ-LS-H</v>
          </cell>
        </row>
        <row r="337">
          <cell r="A337" t="str">
            <v>BPJ-LS-QF1</v>
          </cell>
          <cell r="B337" t="str">
            <v>BPJ-LS-Q</v>
          </cell>
        </row>
        <row r="338">
          <cell r="A338" t="str">
            <v>BPJ-LS-QF2</v>
          </cell>
          <cell r="B338" t="str">
            <v>BPJ-LS-Q</v>
          </cell>
        </row>
        <row r="339">
          <cell r="A339" t="str">
            <v>BPJ-LS-QF3</v>
          </cell>
          <cell r="B339" t="str">
            <v>BPJ-LS-Q</v>
          </cell>
        </row>
        <row r="340">
          <cell r="A340" t="str">
            <v>BPJ-LSWTR0</v>
          </cell>
          <cell r="B340" t="str">
            <v>BPJ-LSWT</v>
          </cell>
        </row>
        <row r="341">
          <cell r="A341" t="str">
            <v>BPJ-LSWTW0</v>
          </cell>
          <cell r="B341" t="str">
            <v>BPJ-LSWT</v>
          </cell>
        </row>
        <row r="342">
          <cell r="A342" t="str">
            <v>BPJ-LS-ZF4</v>
          </cell>
          <cell r="B342" t="str">
            <v>BPJ-LS-Z</v>
          </cell>
        </row>
        <row r="343">
          <cell r="A343" t="str">
            <v>BPJ-LS-ZF5</v>
          </cell>
          <cell r="B343" t="str">
            <v>BPJ-LS-Z</v>
          </cell>
        </row>
        <row r="344">
          <cell r="A344" t="str">
            <v>BPJ-LS-ZF6</v>
          </cell>
          <cell r="B344" t="str">
            <v>BPJ-LS-Z</v>
          </cell>
        </row>
        <row r="345">
          <cell r="A345" t="str">
            <v>BPJ-LSZW0</v>
          </cell>
          <cell r="B345" t="str">
            <v>BPJ-LSZ</v>
          </cell>
        </row>
        <row r="346">
          <cell r="A346" t="str">
            <v>BPJ-SCSMB</v>
          </cell>
          <cell r="B346" t="str">
            <v>BPJ-SCS</v>
          </cell>
        </row>
        <row r="347">
          <cell r="A347" t="str">
            <v>BPJ-SCSR0</v>
          </cell>
          <cell r="B347" t="str">
            <v>BPJ-SCS</v>
          </cell>
        </row>
        <row r="348">
          <cell r="A348" t="str">
            <v>BPJ-SYFW0</v>
          </cell>
          <cell r="B348" t="str">
            <v>BPJ-SYF</v>
          </cell>
        </row>
        <row r="349">
          <cell r="A349" t="str">
            <v>BPJ-TMXHW0</v>
          </cell>
          <cell r="B349" t="str">
            <v>BPJ-TMXH</v>
          </cell>
        </row>
        <row r="350">
          <cell r="A350" t="str">
            <v>BPJ-WGSW0</v>
          </cell>
          <cell r="B350" t="str">
            <v>BPJ-WGS</v>
          </cell>
        </row>
        <row r="351">
          <cell r="A351" t="str">
            <v>BPJ-WS-HL7</v>
          </cell>
          <cell r="B351" t="str">
            <v>BPJ-WS-H</v>
          </cell>
        </row>
        <row r="352">
          <cell r="A352" t="str">
            <v>BPJ-WS-HL8</v>
          </cell>
          <cell r="B352" t="str">
            <v>BPJ-WS-H</v>
          </cell>
        </row>
        <row r="353">
          <cell r="A353" t="str">
            <v>BPJ-WS-HL9</v>
          </cell>
          <cell r="B353" t="str">
            <v>BPJ-WS-H</v>
          </cell>
        </row>
        <row r="354">
          <cell r="A354" t="str">
            <v>BPJ-WS-QL1</v>
          </cell>
          <cell r="B354" t="str">
            <v>BPJ-WS-Q</v>
          </cell>
        </row>
        <row r="355">
          <cell r="A355" t="str">
            <v>BPJ-WS-QL2</v>
          </cell>
          <cell r="B355" t="str">
            <v>BPJ-WS-Q</v>
          </cell>
        </row>
        <row r="356">
          <cell r="A356" t="str">
            <v>BPJ-WS-QL3</v>
          </cell>
          <cell r="B356" t="str">
            <v>BPJ-WS-Q</v>
          </cell>
        </row>
        <row r="357">
          <cell r="A357" t="str">
            <v>BPJ-WSXW0</v>
          </cell>
          <cell r="B357" t="str">
            <v>BPJ-WSX</v>
          </cell>
        </row>
        <row r="358">
          <cell r="A358" t="str">
            <v>BPJ-WS-ZL4</v>
          </cell>
          <cell r="B358" t="str">
            <v>BPJ-WS-Z</v>
          </cell>
        </row>
        <row r="359">
          <cell r="A359" t="str">
            <v>BPJ-WS-ZL5</v>
          </cell>
          <cell r="B359" t="str">
            <v>BPJ-WS-Z</v>
          </cell>
        </row>
        <row r="360">
          <cell r="A360" t="str">
            <v>BPJ-WS-ZL6</v>
          </cell>
          <cell r="B360" t="str">
            <v>BPJ-WS-Z</v>
          </cell>
        </row>
        <row r="361">
          <cell r="A361" t="str">
            <v>BPJ-XDLW0</v>
          </cell>
          <cell r="B361" t="str">
            <v>BPJ-XDL</v>
          </cell>
        </row>
        <row r="362">
          <cell r="A362" t="str">
            <v>BPJ-XHBW0</v>
          </cell>
          <cell r="B362" t="str">
            <v>BPJ-XHB</v>
          </cell>
        </row>
        <row r="363">
          <cell r="A363" t="str">
            <v>BPJ-XHLSW0</v>
          </cell>
          <cell r="B363" t="str">
            <v>BPJ-XHLS</v>
          </cell>
        </row>
        <row r="364">
          <cell r="A364" t="str">
            <v>BPJ-YJCXW0</v>
          </cell>
          <cell r="B364" t="str">
            <v>BPJ-YJCX</v>
          </cell>
        </row>
        <row r="365">
          <cell r="A365" t="str">
            <v>BPJ-YXCW0</v>
          </cell>
          <cell r="B365" t="str">
            <v>BPJ-YXC</v>
          </cell>
        </row>
        <row r="366">
          <cell r="A366" t="str">
            <v>BPJ-YZJMS</v>
          </cell>
          <cell r="B366" t="str">
            <v>BPJ-YZJ</v>
          </cell>
        </row>
        <row r="367">
          <cell r="A367" t="str">
            <v>BPJ-YZLW0</v>
          </cell>
          <cell r="B367" t="str">
            <v>BPJ-YZL</v>
          </cell>
        </row>
        <row r="368">
          <cell r="A368" t="str">
            <v>BZHSKK0L</v>
          </cell>
          <cell r="B368" t="str">
            <v>BZHSK</v>
          </cell>
        </row>
        <row r="369">
          <cell r="A369" t="str">
            <v>BZHSKK0M</v>
          </cell>
          <cell r="B369" t="str">
            <v>BZHSK</v>
          </cell>
        </row>
        <row r="370">
          <cell r="A370" t="str">
            <v>BZHSKK0XL</v>
          </cell>
          <cell r="B370" t="str">
            <v>BZHSK</v>
          </cell>
        </row>
        <row r="371">
          <cell r="A371" t="str">
            <v>BZIMUYH1</v>
          </cell>
          <cell r="B371" t="str">
            <v>BZIMUYH</v>
          </cell>
        </row>
        <row r="372">
          <cell r="A372" t="str">
            <v>BZIMUYH2</v>
          </cell>
          <cell r="B372" t="str">
            <v>BZIMUYH</v>
          </cell>
        </row>
        <row r="373">
          <cell r="A373" t="str">
            <v>BZIMUYH3</v>
          </cell>
          <cell r="B373" t="str">
            <v>BZIMUYH</v>
          </cell>
        </row>
        <row r="374">
          <cell r="A374" t="str">
            <v>BZIMUYH4</v>
          </cell>
          <cell r="B374" t="str">
            <v>BZIMUYH</v>
          </cell>
        </row>
        <row r="375">
          <cell r="A375" t="str">
            <v>BZIMUYH5</v>
          </cell>
          <cell r="B375" t="str">
            <v>BZIMUYH</v>
          </cell>
        </row>
        <row r="376">
          <cell r="A376" t="str">
            <v>BZIMUYH6</v>
          </cell>
          <cell r="B376" t="str">
            <v>BZIMUYH</v>
          </cell>
        </row>
        <row r="377">
          <cell r="A377" t="str">
            <v>BZIMUYH7</v>
          </cell>
          <cell r="B377" t="str">
            <v>BZIMUYH</v>
          </cell>
        </row>
        <row r="378">
          <cell r="A378" t="str">
            <v>BZIMUYH8</v>
          </cell>
          <cell r="B378" t="str">
            <v>BZIMUYH</v>
          </cell>
        </row>
        <row r="379">
          <cell r="A379" t="str">
            <v>BZIMUYH9</v>
          </cell>
          <cell r="B379" t="str">
            <v>BZIMUYH</v>
          </cell>
        </row>
        <row r="380">
          <cell r="A380" t="str">
            <v>BZLHKB0L</v>
          </cell>
          <cell r="B380" t="str">
            <v>BZLHK</v>
          </cell>
        </row>
        <row r="381">
          <cell r="A381" t="str">
            <v>BZLHKB0M</v>
          </cell>
          <cell r="B381" t="str">
            <v>BZLHK</v>
          </cell>
        </row>
        <row r="382">
          <cell r="A382" t="str">
            <v>BZLHKB0XL</v>
          </cell>
          <cell r="B382" t="str">
            <v>BZLHK</v>
          </cell>
        </row>
        <row r="383">
          <cell r="A383" t="str">
            <v>BZTWKB0L</v>
          </cell>
          <cell r="B383" t="str">
            <v>BZTWK</v>
          </cell>
        </row>
        <row r="384">
          <cell r="A384" t="str">
            <v>BZTWKB0M</v>
          </cell>
          <cell r="B384" t="str">
            <v>BZTWK</v>
          </cell>
        </row>
        <row r="385">
          <cell r="A385" t="str">
            <v>BZTWKB0XL</v>
          </cell>
          <cell r="B385" t="str">
            <v>BZTWK</v>
          </cell>
        </row>
        <row r="386">
          <cell r="A386" t="str">
            <v>BZTWKW0L</v>
          </cell>
          <cell r="B386" t="str">
            <v>BZTWK</v>
          </cell>
        </row>
        <row r="387">
          <cell r="A387" t="str">
            <v>BZTWKW0M</v>
          </cell>
          <cell r="B387" t="str">
            <v>BZTWK</v>
          </cell>
        </row>
        <row r="388">
          <cell r="A388" t="str">
            <v>BZTWKW0XL</v>
          </cell>
          <cell r="B388" t="str">
            <v>BZTWK</v>
          </cell>
        </row>
        <row r="389">
          <cell r="A389" t="str">
            <v>CHBGZK0XL</v>
          </cell>
          <cell r="B389" t="str">
            <v>CHBGZ</v>
          </cell>
        </row>
        <row r="390">
          <cell r="A390" t="str">
            <v>CKCDWZR0</v>
          </cell>
          <cell r="B390" t="str">
            <v>CKCDWZ</v>
          </cell>
        </row>
        <row r="391">
          <cell r="A391" t="str">
            <v>CKCDWZW0</v>
          </cell>
          <cell r="B391" t="str">
            <v>CKCDWZ</v>
          </cell>
        </row>
        <row r="392">
          <cell r="A392" t="str">
            <v>CK-DHWZR0</v>
          </cell>
          <cell r="B392" t="str">
            <v>CK-DHWZ</v>
          </cell>
        </row>
        <row r="393">
          <cell r="A393" t="str">
            <v>CK-DHWZW0</v>
          </cell>
          <cell r="B393" t="str">
            <v>CK-DHWZ</v>
          </cell>
        </row>
        <row r="394">
          <cell r="A394" t="str">
            <v>CKDMBW0</v>
          </cell>
          <cell r="B394" t="str">
            <v>CKDMB</v>
          </cell>
        </row>
        <row r="395">
          <cell r="A395" t="str">
            <v>CKDMWZK0</v>
          </cell>
          <cell r="B395" t="str">
            <v>CKDMWZ</v>
          </cell>
        </row>
        <row r="396">
          <cell r="A396" t="str">
            <v>CKDMWZR0</v>
          </cell>
          <cell r="B396" t="str">
            <v>CKDMWZ</v>
          </cell>
        </row>
        <row r="397">
          <cell r="A397" t="str">
            <v>CKDMWZRB</v>
          </cell>
          <cell r="B397" t="str">
            <v>CKDMWZ</v>
          </cell>
        </row>
        <row r="398">
          <cell r="A398" t="str">
            <v>CKDMWZW0</v>
          </cell>
          <cell r="B398" t="str">
            <v>CKDMWZ</v>
          </cell>
        </row>
        <row r="399">
          <cell r="A399" t="str">
            <v>CKDMZR0</v>
          </cell>
          <cell r="B399" t="str">
            <v>CKDMZ</v>
          </cell>
        </row>
        <row r="400">
          <cell r="A400" t="str">
            <v>CKFHBW0</v>
          </cell>
          <cell r="B400" t="str">
            <v>CKFHB</v>
          </cell>
        </row>
        <row r="401">
          <cell r="A401" t="str">
            <v>CKGBK0</v>
          </cell>
          <cell r="B401" t="str">
            <v>CKGB</v>
          </cell>
        </row>
        <row r="402">
          <cell r="A402" t="str">
            <v>CKGBR0</v>
          </cell>
          <cell r="B402" t="str">
            <v>CKGB</v>
          </cell>
        </row>
        <row r="403">
          <cell r="A403" t="str">
            <v>CKHBWZW0</v>
          </cell>
          <cell r="B403" t="str">
            <v>CKHBWZ</v>
          </cell>
        </row>
        <row r="404">
          <cell r="A404" t="str">
            <v>CKHDJW0</v>
          </cell>
          <cell r="B404" t="str">
            <v>CKHDJ</v>
          </cell>
        </row>
        <row r="405">
          <cell r="A405" t="str">
            <v>CKHDMK0</v>
          </cell>
          <cell r="B405" t="str">
            <v>CKHDM</v>
          </cell>
        </row>
        <row r="406">
          <cell r="A406" t="str">
            <v>CKJHWZRB</v>
          </cell>
          <cell r="B406" t="str">
            <v>CKJHWZ</v>
          </cell>
        </row>
        <row r="407">
          <cell r="A407" t="str">
            <v>CKJHWZW0</v>
          </cell>
          <cell r="B407" t="str">
            <v>CKJHWZ</v>
          </cell>
        </row>
        <row r="408">
          <cell r="A408" t="str">
            <v>CKLDWZRB</v>
          </cell>
          <cell r="B408" t="str">
            <v>CKLDWZ</v>
          </cell>
        </row>
        <row r="409">
          <cell r="A409" t="str">
            <v>CKLHWZW0</v>
          </cell>
          <cell r="B409" t="str">
            <v>CKLHWZ</v>
          </cell>
        </row>
        <row r="410">
          <cell r="A410" t="str">
            <v>CKLHWZXYS</v>
          </cell>
          <cell r="B410" t="str">
            <v>CKLHWZ</v>
          </cell>
        </row>
        <row r="411">
          <cell r="A411" t="str">
            <v>CKLSWZK0</v>
          </cell>
          <cell r="B411" t="str">
            <v>CKLSWZ</v>
          </cell>
        </row>
        <row r="412">
          <cell r="A412" t="str">
            <v>CKLSWZR0</v>
          </cell>
          <cell r="B412" t="str">
            <v>CKLSWZ</v>
          </cell>
        </row>
        <row r="413">
          <cell r="A413" t="str">
            <v>CKLSWZRB</v>
          </cell>
          <cell r="B413" t="str">
            <v>CKLSWZ</v>
          </cell>
        </row>
        <row r="414">
          <cell r="A414" t="str">
            <v>CKLSWZW0</v>
          </cell>
          <cell r="B414" t="str">
            <v>CKLSWZ</v>
          </cell>
        </row>
        <row r="415">
          <cell r="A415" t="str">
            <v>CKLSZRB</v>
          </cell>
          <cell r="B415" t="str">
            <v>CKLSZ</v>
          </cell>
        </row>
        <row r="416">
          <cell r="A416" t="str">
            <v>CKSHDMS</v>
          </cell>
          <cell r="B416" t="str">
            <v>CKSHD</v>
          </cell>
        </row>
        <row r="417">
          <cell r="A417" t="str">
            <v>CKSHDW0</v>
          </cell>
          <cell r="B417" t="str">
            <v>CKSHD</v>
          </cell>
        </row>
        <row r="418">
          <cell r="A418" t="str">
            <v>CKSZWZW0</v>
          </cell>
          <cell r="B418" t="str">
            <v>CKSZWZ</v>
          </cell>
        </row>
        <row r="419">
          <cell r="A419" t="str">
            <v>CKWSHR0</v>
          </cell>
          <cell r="B419" t="str">
            <v>CKWSH</v>
          </cell>
        </row>
        <row r="420">
          <cell r="A420" t="str">
            <v>CKWSR0</v>
          </cell>
          <cell r="B420" t="str">
            <v>CKWS</v>
          </cell>
        </row>
        <row r="421">
          <cell r="A421" t="str">
            <v>CKWSW0</v>
          </cell>
          <cell r="B421" t="str">
            <v>CKWS</v>
          </cell>
        </row>
        <row r="422">
          <cell r="A422" t="str">
            <v>CKZDMR0</v>
          </cell>
          <cell r="B422" t="str">
            <v>CKZDM</v>
          </cell>
        </row>
        <row r="423">
          <cell r="A423" t="str">
            <v>CKZZR0</v>
          </cell>
          <cell r="B423" t="str">
            <v>CKZZ</v>
          </cell>
        </row>
        <row r="424">
          <cell r="A424" t="str">
            <v>CSMZK02XL</v>
          </cell>
          <cell r="B424" t="str">
            <v>CSMZ</v>
          </cell>
        </row>
        <row r="425">
          <cell r="A425" t="str">
            <v>CSMZK03XL</v>
          </cell>
          <cell r="B425" t="str">
            <v>CSMZ</v>
          </cell>
        </row>
        <row r="426">
          <cell r="A426" t="str">
            <v>CSMZK0L</v>
          </cell>
          <cell r="B426" t="str">
            <v>CSMZ</v>
          </cell>
        </row>
        <row r="427">
          <cell r="A427" t="str">
            <v>CSMZK0M</v>
          </cell>
          <cell r="B427" t="str">
            <v>CSMZ</v>
          </cell>
        </row>
        <row r="428">
          <cell r="A428" t="str">
            <v>CSMZK0XL</v>
          </cell>
          <cell r="B428" t="str">
            <v>CSMZ</v>
          </cell>
        </row>
        <row r="429">
          <cell r="A429" t="str">
            <v>DDBNYW0</v>
          </cell>
          <cell r="B429" t="str">
            <v>DDBNY</v>
          </cell>
        </row>
        <row r="430">
          <cell r="A430" t="str">
            <v>DDHNYK0</v>
          </cell>
          <cell r="B430" t="str">
            <v>DDHNY</v>
          </cell>
        </row>
        <row r="431">
          <cell r="A431" t="str">
            <v>DHBTSW0</v>
          </cell>
          <cell r="B431" t="str">
            <v>DHBTS</v>
          </cell>
        </row>
        <row r="432">
          <cell r="A432" t="str">
            <v>DKBDWZXYS</v>
          </cell>
          <cell r="B432" t="str">
            <v>DKBDWZ</v>
          </cell>
        </row>
        <row r="433">
          <cell r="A433" t="str">
            <v>DKDHWZW0</v>
          </cell>
          <cell r="B433" t="str">
            <v>DKDHWZ</v>
          </cell>
        </row>
        <row r="434">
          <cell r="A434" t="str">
            <v>DKDWSW0</v>
          </cell>
          <cell r="B434" t="str">
            <v>DKDWS</v>
          </cell>
        </row>
        <row r="435">
          <cell r="A435" t="str">
            <v>DKDZWZW0</v>
          </cell>
          <cell r="B435" t="str">
            <v>DKDZWZ</v>
          </cell>
        </row>
        <row r="436">
          <cell r="A436" t="str">
            <v>DKHDJMB</v>
          </cell>
          <cell r="B436" t="str">
            <v>DKHDJ</v>
          </cell>
        </row>
        <row r="437">
          <cell r="A437" t="str">
            <v>DKHDJR0</v>
          </cell>
          <cell r="B437" t="str">
            <v>DKHDJ</v>
          </cell>
        </row>
        <row r="438">
          <cell r="A438" t="str">
            <v>DKHDR0</v>
          </cell>
          <cell r="B438" t="str">
            <v>DKHD</v>
          </cell>
        </row>
        <row r="439">
          <cell r="A439" t="str">
            <v>DKHDWZW0</v>
          </cell>
          <cell r="B439" t="str">
            <v>DKHDWZ</v>
          </cell>
        </row>
        <row r="440">
          <cell r="A440" t="str">
            <v>DKLKWZMS</v>
          </cell>
          <cell r="B440" t="str">
            <v>DKLKWZ</v>
          </cell>
        </row>
        <row r="441">
          <cell r="A441" t="str">
            <v>DKLKWZR0</v>
          </cell>
          <cell r="B441" t="str">
            <v>DKLKWZ</v>
          </cell>
        </row>
        <row r="442">
          <cell r="A442" t="str">
            <v>DKLKWZW0</v>
          </cell>
          <cell r="B442" t="str">
            <v>DKLKWZ</v>
          </cell>
        </row>
        <row r="443">
          <cell r="A443" t="str">
            <v>DKLSBWZW0</v>
          </cell>
          <cell r="B443" t="str">
            <v>DKLSBWZ</v>
          </cell>
        </row>
        <row r="444">
          <cell r="A444" t="str">
            <v>DKLSW0</v>
          </cell>
          <cell r="B444" t="str">
            <v>DKLS</v>
          </cell>
        </row>
        <row r="445">
          <cell r="A445" t="str">
            <v>DKLZWZW0</v>
          </cell>
          <cell r="B445" t="str">
            <v>DKLZWZ</v>
          </cell>
        </row>
        <row r="446">
          <cell r="A446" t="str">
            <v>DKNZWZMB</v>
          </cell>
          <cell r="B446" t="str">
            <v>DKNZWZ</v>
          </cell>
        </row>
        <row r="447">
          <cell r="A447" t="str">
            <v>DKNZWZW0</v>
          </cell>
          <cell r="B447" t="str">
            <v>DKNZWZ</v>
          </cell>
        </row>
        <row r="448">
          <cell r="A448" t="str">
            <v>DKQLSW0</v>
          </cell>
          <cell r="B448" t="str">
            <v>DKQLS</v>
          </cell>
        </row>
        <row r="449">
          <cell r="A449" t="str">
            <v>DKSCW0</v>
          </cell>
          <cell r="B449" t="str">
            <v>DKSC</v>
          </cell>
        </row>
        <row r="450">
          <cell r="A450" t="str">
            <v>DKSZW0</v>
          </cell>
          <cell r="B450" t="str">
            <v>DKSZ</v>
          </cell>
        </row>
        <row r="451">
          <cell r="A451" t="str">
            <v>DKTHWZW0</v>
          </cell>
          <cell r="B451" t="str">
            <v>DKTHWZ</v>
          </cell>
        </row>
        <row r="452">
          <cell r="A452" t="str">
            <v>DKWLSW0</v>
          </cell>
          <cell r="B452" t="str">
            <v>DKWLS</v>
          </cell>
        </row>
        <row r="453">
          <cell r="A453" t="str">
            <v>DKWSHW0</v>
          </cell>
          <cell r="B453" t="str">
            <v>DKWSH</v>
          </cell>
        </row>
        <row r="454">
          <cell r="A454" t="str">
            <v>DKWSMB</v>
          </cell>
          <cell r="B454" t="str">
            <v>DKWS</v>
          </cell>
        </row>
        <row r="455">
          <cell r="A455" t="str">
            <v>DKWSW0</v>
          </cell>
          <cell r="B455" t="str">
            <v>DKWS</v>
          </cell>
        </row>
        <row r="456">
          <cell r="A456" t="str">
            <v>DKWSWZK0</v>
          </cell>
          <cell r="B456" t="str">
            <v>DKWSWZ</v>
          </cell>
        </row>
        <row r="457">
          <cell r="A457" t="str">
            <v>DKWSWZR0</v>
          </cell>
          <cell r="B457" t="str">
            <v>DKWSWZ</v>
          </cell>
        </row>
        <row r="458">
          <cell r="A458" t="str">
            <v>DKWSWZRB</v>
          </cell>
          <cell r="B458" t="str">
            <v>DKWSWZ</v>
          </cell>
        </row>
        <row r="459">
          <cell r="A459" t="str">
            <v>DKWSWZW0</v>
          </cell>
          <cell r="B459" t="str">
            <v>DKWSWZ</v>
          </cell>
        </row>
        <row r="460">
          <cell r="A460" t="str">
            <v>DKWSZW0</v>
          </cell>
          <cell r="B460" t="str">
            <v>DKWSZ</v>
          </cell>
        </row>
        <row r="461">
          <cell r="A461" t="str">
            <v>DKXJW0</v>
          </cell>
          <cell r="B461" t="str">
            <v>DKXJ</v>
          </cell>
        </row>
        <row r="462">
          <cell r="A462" t="str">
            <v>DKXSW0</v>
          </cell>
          <cell r="B462" t="str">
            <v>DKXS</v>
          </cell>
        </row>
        <row r="463">
          <cell r="A463" t="str">
            <v>DKYSTS1W0T6</v>
          </cell>
          <cell r="B463" t="str">
            <v>DKYSTS1</v>
          </cell>
        </row>
        <row r="464">
          <cell r="A464" t="str">
            <v>DKYSTS1W0T7</v>
          </cell>
          <cell r="B464" t="str">
            <v>DKYSTS1</v>
          </cell>
        </row>
        <row r="465">
          <cell r="A465" t="str">
            <v>DKYSTS1W0T8</v>
          </cell>
          <cell r="B465" t="str">
            <v>DKYSTS1</v>
          </cell>
        </row>
        <row r="466">
          <cell r="A466" t="str">
            <v>DKYSTS1W0T9</v>
          </cell>
          <cell r="B466" t="str">
            <v>DKYSTS1</v>
          </cell>
        </row>
        <row r="467">
          <cell r="A467" t="str">
            <v>DKYSTS2W0T10</v>
          </cell>
          <cell r="B467" t="str">
            <v>DKYSTS2</v>
          </cell>
        </row>
        <row r="468">
          <cell r="A468" t="str">
            <v>DKYSTS2W0T11</v>
          </cell>
          <cell r="B468" t="str">
            <v>DKYSTS2</v>
          </cell>
        </row>
        <row r="469">
          <cell r="A469" t="str">
            <v>DKYSTS2W0T12</v>
          </cell>
          <cell r="B469" t="str">
            <v>DKYSTS2</v>
          </cell>
        </row>
        <row r="470">
          <cell r="A470" t="str">
            <v>DKYSTSW0T1</v>
          </cell>
          <cell r="B470" t="str">
            <v>DKYSTS</v>
          </cell>
        </row>
        <row r="471">
          <cell r="A471" t="str">
            <v>DKYSTSW0T3</v>
          </cell>
          <cell r="B471" t="str">
            <v>DKYSTS</v>
          </cell>
        </row>
        <row r="472">
          <cell r="A472" t="str">
            <v>DKYSTSW0T4</v>
          </cell>
          <cell r="B472" t="str">
            <v>DKYSTS</v>
          </cell>
        </row>
        <row r="473">
          <cell r="A473" t="str">
            <v>DKYSTSW0T5</v>
          </cell>
          <cell r="B473" t="str">
            <v>DKYSTS</v>
          </cell>
        </row>
        <row r="474">
          <cell r="A474" t="str">
            <v>DKZZW0</v>
          </cell>
          <cell r="B474" t="str">
            <v>DKZZ</v>
          </cell>
        </row>
        <row r="475">
          <cell r="A475" t="str">
            <v>DMEFJSL</v>
          </cell>
          <cell r="B475" t="str">
            <v>DMEF</v>
          </cell>
        </row>
        <row r="476">
          <cell r="A476" t="str">
            <v>DMEFJSM</v>
          </cell>
          <cell r="B476" t="str">
            <v>DMEF</v>
          </cell>
        </row>
        <row r="477">
          <cell r="A477" t="str">
            <v>DMEFJSS</v>
          </cell>
          <cell r="B477" t="str">
            <v>DMEF</v>
          </cell>
        </row>
        <row r="478">
          <cell r="A478" t="str">
            <v>DMEFK0L</v>
          </cell>
          <cell r="B478" t="str">
            <v>DMEF</v>
          </cell>
        </row>
        <row r="479">
          <cell r="A479" t="str">
            <v>DMEFK0M</v>
          </cell>
          <cell r="B479" t="str">
            <v>DMEF</v>
          </cell>
        </row>
        <row r="480">
          <cell r="A480" t="str">
            <v>DMEFK0S</v>
          </cell>
          <cell r="B480" t="str">
            <v>DMEF</v>
          </cell>
        </row>
        <row r="481">
          <cell r="A481" t="str">
            <v>DMEFMHL</v>
          </cell>
          <cell r="B481" t="str">
            <v>DMEF</v>
          </cell>
        </row>
        <row r="482">
          <cell r="A482" t="str">
            <v>DMEFMHM</v>
          </cell>
          <cell r="B482" t="str">
            <v>DMEF</v>
          </cell>
        </row>
        <row r="483">
          <cell r="A483" t="str">
            <v>DMEFMHS</v>
          </cell>
          <cell r="B483" t="str">
            <v>DMEF</v>
          </cell>
        </row>
        <row r="484">
          <cell r="A484" t="str">
            <v>DMEFTLL</v>
          </cell>
          <cell r="B484" t="str">
            <v>DMEF</v>
          </cell>
        </row>
        <row r="485">
          <cell r="A485" t="str">
            <v>DMEFTLM</v>
          </cell>
          <cell r="B485" t="str">
            <v>DMEF</v>
          </cell>
        </row>
        <row r="486">
          <cell r="A486" t="str">
            <v>DMEFTLS</v>
          </cell>
          <cell r="B486" t="str">
            <v>DMEF</v>
          </cell>
        </row>
        <row r="487">
          <cell r="A487" t="str">
            <v>DYHDK0</v>
          </cell>
          <cell r="B487" t="str">
            <v>DYHD</v>
          </cell>
        </row>
        <row r="488">
          <cell r="A488" t="str">
            <v>FFWMYHB0L</v>
          </cell>
          <cell r="B488" t="str">
            <v>FFWMYH</v>
          </cell>
        </row>
        <row r="489">
          <cell r="A489" t="str">
            <v>FFWMYHB0M</v>
          </cell>
          <cell r="B489" t="str">
            <v>FFWMYH</v>
          </cell>
        </row>
        <row r="490">
          <cell r="A490" t="str">
            <v>FFWMYHB0S</v>
          </cell>
          <cell r="B490" t="str">
            <v>FFWMYH</v>
          </cell>
        </row>
        <row r="491">
          <cell r="A491" t="str">
            <v>FFWMYHB0XL</v>
          </cell>
          <cell r="B491" t="str">
            <v>FFWMYH</v>
          </cell>
        </row>
        <row r="492">
          <cell r="A492" t="str">
            <v>FFWMYHG0L</v>
          </cell>
          <cell r="B492" t="str">
            <v>FFWMYH</v>
          </cell>
        </row>
        <row r="493">
          <cell r="A493" t="str">
            <v>FFWMYHG0M</v>
          </cell>
          <cell r="B493" t="str">
            <v>FFWMYH</v>
          </cell>
        </row>
        <row r="494">
          <cell r="A494" t="str">
            <v>FFWMYHG0S</v>
          </cell>
          <cell r="B494" t="str">
            <v>FFWMYH</v>
          </cell>
        </row>
        <row r="495">
          <cell r="A495" t="str">
            <v>FFWMYHG0XL</v>
          </cell>
          <cell r="B495" t="str">
            <v>FFWMYH</v>
          </cell>
        </row>
        <row r="496">
          <cell r="A496" t="str">
            <v>FFWMYHJHL</v>
          </cell>
          <cell r="B496" t="str">
            <v>FFWMYH</v>
          </cell>
        </row>
        <row r="497">
          <cell r="A497" t="str">
            <v>FFWMYHJHM</v>
          </cell>
          <cell r="B497" t="str">
            <v>FFWMYH</v>
          </cell>
        </row>
        <row r="498">
          <cell r="A498" t="str">
            <v>FFWMYHJHS</v>
          </cell>
          <cell r="B498" t="str">
            <v>FFWMYH</v>
          </cell>
        </row>
        <row r="499">
          <cell r="A499" t="str">
            <v>FFWMYHJHSL</v>
          </cell>
          <cell r="B499" t="str">
            <v>FFWMYH</v>
          </cell>
        </row>
        <row r="500">
          <cell r="A500" t="str">
            <v>FFWMYHJHSM</v>
          </cell>
          <cell r="B500" t="str">
            <v>FFWMYH</v>
          </cell>
        </row>
        <row r="501">
          <cell r="A501" t="str">
            <v>FFWMYHJHSS</v>
          </cell>
          <cell r="B501" t="str">
            <v>FFWMYH</v>
          </cell>
        </row>
        <row r="502">
          <cell r="A502" t="str">
            <v>FFWMYHJHSXL</v>
          </cell>
          <cell r="B502" t="str">
            <v>FFWMYH</v>
          </cell>
        </row>
        <row r="503">
          <cell r="A503" t="str">
            <v>FFWMYHJHXL</v>
          </cell>
          <cell r="B503" t="str">
            <v>FFWMYH</v>
          </cell>
        </row>
        <row r="504">
          <cell r="A504" t="str">
            <v>FFWMYHK0L</v>
          </cell>
          <cell r="B504" t="str">
            <v>FFWMYH</v>
          </cell>
        </row>
        <row r="505">
          <cell r="A505" t="str">
            <v>FFWMYHK0M</v>
          </cell>
          <cell r="B505" t="str">
            <v>FFWMYH</v>
          </cell>
        </row>
        <row r="506">
          <cell r="A506" t="str">
            <v>FFWMYHK0S</v>
          </cell>
          <cell r="B506" t="str">
            <v>FFWMYH</v>
          </cell>
        </row>
        <row r="507">
          <cell r="A507" t="str">
            <v>FFWMYHK0XL</v>
          </cell>
          <cell r="B507" t="str">
            <v>FFWMYH</v>
          </cell>
        </row>
        <row r="508">
          <cell r="A508" t="str">
            <v>FFWMYHLJHL</v>
          </cell>
          <cell r="B508" t="str">
            <v>FFWMYH</v>
          </cell>
        </row>
        <row r="509">
          <cell r="A509" t="str">
            <v>FFWMYHLJHM</v>
          </cell>
          <cell r="B509" t="str">
            <v>FFWMYH</v>
          </cell>
        </row>
        <row r="510">
          <cell r="A510" t="str">
            <v>FFWMYHLJHS</v>
          </cell>
          <cell r="B510" t="str">
            <v>FFWMYH</v>
          </cell>
        </row>
        <row r="511">
          <cell r="A511" t="str">
            <v>FFWMYHLJHXL</v>
          </cell>
          <cell r="B511" t="str">
            <v>FFWMYH</v>
          </cell>
        </row>
        <row r="512">
          <cell r="A512" t="str">
            <v>FFWMYHZLSL</v>
          </cell>
          <cell r="B512" t="str">
            <v>FFWMYH</v>
          </cell>
        </row>
        <row r="513">
          <cell r="A513" t="str">
            <v>FFWMYHZLSM</v>
          </cell>
          <cell r="B513" t="str">
            <v>FFWMYH</v>
          </cell>
        </row>
        <row r="514">
          <cell r="A514" t="str">
            <v>FFWMYHZLSS</v>
          </cell>
          <cell r="B514" t="str">
            <v>FFWMYH</v>
          </cell>
        </row>
        <row r="515">
          <cell r="A515" t="str">
            <v>FFWMYHZLSXL</v>
          </cell>
          <cell r="B515" t="str">
            <v>FFWMYH</v>
          </cell>
        </row>
        <row r="516">
          <cell r="A516" t="str">
            <v>GJHNYK0</v>
          </cell>
          <cell r="B516" t="str">
            <v>GJHNY</v>
          </cell>
        </row>
        <row r="517">
          <cell r="A517" t="str">
            <v>GLYFK02XL</v>
          </cell>
          <cell r="B517" t="str">
            <v>GLYF</v>
          </cell>
        </row>
        <row r="518">
          <cell r="A518" t="str">
            <v>GLYFK03XL</v>
          </cell>
          <cell r="B518" t="str">
            <v>GLYF</v>
          </cell>
        </row>
        <row r="519">
          <cell r="A519" t="str">
            <v>GLYFK04XL</v>
          </cell>
          <cell r="B519" t="str">
            <v>GLYF</v>
          </cell>
        </row>
        <row r="520">
          <cell r="A520" t="str">
            <v>GLYFK05XL</v>
          </cell>
          <cell r="B520" t="str">
            <v>GLYF</v>
          </cell>
        </row>
        <row r="521">
          <cell r="A521" t="str">
            <v>GLYFK0L</v>
          </cell>
          <cell r="B521" t="str">
            <v>GLYF</v>
          </cell>
        </row>
        <row r="522">
          <cell r="A522" t="str">
            <v>GLYFK0M</v>
          </cell>
          <cell r="B522" t="str">
            <v>GLYF</v>
          </cell>
        </row>
        <row r="523">
          <cell r="A523" t="str">
            <v>GLYFK0XL</v>
          </cell>
          <cell r="B523" t="str">
            <v>GLYF</v>
          </cell>
        </row>
        <row r="524">
          <cell r="A524" t="str">
            <v>GLYFKQS2XL</v>
          </cell>
          <cell r="B524" t="str">
            <v>GLYF</v>
          </cell>
        </row>
        <row r="525">
          <cell r="A525" t="str">
            <v>GLYFKQS3XL</v>
          </cell>
          <cell r="B525" t="str">
            <v>GLYF</v>
          </cell>
        </row>
        <row r="526">
          <cell r="A526" t="str">
            <v>GLYFKQS4XL</v>
          </cell>
          <cell r="B526" t="str">
            <v>GLYF</v>
          </cell>
        </row>
        <row r="527">
          <cell r="A527" t="str">
            <v>GLYFKQS5XL</v>
          </cell>
          <cell r="B527" t="str">
            <v>GLYF</v>
          </cell>
        </row>
        <row r="528">
          <cell r="A528" t="str">
            <v>GLYFKQSL</v>
          </cell>
          <cell r="B528" t="str">
            <v>GLYF</v>
          </cell>
        </row>
        <row r="529">
          <cell r="A529" t="str">
            <v>GLYFKQSM</v>
          </cell>
          <cell r="B529" t="str">
            <v>GLYF</v>
          </cell>
        </row>
        <row r="530">
          <cell r="A530" t="str">
            <v>GLYFKQSXL</v>
          </cell>
          <cell r="B530" t="str">
            <v>GLYF</v>
          </cell>
        </row>
        <row r="531">
          <cell r="A531" t="str">
            <v>GLYFOR2XL</v>
          </cell>
          <cell r="B531" t="str">
            <v>GLYF</v>
          </cell>
        </row>
        <row r="532">
          <cell r="A532" t="str">
            <v>GLYFOR3XL</v>
          </cell>
          <cell r="B532" t="str">
            <v>GLYF</v>
          </cell>
        </row>
        <row r="533">
          <cell r="A533" t="str">
            <v>GLYFOR4XL</v>
          </cell>
          <cell r="B533" t="str">
            <v>GLYF</v>
          </cell>
        </row>
        <row r="534">
          <cell r="A534" t="str">
            <v>GLYFOR5XL</v>
          </cell>
          <cell r="B534" t="str">
            <v>GLYF</v>
          </cell>
        </row>
        <row r="535">
          <cell r="A535" t="str">
            <v>GLYFORL</v>
          </cell>
          <cell r="B535" t="str">
            <v>GLYF</v>
          </cell>
        </row>
        <row r="536">
          <cell r="A536" t="str">
            <v>GLYFORM</v>
          </cell>
          <cell r="B536" t="str">
            <v>GLYF</v>
          </cell>
        </row>
        <row r="537">
          <cell r="A537" t="str">
            <v>GLYFORXL</v>
          </cell>
          <cell r="B537" t="str">
            <v>GLYF</v>
          </cell>
        </row>
        <row r="538">
          <cell r="A538" t="str">
            <v>GLYFR02XL</v>
          </cell>
          <cell r="B538" t="str">
            <v>GLYF</v>
          </cell>
        </row>
        <row r="539">
          <cell r="A539" t="str">
            <v>GLYFR03XL</v>
          </cell>
          <cell r="B539" t="str">
            <v>GLYF</v>
          </cell>
        </row>
        <row r="540">
          <cell r="A540" t="str">
            <v>GLYFR04XL</v>
          </cell>
          <cell r="B540" t="str">
            <v>GLYF</v>
          </cell>
        </row>
        <row r="541">
          <cell r="A541" t="str">
            <v>GLYFR05XL</v>
          </cell>
          <cell r="B541" t="str">
            <v>GLYF</v>
          </cell>
        </row>
        <row r="542">
          <cell r="A542" t="str">
            <v>GLYFR0L</v>
          </cell>
          <cell r="B542" t="str">
            <v>GLYF</v>
          </cell>
        </row>
        <row r="543">
          <cell r="A543" t="str">
            <v>GLYFR0M</v>
          </cell>
          <cell r="B543" t="str">
            <v>GLYF</v>
          </cell>
        </row>
        <row r="544">
          <cell r="A544" t="str">
            <v>GLYFR0XL</v>
          </cell>
          <cell r="B544" t="str">
            <v>GLYF</v>
          </cell>
        </row>
        <row r="545">
          <cell r="A545" t="str">
            <v>GLYFSL2XL</v>
          </cell>
          <cell r="B545" t="str">
            <v>GLYF</v>
          </cell>
        </row>
        <row r="546">
          <cell r="A546" t="str">
            <v>GLYFSL3XL</v>
          </cell>
          <cell r="B546" t="str">
            <v>GLYF</v>
          </cell>
        </row>
        <row r="547">
          <cell r="A547" t="str">
            <v>GLYFSL4XL</v>
          </cell>
          <cell r="B547" t="str">
            <v>GLYF</v>
          </cell>
        </row>
        <row r="548">
          <cell r="A548" t="str">
            <v>GLYFSL5XL</v>
          </cell>
          <cell r="B548" t="str">
            <v>GLYF</v>
          </cell>
        </row>
        <row r="549">
          <cell r="A549" t="str">
            <v>GLYFSLL</v>
          </cell>
          <cell r="B549" t="str">
            <v>GLYF</v>
          </cell>
        </row>
        <row r="550">
          <cell r="A550" t="str">
            <v>GLYFSLM</v>
          </cell>
          <cell r="B550" t="str">
            <v>GLYF</v>
          </cell>
        </row>
        <row r="551">
          <cell r="A551" t="str">
            <v>GLYFSLXL</v>
          </cell>
          <cell r="B551" t="str">
            <v>GLYF</v>
          </cell>
        </row>
        <row r="552">
          <cell r="A552" t="str">
            <v>GLYFTL2XL</v>
          </cell>
          <cell r="B552" t="str">
            <v>GLYF</v>
          </cell>
        </row>
        <row r="553">
          <cell r="A553" t="str">
            <v>GLYFTL3XL</v>
          </cell>
          <cell r="B553" t="str">
            <v>GLYF</v>
          </cell>
        </row>
        <row r="554">
          <cell r="A554" t="str">
            <v>GLYFTL4XL</v>
          </cell>
          <cell r="B554" t="str">
            <v>GLYF</v>
          </cell>
        </row>
        <row r="555">
          <cell r="A555" t="str">
            <v>GLYFTL5XL</v>
          </cell>
          <cell r="B555" t="str">
            <v>GLYF</v>
          </cell>
        </row>
        <row r="556">
          <cell r="A556" t="str">
            <v>GLYFTLL</v>
          </cell>
          <cell r="B556" t="str">
            <v>GLYF</v>
          </cell>
        </row>
        <row r="557">
          <cell r="A557" t="str">
            <v>GLYFTLM</v>
          </cell>
          <cell r="B557" t="str">
            <v>GLYF</v>
          </cell>
        </row>
        <row r="558">
          <cell r="A558" t="str">
            <v>GLYFTLXL</v>
          </cell>
          <cell r="B558" t="str">
            <v>GLYF</v>
          </cell>
        </row>
        <row r="559">
          <cell r="A559" t="str">
            <v>GLYFW02XL</v>
          </cell>
          <cell r="B559" t="str">
            <v>GLYF</v>
          </cell>
        </row>
        <row r="560">
          <cell r="A560" t="str">
            <v>GLYFW03XL</v>
          </cell>
          <cell r="B560" t="str">
            <v>GLYF</v>
          </cell>
        </row>
        <row r="561">
          <cell r="A561" t="str">
            <v>GLYFW04XL</v>
          </cell>
          <cell r="B561" t="str">
            <v>GLYF</v>
          </cell>
        </row>
        <row r="562">
          <cell r="A562" t="str">
            <v>GLYFW05XL</v>
          </cell>
          <cell r="B562" t="str">
            <v>GLYF</v>
          </cell>
        </row>
        <row r="563">
          <cell r="A563" t="str">
            <v>GLYFW0L</v>
          </cell>
          <cell r="B563" t="str">
            <v>GLYF</v>
          </cell>
        </row>
        <row r="564">
          <cell r="A564" t="str">
            <v>GLYFW0M</v>
          </cell>
          <cell r="B564" t="str">
            <v>GLYF</v>
          </cell>
        </row>
        <row r="565">
          <cell r="A565" t="str">
            <v>GLYFW0XL</v>
          </cell>
          <cell r="B565" t="str">
            <v>GLYF</v>
          </cell>
        </row>
        <row r="566">
          <cell r="A566" t="str">
            <v>GRWLB0L</v>
          </cell>
          <cell r="B566" t="str">
            <v>GRWL</v>
          </cell>
        </row>
        <row r="567">
          <cell r="A567" t="str">
            <v>GRWLB0M</v>
          </cell>
          <cell r="B567" t="str">
            <v>GRWL</v>
          </cell>
        </row>
        <row r="568">
          <cell r="A568" t="str">
            <v>GRWLB0S</v>
          </cell>
          <cell r="B568" t="str">
            <v>GRWL</v>
          </cell>
        </row>
        <row r="569">
          <cell r="A569" t="str">
            <v>GRWLJSL</v>
          </cell>
          <cell r="B569" t="str">
            <v>GRWL</v>
          </cell>
        </row>
        <row r="570">
          <cell r="A570" t="str">
            <v>GRWLJSM</v>
          </cell>
          <cell r="B570" t="str">
            <v>GRWL</v>
          </cell>
        </row>
        <row r="571">
          <cell r="A571" t="str">
            <v>GRWLJSS</v>
          </cell>
          <cell r="B571" t="str">
            <v>GRWL</v>
          </cell>
        </row>
        <row r="572">
          <cell r="A572" t="str">
            <v>GRWLK0L</v>
          </cell>
          <cell r="B572" t="str">
            <v>GRWL</v>
          </cell>
        </row>
        <row r="573">
          <cell r="A573" t="str">
            <v>GRWLK0M</v>
          </cell>
          <cell r="B573" t="str">
            <v>GRWL</v>
          </cell>
        </row>
        <row r="574">
          <cell r="A574" t="str">
            <v>GRWLK0S</v>
          </cell>
          <cell r="B574" t="str">
            <v>GRWL</v>
          </cell>
        </row>
        <row r="575">
          <cell r="A575" t="str">
            <v>GRWLMHL</v>
          </cell>
          <cell r="B575" t="str">
            <v>GRWL</v>
          </cell>
        </row>
        <row r="576">
          <cell r="A576" t="str">
            <v>GRWLMHM</v>
          </cell>
          <cell r="B576" t="str">
            <v>GRWL</v>
          </cell>
        </row>
        <row r="577">
          <cell r="A577" t="str">
            <v>GRWLMHS</v>
          </cell>
          <cell r="B577" t="str">
            <v>GRWL</v>
          </cell>
        </row>
        <row r="578">
          <cell r="A578" t="str">
            <v>GRWLW0L</v>
          </cell>
          <cell r="B578" t="str">
            <v>GRWL</v>
          </cell>
        </row>
        <row r="579">
          <cell r="A579" t="str">
            <v>GRWLW0M</v>
          </cell>
          <cell r="B579" t="str">
            <v>GRWL</v>
          </cell>
        </row>
        <row r="580">
          <cell r="A580" t="str">
            <v>GRWLW0S</v>
          </cell>
          <cell r="B580" t="str">
            <v>GRWL</v>
          </cell>
        </row>
        <row r="581">
          <cell r="A581" t="str">
            <v>GSYKTKE02XL</v>
          </cell>
          <cell r="B581" t="str">
            <v>GSYKTK</v>
          </cell>
        </row>
        <row r="582">
          <cell r="A582" t="str">
            <v>GSYKTKE0L</v>
          </cell>
          <cell r="B582" t="str">
            <v>GSYKTK</v>
          </cell>
        </row>
        <row r="583">
          <cell r="A583" t="str">
            <v>GSYKTKE0M</v>
          </cell>
          <cell r="B583" t="str">
            <v>GSYKTK</v>
          </cell>
        </row>
        <row r="584">
          <cell r="A584" t="str">
            <v>GSYKTKE0XL</v>
          </cell>
          <cell r="B584" t="str">
            <v>GSYKTK</v>
          </cell>
        </row>
        <row r="585">
          <cell r="A585" t="str">
            <v>GSYKTKK02XL</v>
          </cell>
          <cell r="B585" t="str">
            <v>GSYKTK</v>
          </cell>
        </row>
        <row r="586">
          <cell r="A586" t="str">
            <v>GSYKTKK0L</v>
          </cell>
          <cell r="B586" t="str">
            <v>GSYKTK</v>
          </cell>
        </row>
        <row r="587">
          <cell r="A587" t="str">
            <v>GSYKTKK0M</v>
          </cell>
          <cell r="B587" t="str">
            <v>GSYKTK</v>
          </cell>
        </row>
        <row r="588">
          <cell r="A588" t="str">
            <v>GSYKTKK0XL</v>
          </cell>
          <cell r="B588" t="str">
            <v>GSYKTK</v>
          </cell>
        </row>
        <row r="589">
          <cell r="A589" t="str">
            <v>GWBKTKK0L</v>
          </cell>
          <cell r="B589" t="str">
            <v>GWBKTK</v>
          </cell>
        </row>
        <row r="590">
          <cell r="A590" t="str">
            <v>GWBKTKK0M</v>
          </cell>
          <cell r="B590" t="str">
            <v>GWBKTK</v>
          </cell>
        </row>
        <row r="591">
          <cell r="A591" t="str">
            <v>GWBKTKK0XL</v>
          </cell>
          <cell r="B591" t="str">
            <v>GWBKTK</v>
          </cell>
        </row>
        <row r="592">
          <cell r="A592" t="str">
            <v>GWBKTKK0XXL</v>
          </cell>
          <cell r="B592" t="str">
            <v>GWBKTK</v>
          </cell>
        </row>
        <row r="593">
          <cell r="A593" t="str">
            <v>GXNZW0</v>
          </cell>
          <cell r="B593" t="str">
            <v>GXNZ</v>
          </cell>
        </row>
        <row r="594">
          <cell r="A594" t="str">
            <v>HBBGZK0</v>
          </cell>
          <cell r="B594" t="str">
            <v>HBBGZ</v>
          </cell>
        </row>
        <row r="595">
          <cell r="A595" t="str">
            <v>HBTRK0</v>
          </cell>
          <cell r="B595" t="str">
            <v>HBTR</v>
          </cell>
        </row>
        <row r="596">
          <cell r="A596" t="str">
            <v>HBTSW0</v>
          </cell>
          <cell r="B596" t="str">
            <v>HBTS</v>
          </cell>
        </row>
        <row r="597">
          <cell r="A597" t="str">
            <v>HDLKR0</v>
          </cell>
          <cell r="B597" t="str">
            <v>HDLK</v>
          </cell>
        </row>
        <row r="598">
          <cell r="A598" t="str">
            <v>HDNZK0M</v>
          </cell>
          <cell r="B598" t="str">
            <v>HDNZ</v>
          </cell>
        </row>
        <row r="599">
          <cell r="A599" t="str">
            <v>HLSHSTW1</v>
          </cell>
          <cell r="B599" t="str">
            <v>HLSHSTW</v>
          </cell>
        </row>
        <row r="600">
          <cell r="A600" t="str">
            <v>HLSHSTW2</v>
          </cell>
          <cell r="B600" t="str">
            <v>HLSHSTW</v>
          </cell>
        </row>
        <row r="601">
          <cell r="A601" t="str">
            <v>HLSHSTW3</v>
          </cell>
          <cell r="B601" t="str">
            <v>HLSHSTW</v>
          </cell>
        </row>
        <row r="602">
          <cell r="A602" t="str">
            <v>HLSHSTWCXH1</v>
          </cell>
          <cell r="B602" t="str">
            <v>HLSHSTW</v>
          </cell>
        </row>
        <row r="603">
          <cell r="A603" t="str">
            <v>HLSHSTWCXH2</v>
          </cell>
          <cell r="B603" t="str">
            <v>TTYCMZFCXH</v>
          </cell>
        </row>
        <row r="604">
          <cell r="A604" t="str">
            <v>HLSHSTWCXH3</v>
          </cell>
          <cell r="B604" t="str">
            <v>HLSHSTW</v>
          </cell>
        </row>
        <row r="605">
          <cell r="A605" t="str">
            <v>HLYHMYSG</v>
          </cell>
          <cell r="B605" t="str">
            <v>TTYCMZFCXH</v>
          </cell>
        </row>
        <row r="606">
          <cell r="A606" t="str">
            <v>HMSFBL2XL</v>
          </cell>
          <cell r="B606" t="str">
            <v>HLSHSTW</v>
          </cell>
        </row>
        <row r="607">
          <cell r="A607" t="str">
            <v>HMSFBL3XL</v>
          </cell>
          <cell r="B607" t="str">
            <v>TTYCMZFCXH</v>
          </cell>
        </row>
        <row r="608">
          <cell r="A608" t="str">
            <v>HMSFBL4XL</v>
          </cell>
          <cell r="B608" t="str">
            <v>HLYHMY</v>
          </cell>
        </row>
        <row r="609">
          <cell r="A609" t="str">
            <v>HMSFBL5XL</v>
          </cell>
          <cell r="B609" t="str">
            <v>HMSF</v>
          </cell>
        </row>
        <row r="610">
          <cell r="A610" t="str">
            <v>HMSFBLL</v>
          </cell>
          <cell r="B610" t="str">
            <v>HMSF</v>
          </cell>
        </row>
        <row r="611">
          <cell r="A611" t="str">
            <v>HMSFBLM</v>
          </cell>
          <cell r="B611" t="str">
            <v>HMSF</v>
          </cell>
        </row>
        <row r="612">
          <cell r="A612" t="str">
            <v>HMSFBLXL</v>
          </cell>
          <cell r="B612" t="str">
            <v>HMSF</v>
          </cell>
        </row>
        <row r="613">
          <cell r="A613" t="str">
            <v>HMSFGL2XL</v>
          </cell>
          <cell r="B613" t="str">
            <v>HMSF</v>
          </cell>
        </row>
        <row r="614">
          <cell r="A614" t="str">
            <v>HMSFGL3XL</v>
          </cell>
          <cell r="B614" t="str">
            <v>HMSF</v>
          </cell>
        </row>
        <row r="615">
          <cell r="A615" t="str">
            <v>HMSFGL4XL</v>
          </cell>
          <cell r="B615" t="str">
            <v>HMSF</v>
          </cell>
        </row>
        <row r="616">
          <cell r="A616" t="str">
            <v>HMSFGL5XL</v>
          </cell>
          <cell r="B616" t="str">
            <v>HMSF</v>
          </cell>
        </row>
        <row r="617">
          <cell r="A617" t="str">
            <v>HMSFGLL</v>
          </cell>
          <cell r="B617" t="str">
            <v>HMSF</v>
          </cell>
        </row>
        <row r="618">
          <cell r="A618" t="str">
            <v>HMSFGLM</v>
          </cell>
          <cell r="B618" t="str">
            <v>HMSF</v>
          </cell>
        </row>
        <row r="619">
          <cell r="A619" t="str">
            <v>HMSFGLXL</v>
          </cell>
          <cell r="B619" t="str">
            <v>HMSF</v>
          </cell>
        </row>
        <row r="620">
          <cell r="A620" t="str">
            <v>HMSFK02XL</v>
          </cell>
          <cell r="B620" t="str">
            <v>HMSF</v>
          </cell>
        </row>
        <row r="621">
          <cell r="A621" t="str">
            <v>HMSFK03XL</v>
          </cell>
          <cell r="B621" t="str">
            <v>HMSF</v>
          </cell>
        </row>
        <row r="622">
          <cell r="A622" t="str">
            <v>HMSFK04XL</v>
          </cell>
          <cell r="B622" t="str">
            <v>HMSF</v>
          </cell>
        </row>
        <row r="623">
          <cell r="A623" t="str">
            <v>HMSFK05XL</v>
          </cell>
          <cell r="B623" t="str">
            <v>HMSF</v>
          </cell>
        </row>
        <row r="624">
          <cell r="A624" t="str">
            <v>HMSFK0L</v>
          </cell>
          <cell r="B624" t="str">
            <v>HMSF</v>
          </cell>
        </row>
        <row r="625">
          <cell r="A625" t="str">
            <v>HMSFK0M</v>
          </cell>
          <cell r="B625" t="str">
            <v>HMSF</v>
          </cell>
        </row>
        <row r="626">
          <cell r="A626" t="str">
            <v>HMSFK0XL</v>
          </cell>
          <cell r="B626" t="str">
            <v>HMSF</v>
          </cell>
        </row>
        <row r="627">
          <cell r="A627" t="str">
            <v>HMSFOR2XL</v>
          </cell>
          <cell r="B627" t="str">
            <v>HMSF</v>
          </cell>
        </row>
        <row r="628">
          <cell r="A628" t="str">
            <v>HMSFOR3XL</v>
          </cell>
          <cell r="B628" t="str">
            <v>HMSF</v>
          </cell>
        </row>
        <row r="629">
          <cell r="A629" t="str">
            <v>HMSFOR4XL</v>
          </cell>
          <cell r="B629" t="str">
            <v>HMSF</v>
          </cell>
        </row>
        <row r="630">
          <cell r="A630" t="str">
            <v>HMSFOR5XL</v>
          </cell>
          <cell r="B630" t="str">
            <v>HMSF</v>
          </cell>
        </row>
        <row r="631">
          <cell r="A631" t="str">
            <v>HMSFORL</v>
          </cell>
          <cell r="B631" t="str">
            <v>HMSF</v>
          </cell>
        </row>
        <row r="632">
          <cell r="A632" t="str">
            <v>HMSFORM</v>
          </cell>
          <cell r="B632" t="str">
            <v>HMSF</v>
          </cell>
        </row>
        <row r="633">
          <cell r="A633" t="str">
            <v>HMSFORXL</v>
          </cell>
          <cell r="B633" t="str">
            <v>HMSF</v>
          </cell>
        </row>
        <row r="634">
          <cell r="A634" t="str">
            <v>HMSFQHS2XL</v>
          </cell>
          <cell r="B634" t="str">
            <v>HMSF</v>
          </cell>
        </row>
        <row r="635">
          <cell r="A635" t="str">
            <v>HMSFQHS3XL</v>
          </cell>
          <cell r="B635" t="str">
            <v>HMSF</v>
          </cell>
        </row>
        <row r="636">
          <cell r="A636" t="str">
            <v>HMSFQHS4XL</v>
          </cell>
          <cell r="B636" t="str">
            <v>HMSF</v>
          </cell>
        </row>
        <row r="637">
          <cell r="A637" t="str">
            <v>HMSFQHS5XL</v>
          </cell>
          <cell r="B637" t="str">
            <v>HMSF</v>
          </cell>
        </row>
        <row r="638">
          <cell r="A638" t="str">
            <v>HMSFQHSL</v>
          </cell>
          <cell r="B638" t="str">
            <v>HMSF</v>
          </cell>
        </row>
        <row r="639">
          <cell r="A639" t="str">
            <v>HMSFQHSM</v>
          </cell>
          <cell r="B639" t="str">
            <v>HMSF</v>
          </cell>
        </row>
        <row r="640">
          <cell r="A640" t="str">
            <v>HMSFQHSXL</v>
          </cell>
          <cell r="B640" t="str">
            <v>HMSF</v>
          </cell>
        </row>
        <row r="641">
          <cell r="A641" t="str">
            <v>HMSFTL2XL</v>
          </cell>
          <cell r="B641" t="str">
            <v>HMSF</v>
          </cell>
        </row>
        <row r="642">
          <cell r="A642" t="str">
            <v>HMSFTL3XL</v>
          </cell>
          <cell r="B642" t="str">
            <v>HMSF</v>
          </cell>
        </row>
        <row r="643">
          <cell r="A643" t="str">
            <v>HMSFTL4XL</v>
          </cell>
          <cell r="B643" t="str">
            <v>HMSF</v>
          </cell>
        </row>
        <row r="644">
          <cell r="A644" t="str">
            <v>HMSFTL5XL</v>
          </cell>
          <cell r="B644" t="str">
            <v>HMSF</v>
          </cell>
        </row>
        <row r="645">
          <cell r="A645" t="str">
            <v>HMSFTLL</v>
          </cell>
          <cell r="B645" t="str">
            <v>HMSF</v>
          </cell>
        </row>
        <row r="646">
          <cell r="A646" t="str">
            <v>HMSFTLM</v>
          </cell>
          <cell r="B646" t="str">
            <v>HMSF</v>
          </cell>
        </row>
        <row r="647">
          <cell r="A647" t="str">
            <v>HMSFTLXL</v>
          </cell>
          <cell r="B647" t="str">
            <v>HMSF</v>
          </cell>
        </row>
        <row r="648">
          <cell r="A648" t="str">
            <v>HMSFW02XL</v>
          </cell>
          <cell r="B648" t="str">
            <v>HMSF</v>
          </cell>
        </row>
        <row r="649">
          <cell r="A649" t="str">
            <v>HMSFW03XL</v>
          </cell>
          <cell r="B649" t="str">
            <v>HMSF</v>
          </cell>
        </row>
        <row r="650">
          <cell r="A650" t="str">
            <v>HMSFW04XL</v>
          </cell>
          <cell r="B650" t="str">
            <v>HMSF</v>
          </cell>
        </row>
        <row r="651">
          <cell r="A651" t="str">
            <v>HMSFW05XL</v>
          </cell>
          <cell r="B651" t="str">
            <v>HMSF</v>
          </cell>
        </row>
        <row r="652">
          <cell r="A652" t="str">
            <v>HMSFW0L</v>
          </cell>
          <cell r="B652" t="str">
            <v>HMSF</v>
          </cell>
        </row>
        <row r="653">
          <cell r="A653" t="str">
            <v>HMSFW0M</v>
          </cell>
          <cell r="B653" t="str">
            <v>HMSF</v>
          </cell>
        </row>
        <row r="654">
          <cell r="A654" t="str">
            <v>HMSFW0XL</v>
          </cell>
          <cell r="B654" t="str">
            <v>HMSF</v>
          </cell>
        </row>
        <row r="655">
          <cell r="A655" t="str">
            <v>HMSFZQ2XL</v>
          </cell>
          <cell r="B655" t="str">
            <v>HMSF</v>
          </cell>
        </row>
        <row r="656">
          <cell r="A656" t="str">
            <v>HMSFZQ3XL</v>
          </cell>
          <cell r="B656" t="str">
            <v>HMSF</v>
          </cell>
        </row>
        <row r="657">
          <cell r="A657" t="str">
            <v>HMSFZQ4XL</v>
          </cell>
          <cell r="B657" t="str">
            <v>HMSF</v>
          </cell>
        </row>
        <row r="658">
          <cell r="A658" t="str">
            <v>HMSFZQ5XL</v>
          </cell>
          <cell r="B658" t="str">
            <v>HMSF</v>
          </cell>
        </row>
        <row r="659">
          <cell r="A659" t="str">
            <v>HMSFZQL</v>
          </cell>
          <cell r="B659" t="str">
            <v>HMSF</v>
          </cell>
        </row>
        <row r="660">
          <cell r="A660" t="str">
            <v>HMSFZQM</v>
          </cell>
          <cell r="B660" t="str">
            <v>HMSF</v>
          </cell>
        </row>
        <row r="661">
          <cell r="A661" t="str">
            <v>HMSFZQXL</v>
          </cell>
          <cell r="B661" t="str">
            <v>HMSF</v>
          </cell>
        </row>
        <row r="662">
          <cell r="A662" t="str">
            <v>HPTSMS</v>
          </cell>
          <cell r="B662" t="str">
            <v>HMSF</v>
          </cell>
        </row>
        <row r="663">
          <cell r="A663" t="str">
            <v>HSTSW0</v>
          </cell>
          <cell r="B663" t="str">
            <v>HMSF</v>
          </cell>
        </row>
        <row r="664">
          <cell r="A664" t="str">
            <v>HTLBDG2XL</v>
          </cell>
          <cell r="B664" t="str">
            <v>HMSF</v>
          </cell>
        </row>
        <row r="665">
          <cell r="A665" t="str">
            <v>HTLBDG3XL</v>
          </cell>
          <cell r="B665" t="str">
            <v>HPTS</v>
          </cell>
        </row>
        <row r="666">
          <cell r="A666" t="str">
            <v>HTLBDGL</v>
          </cell>
          <cell r="B666" t="str">
            <v>HSTS</v>
          </cell>
        </row>
        <row r="667">
          <cell r="A667" t="str">
            <v>HTLBDGM</v>
          </cell>
          <cell r="B667" t="str">
            <v>HTLB</v>
          </cell>
        </row>
        <row r="668">
          <cell r="A668" t="str">
            <v>HTLBDGXL</v>
          </cell>
          <cell r="B668" t="str">
            <v>HTLB</v>
          </cell>
        </row>
        <row r="669">
          <cell r="A669" t="str">
            <v>HTLBE02XL</v>
          </cell>
          <cell r="B669" t="str">
            <v>HTLB</v>
          </cell>
        </row>
        <row r="670">
          <cell r="A670" t="str">
            <v>HTLBE03XL</v>
          </cell>
          <cell r="B670" t="str">
            <v>HTLB</v>
          </cell>
        </row>
        <row r="671">
          <cell r="A671" t="str">
            <v>HTLBE0L</v>
          </cell>
          <cell r="B671" t="str">
            <v>HTLB</v>
          </cell>
        </row>
        <row r="672">
          <cell r="A672" t="str">
            <v>HTLBE0M</v>
          </cell>
          <cell r="B672" t="str">
            <v>HTLB</v>
          </cell>
        </row>
        <row r="673">
          <cell r="A673" t="str">
            <v>HTLBE0XL</v>
          </cell>
          <cell r="B673" t="str">
            <v>HTLB</v>
          </cell>
        </row>
        <row r="674">
          <cell r="A674" t="str">
            <v>HTLBK02XL</v>
          </cell>
          <cell r="B674" t="str">
            <v>HTLB</v>
          </cell>
        </row>
        <row r="675">
          <cell r="A675" t="str">
            <v>HTLBK03XL</v>
          </cell>
          <cell r="B675" t="str">
            <v>HTLB</v>
          </cell>
        </row>
        <row r="676">
          <cell r="A676" t="str">
            <v>HTLBK0L</v>
          </cell>
          <cell r="B676" t="str">
            <v>HTLB</v>
          </cell>
        </row>
        <row r="677">
          <cell r="A677" t="str">
            <v>HTLBK0M</v>
          </cell>
          <cell r="B677" t="str">
            <v>HTLB</v>
          </cell>
        </row>
        <row r="678">
          <cell r="A678" t="str">
            <v>HTLBK0XL</v>
          </cell>
          <cell r="B678" t="str">
            <v>HTLB</v>
          </cell>
        </row>
        <row r="679">
          <cell r="A679" t="str">
            <v>HTLBSL2XL</v>
          </cell>
          <cell r="B679" t="str">
            <v>HTLB</v>
          </cell>
        </row>
        <row r="680">
          <cell r="A680" t="str">
            <v>HTLBSL3XL</v>
          </cell>
          <cell r="B680" t="str">
            <v>HTLB</v>
          </cell>
        </row>
        <row r="681">
          <cell r="A681" t="str">
            <v>HTLBSLL</v>
          </cell>
          <cell r="B681" t="str">
            <v>HTLB</v>
          </cell>
        </row>
        <row r="682">
          <cell r="A682" t="str">
            <v>HTLBSLM</v>
          </cell>
          <cell r="B682" t="str">
            <v>HTLB</v>
          </cell>
        </row>
        <row r="683">
          <cell r="A683" t="str">
            <v>HTLBSLXL</v>
          </cell>
          <cell r="B683" t="str">
            <v>HTLB</v>
          </cell>
        </row>
        <row r="684">
          <cell r="A684" t="str">
            <v>HYSCE02XL</v>
          </cell>
          <cell r="B684" t="str">
            <v>HTLB</v>
          </cell>
        </row>
        <row r="685">
          <cell r="A685" t="str">
            <v>HYSCE03XL</v>
          </cell>
          <cell r="B685" t="str">
            <v>HTLB</v>
          </cell>
        </row>
        <row r="686">
          <cell r="A686" t="str">
            <v>HYSCE04XL</v>
          </cell>
          <cell r="B686" t="str">
            <v>HTLB</v>
          </cell>
        </row>
        <row r="687">
          <cell r="A687" t="str">
            <v>HYSCE0L</v>
          </cell>
          <cell r="B687" t="str">
            <v>HYSC</v>
          </cell>
        </row>
        <row r="688">
          <cell r="A688" t="str">
            <v>HYSCE0M</v>
          </cell>
          <cell r="B688" t="str">
            <v>HYSC</v>
          </cell>
        </row>
        <row r="689">
          <cell r="A689" t="str">
            <v>HYSCE0XL</v>
          </cell>
          <cell r="B689" t="str">
            <v>HYSC</v>
          </cell>
        </row>
        <row r="690">
          <cell r="A690" t="str">
            <v>HYSCGL2XL</v>
          </cell>
          <cell r="B690" t="str">
            <v>HYSC</v>
          </cell>
        </row>
        <row r="691">
          <cell r="A691" t="str">
            <v>HYSCGL3XL</v>
          </cell>
          <cell r="B691" t="str">
            <v>HYSC</v>
          </cell>
        </row>
        <row r="692">
          <cell r="A692" t="str">
            <v>HYSCGL4XL</v>
          </cell>
          <cell r="B692" t="str">
            <v>HYSC</v>
          </cell>
        </row>
        <row r="693">
          <cell r="A693" t="str">
            <v>HYSCGLL</v>
          </cell>
          <cell r="B693" t="str">
            <v>HYSC</v>
          </cell>
        </row>
        <row r="694">
          <cell r="A694" t="str">
            <v>HYSCGLM</v>
          </cell>
          <cell r="B694" t="str">
            <v>HYSC</v>
          </cell>
        </row>
        <row r="695">
          <cell r="A695" t="str">
            <v>HYSCGLXL</v>
          </cell>
          <cell r="B695" t="str">
            <v>HYSC</v>
          </cell>
        </row>
        <row r="696">
          <cell r="A696" t="str">
            <v>HYSCK02XL</v>
          </cell>
          <cell r="B696" t="str">
            <v>HYSC</v>
          </cell>
        </row>
        <row r="697">
          <cell r="A697" t="str">
            <v>HYSCK03XL</v>
          </cell>
          <cell r="B697" t="str">
            <v>HYSC</v>
          </cell>
        </row>
        <row r="698">
          <cell r="A698" t="str">
            <v>HYSCK04XL</v>
          </cell>
          <cell r="B698" t="str">
            <v>HYSC</v>
          </cell>
        </row>
        <row r="699">
          <cell r="A699" t="str">
            <v>HYSCK0L</v>
          </cell>
          <cell r="B699" t="str">
            <v>HYSC</v>
          </cell>
        </row>
        <row r="700">
          <cell r="A700" t="str">
            <v>HYSCK0M</v>
          </cell>
          <cell r="B700" t="str">
            <v>HYSC</v>
          </cell>
        </row>
        <row r="701">
          <cell r="A701" t="str">
            <v>HYSCK0XL</v>
          </cell>
          <cell r="B701" t="str">
            <v>HYSC</v>
          </cell>
        </row>
        <row r="702">
          <cell r="A702" t="str">
            <v>HYSCKQS2XL</v>
          </cell>
          <cell r="B702" t="str">
            <v>HYSC</v>
          </cell>
        </row>
        <row r="703">
          <cell r="A703" t="str">
            <v>HYSCKQS3XL</v>
          </cell>
          <cell r="B703" t="str">
            <v>HYSC</v>
          </cell>
        </row>
        <row r="704">
          <cell r="A704" t="str">
            <v>HYSCKQS4XL</v>
          </cell>
          <cell r="B704" t="str">
            <v>HYSC</v>
          </cell>
        </row>
        <row r="705">
          <cell r="A705" t="str">
            <v>HYSCKQSL</v>
          </cell>
          <cell r="B705" t="str">
            <v>HYSC</v>
          </cell>
        </row>
        <row r="706">
          <cell r="A706" t="str">
            <v>HYSCKQSM</v>
          </cell>
          <cell r="B706" t="str">
            <v>HYSC</v>
          </cell>
        </row>
        <row r="707">
          <cell r="A707" t="str">
            <v>HYSCKQSXL</v>
          </cell>
          <cell r="B707" t="str">
            <v>HYSC</v>
          </cell>
        </row>
        <row r="708">
          <cell r="A708" t="str">
            <v>HYSCMLS2XL</v>
          </cell>
          <cell r="B708" t="str">
            <v>HYSC</v>
          </cell>
        </row>
        <row r="709">
          <cell r="A709" t="str">
            <v>HYSCMLS3XL</v>
          </cell>
          <cell r="B709" t="str">
            <v>HYSC</v>
          </cell>
        </row>
        <row r="710">
          <cell r="A710" t="str">
            <v>HYSCMLS4XL</v>
          </cell>
          <cell r="B710" t="str">
            <v>HYSC</v>
          </cell>
        </row>
        <row r="711">
          <cell r="A711" t="str">
            <v>HYSCMLSL</v>
          </cell>
          <cell r="B711" t="str">
            <v>HYSC</v>
          </cell>
        </row>
        <row r="712">
          <cell r="A712" t="str">
            <v>HYSCMLSM</v>
          </cell>
          <cell r="B712" t="str">
            <v>HYSC</v>
          </cell>
        </row>
        <row r="713">
          <cell r="A713" t="str">
            <v>HYSCMLSXL</v>
          </cell>
          <cell r="B713" t="str">
            <v>HYSC</v>
          </cell>
        </row>
        <row r="714">
          <cell r="A714" t="str">
            <v>HYSCOR2XL</v>
          </cell>
          <cell r="B714" t="str">
            <v>HYSC</v>
          </cell>
        </row>
        <row r="715">
          <cell r="A715" t="str">
            <v>HYSCOR3XL</v>
          </cell>
          <cell r="B715" t="str">
            <v>HYSC</v>
          </cell>
        </row>
        <row r="716">
          <cell r="A716" t="str">
            <v>HYSCOR4XL</v>
          </cell>
          <cell r="B716" t="str">
            <v>HYSC</v>
          </cell>
        </row>
        <row r="717">
          <cell r="A717" t="str">
            <v>HYSCORL</v>
          </cell>
          <cell r="B717" t="str">
            <v>HYSC</v>
          </cell>
        </row>
        <row r="718">
          <cell r="A718" t="str">
            <v>HYSCORM</v>
          </cell>
          <cell r="B718" t="str">
            <v>HYSC</v>
          </cell>
        </row>
        <row r="719">
          <cell r="A719" t="str">
            <v>HYSCORXL</v>
          </cell>
          <cell r="B719" t="str">
            <v>HYSC</v>
          </cell>
        </row>
        <row r="720">
          <cell r="A720" t="str">
            <v>HYSCSL2XL</v>
          </cell>
          <cell r="B720" t="str">
            <v>HYSC</v>
          </cell>
        </row>
        <row r="721">
          <cell r="A721" t="str">
            <v>HYSCSL3XL</v>
          </cell>
          <cell r="B721" t="str">
            <v>HYSC</v>
          </cell>
        </row>
        <row r="722">
          <cell r="A722" t="str">
            <v>HYSCSL4XL</v>
          </cell>
          <cell r="B722" t="str">
            <v>HYSC</v>
          </cell>
        </row>
        <row r="723">
          <cell r="A723" t="str">
            <v>HYSCSLL</v>
          </cell>
          <cell r="B723" t="str">
            <v>HYSC</v>
          </cell>
        </row>
        <row r="724">
          <cell r="A724" t="str">
            <v>HYSCSLM</v>
          </cell>
          <cell r="B724" t="str">
            <v>HYSC</v>
          </cell>
        </row>
        <row r="725">
          <cell r="A725" t="str">
            <v>HYSCSLXL</v>
          </cell>
          <cell r="B725" t="str">
            <v>HYSC</v>
          </cell>
        </row>
        <row r="726">
          <cell r="A726" t="str">
            <v>HYSCW02XL</v>
          </cell>
          <cell r="B726" t="str">
            <v>HYSC</v>
          </cell>
        </row>
        <row r="727">
          <cell r="A727" t="str">
            <v>HYSCW03XL</v>
          </cell>
          <cell r="B727" t="str">
            <v>HYSC</v>
          </cell>
        </row>
        <row r="728">
          <cell r="A728" t="str">
            <v>HYSCW04XL</v>
          </cell>
          <cell r="B728" t="str">
            <v>HYSC</v>
          </cell>
        </row>
        <row r="729">
          <cell r="A729" t="str">
            <v>HYSCW0L</v>
          </cell>
          <cell r="B729" t="str">
            <v>HYSC</v>
          </cell>
        </row>
        <row r="730">
          <cell r="A730" t="str">
            <v>HYSCW0M</v>
          </cell>
          <cell r="B730" t="str">
            <v>HYSC</v>
          </cell>
        </row>
        <row r="731">
          <cell r="A731" t="str">
            <v>HYSCW0XL</v>
          </cell>
          <cell r="B731" t="str">
            <v>HYSC</v>
          </cell>
        </row>
        <row r="732">
          <cell r="A732" t="str">
            <v>HYSCYGL2XL</v>
          </cell>
          <cell r="B732" t="str">
            <v>HYSC</v>
          </cell>
        </row>
        <row r="733">
          <cell r="A733" t="str">
            <v>HYSCYGL3XL</v>
          </cell>
          <cell r="B733" t="str">
            <v>HYSC</v>
          </cell>
        </row>
        <row r="734">
          <cell r="A734" t="str">
            <v>HYSCYGL4XL</v>
          </cell>
          <cell r="B734" t="str">
            <v>HYSC</v>
          </cell>
        </row>
        <row r="735">
          <cell r="A735" t="str">
            <v>HYSCYGLL</v>
          </cell>
          <cell r="B735" t="str">
            <v>HYSC</v>
          </cell>
        </row>
        <row r="736">
          <cell r="A736" t="str">
            <v>HYSCYGLM</v>
          </cell>
          <cell r="B736" t="str">
            <v>HYSC</v>
          </cell>
        </row>
        <row r="737">
          <cell r="A737" t="str">
            <v>HYSCYGLXL</v>
          </cell>
          <cell r="B737" t="str">
            <v>HYSC</v>
          </cell>
        </row>
        <row r="738">
          <cell r="A738" t="str">
            <v>HZIMUYH0</v>
          </cell>
          <cell r="B738" t="str">
            <v>HYSC</v>
          </cell>
        </row>
        <row r="739">
          <cell r="A739" t="str">
            <v>HZIMUYH1</v>
          </cell>
          <cell r="B739" t="str">
            <v>HYSC</v>
          </cell>
        </row>
        <row r="740">
          <cell r="A740" t="str">
            <v>HZIMUYH2</v>
          </cell>
          <cell r="B740" t="str">
            <v>HYSC</v>
          </cell>
        </row>
        <row r="741">
          <cell r="A741" t="str">
            <v>HZIMUYH3</v>
          </cell>
          <cell r="B741" t="str">
            <v>HZIMUYH</v>
          </cell>
        </row>
        <row r="742">
          <cell r="A742" t="str">
            <v>HZIMUYH4</v>
          </cell>
          <cell r="B742" t="str">
            <v>HZIMUYH</v>
          </cell>
        </row>
        <row r="743">
          <cell r="A743" t="str">
            <v>HZIMUYH5</v>
          </cell>
          <cell r="B743" t="str">
            <v>HZIMUYH</v>
          </cell>
        </row>
        <row r="744">
          <cell r="A744" t="str">
            <v>HZIMUYH6</v>
          </cell>
          <cell r="B744" t="str">
            <v>HZIMUYH</v>
          </cell>
        </row>
        <row r="745">
          <cell r="A745" t="str">
            <v>HZIMUYH7</v>
          </cell>
          <cell r="B745" t="str">
            <v>HZIMUYH</v>
          </cell>
        </row>
        <row r="746">
          <cell r="A746" t="str">
            <v>HZIMUYH8</v>
          </cell>
          <cell r="B746" t="str">
            <v>HZIMUYH</v>
          </cell>
        </row>
        <row r="747">
          <cell r="A747" t="str">
            <v>HZIMUYH9</v>
          </cell>
          <cell r="B747" t="str">
            <v>HZIMUYH</v>
          </cell>
        </row>
        <row r="748">
          <cell r="A748" t="str">
            <v>HZQZB0L</v>
          </cell>
          <cell r="B748" t="str">
            <v>HZIMUYH</v>
          </cell>
        </row>
        <row r="749">
          <cell r="A749" t="str">
            <v>HZQZB0M</v>
          </cell>
          <cell r="B749" t="str">
            <v>HZIMUYH</v>
          </cell>
        </row>
        <row r="750">
          <cell r="A750" t="str">
            <v>HZQZB0XL</v>
          </cell>
          <cell r="B750" t="str">
            <v>HZIMUYH</v>
          </cell>
        </row>
        <row r="751">
          <cell r="A751" t="str">
            <v>HZQZCSL</v>
          </cell>
          <cell r="B751" t="str">
            <v>HZQZ</v>
          </cell>
        </row>
        <row r="752">
          <cell r="A752" t="str">
            <v>HZQZCSM</v>
          </cell>
          <cell r="B752" t="str">
            <v>HZQZ</v>
          </cell>
        </row>
        <row r="753">
          <cell r="A753" t="str">
            <v>HZQZCSXL</v>
          </cell>
          <cell r="B753" t="str">
            <v>HZQZ</v>
          </cell>
        </row>
        <row r="754">
          <cell r="A754" t="str">
            <v>HZQZG0L</v>
          </cell>
          <cell r="B754" t="str">
            <v>HZQZ</v>
          </cell>
        </row>
        <row r="755">
          <cell r="A755" t="str">
            <v>HZQZG0M</v>
          </cell>
          <cell r="B755" t="str">
            <v>HZQZ</v>
          </cell>
        </row>
        <row r="756">
          <cell r="A756" t="str">
            <v>HZQZG0XL</v>
          </cell>
          <cell r="B756" t="str">
            <v>HZQZ</v>
          </cell>
        </row>
        <row r="757">
          <cell r="A757" t="str">
            <v>HZQZJHSL</v>
          </cell>
          <cell r="B757" t="str">
            <v>HZQZ</v>
          </cell>
        </row>
        <row r="758">
          <cell r="A758" t="str">
            <v>HZQZJHSM</v>
          </cell>
          <cell r="B758" t="str">
            <v>HZQZ</v>
          </cell>
        </row>
        <row r="759">
          <cell r="A759" t="str">
            <v>HZQZJHSXL</v>
          </cell>
          <cell r="B759" t="str">
            <v>HZQZ</v>
          </cell>
        </row>
        <row r="760">
          <cell r="A760" t="str">
            <v>HZQZMHL</v>
          </cell>
          <cell r="B760" t="str">
            <v>HZQZ</v>
          </cell>
        </row>
        <row r="761">
          <cell r="A761" t="str">
            <v>HZQZMHM</v>
          </cell>
          <cell r="B761" t="str">
            <v>HZQZ</v>
          </cell>
        </row>
        <row r="762">
          <cell r="A762" t="str">
            <v>HZQZMHXL</v>
          </cell>
          <cell r="B762" t="str">
            <v>HZQZ</v>
          </cell>
        </row>
        <row r="763">
          <cell r="A763" t="str">
            <v>JBL-CTCSCSL</v>
          </cell>
          <cell r="B763" t="str">
            <v>HZQZ</v>
          </cell>
        </row>
        <row r="764">
          <cell r="A764" t="str">
            <v>JBL-CTCSCSM</v>
          </cell>
          <cell r="B764" t="str">
            <v>HZQZ</v>
          </cell>
        </row>
        <row r="765">
          <cell r="A765" t="str">
            <v>JBL-CTCSCSS</v>
          </cell>
          <cell r="B765" t="str">
            <v>HZQZ</v>
          </cell>
        </row>
        <row r="766">
          <cell r="A766" t="str">
            <v>JBL-CTCSCSXL</v>
          </cell>
          <cell r="B766" t="str">
            <v>JBL-CTCS</v>
          </cell>
        </row>
        <row r="767">
          <cell r="A767" t="str">
            <v>JBL-CTCSCSXS</v>
          </cell>
          <cell r="B767" t="str">
            <v>JBL-CTCS</v>
          </cell>
        </row>
        <row r="768">
          <cell r="A768" t="str">
            <v>JBL-CTFHSHLL</v>
          </cell>
          <cell r="B768" t="str">
            <v>JBL-CTCS</v>
          </cell>
        </row>
        <row r="769">
          <cell r="A769" t="str">
            <v>JBL-CTFHSHLM</v>
          </cell>
          <cell r="B769" t="str">
            <v>JBL-CTCS</v>
          </cell>
        </row>
        <row r="770">
          <cell r="A770" t="str">
            <v>JBL-CTFHSHLS</v>
          </cell>
          <cell r="B770" t="str">
            <v>JBL-CTCS</v>
          </cell>
        </row>
        <row r="771">
          <cell r="A771" t="str">
            <v>JBL-CTFHSHLXL</v>
          </cell>
          <cell r="B771" t="str">
            <v>JBL-CTFHS</v>
          </cell>
        </row>
        <row r="772">
          <cell r="A772" t="str">
            <v>JBL-CTFHSHLXS</v>
          </cell>
          <cell r="B772" t="str">
            <v>JBL-CTFHS</v>
          </cell>
        </row>
        <row r="773">
          <cell r="A773" t="str">
            <v>JBL-CTFHSR5L</v>
          </cell>
          <cell r="B773" t="str">
            <v>JBL-CTFHS</v>
          </cell>
        </row>
        <row r="774">
          <cell r="A774" t="str">
            <v>JBL-CTFHSR5M</v>
          </cell>
          <cell r="B774" t="str">
            <v>JBL-CTFHS</v>
          </cell>
        </row>
        <row r="775">
          <cell r="A775" t="str">
            <v>JBL-CTFHSR5S</v>
          </cell>
          <cell r="B775" t="str">
            <v>JBL-CTFHS</v>
          </cell>
        </row>
        <row r="776">
          <cell r="A776" t="str">
            <v>JBL-CTFHSR5XL</v>
          </cell>
          <cell r="B776" t="str">
            <v>JBL-CTFHS</v>
          </cell>
        </row>
        <row r="777">
          <cell r="A777" t="str">
            <v>JBL-CTFHSR5XS</v>
          </cell>
          <cell r="B777" t="str">
            <v>JBL-CTFHS</v>
          </cell>
        </row>
        <row r="778">
          <cell r="A778" t="str">
            <v>JBL-CTHHSE0L</v>
          </cell>
          <cell r="B778" t="str">
            <v>JBL-CTFHS</v>
          </cell>
        </row>
        <row r="779">
          <cell r="A779" t="str">
            <v>JBL-CTHHSE0M</v>
          </cell>
          <cell r="B779" t="str">
            <v>JBL-CTFHS</v>
          </cell>
        </row>
        <row r="780">
          <cell r="A780" t="str">
            <v>JBL-CTHHSE0S</v>
          </cell>
          <cell r="B780" t="str">
            <v>JBL-CTFHS</v>
          </cell>
        </row>
        <row r="781">
          <cell r="A781" t="str">
            <v>JBL-CTHHSE0XL</v>
          </cell>
          <cell r="B781" t="str">
            <v>JBL-CTHHS</v>
          </cell>
        </row>
        <row r="782">
          <cell r="A782" t="str">
            <v>JBL-CTHHSE0XS</v>
          </cell>
          <cell r="B782" t="str">
            <v>JBL-CTHHS</v>
          </cell>
        </row>
        <row r="783">
          <cell r="A783" t="str">
            <v>JBL-CTHHSR0L</v>
          </cell>
          <cell r="B783" t="str">
            <v>JBL-CTHHS</v>
          </cell>
        </row>
        <row r="784">
          <cell r="A784" t="str">
            <v>JBL-CTHHSR0M</v>
          </cell>
          <cell r="B784" t="str">
            <v>JBL-CTHHS</v>
          </cell>
        </row>
        <row r="785">
          <cell r="A785" t="str">
            <v>JBL-CTHHSR0S</v>
          </cell>
          <cell r="B785" t="str">
            <v>JBL-CTHHS</v>
          </cell>
        </row>
        <row r="786">
          <cell r="A786" t="str">
            <v>JBL-CTHHSR0XL</v>
          </cell>
          <cell r="B786" t="str">
            <v>JBL-CTHHS</v>
          </cell>
        </row>
        <row r="787">
          <cell r="A787" t="str">
            <v>JBL-CTHHSR0XS</v>
          </cell>
          <cell r="B787" t="str">
            <v>JBL-CTHHS</v>
          </cell>
        </row>
        <row r="788">
          <cell r="A788" t="str">
            <v>JBL-CTHLSB0L</v>
          </cell>
          <cell r="B788" t="str">
            <v>JBL-CTHHS</v>
          </cell>
        </row>
        <row r="789">
          <cell r="A789" t="str">
            <v>JBL-CTHLSB0M</v>
          </cell>
          <cell r="B789" t="str">
            <v>JBL-CTHHS</v>
          </cell>
        </row>
        <row r="790">
          <cell r="A790" t="str">
            <v>JBL-CTHLSB0S</v>
          </cell>
          <cell r="B790" t="str">
            <v>JBL-CTHHS</v>
          </cell>
        </row>
        <row r="791">
          <cell r="A791" t="str">
            <v>JBL-CTHLSB0XL</v>
          </cell>
          <cell r="B791" t="str">
            <v>JBL-CTHLS</v>
          </cell>
        </row>
        <row r="792">
          <cell r="A792" t="str">
            <v>JBL-CTHLSB0XS</v>
          </cell>
          <cell r="B792" t="str">
            <v>JBL-CTHLS</v>
          </cell>
        </row>
        <row r="793">
          <cell r="A793" t="str">
            <v>JBL-CTHLSK0L</v>
          </cell>
          <cell r="B793" t="str">
            <v>JBL-CTHLS</v>
          </cell>
        </row>
        <row r="794">
          <cell r="A794" t="str">
            <v>JBL-CTHLSK0M</v>
          </cell>
          <cell r="B794" t="str">
            <v>JBL-CTHLS</v>
          </cell>
        </row>
        <row r="795">
          <cell r="A795" t="str">
            <v>JBL-CTHLSK0S</v>
          </cell>
          <cell r="B795" t="str">
            <v>JBL-CTHLS</v>
          </cell>
        </row>
        <row r="796">
          <cell r="A796" t="str">
            <v>JBL-CTHLSK0XL</v>
          </cell>
          <cell r="B796" t="str">
            <v>JBL-CTHLS</v>
          </cell>
        </row>
        <row r="797">
          <cell r="A797" t="str">
            <v>JBL-CTHLSK0XS</v>
          </cell>
          <cell r="B797" t="str">
            <v>JBL-CTHLS</v>
          </cell>
        </row>
        <row r="798">
          <cell r="A798" t="str">
            <v>JBLKTK1</v>
          </cell>
          <cell r="B798" t="str">
            <v>JBL-CTHLS</v>
          </cell>
        </row>
        <row r="799">
          <cell r="A799" t="str">
            <v>JBLKTK10</v>
          </cell>
          <cell r="B799" t="str">
            <v>JBL-CTHLS</v>
          </cell>
        </row>
        <row r="800">
          <cell r="A800" t="str">
            <v>JBLKTK11</v>
          </cell>
          <cell r="B800" t="str">
            <v>JBL-CTHLS</v>
          </cell>
        </row>
        <row r="801">
          <cell r="A801" t="str">
            <v>JBLKTK12</v>
          </cell>
          <cell r="B801" t="str">
            <v>JBLKTK</v>
          </cell>
        </row>
        <row r="802">
          <cell r="A802" t="str">
            <v>JBLKTK13</v>
          </cell>
          <cell r="B802" t="str">
            <v>JBLKTK</v>
          </cell>
        </row>
        <row r="803">
          <cell r="A803" t="str">
            <v>JBLKTK14</v>
          </cell>
          <cell r="B803" t="str">
            <v>JBLKTK</v>
          </cell>
        </row>
        <row r="804">
          <cell r="A804" t="str">
            <v>JBLKTK15</v>
          </cell>
          <cell r="B804" t="str">
            <v>JBLKTK</v>
          </cell>
        </row>
        <row r="805">
          <cell r="A805" t="str">
            <v>JBLKTK16</v>
          </cell>
          <cell r="B805" t="str">
            <v>JBLKTK</v>
          </cell>
        </row>
        <row r="806">
          <cell r="A806" t="str">
            <v>JBLKTK17</v>
          </cell>
          <cell r="B806" t="str">
            <v>JBLKTK</v>
          </cell>
        </row>
        <row r="807">
          <cell r="A807" t="str">
            <v>JBLKTK18</v>
          </cell>
          <cell r="B807" t="str">
            <v>JBLKTK</v>
          </cell>
        </row>
        <row r="808">
          <cell r="A808" t="str">
            <v>JBLKTK19</v>
          </cell>
          <cell r="B808" t="str">
            <v>JBLKTK</v>
          </cell>
        </row>
        <row r="809">
          <cell r="A809" t="str">
            <v>JBLKTK2</v>
          </cell>
          <cell r="B809" t="str">
            <v>JBLKTK</v>
          </cell>
        </row>
        <row r="810">
          <cell r="A810" t="str">
            <v>JBLKTK20</v>
          </cell>
          <cell r="B810" t="str">
            <v>JBLKTK</v>
          </cell>
        </row>
        <row r="811">
          <cell r="A811" t="str">
            <v>JBLKTK21</v>
          </cell>
          <cell r="B811" t="str">
            <v>JBLKTK</v>
          </cell>
        </row>
        <row r="812">
          <cell r="A812" t="str">
            <v>JBLKTK22</v>
          </cell>
          <cell r="B812" t="str">
            <v>JBLKTK</v>
          </cell>
        </row>
        <row r="813">
          <cell r="A813" t="str">
            <v>JBLKTK23</v>
          </cell>
          <cell r="B813" t="str">
            <v>JBLKTK</v>
          </cell>
        </row>
        <row r="814">
          <cell r="A814" t="str">
            <v>JBLKTK24</v>
          </cell>
          <cell r="B814" t="str">
            <v>JBLKTK</v>
          </cell>
        </row>
        <row r="815">
          <cell r="A815" t="str">
            <v>JBLKTK25</v>
          </cell>
          <cell r="B815" t="str">
            <v>JBLKTK</v>
          </cell>
        </row>
        <row r="816">
          <cell r="A816" t="str">
            <v>JBLKTK26</v>
          </cell>
          <cell r="B816" t="str">
            <v>JBLKTK</v>
          </cell>
        </row>
        <row r="817">
          <cell r="A817" t="str">
            <v>JBLKTK27</v>
          </cell>
          <cell r="B817" t="str">
            <v>JBLKTK</v>
          </cell>
        </row>
        <row r="818">
          <cell r="A818" t="str">
            <v>JBLKTK28</v>
          </cell>
          <cell r="B818" t="str">
            <v>JBLKTK</v>
          </cell>
        </row>
        <row r="819">
          <cell r="A819" t="str">
            <v>JBLKTK29</v>
          </cell>
          <cell r="B819" t="str">
            <v>JBLKTK</v>
          </cell>
        </row>
        <row r="820">
          <cell r="A820" t="str">
            <v>JBLKTK3</v>
          </cell>
          <cell r="B820" t="str">
            <v>JBLKTK</v>
          </cell>
        </row>
        <row r="821">
          <cell r="A821" t="str">
            <v>JBLKTK30</v>
          </cell>
          <cell r="B821" t="str">
            <v>JBLKTK</v>
          </cell>
        </row>
        <row r="822">
          <cell r="A822" t="str">
            <v>JBLKTK31</v>
          </cell>
          <cell r="B822" t="str">
            <v>JBLKTK</v>
          </cell>
        </row>
        <row r="823">
          <cell r="A823" t="str">
            <v>JBLKTK32</v>
          </cell>
          <cell r="B823" t="str">
            <v>JBLKTK</v>
          </cell>
        </row>
        <row r="824">
          <cell r="A824" t="str">
            <v>JBLKTK33</v>
          </cell>
          <cell r="B824" t="str">
            <v>JBLKTK</v>
          </cell>
        </row>
        <row r="825">
          <cell r="A825" t="str">
            <v>JBLKTK34</v>
          </cell>
          <cell r="B825" t="str">
            <v>JBLKTK</v>
          </cell>
        </row>
        <row r="826">
          <cell r="A826" t="str">
            <v>JBLKTK35</v>
          </cell>
          <cell r="B826" t="str">
            <v>JBLKTK</v>
          </cell>
        </row>
        <row r="827">
          <cell r="A827" t="str">
            <v>JBLKTK36</v>
          </cell>
          <cell r="B827" t="str">
            <v>JBLKTK</v>
          </cell>
        </row>
        <row r="828">
          <cell r="A828" t="str">
            <v>JBLKTK37</v>
          </cell>
          <cell r="B828" t="str">
            <v>JBLKTK</v>
          </cell>
        </row>
        <row r="829">
          <cell r="A829" t="str">
            <v>JBLKTK38</v>
          </cell>
          <cell r="B829" t="str">
            <v>JBLKTK</v>
          </cell>
        </row>
        <row r="830">
          <cell r="A830" t="str">
            <v>JBLKTK39</v>
          </cell>
          <cell r="B830" t="str">
            <v>JBLKTK</v>
          </cell>
        </row>
        <row r="831">
          <cell r="A831" t="str">
            <v>JBLKTK4</v>
          </cell>
          <cell r="B831" t="str">
            <v>JBLKTK</v>
          </cell>
        </row>
        <row r="832">
          <cell r="A832" t="str">
            <v>JBLKTK40</v>
          </cell>
          <cell r="B832" t="str">
            <v>JBLKTK</v>
          </cell>
        </row>
        <row r="833">
          <cell r="A833" t="str">
            <v>JBLKTK41</v>
          </cell>
          <cell r="B833" t="str">
            <v>JBLKTK</v>
          </cell>
        </row>
        <row r="834">
          <cell r="A834" t="str">
            <v>JBLKTK42</v>
          </cell>
          <cell r="B834" t="str">
            <v>JBLKTK</v>
          </cell>
        </row>
        <row r="835">
          <cell r="A835" t="str">
            <v>JBLKTK43</v>
          </cell>
          <cell r="B835" t="str">
            <v>JBLKTK</v>
          </cell>
        </row>
        <row r="836">
          <cell r="A836" t="str">
            <v>JBLKTK44</v>
          </cell>
          <cell r="B836" t="str">
            <v>JBLKTK</v>
          </cell>
        </row>
        <row r="837">
          <cell r="A837" t="str">
            <v>JBLKTK45</v>
          </cell>
          <cell r="B837" t="str">
            <v>JBLKTK</v>
          </cell>
        </row>
        <row r="838">
          <cell r="A838" t="str">
            <v>JBLKTK46</v>
          </cell>
          <cell r="B838" t="str">
            <v>JBLKTK</v>
          </cell>
        </row>
        <row r="839">
          <cell r="A839" t="str">
            <v>JBLKTK47</v>
          </cell>
          <cell r="B839" t="str">
            <v>JBLKTK</v>
          </cell>
        </row>
        <row r="840">
          <cell r="A840" t="str">
            <v>JBLKTK48</v>
          </cell>
          <cell r="B840" t="str">
            <v>JBLKTK</v>
          </cell>
        </row>
        <row r="841">
          <cell r="A841" t="str">
            <v>JBLKTK49</v>
          </cell>
          <cell r="B841" t="str">
            <v>JBLKTK</v>
          </cell>
        </row>
        <row r="842">
          <cell r="A842" t="str">
            <v>JBLKTK5</v>
          </cell>
          <cell r="B842" t="str">
            <v>JBLKTK</v>
          </cell>
        </row>
        <row r="843">
          <cell r="A843" t="str">
            <v>JBLKTK50</v>
          </cell>
          <cell r="B843" t="str">
            <v>JBLKTK</v>
          </cell>
        </row>
        <row r="844">
          <cell r="A844" t="str">
            <v>JBLKTK51</v>
          </cell>
          <cell r="B844" t="str">
            <v>JBLKTK</v>
          </cell>
        </row>
        <row r="845">
          <cell r="A845" t="str">
            <v>JBLKTK52</v>
          </cell>
          <cell r="B845" t="str">
            <v>JBLKTK</v>
          </cell>
        </row>
        <row r="846">
          <cell r="A846" t="str">
            <v>JBLKTK53</v>
          </cell>
          <cell r="B846" t="str">
            <v>JBLKTK</v>
          </cell>
        </row>
        <row r="847">
          <cell r="A847" t="str">
            <v>JBLKTK54</v>
          </cell>
          <cell r="B847" t="str">
            <v>JBLKTK</v>
          </cell>
        </row>
        <row r="848">
          <cell r="A848" t="str">
            <v>JBLKTK55</v>
          </cell>
          <cell r="B848" t="str">
            <v>JBLKTK</v>
          </cell>
        </row>
        <row r="849">
          <cell r="A849" t="str">
            <v>JBLKTK56</v>
          </cell>
          <cell r="B849" t="str">
            <v>JBLKTK</v>
          </cell>
        </row>
        <row r="850">
          <cell r="A850" t="str">
            <v>JBLKTK57</v>
          </cell>
          <cell r="B850" t="str">
            <v>JBLKTK</v>
          </cell>
        </row>
        <row r="851">
          <cell r="A851" t="str">
            <v>JBLKTK58</v>
          </cell>
          <cell r="B851" t="str">
            <v>JBLKTK</v>
          </cell>
        </row>
        <row r="852">
          <cell r="A852" t="str">
            <v>JBLKTK59</v>
          </cell>
          <cell r="B852" t="str">
            <v>JBLKTK</v>
          </cell>
        </row>
        <row r="853">
          <cell r="A853" t="str">
            <v>JBLKTK6</v>
          </cell>
          <cell r="B853" t="str">
            <v>JBLKTK</v>
          </cell>
        </row>
        <row r="854">
          <cell r="A854" t="str">
            <v>JBLKTK60</v>
          </cell>
          <cell r="B854" t="str">
            <v>JBLKTK</v>
          </cell>
        </row>
        <row r="855">
          <cell r="A855" t="str">
            <v>JBLKTK61</v>
          </cell>
          <cell r="B855" t="str">
            <v>JBLKTK</v>
          </cell>
        </row>
        <row r="856">
          <cell r="A856" t="str">
            <v>JBLKTK62</v>
          </cell>
          <cell r="B856" t="str">
            <v>JBLKTK</v>
          </cell>
        </row>
        <row r="857">
          <cell r="A857" t="str">
            <v>JBLKTK63</v>
          </cell>
          <cell r="B857" t="str">
            <v>JBLKTK</v>
          </cell>
        </row>
        <row r="858">
          <cell r="A858" t="str">
            <v>JBLKTK64</v>
          </cell>
          <cell r="B858" t="str">
            <v>JBLKTK</v>
          </cell>
        </row>
        <row r="859">
          <cell r="A859" t="str">
            <v>JBLKTK65</v>
          </cell>
          <cell r="B859" t="str">
            <v>JBLKTK</v>
          </cell>
        </row>
        <row r="860">
          <cell r="A860" t="str">
            <v>JBLKTK66</v>
          </cell>
          <cell r="B860" t="str">
            <v>JBLKTK</v>
          </cell>
        </row>
        <row r="861">
          <cell r="A861" t="str">
            <v>JBLKTK67</v>
          </cell>
          <cell r="B861" t="str">
            <v>JBLKTK</v>
          </cell>
        </row>
        <row r="862">
          <cell r="A862" t="str">
            <v>JBLKTK68</v>
          </cell>
          <cell r="B862" t="str">
            <v>JBLKTK</v>
          </cell>
        </row>
        <row r="863">
          <cell r="A863" t="str">
            <v>JBLKTK69</v>
          </cell>
          <cell r="B863" t="str">
            <v>JBLKTK</v>
          </cell>
        </row>
        <row r="864">
          <cell r="A864" t="str">
            <v>JBLKTK7</v>
          </cell>
          <cell r="B864" t="str">
            <v>JBLKTK</v>
          </cell>
        </row>
        <row r="865">
          <cell r="A865" t="str">
            <v>JBLKTK70</v>
          </cell>
          <cell r="B865" t="str">
            <v>JBLKTK</v>
          </cell>
        </row>
        <row r="866">
          <cell r="A866" t="str">
            <v>JBLKTK71</v>
          </cell>
          <cell r="B866" t="str">
            <v>JBLKTK</v>
          </cell>
        </row>
        <row r="867">
          <cell r="A867" t="str">
            <v>JBLKTK72</v>
          </cell>
          <cell r="B867" t="str">
            <v>JBLKTK</v>
          </cell>
        </row>
        <row r="868">
          <cell r="A868" t="str">
            <v>JBLKTK73</v>
          </cell>
          <cell r="B868" t="str">
            <v>JBLKTK</v>
          </cell>
        </row>
        <row r="869">
          <cell r="A869" t="str">
            <v>JBLKTK74</v>
          </cell>
          <cell r="B869" t="str">
            <v>JBLKTK</v>
          </cell>
        </row>
        <row r="870">
          <cell r="A870" t="str">
            <v>JBLKTK75</v>
          </cell>
          <cell r="B870" t="str">
            <v>JBLKTK</v>
          </cell>
        </row>
        <row r="871">
          <cell r="A871" t="str">
            <v>JBLKTK76</v>
          </cell>
          <cell r="B871" t="str">
            <v>JBLKTK</v>
          </cell>
        </row>
        <row r="872">
          <cell r="A872" t="str">
            <v>JBLKTK77</v>
          </cell>
          <cell r="B872" t="str">
            <v>JBLKTK</v>
          </cell>
        </row>
        <row r="873">
          <cell r="A873" t="str">
            <v>JBLKTK78</v>
          </cell>
          <cell r="B873" t="str">
            <v>JBLKTK</v>
          </cell>
        </row>
        <row r="874">
          <cell r="A874" t="str">
            <v>JBLKTK79</v>
          </cell>
          <cell r="B874" t="str">
            <v>JBLKTK</v>
          </cell>
        </row>
        <row r="875">
          <cell r="A875" t="str">
            <v>JBLKTK8</v>
          </cell>
          <cell r="B875" t="str">
            <v>JBLKTK</v>
          </cell>
        </row>
        <row r="876">
          <cell r="A876" t="str">
            <v>JBLKTK80</v>
          </cell>
          <cell r="B876" t="str">
            <v>JBLKTK</v>
          </cell>
        </row>
        <row r="877">
          <cell r="A877" t="str">
            <v>JBLKTK81</v>
          </cell>
          <cell r="B877" t="str">
            <v>JBLKTK</v>
          </cell>
        </row>
        <row r="878">
          <cell r="A878" t="str">
            <v>JBLKTK82</v>
          </cell>
          <cell r="B878" t="str">
            <v>JBLKTK</v>
          </cell>
        </row>
        <row r="879">
          <cell r="A879" t="str">
            <v>JBLKTK83</v>
          </cell>
          <cell r="B879" t="str">
            <v>JBLKTK</v>
          </cell>
        </row>
        <row r="880">
          <cell r="A880" t="str">
            <v>JBLKTK84</v>
          </cell>
          <cell r="B880" t="str">
            <v>JBLKTK</v>
          </cell>
        </row>
        <row r="881">
          <cell r="A881" t="str">
            <v>JBLKTK85</v>
          </cell>
          <cell r="B881" t="str">
            <v>JBLKTK</v>
          </cell>
        </row>
        <row r="882">
          <cell r="A882" t="str">
            <v>JBLKTK86</v>
          </cell>
          <cell r="B882" t="str">
            <v>JBLKTK</v>
          </cell>
        </row>
        <row r="883">
          <cell r="A883" t="str">
            <v>JBLKTK87</v>
          </cell>
          <cell r="B883" t="str">
            <v>JBLKTK</v>
          </cell>
        </row>
        <row r="884">
          <cell r="A884" t="str">
            <v>JBLKTK88</v>
          </cell>
          <cell r="B884" t="str">
            <v>JBLKTK</v>
          </cell>
        </row>
        <row r="885">
          <cell r="A885" t="str">
            <v>JBLKTK89</v>
          </cell>
          <cell r="B885" t="str">
            <v>JBLKTK</v>
          </cell>
        </row>
        <row r="886">
          <cell r="A886" t="str">
            <v>JBLKTK9</v>
          </cell>
          <cell r="B886" t="str">
            <v>JBLKTK</v>
          </cell>
        </row>
        <row r="887">
          <cell r="A887" t="str">
            <v>JBLKTK90</v>
          </cell>
          <cell r="B887" t="str">
            <v>JBLKTK</v>
          </cell>
        </row>
        <row r="888">
          <cell r="A888" t="str">
            <v>JBL-QFFMMHL</v>
          </cell>
          <cell r="B888" t="str">
            <v>JBLKTK</v>
          </cell>
        </row>
        <row r="889">
          <cell r="A889" t="str">
            <v>JBL-QFFMMHM</v>
          </cell>
          <cell r="B889" t="str">
            <v>JBLKTK</v>
          </cell>
        </row>
        <row r="890">
          <cell r="A890" t="str">
            <v>JBL-QFFMMHS</v>
          </cell>
          <cell r="B890" t="str">
            <v>JBLKTK</v>
          </cell>
        </row>
        <row r="891">
          <cell r="A891" t="str">
            <v>JBL-QFFMMHXL</v>
          </cell>
          <cell r="B891" t="str">
            <v>JBL-QFFM</v>
          </cell>
        </row>
        <row r="892">
          <cell r="A892" t="str">
            <v>JBL-QFFMMHXS</v>
          </cell>
          <cell r="B892" t="str">
            <v>JBL-QFFM</v>
          </cell>
        </row>
        <row r="893">
          <cell r="A893" t="str">
            <v>JBL-QFFMMHXXL</v>
          </cell>
          <cell r="B893" t="str">
            <v>JBL-QFFM</v>
          </cell>
        </row>
        <row r="894">
          <cell r="A894" t="str">
            <v>JBL-QFFMR5L</v>
          </cell>
          <cell r="B894" t="str">
            <v>JBL-QFFM</v>
          </cell>
        </row>
        <row r="895">
          <cell r="A895" t="str">
            <v>JBL-QFFMR5M</v>
          </cell>
          <cell r="B895" t="str">
            <v>JBL-QFFM</v>
          </cell>
        </row>
        <row r="896">
          <cell r="A896" t="str">
            <v>JBL-QFFMR5S</v>
          </cell>
          <cell r="B896" t="str">
            <v>JBL-QFFM</v>
          </cell>
        </row>
        <row r="897">
          <cell r="A897" t="str">
            <v>JBL-QFFMR5XL</v>
          </cell>
          <cell r="B897" t="str">
            <v>JBL-QFFM</v>
          </cell>
        </row>
        <row r="898">
          <cell r="A898" t="str">
            <v>JBL-QFFMR5XS</v>
          </cell>
          <cell r="B898" t="str">
            <v>JBL-QFFM</v>
          </cell>
        </row>
        <row r="899">
          <cell r="A899" t="str">
            <v>JBL-QFFMR5XXL</v>
          </cell>
          <cell r="B899" t="str">
            <v>JBL-QFFM</v>
          </cell>
        </row>
        <row r="900">
          <cell r="A900" t="str">
            <v>JBL-QFHHE0L</v>
          </cell>
          <cell r="B900" t="str">
            <v>JBL-QFFM</v>
          </cell>
        </row>
        <row r="901">
          <cell r="A901" t="str">
            <v>JBL-QFHHE0M</v>
          </cell>
          <cell r="B901" t="str">
            <v>JBL-QFFM</v>
          </cell>
        </row>
        <row r="902">
          <cell r="A902" t="str">
            <v>JBL-QFHHE0S</v>
          </cell>
          <cell r="B902" t="str">
            <v>JBL-QFFM</v>
          </cell>
        </row>
        <row r="903">
          <cell r="A903" t="str">
            <v>JBL-QFHHE0XL</v>
          </cell>
          <cell r="B903" t="str">
            <v>JBL-QFHH</v>
          </cell>
        </row>
        <row r="904">
          <cell r="A904" t="str">
            <v>JBL-QFHHE0XS</v>
          </cell>
          <cell r="B904" t="str">
            <v>JBL-QFHH</v>
          </cell>
        </row>
        <row r="905">
          <cell r="A905" t="str">
            <v>JBL-QFHHE0XXL</v>
          </cell>
          <cell r="B905" t="str">
            <v>JBL-QFHH</v>
          </cell>
        </row>
        <row r="906">
          <cell r="A906" t="str">
            <v>JBL-QFHHHLL</v>
          </cell>
          <cell r="B906" t="str">
            <v>JBL-QFHH</v>
          </cell>
        </row>
        <row r="907">
          <cell r="A907" t="str">
            <v>JBL-QFHHHLM</v>
          </cell>
          <cell r="B907" t="str">
            <v>JBL-QFHH</v>
          </cell>
        </row>
        <row r="908">
          <cell r="A908" t="str">
            <v>JBL-QFHHHLS</v>
          </cell>
          <cell r="B908" t="str">
            <v>JBL-QFHH</v>
          </cell>
        </row>
        <row r="909">
          <cell r="A909" t="str">
            <v>JBL-QFHHHLXL</v>
          </cell>
          <cell r="B909" t="str">
            <v>JBL-QFHL</v>
          </cell>
        </row>
        <row r="910">
          <cell r="A910" t="str">
            <v>JBL-QFHHHLXS</v>
          </cell>
          <cell r="B910" t="str">
            <v>JBL-QFHL</v>
          </cell>
        </row>
        <row r="911">
          <cell r="A911" t="str">
            <v>JBL-QFHHHLXXL</v>
          </cell>
          <cell r="B911" t="str">
            <v>JBL-QFHL</v>
          </cell>
        </row>
        <row r="912">
          <cell r="A912" t="str">
            <v>JBL-QFHHK0L</v>
          </cell>
          <cell r="B912" t="str">
            <v>JBL-QFHL</v>
          </cell>
        </row>
        <row r="913">
          <cell r="A913" t="str">
            <v>JBL-QFHHK0M</v>
          </cell>
          <cell r="B913" t="str">
            <v>JBL-QFHL</v>
          </cell>
        </row>
        <row r="914">
          <cell r="A914" t="str">
            <v>JBL-QFHHK0S</v>
          </cell>
          <cell r="B914" t="str">
            <v>JBL-QFHL</v>
          </cell>
        </row>
        <row r="915">
          <cell r="A915" t="str">
            <v>JBL-QFHHK0XL</v>
          </cell>
          <cell r="B915" t="str">
            <v>JBL-QFHH</v>
          </cell>
        </row>
        <row r="916">
          <cell r="A916" t="str">
            <v>JBL-QFHHK0XS</v>
          </cell>
          <cell r="B916" t="str">
            <v>JBL-QFHH</v>
          </cell>
        </row>
        <row r="917">
          <cell r="A917" t="str">
            <v>JBL-QFHHK0XXL</v>
          </cell>
          <cell r="B917" t="str">
            <v>JBL-QFHH</v>
          </cell>
        </row>
        <row r="918">
          <cell r="A918" t="str">
            <v>JBL-QFHHR0L</v>
          </cell>
          <cell r="B918" t="str">
            <v>JBL-QFHH</v>
          </cell>
        </row>
        <row r="919">
          <cell r="A919" t="str">
            <v>JBL-QFHHR0M</v>
          </cell>
          <cell r="B919" t="str">
            <v>JBL-QFHH</v>
          </cell>
        </row>
        <row r="920">
          <cell r="A920" t="str">
            <v>JBL-QFHHR0S</v>
          </cell>
          <cell r="B920" t="str">
            <v>JBL-QFHH</v>
          </cell>
        </row>
        <row r="921">
          <cell r="A921" t="str">
            <v>JBL-QFHHR0XL</v>
          </cell>
          <cell r="B921" t="str">
            <v>JBL-QFHL</v>
          </cell>
        </row>
        <row r="922">
          <cell r="A922" t="str">
            <v>JBL-QFHHR0XS</v>
          </cell>
          <cell r="B922" t="str">
            <v>JBL-QFHL</v>
          </cell>
        </row>
        <row r="923">
          <cell r="A923" t="str">
            <v>JBL-QFHHR0XXL</v>
          </cell>
          <cell r="B923" t="str">
            <v>JBL-QFHL</v>
          </cell>
        </row>
        <row r="924">
          <cell r="A924" t="str">
            <v>JBL-QFLJB0L</v>
          </cell>
          <cell r="B924" t="str">
            <v>JBL-QFHL</v>
          </cell>
        </row>
        <row r="925">
          <cell r="A925" t="str">
            <v>JBL-QFLJB0M</v>
          </cell>
          <cell r="B925" t="str">
            <v>JBL-QFHL</v>
          </cell>
        </row>
        <row r="926">
          <cell r="A926" t="str">
            <v>JBL-QFLJB0S</v>
          </cell>
          <cell r="B926" t="str">
            <v>JBL-QFHL</v>
          </cell>
        </row>
        <row r="927">
          <cell r="A927" t="str">
            <v>JBL-QFLJB0XL</v>
          </cell>
          <cell r="B927" t="str">
            <v>JBL-QFLJ</v>
          </cell>
        </row>
        <row r="928">
          <cell r="A928" t="str">
            <v>JBL-QFLJB0XS</v>
          </cell>
          <cell r="B928" t="str">
            <v>JBL-QFLJ</v>
          </cell>
        </row>
        <row r="929">
          <cell r="A929" t="str">
            <v>JBL-QFLJB0XXL</v>
          </cell>
          <cell r="B929" t="str">
            <v>JBL-QFLJ</v>
          </cell>
        </row>
        <row r="930">
          <cell r="A930" t="str">
            <v>JBL-QFLJJHL</v>
          </cell>
          <cell r="B930" t="str">
            <v>JBL-QFLJ</v>
          </cell>
        </row>
        <row r="931">
          <cell r="A931" t="str">
            <v>JBL-QFLJJHM</v>
          </cell>
          <cell r="B931" t="str">
            <v>JBL-QFLJ</v>
          </cell>
        </row>
        <row r="932">
          <cell r="A932" t="str">
            <v>JBL-QFLJJHS</v>
          </cell>
          <cell r="B932" t="str">
            <v>JBL-QFLJ</v>
          </cell>
        </row>
        <row r="933">
          <cell r="A933" t="str">
            <v>JBL-QFLJJHXL</v>
          </cell>
          <cell r="B933" t="str">
            <v>JBL-QFLJ</v>
          </cell>
        </row>
        <row r="934">
          <cell r="A934" t="str">
            <v>JBL-QFLJJHXS</v>
          </cell>
          <cell r="B934" t="str">
            <v>JBL-QFLJ</v>
          </cell>
        </row>
        <row r="935">
          <cell r="A935" t="str">
            <v>JBL-QFLJJHXXL</v>
          </cell>
          <cell r="B935" t="str">
            <v>JBL-QFLJ</v>
          </cell>
        </row>
        <row r="936">
          <cell r="A936" t="str">
            <v>JBLYH0</v>
          </cell>
          <cell r="B936" t="str">
            <v>JBL-QFLJ</v>
          </cell>
        </row>
        <row r="937">
          <cell r="A937" t="str">
            <v>JBLYH1</v>
          </cell>
          <cell r="B937" t="str">
            <v>JBL-QFLJ</v>
          </cell>
        </row>
        <row r="938">
          <cell r="A938" t="str">
            <v>JBLYH2</v>
          </cell>
          <cell r="B938" t="str">
            <v>JBL-QFLJ</v>
          </cell>
        </row>
        <row r="939">
          <cell r="A939" t="str">
            <v>JBLYH3</v>
          </cell>
          <cell r="B939" t="str">
            <v>JBLYH</v>
          </cell>
        </row>
        <row r="940">
          <cell r="A940" t="str">
            <v>JBLYH4</v>
          </cell>
          <cell r="B940" t="str">
            <v>JBLYH</v>
          </cell>
        </row>
        <row r="941">
          <cell r="A941" t="str">
            <v>JBLYH5</v>
          </cell>
          <cell r="B941" t="str">
            <v>JBLYH</v>
          </cell>
        </row>
        <row r="942">
          <cell r="A942" t="str">
            <v>JBLYH6</v>
          </cell>
          <cell r="B942" t="str">
            <v>JBLYH</v>
          </cell>
        </row>
        <row r="943">
          <cell r="A943" t="str">
            <v>JBLYH7</v>
          </cell>
          <cell r="B943" t="str">
            <v>JBLYH</v>
          </cell>
        </row>
        <row r="944">
          <cell r="A944" t="str">
            <v>JBLYH8</v>
          </cell>
          <cell r="B944" t="str">
            <v>JBLYH</v>
          </cell>
        </row>
        <row r="945">
          <cell r="A945" t="str">
            <v>JBLYH9</v>
          </cell>
          <cell r="B945" t="str">
            <v>JBLYH</v>
          </cell>
        </row>
        <row r="946">
          <cell r="A946" t="str">
            <v>JBL-YJBKQKQSL</v>
          </cell>
          <cell r="B946" t="str">
            <v>JBLYH</v>
          </cell>
        </row>
        <row r="947">
          <cell r="A947" t="str">
            <v>JBL-YJBKQKQSM</v>
          </cell>
          <cell r="B947" t="str">
            <v>JBLYH</v>
          </cell>
        </row>
        <row r="948">
          <cell r="A948" t="str">
            <v>JBL-YJBKQKQSS</v>
          </cell>
          <cell r="B948" t="str">
            <v>JBLYH</v>
          </cell>
        </row>
        <row r="949">
          <cell r="A949" t="str">
            <v>JBL-YJBKQKQSXL</v>
          </cell>
          <cell r="B949" t="str">
            <v>JBL-YJBKQ</v>
          </cell>
        </row>
        <row r="950">
          <cell r="A950" t="str">
            <v>JBL-YJBKQKQSXXL</v>
          </cell>
          <cell r="B950" t="str">
            <v>JBL-YJBKQ</v>
          </cell>
        </row>
        <row r="951">
          <cell r="A951" t="str">
            <v>JBL-YJBKQW0L</v>
          </cell>
          <cell r="B951" t="str">
            <v>JBL-YJBKQ</v>
          </cell>
        </row>
        <row r="952">
          <cell r="A952" t="str">
            <v>JBL-YJBKQW0M</v>
          </cell>
          <cell r="B952" t="str">
            <v>JBL-YJBKQ</v>
          </cell>
        </row>
        <row r="953">
          <cell r="A953" t="str">
            <v>JBL-YJBKQW0S</v>
          </cell>
          <cell r="B953" t="str">
            <v>JBL-YJBKQ</v>
          </cell>
        </row>
        <row r="954">
          <cell r="A954" t="str">
            <v>JBL-YJBKQW0XL</v>
          </cell>
          <cell r="B954" t="str">
            <v>JBL-YJBKQ</v>
          </cell>
        </row>
        <row r="955">
          <cell r="A955" t="str">
            <v>JBL-YJBKQW0XXL</v>
          </cell>
          <cell r="B955" t="str">
            <v>JBL-YJBKQ</v>
          </cell>
        </row>
        <row r="956">
          <cell r="A956" t="str">
            <v>JBL-YJFJHJHL</v>
          </cell>
          <cell r="B956" t="str">
            <v>JBL-YJBKQ</v>
          </cell>
        </row>
        <row r="957">
          <cell r="A957" t="str">
            <v>JBL-YJFJHJHM</v>
          </cell>
          <cell r="B957" t="str">
            <v>JBL-YJBKQ</v>
          </cell>
        </row>
        <row r="958">
          <cell r="A958" t="str">
            <v>JBL-YJFJHJHS</v>
          </cell>
          <cell r="B958" t="str">
            <v>JBL-YJBKQ</v>
          </cell>
        </row>
        <row r="959">
          <cell r="A959" t="str">
            <v>JBL-YJFJHJHXL</v>
          </cell>
          <cell r="B959" t="str">
            <v>JBL-YJFJH</v>
          </cell>
        </row>
        <row r="960">
          <cell r="A960" t="str">
            <v>JBL-YJFJHJHXXL</v>
          </cell>
          <cell r="B960" t="str">
            <v>JBL-YJFJH</v>
          </cell>
        </row>
        <row r="961">
          <cell r="A961" t="str">
            <v>JBL-YJFJHR5L</v>
          </cell>
          <cell r="B961" t="str">
            <v>JBL-YJFJH</v>
          </cell>
        </row>
        <row r="962">
          <cell r="A962" t="str">
            <v>JBL-YJFJHR5M</v>
          </cell>
          <cell r="B962" t="str">
            <v>JBL-YJFJH</v>
          </cell>
        </row>
        <row r="963">
          <cell r="A963" t="str">
            <v>JBL-YJFJHR5S</v>
          </cell>
          <cell r="B963" t="str">
            <v>JBL-YJFJH</v>
          </cell>
        </row>
        <row r="964">
          <cell r="A964" t="str">
            <v>JBL-YJFJHR5XL</v>
          </cell>
          <cell r="B964" t="str">
            <v>JBL-YJFJH</v>
          </cell>
        </row>
        <row r="965">
          <cell r="A965" t="str">
            <v>JBL-YJFJHR5XXL</v>
          </cell>
          <cell r="B965" t="str">
            <v>JBL-YJFJH</v>
          </cell>
        </row>
        <row r="966">
          <cell r="A966" t="str">
            <v>JBL-YJHHSE0L</v>
          </cell>
          <cell r="B966" t="str">
            <v>JBL-YJFJH</v>
          </cell>
        </row>
        <row r="967">
          <cell r="A967" t="str">
            <v>JBL-YJHHSE0M</v>
          </cell>
          <cell r="B967" t="str">
            <v>JBL-YJFJH</v>
          </cell>
        </row>
        <row r="968">
          <cell r="A968" t="str">
            <v>JBL-YJHHSE0S</v>
          </cell>
          <cell r="B968" t="str">
            <v>JBL-YJFJH</v>
          </cell>
        </row>
        <row r="969">
          <cell r="A969" t="str">
            <v>JBL-YJHHSE0XL</v>
          </cell>
          <cell r="B969" t="str">
            <v>JBL-YJHHS</v>
          </cell>
        </row>
        <row r="970">
          <cell r="A970" t="str">
            <v>JBL-YJHHSE0XXL</v>
          </cell>
          <cell r="B970" t="str">
            <v>JBL-YJHHS</v>
          </cell>
        </row>
        <row r="971">
          <cell r="A971" t="str">
            <v>JBL-YJHHSR0L</v>
          </cell>
          <cell r="B971" t="str">
            <v>JBL-YJHHS</v>
          </cell>
        </row>
        <row r="972">
          <cell r="A972" t="str">
            <v>JBL-YJHHSR0M</v>
          </cell>
          <cell r="B972" t="str">
            <v>JBL-YJHHS</v>
          </cell>
        </row>
        <row r="973">
          <cell r="A973" t="str">
            <v>JBL-YJHHSR0S</v>
          </cell>
          <cell r="B973" t="str">
            <v>JBL-YJHHS</v>
          </cell>
        </row>
        <row r="974">
          <cell r="A974" t="str">
            <v>JBL-YJHHSR0XL</v>
          </cell>
          <cell r="B974" t="str">
            <v>JBL-YJHHS</v>
          </cell>
        </row>
        <row r="975">
          <cell r="A975" t="str">
            <v>JBL-YJHHSR0XXL</v>
          </cell>
          <cell r="B975" t="str">
            <v>JBL-YJHHS</v>
          </cell>
        </row>
        <row r="976">
          <cell r="A976" t="str">
            <v>JBL-YJLHSG0L</v>
          </cell>
          <cell r="B976" t="str">
            <v>JBL-YJHHS</v>
          </cell>
        </row>
        <row r="977">
          <cell r="A977" t="str">
            <v>JBL-YJLHSG0M</v>
          </cell>
          <cell r="B977" t="str">
            <v>JBL-YJHHS</v>
          </cell>
        </row>
        <row r="978">
          <cell r="A978" t="str">
            <v>JBL-YJLHSG0S</v>
          </cell>
          <cell r="B978" t="str">
            <v>JBL-YJHHS</v>
          </cell>
        </row>
        <row r="979">
          <cell r="A979" t="str">
            <v>JBL-YJLHSG0XL</v>
          </cell>
          <cell r="B979" t="str">
            <v>JBL-YJLHS</v>
          </cell>
        </row>
        <row r="980">
          <cell r="A980" t="str">
            <v>JBL-YJLHSG0XXL</v>
          </cell>
          <cell r="B980" t="str">
            <v>JBL-YJLHS</v>
          </cell>
        </row>
        <row r="981">
          <cell r="A981" t="str">
            <v>JBL-YJLHSK0L</v>
          </cell>
          <cell r="B981" t="str">
            <v>JBL-YJLHS</v>
          </cell>
        </row>
        <row r="982">
          <cell r="A982" t="str">
            <v>JBL-YJLHSK0M</v>
          </cell>
          <cell r="B982" t="str">
            <v>JBL-YJLHS</v>
          </cell>
        </row>
        <row r="983">
          <cell r="A983" t="str">
            <v>JBL-YJLHSK0S</v>
          </cell>
          <cell r="B983" t="str">
            <v>JBL-YJLHS</v>
          </cell>
        </row>
        <row r="984">
          <cell r="A984" t="str">
            <v>JBL-YJLHSK0XL</v>
          </cell>
          <cell r="B984" t="str">
            <v>JBL-YJLHS</v>
          </cell>
        </row>
        <row r="985">
          <cell r="A985" t="str">
            <v>JBL-YJLHSK0XXL</v>
          </cell>
          <cell r="B985" t="str">
            <v>JBL-YJLHS</v>
          </cell>
        </row>
        <row r="986">
          <cell r="A986" t="str">
            <v>JBL-YJMHLHLL</v>
          </cell>
          <cell r="B986" t="str">
            <v>JBL-YJLHS</v>
          </cell>
        </row>
        <row r="987">
          <cell r="A987" t="str">
            <v>JBL-YJMHLHLM</v>
          </cell>
          <cell r="B987" t="str">
            <v>JBL-YJLHS</v>
          </cell>
        </row>
        <row r="988">
          <cell r="A988" t="str">
            <v>JBL-YJMHLHLS</v>
          </cell>
          <cell r="B988" t="str">
            <v>JBL-YJLHS</v>
          </cell>
        </row>
        <row r="989">
          <cell r="A989" t="str">
            <v>JBL-YJMHLHLXL</v>
          </cell>
          <cell r="B989" t="str">
            <v>JBL-YJMHL</v>
          </cell>
        </row>
        <row r="990">
          <cell r="A990" t="str">
            <v>JBL-YJMHLHLXXL</v>
          </cell>
          <cell r="B990" t="str">
            <v>JBL-YJMHL</v>
          </cell>
        </row>
        <row r="991">
          <cell r="A991" t="str">
            <v>JBL-YJMHLMHL</v>
          </cell>
          <cell r="B991" t="str">
            <v>JBL-YJMHL</v>
          </cell>
        </row>
        <row r="992">
          <cell r="A992" t="str">
            <v>JBL-YJMHLMHM</v>
          </cell>
          <cell r="B992" t="str">
            <v>JBL-YJMHL</v>
          </cell>
        </row>
        <row r="993">
          <cell r="A993" t="str">
            <v>JBL-YJMHLMHS</v>
          </cell>
          <cell r="B993" t="str">
            <v>JBL-YJMHL</v>
          </cell>
        </row>
        <row r="994">
          <cell r="A994" t="str">
            <v>JBL-YJMHLMHXL</v>
          </cell>
          <cell r="B994" t="str">
            <v>JBL-YJMHL</v>
          </cell>
        </row>
        <row r="995">
          <cell r="A995" t="str">
            <v>JBL-YJMHLMHXXL</v>
          </cell>
          <cell r="B995" t="str">
            <v>JBL-YJMHL</v>
          </cell>
        </row>
        <row r="996">
          <cell r="A996" t="str">
            <v>JBL-YJZLSB0L</v>
          </cell>
          <cell r="B996" t="str">
            <v>JBL-YJMHL</v>
          </cell>
        </row>
        <row r="997">
          <cell r="A997" t="str">
            <v>JBL-YJZLSB0M</v>
          </cell>
          <cell r="B997" t="str">
            <v>JBL-YJMHL</v>
          </cell>
        </row>
        <row r="998">
          <cell r="A998" t="str">
            <v>JBL-YJZLSB0S</v>
          </cell>
          <cell r="B998" t="str">
            <v>JBL-YJMHL</v>
          </cell>
        </row>
        <row r="999">
          <cell r="A999" t="str">
            <v>JBL-YJZLSB0XL</v>
          </cell>
          <cell r="B999" t="str">
            <v>JBL-YJZLS</v>
          </cell>
        </row>
        <row r="1000">
          <cell r="A1000" t="str">
            <v>JBL-YJZLSB0XXL</v>
          </cell>
          <cell r="B1000" t="str">
            <v>JBL-YJZLS</v>
          </cell>
        </row>
        <row r="1001">
          <cell r="A1001" t="str">
            <v>JBL-YJZLSP0L</v>
          </cell>
          <cell r="B1001" t="str">
            <v>JBL-YJZLS</v>
          </cell>
        </row>
        <row r="1002">
          <cell r="A1002" t="str">
            <v>JBL-YJZLSP0M</v>
          </cell>
          <cell r="B1002" t="str">
            <v>JBL-YJZLS</v>
          </cell>
        </row>
        <row r="1003">
          <cell r="A1003" t="str">
            <v>JBL-YJZLSP0S</v>
          </cell>
          <cell r="B1003" t="str">
            <v>JBL-YJZLS</v>
          </cell>
        </row>
        <row r="1004">
          <cell r="A1004" t="str">
            <v>JBL-YJZLSP0XL</v>
          </cell>
          <cell r="B1004" t="str">
            <v>JBL-YJZLS</v>
          </cell>
        </row>
        <row r="1005">
          <cell r="A1005" t="str">
            <v>JBL-YJZLSP0XXL</v>
          </cell>
          <cell r="B1005" t="str">
            <v>JBL-YJZLS</v>
          </cell>
        </row>
        <row r="1006">
          <cell r="A1006" t="str">
            <v>JMXFLLL</v>
          </cell>
          <cell r="B1006" t="str">
            <v>JBL-YJZLS</v>
          </cell>
        </row>
        <row r="1007">
          <cell r="A1007" t="str">
            <v>JMXFLLM</v>
          </cell>
          <cell r="B1007" t="str">
            <v>JBL-YJZLS</v>
          </cell>
        </row>
        <row r="1008">
          <cell r="A1008" t="str">
            <v>JMXFLLS</v>
          </cell>
          <cell r="B1008" t="str">
            <v>JBL-YJZLS</v>
          </cell>
        </row>
        <row r="1009">
          <cell r="A1009" t="str">
            <v>JMXFMFSL</v>
          </cell>
          <cell r="B1009" t="str">
            <v>JMXF</v>
          </cell>
        </row>
        <row r="1010">
          <cell r="A1010" t="str">
            <v>JMXFMFSM</v>
          </cell>
          <cell r="B1010" t="str">
            <v>JMXF</v>
          </cell>
        </row>
        <row r="1011">
          <cell r="A1011" t="str">
            <v>JMXFMFSS</v>
          </cell>
          <cell r="B1011" t="str">
            <v>JMXF</v>
          </cell>
        </row>
        <row r="1012">
          <cell r="A1012" t="str">
            <v>JMXFQZL</v>
          </cell>
          <cell r="B1012" t="str">
            <v>JMXF</v>
          </cell>
        </row>
        <row r="1013">
          <cell r="A1013" t="str">
            <v>JMXFQZM</v>
          </cell>
          <cell r="B1013" t="str">
            <v>JMXF</v>
          </cell>
        </row>
        <row r="1014">
          <cell r="A1014" t="str">
            <v>JMXFQZS</v>
          </cell>
          <cell r="B1014" t="str">
            <v>JMXF</v>
          </cell>
        </row>
        <row r="1015">
          <cell r="A1015" t="str">
            <v>JMXFSHL</v>
          </cell>
          <cell r="B1015" t="str">
            <v>JMXF</v>
          </cell>
        </row>
        <row r="1016">
          <cell r="A1016" t="str">
            <v>JMXFSHM</v>
          </cell>
          <cell r="B1016" t="str">
            <v>JMXF</v>
          </cell>
        </row>
        <row r="1017">
          <cell r="A1017" t="str">
            <v>JMXFSHS</v>
          </cell>
          <cell r="B1017" t="str">
            <v>JMXF</v>
          </cell>
        </row>
        <row r="1018">
          <cell r="A1018" t="str">
            <v>KJBLYH0</v>
          </cell>
          <cell r="B1018" t="str">
            <v>JMXF</v>
          </cell>
        </row>
        <row r="1019">
          <cell r="A1019" t="str">
            <v>KJBLYH1</v>
          </cell>
          <cell r="B1019" t="str">
            <v>JMXF</v>
          </cell>
        </row>
        <row r="1020">
          <cell r="A1020" t="str">
            <v>KJBLYH2</v>
          </cell>
          <cell r="B1020" t="str">
            <v>JMXF</v>
          </cell>
        </row>
        <row r="1021">
          <cell r="A1021" t="str">
            <v>KJBLYH3</v>
          </cell>
          <cell r="B1021" t="str">
            <v>KJBLYH</v>
          </cell>
        </row>
        <row r="1022">
          <cell r="A1022" t="str">
            <v>KJBLYH4</v>
          </cell>
          <cell r="B1022" t="str">
            <v>KJBLYH</v>
          </cell>
        </row>
        <row r="1023">
          <cell r="A1023" t="str">
            <v>KJBLYH5</v>
          </cell>
          <cell r="B1023" t="str">
            <v>KJBLYH</v>
          </cell>
        </row>
        <row r="1024">
          <cell r="A1024" t="str">
            <v>KJBLYH6</v>
          </cell>
          <cell r="B1024" t="str">
            <v>KJBLYH</v>
          </cell>
        </row>
        <row r="1025">
          <cell r="A1025" t="str">
            <v>KJBLYH7</v>
          </cell>
          <cell r="B1025" t="str">
            <v>KJBLYH</v>
          </cell>
        </row>
        <row r="1026">
          <cell r="A1026" t="str">
            <v>KJBLYH8</v>
          </cell>
          <cell r="B1026" t="str">
            <v>KJBLYH</v>
          </cell>
        </row>
        <row r="1027">
          <cell r="A1027" t="str">
            <v>KJBLYH9</v>
          </cell>
          <cell r="B1027" t="str">
            <v>KJBLYH</v>
          </cell>
        </row>
        <row r="1028">
          <cell r="A1028" t="str">
            <v>KLDYKQS2XL</v>
          </cell>
          <cell r="B1028" t="str">
            <v>KJBLYH</v>
          </cell>
        </row>
        <row r="1029">
          <cell r="A1029" t="str">
            <v>KLDYKQS3XL</v>
          </cell>
          <cell r="B1029" t="str">
            <v>KJBLYH</v>
          </cell>
        </row>
        <row r="1030">
          <cell r="A1030" t="str">
            <v>KLDYKQS4XL</v>
          </cell>
          <cell r="B1030" t="str">
            <v>KJBLYH</v>
          </cell>
        </row>
        <row r="1031">
          <cell r="A1031" t="str">
            <v>KLDYKQSL</v>
          </cell>
          <cell r="B1031" t="str">
            <v>KLDY</v>
          </cell>
        </row>
        <row r="1032">
          <cell r="A1032" t="str">
            <v>KLDYKQSM</v>
          </cell>
          <cell r="B1032" t="str">
            <v>KLDY</v>
          </cell>
        </row>
        <row r="1033">
          <cell r="A1033" t="str">
            <v>KLDYKQSXL</v>
          </cell>
          <cell r="B1033" t="str">
            <v>KLDY</v>
          </cell>
        </row>
        <row r="1034">
          <cell r="A1034" t="str">
            <v>KLDYQHS2XL</v>
          </cell>
          <cell r="B1034" t="str">
            <v>KLDY</v>
          </cell>
        </row>
        <row r="1035">
          <cell r="A1035" t="str">
            <v>KLDYQHS3XL</v>
          </cell>
          <cell r="B1035" t="str">
            <v>KLDY</v>
          </cell>
        </row>
        <row r="1036">
          <cell r="A1036" t="str">
            <v>KLDYQHS4XL</v>
          </cell>
          <cell r="B1036" t="str">
            <v>KLDY</v>
          </cell>
        </row>
        <row r="1037">
          <cell r="A1037" t="str">
            <v>KLDYQHSL</v>
          </cell>
          <cell r="B1037" t="str">
            <v>KLDY</v>
          </cell>
        </row>
        <row r="1038">
          <cell r="A1038" t="str">
            <v>KLDYQHSM</v>
          </cell>
          <cell r="B1038" t="str">
            <v>KLDY</v>
          </cell>
        </row>
        <row r="1039">
          <cell r="A1039" t="str">
            <v>KLDYQHSXL</v>
          </cell>
          <cell r="B1039" t="str">
            <v>KLDY</v>
          </cell>
        </row>
        <row r="1040">
          <cell r="A1040" t="str">
            <v>KLDYQL2XL</v>
          </cell>
          <cell r="B1040" t="str">
            <v>KLDY</v>
          </cell>
        </row>
        <row r="1041">
          <cell r="A1041" t="str">
            <v>KLDYQL3XL</v>
          </cell>
          <cell r="B1041" t="str">
            <v>KLDY</v>
          </cell>
        </row>
        <row r="1042">
          <cell r="A1042" t="str">
            <v>KLDYQL4XL</v>
          </cell>
          <cell r="B1042" t="str">
            <v>KLDY</v>
          </cell>
        </row>
        <row r="1043">
          <cell r="A1043" t="str">
            <v>KLDYQLL</v>
          </cell>
          <cell r="B1043" t="str">
            <v>KLDY</v>
          </cell>
        </row>
        <row r="1044">
          <cell r="A1044" t="str">
            <v>KLDYQLM</v>
          </cell>
          <cell r="B1044" t="str">
            <v>KLDY</v>
          </cell>
        </row>
        <row r="1045">
          <cell r="A1045" t="str">
            <v>KLDYQLS2XL</v>
          </cell>
          <cell r="B1045" t="str">
            <v>KLDY</v>
          </cell>
        </row>
        <row r="1046">
          <cell r="A1046" t="str">
            <v>KLDYQLS3XL</v>
          </cell>
          <cell r="B1046" t="str">
            <v>KLDY</v>
          </cell>
        </row>
        <row r="1047">
          <cell r="A1047" t="str">
            <v>KLDYQLS4XL</v>
          </cell>
          <cell r="B1047" t="str">
            <v>KLDY</v>
          </cell>
        </row>
        <row r="1048">
          <cell r="A1048" t="str">
            <v>KLDYQLSL</v>
          </cell>
          <cell r="B1048" t="str">
            <v>KLDY</v>
          </cell>
        </row>
        <row r="1049">
          <cell r="A1049" t="str">
            <v>KLDYQLSM</v>
          </cell>
          <cell r="B1049" t="str">
            <v>KLDY</v>
          </cell>
        </row>
        <row r="1050">
          <cell r="A1050" t="str">
            <v>KLDYQLSXL</v>
          </cell>
          <cell r="B1050" t="str">
            <v>KLDY</v>
          </cell>
        </row>
        <row r="1051">
          <cell r="A1051" t="str">
            <v>KLDYQLXL</v>
          </cell>
          <cell r="B1051" t="str">
            <v>KLDY</v>
          </cell>
        </row>
        <row r="1052">
          <cell r="A1052" t="str">
            <v>KLDYSH2XL</v>
          </cell>
          <cell r="B1052" t="str">
            <v>KLDY</v>
          </cell>
        </row>
        <row r="1053">
          <cell r="A1053" t="str">
            <v>KLDYSH3XL</v>
          </cell>
          <cell r="B1053" t="str">
            <v>KLDY</v>
          </cell>
        </row>
        <row r="1054">
          <cell r="A1054" t="str">
            <v>KLDYSH4XL</v>
          </cell>
          <cell r="B1054" t="str">
            <v>KLDY</v>
          </cell>
        </row>
        <row r="1055">
          <cell r="A1055" t="str">
            <v>KLDYSHL</v>
          </cell>
          <cell r="B1055" t="str">
            <v>KLDY</v>
          </cell>
        </row>
        <row r="1056">
          <cell r="A1056" t="str">
            <v>KLDYSHM</v>
          </cell>
          <cell r="B1056" t="str">
            <v>KLDY</v>
          </cell>
        </row>
        <row r="1057">
          <cell r="A1057" t="str">
            <v>KLDYSHXL</v>
          </cell>
          <cell r="B1057" t="str">
            <v>KLDY</v>
          </cell>
        </row>
        <row r="1058">
          <cell r="A1058" t="str">
            <v>KTK85156BLACK</v>
          </cell>
          <cell r="B1058" t="str">
            <v>KLDY</v>
          </cell>
        </row>
        <row r="1059">
          <cell r="A1059" t="str">
            <v>KTK85156COFFEE</v>
          </cell>
          <cell r="B1059" t="str">
            <v>KLDY</v>
          </cell>
        </row>
        <row r="1060">
          <cell r="A1060" t="str">
            <v>KTK85156GREEN</v>
          </cell>
          <cell r="B1060" t="str">
            <v>KLDY</v>
          </cell>
        </row>
        <row r="1061">
          <cell r="A1061" t="str">
            <v>KTK85156KHAKI</v>
          </cell>
          <cell r="B1061" t="str">
            <v>KTK85156</v>
          </cell>
        </row>
        <row r="1062">
          <cell r="A1062" t="str">
            <v>KTK85156WHITE</v>
          </cell>
          <cell r="B1062" t="str">
            <v>KTK85156</v>
          </cell>
        </row>
        <row r="1063">
          <cell r="A1063" t="str">
            <v>KTKBZLPJS-1B0L</v>
          </cell>
          <cell r="B1063" t="str">
            <v>KTK85156</v>
          </cell>
        </row>
        <row r="1064">
          <cell r="A1064" t="str">
            <v>KTKBZLPJS-1B0M</v>
          </cell>
          <cell r="B1064" t="str">
            <v>KTK85156</v>
          </cell>
        </row>
        <row r="1065">
          <cell r="A1065" t="str">
            <v>KTKBZLPJS-1B0XL</v>
          </cell>
          <cell r="B1065" t="str">
            <v>KTK85156</v>
          </cell>
        </row>
        <row r="1066">
          <cell r="A1066" t="str">
            <v>KTKBZLPJS-1B0XXL</v>
          </cell>
          <cell r="B1066" t="str">
            <v>KTKBZLPJS</v>
          </cell>
        </row>
        <row r="1067">
          <cell r="A1067" t="str">
            <v>KTKBZLPJS-1B0XXXL</v>
          </cell>
          <cell r="B1067" t="str">
            <v>KTKBZLPJS</v>
          </cell>
        </row>
        <row r="1068">
          <cell r="A1068" t="str">
            <v>KTKBZLPJS-1KQSL</v>
          </cell>
          <cell r="B1068" t="str">
            <v>KTKBZLPJS</v>
          </cell>
        </row>
        <row r="1069">
          <cell r="A1069" t="str">
            <v>KTKBZLPJS-1KQSM</v>
          </cell>
          <cell r="B1069" t="str">
            <v>KTKBZLPJS</v>
          </cell>
        </row>
        <row r="1070">
          <cell r="A1070" t="str">
            <v>KTKBZLPJS-1KQSXL</v>
          </cell>
          <cell r="B1070" t="str">
            <v>KTKBZLPJS</v>
          </cell>
        </row>
        <row r="1071">
          <cell r="A1071" t="str">
            <v>KTKBZLPJS-1KQSXXL</v>
          </cell>
          <cell r="B1071" t="str">
            <v>KTKBZLPJS</v>
          </cell>
        </row>
        <row r="1072">
          <cell r="A1072" t="str">
            <v>KTKBZLPJS-1KQSXXXL</v>
          </cell>
          <cell r="B1072" t="str">
            <v>KTKBZLPJS</v>
          </cell>
        </row>
        <row r="1073">
          <cell r="A1073" t="str">
            <v>KTKBZLPJS-1ZLL</v>
          </cell>
          <cell r="B1073" t="str">
            <v>KTKBZLPJS</v>
          </cell>
        </row>
        <row r="1074">
          <cell r="A1074" t="str">
            <v>KTKBZLPJS-1ZLM</v>
          </cell>
          <cell r="B1074" t="str">
            <v>KTKBZLPJS</v>
          </cell>
        </row>
        <row r="1075">
          <cell r="A1075" t="str">
            <v>KTKBZLPJS-1ZLXL</v>
          </cell>
          <cell r="B1075" t="str">
            <v>KTKBZLPJS</v>
          </cell>
        </row>
        <row r="1076">
          <cell r="A1076" t="str">
            <v>KTKBZLPJS-1ZLXXL</v>
          </cell>
          <cell r="B1076" t="str">
            <v>KTKBZLPJS</v>
          </cell>
        </row>
        <row r="1077">
          <cell r="A1077" t="str">
            <v>KTKBZLPJS-1ZLXXXL</v>
          </cell>
          <cell r="B1077" t="str">
            <v>KTKBZLPJS</v>
          </cell>
        </row>
        <row r="1078">
          <cell r="A1078" t="str">
            <v>KTKBZLPJS-2MSL</v>
          </cell>
          <cell r="B1078" t="str">
            <v>KTKBZLPJS</v>
          </cell>
        </row>
        <row r="1079">
          <cell r="A1079" t="str">
            <v>KTKBZLPJS-2MSM</v>
          </cell>
          <cell r="B1079" t="str">
            <v>KTKBZLPJS</v>
          </cell>
        </row>
        <row r="1080">
          <cell r="A1080" t="str">
            <v>KTKBZLPJS-2MSXL</v>
          </cell>
          <cell r="B1080" t="str">
            <v>KTKBZLPJS</v>
          </cell>
        </row>
        <row r="1081">
          <cell r="A1081" t="str">
            <v>KTKBZLPJS-2MSXXL</v>
          </cell>
          <cell r="B1081" t="str">
            <v>KTKBZLPJS</v>
          </cell>
        </row>
        <row r="1082">
          <cell r="A1082" t="str">
            <v>KTKBZLPJS-2MSXXXL</v>
          </cell>
          <cell r="B1082" t="str">
            <v>KTKBZLPJS</v>
          </cell>
        </row>
        <row r="1083">
          <cell r="A1083" t="str">
            <v>KTKBZLPJS-2R0L</v>
          </cell>
          <cell r="B1083" t="str">
            <v>KTKBZLPJS</v>
          </cell>
        </row>
        <row r="1084">
          <cell r="A1084" t="str">
            <v>KTKBZLPJS-2R0M</v>
          </cell>
          <cell r="B1084" t="str">
            <v>KTKBZLPJS</v>
          </cell>
        </row>
        <row r="1085">
          <cell r="A1085" t="str">
            <v>KTKBZLPJS-2R0XL</v>
          </cell>
          <cell r="B1085" t="str">
            <v>KTKBZLPJS</v>
          </cell>
        </row>
        <row r="1086">
          <cell r="A1086" t="str">
            <v>KTKBZLPJS-2R0XXL</v>
          </cell>
          <cell r="B1086" t="str">
            <v>KTKBZLPJS</v>
          </cell>
        </row>
        <row r="1087">
          <cell r="A1087" t="str">
            <v>KTKBZLPJS-2R0XXXL</v>
          </cell>
          <cell r="B1087" t="str">
            <v>KTKBZLPJS</v>
          </cell>
        </row>
        <row r="1088">
          <cell r="A1088" t="str">
            <v>KTKBZLPJS-2R5L</v>
          </cell>
          <cell r="B1088" t="str">
            <v>KTKBZLPJS</v>
          </cell>
        </row>
        <row r="1089">
          <cell r="A1089" t="str">
            <v>KTKBZLPJS-2R5M</v>
          </cell>
          <cell r="B1089" t="str">
            <v>KTKBZLPJS</v>
          </cell>
        </row>
        <row r="1090">
          <cell r="A1090" t="str">
            <v>KTKBZLPJS-2R5XL</v>
          </cell>
          <cell r="B1090" t="str">
            <v>KTKBZLPJS</v>
          </cell>
        </row>
        <row r="1091">
          <cell r="A1091" t="str">
            <v>KTKBZLPJS-2R5XXL</v>
          </cell>
          <cell r="B1091" t="str">
            <v>KTKBZLPJS</v>
          </cell>
        </row>
        <row r="1092">
          <cell r="A1092" t="str">
            <v>KTKBZLPJS-2R5XXXL</v>
          </cell>
          <cell r="B1092" t="str">
            <v>KTKBZLPJS</v>
          </cell>
        </row>
        <row r="1093">
          <cell r="A1093" t="str">
            <v>KTKBZLPJSK0L</v>
          </cell>
          <cell r="B1093" t="str">
            <v>KTKBZLPJS</v>
          </cell>
        </row>
        <row r="1094">
          <cell r="A1094" t="str">
            <v>KTKBZLPJSK0M</v>
          </cell>
          <cell r="B1094" t="str">
            <v>KTKBZLPJS</v>
          </cell>
        </row>
        <row r="1095">
          <cell r="A1095" t="str">
            <v>KTKBZLPJSK0XL</v>
          </cell>
          <cell r="B1095" t="str">
            <v>KTKBZLPJS</v>
          </cell>
        </row>
        <row r="1096">
          <cell r="A1096" t="str">
            <v>KTKBZLPJSK0XXL</v>
          </cell>
          <cell r="B1096" t="str">
            <v>KTKBZLPJS</v>
          </cell>
        </row>
        <row r="1097">
          <cell r="A1097" t="str">
            <v>KTKBZLPJSK0XXXL</v>
          </cell>
          <cell r="B1097" t="str">
            <v>KTKBZLPJS</v>
          </cell>
        </row>
        <row r="1098">
          <cell r="A1098" t="str">
            <v>KTKBZLPJSR5L</v>
          </cell>
          <cell r="B1098" t="str">
            <v>KTKBZLPJS</v>
          </cell>
        </row>
        <row r="1099">
          <cell r="A1099" t="str">
            <v>KTKBZLPJSR5M</v>
          </cell>
          <cell r="B1099" t="str">
            <v>KTKBZLPJS</v>
          </cell>
        </row>
        <row r="1100">
          <cell r="A1100" t="str">
            <v>KTKBZLPJSR5XL</v>
          </cell>
          <cell r="B1100" t="str">
            <v>KTKBZLPJS</v>
          </cell>
        </row>
        <row r="1101">
          <cell r="A1101" t="str">
            <v>KTKBZLPJSR5XXL</v>
          </cell>
          <cell r="B1101" t="str">
            <v>KTKBZLPJS</v>
          </cell>
        </row>
        <row r="1102">
          <cell r="A1102" t="str">
            <v>KTKBZLPJSR5XXXL</v>
          </cell>
          <cell r="B1102" t="str">
            <v>KTKBZLPJS</v>
          </cell>
        </row>
        <row r="1103">
          <cell r="A1103" t="str">
            <v>KTKBZLPJSW0L</v>
          </cell>
          <cell r="B1103" t="str">
            <v>KTKBZLPJS</v>
          </cell>
        </row>
        <row r="1104">
          <cell r="A1104" t="str">
            <v>KTKBZLPJSW0M</v>
          </cell>
          <cell r="B1104" t="str">
            <v>KTKBZLPJS</v>
          </cell>
        </row>
        <row r="1105">
          <cell r="A1105" t="str">
            <v>KTKBZLPJSW0XL</v>
          </cell>
          <cell r="B1105" t="str">
            <v>KTKBZLPJS</v>
          </cell>
        </row>
        <row r="1106">
          <cell r="A1106" t="str">
            <v>KTKBZLPJSW0XXL</v>
          </cell>
          <cell r="B1106" t="str">
            <v>KTKBZLPJS</v>
          </cell>
        </row>
        <row r="1107">
          <cell r="A1107" t="str">
            <v>KTKBZLPJSW0XXXL</v>
          </cell>
          <cell r="B1107" t="str">
            <v>KTKBZLPJS</v>
          </cell>
        </row>
        <row r="1108">
          <cell r="A1108" t="str">
            <v>KTKBZLPMMB0L</v>
          </cell>
          <cell r="B1108" t="str">
            <v>KTKBZLPJS</v>
          </cell>
        </row>
        <row r="1109">
          <cell r="A1109" t="str">
            <v>KTKBZLPMMB0M</v>
          </cell>
          <cell r="B1109" t="str">
            <v>KTKBZLPJS</v>
          </cell>
        </row>
        <row r="1110">
          <cell r="A1110" t="str">
            <v>KTKBZLPMMB0XL</v>
          </cell>
          <cell r="B1110" t="str">
            <v>KTKBZLPJS</v>
          </cell>
        </row>
        <row r="1111">
          <cell r="A1111" t="str">
            <v>KTKBZLPMMK0L</v>
          </cell>
          <cell r="B1111" t="str">
            <v>KTKBZLPMM</v>
          </cell>
        </row>
        <row r="1112">
          <cell r="A1112" t="str">
            <v>KTKBZLPMMK0M</v>
          </cell>
          <cell r="B1112" t="str">
            <v>KTKBZLPMM</v>
          </cell>
        </row>
        <row r="1113">
          <cell r="A1113" t="str">
            <v>KTKBZLPMMK0XL</v>
          </cell>
          <cell r="B1113" t="str">
            <v>KTKBZLPMM</v>
          </cell>
        </row>
        <row r="1114">
          <cell r="A1114" t="str">
            <v>KTKBZLPMMKFL</v>
          </cell>
          <cell r="B1114" t="str">
            <v>KTKBZLPMM</v>
          </cell>
        </row>
        <row r="1115">
          <cell r="A1115" t="str">
            <v>KTKBZLPMMKFM</v>
          </cell>
          <cell r="B1115" t="str">
            <v>KTKBZLPMM</v>
          </cell>
        </row>
        <row r="1116">
          <cell r="A1116" t="str">
            <v>KTKBZLPMMKFXL</v>
          </cell>
          <cell r="B1116" t="str">
            <v>KTKBZLPMM</v>
          </cell>
        </row>
        <row r="1117">
          <cell r="A1117" t="str">
            <v>KTKBZLPMMMHL</v>
          </cell>
          <cell r="B1117" t="str">
            <v>KTKBZLPMM</v>
          </cell>
        </row>
        <row r="1118">
          <cell r="A1118" t="str">
            <v>KTKBZLPMMMHM</v>
          </cell>
          <cell r="B1118" t="str">
            <v>KTKBZLPMM</v>
          </cell>
        </row>
        <row r="1119">
          <cell r="A1119" t="str">
            <v>KTKBZLPMMMHXL</v>
          </cell>
          <cell r="B1119" t="str">
            <v>KTKBZLPMM</v>
          </cell>
        </row>
        <row r="1120">
          <cell r="A1120" t="str">
            <v>KTKBZLPMMR0L</v>
          </cell>
          <cell r="B1120" t="str">
            <v>KTKBZLPMM</v>
          </cell>
        </row>
        <row r="1121">
          <cell r="A1121" t="str">
            <v>KTKBZLPMMR0M</v>
          </cell>
          <cell r="B1121" t="str">
            <v>KTKBZLPMM</v>
          </cell>
        </row>
        <row r="1122">
          <cell r="A1122" t="str">
            <v>KTKBZLPMMR0XL</v>
          </cell>
          <cell r="B1122" t="str">
            <v>KTKBZLPMM</v>
          </cell>
        </row>
        <row r="1123">
          <cell r="A1123" t="str">
            <v>KTKBZLPMMR5L</v>
          </cell>
          <cell r="B1123" t="str">
            <v>KTKBZLPMM</v>
          </cell>
        </row>
        <row r="1124">
          <cell r="A1124" t="str">
            <v>KTKBZLPMMR5M</v>
          </cell>
          <cell r="B1124" t="str">
            <v>KTKBZLPMM</v>
          </cell>
        </row>
        <row r="1125">
          <cell r="A1125" t="str">
            <v>KTKBZLPMMR5XL</v>
          </cell>
          <cell r="B1125" t="str">
            <v>KTKBZLPMM</v>
          </cell>
        </row>
        <row r="1126">
          <cell r="A1126" t="str">
            <v>KTKBZLPMMW0L</v>
          </cell>
          <cell r="B1126" t="str">
            <v>KTKBZLPMM</v>
          </cell>
        </row>
        <row r="1127">
          <cell r="A1127" t="str">
            <v>KTKBZLPMMW0M</v>
          </cell>
          <cell r="B1127" t="str">
            <v>KTKBZLPMM</v>
          </cell>
        </row>
        <row r="1128">
          <cell r="A1128" t="str">
            <v>KTKBZLPMMW0XL</v>
          </cell>
          <cell r="B1128" t="str">
            <v>KTKBZLPMM</v>
          </cell>
        </row>
        <row r="1129">
          <cell r="A1129" t="str">
            <v>KTKFFWMF1</v>
          </cell>
          <cell r="B1129" t="str">
            <v>KTKBZLPMM</v>
          </cell>
        </row>
        <row r="1130">
          <cell r="A1130" t="str">
            <v>KTKFFWMF2</v>
          </cell>
          <cell r="B1130" t="str">
            <v>KTKBZLPMM</v>
          </cell>
        </row>
        <row r="1131">
          <cell r="A1131" t="str">
            <v>KTKFFWMF3</v>
          </cell>
          <cell r="B1131" t="str">
            <v>KTKBZLPMM</v>
          </cell>
        </row>
        <row r="1132">
          <cell r="A1132" t="str">
            <v>KTKFFWMF4</v>
          </cell>
          <cell r="B1132" t="str">
            <v>FFWMYH</v>
          </cell>
        </row>
        <row r="1133">
          <cell r="A1133" t="str">
            <v>KTKFFWMF5</v>
          </cell>
          <cell r="B1133" t="str">
            <v>FFWMYH</v>
          </cell>
        </row>
        <row r="1134">
          <cell r="A1134" t="str">
            <v>KTKFFWMF6</v>
          </cell>
          <cell r="B1134" t="str">
            <v>FFWMYH</v>
          </cell>
        </row>
        <row r="1135">
          <cell r="A1135" t="str">
            <v>KTKFFWMF7</v>
          </cell>
          <cell r="B1135" t="str">
            <v>FFWMYH</v>
          </cell>
        </row>
        <row r="1136">
          <cell r="A1136" t="str">
            <v>KTKFFWMF8</v>
          </cell>
          <cell r="B1136" t="str">
            <v>FFWMYH</v>
          </cell>
        </row>
        <row r="1137">
          <cell r="A1137" t="str">
            <v>KTKHLKYDE0M</v>
          </cell>
          <cell r="B1137" t="str">
            <v>FFWMYH</v>
          </cell>
        </row>
        <row r="1138">
          <cell r="A1138" t="str">
            <v>KTKHLKYDE0XL</v>
          </cell>
          <cell r="B1138" t="str">
            <v>FFWMYH</v>
          </cell>
        </row>
        <row r="1139">
          <cell r="A1139" t="str">
            <v>KTKHLKYDE0XXL</v>
          </cell>
          <cell r="B1139" t="str">
            <v>FFWMYH</v>
          </cell>
        </row>
        <row r="1140">
          <cell r="A1140" t="str">
            <v>KTKHLKYDE0XXXL</v>
          </cell>
          <cell r="B1140" t="str">
            <v>KTKHLKY</v>
          </cell>
        </row>
        <row r="1141">
          <cell r="A1141" t="str">
            <v>KTKHLKYDK0L</v>
          </cell>
          <cell r="B1141" t="str">
            <v>KTKHLKY</v>
          </cell>
        </row>
        <row r="1142">
          <cell r="A1142" t="str">
            <v>KTKHLKYDK0M</v>
          </cell>
          <cell r="B1142" t="str">
            <v>KTKHLKY</v>
          </cell>
        </row>
        <row r="1143">
          <cell r="A1143" t="str">
            <v>KTKHLKYDK0XL</v>
          </cell>
          <cell r="B1143" t="str">
            <v>KTKHLKY</v>
          </cell>
        </row>
        <row r="1144">
          <cell r="A1144" t="str">
            <v>KTKHLKYDK0XXL</v>
          </cell>
          <cell r="B1144" t="str">
            <v>KTKHLKY</v>
          </cell>
        </row>
        <row r="1145">
          <cell r="A1145" t="str">
            <v>KTKHLKYDK0XXXL</v>
          </cell>
          <cell r="B1145" t="str">
            <v>KTKHLKY</v>
          </cell>
        </row>
        <row r="1146">
          <cell r="A1146" t="str">
            <v>KTKHLKYDMHL</v>
          </cell>
          <cell r="B1146" t="str">
            <v>KTKHLKY</v>
          </cell>
        </row>
        <row r="1147">
          <cell r="A1147" t="str">
            <v>KTKHLKYDMHM</v>
          </cell>
          <cell r="B1147" t="str">
            <v>KTKHLKY</v>
          </cell>
        </row>
        <row r="1148">
          <cell r="A1148" t="str">
            <v>KTKHLKYDMHXL</v>
          </cell>
          <cell r="B1148" t="str">
            <v>KTKHLKY</v>
          </cell>
        </row>
        <row r="1149">
          <cell r="A1149" t="str">
            <v>KTKHLKYDMHXXL</v>
          </cell>
          <cell r="B1149" t="str">
            <v>KTKHLKY</v>
          </cell>
        </row>
        <row r="1150">
          <cell r="A1150" t="str">
            <v>KTKHLKYDMHXXXL</v>
          </cell>
          <cell r="B1150" t="str">
            <v>KTKHLKY</v>
          </cell>
        </row>
        <row r="1151">
          <cell r="A1151" t="str">
            <v>KTKHLKYDR0L</v>
          </cell>
          <cell r="B1151" t="str">
            <v>KTKHLKY</v>
          </cell>
        </row>
        <row r="1152">
          <cell r="A1152" t="str">
            <v>KTKHLKYDR0M</v>
          </cell>
          <cell r="B1152" t="str">
            <v>KTKHLKY</v>
          </cell>
        </row>
        <row r="1153">
          <cell r="A1153" t="str">
            <v>KTKHLKYDR0XL</v>
          </cell>
          <cell r="B1153" t="str">
            <v>KTKHLKY</v>
          </cell>
        </row>
        <row r="1154">
          <cell r="A1154" t="str">
            <v>KTKHLKYDR0XXL</v>
          </cell>
          <cell r="B1154" t="str">
            <v>KTKHLKY</v>
          </cell>
        </row>
        <row r="1155">
          <cell r="A1155" t="str">
            <v>KTKHLKYDR0XXXL</v>
          </cell>
          <cell r="B1155" t="str">
            <v>KTKHLKY</v>
          </cell>
        </row>
        <row r="1156">
          <cell r="A1156" t="str">
            <v>KTKHLZMKBLL</v>
          </cell>
          <cell r="B1156" t="str">
            <v>KTKHLKY</v>
          </cell>
        </row>
        <row r="1157">
          <cell r="A1157" t="str">
            <v>KTKHLZMKBLM</v>
          </cell>
          <cell r="B1157" t="str">
            <v>KTKHLKY</v>
          </cell>
        </row>
        <row r="1158">
          <cell r="A1158" t="str">
            <v>KTKHLZMKBLXL</v>
          </cell>
          <cell r="B1158" t="str">
            <v>KTKHLKY</v>
          </cell>
        </row>
        <row r="1159">
          <cell r="A1159" t="str">
            <v>KTKHLZMKBLXXL</v>
          </cell>
          <cell r="B1159" t="str">
            <v>KTKHLZ</v>
          </cell>
        </row>
        <row r="1160">
          <cell r="A1160" t="str">
            <v>KTKHLZMKBLXXXL</v>
          </cell>
          <cell r="B1160" t="str">
            <v>KTKHLZ</v>
          </cell>
        </row>
        <row r="1161">
          <cell r="A1161" t="str">
            <v>KTKHLZMKE0L</v>
          </cell>
          <cell r="B1161" t="str">
            <v>KTKHLZ</v>
          </cell>
        </row>
        <row r="1162">
          <cell r="A1162" t="str">
            <v>KTKHLZMKE0M</v>
          </cell>
          <cell r="B1162" t="str">
            <v>KTKHLZ</v>
          </cell>
        </row>
        <row r="1163">
          <cell r="A1163" t="str">
            <v>KTKHLZMKE0XL</v>
          </cell>
          <cell r="B1163" t="str">
            <v>KTKHLZ</v>
          </cell>
        </row>
        <row r="1164">
          <cell r="A1164" t="str">
            <v>KTKHLZMKE0XXL</v>
          </cell>
          <cell r="B1164" t="str">
            <v>KTKHLZ</v>
          </cell>
        </row>
        <row r="1165">
          <cell r="A1165" t="str">
            <v>KTKHLZMKE0XXXL</v>
          </cell>
          <cell r="B1165" t="str">
            <v>KTKHLZ</v>
          </cell>
        </row>
        <row r="1166">
          <cell r="A1166" t="str">
            <v>KTKHLZMKK0L</v>
          </cell>
          <cell r="B1166" t="str">
            <v>KTKHLZ</v>
          </cell>
        </row>
        <row r="1167">
          <cell r="A1167" t="str">
            <v>KTKHLZMKK0M</v>
          </cell>
          <cell r="B1167" t="str">
            <v>KTKHLZ</v>
          </cell>
        </row>
        <row r="1168">
          <cell r="A1168" t="str">
            <v>KTKHLZMKK0XL</v>
          </cell>
          <cell r="B1168" t="str">
            <v>KTKHLZ</v>
          </cell>
        </row>
        <row r="1169">
          <cell r="A1169" t="str">
            <v>KTKHLZMKK0XXL</v>
          </cell>
          <cell r="B1169" t="str">
            <v>KTKHLZ</v>
          </cell>
        </row>
        <row r="1170">
          <cell r="A1170" t="str">
            <v>KTKHLZMKK0XXXL</v>
          </cell>
          <cell r="B1170" t="str">
            <v>KTKHLZ</v>
          </cell>
        </row>
        <row r="1171">
          <cell r="A1171" t="str">
            <v>KTKHLZMKMHL</v>
          </cell>
          <cell r="B1171" t="str">
            <v>KTKHLZ</v>
          </cell>
        </row>
        <row r="1172">
          <cell r="A1172" t="str">
            <v>KTKHLZMKMHM</v>
          </cell>
          <cell r="B1172" t="str">
            <v>KTKHLZ</v>
          </cell>
        </row>
        <row r="1173">
          <cell r="A1173" t="str">
            <v>KTKHLZMKMHXL</v>
          </cell>
          <cell r="B1173" t="str">
            <v>KTKHLZ</v>
          </cell>
        </row>
        <row r="1174">
          <cell r="A1174" t="str">
            <v>KTKHLZMKMHXXL</v>
          </cell>
          <cell r="B1174" t="str">
            <v>KTKHLZ</v>
          </cell>
        </row>
        <row r="1175">
          <cell r="A1175" t="str">
            <v>KTKHLZMKMHXXXL</v>
          </cell>
          <cell r="B1175" t="str">
            <v>KTKHLZ</v>
          </cell>
        </row>
        <row r="1176">
          <cell r="A1176" t="str">
            <v>KTKHLZMKR0L</v>
          </cell>
          <cell r="B1176" t="str">
            <v>KTKHLZ</v>
          </cell>
        </row>
        <row r="1177">
          <cell r="A1177" t="str">
            <v>KTKHLZMKR0M</v>
          </cell>
          <cell r="B1177" t="str">
            <v>KTKHLZ</v>
          </cell>
        </row>
        <row r="1178">
          <cell r="A1178" t="str">
            <v>KTKHLZMKR0XL</v>
          </cell>
          <cell r="B1178" t="str">
            <v>KTKHLZ</v>
          </cell>
        </row>
        <row r="1179">
          <cell r="A1179" t="str">
            <v>KTKHLZMKR0XXL</v>
          </cell>
          <cell r="B1179" t="str">
            <v>KTKHLZ</v>
          </cell>
        </row>
        <row r="1180">
          <cell r="A1180" t="str">
            <v>KTKHLZMKR0XXXL</v>
          </cell>
          <cell r="B1180" t="str">
            <v>KTKHLZ</v>
          </cell>
        </row>
        <row r="1181">
          <cell r="A1181" t="str">
            <v>KTKJFKMZFB02L</v>
          </cell>
          <cell r="B1181" t="str">
            <v>KTKHLZ</v>
          </cell>
        </row>
        <row r="1182">
          <cell r="A1182" t="str">
            <v>KTKJFKMZFB0L</v>
          </cell>
          <cell r="B1182" t="str">
            <v>KTKHLZ</v>
          </cell>
        </row>
        <row r="1183">
          <cell r="A1183" t="str">
            <v>KTKJFKMZFB0M</v>
          </cell>
          <cell r="B1183" t="str">
            <v>KTKHLZ</v>
          </cell>
        </row>
        <row r="1184">
          <cell r="A1184" t="str">
            <v>KTKJFKMZFB0XL</v>
          </cell>
          <cell r="B1184" t="str">
            <v>KTKJFKM</v>
          </cell>
        </row>
        <row r="1185">
          <cell r="A1185" t="str">
            <v>KTKJFKMZFZQ2L</v>
          </cell>
          <cell r="B1185" t="str">
            <v>KTKJFKM</v>
          </cell>
        </row>
        <row r="1186">
          <cell r="A1186" t="str">
            <v>KTKJFKMZFZQL</v>
          </cell>
          <cell r="B1186" t="str">
            <v>KTKJFKM</v>
          </cell>
        </row>
        <row r="1187">
          <cell r="A1187" t="str">
            <v>KTKJFKMZFZQM</v>
          </cell>
          <cell r="B1187" t="str">
            <v>KTKJFKM</v>
          </cell>
        </row>
        <row r="1188">
          <cell r="A1188" t="str">
            <v>KTKJFKMZFZQXL</v>
          </cell>
          <cell r="B1188" t="str">
            <v>KTKJFKM</v>
          </cell>
        </row>
        <row r="1189">
          <cell r="A1189" t="str">
            <v>KTKNUMBERK0L</v>
          </cell>
          <cell r="B1189" t="str">
            <v>KTKJFKM</v>
          </cell>
        </row>
        <row r="1190">
          <cell r="A1190" t="str">
            <v>KTKNUMBERK0M</v>
          </cell>
          <cell r="B1190" t="str">
            <v>KTKJFKM</v>
          </cell>
        </row>
        <row r="1191">
          <cell r="A1191" t="str">
            <v>KTKNUMBERK0XL</v>
          </cell>
          <cell r="B1191" t="str">
            <v>KTKJFKM</v>
          </cell>
        </row>
        <row r="1192">
          <cell r="A1192" t="str">
            <v>KTKNUMBERW0L</v>
          </cell>
          <cell r="B1192" t="str">
            <v>KTKNUMBER</v>
          </cell>
        </row>
        <row r="1193">
          <cell r="A1193" t="str">
            <v>KTKNUMBERW0M</v>
          </cell>
          <cell r="B1193" t="str">
            <v>KTKNUMBER</v>
          </cell>
        </row>
        <row r="1194">
          <cell r="A1194" t="str">
            <v>KTKNUMBERW0XL</v>
          </cell>
          <cell r="B1194" t="str">
            <v>KTKNUMBER</v>
          </cell>
        </row>
        <row r="1195">
          <cell r="A1195" t="str">
            <v>KTKNUQFKE0L</v>
          </cell>
          <cell r="B1195" t="str">
            <v>KTKNUMBER</v>
          </cell>
        </row>
        <row r="1196">
          <cell r="A1196" t="str">
            <v>KTKNUQFKE0M</v>
          </cell>
          <cell r="B1196" t="str">
            <v>KTKNUMBER</v>
          </cell>
        </row>
        <row r="1197">
          <cell r="A1197" t="str">
            <v>KTKNUQFKE0XL</v>
          </cell>
          <cell r="B1197" t="str">
            <v>KTKNUMBER</v>
          </cell>
        </row>
        <row r="1198">
          <cell r="A1198" t="str">
            <v>KTKNUQFKKQSL</v>
          </cell>
          <cell r="B1198" t="str">
            <v>KTKNUQFK</v>
          </cell>
        </row>
        <row r="1199">
          <cell r="A1199" t="str">
            <v>KTKNUQFKKQSM</v>
          </cell>
          <cell r="B1199" t="str">
            <v>KTKNUQFK</v>
          </cell>
        </row>
        <row r="1200">
          <cell r="A1200" t="str">
            <v>KTKNUQFKKQSXL</v>
          </cell>
          <cell r="B1200" t="str">
            <v>KTKNUQFK</v>
          </cell>
        </row>
        <row r="1201">
          <cell r="A1201" t="str">
            <v>KTKNUQFKW0L</v>
          </cell>
          <cell r="B1201" t="str">
            <v>KTKNUQFK</v>
          </cell>
        </row>
        <row r="1202">
          <cell r="A1202" t="str">
            <v>KTKNUQFKW0M</v>
          </cell>
          <cell r="B1202" t="str">
            <v>KTKNUQFK</v>
          </cell>
        </row>
        <row r="1203">
          <cell r="A1203" t="str">
            <v>KTKNUQFKW0XL</v>
          </cell>
          <cell r="B1203" t="str">
            <v>KTKNUQFK</v>
          </cell>
        </row>
        <row r="1204">
          <cell r="A1204" t="str">
            <v>KTKSTYDBLL</v>
          </cell>
          <cell r="B1204" t="str">
            <v>KTKNUQFK</v>
          </cell>
        </row>
        <row r="1205">
          <cell r="A1205" t="str">
            <v>KTKSTYDBLM</v>
          </cell>
          <cell r="B1205" t="str">
            <v>KTKNUQFK</v>
          </cell>
        </row>
        <row r="1206">
          <cell r="A1206" t="str">
            <v>KTKSTYDBLXL</v>
          </cell>
          <cell r="B1206" t="str">
            <v>KTKNUQFK</v>
          </cell>
        </row>
        <row r="1207">
          <cell r="A1207" t="str">
            <v>KTKSTYDBLXXL</v>
          </cell>
          <cell r="B1207" t="str">
            <v>KTKSTY</v>
          </cell>
        </row>
        <row r="1208">
          <cell r="A1208" t="str">
            <v>KTKSTYDBLXXXL</v>
          </cell>
          <cell r="B1208" t="str">
            <v>KTKSTY</v>
          </cell>
        </row>
        <row r="1209">
          <cell r="A1209" t="str">
            <v>KTKSTYDK0L</v>
          </cell>
          <cell r="B1209" t="str">
            <v>KTKSTY</v>
          </cell>
        </row>
        <row r="1210">
          <cell r="A1210" t="str">
            <v>KTKSTYDK0M</v>
          </cell>
          <cell r="B1210" t="str">
            <v>KTKSTY</v>
          </cell>
        </row>
        <row r="1211">
          <cell r="A1211" t="str">
            <v>KTKSTYDK0XL</v>
          </cell>
          <cell r="B1211" t="str">
            <v>KTKSTY</v>
          </cell>
        </row>
        <row r="1212">
          <cell r="A1212" t="str">
            <v>KTKSTYDK0XXL</v>
          </cell>
          <cell r="B1212" t="str">
            <v>KTKSTY</v>
          </cell>
        </row>
        <row r="1213">
          <cell r="A1213" t="str">
            <v>KTKSTYDK0XXXL</v>
          </cell>
          <cell r="B1213" t="str">
            <v>KTKSTY</v>
          </cell>
        </row>
        <row r="1214">
          <cell r="A1214" t="str">
            <v>KTKSTYDR0M</v>
          </cell>
          <cell r="B1214" t="str">
            <v>KTKSTY</v>
          </cell>
        </row>
        <row r="1215">
          <cell r="A1215" t="str">
            <v>KTKSTYDR0XL</v>
          </cell>
          <cell r="B1215" t="str">
            <v>KTKSTY</v>
          </cell>
        </row>
        <row r="1216">
          <cell r="A1216" t="str">
            <v>KTKSTYDR0XXL</v>
          </cell>
          <cell r="B1216" t="str">
            <v>KTKSTY</v>
          </cell>
        </row>
        <row r="1217">
          <cell r="A1217" t="str">
            <v>KTKSTYDR0XXXL</v>
          </cell>
          <cell r="B1217" t="str">
            <v>KTKSTY</v>
          </cell>
        </row>
        <row r="1218">
          <cell r="A1218" t="str">
            <v>KTKSTYDSLL</v>
          </cell>
          <cell r="B1218" t="str">
            <v>KTKSTY</v>
          </cell>
        </row>
        <row r="1219">
          <cell r="A1219" t="str">
            <v>KTKSTYDSLM</v>
          </cell>
          <cell r="B1219" t="str">
            <v>KTKSTY</v>
          </cell>
        </row>
        <row r="1220">
          <cell r="A1220" t="str">
            <v>KTKSTYDSLXL</v>
          </cell>
          <cell r="B1220" t="str">
            <v>KTKSTY</v>
          </cell>
        </row>
        <row r="1221">
          <cell r="A1221" t="str">
            <v>KTKSTYDSLXXL</v>
          </cell>
          <cell r="B1221" t="str">
            <v>KTKSTY</v>
          </cell>
        </row>
        <row r="1222">
          <cell r="A1222" t="str">
            <v>KTKSTYDSLXXXL</v>
          </cell>
          <cell r="B1222" t="str">
            <v>KTKSTY</v>
          </cell>
        </row>
        <row r="1223">
          <cell r="A1223" t="str">
            <v>KTKW0TW0L</v>
          </cell>
          <cell r="B1223" t="str">
            <v>KTKSTY</v>
          </cell>
        </row>
        <row r="1224">
          <cell r="A1224" t="str">
            <v>KTKW0TW0M</v>
          </cell>
          <cell r="B1224" t="str">
            <v>KTKSTY</v>
          </cell>
        </row>
        <row r="1225">
          <cell r="A1225" t="str">
            <v>KTKW0TW0XL</v>
          </cell>
          <cell r="B1225" t="str">
            <v>KTKSTY</v>
          </cell>
        </row>
        <row r="1226">
          <cell r="A1226" t="str">
            <v>KTKXJFKJHL</v>
          </cell>
          <cell r="B1226" t="str">
            <v>KTKW0TW</v>
          </cell>
        </row>
        <row r="1227">
          <cell r="A1227" t="str">
            <v>KTKXJFKJHM</v>
          </cell>
          <cell r="B1227" t="str">
            <v>KTKW0TW</v>
          </cell>
        </row>
        <row r="1228">
          <cell r="A1228" t="str">
            <v>KTKXJFKK0L</v>
          </cell>
          <cell r="B1228" t="str">
            <v>KTKW0TW</v>
          </cell>
        </row>
        <row r="1229">
          <cell r="A1229" t="str">
            <v>KTKXJFKK0M</v>
          </cell>
          <cell r="B1229" t="str">
            <v>KTKXJFK</v>
          </cell>
        </row>
        <row r="1230">
          <cell r="A1230" t="str">
            <v>KTKXJFKW0L</v>
          </cell>
          <cell r="B1230" t="str">
            <v>KTKXJFK</v>
          </cell>
        </row>
        <row r="1231">
          <cell r="A1231" t="str">
            <v>KTKXJFKW0M</v>
          </cell>
          <cell r="B1231" t="str">
            <v>KTKXJFK</v>
          </cell>
        </row>
        <row r="1232">
          <cell r="A1232" t="str">
            <v>KTKXKB0</v>
          </cell>
          <cell r="B1232" t="str">
            <v>KTKXJFK</v>
          </cell>
        </row>
        <row r="1233">
          <cell r="A1233" t="str">
            <v>KTKXKB0L</v>
          </cell>
          <cell r="B1233" t="str">
            <v>KTKXJFK</v>
          </cell>
        </row>
        <row r="1234">
          <cell r="A1234" t="str">
            <v>KTKXKG0</v>
          </cell>
          <cell r="B1234" t="str">
            <v>KTKXJFK</v>
          </cell>
        </row>
        <row r="1235">
          <cell r="A1235" t="str">
            <v>KTKXKG0L</v>
          </cell>
          <cell r="B1235" t="str">
            <v>KTKXXK</v>
          </cell>
        </row>
        <row r="1236">
          <cell r="A1236" t="str">
            <v>KTKXKR0</v>
          </cell>
          <cell r="B1236" t="str">
            <v>KTKXXK</v>
          </cell>
        </row>
        <row r="1237">
          <cell r="A1237" t="str">
            <v>KTKXKTCMB0</v>
          </cell>
          <cell r="B1237" t="str">
            <v>KTKXXK</v>
          </cell>
        </row>
        <row r="1238">
          <cell r="A1238" t="str">
            <v>KTKXKTCMG0</v>
          </cell>
          <cell r="B1238" t="str">
            <v>KTKXXK</v>
          </cell>
        </row>
        <row r="1239">
          <cell r="A1239" t="str">
            <v>KTKXKTCMR5</v>
          </cell>
          <cell r="B1239" t="str">
            <v>KTKXXK</v>
          </cell>
        </row>
        <row r="1240">
          <cell r="A1240" t="str">
            <v>KTKXKTCMW0</v>
          </cell>
          <cell r="B1240" t="str">
            <v>KTKXXK</v>
          </cell>
        </row>
        <row r="1241">
          <cell r="A1241" t="str">
            <v>KTKXKW0</v>
          </cell>
          <cell r="B1241" t="str">
            <v>KTKXXK</v>
          </cell>
        </row>
        <row r="1242">
          <cell r="A1242" t="str">
            <v>KTKXKW0L</v>
          </cell>
          <cell r="B1242" t="str">
            <v>KTKXXK</v>
          </cell>
        </row>
        <row r="1243">
          <cell r="A1243" t="str">
            <v>KTKXKY0</v>
          </cell>
          <cell r="B1243" t="str">
            <v>KTKXXK</v>
          </cell>
        </row>
        <row r="1244">
          <cell r="A1244" t="str">
            <v>KTKXXKCDK0L</v>
          </cell>
          <cell r="B1244" t="str">
            <v>KTKXXK</v>
          </cell>
        </row>
        <row r="1245">
          <cell r="A1245" t="str">
            <v>KTKXXKCDK0M</v>
          </cell>
          <cell r="B1245" t="str">
            <v>KTKXXK</v>
          </cell>
        </row>
        <row r="1246">
          <cell r="A1246" t="str">
            <v>KTKXXKCDK0XL</v>
          </cell>
          <cell r="B1246" t="str">
            <v>KTKXXK</v>
          </cell>
        </row>
        <row r="1247">
          <cell r="A1247" t="str">
            <v>KTKXXKCDK0XXL</v>
          </cell>
          <cell r="B1247" t="str">
            <v>KTKXXK</v>
          </cell>
        </row>
        <row r="1248">
          <cell r="A1248" t="str">
            <v>KTKXXKCDK0XXXL</v>
          </cell>
          <cell r="B1248" t="str">
            <v>KTKXXK</v>
          </cell>
        </row>
        <row r="1249">
          <cell r="A1249" t="str">
            <v>KTKXZTKZE0</v>
          </cell>
          <cell r="B1249" t="str">
            <v>KTKXXK</v>
          </cell>
        </row>
        <row r="1250">
          <cell r="A1250" t="str">
            <v>KTKXZTKZZQ</v>
          </cell>
          <cell r="B1250" t="str">
            <v>KTKXXK</v>
          </cell>
        </row>
        <row r="1251">
          <cell r="A1251" t="str">
            <v>KZIMUYH1</v>
          </cell>
          <cell r="B1251" t="str">
            <v>KTKXXK</v>
          </cell>
        </row>
        <row r="1252">
          <cell r="A1252" t="str">
            <v>KZIMUYH2</v>
          </cell>
          <cell r="B1252" t="str">
            <v>KTKXXK</v>
          </cell>
        </row>
        <row r="1253">
          <cell r="A1253" t="str">
            <v>KZIMUYH3</v>
          </cell>
          <cell r="B1253" t="str">
            <v>KTKXXK</v>
          </cell>
        </row>
        <row r="1254">
          <cell r="A1254" t="str">
            <v>KZIMUYH4</v>
          </cell>
          <cell r="B1254" t="str">
            <v>KZIMUYH</v>
          </cell>
        </row>
        <row r="1255">
          <cell r="A1255" t="str">
            <v>KZIMUYH5</v>
          </cell>
          <cell r="B1255" t="str">
            <v>KZIMUYH</v>
          </cell>
        </row>
        <row r="1256">
          <cell r="A1256" t="str">
            <v>KZIMUYH6</v>
          </cell>
          <cell r="B1256" t="str">
            <v>KZIMUYH</v>
          </cell>
        </row>
        <row r="1257">
          <cell r="A1257" t="str">
            <v>KZIMUYH7</v>
          </cell>
          <cell r="B1257" t="str">
            <v>KZIMUYH</v>
          </cell>
        </row>
        <row r="1258">
          <cell r="A1258" t="str">
            <v>KZIMUYH8</v>
          </cell>
          <cell r="B1258" t="str">
            <v>KZIMUYH</v>
          </cell>
        </row>
        <row r="1259">
          <cell r="A1259" t="str">
            <v>KZIMUYH9</v>
          </cell>
          <cell r="B1259" t="str">
            <v>KZIMUYH</v>
          </cell>
        </row>
        <row r="1260">
          <cell r="A1260" t="str">
            <v>LIZHIQICXBL</v>
          </cell>
          <cell r="B1260" t="str">
            <v>KZIMUYH</v>
          </cell>
        </row>
        <row r="1261">
          <cell r="A1261" t="str">
            <v>LIZHIQICXBM</v>
          </cell>
          <cell r="B1261" t="str">
            <v>KZIMUYH</v>
          </cell>
        </row>
        <row r="1262">
          <cell r="A1262" t="str">
            <v>LIZHIQICXGL</v>
          </cell>
          <cell r="B1262" t="str">
            <v>KZIMUYH</v>
          </cell>
        </row>
        <row r="1263">
          <cell r="A1263" t="str">
            <v>LIZHIQICXGM</v>
          </cell>
          <cell r="B1263" t="str">
            <v>LIZHIQICX</v>
          </cell>
        </row>
        <row r="1264">
          <cell r="A1264" t="str">
            <v>LIZHIQICXRL</v>
          </cell>
          <cell r="B1264" t="str">
            <v>LIZHIQICX</v>
          </cell>
        </row>
        <row r="1265">
          <cell r="A1265" t="str">
            <v>LIZHIQICXRM</v>
          </cell>
          <cell r="B1265" t="str">
            <v>LIZHIQICX</v>
          </cell>
        </row>
        <row r="1266">
          <cell r="A1266" t="str">
            <v>LSCKHBMS</v>
          </cell>
          <cell r="B1266" t="str">
            <v>LIZHIQICX</v>
          </cell>
        </row>
        <row r="1267">
          <cell r="A1267" t="str">
            <v>LSCKHBW0</v>
          </cell>
          <cell r="B1267" t="str">
            <v>LIZHIQICX</v>
          </cell>
        </row>
        <row r="1268">
          <cell r="A1268" t="str">
            <v>LSCKHDW0</v>
          </cell>
          <cell r="B1268" t="str">
            <v>LIZHIQICX</v>
          </cell>
        </row>
        <row r="1269">
          <cell r="A1269" t="str">
            <v>LSGXNK0L</v>
          </cell>
          <cell r="B1269" t="str">
            <v>LSCKHB</v>
          </cell>
        </row>
        <row r="1270">
          <cell r="A1270" t="str">
            <v>LSGXNK0M</v>
          </cell>
          <cell r="B1270" t="str">
            <v>LSCKHB</v>
          </cell>
        </row>
        <row r="1271">
          <cell r="A1271" t="str">
            <v>LSGXNK0XL</v>
          </cell>
          <cell r="B1271" t="str">
            <v>LSCKHD</v>
          </cell>
        </row>
        <row r="1272">
          <cell r="A1272" t="str">
            <v>LSGXNK0XXL</v>
          </cell>
          <cell r="B1272" t="str">
            <v>LSGXN</v>
          </cell>
        </row>
        <row r="1273">
          <cell r="A1273" t="str">
            <v>LSJMW0</v>
          </cell>
          <cell r="B1273" t="str">
            <v>LSGXN</v>
          </cell>
        </row>
        <row r="1274">
          <cell r="A1274" t="str">
            <v>LSJMXYS</v>
          </cell>
          <cell r="B1274" t="str">
            <v>LSGXN</v>
          </cell>
        </row>
        <row r="1275">
          <cell r="A1275" t="str">
            <v>LSNHW0</v>
          </cell>
          <cell r="B1275" t="str">
            <v>LSGXN</v>
          </cell>
        </row>
        <row r="1276">
          <cell r="A1276" t="str">
            <v>LSNWZG0</v>
          </cell>
          <cell r="B1276" t="str">
            <v>LSJM</v>
          </cell>
        </row>
        <row r="1277">
          <cell r="A1277" t="str">
            <v>LSZZCSKG0</v>
          </cell>
          <cell r="B1277" t="str">
            <v>LSJM</v>
          </cell>
        </row>
        <row r="1278">
          <cell r="A1278" t="str">
            <v>LSZZCSKK0</v>
          </cell>
          <cell r="B1278" t="str">
            <v>LSNH</v>
          </cell>
        </row>
        <row r="1279">
          <cell r="A1279" t="str">
            <v>LSZZCSKMS</v>
          </cell>
          <cell r="B1279" t="str">
            <v>LSNWZ</v>
          </cell>
        </row>
        <row r="1280">
          <cell r="A1280" t="str">
            <v>LSZZCSKR0</v>
          </cell>
          <cell r="B1280" t="str">
            <v>LSZZCSK</v>
          </cell>
        </row>
        <row r="1281">
          <cell r="A1281" t="str">
            <v>LSZZCSKZQ</v>
          </cell>
          <cell r="B1281" t="str">
            <v>LSZZCSK</v>
          </cell>
        </row>
        <row r="1282">
          <cell r="A1282" t="str">
            <v>LY-AKFAZL</v>
          </cell>
          <cell r="B1282" t="str">
            <v>LSZZCSK</v>
          </cell>
        </row>
        <row r="1283">
          <cell r="A1283" t="str">
            <v>LY-AKFAZM</v>
          </cell>
          <cell r="B1283" t="str">
            <v>LSZZCSK</v>
          </cell>
        </row>
        <row r="1284">
          <cell r="A1284" t="str">
            <v>LY-AKFAZS</v>
          </cell>
          <cell r="B1284" t="str">
            <v>LSZZCSK</v>
          </cell>
        </row>
        <row r="1285">
          <cell r="A1285" t="str">
            <v>LY-AKFAZXL</v>
          </cell>
          <cell r="B1285" t="str">
            <v>LY-AKF</v>
          </cell>
        </row>
        <row r="1286">
          <cell r="A1286" t="str">
            <v>LY-AKFAZXXL</v>
          </cell>
          <cell r="B1286" t="str">
            <v>LY-AKF</v>
          </cell>
        </row>
        <row r="1287">
          <cell r="A1287" t="str">
            <v>LY-AKFAZXXXL</v>
          </cell>
          <cell r="B1287" t="str">
            <v>LY-AKF</v>
          </cell>
        </row>
        <row r="1288">
          <cell r="A1288" t="str">
            <v>LY-AKFAZXXXXL</v>
          </cell>
          <cell r="B1288" t="str">
            <v>LY-AKF</v>
          </cell>
        </row>
        <row r="1289">
          <cell r="A1289" t="str">
            <v>LY-AKFFYHL</v>
          </cell>
          <cell r="B1289" t="str">
            <v>LY-AKF</v>
          </cell>
        </row>
        <row r="1290">
          <cell r="A1290" t="str">
            <v>LY-AKFFYHM</v>
          </cell>
          <cell r="B1290" t="str">
            <v>LY-AKF</v>
          </cell>
        </row>
        <row r="1291">
          <cell r="A1291" t="str">
            <v>LY-AKFFYHS</v>
          </cell>
          <cell r="B1291" t="str">
            <v>LY-AKF</v>
          </cell>
        </row>
        <row r="1292">
          <cell r="A1292" t="str">
            <v>LY-AKFFYHXL</v>
          </cell>
          <cell r="B1292" t="str">
            <v>LY-AKF</v>
          </cell>
        </row>
        <row r="1293">
          <cell r="A1293" t="str">
            <v>LY-AKFFYHXXL</v>
          </cell>
          <cell r="B1293" t="str">
            <v>LY-AKF</v>
          </cell>
        </row>
        <row r="1294">
          <cell r="A1294" t="str">
            <v>LY-AKFFYHXXXL</v>
          </cell>
          <cell r="B1294" t="str">
            <v>LY-AKF</v>
          </cell>
        </row>
        <row r="1295">
          <cell r="A1295" t="str">
            <v>LY-AKFFYHXXXXL</v>
          </cell>
          <cell r="B1295" t="str">
            <v>LY-AKF</v>
          </cell>
        </row>
        <row r="1296">
          <cell r="A1296" t="str">
            <v>LY-AKFKQHL</v>
          </cell>
          <cell r="B1296" t="str">
            <v>LY-AKF</v>
          </cell>
        </row>
        <row r="1297">
          <cell r="A1297" t="str">
            <v>LY-AKFKQHM</v>
          </cell>
          <cell r="B1297" t="str">
            <v>LY-AKF</v>
          </cell>
        </row>
        <row r="1298">
          <cell r="A1298" t="str">
            <v>LY-AKFKQHS</v>
          </cell>
          <cell r="B1298" t="str">
            <v>LY-AKF</v>
          </cell>
        </row>
        <row r="1299">
          <cell r="A1299" t="str">
            <v>LY-AKFKQHXL</v>
          </cell>
          <cell r="B1299" t="str">
            <v>LY-AKF</v>
          </cell>
        </row>
        <row r="1300">
          <cell r="A1300" t="str">
            <v>LY-AKFKQHXXL</v>
          </cell>
          <cell r="B1300" t="str">
            <v>LY-AKF</v>
          </cell>
        </row>
        <row r="1301">
          <cell r="A1301" t="str">
            <v>LY-AKFKQHXXXL</v>
          </cell>
          <cell r="B1301" t="str">
            <v>LY-AKF</v>
          </cell>
        </row>
        <row r="1302">
          <cell r="A1302" t="str">
            <v>LY-AKFKQHXXXXL</v>
          </cell>
          <cell r="B1302" t="str">
            <v>LY-AKF</v>
          </cell>
        </row>
        <row r="1303">
          <cell r="A1303" t="str">
            <v>LY-FSPFHL</v>
          </cell>
          <cell r="B1303" t="str">
            <v>LY-AKF</v>
          </cell>
        </row>
        <row r="1304">
          <cell r="A1304" t="str">
            <v>LY-FSPFHM</v>
          </cell>
          <cell r="B1304" t="str">
            <v>LY-AKF</v>
          </cell>
        </row>
        <row r="1305">
          <cell r="A1305" t="str">
            <v>LY-FSPFHS</v>
          </cell>
          <cell r="B1305" t="str">
            <v>LY-AKF</v>
          </cell>
        </row>
        <row r="1306">
          <cell r="A1306" t="str">
            <v>LY-FSPFHXL</v>
          </cell>
          <cell r="B1306" t="str">
            <v>LY-FSP</v>
          </cell>
        </row>
        <row r="1307">
          <cell r="A1307" t="str">
            <v>LY-FSPFHXXL</v>
          </cell>
          <cell r="B1307" t="str">
            <v>LY-FSP</v>
          </cell>
        </row>
        <row r="1308">
          <cell r="A1308" t="str">
            <v>LY-FSPFHXXXL</v>
          </cell>
          <cell r="B1308" t="str">
            <v>LY-FSP</v>
          </cell>
        </row>
        <row r="1309">
          <cell r="A1309" t="str">
            <v>LY-FSPFHXXXXL</v>
          </cell>
          <cell r="B1309" t="str">
            <v>LY-FSP</v>
          </cell>
        </row>
        <row r="1310">
          <cell r="A1310" t="str">
            <v>LY-FSPPGL</v>
          </cell>
          <cell r="B1310" t="str">
            <v>LY-FSP</v>
          </cell>
        </row>
        <row r="1311">
          <cell r="A1311" t="str">
            <v>LY-FSPPGM</v>
          </cell>
          <cell r="B1311" t="str">
            <v>LY-FSP</v>
          </cell>
        </row>
        <row r="1312">
          <cell r="A1312" t="str">
            <v>LY-FSPPGS</v>
          </cell>
          <cell r="B1312" t="str">
            <v>LY-FSP</v>
          </cell>
        </row>
        <row r="1313">
          <cell r="A1313" t="str">
            <v>LY-FSPPGXL</v>
          </cell>
          <cell r="B1313" t="str">
            <v>LY-FSP</v>
          </cell>
        </row>
        <row r="1314">
          <cell r="A1314" t="str">
            <v>LY-FSPPGXXL</v>
          </cell>
          <cell r="B1314" t="str">
            <v>LY-FSP</v>
          </cell>
        </row>
        <row r="1315">
          <cell r="A1315" t="str">
            <v>LY-FSPPGXXXL</v>
          </cell>
          <cell r="B1315" t="str">
            <v>LY-FSP</v>
          </cell>
        </row>
        <row r="1316">
          <cell r="A1316" t="str">
            <v>LY-FSPPGXXXXL</v>
          </cell>
          <cell r="B1316" t="str">
            <v>LY-FSP</v>
          </cell>
        </row>
        <row r="1317">
          <cell r="A1317" t="str">
            <v>LY-FSPSYLL</v>
          </cell>
          <cell r="B1317" t="str">
            <v>LY-FSP</v>
          </cell>
        </row>
        <row r="1318">
          <cell r="A1318" t="str">
            <v>LY-FSPSYLM</v>
          </cell>
          <cell r="B1318" t="str">
            <v>LY-FSP</v>
          </cell>
        </row>
        <row r="1319">
          <cell r="A1319" t="str">
            <v>LY-FSPSYLS</v>
          </cell>
          <cell r="B1319" t="str">
            <v>LY-FSP</v>
          </cell>
        </row>
        <row r="1320">
          <cell r="A1320" t="str">
            <v>LY-FSPSYLXL</v>
          </cell>
          <cell r="B1320" t="str">
            <v>LY-FSP</v>
          </cell>
        </row>
        <row r="1321">
          <cell r="A1321" t="str">
            <v>LY-FSPSYLXXL</v>
          </cell>
          <cell r="B1321" t="str">
            <v>LY-FSP</v>
          </cell>
        </row>
        <row r="1322">
          <cell r="A1322" t="str">
            <v>LY-FSPSYLXXXL</v>
          </cell>
          <cell r="B1322" t="str">
            <v>LY-FSP</v>
          </cell>
        </row>
        <row r="1323">
          <cell r="A1323" t="str">
            <v>LY-FSPSYLXXXXL</v>
          </cell>
          <cell r="B1323" t="str">
            <v>LY-FSP</v>
          </cell>
        </row>
        <row r="1324">
          <cell r="A1324" t="str">
            <v>LY-HAMALL</v>
          </cell>
          <cell r="B1324" t="str">
            <v>LY-FSP</v>
          </cell>
        </row>
        <row r="1325">
          <cell r="A1325" t="str">
            <v>LY-HAMALM</v>
          </cell>
          <cell r="B1325" t="str">
            <v>LY-FSP</v>
          </cell>
        </row>
        <row r="1326">
          <cell r="A1326" t="str">
            <v>LY-HAMALS</v>
          </cell>
          <cell r="B1326" t="str">
            <v>LY-FSP</v>
          </cell>
        </row>
        <row r="1327">
          <cell r="A1327" t="str">
            <v>LY-HAMALXL</v>
          </cell>
          <cell r="B1327" t="str">
            <v>LY-HAM</v>
          </cell>
        </row>
        <row r="1328">
          <cell r="A1328" t="str">
            <v>LY-HAMALXXL</v>
          </cell>
          <cell r="B1328" t="str">
            <v>LY-HAM</v>
          </cell>
        </row>
        <row r="1329">
          <cell r="A1329" t="str">
            <v>LY-HAMALXXXL</v>
          </cell>
          <cell r="B1329" t="str">
            <v>LY-HAM</v>
          </cell>
        </row>
        <row r="1330">
          <cell r="A1330" t="str">
            <v>LY-HAMALXXXXL</v>
          </cell>
          <cell r="B1330" t="str">
            <v>LY-HAM</v>
          </cell>
        </row>
        <row r="1331">
          <cell r="A1331" t="str">
            <v>LY-HAMHYHL</v>
          </cell>
          <cell r="B1331" t="str">
            <v>LY-HAM</v>
          </cell>
        </row>
        <row r="1332">
          <cell r="A1332" t="str">
            <v>LY-HAMHYHM</v>
          </cell>
          <cell r="B1332" t="str">
            <v>LY-HAM</v>
          </cell>
        </row>
        <row r="1333">
          <cell r="A1333" t="str">
            <v>LY-HAMHYHS</v>
          </cell>
          <cell r="B1333" t="str">
            <v>LY-HAM</v>
          </cell>
        </row>
        <row r="1334">
          <cell r="A1334" t="str">
            <v>LY-HAMHYHXL</v>
          </cell>
          <cell r="B1334" t="str">
            <v>LY-HAM</v>
          </cell>
        </row>
        <row r="1335">
          <cell r="A1335" t="str">
            <v>LY-HAMHYHXXL</v>
          </cell>
          <cell r="B1335" t="str">
            <v>LY-HAM</v>
          </cell>
        </row>
        <row r="1336">
          <cell r="A1336" t="str">
            <v>LY-HAMHYHXXXL</v>
          </cell>
          <cell r="B1336" t="str">
            <v>LY-HAM</v>
          </cell>
        </row>
        <row r="1337">
          <cell r="A1337" t="str">
            <v>LY-HAMHYHXXXXL</v>
          </cell>
          <cell r="B1337" t="str">
            <v>LY-HAM</v>
          </cell>
        </row>
        <row r="1338">
          <cell r="A1338" t="str">
            <v>LY-HAMMLL</v>
          </cell>
          <cell r="B1338" t="str">
            <v>LY-HAM</v>
          </cell>
        </row>
        <row r="1339">
          <cell r="A1339" t="str">
            <v>LY-HAMMLM</v>
          </cell>
          <cell r="B1339" t="str">
            <v>LY-HAM</v>
          </cell>
        </row>
        <row r="1340">
          <cell r="A1340" t="str">
            <v>LY-HAMMLS</v>
          </cell>
          <cell r="B1340" t="str">
            <v>LY-HAM</v>
          </cell>
        </row>
        <row r="1341">
          <cell r="A1341" t="str">
            <v>LY-HAMMLXL</v>
          </cell>
          <cell r="B1341" t="str">
            <v>LY-HAM</v>
          </cell>
        </row>
        <row r="1342">
          <cell r="A1342" t="str">
            <v>LY-HAMMLXXL</v>
          </cell>
          <cell r="B1342" t="str">
            <v>LY-HAM</v>
          </cell>
        </row>
        <row r="1343">
          <cell r="A1343" t="str">
            <v>LY-HAMMLXXXL</v>
          </cell>
          <cell r="B1343" t="str">
            <v>LY-HAM</v>
          </cell>
        </row>
        <row r="1344">
          <cell r="A1344" t="str">
            <v>LY-HAMMLXXXXL</v>
          </cell>
          <cell r="B1344" t="str">
            <v>LY-HAM</v>
          </cell>
        </row>
        <row r="1345">
          <cell r="A1345" t="str">
            <v>LY-HHDDHL</v>
          </cell>
          <cell r="B1345" t="str">
            <v>LY-HAM</v>
          </cell>
        </row>
        <row r="1346">
          <cell r="A1346" t="str">
            <v>LY-HHDDHM</v>
          </cell>
          <cell r="B1346" t="str">
            <v>LY-HAM</v>
          </cell>
        </row>
        <row r="1347">
          <cell r="A1347" t="str">
            <v>LY-HHDDHS</v>
          </cell>
          <cell r="B1347" t="str">
            <v>LY-HAM</v>
          </cell>
        </row>
        <row r="1348">
          <cell r="A1348" t="str">
            <v>LY-HHDDHXL</v>
          </cell>
          <cell r="B1348" t="str">
            <v>LY-HHD</v>
          </cell>
        </row>
        <row r="1349">
          <cell r="A1349" t="str">
            <v>LY-HHDDHXXL</v>
          </cell>
          <cell r="B1349" t="str">
            <v>LY-HHD</v>
          </cell>
        </row>
        <row r="1350">
          <cell r="A1350" t="str">
            <v>LY-HHDDHXXXL</v>
          </cell>
          <cell r="B1350" t="str">
            <v>LY-HHD</v>
          </cell>
        </row>
        <row r="1351">
          <cell r="A1351" t="str">
            <v>LY-HHDDHXXXXL</v>
          </cell>
          <cell r="B1351" t="str">
            <v>LY-HHD</v>
          </cell>
        </row>
        <row r="1352">
          <cell r="A1352" t="str">
            <v>LY-HHDHHSL</v>
          </cell>
          <cell r="B1352" t="str">
            <v>LY-HHD</v>
          </cell>
        </row>
        <row r="1353">
          <cell r="A1353" t="str">
            <v>LY-HHDHHSM</v>
          </cell>
          <cell r="B1353" t="str">
            <v>LY-HHD</v>
          </cell>
        </row>
        <row r="1354">
          <cell r="A1354" t="str">
            <v>LY-HHDHHSS</v>
          </cell>
          <cell r="B1354" t="str">
            <v>LY-HHD</v>
          </cell>
        </row>
        <row r="1355">
          <cell r="A1355" t="str">
            <v>LY-HHDHHSXL</v>
          </cell>
          <cell r="B1355" t="str">
            <v>LY-HHD</v>
          </cell>
        </row>
        <row r="1356">
          <cell r="A1356" t="str">
            <v>LY-HHDHHSXXL</v>
          </cell>
          <cell r="B1356" t="str">
            <v>LY-HHD</v>
          </cell>
        </row>
        <row r="1357">
          <cell r="A1357" t="str">
            <v>LY-HHDHHSXXXL</v>
          </cell>
          <cell r="B1357" t="str">
            <v>LY-HHD</v>
          </cell>
        </row>
        <row r="1358">
          <cell r="A1358" t="str">
            <v>LY-HHDHHSXXXXL</v>
          </cell>
          <cell r="B1358" t="str">
            <v>LY-HHD</v>
          </cell>
        </row>
        <row r="1359">
          <cell r="A1359" t="str">
            <v>LY-HHDK0L</v>
          </cell>
          <cell r="B1359" t="str">
            <v>LY-HHD</v>
          </cell>
        </row>
        <row r="1360">
          <cell r="A1360" t="str">
            <v>LY-HHDK0M</v>
          </cell>
          <cell r="B1360" t="str">
            <v>LY-HHD</v>
          </cell>
        </row>
        <row r="1361">
          <cell r="A1361" t="str">
            <v>LY-HHDK0S</v>
          </cell>
          <cell r="B1361" t="str">
            <v>LY-HHD</v>
          </cell>
        </row>
        <row r="1362">
          <cell r="A1362" t="str">
            <v>LY-HHDK0XL</v>
          </cell>
          <cell r="B1362" t="str">
            <v>LY-HHD</v>
          </cell>
        </row>
        <row r="1363">
          <cell r="A1363" t="str">
            <v>LY-HHDK0XXL</v>
          </cell>
          <cell r="B1363" t="str">
            <v>LY-HHD</v>
          </cell>
        </row>
        <row r="1364">
          <cell r="A1364" t="str">
            <v>LY-HHDK0XXXL</v>
          </cell>
          <cell r="B1364" t="str">
            <v>LY-HHD</v>
          </cell>
        </row>
        <row r="1365">
          <cell r="A1365" t="str">
            <v>LY-HHDK0XXXXL</v>
          </cell>
          <cell r="B1365" t="str">
            <v>LY-HHD</v>
          </cell>
        </row>
        <row r="1366">
          <cell r="A1366" t="str">
            <v>LY-HHLB0L</v>
          </cell>
          <cell r="B1366" t="str">
            <v>LY-HHD</v>
          </cell>
        </row>
        <row r="1367">
          <cell r="A1367" t="str">
            <v>LY-HHLB0M</v>
          </cell>
          <cell r="B1367" t="str">
            <v>LY-HHD</v>
          </cell>
        </row>
        <row r="1368">
          <cell r="A1368" t="str">
            <v>LY-HHLB0S</v>
          </cell>
          <cell r="B1368" t="str">
            <v>LY-HHD</v>
          </cell>
        </row>
        <row r="1369">
          <cell r="A1369" t="str">
            <v>LY-HHLB0XL</v>
          </cell>
          <cell r="B1369" t="str">
            <v>LY-HHL</v>
          </cell>
        </row>
        <row r="1370">
          <cell r="A1370" t="str">
            <v>LY-HHLB0XXL</v>
          </cell>
          <cell r="B1370" t="str">
            <v>LY-HHL</v>
          </cell>
        </row>
        <row r="1371">
          <cell r="A1371" t="str">
            <v>LY-HHLB0XXXL</v>
          </cell>
          <cell r="B1371" t="str">
            <v>LY-HHL</v>
          </cell>
        </row>
        <row r="1372">
          <cell r="A1372" t="str">
            <v>LY-HHLB0XXXXL</v>
          </cell>
          <cell r="B1372" t="str">
            <v>LY-HHL</v>
          </cell>
        </row>
        <row r="1373">
          <cell r="A1373" t="str">
            <v>LY-HHLHLSL</v>
          </cell>
          <cell r="B1373" t="str">
            <v>LY-HHL</v>
          </cell>
        </row>
        <row r="1374">
          <cell r="A1374" t="str">
            <v>LY-HHLHLSM</v>
          </cell>
          <cell r="B1374" t="str">
            <v>LY-HHL</v>
          </cell>
        </row>
        <row r="1375">
          <cell r="A1375" t="str">
            <v>LY-HHLHLSS</v>
          </cell>
          <cell r="B1375" t="str">
            <v>LY-HHL</v>
          </cell>
        </row>
        <row r="1376">
          <cell r="A1376" t="str">
            <v>LY-HHLHLSXL</v>
          </cell>
          <cell r="B1376" t="str">
            <v>LY-HHL</v>
          </cell>
        </row>
        <row r="1377">
          <cell r="A1377" t="str">
            <v>LY-HHLHLSXXL</v>
          </cell>
          <cell r="B1377" t="str">
            <v>LY-HHL</v>
          </cell>
        </row>
        <row r="1378">
          <cell r="A1378" t="str">
            <v>LY-HHLHLSXXXL</v>
          </cell>
          <cell r="B1378" t="str">
            <v>LY-HHL</v>
          </cell>
        </row>
        <row r="1379">
          <cell r="A1379" t="str">
            <v>LY-HHLHLSXXXXL</v>
          </cell>
          <cell r="B1379" t="str">
            <v>LY-HHL</v>
          </cell>
        </row>
        <row r="1380">
          <cell r="A1380" t="str">
            <v>LY-HHLR0L</v>
          </cell>
          <cell r="B1380" t="str">
            <v>LY-HHL</v>
          </cell>
        </row>
        <row r="1381">
          <cell r="A1381" t="str">
            <v>LY-HHLR0M</v>
          </cell>
          <cell r="B1381" t="str">
            <v>LY-HHL</v>
          </cell>
        </row>
        <row r="1382">
          <cell r="A1382" t="str">
            <v>LY-HHLR0S</v>
          </cell>
          <cell r="B1382" t="str">
            <v>LY-HHL</v>
          </cell>
        </row>
        <row r="1383">
          <cell r="A1383" t="str">
            <v>LY-HHLR0XL</v>
          </cell>
          <cell r="B1383" t="str">
            <v>LY-HHL</v>
          </cell>
        </row>
        <row r="1384">
          <cell r="A1384" t="str">
            <v>LY-HHLR0XXL</v>
          </cell>
          <cell r="B1384" t="str">
            <v>LY-HHL</v>
          </cell>
        </row>
        <row r="1385">
          <cell r="A1385" t="str">
            <v>LY-HHLR0XXXL</v>
          </cell>
          <cell r="B1385" t="str">
            <v>LY-HHL</v>
          </cell>
        </row>
        <row r="1386">
          <cell r="A1386" t="str">
            <v>LY-HHLR0XXXXL</v>
          </cell>
          <cell r="B1386" t="str">
            <v>LY-HHL</v>
          </cell>
        </row>
        <row r="1387">
          <cell r="A1387" t="str">
            <v>LY-HLMHHXL</v>
          </cell>
          <cell r="B1387" t="str">
            <v>LY-HHL</v>
          </cell>
        </row>
        <row r="1388">
          <cell r="A1388" t="str">
            <v>LY-HLMHHXM</v>
          </cell>
          <cell r="B1388" t="str">
            <v>LY-HHL</v>
          </cell>
        </row>
        <row r="1389">
          <cell r="A1389" t="str">
            <v>LY-HLMHHXS</v>
          </cell>
          <cell r="B1389" t="str">
            <v>LY-HHL</v>
          </cell>
        </row>
        <row r="1390">
          <cell r="A1390" t="str">
            <v>LY-HLMHHXXL</v>
          </cell>
          <cell r="B1390" t="str">
            <v>LY-HLM</v>
          </cell>
        </row>
        <row r="1391">
          <cell r="A1391" t="str">
            <v>LY-HLMHHXXXL</v>
          </cell>
          <cell r="B1391" t="str">
            <v>LY-HLM</v>
          </cell>
        </row>
        <row r="1392">
          <cell r="A1392" t="str">
            <v>LY-HLMHHXXXXL</v>
          </cell>
          <cell r="B1392" t="str">
            <v>LY-HLM</v>
          </cell>
        </row>
        <row r="1393">
          <cell r="A1393" t="str">
            <v>LY-HLMHHXXXXXL</v>
          </cell>
          <cell r="B1393" t="str">
            <v>LY-HLM</v>
          </cell>
        </row>
        <row r="1394">
          <cell r="A1394" t="str">
            <v>LY-HLMLJDL</v>
          </cell>
          <cell r="B1394" t="str">
            <v>LY-HLM</v>
          </cell>
        </row>
        <row r="1395">
          <cell r="A1395" t="str">
            <v>LY-HLMLJDM</v>
          </cell>
          <cell r="B1395" t="str">
            <v>LY-HLM</v>
          </cell>
        </row>
        <row r="1396">
          <cell r="A1396" t="str">
            <v>LY-HLMLJDS</v>
          </cell>
          <cell r="B1396" t="str">
            <v>LY-HLM</v>
          </cell>
        </row>
        <row r="1397">
          <cell r="A1397" t="str">
            <v>LY-HLMLJDXL</v>
          </cell>
          <cell r="B1397" t="str">
            <v>LY-HLM</v>
          </cell>
        </row>
        <row r="1398">
          <cell r="A1398" t="str">
            <v>LY-HLMLJDXXL</v>
          </cell>
          <cell r="B1398" t="str">
            <v>LY-HLM</v>
          </cell>
        </row>
        <row r="1399">
          <cell r="A1399" t="str">
            <v>LY-HLMLJDXXXL</v>
          </cell>
          <cell r="B1399" t="str">
            <v>LY-HLM</v>
          </cell>
        </row>
        <row r="1400">
          <cell r="A1400" t="str">
            <v>LY-HLMLJDXXXXL</v>
          </cell>
          <cell r="B1400" t="str">
            <v>LY-HLM</v>
          </cell>
        </row>
        <row r="1401">
          <cell r="A1401" t="str">
            <v>LY-HLMMFDL</v>
          </cell>
          <cell r="B1401" t="str">
            <v>LY-HLM</v>
          </cell>
        </row>
        <row r="1402">
          <cell r="A1402" t="str">
            <v>LY-HLMMFDM</v>
          </cell>
          <cell r="B1402" t="str">
            <v>LY-HLM</v>
          </cell>
        </row>
        <row r="1403">
          <cell r="A1403" t="str">
            <v>LY-HLMMFDS</v>
          </cell>
          <cell r="B1403" t="str">
            <v>LY-HLM</v>
          </cell>
        </row>
        <row r="1404">
          <cell r="A1404" t="str">
            <v>LY-HLMMFDXL</v>
          </cell>
          <cell r="B1404" t="str">
            <v>LY-HLM</v>
          </cell>
        </row>
        <row r="1405">
          <cell r="A1405" t="str">
            <v>LY-HLMMFDXXL</v>
          </cell>
          <cell r="B1405" t="str">
            <v>LY-HLM</v>
          </cell>
        </row>
        <row r="1406">
          <cell r="A1406" t="str">
            <v>LY-HLMMFDXXXL</v>
          </cell>
          <cell r="B1406" t="str">
            <v>LY-HLM</v>
          </cell>
        </row>
        <row r="1407">
          <cell r="A1407" t="str">
            <v>LY-HLMMFDXXXXL</v>
          </cell>
          <cell r="B1407" t="str">
            <v>LY-HLM</v>
          </cell>
        </row>
        <row r="1408">
          <cell r="A1408" t="str">
            <v>LY-HXXHHCL</v>
          </cell>
          <cell r="B1408" t="str">
            <v>LY-HLM</v>
          </cell>
        </row>
        <row r="1409">
          <cell r="A1409" t="str">
            <v>LY-HXXHHCM</v>
          </cell>
          <cell r="B1409" t="str">
            <v>LY-HLM</v>
          </cell>
        </row>
        <row r="1410">
          <cell r="A1410" t="str">
            <v>LY-HXXHHCS</v>
          </cell>
          <cell r="B1410" t="str">
            <v>LY-HLM</v>
          </cell>
        </row>
        <row r="1411">
          <cell r="A1411" t="str">
            <v>LY-HXXHHCXL</v>
          </cell>
          <cell r="B1411" t="str">
            <v>LY-HXX</v>
          </cell>
        </row>
        <row r="1412">
          <cell r="A1412" t="str">
            <v>LY-HXXHHCXXL</v>
          </cell>
          <cell r="B1412" t="str">
            <v>LY-HXX</v>
          </cell>
        </row>
        <row r="1413">
          <cell r="A1413" t="str">
            <v>LY-HXXHHCXXXL</v>
          </cell>
          <cell r="B1413" t="str">
            <v>LY-HXX</v>
          </cell>
        </row>
        <row r="1414">
          <cell r="A1414" t="str">
            <v>LY-HXXHHCXXXXL</v>
          </cell>
          <cell r="B1414" t="str">
            <v>LY-HXX</v>
          </cell>
        </row>
        <row r="1415">
          <cell r="A1415" t="str">
            <v>LY-HXXXLSL</v>
          </cell>
          <cell r="B1415" t="str">
            <v>LY-HXX</v>
          </cell>
        </row>
        <row r="1416">
          <cell r="A1416" t="str">
            <v>LY-HXXXLSM</v>
          </cell>
          <cell r="B1416" t="str">
            <v>LY-HXX</v>
          </cell>
        </row>
        <row r="1417">
          <cell r="A1417" t="str">
            <v>LY-HXXXLSS</v>
          </cell>
          <cell r="B1417" t="str">
            <v>LY-HXX</v>
          </cell>
        </row>
        <row r="1418">
          <cell r="A1418" t="str">
            <v>LY-HXXXLSXL</v>
          </cell>
          <cell r="B1418" t="str">
            <v>LY-HXX</v>
          </cell>
        </row>
        <row r="1419">
          <cell r="A1419" t="str">
            <v>LY-HXXXLSXXL</v>
          </cell>
          <cell r="B1419" t="str">
            <v>LY-HXX</v>
          </cell>
        </row>
        <row r="1420">
          <cell r="A1420" t="str">
            <v>LY-HXXXLSXXXL</v>
          </cell>
          <cell r="B1420" t="str">
            <v>LY-HXX</v>
          </cell>
        </row>
        <row r="1421">
          <cell r="A1421" t="str">
            <v>LY-HXXXLSXXXXL</v>
          </cell>
          <cell r="B1421" t="str">
            <v>LY-HXX</v>
          </cell>
        </row>
        <row r="1422">
          <cell r="A1422" t="str">
            <v>LY-HXXXYL</v>
          </cell>
          <cell r="B1422" t="str">
            <v>LY-HXX</v>
          </cell>
        </row>
        <row r="1423">
          <cell r="A1423" t="str">
            <v>LY-HXXXYM</v>
          </cell>
          <cell r="B1423" t="str">
            <v>LY-HXX</v>
          </cell>
        </row>
        <row r="1424">
          <cell r="A1424" t="str">
            <v>LY-HXXXYS</v>
          </cell>
          <cell r="B1424" t="str">
            <v>LY-HXX</v>
          </cell>
        </row>
        <row r="1425">
          <cell r="A1425" t="str">
            <v>LY-HXXXYXL</v>
          </cell>
          <cell r="B1425" t="str">
            <v>LY-HXX</v>
          </cell>
        </row>
        <row r="1426">
          <cell r="A1426" t="str">
            <v>LY-HXXXYXXL</v>
          </cell>
          <cell r="B1426" t="str">
            <v>LY-HXX</v>
          </cell>
        </row>
        <row r="1427">
          <cell r="A1427" t="str">
            <v>LY-HXXXYXXXL</v>
          </cell>
          <cell r="B1427" t="str">
            <v>LY-HXX</v>
          </cell>
        </row>
        <row r="1428">
          <cell r="A1428" t="str">
            <v>LY-HXXXYXXXXL</v>
          </cell>
          <cell r="B1428" t="str">
            <v>LY-HXX</v>
          </cell>
        </row>
        <row r="1429">
          <cell r="A1429" t="str">
            <v>MFFZBL2XL</v>
          </cell>
          <cell r="B1429" t="str">
            <v>LY-HXX</v>
          </cell>
        </row>
        <row r="1430">
          <cell r="A1430" t="str">
            <v>MFFZBL3XL</v>
          </cell>
          <cell r="B1430" t="str">
            <v>LY-HXX</v>
          </cell>
        </row>
        <row r="1431">
          <cell r="A1431" t="str">
            <v>MFFZBLL</v>
          </cell>
          <cell r="B1431" t="str">
            <v>LY-HXX</v>
          </cell>
        </row>
        <row r="1432">
          <cell r="A1432" t="str">
            <v>MFFZBLM</v>
          </cell>
          <cell r="B1432" t="str">
            <v>MFFZ</v>
          </cell>
        </row>
        <row r="1433">
          <cell r="A1433" t="str">
            <v>MFFZBLXL</v>
          </cell>
          <cell r="B1433" t="str">
            <v>MFFZ</v>
          </cell>
        </row>
        <row r="1434">
          <cell r="A1434" t="str">
            <v>MFFZKQS2XL</v>
          </cell>
          <cell r="B1434" t="str">
            <v>MFFZ</v>
          </cell>
        </row>
        <row r="1435">
          <cell r="A1435" t="str">
            <v>MFFZKQS3XL</v>
          </cell>
          <cell r="B1435" t="str">
            <v>MFFZ</v>
          </cell>
        </row>
        <row r="1436">
          <cell r="A1436" t="str">
            <v>MFFZKQSL</v>
          </cell>
          <cell r="B1436" t="str">
            <v>MFFZ</v>
          </cell>
        </row>
        <row r="1437">
          <cell r="A1437" t="str">
            <v>MFFZKQSM</v>
          </cell>
          <cell r="B1437" t="str">
            <v>MFFZ</v>
          </cell>
        </row>
        <row r="1438">
          <cell r="A1438" t="str">
            <v>MFFZKQSXL</v>
          </cell>
          <cell r="B1438" t="str">
            <v>MFFZ</v>
          </cell>
        </row>
        <row r="1439">
          <cell r="A1439" t="str">
            <v>MFFZOR2XL</v>
          </cell>
          <cell r="B1439" t="str">
            <v>MFFZ</v>
          </cell>
        </row>
        <row r="1440">
          <cell r="A1440" t="str">
            <v>MFFZOR3XL</v>
          </cell>
          <cell r="B1440" t="str">
            <v>MFFZ</v>
          </cell>
        </row>
        <row r="1441">
          <cell r="A1441" t="str">
            <v>MFFZORL</v>
          </cell>
          <cell r="B1441" t="str">
            <v>MFFZ</v>
          </cell>
        </row>
        <row r="1442">
          <cell r="A1442" t="str">
            <v>MFFZORM</v>
          </cell>
          <cell r="B1442" t="str">
            <v>MFFZ</v>
          </cell>
        </row>
        <row r="1443">
          <cell r="A1443" t="str">
            <v>MFFZORXL</v>
          </cell>
          <cell r="B1443" t="str">
            <v>MFFZ</v>
          </cell>
        </row>
        <row r="1444">
          <cell r="A1444" t="str">
            <v>MFFZQKQ2XL</v>
          </cell>
          <cell r="B1444" t="str">
            <v>MFFZ</v>
          </cell>
        </row>
        <row r="1445">
          <cell r="A1445" t="str">
            <v>MFFZQKQ3XL</v>
          </cell>
          <cell r="B1445" t="str">
            <v>MFFZ</v>
          </cell>
        </row>
        <row r="1446">
          <cell r="A1446" t="str">
            <v>MFFZQKQL</v>
          </cell>
          <cell r="B1446" t="str">
            <v>MFFZ</v>
          </cell>
        </row>
        <row r="1447">
          <cell r="A1447" t="str">
            <v>MFFZQKQM</v>
          </cell>
          <cell r="B1447" t="str">
            <v>MFFZ</v>
          </cell>
        </row>
        <row r="1448">
          <cell r="A1448" t="str">
            <v>MFFZQKQXL</v>
          </cell>
          <cell r="B1448" t="str">
            <v>MFFZ</v>
          </cell>
        </row>
        <row r="1449">
          <cell r="A1449" t="str">
            <v>MFFZTL2XL</v>
          </cell>
          <cell r="B1449" t="str">
            <v>MFFZ</v>
          </cell>
        </row>
        <row r="1450">
          <cell r="A1450" t="str">
            <v>MFFZTL3XL</v>
          </cell>
          <cell r="B1450" t="str">
            <v>MFFZ</v>
          </cell>
        </row>
        <row r="1451">
          <cell r="A1451" t="str">
            <v>MFFZTLL</v>
          </cell>
          <cell r="B1451" t="str">
            <v>MFFZ</v>
          </cell>
        </row>
        <row r="1452">
          <cell r="A1452" t="str">
            <v>MFFZTLM</v>
          </cell>
          <cell r="B1452" t="str">
            <v>MFFZ</v>
          </cell>
        </row>
        <row r="1453">
          <cell r="A1453" t="str">
            <v>MFFZTLXL</v>
          </cell>
          <cell r="B1453" t="str">
            <v>MFFZ</v>
          </cell>
        </row>
        <row r="1454">
          <cell r="A1454" t="str">
            <v>MFFZZQ2XL</v>
          </cell>
          <cell r="B1454" t="str">
            <v>MFFZ</v>
          </cell>
        </row>
        <row r="1455">
          <cell r="A1455" t="str">
            <v>MFFZZQ3XL</v>
          </cell>
          <cell r="B1455" t="str">
            <v>MFFZ</v>
          </cell>
        </row>
        <row r="1456">
          <cell r="A1456" t="str">
            <v>MFFZZQL</v>
          </cell>
          <cell r="B1456" t="str">
            <v>MFFZ</v>
          </cell>
        </row>
        <row r="1457">
          <cell r="A1457" t="str">
            <v>MFFZZQM</v>
          </cell>
          <cell r="B1457" t="str">
            <v>MFFZ</v>
          </cell>
        </row>
        <row r="1458">
          <cell r="A1458" t="str">
            <v>MFFZZQXL</v>
          </cell>
          <cell r="B1458" t="str">
            <v>MFFZ</v>
          </cell>
        </row>
        <row r="1459">
          <cell r="A1459" t="str">
            <v>MGHBCKW0</v>
          </cell>
          <cell r="B1459" t="str">
            <v>MFFZ</v>
          </cell>
        </row>
        <row r="1460">
          <cell r="A1460" t="str">
            <v>MIDUYD037BZYS</v>
          </cell>
          <cell r="B1460" t="str">
            <v>MFFZ</v>
          </cell>
        </row>
        <row r="1461">
          <cell r="A1461" t="str">
            <v>ML15F56601</v>
          </cell>
          <cell r="B1461" t="str">
            <v>MFFZ</v>
          </cell>
        </row>
        <row r="1462">
          <cell r="A1462" t="str">
            <v>ML15F56602</v>
          </cell>
          <cell r="B1462" t="str">
            <v>MGHBCK</v>
          </cell>
        </row>
        <row r="1463">
          <cell r="A1463" t="str">
            <v>ML15F56603</v>
          </cell>
          <cell r="B1463" t="str">
            <v>B9-JNKB</v>
          </cell>
        </row>
        <row r="1464">
          <cell r="A1464" t="str">
            <v>ML15F56604</v>
          </cell>
          <cell r="B1464" t="str">
            <v>ML15F566</v>
          </cell>
        </row>
        <row r="1465">
          <cell r="A1465" t="str">
            <v>ML15F56605</v>
          </cell>
          <cell r="B1465" t="str">
            <v>ML15F566</v>
          </cell>
        </row>
        <row r="1466">
          <cell r="A1466" t="str">
            <v>ML15F56606</v>
          </cell>
          <cell r="B1466" t="str">
            <v>ML15F566</v>
          </cell>
        </row>
        <row r="1467">
          <cell r="A1467" t="str">
            <v>ML15F56607</v>
          </cell>
          <cell r="B1467" t="str">
            <v>ML15F566</v>
          </cell>
        </row>
        <row r="1468">
          <cell r="A1468" t="str">
            <v>ML15F56608</v>
          </cell>
          <cell r="B1468" t="str">
            <v>ML15F566</v>
          </cell>
        </row>
        <row r="1469">
          <cell r="A1469" t="str">
            <v>ML15F56609</v>
          </cell>
          <cell r="B1469" t="str">
            <v>ML15F566</v>
          </cell>
        </row>
        <row r="1470">
          <cell r="A1470" t="str">
            <v>ML15F56610</v>
          </cell>
          <cell r="B1470" t="str">
            <v>ML15F566</v>
          </cell>
        </row>
        <row r="1471">
          <cell r="A1471" t="str">
            <v>ML15F56611</v>
          </cell>
          <cell r="B1471" t="str">
            <v>ML15F566</v>
          </cell>
        </row>
        <row r="1472">
          <cell r="A1472" t="str">
            <v>ML15F56612</v>
          </cell>
          <cell r="B1472" t="str">
            <v>ML15F566</v>
          </cell>
        </row>
        <row r="1473">
          <cell r="A1473" t="str">
            <v>MQZBKE0L</v>
          </cell>
          <cell r="B1473" t="str">
            <v>ML15F566</v>
          </cell>
        </row>
        <row r="1474">
          <cell r="A1474" t="str">
            <v>MQZBKE0M</v>
          </cell>
          <cell r="B1474" t="str">
            <v>ML15F566</v>
          </cell>
        </row>
        <row r="1475">
          <cell r="A1475" t="str">
            <v>MQZBKE0S</v>
          </cell>
          <cell r="B1475" t="str">
            <v>ML15F566</v>
          </cell>
        </row>
        <row r="1476">
          <cell r="A1476" t="str">
            <v>MQZBKE0XL</v>
          </cell>
          <cell r="B1476" t="str">
            <v>MQZBK</v>
          </cell>
        </row>
        <row r="1477">
          <cell r="A1477" t="str">
            <v>MQZBKE0XXL</v>
          </cell>
          <cell r="B1477" t="str">
            <v>MQZBK</v>
          </cell>
        </row>
        <row r="1478">
          <cell r="A1478" t="str">
            <v>MQZBKK0L</v>
          </cell>
          <cell r="B1478" t="str">
            <v>MQZBK</v>
          </cell>
        </row>
        <row r="1479">
          <cell r="A1479" t="str">
            <v>MQZBKK0M</v>
          </cell>
          <cell r="B1479" t="str">
            <v>MQZBK</v>
          </cell>
        </row>
        <row r="1480">
          <cell r="A1480" t="str">
            <v>MQZBKK0S</v>
          </cell>
          <cell r="B1480" t="str">
            <v>MQZBK</v>
          </cell>
        </row>
        <row r="1481">
          <cell r="A1481" t="str">
            <v>MQZBKK0XL</v>
          </cell>
          <cell r="B1481" t="str">
            <v>MQZBK</v>
          </cell>
        </row>
        <row r="1482">
          <cell r="A1482" t="str">
            <v>MQZBKK0XXL</v>
          </cell>
          <cell r="B1482" t="str">
            <v>MQZBK</v>
          </cell>
        </row>
        <row r="1483">
          <cell r="A1483" t="str">
            <v>MQZHKE0L</v>
          </cell>
          <cell r="B1483" t="str">
            <v>MQZBK</v>
          </cell>
        </row>
        <row r="1484">
          <cell r="A1484" t="str">
            <v>MQZHKE0M</v>
          </cell>
          <cell r="B1484" t="str">
            <v>MQZBK</v>
          </cell>
        </row>
        <row r="1485">
          <cell r="A1485" t="str">
            <v>MQZHKE0S</v>
          </cell>
          <cell r="B1485" t="str">
            <v>MQZBK</v>
          </cell>
        </row>
        <row r="1486">
          <cell r="A1486" t="str">
            <v>MQZHKE0XL</v>
          </cell>
          <cell r="B1486" t="str">
            <v>MQZHK</v>
          </cell>
        </row>
        <row r="1487">
          <cell r="A1487" t="str">
            <v>MQZHKE0XXL</v>
          </cell>
          <cell r="B1487" t="str">
            <v>MQZHK</v>
          </cell>
        </row>
        <row r="1488">
          <cell r="A1488" t="str">
            <v>MQZHKK0L</v>
          </cell>
          <cell r="B1488" t="str">
            <v>MQZHK</v>
          </cell>
        </row>
        <row r="1489">
          <cell r="A1489" t="str">
            <v>MQZHKK0M</v>
          </cell>
          <cell r="B1489" t="str">
            <v>MQZHK</v>
          </cell>
        </row>
        <row r="1490">
          <cell r="A1490" t="str">
            <v>MQZHKK0S</v>
          </cell>
          <cell r="B1490" t="str">
            <v>MQZHK</v>
          </cell>
        </row>
        <row r="1491">
          <cell r="A1491" t="str">
            <v>MQZHKK0XL</v>
          </cell>
          <cell r="B1491" t="str">
            <v>MQZHK</v>
          </cell>
        </row>
        <row r="1492">
          <cell r="A1492" t="str">
            <v>MQZHKK0XXL</v>
          </cell>
          <cell r="B1492" t="str">
            <v>MQZHK</v>
          </cell>
        </row>
        <row r="1493">
          <cell r="A1493" t="str">
            <v>MY16055K0L</v>
          </cell>
          <cell r="B1493" t="str">
            <v>MQZHK</v>
          </cell>
        </row>
        <row r="1494">
          <cell r="A1494" t="str">
            <v>MY16055K0M</v>
          </cell>
          <cell r="B1494" t="str">
            <v>MQZHK</v>
          </cell>
        </row>
        <row r="1495">
          <cell r="A1495" t="str">
            <v>MY16055K0S</v>
          </cell>
          <cell r="B1495" t="str">
            <v>MQZHK</v>
          </cell>
        </row>
        <row r="1496">
          <cell r="A1496" t="str">
            <v>MY16055K0XL</v>
          </cell>
          <cell r="B1496" t="str">
            <v>MY16055</v>
          </cell>
        </row>
        <row r="1497">
          <cell r="A1497" t="str">
            <v>MY16055K0XXL</v>
          </cell>
          <cell r="B1497" t="str">
            <v>MY16055</v>
          </cell>
        </row>
        <row r="1498">
          <cell r="A1498" t="str">
            <v>MY16055MSL</v>
          </cell>
          <cell r="B1498" t="str">
            <v>MY16055</v>
          </cell>
        </row>
        <row r="1499">
          <cell r="A1499" t="str">
            <v>MY16055MSM</v>
          </cell>
          <cell r="B1499" t="str">
            <v>MY16055</v>
          </cell>
        </row>
        <row r="1500">
          <cell r="A1500" t="str">
            <v>MY16055MSS</v>
          </cell>
          <cell r="B1500" t="str">
            <v>MY16055</v>
          </cell>
        </row>
        <row r="1501">
          <cell r="A1501" t="str">
            <v>MY16055MSXL</v>
          </cell>
          <cell r="B1501" t="str">
            <v>MY16055</v>
          </cell>
        </row>
        <row r="1502">
          <cell r="A1502" t="str">
            <v>MY16055MSXXL</v>
          </cell>
          <cell r="B1502" t="str">
            <v>MY16055</v>
          </cell>
        </row>
        <row r="1503">
          <cell r="A1503" t="str">
            <v>MY16055ZQL</v>
          </cell>
          <cell r="B1503" t="str">
            <v>MY16055</v>
          </cell>
        </row>
        <row r="1504">
          <cell r="A1504" t="str">
            <v>MY16055ZQM</v>
          </cell>
          <cell r="B1504" t="str">
            <v>MY16055</v>
          </cell>
        </row>
        <row r="1505">
          <cell r="A1505" t="str">
            <v>MY16055ZQS</v>
          </cell>
          <cell r="B1505" t="str">
            <v>MY16055</v>
          </cell>
        </row>
        <row r="1506">
          <cell r="A1506" t="str">
            <v>MY16055ZQXL</v>
          </cell>
          <cell r="B1506" t="str">
            <v>MY16055</v>
          </cell>
        </row>
        <row r="1507">
          <cell r="A1507" t="str">
            <v>MY16055ZQXXL</v>
          </cell>
          <cell r="B1507" t="str">
            <v>MY16055</v>
          </cell>
        </row>
        <row r="1508">
          <cell r="A1508" t="str">
            <v>MY71107K0L</v>
          </cell>
          <cell r="B1508" t="str">
            <v>MY16055</v>
          </cell>
        </row>
        <row r="1509">
          <cell r="A1509" t="str">
            <v>MY71107K0M</v>
          </cell>
          <cell r="B1509" t="str">
            <v>MY16055</v>
          </cell>
        </row>
        <row r="1510">
          <cell r="A1510" t="str">
            <v>MY71107K0S</v>
          </cell>
          <cell r="B1510" t="str">
            <v>MY16055</v>
          </cell>
        </row>
        <row r="1511">
          <cell r="A1511" t="str">
            <v>MY71107K0XL</v>
          </cell>
          <cell r="B1511" t="str">
            <v>MY71107</v>
          </cell>
        </row>
        <row r="1512">
          <cell r="A1512" t="str">
            <v>MY71107K0XXL</v>
          </cell>
          <cell r="B1512" t="str">
            <v>MY71107</v>
          </cell>
        </row>
        <row r="1513">
          <cell r="A1513" t="str">
            <v>MY71107MSL</v>
          </cell>
          <cell r="B1513" t="str">
            <v>MY71107</v>
          </cell>
        </row>
        <row r="1514">
          <cell r="A1514" t="str">
            <v>MY71107MSM</v>
          </cell>
          <cell r="B1514" t="str">
            <v>MY71107</v>
          </cell>
        </row>
        <row r="1515">
          <cell r="A1515" t="str">
            <v>MY71107MSS</v>
          </cell>
          <cell r="B1515" t="str">
            <v>MY71107</v>
          </cell>
        </row>
        <row r="1516">
          <cell r="A1516" t="str">
            <v>MY71107MSXL</v>
          </cell>
          <cell r="B1516" t="str">
            <v>MY71107</v>
          </cell>
        </row>
        <row r="1517">
          <cell r="A1517" t="str">
            <v>MY71107MSXXL</v>
          </cell>
          <cell r="B1517" t="str">
            <v>MY71107</v>
          </cell>
        </row>
        <row r="1518">
          <cell r="A1518" t="str">
            <v>MY71107ZQL</v>
          </cell>
          <cell r="B1518" t="str">
            <v>MY71107</v>
          </cell>
        </row>
        <row r="1519">
          <cell r="A1519" t="str">
            <v>MY71107ZQM</v>
          </cell>
          <cell r="B1519" t="str">
            <v>MY71107</v>
          </cell>
        </row>
        <row r="1520">
          <cell r="A1520" t="str">
            <v>MY71107ZQS</v>
          </cell>
          <cell r="B1520" t="str">
            <v>MY71107</v>
          </cell>
        </row>
        <row r="1521">
          <cell r="A1521" t="str">
            <v>MY71107ZQXL</v>
          </cell>
          <cell r="B1521" t="str">
            <v>MY71107</v>
          </cell>
        </row>
        <row r="1522">
          <cell r="A1522" t="str">
            <v>MY71107ZQXXL</v>
          </cell>
          <cell r="B1522" t="str">
            <v>MY71107</v>
          </cell>
        </row>
        <row r="1523">
          <cell r="A1523" t="str">
            <v>MY71115K0L</v>
          </cell>
          <cell r="B1523" t="str">
            <v>MY71107</v>
          </cell>
        </row>
        <row r="1524">
          <cell r="A1524" t="str">
            <v>MY71115K0M</v>
          </cell>
          <cell r="B1524" t="str">
            <v>MY71107</v>
          </cell>
        </row>
        <row r="1525">
          <cell r="A1525" t="str">
            <v>MY71115K0S</v>
          </cell>
          <cell r="B1525" t="str">
            <v>MY71107</v>
          </cell>
        </row>
        <row r="1526">
          <cell r="A1526" t="str">
            <v>MY71115K0XL</v>
          </cell>
          <cell r="B1526" t="str">
            <v>MY71115</v>
          </cell>
        </row>
        <row r="1527">
          <cell r="A1527" t="str">
            <v>MY71115K0XXL</v>
          </cell>
          <cell r="B1527" t="str">
            <v>MY71115</v>
          </cell>
        </row>
        <row r="1528">
          <cell r="A1528" t="str">
            <v>MY71115MSL</v>
          </cell>
          <cell r="B1528" t="str">
            <v>MY71115</v>
          </cell>
        </row>
        <row r="1529">
          <cell r="A1529" t="str">
            <v>MY71115MSM</v>
          </cell>
          <cell r="B1529" t="str">
            <v>MY71115</v>
          </cell>
        </row>
        <row r="1530">
          <cell r="A1530" t="str">
            <v>MY71115MSS</v>
          </cell>
          <cell r="B1530" t="str">
            <v>MY71115</v>
          </cell>
        </row>
        <row r="1531">
          <cell r="A1531" t="str">
            <v>MY71115MSXL</v>
          </cell>
          <cell r="B1531" t="str">
            <v>MY71115</v>
          </cell>
        </row>
        <row r="1532">
          <cell r="A1532" t="str">
            <v>MY71115MSXXL</v>
          </cell>
          <cell r="B1532" t="str">
            <v>MY71115</v>
          </cell>
        </row>
        <row r="1533">
          <cell r="A1533" t="str">
            <v>MY71115ZQL</v>
          </cell>
          <cell r="B1533" t="str">
            <v>MY71115</v>
          </cell>
        </row>
        <row r="1534">
          <cell r="A1534" t="str">
            <v>MY71115ZQM</v>
          </cell>
          <cell r="B1534" t="str">
            <v>MY71115</v>
          </cell>
        </row>
        <row r="1535">
          <cell r="A1535" t="str">
            <v>MY71115ZQS</v>
          </cell>
          <cell r="B1535" t="str">
            <v>MY71115</v>
          </cell>
        </row>
        <row r="1536">
          <cell r="A1536" t="str">
            <v>MY71115ZQXL</v>
          </cell>
          <cell r="B1536" t="str">
            <v>MY71115</v>
          </cell>
        </row>
        <row r="1537">
          <cell r="A1537" t="str">
            <v>MY71115ZQXXL</v>
          </cell>
          <cell r="B1537" t="str">
            <v>MY71115</v>
          </cell>
        </row>
        <row r="1538">
          <cell r="A1538" t="str">
            <v>MZCXKG0</v>
          </cell>
          <cell r="B1538" t="str">
            <v>MY71115</v>
          </cell>
        </row>
        <row r="1539">
          <cell r="A1539" t="str">
            <v>MZCXKQL</v>
          </cell>
          <cell r="B1539" t="str">
            <v>MY71115</v>
          </cell>
        </row>
        <row r="1540">
          <cell r="A1540" t="str">
            <v>MZCXKR0</v>
          </cell>
          <cell r="B1540" t="str">
            <v>MY71115</v>
          </cell>
        </row>
        <row r="1541">
          <cell r="A1541" t="str">
            <v>N029YE036</v>
          </cell>
          <cell r="B1541" t="str">
            <v>MZCXK</v>
          </cell>
        </row>
        <row r="1542">
          <cell r="A1542" t="str">
            <v>N029YE038</v>
          </cell>
          <cell r="B1542" t="str">
            <v>MZCXK</v>
          </cell>
        </row>
        <row r="1543">
          <cell r="A1543" t="str">
            <v>N029YE040</v>
          </cell>
          <cell r="B1543" t="str">
            <v>MZCXK</v>
          </cell>
        </row>
        <row r="1544">
          <cell r="A1544" t="str">
            <v>N029YHL36</v>
          </cell>
          <cell r="B1544" t="str">
            <v>N029Y</v>
          </cell>
        </row>
        <row r="1545">
          <cell r="A1545" t="str">
            <v>N029YHL38</v>
          </cell>
          <cell r="B1545" t="str">
            <v>N029Y</v>
          </cell>
        </row>
        <row r="1546">
          <cell r="A1546" t="str">
            <v>N029YHL40</v>
          </cell>
          <cell r="B1546" t="str">
            <v>N029Y</v>
          </cell>
        </row>
        <row r="1547">
          <cell r="A1547" t="str">
            <v>N029YK036</v>
          </cell>
          <cell r="B1547" t="str">
            <v>N029Y</v>
          </cell>
        </row>
        <row r="1548">
          <cell r="A1548" t="str">
            <v>N029YK038</v>
          </cell>
          <cell r="B1548" t="str">
            <v>N029Y</v>
          </cell>
        </row>
        <row r="1549">
          <cell r="A1549" t="str">
            <v>N029YK040</v>
          </cell>
          <cell r="B1549" t="str">
            <v>N029Y</v>
          </cell>
        </row>
        <row r="1550">
          <cell r="A1550" t="str">
            <v>N029YMH36</v>
          </cell>
          <cell r="B1550" t="str">
            <v>N029Y</v>
          </cell>
        </row>
        <row r="1551">
          <cell r="A1551" t="str">
            <v>N029YMH38</v>
          </cell>
          <cell r="B1551" t="str">
            <v>N029Y</v>
          </cell>
        </row>
        <row r="1552">
          <cell r="A1552" t="str">
            <v>N029YMH40</v>
          </cell>
          <cell r="B1552" t="str">
            <v>N029Y</v>
          </cell>
        </row>
        <row r="1553">
          <cell r="A1553" t="str">
            <v>N039YB036</v>
          </cell>
          <cell r="B1553" t="str">
            <v>N029Y</v>
          </cell>
        </row>
        <row r="1554">
          <cell r="A1554" t="str">
            <v>N039YB038</v>
          </cell>
          <cell r="B1554" t="str">
            <v>N029Y</v>
          </cell>
        </row>
        <row r="1555">
          <cell r="A1555" t="str">
            <v>N039YB040</v>
          </cell>
          <cell r="B1555" t="str">
            <v>N029Y</v>
          </cell>
        </row>
        <row r="1556">
          <cell r="A1556" t="str">
            <v>N039YG036</v>
          </cell>
          <cell r="B1556" t="str">
            <v>N039Y</v>
          </cell>
        </row>
        <row r="1557">
          <cell r="A1557" t="str">
            <v>N039YG038</v>
          </cell>
          <cell r="B1557" t="str">
            <v>N039Y</v>
          </cell>
        </row>
        <row r="1558">
          <cell r="A1558" t="str">
            <v>N039YG040</v>
          </cell>
          <cell r="B1558" t="str">
            <v>N039Y</v>
          </cell>
        </row>
        <row r="1559">
          <cell r="A1559" t="str">
            <v>N039YP036</v>
          </cell>
          <cell r="B1559" t="str">
            <v>N039Y</v>
          </cell>
        </row>
        <row r="1560">
          <cell r="A1560" t="str">
            <v>N039YP038</v>
          </cell>
          <cell r="B1560" t="str">
            <v>N039Y</v>
          </cell>
        </row>
        <row r="1561">
          <cell r="A1561" t="str">
            <v>N039YP040</v>
          </cell>
          <cell r="B1561" t="str">
            <v>N039Y</v>
          </cell>
        </row>
        <row r="1562">
          <cell r="A1562" t="str">
            <v>N039YR036</v>
          </cell>
          <cell r="B1562" t="str">
            <v>N039Y</v>
          </cell>
        </row>
        <row r="1563">
          <cell r="A1563" t="str">
            <v>N039YR038</v>
          </cell>
          <cell r="B1563" t="str">
            <v>N039Y</v>
          </cell>
        </row>
        <row r="1564">
          <cell r="A1564" t="str">
            <v>N039YR040</v>
          </cell>
          <cell r="B1564" t="str">
            <v>N039Y</v>
          </cell>
        </row>
        <row r="1565">
          <cell r="A1565" t="str">
            <v>N039YTHS36</v>
          </cell>
          <cell r="B1565" t="str">
            <v>N039Y</v>
          </cell>
        </row>
        <row r="1566">
          <cell r="A1566" t="str">
            <v>N039YTHS38</v>
          </cell>
          <cell r="B1566" t="str">
            <v>N039Y</v>
          </cell>
        </row>
        <row r="1567">
          <cell r="A1567" t="str">
            <v>N039YTHS40</v>
          </cell>
          <cell r="B1567" t="str">
            <v>N039Y</v>
          </cell>
        </row>
        <row r="1568">
          <cell r="A1568" t="str">
            <v>N039YXGH36</v>
          </cell>
          <cell r="B1568" t="str">
            <v>N039Y</v>
          </cell>
        </row>
        <row r="1569">
          <cell r="A1569" t="str">
            <v>N039YXGH38</v>
          </cell>
          <cell r="B1569" t="str">
            <v>N039Y</v>
          </cell>
        </row>
        <row r="1570">
          <cell r="A1570" t="str">
            <v>N039YXGH40</v>
          </cell>
          <cell r="B1570" t="str">
            <v>N039Y</v>
          </cell>
        </row>
        <row r="1571">
          <cell r="A1571" t="str">
            <v>N1022YJH32</v>
          </cell>
          <cell r="B1571" t="str">
            <v>N1022Y</v>
          </cell>
        </row>
        <row r="1572">
          <cell r="A1572" t="str">
            <v>N1022YJH34</v>
          </cell>
          <cell r="B1572" t="str">
            <v>N1022Y</v>
          </cell>
        </row>
        <row r="1573">
          <cell r="A1573" t="str">
            <v>N1022YJH36</v>
          </cell>
          <cell r="B1573" t="str">
            <v>N1022Y</v>
          </cell>
        </row>
        <row r="1574">
          <cell r="A1574" t="str">
            <v>N1022YQL32</v>
          </cell>
          <cell r="B1574" t="str">
            <v>N1022Y</v>
          </cell>
        </row>
        <row r="1575">
          <cell r="A1575" t="str">
            <v>N1022YQL34</v>
          </cell>
          <cell r="B1575" t="str">
            <v>N1022Y</v>
          </cell>
        </row>
        <row r="1576">
          <cell r="A1576" t="str">
            <v>N1022YQL36</v>
          </cell>
          <cell r="B1576" t="str">
            <v>N1022Y</v>
          </cell>
        </row>
        <row r="1577">
          <cell r="A1577" t="str">
            <v>N1022YQZ32</v>
          </cell>
          <cell r="B1577" t="str">
            <v>N1022Y</v>
          </cell>
        </row>
        <row r="1578">
          <cell r="A1578" t="str">
            <v>N1022YQZ34</v>
          </cell>
          <cell r="B1578" t="str">
            <v>N1022Y</v>
          </cell>
        </row>
        <row r="1579">
          <cell r="A1579" t="str">
            <v>N1022YQZ36</v>
          </cell>
          <cell r="B1579" t="str">
            <v>N1022Y</v>
          </cell>
        </row>
        <row r="1580">
          <cell r="A1580" t="str">
            <v>N1022YR532</v>
          </cell>
          <cell r="B1580" t="str">
            <v>N1022Y</v>
          </cell>
        </row>
        <row r="1581">
          <cell r="A1581" t="str">
            <v>N1022YR534</v>
          </cell>
          <cell r="B1581" t="str">
            <v>N1022Y</v>
          </cell>
        </row>
        <row r="1582">
          <cell r="A1582" t="str">
            <v>N1022YR536</v>
          </cell>
          <cell r="B1582" t="str">
            <v>N1022Y</v>
          </cell>
        </row>
        <row r="1583">
          <cell r="A1583" t="str">
            <v>N1022YW032</v>
          </cell>
          <cell r="B1583" t="str">
            <v>N1022Y</v>
          </cell>
        </row>
        <row r="1584">
          <cell r="A1584" t="str">
            <v>N1022YW034</v>
          </cell>
          <cell r="B1584" t="str">
            <v>N1022Y</v>
          </cell>
        </row>
        <row r="1585">
          <cell r="A1585" t="str">
            <v>N1022YW036</v>
          </cell>
          <cell r="B1585" t="str">
            <v>N1022Y</v>
          </cell>
        </row>
        <row r="1586">
          <cell r="A1586" t="str">
            <v>N1226YG034</v>
          </cell>
          <cell r="B1586" t="str">
            <v>N039Y</v>
          </cell>
        </row>
        <row r="1587">
          <cell r="A1587" t="str">
            <v>N1226YG036</v>
          </cell>
          <cell r="B1587" t="str">
            <v>N039Y</v>
          </cell>
        </row>
        <row r="1588">
          <cell r="A1588" t="str">
            <v>N1226YG038</v>
          </cell>
          <cell r="B1588" t="str">
            <v>N039Y</v>
          </cell>
        </row>
        <row r="1589">
          <cell r="A1589" t="str">
            <v>N1226YG040</v>
          </cell>
          <cell r="B1589" t="str">
            <v>N1226Y</v>
          </cell>
        </row>
        <row r="1590">
          <cell r="A1590" t="str">
            <v>N1226YK034</v>
          </cell>
          <cell r="B1590" t="str">
            <v>N1226Y</v>
          </cell>
        </row>
        <row r="1591">
          <cell r="A1591" t="str">
            <v>N1226YK036</v>
          </cell>
          <cell r="B1591" t="str">
            <v>N1226Y</v>
          </cell>
        </row>
        <row r="1592">
          <cell r="A1592" t="str">
            <v>N1226YK038</v>
          </cell>
          <cell r="B1592" t="str">
            <v>N1226Y</v>
          </cell>
        </row>
        <row r="1593">
          <cell r="A1593" t="str">
            <v>N1226YKF34</v>
          </cell>
          <cell r="B1593" t="str">
            <v>N1226Y</v>
          </cell>
        </row>
        <row r="1594">
          <cell r="A1594" t="str">
            <v>N1226YKF36</v>
          </cell>
          <cell r="B1594" t="str">
            <v>N1226Y</v>
          </cell>
        </row>
        <row r="1595">
          <cell r="A1595" t="str">
            <v>N1226YKF38</v>
          </cell>
          <cell r="B1595" t="str">
            <v>N1226Y</v>
          </cell>
        </row>
        <row r="1596">
          <cell r="A1596" t="str">
            <v>N1226YKF40</v>
          </cell>
          <cell r="B1596" t="str">
            <v>N1226Y</v>
          </cell>
        </row>
        <row r="1597">
          <cell r="A1597" t="str">
            <v>N1226YXS34</v>
          </cell>
          <cell r="B1597" t="str">
            <v>N1226Y</v>
          </cell>
        </row>
        <row r="1598">
          <cell r="A1598" t="str">
            <v>N1226YXS36</v>
          </cell>
          <cell r="B1598" t="str">
            <v>N1226Y</v>
          </cell>
        </row>
        <row r="1599">
          <cell r="A1599" t="str">
            <v>N1226YXS38</v>
          </cell>
          <cell r="B1599" t="str">
            <v>N1226Y</v>
          </cell>
        </row>
        <row r="1600">
          <cell r="A1600" t="str">
            <v>N1228YDSS36</v>
          </cell>
          <cell r="B1600" t="str">
            <v>N1226Y</v>
          </cell>
        </row>
        <row r="1601">
          <cell r="A1601" t="str">
            <v>N1228YDSS38</v>
          </cell>
          <cell r="B1601" t="str">
            <v>N1226Y</v>
          </cell>
        </row>
        <row r="1602">
          <cell r="A1602" t="str">
            <v>N1228YDSS40</v>
          </cell>
          <cell r="B1602" t="str">
            <v>N1226Y</v>
          </cell>
        </row>
        <row r="1603">
          <cell r="A1603" t="str">
            <v>N1228YDSS42</v>
          </cell>
          <cell r="B1603" t="str">
            <v>N1228Y</v>
          </cell>
        </row>
        <row r="1604">
          <cell r="A1604" t="str">
            <v>N1228YG036</v>
          </cell>
          <cell r="B1604" t="str">
            <v>N1228Y</v>
          </cell>
        </row>
        <row r="1605">
          <cell r="A1605" t="str">
            <v>N1228YG038</v>
          </cell>
          <cell r="B1605" t="str">
            <v>N1228Y</v>
          </cell>
        </row>
        <row r="1606">
          <cell r="A1606" t="str">
            <v>N1228YG040</v>
          </cell>
          <cell r="B1606" t="str">
            <v>N1228Y</v>
          </cell>
        </row>
        <row r="1607">
          <cell r="A1607" t="str">
            <v>N1228YG042</v>
          </cell>
          <cell r="B1607" t="str">
            <v>N1228Y</v>
          </cell>
        </row>
        <row r="1608">
          <cell r="A1608" t="str">
            <v>N1228YK036</v>
          </cell>
          <cell r="B1608" t="str">
            <v>N1228Y</v>
          </cell>
        </row>
        <row r="1609">
          <cell r="A1609" t="str">
            <v>N1228YK038</v>
          </cell>
          <cell r="B1609" t="str">
            <v>N1228Y</v>
          </cell>
        </row>
        <row r="1610">
          <cell r="A1610" t="str">
            <v>N1228YK040</v>
          </cell>
          <cell r="B1610" t="str">
            <v>N1228Y</v>
          </cell>
        </row>
        <row r="1611">
          <cell r="A1611" t="str">
            <v>N1228YK042</v>
          </cell>
          <cell r="B1611" t="str">
            <v>N1228Y</v>
          </cell>
        </row>
        <row r="1612">
          <cell r="A1612" t="str">
            <v>N1228YXS36</v>
          </cell>
          <cell r="B1612" t="str">
            <v>N1228Y</v>
          </cell>
        </row>
        <row r="1613">
          <cell r="A1613" t="str">
            <v>N1228YXS38</v>
          </cell>
          <cell r="B1613" t="str">
            <v>N1228Y</v>
          </cell>
        </row>
        <row r="1614">
          <cell r="A1614" t="str">
            <v>N1228YXS40</v>
          </cell>
          <cell r="B1614" t="str">
            <v>N1228Y</v>
          </cell>
        </row>
        <row r="1615">
          <cell r="A1615" t="str">
            <v>N1228YXS42</v>
          </cell>
          <cell r="B1615" t="str">
            <v>N1228Y</v>
          </cell>
        </row>
        <row r="1616">
          <cell r="A1616" t="str">
            <v>N158YB038</v>
          </cell>
          <cell r="B1616" t="str">
            <v>N1228Y</v>
          </cell>
        </row>
        <row r="1617">
          <cell r="A1617" t="str">
            <v>N158YB040</v>
          </cell>
          <cell r="B1617" t="str">
            <v>N1228Y</v>
          </cell>
        </row>
        <row r="1618">
          <cell r="A1618" t="str">
            <v>N158YK038</v>
          </cell>
          <cell r="B1618" t="str">
            <v>N1228Y</v>
          </cell>
        </row>
        <row r="1619">
          <cell r="A1619" t="str">
            <v>N158YK040</v>
          </cell>
          <cell r="B1619" t="str">
            <v>N158Y</v>
          </cell>
        </row>
        <row r="1620">
          <cell r="A1620" t="str">
            <v>N158YR038</v>
          </cell>
          <cell r="B1620" t="str">
            <v>N158Y</v>
          </cell>
        </row>
        <row r="1621">
          <cell r="A1621" t="str">
            <v>N158YR040</v>
          </cell>
          <cell r="B1621" t="str">
            <v>N158Y</v>
          </cell>
        </row>
        <row r="1622">
          <cell r="A1622" t="str">
            <v>N1709YB042</v>
          </cell>
          <cell r="B1622" t="str">
            <v>N158Y</v>
          </cell>
        </row>
        <row r="1623">
          <cell r="A1623" t="str">
            <v>N1709YB044</v>
          </cell>
          <cell r="B1623" t="str">
            <v>N158Y</v>
          </cell>
        </row>
        <row r="1624">
          <cell r="A1624" t="str">
            <v>N1709YB046</v>
          </cell>
          <cell r="B1624" t="str">
            <v>N158Y</v>
          </cell>
        </row>
        <row r="1625">
          <cell r="A1625" t="str">
            <v>N1709YB048</v>
          </cell>
          <cell r="B1625" t="str">
            <v>N1709Y</v>
          </cell>
        </row>
        <row r="1626">
          <cell r="A1626" t="str">
            <v>N1709YK042</v>
          </cell>
          <cell r="B1626" t="str">
            <v>N1709Y</v>
          </cell>
        </row>
        <row r="1627">
          <cell r="A1627" t="str">
            <v>N1709YK044</v>
          </cell>
          <cell r="B1627" t="str">
            <v>N1709Y</v>
          </cell>
        </row>
        <row r="1628">
          <cell r="A1628" t="str">
            <v>N1709YK046</v>
          </cell>
          <cell r="B1628" t="str">
            <v>N1709Y</v>
          </cell>
        </row>
        <row r="1629">
          <cell r="A1629" t="str">
            <v>N1709YK048</v>
          </cell>
          <cell r="B1629" t="str">
            <v>N1709Y</v>
          </cell>
        </row>
        <row r="1630">
          <cell r="A1630" t="str">
            <v>N1709YR042</v>
          </cell>
          <cell r="B1630" t="str">
            <v>N1709Y</v>
          </cell>
        </row>
        <row r="1631">
          <cell r="A1631" t="str">
            <v>N1709YR044</v>
          </cell>
          <cell r="B1631" t="str">
            <v>N1709Y</v>
          </cell>
        </row>
        <row r="1632">
          <cell r="A1632" t="str">
            <v>N1709YR046</v>
          </cell>
          <cell r="B1632" t="str">
            <v>N1709Y</v>
          </cell>
        </row>
        <row r="1633">
          <cell r="A1633" t="str">
            <v>N1709YR048</v>
          </cell>
          <cell r="B1633" t="str">
            <v>N1709Y</v>
          </cell>
        </row>
        <row r="1634">
          <cell r="A1634" t="str">
            <v>N1709YW042</v>
          </cell>
          <cell r="B1634" t="str">
            <v>N1709Y</v>
          </cell>
        </row>
        <row r="1635">
          <cell r="A1635" t="str">
            <v>N1709YW044</v>
          </cell>
          <cell r="B1635" t="str">
            <v>N1709Y</v>
          </cell>
        </row>
        <row r="1636">
          <cell r="A1636" t="str">
            <v>N1709YW046</v>
          </cell>
          <cell r="B1636" t="str">
            <v>N1709Y</v>
          </cell>
        </row>
        <row r="1637">
          <cell r="A1637" t="str">
            <v>N1709YW048</v>
          </cell>
          <cell r="B1637" t="str">
            <v>N1709Y</v>
          </cell>
        </row>
        <row r="1638">
          <cell r="A1638" t="str">
            <v>N1709YXS42</v>
          </cell>
          <cell r="B1638" t="str">
            <v>N1709Y</v>
          </cell>
        </row>
        <row r="1639">
          <cell r="A1639" t="str">
            <v>N1709YXS44</v>
          </cell>
          <cell r="B1639" t="str">
            <v>N1709Y</v>
          </cell>
        </row>
        <row r="1640">
          <cell r="A1640" t="str">
            <v>N1709YXS46</v>
          </cell>
          <cell r="B1640" t="str">
            <v>N1709Y</v>
          </cell>
        </row>
        <row r="1641">
          <cell r="A1641" t="str">
            <v>N1709YXS48</v>
          </cell>
          <cell r="B1641" t="str">
            <v>N1709Y</v>
          </cell>
        </row>
        <row r="1642">
          <cell r="A1642" t="str">
            <v>N1709YZS42</v>
          </cell>
          <cell r="B1642" t="str">
            <v>N1709Y</v>
          </cell>
        </row>
        <row r="1643">
          <cell r="A1643" t="str">
            <v>N1709YZS44</v>
          </cell>
          <cell r="B1643" t="str">
            <v>N1709Y</v>
          </cell>
        </row>
        <row r="1644">
          <cell r="A1644" t="str">
            <v>N1709YZS46</v>
          </cell>
          <cell r="B1644" t="str">
            <v>N1709Y</v>
          </cell>
        </row>
        <row r="1645">
          <cell r="A1645" t="str">
            <v>N1709YZS48</v>
          </cell>
          <cell r="B1645" t="str">
            <v>N1709Y</v>
          </cell>
        </row>
        <row r="1646">
          <cell r="A1646" t="str">
            <v>N2033YK036</v>
          </cell>
          <cell r="B1646" t="str">
            <v>N1709Y</v>
          </cell>
        </row>
        <row r="1647">
          <cell r="A1647" t="str">
            <v>N2033YK038</v>
          </cell>
          <cell r="B1647" t="str">
            <v>N1709Y</v>
          </cell>
        </row>
        <row r="1648">
          <cell r="A1648" t="str">
            <v>N2033YK040</v>
          </cell>
          <cell r="B1648" t="str">
            <v>N1709Y</v>
          </cell>
        </row>
        <row r="1649">
          <cell r="A1649" t="str">
            <v>N2033YK042</v>
          </cell>
          <cell r="B1649" t="str">
            <v>N2033Y</v>
          </cell>
        </row>
        <row r="1650">
          <cell r="A1650" t="str">
            <v>N2033YSG36</v>
          </cell>
          <cell r="B1650" t="str">
            <v>N2033Y</v>
          </cell>
        </row>
        <row r="1651">
          <cell r="A1651" t="str">
            <v>N2033YSG38</v>
          </cell>
          <cell r="B1651" t="str">
            <v>N2033Y</v>
          </cell>
        </row>
        <row r="1652">
          <cell r="A1652" t="str">
            <v>N2033YSG40</v>
          </cell>
          <cell r="B1652" t="str">
            <v>N2033Y</v>
          </cell>
        </row>
        <row r="1653">
          <cell r="A1653" t="str">
            <v>N2033YSG42</v>
          </cell>
          <cell r="B1653" t="str">
            <v>N2033Y</v>
          </cell>
        </row>
        <row r="1654">
          <cell r="A1654" t="str">
            <v>N2047YK032</v>
          </cell>
          <cell r="B1654" t="str">
            <v>N2033Y</v>
          </cell>
        </row>
        <row r="1655">
          <cell r="A1655" t="str">
            <v>N2047YK034</v>
          </cell>
          <cell r="B1655" t="str">
            <v>N2033Y</v>
          </cell>
        </row>
        <row r="1656">
          <cell r="A1656" t="str">
            <v>N2047YK036</v>
          </cell>
          <cell r="B1656" t="str">
            <v>N2033Y</v>
          </cell>
        </row>
        <row r="1657">
          <cell r="A1657" t="str">
            <v>N2047YXS32</v>
          </cell>
          <cell r="B1657" t="str">
            <v>N2047Y</v>
          </cell>
        </row>
        <row r="1658">
          <cell r="A1658" t="str">
            <v>N2047YXS34</v>
          </cell>
          <cell r="B1658" t="str">
            <v>N2047Y</v>
          </cell>
        </row>
        <row r="1659">
          <cell r="A1659" t="str">
            <v>N2047YXS36</v>
          </cell>
          <cell r="B1659" t="str">
            <v>N2047Y</v>
          </cell>
        </row>
        <row r="1660">
          <cell r="A1660" t="str">
            <v>N2082YK034</v>
          </cell>
          <cell r="B1660" t="str">
            <v>N2047Y</v>
          </cell>
        </row>
        <row r="1661">
          <cell r="A1661" t="str">
            <v>N2082YK036</v>
          </cell>
          <cell r="B1661" t="str">
            <v>N2047Y</v>
          </cell>
        </row>
        <row r="1662">
          <cell r="A1662" t="str">
            <v>N2082YK038</v>
          </cell>
          <cell r="B1662" t="str">
            <v>N2047Y</v>
          </cell>
        </row>
        <row r="1663">
          <cell r="A1663" t="str">
            <v>N2082YQJ34</v>
          </cell>
          <cell r="B1663" t="str">
            <v>N2082Y</v>
          </cell>
        </row>
        <row r="1664">
          <cell r="A1664" t="str">
            <v>N2082YQJ36</v>
          </cell>
          <cell r="B1664" t="str">
            <v>N2082Y</v>
          </cell>
        </row>
        <row r="1665">
          <cell r="A1665" t="str">
            <v>N2082YQJ38</v>
          </cell>
          <cell r="B1665" t="str">
            <v>N2082Y</v>
          </cell>
        </row>
        <row r="1666">
          <cell r="A1666" t="str">
            <v>N2082YQLS34</v>
          </cell>
          <cell r="B1666" t="str">
            <v>N2082Y</v>
          </cell>
        </row>
        <row r="1667">
          <cell r="A1667" t="str">
            <v>N2082YQLS36</v>
          </cell>
          <cell r="B1667" t="str">
            <v>N2082Y</v>
          </cell>
        </row>
        <row r="1668">
          <cell r="A1668" t="str">
            <v>N2082YQLS38</v>
          </cell>
          <cell r="B1668" t="str">
            <v>N2082Y</v>
          </cell>
        </row>
        <row r="1669">
          <cell r="A1669" t="str">
            <v>N2257YG034</v>
          </cell>
          <cell r="B1669" t="str">
            <v>N2082Y</v>
          </cell>
        </row>
        <row r="1670">
          <cell r="A1670" t="str">
            <v>N2257YG036</v>
          </cell>
          <cell r="B1670" t="str">
            <v>N2082Y</v>
          </cell>
        </row>
        <row r="1671">
          <cell r="A1671" t="str">
            <v>N2257YK034</v>
          </cell>
          <cell r="B1671" t="str">
            <v>N2082Y</v>
          </cell>
        </row>
        <row r="1672">
          <cell r="A1672" t="str">
            <v>N2257YK036</v>
          </cell>
          <cell r="B1672" t="str">
            <v>N2257Y</v>
          </cell>
        </row>
        <row r="1673">
          <cell r="A1673" t="str">
            <v>N2257YK038</v>
          </cell>
          <cell r="B1673" t="str">
            <v>N2257Y</v>
          </cell>
        </row>
        <row r="1674">
          <cell r="A1674" t="str">
            <v>N2257YR534</v>
          </cell>
          <cell r="B1674" t="str">
            <v>N2257Y</v>
          </cell>
        </row>
        <row r="1675">
          <cell r="A1675" t="str">
            <v>N2257YR536</v>
          </cell>
          <cell r="B1675" t="str">
            <v>N2257Y</v>
          </cell>
        </row>
        <row r="1676">
          <cell r="A1676" t="str">
            <v>N2257YR538</v>
          </cell>
          <cell r="B1676" t="str">
            <v>N2257Y</v>
          </cell>
        </row>
        <row r="1677">
          <cell r="A1677" t="str">
            <v>N2257YSG36</v>
          </cell>
          <cell r="B1677" t="str">
            <v>N2257Y</v>
          </cell>
        </row>
        <row r="1678">
          <cell r="A1678" t="str">
            <v>N2257YSG38</v>
          </cell>
          <cell r="B1678" t="str">
            <v>N2257Y</v>
          </cell>
        </row>
        <row r="1679">
          <cell r="A1679" t="str">
            <v>N263YK036</v>
          </cell>
          <cell r="B1679" t="str">
            <v>N2257Y</v>
          </cell>
        </row>
        <row r="1680">
          <cell r="A1680" t="str">
            <v>N263YK038</v>
          </cell>
          <cell r="B1680" t="str">
            <v>N2257Y</v>
          </cell>
        </row>
        <row r="1681">
          <cell r="A1681" t="str">
            <v>N263YK040</v>
          </cell>
          <cell r="B1681" t="str">
            <v>N2257Y</v>
          </cell>
        </row>
        <row r="1682">
          <cell r="A1682" t="str">
            <v>N263YK042</v>
          </cell>
          <cell r="B1682" t="str">
            <v>N263Y</v>
          </cell>
        </row>
        <row r="1683">
          <cell r="A1683" t="str">
            <v>N263YP036</v>
          </cell>
          <cell r="B1683" t="str">
            <v>N263Y</v>
          </cell>
        </row>
        <row r="1684">
          <cell r="A1684" t="str">
            <v>N263YP038</v>
          </cell>
          <cell r="B1684" t="str">
            <v>N263Y</v>
          </cell>
        </row>
        <row r="1685">
          <cell r="A1685" t="str">
            <v>N263YP040</v>
          </cell>
          <cell r="B1685" t="str">
            <v>N263Y</v>
          </cell>
        </row>
        <row r="1686">
          <cell r="A1686" t="str">
            <v>N263YP042</v>
          </cell>
          <cell r="B1686" t="str">
            <v>N263Y</v>
          </cell>
        </row>
        <row r="1687">
          <cell r="A1687" t="str">
            <v>N2716YHL34</v>
          </cell>
          <cell r="B1687" t="str">
            <v>N263Y</v>
          </cell>
        </row>
        <row r="1688">
          <cell r="A1688" t="str">
            <v>N2716YHL36</v>
          </cell>
          <cell r="B1688" t="str">
            <v>N263Y</v>
          </cell>
        </row>
        <row r="1689">
          <cell r="A1689" t="str">
            <v>N2716YHL38</v>
          </cell>
          <cell r="B1689" t="str">
            <v>N263Y</v>
          </cell>
        </row>
        <row r="1690">
          <cell r="A1690" t="str">
            <v>N2716YMH34</v>
          </cell>
          <cell r="B1690" t="str">
            <v>N2716Y</v>
          </cell>
        </row>
        <row r="1691">
          <cell r="A1691" t="str">
            <v>N2716YMH36</v>
          </cell>
          <cell r="B1691" t="str">
            <v>N2716Y</v>
          </cell>
        </row>
        <row r="1692">
          <cell r="A1692" t="str">
            <v>N2716YMH38</v>
          </cell>
          <cell r="B1692" t="str">
            <v>N2716Y</v>
          </cell>
        </row>
        <row r="1693">
          <cell r="A1693" t="str">
            <v>N2716YR034</v>
          </cell>
          <cell r="B1693" t="str">
            <v>N2716Y</v>
          </cell>
        </row>
        <row r="1694">
          <cell r="A1694" t="str">
            <v>N2716YR036</v>
          </cell>
          <cell r="B1694" t="str">
            <v>N2716Y</v>
          </cell>
        </row>
        <row r="1695">
          <cell r="A1695" t="str">
            <v>N2716YR038</v>
          </cell>
          <cell r="B1695" t="str">
            <v>N2716Y</v>
          </cell>
        </row>
        <row r="1696">
          <cell r="A1696" t="str">
            <v>N2716YYGL34</v>
          </cell>
          <cell r="B1696" t="str">
            <v>N2716Y</v>
          </cell>
        </row>
        <row r="1697">
          <cell r="A1697" t="str">
            <v>N2716YYGL36</v>
          </cell>
          <cell r="B1697" t="str">
            <v>N2716Y</v>
          </cell>
        </row>
        <row r="1698">
          <cell r="A1698" t="str">
            <v>N2716YYGL38</v>
          </cell>
          <cell r="B1698" t="str">
            <v>N2716Y</v>
          </cell>
        </row>
        <row r="1699">
          <cell r="A1699" t="str">
            <v>N283YB038</v>
          </cell>
          <cell r="B1699" t="str">
            <v>N2716Y</v>
          </cell>
        </row>
        <row r="1700">
          <cell r="A1700" t="str">
            <v>N283YB040</v>
          </cell>
          <cell r="B1700" t="str">
            <v>N2716Y</v>
          </cell>
        </row>
        <row r="1701">
          <cell r="A1701" t="str">
            <v>N283YB042</v>
          </cell>
          <cell r="B1701" t="str">
            <v>N2716Y</v>
          </cell>
        </row>
        <row r="1702">
          <cell r="A1702" t="str">
            <v>N283YB044</v>
          </cell>
          <cell r="B1702" t="str">
            <v>N283Y</v>
          </cell>
        </row>
        <row r="1703">
          <cell r="A1703" t="str">
            <v>N283YB046</v>
          </cell>
          <cell r="B1703" t="str">
            <v>N283Y</v>
          </cell>
        </row>
        <row r="1704">
          <cell r="A1704" t="str">
            <v>N283YB048</v>
          </cell>
          <cell r="B1704" t="str">
            <v>N283Y</v>
          </cell>
        </row>
        <row r="1705">
          <cell r="A1705" t="str">
            <v>N283YG038</v>
          </cell>
          <cell r="B1705" t="str">
            <v>N283Y</v>
          </cell>
        </row>
        <row r="1706">
          <cell r="A1706" t="str">
            <v>N283YG040</v>
          </cell>
          <cell r="B1706" t="str">
            <v>N283Y</v>
          </cell>
        </row>
        <row r="1707">
          <cell r="A1707" t="str">
            <v>N283YG042</v>
          </cell>
          <cell r="B1707" t="str">
            <v>N283Y</v>
          </cell>
        </row>
        <row r="1708">
          <cell r="A1708" t="str">
            <v>N283YG044</v>
          </cell>
          <cell r="B1708" t="str">
            <v>N283Y</v>
          </cell>
        </row>
        <row r="1709">
          <cell r="A1709" t="str">
            <v>N283YG046</v>
          </cell>
          <cell r="B1709" t="str">
            <v>N283Y</v>
          </cell>
        </row>
        <row r="1710">
          <cell r="A1710" t="str">
            <v>N283YG048</v>
          </cell>
          <cell r="B1710" t="str">
            <v>N283Y</v>
          </cell>
        </row>
        <row r="1711">
          <cell r="A1711" t="str">
            <v>N283YMH38</v>
          </cell>
          <cell r="B1711" t="str">
            <v>N283Y</v>
          </cell>
        </row>
        <row r="1712">
          <cell r="A1712" t="str">
            <v>N283YMH40</v>
          </cell>
          <cell r="B1712" t="str">
            <v>N283Y</v>
          </cell>
        </row>
        <row r="1713">
          <cell r="A1713" t="str">
            <v>N283YMH42</v>
          </cell>
          <cell r="B1713" t="str">
            <v>N283Y</v>
          </cell>
        </row>
        <row r="1714">
          <cell r="A1714" t="str">
            <v>N283YMH44</v>
          </cell>
          <cell r="B1714" t="str">
            <v>N283Y</v>
          </cell>
        </row>
        <row r="1715">
          <cell r="A1715" t="str">
            <v>N283YMH46</v>
          </cell>
          <cell r="B1715" t="str">
            <v>N283Y</v>
          </cell>
        </row>
        <row r="1716">
          <cell r="A1716" t="str">
            <v>N283YMH48</v>
          </cell>
          <cell r="B1716" t="str">
            <v>N283Y</v>
          </cell>
        </row>
        <row r="1717">
          <cell r="A1717" t="str">
            <v>N283YP038</v>
          </cell>
          <cell r="B1717" t="str">
            <v>N283Y</v>
          </cell>
        </row>
        <row r="1718">
          <cell r="A1718" t="str">
            <v>N283YP040</v>
          </cell>
          <cell r="B1718" t="str">
            <v>N283Y</v>
          </cell>
        </row>
        <row r="1719">
          <cell r="A1719" t="str">
            <v>N283YP042</v>
          </cell>
          <cell r="B1719" t="str">
            <v>N283Y</v>
          </cell>
        </row>
        <row r="1720">
          <cell r="A1720" t="str">
            <v>N283YP044</v>
          </cell>
          <cell r="B1720" t="str">
            <v>N283Y</v>
          </cell>
        </row>
        <row r="1721">
          <cell r="A1721" t="str">
            <v>N283YP046</v>
          </cell>
          <cell r="B1721" t="str">
            <v>N283Y</v>
          </cell>
        </row>
        <row r="1722">
          <cell r="A1722" t="str">
            <v>N283YP048</v>
          </cell>
          <cell r="B1722" t="str">
            <v>N283Y</v>
          </cell>
        </row>
        <row r="1723">
          <cell r="A1723" t="str">
            <v>N283YR038</v>
          </cell>
          <cell r="B1723" t="str">
            <v>N283Y</v>
          </cell>
        </row>
        <row r="1724">
          <cell r="A1724" t="str">
            <v>N283YR040</v>
          </cell>
          <cell r="B1724" t="str">
            <v>N283Y</v>
          </cell>
        </row>
        <row r="1725">
          <cell r="A1725" t="str">
            <v>N283YR042</v>
          </cell>
          <cell r="B1725" t="str">
            <v>N283Y</v>
          </cell>
        </row>
        <row r="1726">
          <cell r="A1726" t="str">
            <v>N283YR044</v>
          </cell>
          <cell r="B1726" t="str">
            <v>N283Y</v>
          </cell>
        </row>
        <row r="1727">
          <cell r="A1727" t="str">
            <v>N283YR046</v>
          </cell>
          <cell r="B1727" t="str">
            <v>N283Y</v>
          </cell>
        </row>
        <row r="1728">
          <cell r="A1728" t="str">
            <v>N283YR048</v>
          </cell>
          <cell r="B1728" t="str">
            <v>N283Y</v>
          </cell>
        </row>
        <row r="1729">
          <cell r="A1729" t="str">
            <v>N283YW038</v>
          </cell>
          <cell r="B1729" t="str">
            <v>N283Y</v>
          </cell>
        </row>
        <row r="1730">
          <cell r="A1730" t="str">
            <v>N283YW040</v>
          </cell>
          <cell r="B1730" t="str">
            <v>N283Y</v>
          </cell>
        </row>
        <row r="1731">
          <cell r="A1731" t="str">
            <v>N283YW042</v>
          </cell>
          <cell r="B1731" t="str">
            <v>N283Y</v>
          </cell>
        </row>
        <row r="1732">
          <cell r="A1732" t="str">
            <v>N283YW044</v>
          </cell>
          <cell r="B1732" t="str">
            <v>N283Y</v>
          </cell>
        </row>
        <row r="1733">
          <cell r="A1733" t="str">
            <v>N283YW046</v>
          </cell>
          <cell r="B1733" t="str">
            <v>N283Y</v>
          </cell>
        </row>
        <row r="1734">
          <cell r="A1734" t="str">
            <v>N283YW048</v>
          </cell>
          <cell r="B1734" t="str">
            <v>N283Y</v>
          </cell>
        </row>
        <row r="1735">
          <cell r="A1735" t="str">
            <v>N299YK036</v>
          </cell>
          <cell r="B1735" t="str">
            <v>N283Y</v>
          </cell>
        </row>
        <row r="1736">
          <cell r="A1736" t="str">
            <v>N299YK038</v>
          </cell>
          <cell r="B1736" t="str">
            <v>N283Y</v>
          </cell>
        </row>
        <row r="1737">
          <cell r="A1737" t="str">
            <v>N299YK040</v>
          </cell>
          <cell r="B1737" t="str">
            <v>N283Y</v>
          </cell>
        </row>
        <row r="1738">
          <cell r="A1738" t="str">
            <v>N299YR536</v>
          </cell>
          <cell r="B1738" t="str">
            <v>N299Y</v>
          </cell>
        </row>
        <row r="1739">
          <cell r="A1739" t="str">
            <v>N299YR538</v>
          </cell>
          <cell r="B1739" t="str">
            <v>N299Y</v>
          </cell>
        </row>
        <row r="1740">
          <cell r="A1740" t="str">
            <v>N299YR540</v>
          </cell>
          <cell r="B1740" t="str">
            <v>N299Y</v>
          </cell>
        </row>
        <row r="1741">
          <cell r="A1741" t="str">
            <v>N299YSG36</v>
          </cell>
          <cell r="B1741" t="str">
            <v>N299Y</v>
          </cell>
        </row>
        <row r="1742">
          <cell r="A1742" t="str">
            <v>N299YSG38</v>
          </cell>
          <cell r="B1742" t="str">
            <v>N299Y</v>
          </cell>
        </row>
        <row r="1743">
          <cell r="A1743" t="str">
            <v>N299YSG40</v>
          </cell>
          <cell r="B1743" t="str">
            <v>N299Y</v>
          </cell>
        </row>
        <row r="1744">
          <cell r="A1744" t="str">
            <v>N31459YB038</v>
          </cell>
          <cell r="B1744" t="str">
            <v>N299Y</v>
          </cell>
        </row>
        <row r="1745">
          <cell r="A1745" t="str">
            <v>N31459YB040</v>
          </cell>
          <cell r="B1745" t="str">
            <v>N299Y</v>
          </cell>
        </row>
        <row r="1746">
          <cell r="A1746" t="str">
            <v>N31459YB042</v>
          </cell>
          <cell r="B1746" t="str">
            <v>N299Y</v>
          </cell>
        </row>
        <row r="1747">
          <cell r="A1747" t="str">
            <v>N31459YB044</v>
          </cell>
          <cell r="B1747" t="str">
            <v>N31459Y</v>
          </cell>
        </row>
        <row r="1748">
          <cell r="A1748" t="str">
            <v>N31459YB046</v>
          </cell>
          <cell r="B1748" t="str">
            <v>N31459Y</v>
          </cell>
        </row>
        <row r="1749">
          <cell r="A1749" t="str">
            <v>N31459YB048</v>
          </cell>
          <cell r="B1749" t="str">
            <v>N31459Y</v>
          </cell>
        </row>
        <row r="1750">
          <cell r="A1750" t="str">
            <v>N31459YJS38</v>
          </cell>
          <cell r="B1750" t="str">
            <v>N31459Y</v>
          </cell>
        </row>
        <row r="1751">
          <cell r="A1751" t="str">
            <v>N31459YJS40</v>
          </cell>
          <cell r="B1751" t="str">
            <v>N31459Y</v>
          </cell>
        </row>
        <row r="1752">
          <cell r="A1752" t="str">
            <v>N31459YJS42</v>
          </cell>
          <cell r="B1752" t="str">
            <v>N31459Y</v>
          </cell>
        </row>
        <row r="1753">
          <cell r="A1753" t="str">
            <v>N31459YJS44</v>
          </cell>
          <cell r="B1753" t="str">
            <v>N31459Y</v>
          </cell>
        </row>
        <row r="1754">
          <cell r="A1754" t="str">
            <v>N31459YJS46</v>
          </cell>
          <cell r="B1754" t="str">
            <v>N31459Y</v>
          </cell>
        </row>
        <row r="1755">
          <cell r="A1755" t="str">
            <v>N31459YJS48</v>
          </cell>
          <cell r="B1755" t="str">
            <v>N31459Y</v>
          </cell>
        </row>
        <row r="1756">
          <cell r="A1756" t="str">
            <v>N31459YLL38</v>
          </cell>
          <cell r="B1756" t="str">
            <v>N31459Y</v>
          </cell>
        </row>
        <row r="1757">
          <cell r="A1757" t="str">
            <v>N31459YLL40</v>
          </cell>
          <cell r="B1757" t="str">
            <v>N31459Y</v>
          </cell>
        </row>
        <row r="1758">
          <cell r="A1758" t="str">
            <v>N31459YLL42</v>
          </cell>
          <cell r="B1758" t="str">
            <v>N31459Y</v>
          </cell>
        </row>
        <row r="1759">
          <cell r="A1759" t="str">
            <v>N31459YLL44</v>
          </cell>
          <cell r="B1759" t="str">
            <v>N31459Y</v>
          </cell>
        </row>
        <row r="1760">
          <cell r="A1760" t="str">
            <v>N31459YLL46</v>
          </cell>
          <cell r="B1760" t="str">
            <v>N31459Y</v>
          </cell>
        </row>
        <row r="1761">
          <cell r="A1761" t="str">
            <v>N31459YLL48</v>
          </cell>
          <cell r="B1761" t="str">
            <v>N31459Y</v>
          </cell>
        </row>
        <row r="1762">
          <cell r="A1762" t="str">
            <v>N31459YMH38</v>
          </cell>
          <cell r="B1762" t="str">
            <v>N31459Y</v>
          </cell>
        </row>
        <row r="1763">
          <cell r="A1763" t="str">
            <v>N31459YMH40</v>
          </cell>
          <cell r="B1763" t="str">
            <v>N31459Y</v>
          </cell>
        </row>
        <row r="1764">
          <cell r="A1764" t="str">
            <v>N31459YMH42</v>
          </cell>
          <cell r="B1764" t="str">
            <v>N31459Y</v>
          </cell>
        </row>
        <row r="1765">
          <cell r="A1765" t="str">
            <v>N31459YMH44</v>
          </cell>
          <cell r="B1765" t="str">
            <v>N31459Y</v>
          </cell>
        </row>
        <row r="1766">
          <cell r="A1766" t="str">
            <v>N31459YMH46</v>
          </cell>
          <cell r="B1766" t="str">
            <v>N31459Y</v>
          </cell>
        </row>
        <row r="1767">
          <cell r="A1767" t="str">
            <v>N31459YMH48</v>
          </cell>
          <cell r="B1767" t="str">
            <v>N31459Y</v>
          </cell>
        </row>
        <row r="1768">
          <cell r="A1768" t="str">
            <v>N31459YP038</v>
          </cell>
          <cell r="B1768" t="str">
            <v>N31459Y</v>
          </cell>
        </row>
        <row r="1769">
          <cell r="A1769" t="str">
            <v>N31459YP040</v>
          </cell>
          <cell r="B1769" t="str">
            <v>N31459Y</v>
          </cell>
        </row>
        <row r="1770">
          <cell r="A1770" t="str">
            <v>N31459YP042</v>
          </cell>
          <cell r="B1770" t="str">
            <v>N31459Y</v>
          </cell>
        </row>
        <row r="1771">
          <cell r="A1771" t="str">
            <v>N31459YP044</v>
          </cell>
          <cell r="B1771" t="str">
            <v>N31459Y</v>
          </cell>
        </row>
        <row r="1772">
          <cell r="A1772" t="str">
            <v>N31459YP046</v>
          </cell>
          <cell r="B1772" t="str">
            <v>N31459Y</v>
          </cell>
        </row>
        <row r="1773">
          <cell r="A1773" t="str">
            <v>N31459YP048</v>
          </cell>
          <cell r="B1773" t="str">
            <v>N31459Y</v>
          </cell>
        </row>
        <row r="1774">
          <cell r="A1774" t="str">
            <v>N31459YR038</v>
          </cell>
          <cell r="B1774" t="str">
            <v>N31459Y</v>
          </cell>
        </row>
        <row r="1775">
          <cell r="A1775" t="str">
            <v>N31459YR040</v>
          </cell>
          <cell r="B1775" t="str">
            <v>N31459Y</v>
          </cell>
        </row>
        <row r="1776">
          <cell r="A1776" t="str">
            <v>N31459YR042</v>
          </cell>
          <cell r="B1776" t="str">
            <v>N31459Y</v>
          </cell>
        </row>
        <row r="1777">
          <cell r="A1777" t="str">
            <v>N31459YR044</v>
          </cell>
          <cell r="B1777" t="str">
            <v>N31459Y</v>
          </cell>
        </row>
        <row r="1778">
          <cell r="A1778" t="str">
            <v>N31459YR046</v>
          </cell>
          <cell r="B1778" t="str">
            <v>N31459Y</v>
          </cell>
        </row>
        <row r="1779">
          <cell r="A1779" t="str">
            <v>N31459YR048</v>
          </cell>
          <cell r="B1779" t="str">
            <v>N31459Y</v>
          </cell>
        </row>
        <row r="1780">
          <cell r="A1780" t="str">
            <v>N3818-2YB038</v>
          </cell>
          <cell r="B1780" t="str">
            <v>N31459Y</v>
          </cell>
        </row>
        <row r="1781">
          <cell r="A1781" t="str">
            <v>N3818-2YB040</v>
          </cell>
          <cell r="B1781" t="str">
            <v>N31459Y</v>
          </cell>
        </row>
        <row r="1782">
          <cell r="A1782" t="str">
            <v>N3818-2YB042</v>
          </cell>
          <cell r="B1782" t="str">
            <v>N31459Y</v>
          </cell>
        </row>
        <row r="1783">
          <cell r="A1783" t="str">
            <v>N3818-2YB044</v>
          </cell>
          <cell r="B1783" t="str">
            <v>N3818-2Y</v>
          </cell>
        </row>
        <row r="1784">
          <cell r="A1784" t="str">
            <v>N3818-2YB046</v>
          </cell>
          <cell r="B1784" t="str">
            <v>N3818-2Y</v>
          </cell>
        </row>
        <row r="1785">
          <cell r="A1785" t="str">
            <v>N3818-2YB048</v>
          </cell>
          <cell r="B1785" t="str">
            <v>N3818-2Y</v>
          </cell>
        </row>
        <row r="1786">
          <cell r="A1786" t="str">
            <v>N3818-2YG038</v>
          </cell>
          <cell r="B1786" t="str">
            <v>N3818-2Y</v>
          </cell>
        </row>
        <row r="1787">
          <cell r="A1787" t="str">
            <v>N3818-2YG040</v>
          </cell>
          <cell r="B1787" t="str">
            <v>N3818-2Y</v>
          </cell>
        </row>
        <row r="1788">
          <cell r="A1788" t="str">
            <v>N3818-2YG042</v>
          </cell>
          <cell r="B1788" t="str">
            <v>N3818-2Y</v>
          </cell>
        </row>
        <row r="1789">
          <cell r="A1789" t="str">
            <v>N3818-2YG044</v>
          </cell>
          <cell r="B1789" t="str">
            <v>N3818-2Y</v>
          </cell>
        </row>
        <row r="1790">
          <cell r="A1790" t="str">
            <v>N3818-2YG046</v>
          </cell>
          <cell r="B1790" t="str">
            <v>N3818-2Y</v>
          </cell>
        </row>
        <row r="1791">
          <cell r="A1791" t="str">
            <v>N3818-2YG048</v>
          </cell>
          <cell r="B1791" t="str">
            <v>N3818-2Y</v>
          </cell>
        </row>
        <row r="1792">
          <cell r="A1792" t="str">
            <v>N3818-2YJS38</v>
          </cell>
          <cell r="B1792" t="str">
            <v>N3818-2Y</v>
          </cell>
        </row>
        <row r="1793">
          <cell r="A1793" t="str">
            <v>N3818-2YJS40</v>
          </cell>
          <cell r="B1793" t="str">
            <v>N3818-2Y</v>
          </cell>
        </row>
        <row r="1794">
          <cell r="A1794" t="str">
            <v>N3818-2YJS42</v>
          </cell>
          <cell r="B1794" t="str">
            <v>N3818-2Y</v>
          </cell>
        </row>
        <row r="1795">
          <cell r="A1795" t="str">
            <v>N3818-2YJS44</v>
          </cell>
          <cell r="B1795" t="str">
            <v>N3818-2Y</v>
          </cell>
        </row>
        <row r="1796">
          <cell r="A1796" t="str">
            <v>N3818-2YJS46</v>
          </cell>
          <cell r="B1796" t="str">
            <v>N3818-2Y</v>
          </cell>
        </row>
        <row r="1797">
          <cell r="A1797" t="str">
            <v>N3818-2YJS48</v>
          </cell>
          <cell r="B1797" t="str">
            <v>N3818-2Y</v>
          </cell>
        </row>
        <row r="1798">
          <cell r="A1798" t="str">
            <v>N3818-2YK038</v>
          </cell>
          <cell r="B1798" t="str">
            <v>N3818-2Y</v>
          </cell>
        </row>
        <row r="1799">
          <cell r="A1799" t="str">
            <v>N3818-2YK040</v>
          </cell>
          <cell r="B1799" t="str">
            <v>N3818-2Y</v>
          </cell>
        </row>
        <row r="1800">
          <cell r="A1800" t="str">
            <v>N3818-2YK042</v>
          </cell>
          <cell r="B1800" t="str">
            <v>N3818-2Y</v>
          </cell>
        </row>
        <row r="1801">
          <cell r="A1801" t="str">
            <v>N3818-2YK044</v>
          </cell>
          <cell r="B1801" t="str">
            <v>N3818-2Y</v>
          </cell>
        </row>
        <row r="1802">
          <cell r="A1802" t="str">
            <v>N3818-2YK046</v>
          </cell>
          <cell r="B1802" t="str">
            <v>N3818-2Y</v>
          </cell>
        </row>
        <row r="1803">
          <cell r="A1803" t="str">
            <v>N3818-2YK048</v>
          </cell>
          <cell r="B1803" t="str">
            <v>N3818-2Y</v>
          </cell>
        </row>
        <row r="1804">
          <cell r="A1804" t="str">
            <v>N3818-2YR038</v>
          </cell>
          <cell r="B1804" t="str">
            <v>N3818-2Y</v>
          </cell>
        </row>
        <row r="1805">
          <cell r="A1805" t="str">
            <v>N3818-2YR040</v>
          </cell>
          <cell r="B1805" t="str">
            <v>N3818-2Y</v>
          </cell>
        </row>
        <row r="1806">
          <cell r="A1806" t="str">
            <v>N3818-2YR042</v>
          </cell>
          <cell r="B1806" t="str">
            <v>N3818-2Y</v>
          </cell>
        </row>
        <row r="1807">
          <cell r="A1807" t="str">
            <v>N3818-2YR044</v>
          </cell>
          <cell r="B1807" t="str">
            <v>N3818-2Y</v>
          </cell>
        </row>
        <row r="1808">
          <cell r="A1808" t="str">
            <v>N3818-2YR046</v>
          </cell>
          <cell r="B1808" t="str">
            <v>N3818-2Y</v>
          </cell>
        </row>
        <row r="1809">
          <cell r="A1809" t="str">
            <v>N3818-2YR048</v>
          </cell>
          <cell r="B1809" t="str">
            <v>N3818-2Y</v>
          </cell>
        </row>
        <row r="1810">
          <cell r="A1810" t="str">
            <v>N3818-2YW038</v>
          </cell>
          <cell r="B1810" t="str">
            <v>N3818-2Y</v>
          </cell>
        </row>
        <row r="1811">
          <cell r="A1811" t="str">
            <v>N3818-2YW040</v>
          </cell>
          <cell r="B1811" t="str">
            <v>N3818-2Y</v>
          </cell>
        </row>
        <row r="1812">
          <cell r="A1812" t="str">
            <v>N3818-2YW042</v>
          </cell>
          <cell r="B1812" t="str">
            <v>N3818-2Y</v>
          </cell>
        </row>
        <row r="1813">
          <cell r="A1813" t="str">
            <v>N3818-2YW044</v>
          </cell>
          <cell r="B1813" t="str">
            <v>N3818-2Y</v>
          </cell>
        </row>
        <row r="1814">
          <cell r="A1814" t="str">
            <v>N3818-2YW046</v>
          </cell>
          <cell r="B1814" t="str">
            <v>N3818-2Y</v>
          </cell>
        </row>
        <row r="1815">
          <cell r="A1815" t="str">
            <v>N3818-2YW048</v>
          </cell>
          <cell r="B1815" t="str">
            <v>N3818-2Y</v>
          </cell>
        </row>
        <row r="1816">
          <cell r="A1816" t="str">
            <v>N5100YK038</v>
          </cell>
          <cell r="B1816" t="str">
            <v>N3818-2Y</v>
          </cell>
        </row>
        <row r="1817">
          <cell r="A1817" t="str">
            <v>N5100YK040</v>
          </cell>
          <cell r="B1817" t="str">
            <v>N3818-2Y</v>
          </cell>
        </row>
        <row r="1818">
          <cell r="A1818" t="str">
            <v>N5100YK042</v>
          </cell>
          <cell r="B1818" t="str">
            <v>N3818-2Y</v>
          </cell>
        </row>
        <row r="1819">
          <cell r="A1819" t="str">
            <v>N5100YK044</v>
          </cell>
          <cell r="B1819" t="str">
            <v>N5100Y</v>
          </cell>
        </row>
        <row r="1820">
          <cell r="A1820" t="str">
            <v>N5100YR538</v>
          </cell>
          <cell r="B1820" t="str">
            <v>N5100Y</v>
          </cell>
        </row>
        <row r="1821">
          <cell r="A1821" t="str">
            <v>N5100YR540</v>
          </cell>
          <cell r="B1821" t="str">
            <v>N5100Y</v>
          </cell>
        </row>
        <row r="1822">
          <cell r="A1822" t="str">
            <v>N5100YR542</v>
          </cell>
          <cell r="B1822" t="str">
            <v>N5100Y</v>
          </cell>
        </row>
        <row r="1823">
          <cell r="A1823" t="str">
            <v>N5100YR544</v>
          </cell>
          <cell r="B1823" t="str">
            <v>N5100Y</v>
          </cell>
        </row>
        <row r="1824">
          <cell r="A1824" t="str">
            <v>N5100YXS38</v>
          </cell>
          <cell r="B1824" t="str">
            <v>N5100Y</v>
          </cell>
        </row>
        <row r="1825">
          <cell r="A1825" t="str">
            <v>N5100YXS40</v>
          </cell>
          <cell r="B1825" t="str">
            <v>N5100Y</v>
          </cell>
        </row>
        <row r="1826">
          <cell r="A1826" t="str">
            <v>N5100YXS42</v>
          </cell>
          <cell r="B1826" t="str">
            <v>N5100Y</v>
          </cell>
        </row>
        <row r="1827">
          <cell r="A1827" t="str">
            <v>N5100YXS44</v>
          </cell>
          <cell r="B1827" t="str">
            <v>N5100Y</v>
          </cell>
        </row>
        <row r="1828">
          <cell r="A1828" t="str">
            <v>N531YB034</v>
          </cell>
          <cell r="B1828" t="str">
            <v>N5100Y</v>
          </cell>
        </row>
        <row r="1829">
          <cell r="A1829" t="str">
            <v>N531YB036</v>
          </cell>
          <cell r="B1829" t="str">
            <v>N5100Y</v>
          </cell>
        </row>
        <row r="1830">
          <cell r="A1830" t="str">
            <v>N531YB038</v>
          </cell>
          <cell r="B1830" t="str">
            <v>N5100Y</v>
          </cell>
        </row>
        <row r="1831">
          <cell r="A1831" t="str">
            <v>N531YB040</v>
          </cell>
          <cell r="B1831" t="str">
            <v>N531Y</v>
          </cell>
        </row>
        <row r="1832">
          <cell r="A1832" t="str">
            <v>N531YK034</v>
          </cell>
          <cell r="B1832" t="str">
            <v>N531Y</v>
          </cell>
        </row>
        <row r="1833">
          <cell r="A1833" t="str">
            <v>N531YK036</v>
          </cell>
          <cell r="B1833" t="str">
            <v>N531Y</v>
          </cell>
        </row>
        <row r="1834">
          <cell r="A1834" t="str">
            <v>N531YK038</v>
          </cell>
          <cell r="B1834" t="str">
            <v>N531Y</v>
          </cell>
        </row>
        <row r="1835">
          <cell r="A1835" t="str">
            <v>N531YK040</v>
          </cell>
          <cell r="B1835" t="str">
            <v>N531Y</v>
          </cell>
        </row>
        <row r="1836">
          <cell r="A1836" t="str">
            <v>N531YQL34</v>
          </cell>
          <cell r="B1836" t="str">
            <v>N531Y</v>
          </cell>
        </row>
        <row r="1837">
          <cell r="A1837" t="str">
            <v>N531YQL36</v>
          </cell>
          <cell r="B1837" t="str">
            <v>N531Y</v>
          </cell>
        </row>
        <row r="1838">
          <cell r="A1838" t="str">
            <v>N531YQL38</v>
          </cell>
          <cell r="B1838" t="str">
            <v>N531Y</v>
          </cell>
        </row>
        <row r="1839">
          <cell r="A1839" t="str">
            <v>N531YQL40</v>
          </cell>
          <cell r="B1839" t="str">
            <v>N531Y</v>
          </cell>
        </row>
        <row r="1840">
          <cell r="A1840" t="str">
            <v>N531YR034</v>
          </cell>
          <cell r="B1840" t="str">
            <v>N531Y</v>
          </cell>
        </row>
        <row r="1841">
          <cell r="A1841" t="str">
            <v>N531YR036</v>
          </cell>
          <cell r="B1841" t="str">
            <v>N531Y</v>
          </cell>
        </row>
        <row r="1842">
          <cell r="A1842" t="str">
            <v>N531YR038</v>
          </cell>
          <cell r="B1842" t="str">
            <v>N531Y</v>
          </cell>
        </row>
        <row r="1843">
          <cell r="A1843" t="str">
            <v>N531YR040</v>
          </cell>
          <cell r="B1843" t="str">
            <v>N531Y</v>
          </cell>
        </row>
        <row r="1844">
          <cell r="A1844" t="str">
            <v>N531YXS34</v>
          </cell>
          <cell r="B1844" t="str">
            <v>N531Y</v>
          </cell>
        </row>
        <row r="1845">
          <cell r="A1845" t="str">
            <v>N531YXS36</v>
          </cell>
          <cell r="B1845" t="str">
            <v>N531Y</v>
          </cell>
        </row>
        <row r="1846">
          <cell r="A1846" t="str">
            <v>N531YXS38</v>
          </cell>
          <cell r="B1846" t="str">
            <v>N531Y</v>
          </cell>
        </row>
        <row r="1847">
          <cell r="A1847" t="str">
            <v>N531YXS40</v>
          </cell>
          <cell r="B1847" t="str">
            <v>N531Y</v>
          </cell>
        </row>
        <row r="1848">
          <cell r="A1848" t="str">
            <v>N5330YK036</v>
          </cell>
          <cell r="B1848" t="str">
            <v>N531Y</v>
          </cell>
        </row>
        <row r="1849">
          <cell r="A1849" t="str">
            <v>N5330YK038</v>
          </cell>
          <cell r="B1849" t="str">
            <v>N531Y</v>
          </cell>
        </row>
        <row r="1850">
          <cell r="A1850" t="str">
            <v>N5330YK040</v>
          </cell>
          <cell r="B1850" t="str">
            <v>N531Y</v>
          </cell>
        </row>
        <row r="1851">
          <cell r="A1851" t="str">
            <v>N5330YP036</v>
          </cell>
          <cell r="B1851" t="str">
            <v>N5330Y</v>
          </cell>
        </row>
        <row r="1852">
          <cell r="A1852" t="str">
            <v>N5330YP038</v>
          </cell>
          <cell r="B1852" t="str">
            <v>N5330Y</v>
          </cell>
        </row>
        <row r="1853">
          <cell r="A1853" t="str">
            <v>N5330YP040</v>
          </cell>
          <cell r="B1853" t="str">
            <v>N5330Y</v>
          </cell>
        </row>
        <row r="1854">
          <cell r="A1854" t="str">
            <v>N5330YXS38</v>
          </cell>
          <cell r="B1854" t="str">
            <v>N5330Y</v>
          </cell>
        </row>
        <row r="1855">
          <cell r="A1855" t="str">
            <v>N583YQZ36</v>
          </cell>
          <cell r="B1855" t="str">
            <v>N5330Y</v>
          </cell>
        </row>
        <row r="1856">
          <cell r="A1856" t="str">
            <v>N583YQZ38</v>
          </cell>
          <cell r="B1856" t="str">
            <v>N5330Y</v>
          </cell>
        </row>
        <row r="1857">
          <cell r="A1857" t="str">
            <v>N583YQZ40</v>
          </cell>
          <cell r="B1857" t="str">
            <v>N5330Y</v>
          </cell>
        </row>
        <row r="1858">
          <cell r="A1858" t="str">
            <v>N583YQZ42</v>
          </cell>
          <cell r="B1858" t="str">
            <v>N583Y</v>
          </cell>
        </row>
        <row r="1859">
          <cell r="A1859" t="str">
            <v>N583YQZ44</v>
          </cell>
          <cell r="B1859" t="str">
            <v>N583Y</v>
          </cell>
        </row>
        <row r="1860">
          <cell r="A1860" t="str">
            <v>N696YK034</v>
          </cell>
          <cell r="B1860" t="str">
            <v>N583Y</v>
          </cell>
        </row>
        <row r="1861">
          <cell r="A1861" t="str">
            <v>N696YK036</v>
          </cell>
          <cell r="B1861" t="str">
            <v>N583Y</v>
          </cell>
        </row>
        <row r="1862">
          <cell r="A1862" t="str">
            <v>N696YK038</v>
          </cell>
          <cell r="B1862" t="str">
            <v>N583Y</v>
          </cell>
        </row>
        <row r="1863">
          <cell r="A1863" t="str">
            <v>N696YSG34</v>
          </cell>
          <cell r="B1863" t="str">
            <v>N696Y</v>
          </cell>
        </row>
        <row r="1864">
          <cell r="A1864" t="str">
            <v>N696YSG36</v>
          </cell>
          <cell r="B1864" t="str">
            <v>N696Y</v>
          </cell>
        </row>
        <row r="1865">
          <cell r="A1865" t="str">
            <v>N696YSG38</v>
          </cell>
          <cell r="B1865" t="str">
            <v>N696Y</v>
          </cell>
        </row>
        <row r="1866">
          <cell r="A1866" t="str">
            <v>N696YSL34</v>
          </cell>
          <cell r="B1866" t="str">
            <v>N696Y</v>
          </cell>
        </row>
        <row r="1867">
          <cell r="A1867" t="str">
            <v>N696YSL38</v>
          </cell>
          <cell r="B1867" t="str">
            <v>N696Y</v>
          </cell>
        </row>
        <row r="1868">
          <cell r="A1868" t="str">
            <v>N8129YK036</v>
          </cell>
          <cell r="B1868" t="str">
            <v>N696Y</v>
          </cell>
        </row>
        <row r="1869">
          <cell r="A1869" t="str">
            <v>N8129YK038</v>
          </cell>
          <cell r="B1869" t="str">
            <v>N696Y</v>
          </cell>
        </row>
        <row r="1870">
          <cell r="A1870" t="str">
            <v>N8129YK040</v>
          </cell>
          <cell r="B1870" t="str">
            <v>N696Y</v>
          </cell>
        </row>
        <row r="1871">
          <cell r="A1871" t="str">
            <v>N8129YK042</v>
          </cell>
          <cell r="B1871" t="str">
            <v>N8129Y</v>
          </cell>
        </row>
        <row r="1872">
          <cell r="A1872" t="str">
            <v>N8129YR036</v>
          </cell>
          <cell r="B1872" t="str">
            <v>N8129Y</v>
          </cell>
        </row>
        <row r="1873">
          <cell r="A1873" t="str">
            <v>N8129YR038</v>
          </cell>
          <cell r="B1873" t="str">
            <v>N8129Y</v>
          </cell>
        </row>
        <row r="1874">
          <cell r="A1874" t="str">
            <v>N8129YR040</v>
          </cell>
          <cell r="B1874" t="str">
            <v>N8129Y</v>
          </cell>
        </row>
        <row r="1875">
          <cell r="A1875" t="str">
            <v>N8129YR042</v>
          </cell>
          <cell r="B1875" t="str">
            <v>N8129Y</v>
          </cell>
        </row>
        <row r="1876">
          <cell r="A1876" t="str">
            <v>N86162KCL</v>
          </cell>
          <cell r="B1876" t="str">
            <v>N8129Y</v>
          </cell>
        </row>
        <row r="1877">
          <cell r="A1877" t="str">
            <v>N86162KDJ</v>
          </cell>
          <cell r="B1877" t="str">
            <v>N8129Y</v>
          </cell>
        </row>
        <row r="1878">
          <cell r="A1878" t="str">
            <v>N86162KDS</v>
          </cell>
          <cell r="B1878" t="str">
            <v>N8129Y</v>
          </cell>
        </row>
        <row r="1879">
          <cell r="A1879" t="str">
            <v>N86162K-DS</v>
          </cell>
          <cell r="B1879" t="str">
            <v>N86162K</v>
          </cell>
        </row>
        <row r="1880">
          <cell r="A1880" t="str">
            <v>N86162KHJH</v>
          </cell>
          <cell r="B1880" t="str">
            <v>N86162K</v>
          </cell>
        </row>
        <row r="1881">
          <cell r="A1881" t="str">
            <v>N86162KHL</v>
          </cell>
          <cell r="B1881" t="str">
            <v>N86162K</v>
          </cell>
        </row>
        <row r="1882">
          <cell r="A1882" t="str">
            <v>N86162KJH</v>
          </cell>
          <cell r="B1882" t="str">
            <v>N86162K</v>
          </cell>
        </row>
        <row r="1883">
          <cell r="A1883" t="str">
            <v>N86162KK0</v>
          </cell>
          <cell r="B1883" t="str">
            <v>N86162K</v>
          </cell>
        </row>
        <row r="1884">
          <cell r="A1884" t="str">
            <v>N86162KML</v>
          </cell>
          <cell r="B1884" t="str">
            <v>N86162K</v>
          </cell>
        </row>
        <row r="1885">
          <cell r="A1885" t="str">
            <v>N86162KQL</v>
          </cell>
          <cell r="B1885" t="str">
            <v>N86162K</v>
          </cell>
        </row>
        <row r="1886">
          <cell r="A1886" t="str">
            <v>N86162KR0</v>
          </cell>
          <cell r="B1886" t="str">
            <v>N86162K</v>
          </cell>
        </row>
        <row r="1887">
          <cell r="A1887" t="str">
            <v>N86162KR5</v>
          </cell>
          <cell r="B1887" t="str">
            <v>N86162K</v>
          </cell>
        </row>
        <row r="1888">
          <cell r="A1888" t="str">
            <v>N86162KSL</v>
          </cell>
          <cell r="B1888" t="str">
            <v>N86162K</v>
          </cell>
        </row>
        <row r="1889">
          <cell r="A1889" t="str">
            <v>N86162KXS</v>
          </cell>
          <cell r="B1889" t="str">
            <v>N86162K</v>
          </cell>
        </row>
        <row r="1890">
          <cell r="A1890" t="str">
            <v>N86162KY0</v>
          </cell>
          <cell r="B1890" t="str">
            <v>N86162K</v>
          </cell>
        </row>
        <row r="1891">
          <cell r="A1891" t="str">
            <v>N87232KBLL</v>
          </cell>
          <cell r="B1891" t="str">
            <v>N86162K</v>
          </cell>
        </row>
        <row r="1892">
          <cell r="A1892" t="str">
            <v>N87232KBLM</v>
          </cell>
          <cell r="B1892" t="str">
            <v>N86162K</v>
          </cell>
        </row>
        <row r="1893">
          <cell r="A1893" t="str">
            <v>N87232KBLXL</v>
          </cell>
          <cell r="B1893" t="str">
            <v>N86162K</v>
          </cell>
        </row>
        <row r="1894">
          <cell r="A1894" t="str">
            <v>N87232K-DS-L</v>
          </cell>
          <cell r="B1894" t="str">
            <v>N87232K</v>
          </cell>
        </row>
        <row r="1895">
          <cell r="A1895" t="str">
            <v>N87232K-DS-M</v>
          </cell>
          <cell r="B1895" t="str">
            <v>N87232K</v>
          </cell>
        </row>
        <row r="1896">
          <cell r="A1896" t="str">
            <v>N87232K-DS-XL</v>
          </cell>
          <cell r="B1896" t="str">
            <v>N87232K</v>
          </cell>
        </row>
        <row r="1897">
          <cell r="A1897" t="str">
            <v>N87232KK0L</v>
          </cell>
          <cell r="B1897" t="str">
            <v>N87232K</v>
          </cell>
        </row>
        <row r="1898">
          <cell r="A1898" t="str">
            <v>N87232KK0M</v>
          </cell>
          <cell r="B1898" t="str">
            <v>N87232K</v>
          </cell>
        </row>
        <row r="1899">
          <cell r="A1899" t="str">
            <v>N87232KK0XL</v>
          </cell>
          <cell r="B1899" t="str">
            <v>N87232K</v>
          </cell>
        </row>
        <row r="1900">
          <cell r="A1900" t="str">
            <v>N87232KMLL</v>
          </cell>
          <cell r="B1900" t="str">
            <v>N87232K</v>
          </cell>
        </row>
        <row r="1901">
          <cell r="A1901" t="str">
            <v>N87232KMLM</v>
          </cell>
          <cell r="B1901" t="str">
            <v>N87232K</v>
          </cell>
        </row>
        <row r="1902">
          <cell r="A1902" t="str">
            <v>N87232KMLXL</v>
          </cell>
          <cell r="B1902" t="str">
            <v>N87232K</v>
          </cell>
        </row>
        <row r="1903">
          <cell r="A1903" t="str">
            <v>N87232KP0L</v>
          </cell>
          <cell r="B1903" t="str">
            <v>N87232K</v>
          </cell>
        </row>
        <row r="1904">
          <cell r="A1904" t="str">
            <v>N87232KP0M</v>
          </cell>
          <cell r="B1904" t="str">
            <v>N87232K</v>
          </cell>
        </row>
        <row r="1905">
          <cell r="A1905" t="str">
            <v>N87232KP0XL</v>
          </cell>
          <cell r="B1905" t="str">
            <v>N87232K</v>
          </cell>
        </row>
        <row r="1906">
          <cell r="A1906" t="str">
            <v>N87232KXGHL</v>
          </cell>
          <cell r="B1906" t="str">
            <v>N87232K</v>
          </cell>
        </row>
        <row r="1907">
          <cell r="A1907" t="str">
            <v>N87232KXGHM</v>
          </cell>
          <cell r="B1907" t="str">
            <v>N87232K</v>
          </cell>
        </row>
        <row r="1908">
          <cell r="A1908" t="str">
            <v>N87232KXGHXL</v>
          </cell>
          <cell r="B1908" t="str">
            <v>N87232K</v>
          </cell>
        </row>
        <row r="1909">
          <cell r="A1909" t="str">
            <v>N87232KXSL</v>
          </cell>
          <cell r="B1909" t="str">
            <v>N87232K</v>
          </cell>
        </row>
        <row r="1910">
          <cell r="A1910" t="str">
            <v>N87232KXSM</v>
          </cell>
          <cell r="B1910" t="str">
            <v>N87232K</v>
          </cell>
        </row>
        <row r="1911">
          <cell r="A1911" t="str">
            <v>N87232KXSXL</v>
          </cell>
          <cell r="B1911" t="str">
            <v>N87232K</v>
          </cell>
        </row>
        <row r="1912">
          <cell r="A1912" t="str">
            <v>N87301K-DS-L</v>
          </cell>
          <cell r="B1912" t="str">
            <v>N87232K</v>
          </cell>
        </row>
        <row r="1913">
          <cell r="A1913" t="str">
            <v>N87301K-DS-M</v>
          </cell>
          <cell r="B1913" t="str">
            <v>N87232K</v>
          </cell>
        </row>
        <row r="1914">
          <cell r="A1914" t="str">
            <v>N87301K-DS-XL</v>
          </cell>
          <cell r="B1914" t="str">
            <v>N87232K</v>
          </cell>
        </row>
        <row r="1915">
          <cell r="A1915" t="str">
            <v>N87301KK0L</v>
          </cell>
          <cell r="B1915" t="str">
            <v>N87301K</v>
          </cell>
        </row>
        <row r="1916">
          <cell r="A1916" t="str">
            <v>N87301KK0M</v>
          </cell>
          <cell r="B1916" t="str">
            <v>N87301K</v>
          </cell>
        </row>
        <row r="1917">
          <cell r="A1917" t="str">
            <v>N87301KK0XL</v>
          </cell>
          <cell r="B1917" t="str">
            <v>N87301K</v>
          </cell>
        </row>
        <row r="1918">
          <cell r="A1918" t="str">
            <v>N87301KMLSL</v>
          </cell>
          <cell r="B1918" t="str">
            <v>N87301K</v>
          </cell>
        </row>
        <row r="1919">
          <cell r="A1919" t="str">
            <v>N87301KMLSM</v>
          </cell>
          <cell r="B1919" t="str">
            <v>N87301K</v>
          </cell>
        </row>
        <row r="1920">
          <cell r="A1920" t="str">
            <v>N87301KMLSXL</v>
          </cell>
          <cell r="B1920" t="str">
            <v>N87301K</v>
          </cell>
        </row>
        <row r="1921">
          <cell r="A1921" t="str">
            <v>N87301KSGL</v>
          </cell>
          <cell r="B1921" t="str">
            <v>N87301K</v>
          </cell>
        </row>
        <row r="1922">
          <cell r="A1922" t="str">
            <v>N87301KSGM</v>
          </cell>
          <cell r="B1922" t="str">
            <v>N87301K</v>
          </cell>
        </row>
        <row r="1923">
          <cell r="A1923" t="str">
            <v>N87301KSGXL</v>
          </cell>
          <cell r="B1923" t="str">
            <v>N87301K</v>
          </cell>
        </row>
        <row r="1924">
          <cell r="A1924" t="str">
            <v>N87301KW0L</v>
          </cell>
          <cell r="B1924" t="str">
            <v>N87301K</v>
          </cell>
        </row>
        <row r="1925">
          <cell r="A1925" t="str">
            <v>N87301KW0M</v>
          </cell>
          <cell r="B1925" t="str">
            <v>N87301K</v>
          </cell>
        </row>
        <row r="1926">
          <cell r="A1926" t="str">
            <v>N87301KW0XL</v>
          </cell>
          <cell r="B1926" t="str">
            <v>N87301K</v>
          </cell>
        </row>
        <row r="1927">
          <cell r="A1927" t="str">
            <v>N87301KXSL</v>
          </cell>
          <cell r="B1927" t="str">
            <v>N87301K</v>
          </cell>
        </row>
        <row r="1928">
          <cell r="A1928" t="str">
            <v>N87301KXSM</v>
          </cell>
          <cell r="B1928" t="str">
            <v>N87301K</v>
          </cell>
        </row>
        <row r="1929">
          <cell r="A1929" t="str">
            <v>N87301KXSXL</v>
          </cell>
          <cell r="B1929" t="str">
            <v>N87301K</v>
          </cell>
        </row>
        <row r="1930">
          <cell r="A1930" t="str">
            <v>N87301KZHSL</v>
          </cell>
          <cell r="B1930" t="str">
            <v>N87301K</v>
          </cell>
        </row>
        <row r="1931">
          <cell r="A1931" t="str">
            <v>N87301KZHSM</v>
          </cell>
          <cell r="B1931" t="str">
            <v>N87301K</v>
          </cell>
        </row>
        <row r="1932">
          <cell r="A1932" t="str">
            <v>N87301KZHSXL</v>
          </cell>
          <cell r="B1932" t="str">
            <v>N87301K</v>
          </cell>
        </row>
        <row r="1933">
          <cell r="A1933" t="str">
            <v>N87309K-DS-L</v>
          </cell>
          <cell r="B1933" t="str">
            <v>N87301K</v>
          </cell>
        </row>
        <row r="1934">
          <cell r="A1934" t="str">
            <v>N87309K-DS-M</v>
          </cell>
          <cell r="B1934" t="str">
            <v>N87301K</v>
          </cell>
        </row>
        <row r="1935">
          <cell r="A1935" t="str">
            <v>N87309K-DS-XL</v>
          </cell>
          <cell r="B1935" t="str">
            <v>N87301K</v>
          </cell>
        </row>
        <row r="1936">
          <cell r="A1936" t="str">
            <v>N87309KK0L</v>
          </cell>
          <cell r="B1936" t="str">
            <v>N87309K</v>
          </cell>
        </row>
        <row r="1937">
          <cell r="A1937" t="str">
            <v>N87309KK0M</v>
          </cell>
          <cell r="B1937" t="str">
            <v>N87309K</v>
          </cell>
        </row>
        <row r="1938">
          <cell r="A1938" t="str">
            <v>N87309KK0XL</v>
          </cell>
          <cell r="B1938" t="str">
            <v>N87309K</v>
          </cell>
        </row>
        <row r="1939">
          <cell r="A1939" t="str">
            <v>N87309KR5L</v>
          </cell>
          <cell r="B1939" t="str">
            <v>N87309K</v>
          </cell>
        </row>
        <row r="1940">
          <cell r="A1940" t="str">
            <v>N87309KR5M</v>
          </cell>
          <cell r="B1940" t="str">
            <v>N87309K</v>
          </cell>
        </row>
        <row r="1941">
          <cell r="A1941" t="str">
            <v>N87309KR5XL</v>
          </cell>
          <cell r="B1941" t="str">
            <v>N87309K</v>
          </cell>
        </row>
        <row r="1942">
          <cell r="A1942" t="str">
            <v>N87309KSGL</v>
          </cell>
          <cell r="B1942" t="str">
            <v>N87309K</v>
          </cell>
        </row>
        <row r="1943">
          <cell r="A1943" t="str">
            <v>N87309KSGM</v>
          </cell>
          <cell r="B1943" t="str">
            <v>N87309K</v>
          </cell>
        </row>
        <row r="1944">
          <cell r="A1944" t="str">
            <v>N87309KSGXL</v>
          </cell>
          <cell r="B1944" t="str">
            <v>N87309K</v>
          </cell>
        </row>
        <row r="1945">
          <cell r="A1945" t="str">
            <v>N87309KW0L</v>
          </cell>
          <cell r="B1945" t="str">
            <v>N87309K</v>
          </cell>
        </row>
        <row r="1946">
          <cell r="A1946" t="str">
            <v>N87309KW0M</v>
          </cell>
          <cell r="B1946" t="str">
            <v>N87309K</v>
          </cell>
        </row>
        <row r="1947">
          <cell r="A1947" t="str">
            <v>N87309KW0XL</v>
          </cell>
          <cell r="B1947" t="str">
            <v>N87309K</v>
          </cell>
        </row>
        <row r="1948">
          <cell r="A1948" t="str">
            <v>N87309KXSL</v>
          </cell>
          <cell r="B1948" t="str">
            <v>N87309K</v>
          </cell>
        </row>
        <row r="1949">
          <cell r="A1949" t="str">
            <v>N87309KXSM</v>
          </cell>
          <cell r="B1949" t="str">
            <v>N87309K</v>
          </cell>
        </row>
        <row r="1950">
          <cell r="A1950" t="str">
            <v>N87309KXSXL</v>
          </cell>
          <cell r="B1950" t="str">
            <v>N87309K</v>
          </cell>
        </row>
        <row r="1951">
          <cell r="A1951" t="str">
            <v>N87309KZHSL</v>
          </cell>
          <cell r="B1951" t="str">
            <v>N87309K</v>
          </cell>
        </row>
        <row r="1952">
          <cell r="A1952" t="str">
            <v>N87309KZHSM</v>
          </cell>
          <cell r="B1952" t="str">
            <v>N87309K</v>
          </cell>
        </row>
        <row r="1953">
          <cell r="A1953" t="str">
            <v>N87309KZHSXL</v>
          </cell>
          <cell r="B1953" t="str">
            <v>N87309K</v>
          </cell>
        </row>
        <row r="1954">
          <cell r="A1954" t="str">
            <v>N87318K-DS-L</v>
          </cell>
          <cell r="B1954" t="str">
            <v>N87309K</v>
          </cell>
        </row>
        <row r="1955">
          <cell r="A1955" t="str">
            <v>N87318K-DS-M</v>
          </cell>
          <cell r="B1955" t="str">
            <v>N87309K</v>
          </cell>
        </row>
        <row r="1956">
          <cell r="A1956" t="str">
            <v>N87318K-DS-XL</v>
          </cell>
          <cell r="B1956" t="str">
            <v>N87309K</v>
          </cell>
        </row>
        <row r="1957">
          <cell r="A1957" t="str">
            <v>N87318KHLL</v>
          </cell>
          <cell r="B1957" t="str">
            <v>N87318K</v>
          </cell>
        </row>
        <row r="1958">
          <cell r="A1958" t="str">
            <v>N87318KHLM</v>
          </cell>
          <cell r="B1958" t="str">
            <v>N87318K</v>
          </cell>
        </row>
        <row r="1959">
          <cell r="A1959" t="str">
            <v>N87318KHLXL</v>
          </cell>
          <cell r="B1959" t="str">
            <v>N87318K</v>
          </cell>
        </row>
        <row r="1960">
          <cell r="A1960" t="str">
            <v>N87318KK0L</v>
          </cell>
          <cell r="B1960" t="str">
            <v>N87318K</v>
          </cell>
        </row>
        <row r="1961">
          <cell r="A1961" t="str">
            <v>N87318KK0M</v>
          </cell>
          <cell r="B1961" t="str">
            <v>N87318K</v>
          </cell>
        </row>
        <row r="1962">
          <cell r="A1962" t="str">
            <v>N87318KK0XL</v>
          </cell>
          <cell r="B1962" t="str">
            <v>N87318K</v>
          </cell>
        </row>
        <row r="1963">
          <cell r="A1963" t="str">
            <v>N87318KR5L</v>
          </cell>
          <cell r="B1963" t="str">
            <v>N87318K</v>
          </cell>
        </row>
        <row r="1964">
          <cell r="A1964" t="str">
            <v>N87318KR5M</v>
          </cell>
          <cell r="B1964" t="str">
            <v>N87318K</v>
          </cell>
        </row>
        <row r="1965">
          <cell r="A1965" t="str">
            <v>N87318KR5XL</v>
          </cell>
          <cell r="B1965" t="str">
            <v>N87318K</v>
          </cell>
        </row>
        <row r="1966">
          <cell r="A1966" t="str">
            <v>N87318KW0L</v>
          </cell>
          <cell r="B1966" t="str">
            <v>N87318K</v>
          </cell>
        </row>
        <row r="1967">
          <cell r="A1967" t="str">
            <v>N87318KW0M</v>
          </cell>
          <cell r="B1967" t="str">
            <v>N87318K</v>
          </cell>
        </row>
        <row r="1968">
          <cell r="A1968" t="str">
            <v>N87318KW0XL</v>
          </cell>
          <cell r="B1968" t="str">
            <v>N87318K</v>
          </cell>
        </row>
        <row r="1969">
          <cell r="A1969" t="str">
            <v>N87318KXGHL</v>
          </cell>
          <cell r="B1969" t="str">
            <v>N87318K</v>
          </cell>
        </row>
        <row r="1970">
          <cell r="A1970" t="str">
            <v>N87318KXGHM</v>
          </cell>
          <cell r="B1970" t="str">
            <v>N87318K</v>
          </cell>
        </row>
        <row r="1971">
          <cell r="A1971" t="str">
            <v>N87318KXGHXL</v>
          </cell>
          <cell r="B1971" t="str">
            <v>N87318K</v>
          </cell>
        </row>
        <row r="1972">
          <cell r="A1972" t="str">
            <v>N87318KXSL</v>
          </cell>
          <cell r="B1972" t="str">
            <v>N87318K</v>
          </cell>
        </row>
        <row r="1973">
          <cell r="A1973" t="str">
            <v>N87318KXSM</v>
          </cell>
          <cell r="B1973" t="str">
            <v>N87318K</v>
          </cell>
        </row>
        <row r="1974">
          <cell r="A1974" t="str">
            <v>N87318KXSXL</v>
          </cell>
          <cell r="B1974" t="str">
            <v>N87318K</v>
          </cell>
        </row>
        <row r="1975">
          <cell r="A1975" t="str">
            <v>N87319K-DS-L</v>
          </cell>
          <cell r="B1975" t="str">
            <v>N87318K</v>
          </cell>
        </row>
        <row r="1976">
          <cell r="A1976" t="str">
            <v>N87319K-DS-M</v>
          </cell>
          <cell r="B1976" t="str">
            <v>N87318K</v>
          </cell>
        </row>
        <row r="1977">
          <cell r="A1977" t="str">
            <v>N87319K-DS-XL</v>
          </cell>
          <cell r="B1977" t="str">
            <v>N87318K</v>
          </cell>
        </row>
        <row r="1978">
          <cell r="A1978" t="str">
            <v>N87319KHLL</v>
          </cell>
          <cell r="B1978" t="str">
            <v>N87319K</v>
          </cell>
        </row>
        <row r="1979">
          <cell r="A1979" t="str">
            <v>N87319KHLM</v>
          </cell>
          <cell r="B1979" t="str">
            <v>N87319K</v>
          </cell>
        </row>
        <row r="1980">
          <cell r="A1980" t="str">
            <v>N87319KHLXL</v>
          </cell>
          <cell r="B1980" t="str">
            <v>N87319K</v>
          </cell>
        </row>
        <row r="1981">
          <cell r="A1981" t="str">
            <v>N87319KK0L</v>
          </cell>
          <cell r="B1981" t="str">
            <v>N87319K</v>
          </cell>
        </row>
        <row r="1982">
          <cell r="A1982" t="str">
            <v>N87319KK0M</v>
          </cell>
          <cell r="B1982" t="str">
            <v>N87319K</v>
          </cell>
        </row>
        <row r="1983">
          <cell r="A1983" t="str">
            <v>N87319KK0XL</v>
          </cell>
          <cell r="B1983" t="str">
            <v>N87319K</v>
          </cell>
        </row>
        <row r="1984">
          <cell r="A1984" t="str">
            <v>N87319KR5L</v>
          </cell>
          <cell r="B1984" t="str">
            <v>N87319K</v>
          </cell>
        </row>
        <row r="1985">
          <cell r="A1985" t="str">
            <v>N87319KR5M</v>
          </cell>
          <cell r="B1985" t="str">
            <v>N87319K</v>
          </cell>
        </row>
        <row r="1986">
          <cell r="A1986" t="str">
            <v>N87319KR5XL</v>
          </cell>
          <cell r="B1986" t="str">
            <v>N87319K</v>
          </cell>
        </row>
        <row r="1987">
          <cell r="A1987" t="str">
            <v>N87319KW0L</v>
          </cell>
          <cell r="B1987" t="str">
            <v>N87319K</v>
          </cell>
        </row>
        <row r="1988">
          <cell r="A1988" t="str">
            <v>N87319KW0M</v>
          </cell>
          <cell r="B1988" t="str">
            <v>N87319K</v>
          </cell>
        </row>
        <row r="1989">
          <cell r="A1989" t="str">
            <v>N87319KW0XL</v>
          </cell>
          <cell r="B1989" t="str">
            <v>N87319K</v>
          </cell>
        </row>
        <row r="1990">
          <cell r="A1990" t="str">
            <v>N87319KXGHL</v>
          </cell>
          <cell r="B1990" t="str">
            <v>N87319K</v>
          </cell>
        </row>
        <row r="1991">
          <cell r="A1991" t="str">
            <v>N87319KXGHM</v>
          </cell>
          <cell r="B1991" t="str">
            <v>N87319K</v>
          </cell>
        </row>
        <row r="1992">
          <cell r="A1992" t="str">
            <v>N87319KXGHXL</v>
          </cell>
          <cell r="B1992" t="str">
            <v>N87319K</v>
          </cell>
        </row>
        <row r="1993">
          <cell r="A1993" t="str">
            <v>N87319KXSL</v>
          </cell>
          <cell r="B1993" t="str">
            <v>N87319K</v>
          </cell>
        </row>
        <row r="1994">
          <cell r="A1994" t="str">
            <v>N87319KXSM</v>
          </cell>
          <cell r="B1994" t="str">
            <v>N87319K</v>
          </cell>
        </row>
        <row r="1995">
          <cell r="A1995" t="str">
            <v>N87319KXSXL</v>
          </cell>
          <cell r="B1995" t="str">
            <v>N87319K</v>
          </cell>
        </row>
        <row r="1996">
          <cell r="A1996" t="str">
            <v>N888YK036</v>
          </cell>
          <cell r="B1996" t="str">
            <v>N87319K</v>
          </cell>
        </row>
        <row r="1997">
          <cell r="A1997" t="str">
            <v>N888YK038</v>
          </cell>
          <cell r="B1997" t="str">
            <v>N87319K</v>
          </cell>
        </row>
        <row r="1998">
          <cell r="A1998" t="str">
            <v>N888YK040</v>
          </cell>
          <cell r="B1998" t="str">
            <v>N87319K</v>
          </cell>
        </row>
        <row r="1999">
          <cell r="A1999" t="str">
            <v>N888YK042</v>
          </cell>
          <cell r="B1999" t="str">
            <v>N888Y</v>
          </cell>
        </row>
        <row r="2000">
          <cell r="A2000" t="str">
            <v>N888YR536</v>
          </cell>
          <cell r="B2000" t="str">
            <v>N888Y</v>
          </cell>
        </row>
        <row r="2001">
          <cell r="A2001" t="str">
            <v>N888YR538</v>
          </cell>
          <cell r="B2001" t="str">
            <v>N888Y</v>
          </cell>
        </row>
        <row r="2002">
          <cell r="A2002" t="str">
            <v>N888YR540</v>
          </cell>
          <cell r="B2002" t="str">
            <v>N888Y</v>
          </cell>
        </row>
        <row r="2003">
          <cell r="A2003" t="str">
            <v>N888YR542</v>
          </cell>
          <cell r="B2003" t="str">
            <v>N888Y</v>
          </cell>
        </row>
        <row r="2004">
          <cell r="A2004" t="str">
            <v>N888YXS36</v>
          </cell>
          <cell r="B2004" t="str">
            <v>N888Y</v>
          </cell>
        </row>
        <row r="2005">
          <cell r="A2005" t="str">
            <v>N888YXS38</v>
          </cell>
          <cell r="B2005" t="str">
            <v>N888Y</v>
          </cell>
        </row>
        <row r="2006">
          <cell r="A2006" t="str">
            <v>N888YXS40</v>
          </cell>
          <cell r="B2006" t="str">
            <v>N888Y</v>
          </cell>
        </row>
        <row r="2007">
          <cell r="A2007" t="str">
            <v>N888YXS42</v>
          </cell>
          <cell r="B2007" t="str">
            <v>N888Y</v>
          </cell>
        </row>
        <row r="2008">
          <cell r="A2008" t="str">
            <v>N89103KBLL</v>
          </cell>
          <cell r="B2008" t="str">
            <v>N888Y</v>
          </cell>
        </row>
        <row r="2009">
          <cell r="A2009" t="str">
            <v>N89103KBLM</v>
          </cell>
          <cell r="B2009" t="str">
            <v>N888Y</v>
          </cell>
        </row>
        <row r="2010">
          <cell r="A2010" t="str">
            <v>N89103KBLXL</v>
          </cell>
          <cell r="B2010" t="str">
            <v>N888Y</v>
          </cell>
        </row>
        <row r="2011">
          <cell r="A2011" t="str">
            <v>N89103K-DS-L</v>
          </cell>
          <cell r="B2011" t="str">
            <v>N89103K</v>
          </cell>
        </row>
        <row r="2012">
          <cell r="A2012" t="str">
            <v>N89103K-DS-M</v>
          </cell>
          <cell r="B2012" t="str">
            <v>N89103K</v>
          </cell>
        </row>
        <row r="2013">
          <cell r="A2013" t="str">
            <v>N89103K-DS-XL</v>
          </cell>
          <cell r="B2013" t="str">
            <v>N89103K</v>
          </cell>
        </row>
        <row r="2014">
          <cell r="A2014" t="str">
            <v>N89103KHLL</v>
          </cell>
          <cell r="B2014" t="str">
            <v>N89103K</v>
          </cell>
        </row>
        <row r="2015">
          <cell r="A2015" t="str">
            <v>N89103KHLM</v>
          </cell>
          <cell r="B2015" t="str">
            <v>N89103K</v>
          </cell>
        </row>
        <row r="2016">
          <cell r="A2016" t="str">
            <v>N89103KHLXL</v>
          </cell>
          <cell r="B2016" t="str">
            <v>N89103K</v>
          </cell>
        </row>
        <row r="2017">
          <cell r="A2017" t="str">
            <v>N89103KK0L</v>
          </cell>
          <cell r="B2017" t="str">
            <v>N89103K</v>
          </cell>
        </row>
        <row r="2018">
          <cell r="A2018" t="str">
            <v>N89103KK0M</v>
          </cell>
          <cell r="B2018" t="str">
            <v>N89103K</v>
          </cell>
        </row>
        <row r="2019">
          <cell r="A2019" t="str">
            <v>N89103KK0XL</v>
          </cell>
          <cell r="B2019" t="str">
            <v>N89103K</v>
          </cell>
        </row>
        <row r="2020">
          <cell r="A2020" t="str">
            <v>N89103KMHL</v>
          </cell>
          <cell r="B2020" t="str">
            <v>N89103K</v>
          </cell>
        </row>
        <row r="2021">
          <cell r="A2021" t="str">
            <v>N89103KMHM</v>
          </cell>
          <cell r="B2021" t="str">
            <v>N89103K</v>
          </cell>
        </row>
        <row r="2022">
          <cell r="A2022" t="str">
            <v>N89103KMHXL</v>
          </cell>
          <cell r="B2022" t="str">
            <v>N89103K</v>
          </cell>
        </row>
        <row r="2023">
          <cell r="A2023" t="str">
            <v>N89103KP0L</v>
          </cell>
          <cell r="B2023" t="str">
            <v>N89103K</v>
          </cell>
        </row>
        <row r="2024">
          <cell r="A2024" t="str">
            <v>N89103KP0M</v>
          </cell>
          <cell r="B2024" t="str">
            <v>N89103K</v>
          </cell>
        </row>
        <row r="2025">
          <cell r="A2025" t="str">
            <v>N89103KP0XL</v>
          </cell>
          <cell r="B2025" t="str">
            <v>N89103K</v>
          </cell>
        </row>
        <row r="2026">
          <cell r="A2026" t="str">
            <v>N89103KW0L</v>
          </cell>
          <cell r="B2026" t="str">
            <v>N89103K</v>
          </cell>
        </row>
        <row r="2027">
          <cell r="A2027" t="str">
            <v>N89103KW0M</v>
          </cell>
          <cell r="B2027" t="str">
            <v>N89103K</v>
          </cell>
        </row>
        <row r="2028">
          <cell r="A2028" t="str">
            <v>N89103KW0XL</v>
          </cell>
          <cell r="B2028" t="str">
            <v>N89103K</v>
          </cell>
        </row>
        <row r="2029">
          <cell r="A2029" t="str">
            <v>N89105KBLL</v>
          </cell>
          <cell r="B2029" t="str">
            <v>N89103K</v>
          </cell>
        </row>
        <row r="2030">
          <cell r="A2030" t="str">
            <v>N89105KBLM</v>
          </cell>
          <cell r="B2030" t="str">
            <v>N89103K</v>
          </cell>
        </row>
        <row r="2031">
          <cell r="A2031" t="str">
            <v>N89105KBLXL</v>
          </cell>
          <cell r="B2031" t="str">
            <v>N89103K</v>
          </cell>
        </row>
        <row r="2032">
          <cell r="A2032" t="str">
            <v>N89105K-DS-L</v>
          </cell>
          <cell r="B2032" t="str">
            <v>N89105K</v>
          </cell>
        </row>
        <row r="2033">
          <cell r="A2033" t="str">
            <v>N89105K-DS-M</v>
          </cell>
          <cell r="B2033" t="str">
            <v>N89105K</v>
          </cell>
        </row>
        <row r="2034">
          <cell r="A2034" t="str">
            <v>N89105K-DS-XL</v>
          </cell>
          <cell r="B2034" t="str">
            <v>N89105K</v>
          </cell>
        </row>
        <row r="2035">
          <cell r="A2035" t="str">
            <v>N89105KHLL</v>
          </cell>
          <cell r="B2035" t="str">
            <v>N89105K</v>
          </cell>
        </row>
        <row r="2036">
          <cell r="A2036" t="str">
            <v>N89105KHLM</v>
          </cell>
          <cell r="B2036" t="str">
            <v>N89105K</v>
          </cell>
        </row>
        <row r="2037">
          <cell r="A2037" t="str">
            <v>N89105KHLXL</v>
          </cell>
          <cell r="B2037" t="str">
            <v>N89105K</v>
          </cell>
        </row>
        <row r="2038">
          <cell r="A2038" t="str">
            <v>N89105KK0L</v>
          </cell>
          <cell r="B2038" t="str">
            <v>N89105K</v>
          </cell>
        </row>
        <row r="2039">
          <cell r="A2039" t="str">
            <v>N89105KK0M</v>
          </cell>
          <cell r="B2039" t="str">
            <v>N89105K</v>
          </cell>
        </row>
        <row r="2040">
          <cell r="A2040" t="str">
            <v>N89105KK0XL</v>
          </cell>
          <cell r="B2040" t="str">
            <v>N89105K</v>
          </cell>
        </row>
        <row r="2041">
          <cell r="A2041" t="str">
            <v>N89105KMHL</v>
          </cell>
          <cell r="B2041" t="str">
            <v>N89105K</v>
          </cell>
        </row>
        <row r="2042">
          <cell r="A2042" t="str">
            <v>N89105KMHM</v>
          </cell>
          <cell r="B2042" t="str">
            <v>N89105K</v>
          </cell>
        </row>
        <row r="2043">
          <cell r="A2043" t="str">
            <v>N89105KMHXL</v>
          </cell>
          <cell r="B2043" t="str">
            <v>N89105K</v>
          </cell>
        </row>
        <row r="2044">
          <cell r="A2044" t="str">
            <v>N89105KP0L</v>
          </cell>
          <cell r="B2044" t="str">
            <v>N89105K</v>
          </cell>
        </row>
        <row r="2045">
          <cell r="A2045" t="str">
            <v>N89105KP0M</v>
          </cell>
          <cell r="B2045" t="str">
            <v>N89105K</v>
          </cell>
        </row>
        <row r="2046">
          <cell r="A2046" t="str">
            <v>N89105KP0XL</v>
          </cell>
          <cell r="B2046" t="str">
            <v>N89105K</v>
          </cell>
        </row>
        <row r="2047">
          <cell r="A2047" t="str">
            <v>N89105KW0L</v>
          </cell>
          <cell r="B2047" t="str">
            <v>N89105K</v>
          </cell>
        </row>
        <row r="2048">
          <cell r="A2048" t="str">
            <v>N89105KW0M</v>
          </cell>
          <cell r="B2048" t="str">
            <v>N89105K</v>
          </cell>
        </row>
        <row r="2049">
          <cell r="A2049" t="str">
            <v>N89105KW0XL</v>
          </cell>
          <cell r="B2049" t="str">
            <v>N89105K</v>
          </cell>
        </row>
        <row r="2050">
          <cell r="A2050" t="str">
            <v>N89118K-DS-L</v>
          </cell>
          <cell r="B2050" t="str">
            <v>N89105K</v>
          </cell>
        </row>
        <row r="2051">
          <cell r="A2051" t="str">
            <v>N89118K-DS-M</v>
          </cell>
          <cell r="B2051" t="str">
            <v>N89105K</v>
          </cell>
        </row>
        <row r="2052">
          <cell r="A2052" t="str">
            <v>N89118K-DS-XL</v>
          </cell>
          <cell r="B2052" t="str">
            <v>N89105K</v>
          </cell>
        </row>
        <row r="2053">
          <cell r="A2053" t="str">
            <v>N89118KHLL</v>
          </cell>
          <cell r="B2053" t="str">
            <v>N89118K</v>
          </cell>
        </row>
        <row r="2054">
          <cell r="A2054" t="str">
            <v>N89118KHLM</v>
          </cell>
          <cell r="B2054" t="str">
            <v>N89118K</v>
          </cell>
        </row>
        <row r="2055">
          <cell r="A2055" t="str">
            <v>N89118KHLXL</v>
          </cell>
          <cell r="B2055" t="str">
            <v>N89118K</v>
          </cell>
        </row>
        <row r="2056">
          <cell r="A2056" t="str">
            <v>N89118KK0L</v>
          </cell>
          <cell r="B2056" t="str">
            <v>N89118K</v>
          </cell>
        </row>
        <row r="2057">
          <cell r="A2057" t="str">
            <v>N89118KK0M</v>
          </cell>
          <cell r="B2057" t="str">
            <v>N89118K</v>
          </cell>
        </row>
        <row r="2058">
          <cell r="A2058" t="str">
            <v>N89118KK0XL</v>
          </cell>
          <cell r="B2058" t="str">
            <v>N89118K</v>
          </cell>
        </row>
        <row r="2059">
          <cell r="A2059" t="str">
            <v>N89118KMLSL</v>
          </cell>
          <cell r="B2059" t="str">
            <v>N89118K</v>
          </cell>
        </row>
        <row r="2060">
          <cell r="A2060" t="str">
            <v>N89118KMLSM</v>
          </cell>
          <cell r="B2060" t="str">
            <v>N89118K</v>
          </cell>
        </row>
        <row r="2061">
          <cell r="A2061" t="str">
            <v>N89118KMLSXL</v>
          </cell>
          <cell r="B2061" t="str">
            <v>N89118K</v>
          </cell>
        </row>
        <row r="2062">
          <cell r="A2062" t="str">
            <v>N89118KR5L</v>
          </cell>
          <cell r="B2062" t="str">
            <v>N89118K</v>
          </cell>
        </row>
        <row r="2063">
          <cell r="A2063" t="str">
            <v>N89118KR5M</v>
          </cell>
          <cell r="B2063" t="str">
            <v>N89118K</v>
          </cell>
        </row>
        <row r="2064">
          <cell r="A2064" t="str">
            <v>N89118KR5XL</v>
          </cell>
          <cell r="B2064" t="str">
            <v>N89118K</v>
          </cell>
        </row>
        <row r="2065">
          <cell r="A2065" t="str">
            <v>N89118KW0L</v>
          </cell>
          <cell r="B2065" t="str">
            <v>N89118K</v>
          </cell>
        </row>
        <row r="2066">
          <cell r="A2066" t="str">
            <v>N89118KW0M</v>
          </cell>
          <cell r="B2066" t="str">
            <v>N89118K</v>
          </cell>
        </row>
        <row r="2067">
          <cell r="A2067" t="str">
            <v>N89118KW0XL</v>
          </cell>
          <cell r="B2067" t="str">
            <v>N89118K</v>
          </cell>
        </row>
        <row r="2068">
          <cell r="A2068" t="str">
            <v>N89118KXSL</v>
          </cell>
          <cell r="B2068" t="str">
            <v>N89118K</v>
          </cell>
        </row>
        <row r="2069">
          <cell r="A2069" t="str">
            <v>N89118KXSM</v>
          </cell>
          <cell r="B2069" t="str">
            <v>N89118K</v>
          </cell>
        </row>
        <row r="2070">
          <cell r="A2070" t="str">
            <v>N89118KXSXL</v>
          </cell>
          <cell r="B2070" t="str">
            <v>N89118K</v>
          </cell>
        </row>
        <row r="2071">
          <cell r="A2071" t="str">
            <v>N89119KBLL</v>
          </cell>
          <cell r="B2071" t="str">
            <v>N89118K</v>
          </cell>
        </row>
        <row r="2072">
          <cell r="A2072" t="str">
            <v>N89119KBLM</v>
          </cell>
          <cell r="B2072" t="str">
            <v>N89118K</v>
          </cell>
        </row>
        <row r="2073">
          <cell r="A2073" t="str">
            <v>N89119KBLXL</v>
          </cell>
          <cell r="B2073" t="str">
            <v>N89118K</v>
          </cell>
        </row>
        <row r="2074">
          <cell r="A2074" t="str">
            <v>N89119K-DS-L</v>
          </cell>
          <cell r="B2074" t="str">
            <v>N89119K</v>
          </cell>
        </row>
        <row r="2075">
          <cell r="A2075" t="str">
            <v>N89119K-DS-M</v>
          </cell>
          <cell r="B2075" t="str">
            <v>N89119K</v>
          </cell>
        </row>
        <row r="2076">
          <cell r="A2076" t="str">
            <v>N89119K-DS-XL</v>
          </cell>
          <cell r="B2076" t="str">
            <v>N89119K</v>
          </cell>
        </row>
        <row r="2077">
          <cell r="A2077" t="str">
            <v>N89119KHLL</v>
          </cell>
          <cell r="B2077" t="str">
            <v>N89119K</v>
          </cell>
        </row>
        <row r="2078">
          <cell r="A2078" t="str">
            <v>N89119KHLM</v>
          </cell>
          <cell r="B2078" t="str">
            <v>N89119K</v>
          </cell>
        </row>
        <row r="2079">
          <cell r="A2079" t="str">
            <v>N89119KHLXL</v>
          </cell>
          <cell r="B2079" t="str">
            <v>N89119K</v>
          </cell>
        </row>
        <row r="2080">
          <cell r="A2080" t="str">
            <v>N89119KK0L</v>
          </cell>
          <cell r="B2080" t="str">
            <v>N89119K</v>
          </cell>
        </row>
        <row r="2081">
          <cell r="A2081" t="str">
            <v>N89119KK0M</v>
          </cell>
          <cell r="B2081" t="str">
            <v>N89119K</v>
          </cell>
        </row>
        <row r="2082">
          <cell r="A2082" t="str">
            <v>N89119KK0XL</v>
          </cell>
          <cell r="B2082" t="str">
            <v>N89119K</v>
          </cell>
        </row>
        <row r="2083">
          <cell r="A2083" t="str">
            <v>N89119KMHL</v>
          </cell>
          <cell r="B2083" t="str">
            <v>N89119K</v>
          </cell>
        </row>
        <row r="2084">
          <cell r="A2084" t="str">
            <v>N89119KMHM</v>
          </cell>
          <cell r="B2084" t="str">
            <v>N89119K</v>
          </cell>
        </row>
        <row r="2085">
          <cell r="A2085" t="str">
            <v>N89119KMHXL</v>
          </cell>
          <cell r="B2085" t="str">
            <v>N89119K</v>
          </cell>
        </row>
        <row r="2086">
          <cell r="A2086" t="str">
            <v>N89119KR5L</v>
          </cell>
          <cell r="B2086" t="str">
            <v>N89119K</v>
          </cell>
        </row>
        <row r="2087">
          <cell r="A2087" t="str">
            <v>N89119KR5M</v>
          </cell>
          <cell r="B2087" t="str">
            <v>N89119K</v>
          </cell>
        </row>
        <row r="2088">
          <cell r="A2088" t="str">
            <v>N89119KR5XL</v>
          </cell>
          <cell r="B2088" t="str">
            <v>N89119K</v>
          </cell>
        </row>
        <row r="2089">
          <cell r="A2089" t="str">
            <v>N89119KXSL</v>
          </cell>
          <cell r="B2089" t="str">
            <v>N89119K</v>
          </cell>
        </row>
        <row r="2090">
          <cell r="A2090" t="str">
            <v>N89119KXSM</v>
          </cell>
          <cell r="B2090" t="str">
            <v>N89119K</v>
          </cell>
        </row>
        <row r="2091">
          <cell r="A2091" t="str">
            <v>N89119KXSXL</v>
          </cell>
          <cell r="B2091" t="str">
            <v>N89119K</v>
          </cell>
        </row>
        <row r="2092">
          <cell r="A2092" t="str">
            <v>N89122KBL2XL</v>
          </cell>
          <cell r="B2092" t="str">
            <v>N89119K</v>
          </cell>
        </row>
        <row r="2093">
          <cell r="A2093" t="str">
            <v>N89122KBL3XL</v>
          </cell>
          <cell r="B2093" t="str">
            <v>N89119K</v>
          </cell>
        </row>
        <row r="2094">
          <cell r="A2094" t="str">
            <v>N89122KBL4XL</v>
          </cell>
          <cell r="B2094" t="str">
            <v>N89119K</v>
          </cell>
        </row>
        <row r="2095">
          <cell r="A2095" t="str">
            <v>N89122K-DS-2XL</v>
          </cell>
          <cell r="B2095" t="str">
            <v>N89122K</v>
          </cell>
        </row>
        <row r="2096">
          <cell r="A2096" t="str">
            <v>N89122K-DS-3XL</v>
          </cell>
          <cell r="B2096" t="str">
            <v>N89122K</v>
          </cell>
        </row>
        <row r="2097">
          <cell r="A2097" t="str">
            <v>N89122K-DS-4XL</v>
          </cell>
          <cell r="B2097" t="str">
            <v>N89122K</v>
          </cell>
        </row>
        <row r="2098">
          <cell r="A2098" t="str">
            <v>N89122KHL2XL</v>
          </cell>
          <cell r="B2098" t="str">
            <v>N89122K</v>
          </cell>
        </row>
        <row r="2099">
          <cell r="A2099" t="str">
            <v>N89122KHL3XL</v>
          </cell>
          <cell r="B2099" t="str">
            <v>N89122K</v>
          </cell>
        </row>
        <row r="2100">
          <cell r="A2100" t="str">
            <v>N89122KHL4XL</v>
          </cell>
          <cell r="B2100" t="str">
            <v>N89122K</v>
          </cell>
        </row>
        <row r="2101">
          <cell r="A2101" t="str">
            <v>N89122KK02XL</v>
          </cell>
          <cell r="B2101" t="str">
            <v>N89122K</v>
          </cell>
        </row>
        <row r="2102">
          <cell r="A2102" t="str">
            <v>N89122KK03XL</v>
          </cell>
          <cell r="B2102" t="str">
            <v>N89122K</v>
          </cell>
        </row>
        <row r="2103">
          <cell r="A2103" t="str">
            <v>N89122KK04XL</v>
          </cell>
          <cell r="B2103" t="str">
            <v>N89122K</v>
          </cell>
        </row>
        <row r="2104">
          <cell r="A2104" t="str">
            <v>N89122KMH2XL</v>
          </cell>
          <cell r="B2104" t="str">
            <v>N89122K</v>
          </cell>
        </row>
        <row r="2105">
          <cell r="A2105" t="str">
            <v>N89122KMH3XL</v>
          </cell>
          <cell r="B2105" t="str">
            <v>N89122K</v>
          </cell>
        </row>
        <row r="2106">
          <cell r="A2106" t="str">
            <v>N89122KMH4XL</v>
          </cell>
          <cell r="B2106" t="str">
            <v>N89122K</v>
          </cell>
        </row>
        <row r="2107">
          <cell r="A2107" t="str">
            <v>N89122KW02XL</v>
          </cell>
          <cell r="B2107" t="str">
            <v>N89122K</v>
          </cell>
        </row>
        <row r="2108">
          <cell r="A2108" t="str">
            <v>N89122KW03XL</v>
          </cell>
          <cell r="B2108" t="str">
            <v>N89122K</v>
          </cell>
        </row>
        <row r="2109">
          <cell r="A2109" t="str">
            <v>N89122KW04XL</v>
          </cell>
          <cell r="B2109" t="str">
            <v>N89122K</v>
          </cell>
        </row>
        <row r="2110">
          <cell r="A2110" t="str">
            <v>N89122KXS2XL</v>
          </cell>
          <cell r="B2110" t="str">
            <v>N89122K</v>
          </cell>
        </row>
        <row r="2111">
          <cell r="A2111" t="str">
            <v>N89122KXS3XL</v>
          </cell>
          <cell r="B2111" t="str">
            <v>N89122K</v>
          </cell>
        </row>
        <row r="2112">
          <cell r="A2112" t="str">
            <v>N89122KXS4XL</v>
          </cell>
          <cell r="B2112" t="str">
            <v>N89122K</v>
          </cell>
        </row>
        <row r="2113">
          <cell r="A2113" t="str">
            <v>N9383YB038</v>
          </cell>
          <cell r="B2113" t="str">
            <v>N89122K</v>
          </cell>
        </row>
        <row r="2114">
          <cell r="A2114" t="str">
            <v>N9383YB040</v>
          </cell>
          <cell r="B2114" t="str">
            <v>N89122K</v>
          </cell>
        </row>
        <row r="2115">
          <cell r="A2115" t="str">
            <v>N9383YB042</v>
          </cell>
          <cell r="B2115" t="str">
            <v>N89122K</v>
          </cell>
        </row>
        <row r="2116">
          <cell r="A2116" t="str">
            <v>N9383YB044</v>
          </cell>
          <cell r="B2116" t="str">
            <v>N9383Y</v>
          </cell>
        </row>
        <row r="2117">
          <cell r="A2117" t="str">
            <v>N9383YB046</v>
          </cell>
          <cell r="B2117" t="str">
            <v>N9383Y</v>
          </cell>
        </row>
        <row r="2118">
          <cell r="A2118" t="str">
            <v>N9383YB048</v>
          </cell>
          <cell r="B2118" t="str">
            <v>N9383Y</v>
          </cell>
        </row>
        <row r="2119">
          <cell r="A2119" t="str">
            <v>N9383YG038</v>
          </cell>
          <cell r="B2119" t="str">
            <v>N9383Y</v>
          </cell>
        </row>
        <row r="2120">
          <cell r="A2120" t="str">
            <v>N9383YG040</v>
          </cell>
          <cell r="B2120" t="str">
            <v>N9383Y</v>
          </cell>
        </row>
        <row r="2121">
          <cell r="A2121" t="str">
            <v>N9383YG042</v>
          </cell>
          <cell r="B2121" t="str">
            <v>N9383Y</v>
          </cell>
        </row>
        <row r="2122">
          <cell r="A2122" t="str">
            <v>N9383YG044</v>
          </cell>
          <cell r="B2122" t="str">
            <v>N9383Y</v>
          </cell>
        </row>
        <row r="2123">
          <cell r="A2123" t="str">
            <v>N9383YG046</v>
          </cell>
          <cell r="B2123" t="str">
            <v>N9383Y</v>
          </cell>
        </row>
        <row r="2124">
          <cell r="A2124" t="str">
            <v>N9383YG048</v>
          </cell>
          <cell r="B2124" t="str">
            <v>N9383Y</v>
          </cell>
        </row>
        <row r="2125">
          <cell r="A2125" t="str">
            <v>N9383YMH38</v>
          </cell>
          <cell r="B2125" t="str">
            <v>N9383Y</v>
          </cell>
        </row>
        <row r="2126">
          <cell r="A2126" t="str">
            <v>N9383YMH40</v>
          </cell>
          <cell r="B2126" t="str">
            <v>N9383Y</v>
          </cell>
        </row>
        <row r="2127">
          <cell r="A2127" t="str">
            <v>N9383YMH42</v>
          </cell>
          <cell r="B2127" t="str">
            <v>N9383Y</v>
          </cell>
        </row>
        <row r="2128">
          <cell r="A2128" t="str">
            <v>N9383YMH44</v>
          </cell>
          <cell r="B2128" t="str">
            <v>N9383Y</v>
          </cell>
        </row>
        <row r="2129">
          <cell r="A2129" t="str">
            <v>N9383YMH46</v>
          </cell>
          <cell r="B2129" t="str">
            <v>N9383Y</v>
          </cell>
        </row>
        <row r="2130">
          <cell r="A2130" t="str">
            <v>N9383YMH48</v>
          </cell>
          <cell r="B2130" t="str">
            <v>N9383Y</v>
          </cell>
        </row>
        <row r="2131">
          <cell r="A2131" t="str">
            <v>N9383YP038</v>
          </cell>
          <cell r="B2131" t="str">
            <v>N9383Y</v>
          </cell>
        </row>
        <row r="2132">
          <cell r="A2132" t="str">
            <v>N9383YP040</v>
          </cell>
          <cell r="B2132" t="str">
            <v>N9383Y</v>
          </cell>
        </row>
        <row r="2133">
          <cell r="A2133" t="str">
            <v>N9383YP042</v>
          </cell>
          <cell r="B2133" t="str">
            <v>N9383Y</v>
          </cell>
        </row>
        <row r="2134">
          <cell r="A2134" t="str">
            <v>N9383YP044</v>
          </cell>
          <cell r="B2134" t="str">
            <v>N9383Y</v>
          </cell>
        </row>
        <row r="2135">
          <cell r="A2135" t="str">
            <v>N9383YP046</v>
          </cell>
          <cell r="B2135" t="str">
            <v>N9383Y</v>
          </cell>
        </row>
        <row r="2136">
          <cell r="A2136" t="str">
            <v>N9383YP048</v>
          </cell>
          <cell r="B2136" t="str">
            <v>N9383Y</v>
          </cell>
        </row>
        <row r="2137">
          <cell r="A2137" t="str">
            <v>N9383YR038</v>
          </cell>
          <cell r="B2137" t="str">
            <v>N9383Y</v>
          </cell>
        </row>
        <row r="2138">
          <cell r="A2138" t="str">
            <v>N9383YR040</v>
          </cell>
          <cell r="B2138" t="str">
            <v>N9383Y</v>
          </cell>
        </row>
        <row r="2139">
          <cell r="A2139" t="str">
            <v>N9383YR042</v>
          </cell>
          <cell r="B2139" t="str">
            <v>N9383Y</v>
          </cell>
        </row>
        <row r="2140">
          <cell r="A2140" t="str">
            <v>N9383YR044</v>
          </cell>
          <cell r="B2140" t="str">
            <v>N9383Y</v>
          </cell>
        </row>
        <row r="2141">
          <cell r="A2141" t="str">
            <v>N9383YR046</v>
          </cell>
          <cell r="B2141" t="str">
            <v>N9383Y</v>
          </cell>
        </row>
        <row r="2142">
          <cell r="A2142" t="str">
            <v>N9383YR048</v>
          </cell>
          <cell r="B2142" t="str">
            <v>N9383Y</v>
          </cell>
        </row>
        <row r="2143">
          <cell r="A2143" t="str">
            <v>N9383YXGH38</v>
          </cell>
          <cell r="B2143" t="str">
            <v>N9383Y</v>
          </cell>
        </row>
        <row r="2144">
          <cell r="A2144" t="str">
            <v>N9383YXGH40</v>
          </cell>
          <cell r="B2144" t="str">
            <v>N9383Y</v>
          </cell>
        </row>
        <row r="2145">
          <cell r="A2145" t="str">
            <v>N9383YXGH42</v>
          </cell>
          <cell r="B2145" t="str">
            <v>N9383Y</v>
          </cell>
        </row>
        <row r="2146">
          <cell r="A2146" t="str">
            <v>N9383YXGH44</v>
          </cell>
          <cell r="B2146" t="str">
            <v>N9383Y</v>
          </cell>
        </row>
        <row r="2147">
          <cell r="A2147" t="str">
            <v>N9383YXGH46</v>
          </cell>
          <cell r="B2147" t="str">
            <v>N9383Y</v>
          </cell>
        </row>
        <row r="2148">
          <cell r="A2148" t="str">
            <v>N9383YXGH48</v>
          </cell>
          <cell r="B2148" t="str">
            <v>N9383Y</v>
          </cell>
        </row>
        <row r="2149">
          <cell r="A2149" t="str">
            <v>N9932YK034</v>
          </cell>
          <cell r="B2149" t="str">
            <v>N9383Y</v>
          </cell>
        </row>
        <row r="2150">
          <cell r="A2150" t="str">
            <v>N9932YK036</v>
          </cell>
          <cell r="B2150" t="str">
            <v>N9383Y</v>
          </cell>
        </row>
        <row r="2151">
          <cell r="A2151" t="str">
            <v>N9932YK038</v>
          </cell>
          <cell r="B2151" t="str">
            <v>N9383Y</v>
          </cell>
        </row>
        <row r="2152">
          <cell r="A2152" t="str">
            <v>N9932YR034</v>
          </cell>
          <cell r="B2152" t="str">
            <v>N9932Y</v>
          </cell>
        </row>
        <row r="2153">
          <cell r="A2153" t="str">
            <v>N9932YR036</v>
          </cell>
          <cell r="B2153" t="str">
            <v>N9932Y</v>
          </cell>
        </row>
        <row r="2154">
          <cell r="A2154" t="str">
            <v>N9932YR038</v>
          </cell>
          <cell r="B2154" t="str">
            <v>N9932Y</v>
          </cell>
        </row>
        <row r="2155">
          <cell r="A2155" t="str">
            <v>N9932YR534</v>
          </cell>
          <cell r="B2155" t="str">
            <v>N9932Y</v>
          </cell>
        </row>
        <row r="2156">
          <cell r="A2156" t="str">
            <v>N9932YR536</v>
          </cell>
          <cell r="B2156" t="str">
            <v>N9932Y</v>
          </cell>
        </row>
        <row r="2157">
          <cell r="A2157" t="str">
            <v>N9932YR538</v>
          </cell>
          <cell r="B2157" t="str">
            <v>N9932Y</v>
          </cell>
        </row>
        <row r="2158">
          <cell r="A2158" t="str">
            <v>N9932YXS34</v>
          </cell>
          <cell r="B2158" t="str">
            <v>N9932Y</v>
          </cell>
        </row>
        <row r="2159">
          <cell r="A2159" t="str">
            <v>N9932YXS36</v>
          </cell>
          <cell r="B2159" t="str">
            <v>N9932Y</v>
          </cell>
        </row>
        <row r="2160">
          <cell r="A2160" t="str">
            <v>N9932YXS38</v>
          </cell>
          <cell r="B2160" t="str">
            <v>N9932Y</v>
          </cell>
        </row>
        <row r="2161">
          <cell r="A2161" t="str">
            <v>NC11YK038</v>
          </cell>
          <cell r="B2161" t="str">
            <v>N9932Y</v>
          </cell>
        </row>
        <row r="2162">
          <cell r="A2162" t="str">
            <v>NC11YK040</v>
          </cell>
          <cell r="B2162" t="str">
            <v>N9932Y</v>
          </cell>
        </row>
        <row r="2163">
          <cell r="A2163" t="str">
            <v>NC11YK042</v>
          </cell>
          <cell r="B2163" t="str">
            <v>N9932Y</v>
          </cell>
        </row>
        <row r="2164">
          <cell r="A2164" t="str">
            <v>NC11YXS38</v>
          </cell>
          <cell r="B2164" t="str">
            <v>NC11Y</v>
          </cell>
        </row>
        <row r="2165">
          <cell r="A2165" t="str">
            <v>NC11YXS40</v>
          </cell>
          <cell r="B2165" t="str">
            <v>NC11Y</v>
          </cell>
        </row>
        <row r="2166">
          <cell r="A2166" t="str">
            <v>NC11YXS42</v>
          </cell>
          <cell r="B2166" t="str">
            <v>NC11Y</v>
          </cell>
        </row>
        <row r="2167">
          <cell r="A2167" t="str">
            <v>NHDZR0</v>
          </cell>
          <cell r="B2167" t="str">
            <v>NC11Y</v>
          </cell>
        </row>
        <row r="2168">
          <cell r="A2168" t="str">
            <v>NK-XUHM001-K0-L</v>
          </cell>
          <cell r="B2168" t="str">
            <v>ZIMUYH</v>
          </cell>
        </row>
        <row r="2169">
          <cell r="A2169" t="str">
            <v>NK-XUHM001-K0-M</v>
          </cell>
          <cell r="B2169" t="str">
            <v>ZSNW</v>
          </cell>
        </row>
        <row r="2170">
          <cell r="A2170" t="str">
            <v>NK-XUHM001-K0-S</v>
          </cell>
          <cell r="B2170" t="str">
            <v>ZZTS</v>
          </cell>
        </row>
        <row r="2171">
          <cell r="A2171" t="str">
            <v>NK-XUHM001-K0-XL</v>
          </cell>
          <cell r="B2171" t="str">
            <v>NK-XUHM001</v>
          </cell>
        </row>
        <row r="2172">
          <cell r="A2172" t="str">
            <v>NK-XUHM001-K0-XXL</v>
          </cell>
          <cell r="B2172" t="str">
            <v>NK-XUHM001</v>
          </cell>
        </row>
        <row r="2173">
          <cell r="A2173" t="str">
            <v>NWZEGL2XL</v>
          </cell>
          <cell r="B2173" t="str">
            <v>NC11Y</v>
          </cell>
        </row>
        <row r="2174">
          <cell r="A2174" t="str">
            <v>NWZEGL3XL</v>
          </cell>
          <cell r="B2174" t="str">
            <v>NC11Y</v>
          </cell>
        </row>
        <row r="2175">
          <cell r="A2175" t="str">
            <v>NWZEGL4XL</v>
          </cell>
          <cell r="B2175" t="str">
            <v>NHDZ</v>
          </cell>
        </row>
        <row r="2176">
          <cell r="A2176" t="str">
            <v>NWZEGL5XL</v>
          </cell>
          <cell r="B2176" t="str">
            <v>NWZE</v>
          </cell>
        </row>
        <row r="2177">
          <cell r="A2177" t="str">
            <v>NWZEGLL</v>
          </cell>
          <cell r="B2177" t="str">
            <v>NWZE</v>
          </cell>
        </row>
        <row r="2178">
          <cell r="A2178" t="str">
            <v>NWZEGLXL</v>
          </cell>
          <cell r="B2178" t="str">
            <v>NWZE</v>
          </cell>
        </row>
        <row r="2179">
          <cell r="A2179" t="str">
            <v>NWZEKQS2XL</v>
          </cell>
          <cell r="B2179" t="str">
            <v>NWZE</v>
          </cell>
        </row>
        <row r="2180">
          <cell r="A2180" t="str">
            <v>NWZEKQS3XL</v>
          </cell>
          <cell r="B2180" t="str">
            <v>NWZE</v>
          </cell>
        </row>
        <row r="2181">
          <cell r="A2181" t="str">
            <v>NWZEKQS4XL</v>
          </cell>
          <cell r="B2181" t="str">
            <v>NWZE</v>
          </cell>
        </row>
        <row r="2182">
          <cell r="A2182" t="str">
            <v>NWZEKQS5XL</v>
          </cell>
          <cell r="B2182" t="str">
            <v>NWZE</v>
          </cell>
        </row>
        <row r="2183">
          <cell r="A2183" t="str">
            <v>NWZEKQSL</v>
          </cell>
          <cell r="B2183" t="str">
            <v>NWZE</v>
          </cell>
        </row>
        <row r="2184">
          <cell r="A2184" t="str">
            <v>NWZEKQSXL</v>
          </cell>
          <cell r="B2184" t="str">
            <v>NWZE</v>
          </cell>
        </row>
        <row r="2185">
          <cell r="A2185" t="str">
            <v>NWZEOR2XL</v>
          </cell>
          <cell r="B2185" t="str">
            <v>NWZE</v>
          </cell>
        </row>
        <row r="2186">
          <cell r="A2186" t="str">
            <v>NWZEOR3XL</v>
          </cell>
          <cell r="B2186" t="str">
            <v>NWZE</v>
          </cell>
        </row>
        <row r="2187">
          <cell r="A2187" t="str">
            <v>NWZEOR4XL</v>
          </cell>
          <cell r="B2187" t="str">
            <v>NWZE</v>
          </cell>
        </row>
        <row r="2188">
          <cell r="A2188" t="str">
            <v>NWZEOR5XL</v>
          </cell>
          <cell r="B2188" t="str">
            <v>NWZE</v>
          </cell>
        </row>
        <row r="2189">
          <cell r="A2189" t="str">
            <v>NWZEORL</v>
          </cell>
          <cell r="B2189" t="str">
            <v>NWZE</v>
          </cell>
        </row>
        <row r="2190">
          <cell r="A2190" t="str">
            <v>NWZEORXL</v>
          </cell>
          <cell r="B2190" t="str">
            <v>NWZE</v>
          </cell>
        </row>
        <row r="2191">
          <cell r="A2191" t="str">
            <v>NWZEQHS2XL</v>
          </cell>
          <cell r="B2191" t="str">
            <v>NWZE</v>
          </cell>
        </row>
        <row r="2192">
          <cell r="A2192" t="str">
            <v>NWZEQHS3XL</v>
          </cell>
          <cell r="B2192" t="str">
            <v>NWZE</v>
          </cell>
        </row>
        <row r="2193">
          <cell r="A2193" t="str">
            <v>NWZEQHS4XL</v>
          </cell>
          <cell r="B2193" t="str">
            <v>NWZE</v>
          </cell>
        </row>
        <row r="2194">
          <cell r="A2194" t="str">
            <v>NWZEQHS5XL</v>
          </cell>
          <cell r="B2194" t="str">
            <v>NWZE</v>
          </cell>
        </row>
        <row r="2195">
          <cell r="A2195" t="str">
            <v>NWZEQHSL</v>
          </cell>
          <cell r="B2195" t="str">
            <v>NWZE</v>
          </cell>
        </row>
        <row r="2196">
          <cell r="A2196" t="str">
            <v>NWZEQHSXL</v>
          </cell>
          <cell r="B2196" t="str">
            <v>NWZE</v>
          </cell>
        </row>
        <row r="2197">
          <cell r="A2197" t="str">
            <v>NWZEQLS2XL</v>
          </cell>
          <cell r="B2197" t="str">
            <v>NWZE</v>
          </cell>
        </row>
        <row r="2198">
          <cell r="A2198" t="str">
            <v>NWZEQLS3XL</v>
          </cell>
          <cell r="B2198" t="str">
            <v>NWZE</v>
          </cell>
        </row>
        <row r="2199">
          <cell r="A2199" t="str">
            <v>NWZEQLS4XL</v>
          </cell>
          <cell r="B2199" t="str">
            <v>NWZE</v>
          </cell>
        </row>
        <row r="2200">
          <cell r="A2200" t="str">
            <v>NWZEQLS5XL</v>
          </cell>
          <cell r="B2200" t="str">
            <v>NWZE</v>
          </cell>
        </row>
        <row r="2201">
          <cell r="A2201" t="str">
            <v>NWZEQLSL</v>
          </cell>
          <cell r="B2201" t="str">
            <v>NWZE</v>
          </cell>
        </row>
        <row r="2202">
          <cell r="A2202" t="str">
            <v>NWZEQLSXL</v>
          </cell>
          <cell r="B2202" t="str">
            <v>NWZE</v>
          </cell>
        </row>
        <row r="2203">
          <cell r="A2203" t="str">
            <v>NWZEW02XL</v>
          </cell>
          <cell r="B2203" t="str">
            <v>NWZE</v>
          </cell>
        </row>
        <row r="2204">
          <cell r="A2204" t="str">
            <v>NWZEW03XL</v>
          </cell>
          <cell r="B2204" t="str">
            <v>NWZE</v>
          </cell>
        </row>
        <row r="2205">
          <cell r="A2205" t="str">
            <v>NWZEW04XL</v>
          </cell>
          <cell r="B2205" t="str">
            <v>NWZE</v>
          </cell>
        </row>
        <row r="2206">
          <cell r="A2206" t="str">
            <v>NWZEW05XL</v>
          </cell>
          <cell r="B2206" t="str">
            <v>NWZE</v>
          </cell>
        </row>
        <row r="2207">
          <cell r="A2207" t="str">
            <v>NWZEW0L</v>
          </cell>
          <cell r="B2207" t="str">
            <v>NWZE</v>
          </cell>
        </row>
        <row r="2208">
          <cell r="A2208" t="str">
            <v>NWZEW0XL</v>
          </cell>
          <cell r="B2208" t="str">
            <v>NWZE</v>
          </cell>
        </row>
        <row r="2209">
          <cell r="A2209" t="str">
            <v>NWZEZQ2XL</v>
          </cell>
          <cell r="B2209" t="str">
            <v>NWZE</v>
          </cell>
        </row>
        <row r="2210">
          <cell r="A2210" t="str">
            <v>NWZEZQ3XL</v>
          </cell>
          <cell r="B2210" t="str">
            <v>NWZE</v>
          </cell>
        </row>
        <row r="2211">
          <cell r="A2211" t="str">
            <v>NWZEZQ4XL</v>
          </cell>
          <cell r="B2211" t="str">
            <v>NWZE</v>
          </cell>
        </row>
        <row r="2212">
          <cell r="A2212" t="str">
            <v>NWZEZQ5XL</v>
          </cell>
          <cell r="B2212" t="str">
            <v>NWZE</v>
          </cell>
        </row>
        <row r="2213">
          <cell r="A2213" t="str">
            <v>NWZEZQL</v>
          </cell>
          <cell r="B2213" t="str">
            <v>NWZE</v>
          </cell>
        </row>
        <row r="2214">
          <cell r="A2214" t="str">
            <v>NWZEZQXL</v>
          </cell>
          <cell r="B2214" t="str">
            <v>NWZE</v>
          </cell>
        </row>
        <row r="2215">
          <cell r="A2215" t="str">
            <v>NY-B15016-K0-L</v>
          </cell>
          <cell r="B2215" t="str">
            <v>NWZE</v>
          </cell>
        </row>
        <row r="2216">
          <cell r="A2216" t="str">
            <v>NY-B15016-K0-M</v>
          </cell>
          <cell r="B2216" t="str">
            <v>NWZE</v>
          </cell>
        </row>
        <row r="2217">
          <cell r="A2217" t="str">
            <v>NY-B15016-K0-S</v>
          </cell>
          <cell r="B2217" t="str">
            <v>NWZE</v>
          </cell>
        </row>
        <row r="2218">
          <cell r="A2218" t="str">
            <v>NY-B15016-W0-L</v>
          </cell>
          <cell r="B2218" t="str">
            <v>NY-B15016</v>
          </cell>
        </row>
        <row r="2219">
          <cell r="A2219" t="str">
            <v>NY-B15016-W0-M</v>
          </cell>
          <cell r="B2219" t="str">
            <v>NY-B15016</v>
          </cell>
        </row>
        <row r="2220">
          <cell r="A2220" t="str">
            <v>NY-B15016-W0-S</v>
          </cell>
          <cell r="B2220" t="str">
            <v>NY-B15016</v>
          </cell>
        </row>
        <row r="2221">
          <cell r="A2221" t="str">
            <v>NY-B15016-Y0-L</v>
          </cell>
          <cell r="B2221" t="str">
            <v>NY-B15016</v>
          </cell>
        </row>
        <row r="2222">
          <cell r="A2222" t="str">
            <v>NY-B15016-Y0-M</v>
          </cell>
          <cell r="B2222" t="str">
            <v>NY-B15016</v>
          </cell>
        </row>
        <row r="2223">
          <cell r="A2223" t="str">
            <v>NY-B15016-Y0-S</v>
          </cell>
          <cell r="B2223" t="str">
            <v>NY-B15016</v>
          </cell>
        </row>
        <row r="2224">
          <cell r="A2224" t="str">
            <v>NY-B15021-B0-L</v>
          </cell>
          <cell r="B2224" t="str">
            <v>NY-B15016</v>
          </cell>
        </row>
        <row r="2225">
          <cell r="A2225" t="str">
            <v>NY-B15021-B0-M</v>
          </cell>
          <cell r="B2225" t="str">
            <v>NY-B15016</v>
          </cell>
        </row>
        <row r="2226">
          <cell r="A2226" t="str">
            <v>NY-B15021-B0-S</v>
          </cell>
          <cell r="B2226" t="str">
            <v>NY-B15016</v>
          </cell>
        </row>
        <row r="2227">
          <cell r="A2227" t="str">
            <v>NY-B15021-B0-XL</v>
          </cell>
          <cell r="B2227" t="str">
            <v>NY-B15021</v>
          </cell>
        </row>
        <row r="2228">
          <cell r="A2228" t="str">
            <v>NY-B15021-K0-L</v>
          </cell>
          <cell r="B2228" t="str">
            <v>NY-B15021</v>
          </cell>
        </row>
        <row r="2229">
          <cell r="A2229" t="str">
            <v>NY-B15021-K0-M</v>
          </cell>
          <cell r="B2229" t="str">
            <v>NY-B15021</v>
          </cell>
        </row>
        <row r="2230">
          <cell r="A2230" t="str">
            <v>NY-B15021-K0-S</v>
          </cell>
          <cell r="B2230" t="str">
            <v>NY-B15021</v>
          </cell>
        </row>
        <row r="2231">
          <cell r="A2231" t="str">
            <v>NY-B15021-K0-XL</v>
          </cell>
          <cell r="B2231" t="str">
            <v>NY-B15021</v>
          </cell>
        </row>
        <row r="2232">
          <cell r="A2232" t="str">
            <v>NY-B15021-PI-L</v>
          </cell>
          <cell r="B2232" t="str">
            <v>NY-B15021</v>
          </cell>
        </row>
        <row r="2233">
          <cell r="A2233" t="str">
            <v>NY-B15021-PI-M</v>
          </cell>
          <cell r="B2233" t="str">
            <v>NY-B15021</v>
          </cell>
        </row>
        <row r="2234">
          <cell r="A2234" t="str">
            <v>NY-B15021-PI-S</v>
          </cell>
          <cell r="B2234" t="str">
            <v>NY-B15021</v>
          </cell>
        </row>
        <row r="2235">
          <cell r="A2235" t="str">
            <v>NY-B15021-PI-XL</v>
          </cell>
          <cell r="B2235" t="str">
            <v>NY-B15021</v>
          </cell>
        </row>
        <row r="2236">
          <cell r="A2236" t="str">
            <v>NY-B15021-W0-L</v>
          </cell>
          <cell r="B2236" t="str">
            <v>NK-XUHM011</v>
          </cell>
        </row>
        <row r="2237">
          <cell r="A2237" t="str">
            <v>NY-B15021-W0-M</v>
          </cell>
          <cell r="B2237" t="str">
            <v>NK-XUHM011</v>
          </cell>
        </row>
        <row r="2238">
          <cell r="A2238" t="str">
            <v>NY-B15021-W0-S</v>
          </cell>
          <cell r="B2238" t="str">
            <v>NK-XUHM011</v>
          </cell>
        </row>
        <row r="2239">
          <cell r="A2239" t="str">
            <v>NY-B15021-W0-XL</v>
          </cell>
          <cell r="B2239" t="str">
            <v>NY-B15021</v>
          </cell>
        </row>
        <row r="2240">
          <cell r="A2240" t="str">
            <v>NY-XUHM001-K0-36C</v>
          </cell>
          <cell r="B2240" t="str">
            <v>NK-XUHM001</v>
          </cell>
        </row>
        <row r="2241">
          <cell r="A2241" t="str">
            <v>NY-XUHM001-K0-38C</v>
          </cell>
          <cell r="B2241" t="str">
            <v>NK-XUHM001</v>
          </cell>
        </row>
        <row r="2242">
          <cell r="A2242" t="str">
            <v>NY-XUHM001-K0-40C</v>
          </cell>
          <cell r="B2242" t="str">
            <v>NK-XUHM001</v>
          </cell>
        </row>
        <row r="2243">
          <cell r="A2243" t="str">
            <v>NY-XUHM001-K0-42C</v>
          </cell>
          <cell r="B2243" t="str">
            <v>NK-XUHM001</v>
          </cell>
        </row>
        <row r="2244">
          <cell r="A2244" t="str">
            <v>NY-XUHM001-K0-44C</v>
          </cell>
          <cell r="B2244" t="str">
            <v>NK-XUHM001</v>
          </cell>
        </row>
        <row r="2245">
          <cell r="A2245" t="str">
            <v>NY-XUHM002-K0-L</v>
          </cell>
          <cell r="B2245" t="str">
            <v>NY-B15021</v>
          </cell>
        </row>
        <row r="2246">
          <cell r="A2246" t="str">
            <v>NY-XUHM002-K0-M</v>
          </cell>
          <cell r="B2246" t="str">
            <v>NY-B15021</v>
          </cell>
        </row>
        <row r="2247">
          <cell r="A2247" t="str">
            <v>NY-XUHM002-K0-S</v>
          </cell>
          <cell r="B2247" t="str">
            <v>NY-B15021</v>
          </cell>
        </row>
        <row r="2248">
          <cell r="A2248" t="str">
            <v>NY-XUHM002-PI-L</v>
          </cell>
          <cell r="B2248" t="str">
            <v>NY-B15021</v>
          </cell>
        </row>
        <row r="2249">
          <cell r="A2249" t="str">
            <v>NY-XUHM002-PI-M</v>
          </cell>
          <cell r="B2249" t="str">
            <v>NY-B15021</v>
          </cell>
        </row>
        <row r="2250">
          <cell r="A2250" t="str">
            <v>NY-XUHM002-PI-S</v>
          </cell>
          <cell r="B2250" t="str">
            <v>NY-B15021</v>
          </cell>
        </row>
        <row r="2251">
          <cell r="A2251" t="str">
            <v>NY-XUHM005-GA-L</v>
          </cell>
          <cell r="B2251" t="str">
            <v>NY-B15021</v>
          </cell>
        </row>
        <row r="2252">
          <cell r="A2252" t="str">
            <v>NY-XUHM005-GA-M</v>
          </cell>
          <cell r="B2252" t="str">
            <v>NY-B15021</v>
          </cell>
        </row>
        <row r="2253">
          <cell r="A2253" t="str">
            <v>NY-XUHM005-GA-S</v>
          </cell>
          <cell r="B2253" t="str">
            <v>NY-B15021</v>
          </cell>
        </row>
        <row r="2254">
          <cell r="A2254" t="str">
            <v>NY-XUHM005-K0-L</v>
          </cell>
          <cell r="B2254" t="str">
            <v>NY-B15021</v>
          </cell>
        </row>
        <row r="2255">
          <cell r="A2255" t="str">
            <v>NY-XUHM005-K0-M</v>
          </cell>
          <cell r="B2255" t="str">
            <v>NY-B15021</v>
          </cell>
        </row>
        <row r="2256">
          <cell r="A2256" t="str">
            <v>NY-XUHM005-K0-S</v>
          </cell>
          <cell r="B2256" t="str">
            <v>NY-B15021</v>
          </cell>
        </row>
        <row r="2257">
          <cell r="A2257" t="str">
            <v>NY-XUHM011-K0-36C</v>
          </cell>
          <cell r="B2257" t="str">
            <v>NK-XUHM001</v>
          </cell>
        </row>
        <row r="2258">
          <cell r="A2258" t="str">
            <v>NY-XUHM011-K0-38C</v>
          </cell>
          <cell r="B2258" t="str">
            <v>NK-XUHM001</v>
          </cell>
        </row>
        <row r="2259">
          <cell r="A2259" t="str">
            <v>NY-XUHM011-K0-40C</v>
          </cell>
          <cell r="B2259" t="str">
            <v>NK-XUHM001</v>
          </cell>
        </row>
        <row r="2260">
          <cell r="A2260" t="str">
            <v>NY-XUHM011-K0-42C</v>
          </cell>
          <cell r="B2260" t="str">
            <v>NK-XUHM011</v>
          </cell>
        </row>
        <row r="2261">
          <cell r="A2261" t="str">
            <v>NY-XUHM011-K0-44C</v>
          </cell>
          <cell r="B2261" t="str">
            <v>NK-XUHM011</v>
          </cell>
        </row>
        <row r="2262">
          <cell r="A2262" t="str">
            <v>NY-XUHM331-B0-L</v>
          </cell>
          <cell r="B2262" t="str">
            <v>NY-XUHM331</v>
          </cell>
        </row>
        <row r="2263">
          <cell r="A2263" t="str">
            <v>NY-XUHM331-P0-L</v>
          </cell>
          <cell r="B2263" t="str">
            <v>NY-XUHM331</v>
          </cell>
        </row>
        <row r="2264">
          <cell r="A2264" t="str">
            <v>NY-XUHM332-HS-M</v>
          </cell>
          <cell r="B2264" t="str">
            <v>NY-XUHM332</v>
          </cell>
        </row>
        <row r="2265">
          <cell r="A2265" t="str">
            <v>NY-XUHM333-HS-L</v>
          </cell>
          <cell r="B2265" t="str">
            <v>NY-XUHM333</v>
          </cell>
        </row>
        <row r="2266">
          <cell r="A2266" t="str">
            <v>NY-XUHM333-HS-M</v>
          </cell>
          <cell r="B2266" t="str">
            <v>NY-XUHM333</v>
          </cell>
        </row>
        <row r="2267">
          <cell r="A2267" t="str">
            <v>NY-XUHM333-HS-S</v>
          </cell>
          <cell r="B2267" t="str">
            <v>NY-XUHM333</v>
          </cell>
        </row>
        <row r="2268">
          <cell r="A2268" t="str">
            <v>NY-XUHM463-K0-L</v>
          </cell>
          <cell r="B2268" t="str">
            <v>NY-XUHM463</v>
          </cell>
        </row>
        <row r="2269">
          <cell r="A2269" t="str">
            <v>NY-XUHM463-K0-M</v>
          </cell>
          <cell r="B2269" t="str">
            <v>NY-XUHM463</v>
          </cell>
        </row>
        <row r="2270">
          <cell r="A2270" t="str">
            <v>NY-XUHM463-K0-S</v>
          </cell>
          <cell r="B2270" t="str">
            <v>NY-XUHM463</v>
          </cell>
        </row>
        <row r="2271">
          <cell r="A2271" t="str">
            <v>NY-XUHM463-K0-XL</v>
          </cell>
          <cell r="B2271" t="str">
            <v>NY-XUHM463</v>
          </cell>
        </row>
        <row r="2272">
          <cell r="A2272" t="str">
            <v>NY-XUHM463-P0-L</v>
          </cell>
          <cell r="B2272" t="str">
            <v>NY-XUHM463</v>
          </cell>
        </row>
        <row r="2273">
          <cell r="A2273" t="str">
            <v>NY-XUHM463-P0-M</v>
          </cell>
          <cell r="B2273" t="str">
            <v>NY-XUHM463</v>
          </cell>
        </row>
        <row r="2274">
          <cell r="A2274" t="str">
            <v>NY-XUHM463-P0-S</v>
          </cell>
          <cell r="B2274" t="str">
            <v>NY-XUHM463</v>
          </cell>
        </row>
        <row r="2275">
          <cell r="A2275" t="str">
            <v>NY-XUHM463-P0-XL</v>
          </cell>
          <cell r="B2275" t="str">
            <v>NY-XUHM463</v>
          </cell>
        </row>
        <row r="2276">
          <cell r="A2276" t="str">
            <v>NZFSE0L</v>
          </cell>
          <cell r="B2276" t="str">
            <v>NY-B15021</v>
          </cell>
        </row>
        <row r="2277">
          <cell r="A2277" t="str">
            <v>NZFSE0M</v>
          </cell>
          <cell r="B2277" t="str">
            <v>NY-B15021</v>
          </cell>
        </row>
        <row r="2278">
          <cell r="A2278" t="str">
            <v>NZFSE0S</v>
          </cell>
          <cell r="B2278" t="str">
            <v>NY-B15021</v>
          </cell>
        </row>
        <row r="2279">
          <cell r="A2279" t="str">
            <v>NZFSK0L</v>
          </cell>
          <cell r="B2279" t="str">
            <v>NZFS</v>
          </cell>
        </row>
        <row r="2280">
          <cell r="A2280" t="str">
            <v>NZFSK0M</v>
          </cell>
          <cell r="B2280" t="str">
            <v>NZFS</v>
          </cell>
        </row>
        <row r="2281">
          <cell r="A2281" t="str">
            <v>NZFSK0S</v>
          </cell>
          <cell r="B2281" t="str">
            <v>NZFS</v>
          </cell>
        </row>
        <row r="2282">
          <cell r="A2282" t="str">
            <v>NZFSMHL</v>
          </cell>
          <cell r="B2282" t="str">
            <v>NZFS</v>
          </cell>
        </row>
        <row r="2283">
          <cell r="A2283" t="str">
            <v>NZFSMHM</v>
          </cell>
          <cell r="B2283" t="str">
            <v>NZFS</v>
          </cell>
        </row>
        <row r="2284">
          <cell r="A2284" t="str">
            <v>NZFSMHS</v>
          </cell>
          <cell r="B2284" t="str">
            <v>NZFS</v>
          </cell>
        </row>
        <row r="2285">
          <cell r="A2285" t="str">
            <v>NZFSW0L</v>
          </cell>
          <cell r="B2285" t="str">
            <v>NZFS</v>
          </cell>
        </row>
        <row r="2286">
          <cell r="A2286" t="str">
            <v>NZFSW0M</v>
          </cell>
          <cell r="B2286" t="str">
            <v>NZFS</v>
          </cell>
        </row>
        <row r="2287">
          <cell r="A2287" t="str">
            <v>NZFSW0S</v>
          </cell>
          <cell r="B2287" t="str">
            <v>NZFS</v>
          </cell>
        </row>
        <row r="2288">
          <cell r="A2288" t="str">
            <v>ONYHHHD2XL</v>
          </cell>
          <cell r="B2288" t="str">
            <v>ONYH</v>
          </cell>
        </row>
        <row r="2289">
          <cell r="A2289" t="str">
            <v>OUYUNYH0L</v>
          </cell>
          <cell r="B2289" t="str">
            <v>OUYUNYH</v>
          </cell>
        </row>
        <row r="2290">
          <cell r="A2290" t="str">
            <v>OUYUNYH0M</v>
          </cell>
          <cell r="B2290" t="str">
            <v>OUYUNYH</v>
          </cell>
        </row>
        <row r="2291">
          <cell r="A2291" t="str">
            <v>OUYUNYH0S</v>
          </cell>
          <cell r="B2291" t="str">
            <v>OUYUNYH</v>
          </cell>
        </row>
        <row r="2292">
          <cell r="A2292" t="str">
            <v>OUYUNYH0XL</v>
          </cell>
          <cell r="B2292" t="str">
            <v>OUYUNYH</v>
          </cell>
        </row>
        <row r="2293">
          <cell r="A2293" t="str">
            <v>OUYUNYH10L</v>
          </cell>
          <cell r="B2293" t="str">
            <v>OUYUNYH</v>
          </cell>
        </row>
        <row r="2294">
          <cell r="A2294" t="str">
            <v>OUYUNYH10M</v>
          </cell>
          <cell r="B2294" t="str">
            <v>OUYUNYH</v>
          </cell>
        </row>
        <row r="2295">
          <cell r="A2295" t="str">
            <v>OUYUNYH10S</v>
          </cell>
          <cell r="B2295" t="str">
            <v>OUYUNYH</v>
          </cell>
        </row>
        <row r="2296">
          <cell r="A2296" t="str">
            <v>OUYUNYH10XL</v>
          </cell>
          <cell r="B2296" t="str">
            <v>OUYUNYH</v>
          </cell>
        </row>
        <row r="2297">
          <cell r="A2297" t="str">
            <v>OUYUNYH11L</v>
          </cell>
          <cell r="B2297" t="str">
            <v>OUYUNYH</v>
          </cell>
        </row>
        <row r="2298">
          <cell r="A2298" t="str">
            <v>OUYUNYH11M</v>
          </cell>
          <cell r="B2298" t="str">
            <v>OUYUNYH</v>
          </cell>
        </row>
        <row r="2299">
          <cell r="A2299" t="str">
            <v>OUYUNYH11S</v>
          </cell>
          <cell r="B2299" t="str">
            <v>OUYUNYH</v>
          </cell>
        </row>
        <row r="2300">
          <cell r="A2300" t="str">
            <v>OUYUNYH11XL</v>
          </cell>
          <cell r="B2300" t="str">
            <v>OUYUNYH</v>
          </cell>
        </row>
        <row r="2301">
          <cell r="A2301" t="str">
            <v>OUYUNYH1L</v>
          </cell>
          <cell r="B2301" t="str">
            <v>OUYUNYH</v>
          </cell>
        </row>
        <row r="2302">
          <cell r="A2302" t="str">
            <v>OUYUNYH1M</v>
          </cell>
          <cell r="B2302" t="str">
            <v>OUYUNYH</v>
          </cell>
        </row>
        <row r="2303">
          <cell r="A2303" t="str">
            <v>OUYUNYH1S</v>
          </cell>
          <cell r="B2303" t="str">
            <v>OUYUNYH</v>
          </cell>
        </row>
        <row r="2304">
          <cell r="A2304" t="str">
            <v>OUYUNYH1XL</v>
          </cell>
          <cell r="B2304" t="str">
            <v>OUYUNYH</v>
          </cell>
        </row>
        <row r="2305">
          <cell r="A2305" t="str">
            <v>OUYUNYH20L</v>
          </cell>
          <cell r="B2305" t="str">
            <v>OUYUNYH</v>
          </cell>
        </row>
        <row r="2306">
          <cell r="A2306" t="str">
            <v>OUYUNYH20M</v>
          </cell>
          <cell r="B2306" t="str">
            <v>OUYUNYH</v>
          </cell>
        </row>
        <row r="2307">
          <cell r="A2307" t="str">
            <v>OUYUNYH20S</v>
          </cell>
          <cell r="B2307" t="str">
            <v>OUYUNYH</v>
          </cell>
        </row>
        <row r="2308">
          <cell r="A2308" t="str">
            <v>OUYUNYH20XL</v>
          </cell>
          <cell r="B2308" t="str">
            <v>OUYUNYH</v>
          </cell>
        </row>
        <row r="2309">
          <cell r="A2309" t="str">
            <v>OUYUNYH21L</v>
          </cell>
          <cell r="B2309" t="str">
            <v>OUYUNYH</v>
          </cell>
        </row>
        <row r="2310">
          <cell r="A2310" t="str">
            <v>OUYUNYH21M</v>
          </cell>
          <cell r="B2310" t="str">
            <v>OUYUNYH</v>
          </cell>
        </row>
        <row r="2311">
          <cell r="A2311" t="str">
            <v>OUYUNYH21S</v>
          </cell>
          <cell r="B2311" t="str">
            <v>OUYUNYH</v>
          </cell>
        </row>
        <row r="2312">
          <cell r="A2312" t="str">
            <v>OUYUNYH21XL</v>
          </cell>
          <cell r="B2312" t="str">
            <v>OUYUNYH</v>
          </cell>
        </row>
        <row r="2313">
          <cell r="A2313" t="str">
            <v>OUYUNYH2L</v>
          </cell>
          <cell r="B2313" t="str">
            <v>OUYUNYH</v>
          </cell>
        </row>
        <row r="2314">
          <cell r="A2314" t="str">
            <v>OUYUNYH2M</v>
          </cell>
          <cell r="B2314" t="str">
            <v>OUYUNYH</v>
          </cell>
        </row>
        <row r="2315">
          <cell r="A2315" t="str">
            <v>OUYUNYH2S</v>
          </cell>
          <cell r="B2315" t="str">
            <v>OUYUNYH</v>
          </cell>
        </row>
        <row r="2316">
          <cell r="A2316" t="str">
            <v>OUYUNYH2XL</v>
          </cell>
          <cell r="B2316" t="str">
            <v>OUYUNYH</v>
          </cell>
        </row>
        <row r="2317">
          <cell r="A2317" t="str">
            <v>OUYUNYH30L</v>
          </cell>
          <cell r="B2317" t="str">
            <v>OUYUNYH</v>
          </cell>
        </row>
        <row r="2318">
          <cell r="A2318" t="str">
            <v>OUYUNYH30M</v>
          </cell>
          <cell r="B2318" t="str">
            <v>OUYUNYH</v>
          </cell>
        </row>
        <row r="2319">
          <cell r="A2319" t="str">
            <v>OUYUNYH30S</v>
          </cell>
          <cell r="B2319" t="str">
            <v>OUYUNYH</v>
          </cell>
        </row>
        <row r="2320">
          <cell r="A2320" t="str">
            <v>OUYUNYH30XL</v>
          </cell>
          <cell r="B2320" t="str">
            <v>OUYUNYH</v>
          </cell>
        </row>
        <row r="2321">
          <cell r="A2321" t="str">
            <v>OUYUNYH3L</v>
          </cell>
          <cell r="B2321" t="str">
            <v>OUYUNYH</v>
          </cell>
        </row>
        <row r="2322">
          <cell r="A2322" t="str">
            <v>OUYUNYH3M</v>
          </cell>
          <cell r="B2322" t="str">
            <v>OUYUNYH</v>
          </cell>
        </row>
        <row r="2323">
          <cell r="A2323" t="str">
            <v>OUYUNYH3S</v>
          </cell>
          <cell r="B2323" t="str">
            <v>OUYUNYH</v>
          </cell>
        </row>
        <row r="2324">
          <cell r="A2324" t="str">
            <v>OUYUNYH3XL</v>
          </cell>
          <cell r="B2324" t="str">
            <v>OUYUNYH</v>
          </cell>
        </row>
        <row r="2325">
          <cell r="A2325" t="str">
            <v>OUYUNYHL</v>
          </cell>
          <cell r="B2325" t="str">
            <v>OUYUNYH</v>
          </cell>
        </row>
        <row r="2326">
          <cell r="A2326" t="str">
            <v>OUYUNYHM</v>
          </cell>
          <cell r="B2326" t="str">
            <v>OUYUNYH</v>
          </cell>
        </row>
        <row r="2327">
          <cell r="A2327" t="str">
            <v>OUYUNYHML</v>
          </cell>
          <cell r="B2327" t="str">
            <v>OUYUNYH</v>
          </cell>
        </row>
        <row r="2328">
          <cell r="A2328" t="str">
            <v>OUYUNYHMM</v>
          </cell>
          <cell r="B2328" t="str">
            <v>OUYUNYH</v>
          </cell>
        </row>
        <row r="2329">
          <cell r="A2329" t="str">
            <v>OUYUNYHMS</v>
          </cell>
          <cell r="B2329" t="str">
            <v>OUYUNYH</v>
          </cell>
        </row>
        <row r="2330">
          <cell r="A2330" t="str">
            <v>OUYUNYHMXL</v>
          </cell>
          <cell r="B2330" t="str">
            <v>OUYUNYH</v>
          </cell>
        </row>
        <row r="2331">
          <cell r="A2331" t="str">
            <v>OUYUNYHS</v>
          </cell>
          <cell r="B2331" t="str">
            <v>OUYUNYH</v>
          </cell>
        </row>
        <row r="2332">
          <cell r="A2332" t="str">
            <v>OUYUNYHXL</v>
          </cell>
          <cell r="B2332" t="str">
            <v>OUYUNYH</v>
          </cell>
        </row>
        <row r="2333">
          <cell r="A2333" t="str">
            <v>PJ-DDPFW0</v>
          </cell>
          <cell r="B2333" t="str">
            <v>OUYUNYH</v>
          </cell>
        </row>
        <row r="2334">
          <cell r="A2334" t="str">
            <v>PJ-FPCXW0</v>
          </cell>
          <cell r="B2334" t="str">
            <v>OUYUNYH</v>
          </cell>
        </row>
        <row r="2335">
          <cell r="A2335" t="str">
            <v>PJ-FSDMW0</v>
          </cell>
          <cell r="B2335" t="str">
            <v>OUYUNYH</v>
          </cell>
        </row>
        <row r="2336">
          <cell r="A2336" t="str">
            <v>PJ-FTMZW0</v>
          </cell>
          <cell r="B2336" t="str">
            <v>PJ-DDPF</v>
          </cell>
        </row>
        <row r="2337">
          <cell r="A2337" t="str">
            <v>PJ-LJMXW0</v>
          </cell>
          <cell r="B2337" t="str">
            <v>PJ-FPCX</v>
          </cell>
        </row>
        <row r="2338">
          <cell r="A2338" t="str">
            <v>PJ-MRYXW0</v>
          </cell>
          <cell r="B2338" t="str">
            <v>PJ-FSDM</v>
          </cell>
        </row>
        <row r="2339">
          <cell r="A2339" t="str">
            <v>PJ-RLOSW0</v>
          </cell>
          <cell r="B2339" t="str">
            <v>PJ-FTMZ</v>
          </cell>
        </row>
        <row r="2340">
          <cell r="A2340" t="str">
            <v>PJ-SRXDW0</v>
          </cell>
          <cell r="B2340" t="str">
            <v>PJ-LJMX</v>
          </cell>
        </row>
        <row r="2341">
          <cell r="A2341" t="str">
            <v>PJ-XWYXW0</v>
          </cell>
          <cell r="B2341" t="str">
            <v>PJ-MRYX</v>
          </cell>
        </row>
        <row r="2342">
          <cell r="A2342" t="str">
            <v>PJ-YMDPW0</v>
          </cell>
          <cell r="B2342" t="str">
            <v>PJ-RLOS</v>
          </cell>
        </row>
        <row r="2343">
          <cell r="A2343" t="str">
            <v>PQSLB0L</v>
          </cell>
          <cell r="B2343" t="str">
            <v>PJ-SRXD</v>
          </cell>
        </row>
        <row r="2344">
          <cell r="A2344" t="str">
            <v>PQSLB0M</v>
          </cell>
          <cell r="B2344" t="str">
            <v>PJ-XWYX</v>
          </cell>
        </row>
        <row r="2345">
          <cell r="A2345" t="str">
            <v>PQSLB0S</v>
          </cell>
          <cell r="B2345" t="str">
            <v>PJ-YMDP</v>
          </cell>
        </row>
        <row r="2346">
          <cell r="A2346" t="str">
            <v>PQSLE0L</v>
          </cell>
          <cell r="B2346" t="str">
            <v>PQSL</v>
          </cell>
        </row>
        <row r="2347">
          <cell r="A2347" t="str">
            <v>PQSLE0M</v>
          </cell>
          <cell r="B2347" t="str">
            <v>PQSL</v>
          </cell>
        </row>
        <row r="2348">
          <cell r="A2348" t="str">
            <v>PQSLE0S</v>
          </cell>
          <cell r="B2348" t="str">
            <v>PQSL</v>
          </cell>
        </row>
        <row r="2349">
          <cell r="A2349" t="str">
            <v>PQSLG0L</v>
          </cell>
          <cell r="B2349" t="str">
            <v>PQSL</v>
          </cell>
        </row>
        <row r="2350">
          <cell r="A2350" t="str">
            <v>PQSLG0M</v>
          </cell>
          <cell r="B2350" t="str">
            <v>PQSL</v>
          </cell>
        </row>
        <row r="2351">
          <cell r="A2351" t="str">
            <v>PQSLG0S</v>
          </cell>
          <cell r="B2351" t="str">
            <v>PQSL</v>
          </cell>
        </row>
        <row r="2352">
          <cell r="A2352" t="str">
            <v>PQSLJSL</v>
          </cell>
          <cell r="B2352" t="str">
            <v>PQSL</v>
          </cell>
        </row>
        <row r="2353">
          <cell r="A2353" t="str">
            <v>PQSLJSM</v>
          </cell>
          <cell r="B2353" t="str">
            <v>PQSL</v>
          </cell>
        </row>
        <row r="2354">
          <cell r="A2354" t="str">
            <v>PQSLJSS</v>
          </cell>
          <cell r="B2354" t="str">
            <v>PQSL</v>
          </cell>
        </row>
        <row r="2355">
          <cell r="A2355" t="str">
            <v>PQSLK0L</v>
          </cell>
          <cell r="B2355" t="str">
            <v>PQSL</v>
          </cell>
        </row>
        <row r="2356">
          <cell r="A2356" t="str">
            <v>PQSLK0M</v>
          </cell>
          <cell r="B2356" t="str">
            <v>PQSL</v>
          </cell>
        </row>
        <row r="2357">
          <cell r="A2357" t="str">
            <v>PQSLK0S</v>
          </cell>
          <cell r="B2357" t="str">
            <v>PQSL</v>
          </cell>
        </row>
        <row r="2358">
          <cell r="A2358" t="str">
            <v>PQSLP0L</v>
          </cell>
          <cell r="B2358" t="str">
            <v>PQSL</v>
          </cell>
        </row>
        <row r="2359">
          <cell r="A2359" t="str">
            <v>PQSLP0M</v>
          </cell>
          <cell r="B2359" t="str">
            <v>PQSL</v>
          </cell>
        </row>
        <row r="2360">
          <cell r="A2360" t="str">
            <v>PQSLP0S</v>
          </cell>
          <cell r="B2360" t="str">
            <v>PQSL</v>
          </cell>
        </row>
        <row r="2361">
          <cell r="A2361" t="str">
            <v>PYJKCXK0L</v>
          </cell>
          <cell r="B2361" t="str">
            <v>PQSL</v>
          </cell>
        </row>
        <row r="2362">
          <cell r="A2362" t="str">
            <v>PYJKCXK0M</v>
          </cell>
          <cell r="B2362" t="str">
            <v>PQSL</v>
          </cell>
        </row>
        <row r="2363">
          <cell r="A2363" t="str">
            <v>PYJKCXK0XL</v>
          </cell>
          <cell r="B2363" t="str">
            <v>PQSL</v>
          </cell>
        </row>
        <row r="2364">
          <cell r="A2364" t="str">
            <v>PYJKCXK0XXL</v>
          </cell>
          <cell r="B2364" t="str">
            <v>PYJKCX</v>
          </cell>
        </row>
        <row r="2365">
          <cell r="A2365" t="str">
            <v>PYJKCXK0XXXL</v>
          </cell>
          <cell r="B2365" t="str">
            <v>PYJKCX</v>
          </cell>
        </row>
        <row r="2366">
          <cell r="A2366" t="str">
            <v>PYJKDKB0L</v>
          </cell>
          <cell r="B2366" t="str">
            <v>PYJKCX</v>
          </cell>
        </row>
        <row r="2367">
          <cell r="A2367" t="str">
            <v>PYJKDKB0M</v>
          </cell>
          <cell r="B2367" t="str">
            <v>PYJKCX</v>
          </cell>
        </row>
        <row r="2368">
          <cell r="A2368" t="str">
            <v>PYJKDKB0XL</v>
          </cell>
          <cell r="B2368" t="str">
            <v>PYJKCX</v>
          </cell>
        </row>
        <row r="2369">
          <cell r="A2369" t="str">
            <v>PYJKDKB0XXL</v>
          </cell>
          <cell r="B2369" t="str">
            <v>PYJKDK</v>
          </cell>
        </row>
        <row r="2370">
          <cell r="A2370" t="str">
            <v>PYJKDKB0XXXL</v>
          </cell>
          <cell r="B2370" t="str">
            <v>PYJKDK</v>
          </cell>
        </row>
        <row r="2371">
          <cell r="A2371" t="str">
            <v>PYJKDKK0L</v>
          </cell>
          <cell r="B2371" t="str">
            <v>PYJKDK</v>
          </cell>
        </row>
        <row r="2372">
          <cell r="A2372" t="str">
            <v>PYJKDKK0M</v>
          </cell>
          <cell r="B2372" t="str">
            <v>PYJKDK</v>
          </cell>
        </row>
        <row r="2373">
          <cell r="A2373" t="str">
            <v>PYJKDKK0XL</v>
          </cell>
          <cell r="B2373" t="str">
            <v>PYJKDK</v>
          </cell>
        </row>
        <row r="2374">
          <cell r="A2374" t="str">
            <v>PYJKDKK0XXL</v>
          </cell>
          <cell r="B2374" t="str">
            <v>PYJKDK</v>
          </cell>
        </row>
        <row r="2375">
          <cell r="A2375" t="str">
            <v>PYJKDKK0XXXL</v>
          </cell>
          <cell r="B2375" t="str">
            <v>PYJKDK</v>
          </cell>
        </row>
        <row r="2376">
          <cell r="A2376" t="str">
            <v>PYJKDKR0L</v>
          </cell>
          <cell r="B2376" t="str">
            <v>PYJKDK</v>
          </cell>
        </row>
        <row r="2377">
          <cell r="A2377" t="str">
            <v>PYJKDKR0M</v>
          </cell>
          <cell r="B2377" t="str">
            <v>PYJKDK</v>
          </cell>
        </row>
        <row r="2378">
          <cell r="A2378" t="str">
            <v>PYJKDKR0XL</v>
          </cell>
          <cell r="B2378" t="str">
            <v>PYJKDK</v>
          </cell>
        </row>
        <row r="2379">
          <cell r="A2379" t="str">
            <v>PYJKDKR0XXL</v>
          </cell>
          <cell r="B2379" t="str">
            <v>PYJKDK</v>
          </cell>
        </row>
        <row r="2380">
          <cell r="A2380" t="str">
            <v>PYJKDKR0XXXL</v>
          </cell>
          <cell r="B2380" t="str">
            <v>PYJKDK</v>
          </cell>
        </row>
        <row r="2381">
          <cell r="A2381" t="str">
            <v>PYJKDKY0L</v>
          </cell>
          <cell r="B2381" t="str">
            <v>PYJKDK</v>
          </cell>
        </row>
        <row r="2382">
          <cell r="A2382" t="str">
            <v>PYJKDKY0M</v>
          </cell>
          <cell r="B2382" t="str">
            <v>PYJKDK</v>
          </cell>
        </row>
        <row r="2383">
          <cell r="A2383" t="str">
            <v>PYJKDKY0XL</v>
          </cell>
          <cell r="B2383" t="str">
            <v>PYJKDK</v>
          </cell>
        </row>
        <row r="2384">
          <cell r="A2384" t="str">
            <v>PYJKDKY0XXL</v>
          </cell>
          <cell r="B2384" t="str">
            <v>PYJKDK</v>
          </cell>
        </row>
        <row r="2385">
          <cell r="A2385" t="str">
            <v>PYJKDKY0XXXL</v>
          </cell>
          <cell r="B2385" t="str">
            <v>PYJKDK</v>
          </cell>
        </row>
        <row r="2386">
          <cell r="A2386" t="str">
            <v>PYJKGZZQL</v>
          </cell>
          <cell r="B2386" t="str">
            <v>PYJKDK</v>
          </cell>
        </row>
        <row r="2387">
          <cell r="A2387" t="str">
            <v>PYJKGZZQM</v>
          </cell>
          <cell r="B2387" t="str">
            <v>PYJKDK</v>
          </cell>
        </row>
        <row r="2388">
          <cell r="A2388" t="str">
            <v>PYJKGZZQXL</v>
          </cell>
          <cell r="B2388" t="str">
            <v>PYJKDK</v>
          </cell>
        </row>
        <row r="2389">
          <cell r="A2389" t="str">
            <v>PYJKGZZQXXL</v>
          </cell>
          <cell r="B2389" t="str">
            <v>PYJKGZ</v>
          </cell>
        </row>
        <row r="2390">
          <cell r="A2390" t="str">
            <v>PYJKGZZQXXXL</v>
          </cell>
          <cell r="B2390" t="str">
            <v>PYJKGZ</v>
          </cell>
        </row>
        <row r="2391">
          <cell r="A2391" t="str">
            <v>PYJKHSK0L</v>
          </cell>
          <cell r="B2391" t="str">
            <v>PYJKGZ</v>
          </cell>
        </row>
        <row r="2392">
          <cell r="A2392" t="str">
            <v>PYJKHSK0M</v>
          </cell>
          <cell r="B2392" t="str">
            <v>PYJKGZ</v>
          </cell>
        </row>
        <row r="2393">
          <cell r="A2393" t="str">
            <v>PYJKHSK0XL</v>
          </cell>
          <cell r="B2393" t="str">
            <v>PYJKGZ</v>
          </cell>
        </row>
        <row r="2394">
          <cell r="A2394" t="str">
            <v>PYJKHSK0XXL</v>
          </cell>
          <cell r="B2394" t="str">
            <v>PYJKHS</v>
          </cell>
        </row>
        <row r="2395">
          <cell r="A2395" t="str">
            <v>PYJKHSKFL</v>
          </cell>
          <cell r="B2395" t="str">
            <v>PYJKHS</v>
          </cell>
        </row>
        <row r="2396">
          <cell r="A2396" t="str">
            <v>PYJKHSKFM</v>
          </cell>
          <cell r="B2396" t="str">
            <v>PYJKHS</v>
          </cell>
        </row>
        <row r="2397">
          <cell r="A2397" t="str">
            <v>PYJKHSKFXL</v>
          </cell>
          <cell r="B2397" t="str">
            <v>PYJKHS</v>
          </cell>
        </row>
        <row r="2398">
          <cell r="A2398" t="str">
            <v>PYJKHSKFXXL</v>
          </cell>
          <cell r="B2398" t="str">
            <v>PYJKHS</v>
          </cell>
        </row>
        <row r="2399">
          <cell r="A2399" t="str">
            <v>PYJKJSB0L</v>
          </cell>
          <cell r="B2399" t="str">
            <v>PYJKHS</v>
          </cell>
        </row>
        <row r="2400">
          <cell r="A2400" t="str">
            <v>PYJKJSB0M</v>
          </cell>
          <cell r="B2400" t="str">
            <v>PYJKHS</v>
          </cell>
        </row>
        <row r="2401">
          <cell r="A2401" t="str">
            <v>PYJKJSB0XL</v>
          </cell>
          <cell r="B2401" t="str">
            <v>PYJKHS</v>
          </cell>
        </row>
        <row r="2402">
          <cell r="A2402" t="str">
            <v>PYJKJSB0XXL</v>
          </cell>
          <cell r="B2402" t="str">
            <v>PYJKJS</v>
          </cell>
        </row>
        <row r="2403">
          <cell r="A2403" t="str">
            <v>PYJKJSB0XXXL</v>
          </cell>
          <cell r="B2403" t="str">
            <v>PYJKJS</v>
          </cell>
        </row>
        <row r="2404">
          <cell r="A2404" t="str">
            <v>PYJKJSK0L</v>
          </cell>
          <cell r="B2404" t="str">
            <v>PYJKJS</v>
          </cell>
        </row>
        <row r="2405">
          <cell r="A2405" t="str">
            <v>PYJKJSK0M</v>
          </cell>
          <cell r="B2405" t="str">
            <v>PYJKJS</v>
          </cell>
        </row>
        <row r="2406">
          <cell r="A2406" t="str">
            <v>PYJKJSK0XL</v>
          </cell>
          <cell r="B2406" t="str">
            <v>PYJKJS</v>
          </cell>
        </row>
        <row r="2407">
          <cell r="A2407" t="str">
            <v>PYJKJSK0XXL</v>
          </cell>
          <cell r="B2407" t="str">
            <v>PYJKJS</v>
          </cell>
        </row>
        <row r="2408">
          <cell r="A2408" t="str">
            <v>PYJKJSK0XXXL</v>
          </cell>
          <cell r="B2408" t="str">
            <v>PYJKJS</v>
          </cell>
        </row>
        <row r="2409">
          <cell r="A2409" t="str">
            <v>PYJKJSR0L</v>
          </cell>
          <cell r="B2409" t="str">
            <v>PYJKJS</v>
          </cell>
        </row>
        <row r="2410">
          <cell r="A2410" t="str">
            <v>PYJKJSR0M</v>
          </cell>
          <cell r="B2410" t="str">
            <v>PYJKJS</v>
          </cell>
        </row>
        <row r="2411">
          <cell r="A2411" t="str">
            <v>PYJKJSR0XL</v>
          </cell>
          <cell r="B2411" t="str">
            <v>PYJKJS</v>
          </cell>
        </row>
        <row r="2412">
          <cell r="A2412" t="str">
            <v>PYJKJSR0XXL</v>
          </cell>
          <cell r="B2412" t="str">
            <v>PYJKJS</v>
          </cell>
        </row>
        <row r="2413">
          <cell r="A2413" t="str">
            <v>PYJKJSR0XXXL</v>
          </cell>
          <cell r="B2413" t="str">
            <v>PYJKJS</v>
          </cell>
        </row>
        <row r="2414">
          <cell r="A2414" t="str">
            <v>PYJKJSY0L</v>
          </cell>
          <cell r="B2414" t="str">
            <v>PYJKJS</v>
          </cell>
        </row>
        <row r="2415">
          <cell r="A2415" t="str">
            <v>PYJKJSY0M</v>
          </cell>
          <cell r="B2415" t="str">
            <v>PYJKJS</v>
          </cell>
        </row>
        <row r="2416">
          <cell r="A2416" t="str">
            <v>PYJKJSY0XL</v>
          </cell>
          <cell r="B2416" t="str">
            <v>PYJKJS</v>
          </cell>
        </row>
        <row r="2417">
          <cell r="A2417" t="str">
            <v>PYJKJSY0XXL</v>
          </cell>
          <cell r="B2417" t="str">
            <v>PYJKJS</v>
          </cell>
        </row>
        <row r="2418">
          <cell r="A2418" t="str">
            <v>PYJKJSY0XXXL</v>
          </cell>
          <cell r="B2418" t="str">
            <v>PYJKJS</v>
          </cell>
        </row>
        <row r="2419">
          <cell r="A2419" t="str">
            <v>PYJKTSK0L</v>
          </cell>
          <cell r="B2419" t="str">
            <v>PYJKJS</v>
          </cell>
        </row>
        <row r="2420">
          <cell r="A2420" t="str">
            <v>PYJKTSK0M</v>
          </cell>
          <cell r="B2420" t="str">
            <v>PYJKJS</v>
          </cell>
        </row>
        <row r="2421">
          <cell r="A2421" t="str">
            <v>PYJKTSK0XL</v>
          </cell>
          <cell r="B2421" t="str">
            <v>PYJKJS</v>
          </cell>
        </row>
        <row r="2422">
          <cell r="A2422" t="str">
            <v>PYJKTSK0XXL</v>
          </cell>
          <cell r="B2422" t="str">
            <v>PYJKTS</v>
          </cell>
        </row>
        <row r="2423">
          <cell r="A2423" t="str">
            <v>PYJKTSK0XXXL</v>
          </cell>
          <cell r="B2423" t="str">
            <v>PYJKTS</v>
          </cell>
        </row>
        <row r="2424">
          <cell r="A2424" t="str">
            <v>PYJKTSKFL</v>
          </cell>
          <cell r="B2424" t="str">
            <v>PYJKTS</v>
          </cell>
        </row>
        <row r="2425">
          <cell r="A2425" t="str">
            <v>PYJKTSKFM</v>
          </cell>
          <cell r="B2425" t="str">
            <v>PYJKTS</v>
          </cell>
        </row>
        <row r="2426">
          <cell r="A2426" t="str">
            <v>PYJKTSKFXL</v>
          </cell>
          <cell r="B2426" t="str">
            <v>PYJKTS</v>
          </cell>
        </row>
        <row r="2427">
          <cell r="A2427" t="str">
            <v>PYJKTSKFXXL</v>
          </cell>
          <cell r="B2427" t="str">
            <v>PYJKTS</v>
          </cell>
        </row>
        <row r="2428">
          <cell r="A2428" t="str">
            <v>PYJKTSKFXXXL</v>
          </cell>
          <cell r="B2428" t="str">
            <v>PYJKTS</v>
          </cell>
        </row>
        <row r="2429">
          <cell r="A2429" t="str">
            <v>PYJKTSR0L</v>
          </cell>
          <cell r="B2429" t="str">
            <v>PYJKTS</v>
          </cell>
        </row>
        <row r="2430">
          <cell r="A2430" t="str">
            <v>PYJKTSR0M</v>
          </cell>
          <cell r="B2430" t="str">
            <v>PYJKTS</v>
          </cell>
        </row>
        <row r="2431">
          <cell r="A2431" t="str">
            <v>PYJKTSR0XL</v>
          </cell>
          <cell r="B2431" t="str">
            <v>PYJKTS</v>
          </cell>
        </row>
        <row r="2432">
          <cell r="A2432" t="str">
            <v>PYJKTSR0XXL</v>
          </cell>
          <cell r="B2432" t="str">
            <v>PYJKTS</v>
          </cell>
        </row>
        <row r="2433">
          <cell r="A2433" t="str">
            <v>PYJKTSR0XXXL</v>
          </cell>
          <cell r="B2433" t="str">
            <v>PYJKTS</v>
          </cell>
        </row>
        <row r="2434">
          <cell r="A2434" t="str">
            <v>PYJKTSY0L</v>
          </cell>
          <cell r="B2434" t="str">
            <v>PYJKTS</v>
          </cell>
        </row>
        <row r="2435">
          <cell r="A2435" t="str">
            <v>PYJKTSY0M</v>
          </cell>
          <cell r="B2435" t="str">
            <v>PYJKTS</v>
          </cell>
        </row>
        <row r="2436">
          <cell r="A2436" t="str">
            <v>PYJKTSY0XL</v>
          </cell>
          <cell r="B2436" t="str">
            <v>PYJKTS</v>
          </cell>
        </row>
        <row r="2437">
          <cell r="A2437" t="str">
            <v>PYJKTSY0XXL</v>
          </cell>
          <cell r="B2437" t="str">
            <v>PYJKTS</v>
          </cell>
        </row>
        <row r="2438">
          <cell r="A2438" t="str">
            <v>PYJKTSY0XXXL</v>
          </cell>
          <cell r="B2438" t="str">
            <v>PYJKTS</v>
          </cell>
        </row>
        <row r="2439">
          <cell r="A2439" t="str">
            <v>PYJKXSK0L</v>
          </cell>
          <cell r="B2439" t="str">
            <v>PYJKTS</v>
          </cell>
        </row>
        <row r="2440">
          <cell r="A2440" t="str">
            <v>PYJKXSK0M</v>
          </cell>
          <cell r="B2440" t="str">
            <v>PYJKTS</v>
          </cell>
        </row>
        <row r="2441">
          <cell r="A2441" t="str">
            <v>PYJKXSK0XL</v>
          </cell>
          <cell r="B2441" t="str">
            <v>PYJKTS</v>
          </cell>
        </row>
        <row r="2442">
          <cell r="A2442" t="str">
            <v>PYJKXSK0XXL</v>
          </cell>
          <cell r="B2442" t="str">
            <v>PYJKXS</v>
          </cell>
        </row>
        <row r="2443">
          <cell r="A2443" t="str">
            <v>PYJKXSK0XXXL</v>
          </cell>
          <cell r="B2443" t="str">
            <v>PYJKXS</v>
          </cell>
        </row>
        <row r="2444">
          <cell r="A2444" t="str">
            <v>PYJKZCB0L</v>
          </cell>
          <cell r="B2444" t="str">
            <v>PYJKXS</v>
          </cell>
        </row>
        <row r="2445">
          <cell r="A2445" t="str">
            <v>PYJKZCB0M</v>
          </cell>
          <cell r="B2445" t="str">
            <v>PYJKXS</v>
          </cell>
        </row>
        <row r="2446">
          <cell r="A2446" t="str">
            <v>PYJKZCB0XL</v>
          </cell>
          <cell r="B2446" t="str">
            <v>PYJKXS</v>
          </cell>
        </row>
        <row r="2447">
          <cell r="A2447" t="str">
            <v>PYJKZCB0XXL</v>
          </cell>
          <cell r="B2447" t="str">
            <v>PYJKZC</v>
          </cell>
        </row>
        <row r="2448">
          <cell r="A2448" t="str">
            <v>PYJKZCB0XXXL</v>
          </cell>
          <cell r="B2448" t="str">
            <v>PYJKZC</v>
          </cell>
        </row>
        <row r="2449">
          <cell r="A2449" t="str">
            <v>PYJKZCK0L</v>
          </cell>
          <cell r="B2449" t="str">
            <v>PYJKZC</v>
          </cell>
        </row>
        <row r="2450">
          <cell r="A2450" t="str">
            <v>PYJKZCK0M</v>
          </cell>
          <cell r="B2450" t="str">
            <v>PYJKZC</v>
          </cell>
        </row>
        <row r="2451">
          <cell r="A2451" t="str">
            <v>PYJKZCK0XL</v>
          </cell>
          <cell r="B2451" t="str">
            <v>PYJKZC</v>
          </cell>
        </row>
        <row r="2452">
          <cell r="A2452" t="str">
            <v>PYJKZCK0XXL</v>
          </cell>
          <cell r="B2452" t="str">
            <v>PYJKZC</v>
          </cell>
        </row>
        <row r="2453">
          <cell r="A2453" t="str">
            <v>PYJKZCK0XXXL</v>
          </cell>
          <cell r="B2453" t="str">
            <v>PYJKZC</v>
          </cell>
        </row>
        <row r="2454">
          <cell r="A2454" t="str">
            <v>PYJKZCR0L</v>
          </cell>
          <cell r="B2454" t="str">
            <v>PYJKZC</v>
          </cell>
        </row>
        <row r="2455">
          <cell r="A2455" t="str">
            <v>PYJKZCR0M</v>
          </cell>
          <cell r="B2455" t="str">
            <v>PYJKZC</v>
          </cell>
        </row>
        <row r="2456">
          <cell r="A2456" t="str">
            <v>PYJKZCR0XL</v>
          </cell>
          <cell r="B2456" t="str">
            <v>PYJKZC</v>
          </cell>
        </row>
        <row r="2457">
          <cell r="A2457" t="str">
            <v>PYJKZCR0XXL</v>
          </cell>
          <cell r="B2457" t="str">
            <v>PYJKZC</v>
          </cell>
        </row>
        <row r="2458">
          <cell r="A2458" t="str">
            <v>PYJKZCR0XXXL</v>
          </cell>
          <cell r="B2458" t="str">
            <v>PYJKZC</v>
          </cell>
        </row>
        <row r="2459">
          <cell r="A2459" t="str">
            <v>PYJKZCY0L</v>
          </cell>
          <cell r="B2459" t="str">
            <v>PYJKZC</v>
          </cell>
        </row>
        <row r="2460">
          <cell r="A2460" t="str">
            <v>PYJKZCY0M</v>
          </cell>
          <cell r="B2460" t="str">
            <v>PYJKZC</v>
          </cell>
        </row>
        <row r="2461">
          <cell r="A2461" t="str">
            <v>PYJKZCY0XL</v>
          </cell>
          <cell r="B2461" t="str">
            <v>PYJKZC</v>
          </cell>
        </row>
        <row r="2462">
          <cell r="A2462" t="str">
            <v>PYJKZCY0XXL</v>
          </cell>
          <cell r="B2462" t="str">
            <v>PYJKZC</v>
          </cell>
        </row>
        <row r="2463">
          <cell r="A2463" t="str">
            <v>PYJKZCY0XXXL</v>
          </cell>
          <cell r="B2463" t="str">
            <v>PYJKZC</v>
          </cell>
        </row>
        <row r="2464">
          <cell r="A2464" t="str">
            <v>PYWMJKK0L</v>
          </cell>
          <cell r="B2464" t="str">
            <v>PYJKZC</v>
          </cell>
        </row>
        <row r="2465">
          <cell r="A2465" t="str">
            <v>PYWMJKK0M</v>
          </cell>
          <cell r="B2465" t="str">
            <v>PYJKZC</v>
          </cell>
        </row>
        <row r="2466">
          <cell r="A2466" t="str">
            <v>PYWMJKK0XL</v>
          </cell>
          <cell r="B2466" t="str">
            <v>PYJKZC</v>
          </cell>
        </row>
        <row r="2467">
          <cell r="A2467" t="str">
            <v>PYWMJKK0XXL</v>
          </cell>
          <cell r="B2467" t="str">
            <v>PYWMJK</v>
          </cell>
        </row>
        <row r="2468">
          <cell r="A2468" t="str">
            <v>PYWMJKK0XXXL</v>
          </cell>
          <cell r="B2468" t="str">
            <v>PYWMJK</v>
          </cell>
        </row>
        <row r="2469">
          <cell r="A2469" t="str">
            <v>QFFSB0L</v>
          </cell>
          <cell r="B2469" t="str">
            <v>PYWMJK</v>
          </cell>
        </row>
        <row r="2470">
          <cell r="A2470" t="str">
            <v>QFFSB0M</v>
          </cell>
          <cell r="B2470" t="str">
            <v>PYWMJK</v>
          </cell>
        </row>
        <row r="2471">
          <cell r="A2471" t="str">
            <v>QFFSB0XL</v>
          </cell>
          <cell r="B2471" t="str">
            <v>PYWMJK</v>
          </cell>
        </row>
        <row r="2472">
          <cell r="A2472" t="str">
            <v>QFFSE0L</v>
          </cell>
          <cell r="B2472" t="str">
            <v>QFFS</v>
          </cell>
        </row>
        <row r="2473">
          <cell r="A2473" t="str">
            <v>QFFSE0M</v>
          </cell>
          <cell r="B2473" t="str">
            <v>QFFS</v>
          </cell>
        </row>
        <row r="2474">
          <cell r="A2474" t="str">
            <v>QFFSE0XL</v>
          </cell>
          <cell r="B2474" t="str">
            <v>QFFS</v>
          </cell>
        </row>
        <row r="2475">
          <cell r="A2475" t="str">
            <v>QFFSG0L</v>
          </cell>
          <cell r="B2475" t="str">
            <v>QFFS</v>
          </cell>
        </row>
        <row r="2476">
          <cell r="A2476" t="str">
            <v>QFFSG0M</v>
          </cell>
          <cell r="B2476" t="str">
            <v>QFFS</v>
          </cell>
        </row>
        <row r="2477">
          <cell r="A2477" t="str">
            <v>QFFSG0XL</v>
          </cell>
          <cell r="B2477" t="str">
            <v>QFFS</v>
          </cell>
        </row>
        <row r="2478">
          <cell r="A2478" t="str">
            <v>QFFSP0L</v>
          </cell>
          <cell r="B2478" t="str">
            <v>QFFS</v>
          </cell>
        </row>
        <row r="2479">
          <cell r="A2479" t="str">
            <v>QFFSP0M</v>
          </cell>
          <cell r="B2479" t="str">
            <v>QFFS</v>
          </cell>
        </row>
        <row r="2480">
          <cell r="A2480" t="str">
            <v>QFFSP0XL</v>
          </cell>
          <cell r="B2480" t="str">
            <v>QFFS</v>
          </cell>
        </row>
        <row r="2481">
          <cell r="A2481" t="str">
            <v>QFFSR0L</v>
          </cell>
          <cell r="B2481" t="str">
            <v>QFFS</v>
          </cell>
        </row>
        <row r="2482">
          <cell r="A2482" t="str">
            <v>QFFSR0M</v>
          </cell>
          <cell r="B2482" t="str">
            <v>QFFS</v>
          </cell>
        </row>
        <row r="2483">
          <cell r="A2483" t="str">
            <v>QFFSR0XL</v>
          </cell>
          <cell r="B2483" t="str">
            <v>QFFS</v>
          </cell>
        </row>
        <row r="2484">
          <cell r="A2484" t="str">
            <v>QQADB02XL</v>
          </cell>
          <cell r="B2484" t="str">
            <v>QFFS</v>
          </cell>
        </row>
        <row r="2485">
          <cell r="A2485" t="str">
            <v>QQADB03XL</v>
          </cell>
          <cell r="B2485" t="str">
            <v>QFFS</v>
          </cell>
        </row>
        <row r="2486">
          <cell r="A2486" t="str">
            <v>QQADB04XL</v>
          </cell>
          <cell r="B2486" t="str">
            <v>QFFS</v>
          </cell>
        </row>
        <row r="2487">
          <cell r="A2487" t="str">
            <v>QQADB05XL</v>
          </cell>
          <cell r="B2487" t="str">
            <v>QQAD</v>
          </cell>
        </row>
        <row r="2488">
          <cell r="A2488" t="str">
            <v>QQADB0L</v>
          </cell>
          <cell r="B2488" t="str">
            <v>QQAD</v>
          </cell>
        </row>
        <row r="2489">
          <cell r="A2489" t="str">
            <v>QQADB0M</v>
          </cell>
          <cell r="B2489" t="str">
            <v>QQAD</v>
          </cell>
        </row>
        <row r="2490">
          <cell r="A2490" t="str">
            <v>QQADB0S</v>
          </cell>
          <cell r="B2490" t="str">
            <v>QQAD</v>
          </cell>
        </row>
        <row r="2491">
          <cell r="A2491" t="str">
            <v>QQADB0XL</v>
          </cell>
          <cell r="B2491" t="str">
            <v>QQAD</v>
          </cell>
        </row>
        <row r="2492">
          <cell r="A2492" t="str">
            <v>QQADG02XL</v>
          </cell>
          <cell r="B2492" t="str">
            <v>QQAD</v>
          </cell>
        </row>
        <row r="2493">
          <cell r="A2493" t="str">
            <v>QQADG03XL</v>
          </cell>
          <cell r="B2493" t="str">
            <v>QQAD</v>
          </cell>
        </row>
        <row r="2494">
          <cell r="A2494" t="str">
            <v>QQADG04XL</v>
          </cell>
          <cell r="B2494" t="str">
            <v>QQAD</v>
          </cell>
        </row>
        <row r="2495">
          <cell r="A2495" t="str">
            <v>QQADG05XL</v>
          </cell>
          <cell r="B2495" t="str">
            <v>QQAD</v>
          </cell>
        </row>
        <row r="2496">
          <cell r="A2496" t="str">
            <v>QQADG0L</v>
          </cell>
          <cell r="B2496" t="str">
            <v>QQAD</v>
          </cell>
        </row>
        <row r="2497">
          <cell r="A2497" t="str">
            <v>QQADG0M</v>
          </cell>
          <cell r="B2497" t="str">
            <v>QQAD</v>
          </cell>
        </row>
        <row r="2498">
          <cell r="A2498" t="str">
            <v>QQADG0S</v>
          </cell>
          <cell r="B2498" t="str">
            <v>QQAD</v>
          </cell>
        </row>
        <row r="2499">
          <cell r="A2499" t="str">
            <v>QQADG0XL</v>
          </cell>
          <cell r="B2499" t="str">
            <v>QQAD</v>
          </cell>
        </row>
        <row r="2500">
          <cell r="A2500" t="str">
            <v>QQADK02XL</v>
          </cell>
          <cell r="B2500" t="str">
            <v>QQAD</v>
          </cell>
        </row>
        <row r="2501">
          <cell r="A2501" t="str">
            <v>QQADK03XL</v>
          </cell>
          <cell r="B2501" t="str">
            <v>QQAD</v>
          </cell>
        </row>
        <row r="2502">
          <cell r="A2502" t="str">
            <v>QQADK04XL</v>
          </cell>
          <cell r="B2502" t="str">
            <v>QQAD</v>
          </cell>
        </row>
        <row r="2503">
          <cell r="A2503" t="str">
            <v>QQADK05XL</v>
          </cell>
          <cell r="B2503" t="str">
            <v>QQAD</v>
          </cell>
        </row>
        <row r="2504">
          <cell r="A2504" t="str">
            <v>QQADK0L</v>
          </cell>
          <cell r="B2504" t="str">
            <v>QQAD</v>
          </cell>
        </row>
        <row r="2505">
          <cell r="A2505" t="str">
            <v>QQADK0M</v>
          </cell>
          <cell r="B2505" t="str">
            <v>QQAD</v>
          </cell>
        </row>
        <row r="2506">
          <cell r="A2506" t="str">
            <v>QQADK0S</v>
          </cell>
          <cell r="B2506" t="str">
            <v>QQAD</v>
          </cell>
        </row>
        <row r="2507">
          <cell r="A2507" t="str">
            <v>QQADK0XL</v>
          </cell>
          <cell r="B2507" t="str">
            <v>QQAD</v>
          </cell>
        </row>
        <row r="2508">
          <cell r="A2508" t="str">
            <v>QQADMH2XL</v>
          </cell>
          <cell r="B2508" t="str">
            <v>QQAD</v>
          </cell>
        </row>
        <row r="2509">
          <cell r="A2509" t="str">
            <v>QQADMH3XL</v>
          </cell>
          <cell r="B2509" t="str">
            <v>QQAD</v>
          </cell>
        </row>
        <row r="2510">
          <cell r="A2510" t="str">
            <v>QQADMH4XL</v>
          </cell>
          <cell r="B2510" t="str">
            <v>QQAD</v>
          </cell>
        </row>
        <row r="2511">
          <cell r="A2511" t="str">
            <v>QQADMH5XL</v>
          </cell>
          <cell r="B2511" t="str">
            <v>QQAD</v>
          </cell>
        </row>
        <row r="2512">
          <cell r="A2512" t="str">
            <v>QQADMHL</v>
          </cell>
          <cell r="B2512" t="str">
            <v>QQAD</v>
          </cell>
        </row>
        <row r="2513">
          <cell r="A2513" t="str">
            <v>QQADMHM</v>
          </cell>
          <cell r="B2513" t="str">
            <v>QQAD</v>
          </cell>
        </row>
        <row r="2514">
          <cell r="A2514" t="str">
            <v>QQADMHS</v>
          </cell>
          <cell r="B2514" t="str">
            <v>QQAD</v>
          </cell>
        </row>
        <row r="2515">
          <cell r="A2515" t="str">
            <v>QQADMHXL</v>
          </cell>
          <cell r="B2515" t="str">
            <v>QQAD</v>
          </cell>
        </row>
        <row r="2516">
          <cell r="A2516" t="str">
            <v>QQADP02XL</v>
          </cell>
          <cell r="B2516" t="str">
            <v>QQAD</v>
          </cell>
        </row>
        <row r="2517">
          <cell r="A2517" t="str">
            <v>QQADP03XL</v>
          </cell>
          <cell r="B2517" t="str">
            <v>QQAD</v>
          </cell>
        </row>
        <row r="2518">
          <cell r="A2518" t="str">
            <v>QQADP04XL</v>
          </cell>
          <cell r="B2518" t="str">
            <v>QQAD</v>
          </cell>
        </row>
        <row r="2519">
          <cell r="A2519" t="str">
            <v>QQADP05XL</v>
          </cell>
          <cell r="B2519" t="str">
            <v>QQAD</v>
          </cell>
        </row>
        <row r="2520">
          <cell r="A2520" t="str">
            <v>QQADP0L</v>
          </cell>
          <cell r="B2520" t="str">
            <v>QQAD</v>
          </cell>
        </row>
        <row r="2521">
          <cell r="A2521" t="str">
            <v>QQADP0M</v>
          </cell>
          <cell r="B2521" t="str">
            <v>QQAD</v>
          </cell>
        </row>
        <row r="2522">
          <cell r="A2522" t="str">
            <v>QQADP0S</v>
          </cell>
          <cell r="B2522" t="str">
            <v>QQAD</v>
          </cell>
        </row>
        <row r="2523">
          <cell r="A2523" t="str">
            <v>QQADP0XL</v>
          </cell>
          <cell r="B2523" t="str">
            <v>QQAD</v>
          </cell>
        </row>
        <row r="2524">
          <cell r="A2524" t="str">
            <v>QQADQL2XL</v>
          </cell>
          <cell r="B2524" t="str">
            <v>QQAD</v>
          </cell>
        </row>
        <row r="2525">
          <cell r="A2525" t="str">
            <v>QQADQL3XL</v>
          </cell>
          <cell r="B2525" t="str">
            <v>QQAD</v>
          </cell>
        </row>
        <row r="2526">
          <cell r="A2526" t="str">
            <v>QQADQL4XL</v>
          </cell>
          <cell r="B2526" t="str">
            <v>QQAD</v>
          </cell>
        </row>
        <row r="2527">
          <cell r="A2527" t="str">
            <v>QQADQL5XL</v>
          </cell>
          <cell r="B2527" t="str">
            <v>QQAD</v>
          </cell>
        </row>
        <row r="2528">
          <cell r="A2528" t="str">
            <v>QQADQLL</v>
          </cell>
          <cell r="B2528" t="str">
            <v>QQAD</v>
          </cell>
        </row>
        <row r="2529">
          <cell r="A2529" t="str">
            <v>QQADQLM</v>
          </cell>
          <cell r="B2529" t="str">
            <v>QQAD</v>
          </cell>
        </row>
        <row r="2530">
          <cell r="A2530" t="str">
            <v>QQADQLS</v>
          </cell>
          <cell r="B2530" t="str">
            <v>QQAD</v>
          </cell>
        </row>
        <row r="2531">
          <cell r="A2531" t="str">
            <v>QQADQLXL</v>
          </cell>
          <cell r="B2531" t="str">
            <v>QQAD</v>
          </cell>
        </row>
        <row r="2532">
          <cell r="A2532" t="str">
            <v>QQADR02XL</v>
          </cell>
          <cell r="B2532" t="str">
            <v>QQAD</v>
          </cell>
        </row>
        <row r="2533">
          <cell r="A2533" t="str">
            <v>QQADR03XL</v>
          </cell>
          <cell r="B2533" t="str">
            <v>QQAD</v>
          </cell>
        </row>
        <row r="2534">
          <cell r="A2534" t="str">
            <v>QQADR04XL</v>
          </cell>
          <cell r="B2534" t="str">
            <v>QQAD</v>
          </cell>
        </row>
        <row r="2535">
          <cell r="A2535" t="str">
            <v>QQADR05XL</v>
          </cell>
          <cell r="B2535" t="str">
            <v>QQAD</v>
          </cell>
        </row>
        <row r="2536">
          <cell r="A2536" t="str">
            <v>QQADR0L</v>
          </cell>
          <cell r="B2536" t="str">
            <v>QQAD</v>
          </cell>
        </row>
        <row r="2537">
          <cell r="A2537" t="str">
            <v>QQADR0M</v>
          </cell>
          <cell r="B2537" t="str">
            <v>QQAD</v>
          </cell>
        </row>
        <row r="2538">
          <cell r="A2538" t="str">
            <v>QQADR0S</v>
          </cell>
          <cell r="B2538" t="str">
            <v>QQAD</v>
          </cell>
        </row>
        <row r="2539">
          <cell r="A2539" t="str">
            <v>QQADR0XL</v>
          </cell>
          <cell r="B2539" t="str">
            <v>QQAD</v>
          </cell>
        </row>
        <row r="2540">
          <cell r="A2540" t="str">
            <v>QQADTL2XL</v>
          </cell>
          <cell r="B2540" t="str">
            <v>QQAD</v>
          </cell>
        </row>
        <row r="2541">
          <cell r="A2541" t="str">
            <v>QQADTL3XL</v>
          </cell>
          <cell r="B2541" t="str">
            <v>QQAD</v>
          </cell>
        </row>
        <row r="2542">
          <cell r="A2542" t="str">
            <v>QQADTL4XL</v>
          </cell>
          <cell r="B2542" t="str">
            <v>QQAD</v>
          </cell>
        </row>
        <row r="2543">
          <cell r="A2543" t="str">
            <v>QQADTL5XL</v>
          </cell>
          <cell r="B2543" t="str">
            <v>QQAD</v>
          </cell>
        </row>
        <row r="2544">
          <cell r="A2544" t="str">
            <v>QQADTLL</v>
          </cell>
          <cell r="B2544" t="str">
            <v>QQAD</v>
          </cell>
        </row>
        <row r="2545">
          <cell r="A2545" t="str">
            <v>QQADTLM</v>
          </cell>
          <cell r="B2545" t="str">
            <v>QQAD</v>
          </cell>
        </row>
        <row r="2546">
          <cell r="A2546" t="str">
            <v>QQADTLS</v>
          </cell>
          <cell r="B2546" t="str">
            <v>QQAD</v>
          </cell>
        </row>
        <row r="2547">
          <cell r="A2547" t="str">
            <v>QQADTLXL</v>
          </cell>
          <cell r="B2547" t="str">
            <v>QQAD</v>
          </cell>
        </row>
        <row r="2548">
          <cell r="A2548" t="str">
            <v>QQADW02XL</v>
          </cell>
          <cell r="B2548" t="str">
            <v>QQAD</v>
          </cell>
        </row>
        <row r="2549">
          <cell r="A2549" t="str">
            <v>QQADW03XL</v>
          </cell>
          <cell r="B2549" t="str">
            <v>QQAD</v>
          </cell>
        </row>
        <row r="2550">
          <cell r="A2550" t="str">
            <v>QQADW04XL</v>
          </cell>
          <cell r="B2550" t="str">
            <v>QQAD</v>
          </cell>
        </row>
        <row r="2551">
          <cell r="A2551" t="str">
            <v>QQADW05XL</v>
          </cell>
          <cell r="B2551" t="str">
            <v>QQAD</v>
          </cell>
        </row>
        <row r="2552">
          <cell r="A2552" t="str">
            <v>QQADW0L</v>
          </cell>
          <cell r="B2552" t="str">
            <v>QQAD</v>
          </cell>
        </row>
        <row r="2553">
          <cell r="A2553" t="str">
            <v>QQADW0M</v>
          </cell>
          <cell r="B2553" t="str">
            <v>QQAD</v>
          </cell>
        </row>
        <row r="2554">
          <cell r="A2554" t="str">
            <v>QQADW0S</v>
          </cell>
          <cell r="B2554" t="str">
            <v>QQAD</v>
          </cell>
        </row>
        <row r="2555">
          <cell r="A2555" t="str">
            <v>QQADW0XL</v>
          </cell>
          <cell r="B2555" t="str">
            <v>QQAD</v>
          </cell>
        </row>
        <row r="2556">
          <cell r="A2556" t="str">
            <v>QQADXGH2XL</v>
          </cell>
          <cell r="B2556" t="str">
            <v>QQAD</v>
          </cell>
        </row>
        <row r="2557">
          <cell r="A2557" t="str">
            <v>QQADXGH3XL</v>
          </cell>
          <cell r="B2557" t="str">
            <v>QQAD</v>
          </cell>
        </row>
        <row r="2558">
          <cell r="A2558" t="str">
            <v>QQADXGH4XL</v>
          </cell>
          <cell r="B2558" t="str">
            <v>QQAD</v>
          </cell>
        </row>
        <row r="2559">
          <cell r="A2559" t="str">
            <v>QQADXGH5XL</v>
          </cell>
          <cell r="B2559" t="str">
            <v>QQAD</v>
          </cell>
        </row>
        <row r="2560">
          <cell r="A2560" t="str">
            <v>QQADXGHL</v>
          </cell>
          <cell r="B2560" t="str">
            <v>QQAD</v>
          </cell>
        </row>
        <row r="2561">
          <cell r="A2561" t="str">
            <v>QQADXGHM</v>
          </cell>
          <cell r="B2561" t="str">
            <v>QQAD</v>
          </cell>
        </row>
        <row r="2562">
          <cell r="A2562" t="str">
            <v>QQADXGHS</v>
          </cell>
          <cell r="B2562" t="str">
            <v>QQAD</v>
          </cell>
        </row>
        <row r="2563">
          <cell r="A2563" t="str">
            <v>QQADXGHXL</v>
          </cell>
          <cell r="B2563" t="str">
            <v>QQAD</v>
          </cell>
        </row>
        <row r="2564">
          <cell r="A2564" t="str">
            <v>QQADZLS2XL</v>
          </cell>
          <cell r="B2564" t="str">
            <v>QQAD</v>
          </cell>
        </row>
        <row r="2565">
          <cell r="A2565" t="str">
            <v>QQADZLS3XL</v>
          </cell>
          <cell r="B2565" t="str">
            <v>QQAD</v>
          </cell>
        </row>
        <row r="2566">
          <cell r="A2566" t="str">
            <v>QQADZLS4XL</v>
          </cell>
          <cell r="B2566" t="str">
            <v>QQAD</v>
          </cell>
        </row>
        <row r="2567">
          <cell r="A2567" t="str">
            <v>QQADZLS5XL</v>
          </cell>
          <cell r="B2567" t="str">
            <v>QQAD</v>
          </cell>
        </row>
        <row r="2568">
          <cell r="A2568" t="str">
            <v>QQADZLSL</v>
          </cell>
          <cell r="B2568" t="str">
            <v>QQAD</v>
          </cell>
        </row>
        <row r="2569">
          <cell r="A2569" t="str">
            <v>QQADZLSM</v>
          </cell>
          <cell r="B2569" t="str">
            <v>QQAD</v>
          </cell>
        </row>
        <row r="2570">
          <cell r="A2570" t="str">
            <v>QQADZLSS</v>
          </cell>
          <cell r="B2570" t="str">
            <v>QQAD</v>
          </cell>
        </row>
        <row r="2571">
          <cell r="A2571" t="str">
            <v>QQADZLSXL</v>
          </cell>
          <cell r="B2571" t="str">
            <v>QQAD</v>
          </cell>
        </row>
        <row r="2572">
          <cell r="A2572" t="str">
            <v>QQAVB0L</v>
          </cell>
          <cell r="B2572" t="str">
            <v>QQAD</v>
          </cell>
        </row>
        <row r="2573">
          <cell r="A2573" t="str">
            <v>QQAVB0M</v>
          </cell>
          <cell r="B2573" t="str">
            <v>QQAD</v>
          </cell>
        </row>
        <row r="2574">
          <cell r="A2574" t="str">
            <v>QQAVB0S</v>
          </cell>
          <cell r="B2574" t="str">
            <v>QQAD</v>
          </cell>
        </row>
        <row r="2575">
          <cell r="A2575" t="str">
            <v>QQAVB0XL</v>
          </cell>
          <cell r="B2575" t="str">
            <v>QQAV</v>
          </cell>
        </row>
        <row r="2576">
          <cell r="A2576" t="str">
            <v>QQAVB0XXL</v>
          </cell>
          <cell r="B2576" t="str">
            <v>QQAV</v>
          </cell>
        </row>
        <row r="2577">
          <cell r="A2577" t="str">
            <v>QQAVG0L</v>
          </cell>
          <cell r="B2577" t="str">
            <v>QQAV</v>
          </cell>
        </row>
        <row r="2578">
          <cell r="A2578" t="str">
            <v>QQAVG0M</v>
          </cell>
          <cell r="B2578" t="str">
            <v>QQAV</v>
          </cell>
        </row>
        <row r="2579">
          <cell r="A2579" t="str">
            <v>QQAVG0S</v>
          </cell>
          <cell r="B2579" t="str">
            <v>QQAV</v>
          </cell>
        </row>
        <row r="2580">
          <cell r="A2580" t="str">
            <v>QQAVG0XL</v>
          </cell>
          <cell r="B2580" t="str">
            <v>QQAV</v>
          </cell>
        </row>
        <row r="2581">
          <cell r="A2581" t="str">
            <v>QQAVG0XXL</v>
          </cell>
          <cell r="B2581" t="str">
            <v>QQAV</v>
          </cell>
        </row>
        <row r="2582">
          <cell r="A2582" t="str">
            <v>QQAVJHL</v>
          </cell>
          <cell r="B2582" t="str">
            <v>QQAV</v>
          </cell>
        </row>
        <row r="2583">
          <cell r="A2583" t="str">
            <v>QQAVJHM</v>
          </cell>
          <cell r="B2583" t="str">
            <v>QQAV</v>
          </cell>
        </row>
        <row r="2584">
          <cell r="A2584" t="str">
            <v>QQAVJHS</v>
          </cell>
          <cell r="B2584" t="str">
            <v>QQAV</v>
          </cell>
        </row>
        <row r="2585">
          <cell r="A2585" t="str">
            <v>QQAVJHXL</v>
          </cell>
          <cell r="B2585" t="str">
            <v>QQAV</v>
          </cell>
        </row>
        <row r="2586">
          <cell r="A2586" t="str">
            <v>QQAVJHXXL</v>
          </cell>
          <cell r="B2586" t="str">
            <v>QQAV</v>
          </cell>
        </row>
        <row r="2587">
          <cell r="A2587" t="str">
            <v>QQAVK0L</v>
          </cell>
          <cell r="B2587" t="str">
            <v>QQAV</v>
          </cell>
        </row>
        <row r="2588">
          <cell r="A2588" t="str">
            <v>QQAVK0M</v>
          </cell>
          <cell r="B2588" t="str">
            <v>QQAV</v>
          </cell>
        </row>
        <row r="2589">
          <cell r="A2589" t="str">
            <v>QQAVK0S</v>
          </cell>
          <cell r="B2589" t="str">
            <v>QQAV</v>
          </cell>
        </row>
        <row r="2590">
          <cell r="A2590" t="str">
            <v>QQAVK0XL</v>
          </cell>
          <cell r="B2590" t="str">
            <v>QQAV</v>
          </cell>
        </row>
        <row r="2591">
          <cell r="A2591" t="str">
            <v>QQAVK0XXL</v>
          </cell>
          <cell r="B2591" t="str">
            <v>QQAV</v>
          </cell>
        </row>
        <row r="2592">
          <cell r="A2592" t="str">
            <v>QQAVMHL</v>
          </cell>
          <cell r="B2592" t="str">
            <v>QQAV</v>
          </cell>
        </row>
        <row r="2593">
          <cell r="A2593" t="str">
            <v>QQAVMHM</v>
          </cell>
          <cell r="B2593" t="str">
            <v>QQAV</v>
          </cell>
        </row>
        <row r="2594">
          <cell r="A2594" t="str">
            <v>QQAVMHS</v>
          </cell>
          <cell r="B2594" t="str">
            <v>QQAV</v>
          </cell>
        </row>
        <row r="2595">
          <cell r="A2595" t="str">
            <v>QQAVMHXL</v>
          </cell>
          <cell r="B2595" t="str">
            <v>QQAV</v>
          </cell>
        </row>
        <row r="2596">
          <cell r="A2596" t="str">
            <v>QQAVMHXXL</v>
          </cell>
          <cell r="B2596" t="str">
            <v>QQAV</v>
          </cell>
        </row>
        <row r="2597">
          <cell r="A2597" t="str">
            <v>QQAVP0L</v>
          </cell>
          <cell r="B2597" t="str">
            <v>QQAV</v>
          </cell>
        </row>
        <row r="2598">
          <cell r="A2598" t="str">
            <v>QQAVP0M</v>
          </cell>
          <cell r="B2598" t="str">
            <v>QQAV</v>
          </cell>
        </row>
        <row r="2599">
          <cell r="A2599" t="str">
            <v>QQAVP0S</v>
          </cell>
          <cell r="B2599" t="str">
            <v>QQAV</v>
          </cell>
        </row>
        <row r="2600">
          <cell r="A2600" t="str">
            <v>QQAVP0XL</v>
          </cell>
          <cell r="B2600" t="str">
            <v>QQAV</v>
          </cell>
        </row>
        <row r="2601">
          <cell r="A2601" t="str">
            <v>QQAVP0XXL</v>
          </cell>
          <cell r="B2601" t="str">
            <v>QQAV</v>
          </cell>
        </row>
        <row r="2602">
          <cell r="A2602" t="str">
            <v>QQAYB0L</v>
          </cell>
          <cell r="B2602" t="str">
            <v>QQAV</v>
          </cell>
        </row>
        <row r="2603">
          <cell r="A2603" t="str">
            <v>QQAYB0M</v>
          </cell>
          <cell r="B2603" t="str">
            <v>QQAV</v>
          </cell>
        </row>
        <row r="2604">
          <cell r="A2604" t="str">
            <v>QQAYB0S</v>
          </cell>
          <cell r="B2604" t="str">
            <v>QQAV</v>
          </cell>
        </row>
        <row r="2605">
          <cell r="A2605" t="str">
            <v>QQAYB0XL</v>
          </cell>
          <cell r="B2605" t="str">
            <v>QQAY</v>
          </cell>
        </row>
        <row r="2606">
          <cell r="A2606" t="str">
            <v>QQAYB0XXL</v>
          </cell>
          <cell r="B2606" t="str">
            <v>QQAY</v>
          </cell>
        </row>
        <row r="2607">
          <cell r="A2607" t="str">
            <v>QQAYK0L</v>
          </cell>
          <cell r="B2607" t="str">
            <v>QQAY</v>
          </cell>
        </row>
        <row r="2608">
          <cell r="A2608" t="str">
            <v>QQAYK0M</v>
          </cell>
          <cell r="B2608" t="str">
            <v>QQAY</v>
          </cell>
        </row>
        <row r="2609">
          <cell r="A2609" t="str">
            <v>QQAYK0S</v>
          </cell>
          <cell r="B2609" t="str">
            <v>QQAY</v>
          </cell>
        </row>
        <row r="2610">
          <cell r="A2610" t="str">
            <v>QQAYK0XL</v>
          </cell>
          <cell r="B2610" t="str">
            <v>QQAY</v>
          </cell>
        </row>
        <row r="2611">
          <cell r="A2611" t="str">
            <v>QQAYK0XXL</v>
          </cell>
          <cell r="B2611" t="str">
            <v>QQAY</v>
          </cell>
        </row>
        <row r="2612">
          <cell r="A2612" t="str">
            <v>QQAYP0L</v>
          </cell>
          <cell r="B2612" t="str">
            <v>QQAY</v>
          </cell>
        </row>
        <row r="2613">
          <cell r="A2613" t="str">
            <v>QQAYP0M</v>
          </cell>
          <cell r="B2613" t="str">
            <v>QQAY</v>
          </cell>
        </row>
        <row r="2614">
          <cell r="A2614" t="str">
            <v>QQAYP0S</v>
          </cell>
          <cell r="B2614" t="str">
            <v>QQAY</v>
          </cell>
        </row>
        <row r="2615">
          <cell r="A2615" t="str">
            <v>QQAYP0XL</v>
          </cell>
          <cell r="B2615" t="str">
            <v>QQAY</v>
          </cell>
        </row>
        <row r="2616">
          <cell r="A2616" t="str">
            <v>QQAYP0XXL</v>
          </cell>
          <cell r="B2616" t="str">
            <v>QQAY</v>
          </cell>
        </row>
        <row r="2617">
          <cell r="A2617" t="str">
            <v>QQAYR0L</v>
          </cell>
          <cell r="B2617" t="str">
            <v>QQAY</v>
          </cell>
        </row>
        <row r="2618">
          <cell r="A2618" t="str">
            <v>QQAYR0M</v>
          </cell>
          <cell r="B2618" t="str">
            <v>QQAY</v>
          </cell>
        </row>
        <row r="2619">
          <cell r="A2619" t="str">
            <v>QQAYR0S</v>
          </cell>
          <cell r="B2619" t="str">
            <v>QQAY</v>
          </cell>
        </row>
        <row r="2620">
          <cell r="A2620" t="str">
            <v>QQAYR0XL</v>
          </cell>
          <cell r="B2620" t="str">
            <v>QQAY</v>
          </cell>
        </row>
        <row r="2621">
          <cell r="A2621" t="str">
            <v>QQAYR0XXL</v>
          </cell>
          <cell r="B2621" t="str">
            <v>QQAY</v>
          </cell>
        </row>
        <row r="2622">
          <cell r="A2622" t="str">
            <v>QQAYR5L</v>
          </cell>
          <cell r="B2622" t="str">
            <v>QQAY</v>
          </cell>
        </row>
        <row r="2623">
          <cell r="A2623" t="str">
            <v>QQAYR5M</v>
          </cell>
          <cell r="B2623" t="str">
            <v>QQAY</v>
          </cell>
        </row>
        <row r="2624">
          <cell r="A2624" t="str">
            <v>QQAYR5S</v>
          </cell>
          <cell r="B2624" t="str">
            <v>QQAY</v>
          </cell>
        </row>
        <row r="2625">
          <cell r="A2625" t="str">
            <v>QQAYR5XL</v>
          </cell>
          <cell r="B2625" t="str">
            <v>QQAY</v>
          </cell>
        </row>
        <row r="2626">
          <cell r="A2626" t="str">
            <v>QQAYR5XXL</v>
          </cell>
          <cell r="B2626" t="str">
            <v>QQAY</v>
          </cell>
        </row>
        <row r="2627">
          <cell r="A2627" t="str">
            <v>QQRZK0M/L</v>
          </cell>
          <cell r="B2627" t="str">
            <v>QQAY</v>
          </cell>
        </row>
        <row r="2628">
          <cell r="A2628" t="str">
            <v>QQRZK0S/M</v>
          </cell>
          <cell r="B2628" t="str">
            <v>QQAY</v>
          </cell>
        </row>
        <row r="2629">
          <cell r="A2629" t="str">
            <v>QQRZR0M/L</v>
          </cell>
          <cell r="B2629" t="str">
            <v>QQAY</v>
          </cell>
        </row>
        <row r="2630">
          <cell r="A2630" t="str">
            <v>QQRZR0S/M</v>
          </cell>
          <cell r="B2630" t="str">
            <v>QQRE</v>
          </cell>
        </row>
        <row r="2631">
          <cell r="A2631" t="str">
            <v>QQRZR5M/L</v>
          </cell>
          <cell r="B2631" t="str">
            <v>QQRE</v>
          </cell>
        </row>
        <row r="2632">
          <cell r="A2632" t="str">
            <v>QQRZR5S/M</v>
          </cell>
          <cell r="B2632" t="str">
            <v>QQRE</v>
          </cell>
        </row>
        <row r="2633">
          <cell r="A2633" t="str">
            <v>QQRZW0L</v>
          </cell>
          <cell r="B2633" t="str">
            <v>QQRE</v>
          </cell>
        </row>
        <row r="2634">
          <cell r="A2634" t="str">
            <v>QQRZW0M</v>
          </cell>
          <cell r="B2634" t="str">
            <v>QQRE</v>
          </cell>
        </row>
        <row r="2635">
          <cell r="A2635" t="str">
            <v>QQRZW0XL</v>
          </cell>
          <cell r="B2635" t="str">
            <v>QQRE</v>
          </cell>
        </row>
        <row r="2636">
          <cell r="A2636" t="str">
            <v>QQRZW0XXL</v>
          </cell>
          <cell r="B2636" t="str">
            <v>QQRZ</v>
          </cell>
        </row>
        <row r="2637">
          <cell r="A2637" t="str">
            <v>QSAJKTKB02XL</v>
          </cell>
          <cell r="B2637" t="str">
            <v>QQRZ</v>
          </cell>
        </row>
        <row r="2638">
          <cell r="A2638" t="str">
            <v>QSAJKTKB03XL</v>
          </cell>
          <cell r="B2638" t="str">
            <v>QQRZ</v>
          </cell>
        </row>
        <row r="2639">
          <cell r="A2639" t="str">
            <v>QSAJKTKB04XL</v>
          </cell>
          <cell r="B2639" t="str">
            <v>QQRZ</v>
          </cell>
        </row>
        <row r="2640">
          <cell r="A2640" t="str">
            <v>QSAJKTKB0XL</v>
          </cell>
          <cell r="B2640" t="str">
            <v>QSAJKTK</v>
          </cell>
        </row>
        <row r="2641">
          <cell r="A2641" t="str">
            <v>QSAJKTKJS2XL</v>
          </cell>
          <cell r="B2641" t="str">
            <v>QSAJKTK</v>
          </cell>
        </row>
        <row r="2642">
          <cell r="A2642" t="str">
            <v>QSAJKTKJS3XL</v>
          </cell>
          <cell r="B2642" t="str">
            <v>QSAJKTK</v>
          </cell>
        </row>
        <row r="2643">
          <cell r="A2643" t="str">
            <v>QSAJKTKJS4XL</v>
          </cell>
          <cell r="B2643" t="str">
            <v>QSAJKTK</v>
          </cell>
        </row>
        <row r="2644">
          <cell r="A2644" t="str">
            <v>QSAJKTKJSXL</v>
          </cell>
          <cell r="B2644" t="str">
            <v>QSAJKTK</v>
          </cell>
        </row>
        <row r="2645">
          <cell r="A2645" t="str">
            <v>QZHHDMS</v>
          </cell>
          <cell r="B2645" t="str">
            <v>QSAJKTK</v>
          </cell>
        </row>
        <row r="2646">
          <cell r="A2646" t="str">
            <v>QZHHDW0</v>
          </cell>
          <cell r="B2646" t="str">
            <v>QSAJKTK</v>
          </cell>
        </row>
        <row r="2647">
          <cell r="A2647" t="str">
            <v>QZYYB0L</v>
          </cell>
          <cell r="B2647" t="str">
            <v>QSAJKTK</v>
          </cell>
        </row>
        <row r="2648">
          <cell r="A2648" t="str">
            <v>QZYYB0XL</v>
          </cell>
          <cell r="B2648" t="str">
            <v>QZHHD</v>
          </cell>
        </row>
        <row r="2649">
          <cell r="A2649" t="str">
            <v>QZYYB0XXL</v>
          </cell>
          <cell r="B2649" t="str">
            <v>QZHHD</v>
          </cell>
        </row>
        <row r="2650">
          <cell r="A2650" t="str">
            <v>QZYYG0L</v>
          </cell>
          <cell r="B2650" t="str">
            <v>QZYY</v>
          </cell>
        </row>
        <row r="2651">
          <cell r="A2651" t="str">
            <v>QZYYG0XL</v>
          </cell>
          <cell r="B2651" t="str">
            <v>QZYY</v>
          </cell>
        </row>
        <row r="2652">
          <cell r="A2652" t="str">
            <v>QZYYG0XXL</v>
          </cell>
          <cell r="B2652" t="str">
            <v>QZYY</v>
          </cell>
        </row>
        <row r="2653">
          <cell r="A2653" t="str">
            <v>QZYYHLL</v>
          </cell>
          <cell r="B2653" t="str">
            <v>QZYY</v>
          </cell>
        </row>
        <row r="2654">
          <cell r="A2654" t="str">
            <v>QZYYHLXL</v>
          </cell>
          <cell r="B2654" t="str">
            <v>QZYY</v>
          </cell>
        </row>
        <row r="2655">
          <cell r="A2655" t="str">
            <v>QZYYHLXXL</v>
          </cell>
          <cell r="B2655" t="str">
            <v>QZYY</v>
          </cell>
        </row>
        <row r="2656">
          <cell r="A2656" t="str">
            <v>QZYYK0L</v>
          </cell>
          <cell r="B2656" t="str">
            <v>QZYY</v>
          </cell>
        </row>
        <row r="2657">
          <cell r="A2657" t="str">
            <v>QZYYK0XL</v>
          </cell>
          <cell r="B2657" t="str">
            <v>QZYY</v>
          </cell>
        </row>
        <row r="2658">
          <cell r="A2658" t="str">
            <v>QZYYK0XXL</v>
          </cell>
          <cell r="B2658" t="str">
            <v>QZYY</v>
          </cell>
        </row>
        <row r="2659">
          <cell r="A2659" t="str">
            <v>QZYYLHSL</v>
          </cell>
          <cell r="B2659" t="str">
            <v>QZYY</v>
          </cell>
        </row>
        <row r="2660">
          <cell r="A2660" t="str">
            <v>QZYYLHSXL</v>
          </cell>
          <cell r="B2660" t="str">
            <v>QZYY</v>
          </cell>
        </row>
        <row r="2661">
          <cell r="A2661" t="str">
            <v>QZYYLHSXXL</v>
          </cell>
          <cell r="B2661" t="str">
            <v>QZYY</v>
          </cell>
        </row>
        <row r="2662">
          <cell r="A2662" t="str">
            <v>QZYYMHL</v>
          </cell>
          <cell r="B2662" t="str">
            <v>QZYY</v>
          </cell>
        </row>
        <row r="2663">
          <cell r="A2663" t="str">
            <v>QZYYMHXL</v>
          </cell>
          <cell r="B2663" t="str">
            <v>QZYY</v>
          </cell>
        </row>
        <row r="2664">
          <cell r="A2664" t="str">
            <v>QZYYMHXXL</v>
          </cell>
          <cell r="B2664" t="str">
            <v>QZYY</v>
          </cell>
        </row>
        <row r="2665">
          <cell r="A2665" t="str">
            <v>QZYYR0L</v>
          </cell>
          <cell r="B2665" t="str">
            <v>QZYY</v>
          </cell>
        </row>
        <row r="2666">
          <cell r="A2666" t="str">
            <v>QZYYR0XL</v>
          </cell>
          <cell r="B2666" t="str">
            <v>QZYY</v>
          </cell>
        </row>
        <row r="2667">
          <cell r="A2667" t="str">
            <v>QZYYR0XXL</v>
          </cell>
          <cell r="B2667" t="str">
            <v>QZYY</v>
          </cell>
        </row>
        <row r="2668">
          <cell r="A2668" t="str">
            <v>QZYYR5L</v>
          </cell>
          <cell r="B2668" t="str">
            <v>QZYY</v>
          </cell>
        </row>
        <row r="2669">
          <cell r="A2669" t="str">
            <v>QZYYR5M</v>
          </cell>
          <cell r="B2669" t="str">
            <v>QZYY</v>
          </cell>
        </row>
        <row r="2670">
          <cell r="A2670" t="str">
            <v>QZYYR5S</v>
          </cell>
          <cell r="B2670" t="str">
            <v>QZYY</v>
          </cell>
        </row>
        <row r="2671">
          <cell r="A2671" t="str">
            <v>QZYYR5XL</v>
          </cell>
          <cell r="B2671" t="str">
            <v>QZYY</v>
          </cell>
        </row>
        <row r="2672">
          <cell r="A2672" t="str">
            <v>QZYYR5XXL</v>
          </cell>
          <cell r="B2672" t="str">
            <v>QZYY</v>
          </cell>
        </row>
        <row r="2673">
          <cell r="A2673" t="str">
            <v>QZYYRHL</v>
          </cell>
          <cell r="B2673" t="str">
            <v>QZYY</v>
          </cell>
        </row>
        <row r="2674">
          <cell r="A2674" t="str">
            <v>QZYYRHXL</v>
          </cell>
          <cell r="B2674" t="str">
            <v>QZYY</v>
          </cell>
        </row>
        <row r="2675">
          <cell r="A2675" t="str">
            <v>QZYYRHXXL</v>
          </cell>
          <cell r="B2675" t="str">
            <v>QZYY</v>
          </cell>
        </row>
        <row r="2676">
          <cell r="A2676" t="str">
            <v>QZYYSLL</v>
          </cell>
          <cell r="B2676" t="str">
            <v>QZYY</v>
          </cell>
        </row>
        <row r="2677">
          <cell r="A2677" t="str">
            <v>QZYYSLM</v>
          </cell>
          <cell r="B2677" t="str">
            <v>QZYY</v>
          </cell>
        </row>
        <row r="2678">
          <cell r="A2678" t="str">
            <v>QZYYSLS</v>
          </cell>
          <cell r="B2678" t="str">
            <v>QZYY</v>
          </cell>
        </row>
        <row r="2679">
          <cell r="A2679" t="str">
            <v>QZYYSLXL</v>
          </cell>
          <cell r="B2679" t="str">
            <v>QZYY</v>
          </cell>
        </row>
        <row r="2680">
          <cell r="A2680" t="str">
            <v>QZYYSLXXL</v>
          </cell>
          <cell r="B2680" t="str">
            <v>QZYY</v>
          </cell>
        </row>
        <row r="2681">
          <cell r="A2681" t="str">
            <v>RZIMUYH1</v>
          </cell>
          <cell r="B2681" t="str">
            <v>QZYY</v>
          </cell>
        </row>
        <row r="2682">
          <cell r="A2682" t="str">
            <v>RZIMUYH2</v>
          </cell>
          <cell r="B2682" t="str">
            <v>QZYY</v>
          </cell>
        </row>
        <row r="2683">
          <cell r="A2683" t="str">
            <v>RZIMUYH3</v>
          </cell>
          <cell r="B2683" t="str">
            <v>QZYY</v>
          </cell>
        </row>
        <row r="2684">
          <cell r="A2684" t="str">
            <v>RZIMUYH4</v>
          </cell>
          <cell r="B2684" t="str">
            <v>RZIMUYH</v>
          </cell>
        </row>
        <row r="2685">
          <cell r="A2685" t="str">
            <v>RZIMUYH5</v>
          </cell>
          <cell r="B2685" t="str">
            <v>RZIMUYH</v>
          </cell>
        </row>
        <row r="2686">
          <cell r="A2686" t="str">
            <v>RZIMUYH6</v>
          </cell>
          <cell r="B2686" t="str">
            <v>RZIMUYH</v>
          </cell>
        </row>
        <row r="2687">
          <cell r="A2687" t="str">
            <v>RZIMUYH7</v>
          </cell>
          <cell r="B2687" t="str">
            <v>RZIMUYH</v>
          </cell>
        </row>
        <row r="2688">
          <cell r="A2688" t="str">
            <v>RZIMUYH8</v>
          </cell>
          <cell r="B2688" t="str">
            <v>RZIMUYH</v>
          </cell>
        </row>
        <row r="2689">
          <cell r="A2689" t="str">
            <v>RZIMUYH9</v>
          </cell>
          <cell r="B2689" t="str">
            <v>RZIMUYH</v>
          </cell>
        </row>
        <row r="2690">
          <cell r="A2690" t="str">
            <v>RZSSK0</v>
          </cell>
          <cell r="B2690" t="str">
            <v>RZIMUYH</v>
          </cell>
        </row>
        <row r="2691">
          <cell r="A2691" t="str">
            <v>SAJKTKG02XL</v>
          </cell>
          <cell r="B2691" t="str">
            <v>RZIMUYH</v>
          </cell>
        </row>
        <row r="2692">
          <cell r="A2692" t="str">
            <v>SAJKTKG03XL</v>
          </cell>
          <cell r="B2692" t="str">
            <v>RZIMUYH</v>
          </cell>
        </row>
        <row r="2693">
          <cell r="A2693" t="str">
            <v>SAJKTKG04XL</v>
          </cell>
          <cell r="B2693" t="str">
            <v>RZSS</v>
          </cell>
        </row>
        <row r="2694">
          <cell r="A2694" t="str">
            <v>SAJKTKG0XL</v>
          </cell>
          <cell r="B2694" t="str">
            <v>SAJKTK</v>
          </cell>
        </row>
        <row r="2695">
          <cell r="A2695" t="str">
            <v>SAJKTKR02XL</v>
          </cell>
          <cell r="B2695" t="str">
            <v>SAJKTK</v>
          </cell>
        </row>
        <row r="2696">
          <cell r="A2696" t="str">
            <v>SAJKTKR03XL</v>
          </cell>
          <cell r="B2696" t="str">
            <v>SAJKTK</v>
          </cell>
        </row>
        <row r="2697">
          <cell r="A2697" t="str">
            <v>SAJKTKR04XL</v>
          </cell>
          <cell r="B2697" t="str">
            <v>SAJKTK</v>
          </cell>
        </row>
        <row r="2698">
          <cell r="A2698" t="str">
            <v>SAJKTKR0XL</v>
          </cell>
          <cell r="B2698" t="str">
            <v>SAJKTK</v>
          </cell>
        </row>
        <row r="2699">
          <cell r="A2699" t="str">
            <v>SBGZKK03XL</v>
          </cell>
          <cell r="B2699" t="str">
            <v>SAJKTK</v>
          </cell>
        </row>
        <row r="2700">
          <cell r="A2700" t="str">
            <v>SBGZKK04XL</v>
          </cell>
          <cell r="B2700" t="str">
            <v>SAJKTK</v>
          </cell>
        </row>
        <row r="2701">
          <cell r="A2701" t="str">
            <v>SBGZKK05XL</v>
          </cell>
          <cell r="B2701" t="str">
            <v>SAJKTK</v>
          </cell>
        </row>
        <row r="2702">
          <cell r="A2702" t="str">
            <v>SBGZKK06XL</v>
          </cell>
          <cell r="B2702" t="str">
            <v>SBGZK</v>
          </cell>
        </row>
        <row r="2703">
          <cell r="A2703" t="str">
            <v>SBGZKK07XL</v>
          </cell>
          <cell r="B2703" t="str">
            <v>SBGZK</v>
          </cell>
        </row>
        <row r="2704">
          <cell r="A2704" t="str">
            <v>SBGZKK0L</v>
          </cell>
          <cell r="B2704" t="str">
            <v>SBGZK</v>
          </cell>
        </row>
        <row r="2705">
          <cell r="A2705" t="str">
            <v>SBGZKK0M</v>
          </cell>
          <cell r="B2705" t="str">
            <v>SBGZK</v>
          </cell>
        </row>
        <row r="2706">
          <cell r="A2706" t="str">
            <v>SBGZKK0S</v>
          </cell>
          <cell r="B2706" t="str">
            <v>SBGZK</v>
          </cell>
        </row>
        <row r="2707">
          <cell r="A2707" t="str">
            <v>SBGZKK0XL</v>
          </cell>
          <cell r="B2707" t="str">
            <v>SBGZK</v>
          </cell>
        </row>
        <row r="2708">
          <cell r="A2708" t="str">
            <v>SBGZKK0XXL</v>
          </cell>
          <cell r="B2708" t="str">
            <v>SBGZK</v>
          </cell>
        </row>
        <row r="2709">
          <cell r="A2709" t="str">
            <v>SBGZKMS3XL</v>
          </cell>
          <cell r="B2709" t="str">
            <v>SBGZK</v>
          </cell>
        </row>
        <row r="2710">
          <cell r="A2710" t="str">
            <v>SBGZKMS4XL</v>
          </cell>
          <cell r="B2710" t="str">
            <v>SBGZK</v>
          </cell>
        </row>
        <row r="2711">
          <cell r="A2711" t="str">
            <v>SBGZKMS5XL</v>
          </cell>
          <cell r="B2711" t="str">
            <v>SBGZK</v>
          </cell>
        </row>
        <row r="2712">
          <cell r="A2712" t="str">
            <v>SBGZKMS6XL</v>
          </cell>
          <cell r="B2712" t="str">
            <v>SBGZK</v>
          </cell>
        </row>
        <row r="2713">
          <cell r="A2713" t="str">
            <v>SBGZKMS7XL</v>
          </cell>
          <cell r="B2713" t="str">
            <v>SBGZK</v>
          </cell>
        </row>
        <row r="2714">
          <cell r="A2714" t="str">
            <v>SBGZKMSL</v>
          </cell>
          <cell r="B2714" t="str">
            <v>SBGZK</v>
          </cell>
        </row>
        <row r="2715">
          <cell r="A2715" t="str">
            <v>SBGZKMSM</v>
          </cell>
          <cell r="B2715" t="str">
            <v>SBGZK</v>
          </cell>
        </row>
        <row r="2716">
          <cell r="A2716" t="str">
            <v>SBGZKMSS</v>
          </cell>
          <cell r="B2716" t="str">
            <v>SBGZK</v>
          </cell>
        </row>
        <row r="2717">
          <cell r="A2717" t="str">
            <v>SBGZKMSXL</v>
          </cell>
          <cell r="B2717" t="str">
            <v>SBGZK</v>
          </cell>
        </row>
        <row r="2718">
          <cell r="A2718" t="str">
            <v>SBGZKMSXXL</v>
          </cell>
          <cell r="B2718" t="str">
            <v>SBGZK</v>
          </cell>
        </row>
        <row r="2719">
          <cell r="A2719" t="str">
            <v>SBGZKW03XL</v>
          </cell>
          <cell r="B2719" t="str">
            <v>SBGZK</v>
          </cell>
        </row>
        <row r="2720">
          <cell r="A2720" t="str">
            <v>SBGZKW04XL</v>
          </cell>
          <cell r="B2720" t="str">
            <v>SBGZK</v>
          </cell>
        </row>
        <row r="2721">
          <cell r="A2721" t="str">
            <v>SBGZKW05XL</v>
          </cell>
          <cell r="B2721" t="str">
            <v>SBGZK</v>
          </cell>
        </row>
        <row r="2722">
          <cell r="A2722" t="str">
            <v>SBGZKW06XL</v>
          </cell>
          <cell r="B2722" t="str">
            <v>SBGZK</v>
          </cell>
        </row>
        <row r="2723">
          <cell r="A2723" t="str">
            <v>SBGZKW07XL</v>
          </cell>
          <cell r="B2723" t="str">
            <v>SBGZK</v>
          </cell>
        </row>
        <row r="2724">
          <cell r="A2724" t="str">
            <v>SBGZKW0L</v>
          </cell>
          <cell r="B2724" t="str">
            <v>SBGZK</v>
          </cell>
        </row>
        <row r="2725">
          <cell r="A2725" t="str">
            <v>SBGZKW0M</v>
          </cell>
          <cell r="B2725" t="str">
            <v>SBGZK</v>
          </cell>
        </row>
        <row r="2726">
          <cell r="A2726" t="str">
            <v>SBGZKW0S</v>
          </cell>
          <cell r="B2726" t="str">
            <v>SBGZK</v>
          </cell>
        </row>
        <row r="2727">
          <cell r="A2727" t="str">
            <v>SBGZKW0XL</v>
          </cell>
          <cell r="B2727" t="str">
            <v>SBGZK</v>
          </cell>
        </row>
        <row r="2728">
          <cell r="A2728" t="str">
            <v>SBGZKW0XXL</v>
          </cell>
          <cell r="B2728" t="str">
            <v>SBGZK</v>
          </cell>
        </row>
        <row r="2729">
          <cell r="A2729" t="str">
            <v>SBGZKZQ3XL</v>
          </cell>
          <cell r="B2729" t="str">
            <v>SBGZK</v>
          </cell>
        </row>
        <row r="2730">
          <cell r="A2730" t="str">
            <v>SBGZKZQ4XL</v>
          </cell>
          <cell r="B2730" t="str">
            <v>SBGZK</v>
          </cell>
        </row>
        <row r="2731">
          <cell r="A2731" t="str">
            <v>SBGZKZQ5XL</v>
          </cell>
          <cell r="B2731" t="str">
            <v>SBGZK</v>
          </cell>
        </row>
        <row r="2732">
          <cell r="A2732" t="str">
            <v>SBGZKZQ6XL</v>
          </cell>
          <cell r="B2732" t="str">
            <v>SBGZK</v>
          </cell>
        </row>
        <row r="2733">
          <cell r="A2733" t="str">
            <v>SBGZKZQ7XL</v>
          </cell>
          <cell r="B2733" t="str">
            <v>SBGZK</v>
          </cell>
        </row>
        <row r="2734">
          <cell r="A2734" t="str">
            <v>SBGZKZQL</v>
          </cell>
          <cell r="B2734" t="str">
            <v>SBGZK</v>
          </cell>
        </row>
        <row r="2735">
          <cell r="A2735" t="str">
            <v>SBGZKZQM</v>
          </cell>
          <cell r="B2735" t="str">
            <v>SBGZK</v>
          </cell>
        </row>
        <row r="2736">
          <cell r="A2736" t="str">
            <v>SBGZKZQS</v>
          </cell>
          <cell r="B2736" t="str">
            <v>SBGZK</v>
          </cell>
        </row>
        <row r="2737">
          <cell r="A2737" t="str">
            <v>SBGZKZQXL</v>
          </cell>
          <cell r="B2737" t="str">
            <v>SBGZK</v>
          </cell>
        </row>
        <row r="2738">
          <cell r="A2738" t="str">
            <v>SBGZKZQXXL</v>
          </cell>
          <cell r="B2738" t="str">
            <v>SBGZK</v>
          </cell>
        </row>
        <row r="2739">
          <cell r="A2739" t="str">
            <v>SCLEHBRB</v>
          </cell>
          <cell r="B2739" t="str">
            <v>SBGZK</v>
          </cell>
        </row>
        <row r="2740">
          <cell r="A2740" t="str">
            <v>SCLEHBW0</v>
          </cell>
          <cell r="B2740" t="str">
            <v>SBGZK</v>
          </cell>
        </row>
        <row r="2741">
          <cell r="A2741" t="str">
            <v>SCZTSW0</v>
          </cell>
          <cell r="B2741" t="str">
            <v>SBGZK</v>
          </cell>
        </row>
        <row r="2742">
          <cell r="A2742" t="str">
            <v>SEKBMHS2XL</v>
          </cell>
          <cell r="B2742" t="str">
            <v>SCLEHB</v>
          </cell>
        </row>
        <row r="2743">
          <cell r="A2743" t="str">
            <v>SEKBMHS3XL</v>
          </cell>
          <cell r="B2743" t="str">
            <v>SCLEHB</v>
          </cell>
        </row>
        <row r="2744">
          <cell r="A2744" t="str">
            <v>SEKBMHS4XL</v>
          </cell>
          <cell r="B2744" t="str">
            <v>SCZTS</v>
          </cell>
        </row>
        <row r="2745">
          <cell r="A2745" t="str">
            <v>SEKBMHSL</v>
          </cell>
          <cell r="B2745" t="str">
            <v>SEKB</v>
          </cell>
        </row>
        <row r="2746">
          <cell r="A2746" t="str">
            <v>SEKBMHSXL</v>
          </cell>
          <cell r="B2746" t="str">
            <v>SEKB</v>
          </cell>
        </row>
        <row r="2747">
          <cell r="A2747" t="str">
            <v>SEKBQHS2XL</v>
          </cell>
          <cell r="B2747" t="str">
            <v>SEKB</v>
          </cell>
        </row>
        <row r="2748">
          <cell r="A2748" t="str">
            <v>SEKBQHS3XL</v>
          </cell>
          <cell r="B2748" t="str">
            <v>SEKB</v>
          </cell>
        </row>
        <row r="2749">
          <cell r="A2749" t="str">
            <v>SEKBQHS4XL</v>
          </cell>
          <cell r="B2749" t="str">
            <v>SEKB</v>
          </cell>
        </row>
        <row r="2750">
          <cell r="A2750" t="str">
            <v>SEKBQHSL</v>
          </cell>
          <cell r="B2750" t="str">
            <v>SEKB</v>
          </cell>
        </row>
        <row r="2751">
          <cell r="A2751" t="str">
            <v>SEKBQHSXL</v>
          </cell>
          <cell r="B2751" t="str">
            <v>SEKB</v>
          </cell>
        </row>
        <row r="2752">
          <cell r="A2752" t="str">
            <v>SEKBQLS2XL</v>
          </cell>
          <cell r="B2752" t="str">
            <v>SEKB</v>
          </cell>
        </row>
        <row r="2753">
          <cell r="A2753" t="str">
            <v>SEKBQLS3XL</v>
          </cell>
          <cell r="B2753" t="str">
            <v>SEKB</v>
          </cell>
        </row>
        <row r="2754">
          <cell r="A2754" t="str">
            <v>SEKBQLS4XL</v>
          </cell>
          <cell r="B2754" t="str">
            <v>SEKB</v>
          </cell>
        </row>
        <row r="2755">
          <cell r="A2755" t="str">
            <v>SEKBQLSL</v>
          </cell>
          <cell r="B2755" t="str">
            <v>SEKB</v>
          </cell>
        </row>
        <row r="2756">
          <cell r="A2756" t="str">
            <v>SEKBQLSXL</v>
          </cell>
          <cell r="B2756" t="str">
            <v>SEKB</v>
          </cell>
        </row>
        <row r="2757">
          <cell r="A2757" t="str">
            <v>SFMCSKG0</v>
          </cell>
          <cell r="B2757" t="str">
            <v>SEKB</v>
          </cell>
        </row>
        <row r="2758">
          <cell r="A2758" t="str">
            <v>SFMCSKK0</v>
          </cell>
          <cell r="B2758" t="str">
            <v>SEKB</v>
          </cell>
        </row>
        <row r="2759">
          <cell r="A2759" t="str">
            <v>SFMCSKKF</v>
          </cell>
          <cell r="B2759" t="str">
            <v>SEKB</v>
          </cell>
        </row>
        <row r="2760">
          <cell r="A2760" t="str">
            <v>SFMCSKR0</v>
          </cell>
          <cell r="B2760" t="str">
            <v>SFMCSK</v>
          </cell>
        </row>
        <row r="2761">
          <cell r="A2761" t="str">
            <v>SFMCSKW0</v>
          </cell>
          <cell r="B2761" t="str">
            <v>SFMCSK</v>
          </cell>
        </row>
        <row r="2762">
          <cell r="A2762" t="str">
            <v>SGLZG0</v>
          </cell>
          <cell r="B2762" t="str">
            <v>SFMCSK</v>
          </cell>
        </row>
        <row r="2763">
          <cell r="A2763" t="str">
            <v>SJKTKK0L</v>
          </cell>
          <cell r="B2763" t="str">
            <v>SFMCSK</v>
          </cell>
        </row>
        <row r="2764">
          <cell r="A2764" t="str">
            <v>SJKTKK0XL</v>
          </cell>
          <cell r="B2764" t="str">
            <v>SFMCSK</v>
          </cell>
        </row>
        <row r="2765">
          <cell r="A2765" t="str">
            <v>SJKTKW0L</v>
          </cell>
          <cell r="B2765" t="str">
            <v>SGLZ</v>
          </cell>
        </row>
        <row r="2766">
          <cell r="A2766" t="str">
            <v>SJKTKW0XL</v>
          </cell>
          <cell r="B2766" t="str">
            <v>SJKTK</v>
          </cell>
        </row>
        <row r="2767">
          <cell r="A2767" t="str">
            <v>SPHNYK0</v>
          </cell>
          <cell r="B2767" t="str">
            <v>SJKTK</v>
          </cell>
        </row>
        <row r="2768">
          <cell r="A2768" t="str">
            <v>SZJSK0A</v>
          </cell>
          <cell r="B2768" t="str">
            <v>SJKTK</v>
          </cell>
        </row>
        <row r="2769">
          <cell r="A2769" t="str">
            <v>SZJSK0B</v>
          </cell>
          <cell r="B2769" t="str">
            <v>SJKTK</v>
          </cell>
        </row>
        <row r="2770">
          <cell r="A2770" t="str">
            <v>SZJSK0C</v>
          </cell>
          <cell r="B2770" t="str">
            <v>SPHNY</v>
          </cell>
        </row>
        <row r="2771">
          <cell r="A2771" t="str">
            <v>SZJSK0D</v>
          </cell>
          <cell r="B2771" t="str">
            <v>XTHO</v>
          </cell>
        </row>
        <row r="2772">
          <cell r="A2772" t="str">
            <v>SZJSXSA</v>
          </cell>
          <cell r="B2772" t="str">
            <v>XTHO</v>
          </cell>
        </row>
        <row r="2773">
          <cell r="A2773" t="str">
            <v>SZJSXSB</v>
          </cell>
          <cell r="B2773" t="str">
            <v>XTHO</v>
          </cell>
        </row>
        <row r="2774">
          <cell r="A2774" t="str">
            <v>SZJSXSC</v>
          </cell>
          <cell r="B2774" t="str">
            <v>XTHO</v>
          </cell>
        </row>
        <row r="2775">
          <cell r="A2775" t="str">
            <v>SZJSXSD</v>
          </cell>
          <cell r="B2775" t="str">
            <v>XTHO</v>
          </cell>
        </row>
        <row r="2776">
          <cell r="A2776" t="str">
            <v>TMKTKW0L</v>
          </cell>
          <cell r="B2776" t="str">
            <v>XTHO</v>
          </cell>
        </row>
        <row r="2777">
          <cell r="A2777" t="str">
            <v>TMKTKW0M</v>
          </cell>
          <cell r="B2777" t="str">
            <v>XTHO</v>
          </cell>
        </row>
        <row r="2778">
          <cell r="A2778" t="str">
            <v>TMKTKW0XL</v>
          </cell>
          <cell r="B2778" t="str">
            <v>XTHO</v>
          </cell>
        </row>
        <row r="2779">
          <cell r="A2779" t="str">
            <v>TMKTKZQL</v>
          </cell>
          <cell r="B2779" t="str">
            <v>TMKTK</v>
          </cell>
        </row>
        <row r="2780">
          <cell r="A2780" t="str">
            <v>TMKTKZQM</v>
          </cell>
          <cell r="B2780" t="str">
            <v>TMKTK</v>
          </cell>
        </row>
        <row r="2781">
          <cell r="A2781" t="str">
            <v>TMKTKZQXL</v>
          </cell>
          <cell r="B2781" t="str">
            <v>TMKTK</v>
          </cell>
        </row>
        <row r="2782">
          <cell r="A2782" t="str">
            <v>TSEMK0</v>
          </cell>
          <cell r="B2782" t="str">
            <v>TMKTK</v>
          </cell>
        </row>
        <row r="2783">
          <cell r="A2783" t="str">
            <v>TSEMW0</v>
          </cell>
          <cell r="B2783" t="str">
            <v>TMKTK</v>
          </cell>
        </row>
        <row r="2784">
          <cell r="A2784" t="str">
            <v>TTCX36851</v>
          </cell>
          <cell r="B2784" t="str">
            <v>TMKTK</v>
          </cell>
        </row>
        <row r="2785">
          <cell r="A2785" t="str">
            <v>TTCX36852</v>
          </cell>
          <cell r="B2785" t="str">
            <v>TSEM</v>
          </cell>
        </row>
        <row r="2786">
          <cell r="A2786" t="str">
            <v>TTCX36853</v>
          </cell>
          <cell r="B2786" t="str">
            <v>TSEM</v>
          </cell>
        </row>
        <row r="2787">
          <cell r="A2787" t="str">
            <v>TTCX425K0L</v>
          </cell>
          <cell r="B2787" t="str">
            <v>TTCX3685</v>
          </cell>
        </row>
        <row r="2788">
          <cell r="A2788" t="str">
            <v>TTCX425K0M</v>
          </cell>
          <cell r="B2788" t="str">
            <v>TTCX3685</v>
          </cell>
        </row>
        <row r="2789">
          <cell r="A2789" t="str">
            <v>TTCX425K0XL</v>
          </cell>
          <cell r="B2789" t="str">
            <v>TTCX3685</v>
          </cell>
        </row>
        <row r="2790">
          <cell r="A2790" t="str">
            <v>TTCX58661</v>
          </cell>
          <cell r="B2790" t="str">
            <v>TTCX425</v>
          </cell>
        </row>
        <row r="2791">
          <cell r="A2791" t="str">
            <v>TTCX58662</v>
          </cell>
          <cell r="B2791" t="str">
            <v>TTCX425</v>
          </cell>
        </row>
        <row r="2792">
          <cell r="A2792" t="str">
            <v>TTCX58663</v>
          </cell>
          <cell r="B2792" t="str">
            <v>TTCX425</v>
          </cell>
        </row>
        <row r="2793">
          <cell r="A2793" t="str">
            <v>TTCX58664</v>
          </cell>
          <cell r="B2793" t="str">
            <v>TTCX5866</v>
          </cell>
        </row>
        <row r="2794">
          <cell r="A2794" t="str">
            <v>TTCX58665</v>
          </cell>
          <cell r="B2794" t="str">
            <v>TTCX5866</v>
          </cell>
        </row>
        <row r="2795">
          <cell r="A2795" t="str">
            <v>TTCX58666</v>
          </cell>
          <cell r="B2795" t="str">
            <v>TTCX5866</v>
          </cell>
        </row>
        <row r="2796">
          <cell r="A2796" t="str">
            <v>TTCX6123O1</v>
          </cell>
          <cell r="B2796" t="str">
            <v>TTCX5866</v>
          </cell>
        </row>
        <row r="2797">
          <cell r="A2797" t="str">
            <v>TTCX6123O2</v>
          </cell>
          <cell r="B2797" t="str">
            <v>TTCX5866</v>
          </cell>
        </row>
        <row r="2798">
          <cell r="A2798" t="str">
            <v>TTCX6123O3</v>
          </cell>
          <cell r="B2798" t="str">
            <v>TTCX5866</v>
          </cell>
        </row>
        <row r="2799">
          <cell r="A2799" t="str">
            <v>TTCX6123O4</v>
          </cell>
          <cell r="B2799" t="str">
            <v>TTCX6123O</v>
          </cell>
        </row>
        <row r="2800">
          <cell r="A2800" t="str">
            <v>TTCX6123O5</v>
          </cell>
          <cell r="B2800" t="str">
            <v>TTCX6123O</v>
          </cell>
        </row>
        <row r="2801">
          <cell r="A2801" t="str">
            <v>TTCX6123O6</v>
          </cell>
          <cell r="B2801" t="str">
            <v>TTCX6123O</v>
          </cell>
        </row>
        <row r="2802">
          <cell r="A2802" t="str">
            <v>TTCX6123O7</v>
          </cell>
          <cell r="B2802" t="str">
            <v>TTCX6123O</v>
          </cell>
        </row>
        <row r="2803">
          <cell r="A2803" t="str">
            <v>TTCX6123O8</v>
          </cell>
          <cell r="B2803" t="str">
            <v>TTCX6123O</v>
          </cell>
        </row>
        <row r="2804">
          <cell r="A2804" t="str">
            <v>TTCX8516O1</v>
          </cell>
          <cell r="B2804" t="str">
            <v>TTCX6123O</v>
          </cell>
        </row>
        <row r="2805">
          <cell r="A2805" t="str">
            <v>TTCX8516O2</v>
          </cell>
          <cell r="B2805" t="str">
            <v>TTCX6123O</v>
          </cell>
        </row>
        <row r="2806">
          <cell r="A2806" t="str">
            <v>TTCX8516O3</v>
          </cell>
          <cell r="B2806" t="str">
            <v>TTCX6123O</v>
          </cell>
        </row>
        <row r="2807">
          <cell r="A2807" t="str">
            <v>TTCX89651</v>
          </cell>
          <cell r="B2807" t="str">
            <v>TTCX8516O</v>
          </cell>
        </row>
        <row r="2808">
          <cell r="A2808" t="str">
            <v>TTCX89652</v>
          </cell>
          <cell r="B2808" t="str">
            <v>TTCX8516O</v>
          </cell>
        </row>
        <row r="2809">
          <cell r="A2809" t="str">
            <v>TTCX89653</v>
          </cell>
          <cell r="B2809" t="str">
            <v>TTCX8516O</v>
          </cell>
        </row>
        <row r="2810">
          <cell r="A2810" t="str">
            <v>TTCX89654</v>
          </cell>
          <cell r="B2810" t="str">
            <v>TTCX8965</v>
          </cell>
        </row>
        <row r="2811">
          <cell r="A2811" t="str">
            <v>TTYCMZFCS1</v>
          </cell>
          <cell r="B2811" t="str">
            <v>TTCX8965</v>
          </cell>
        </row>
        <row r="2812">
          <cell r="A2812" t="str">
            <v>TTYCMZFCS2</v>
          </cell>
          <cell r="B2812" t="str">
            <v>TTCX8965</v>
          </cell>
        </row>
        <row r="2813">
          <cell r="A2813" t="str">
            <v>TTYCMZFCS3</v>
          </cell>
          <cell r="B2813" t="str">
            <v>TTCX8965</v>
          </cell>
        </row>
        <row r="2814">
          <cell r="A2814" t="str">
            <v>TTYCMZFCX1</v>
          </cell>
          <cell r="B2814" t="str">
            <v>TTYCMZFCS</v>
          </cell>
        </row>
        <row r="2815">
          <cell r="A2815" t="str">
            <v>TTYCMZFCX2</v>
          </cell>
          <cell r="B2815" t="str">
            <v>TTYCMZFCS</v>
          </cell>
        </row>
        <row r="2816">
          <cell r="A2816" t="str">
            <v>TTYCMZFCX3</v>
          </cell>
          <cell r="B2816" t="str">
            <v>TTYCMZFCS</v>
          </cell>
        </row>
        <row r="2817">
          <cell r="A2817" t="str">
            <v>TTYCMZFPI1</v>
          </cell>
          <cell r="B2817" t="str">
            <v>TTYCMZFCX</v>
          </cell>
        </row>
        <row r="2818">
          <cell r="A2818" t="str">
            <v>TTYCMZFPI2</v>
          </cell>
          <cell r="B2818" t="str">
            <v>TTYCMZFCX</v>
          </cell>
        </row>
        <row r="2819">
          <cell r="A2819" t="str">
            <v>TTYCMZFPI3</v>
          </cell>
          <cell r="B2819" t="str">
            <v>TTYCMZFCX</v>
          </cell>
        </row>
        <row r="2820">
          <cell r="A2820" t="str">
            <v>TTYCMZFPI4</v>
          </cell>
          <cell r="B2820" t="str">
            <v>TTYCMZFPI</v>
          </cell>
        </row>
        <row r="2821">
          <cell r="A2821" t="str">
            <v>TTYCMZFPI5</v>
          </cell>
          <cell r="B2821" t="str">
            <v>TTYCMZFPI</v>
          </cell>
        </row>
        <row r="2822">
          <cell r="A2822" t="str">
            <v>TTYCMZFPJ1</v>
          </cell>
          <cell r="B2822" t="str">
            <v>TTYCMZFPI</v>
          </cell>
        </row>
        <row r="2823">
          <cell r="A2823" t="str">
            <v>TTYCMZFPJ2</v>
          </cell>
          <cell r="B2823" t="str">
            <v>TTYCMZFPI</v>
          </cell>
        </row>
        <row r="2824">
          <cell r="A2824" t="str">
            <v>TTYCMZFPJ3</v>
          </cell>
          <cell r="B2824" t="str">
            <v>TTYCMZFPI</v>
          </cell>
        </row>
        <row r="2825">
          <cell r="A2825" t="str">
            <v>TTYCMZFPJ4</v>
          </cell>
          <cell r="B2825" t="str">
            <v>TTYCMZFPJ</v>
          </cell>
        </row>
        <row r="2826">
          <cell r="A2826" t="str">
            <v>TTYCMZFPJ5</v>
          </cell>
          <cell r="B2826" t="str">
            <v>TTYCMZFPJ</v>
          </cell>
        </row>
        <row r="2827">
          <cell r="A2827" t="str">
            <v>TTYCMZFPK1</v>
          </cell>
          <cell r="B2827" t="str">
            <v>TTYCMZFPJ</v>
          </cell>
        </row>
        <row r="2828">
          <cell r="A2828" t="str">
            <v>TTYCMZFPK2</v>
          </cell>
          <cell r="B2828" t="str">
            <v>TTYCMZFPJ</v>
          </cell>
        </row>
        <row r="2829">
          <cell r="A2829" t="str">
            <v>TTYCMZFPK3</v>
          </cell>
          <cell r="B2829" t="str">
            <v>TTYCMZFPJ</v>
          </cell>
        </row>
        <row r="2830">
          <cell r="A2830" t="str">
            <v>TTYCMZFTW1</v>
          </cell>
          <cell r="B2830" t="str">
            <v>TTYCMZFPK</v>
          </cell>
        </row>
        <row r="2831">
          <cell r="A2831" t="str">
            <v>TTYCMZFTW2</v>
          </cell>
          <cell r="B2831" t="str">
            <v>TTYCMZFPK</v>
          </cell>
        </row>
        <row r="2832">
          <cell r="A2832" t="str">
            <v>TTYCMZFTW3</v>
          </cell>
          <cell r="B2832" t="str">
            <v>TTYCMZFPK</v>
          </cell>
        </row>
        <row r="2833">
          <cell r="A2833" t="str">
            <v>TTYCY3688RED</v>
          </cell>
          <cell r="B2833" t="str">
            <v>TTYCMZFTW</v>
          </cell>
        </row>
        <row r="2834">
          <cell r="A2834" t="str">
            <v>TTYCYCS2867Black</v>
          </cell>
          <cell r="B2834" t="str">
            <v>TTYCMZFTW</v>
          </cell>
        </row>
        <row r="2835">
          <cell r="A2835" t="str">
            <v>TTYCYCS2867Navy</v>
          </cell>
          <cell r="B2835" t="str">
            <v>TTYCMZFTW</v>
          </cell>
        </row>
        <row r="2836">
          <cell r="A2836" t="str">
            <v>TTYCYCS2867Red</v>
          </cell>
          <cell r="B2836" t="str">
            <v>TTYCYH3688</v>
          </cell>
        </row>
        <row r="2837">
          <cell r="A2837" t="str">
            <v>TTYCYCSH1</v>
          </cell>
          <cell r="B2837" t="str">
            <v>TTYCYCS2867</v>
          </cell>
        </row>
        <row r="2838">
          <cell r="A2838" t="str">
            <v>TTYCYCSH2</v>
          </cell>
          <cell r="B2838" t="str">
            <v>TTYCYCS2867</v>
          </cell>
        </row>
        <row r="2839">
          <cell r="A2839" t="str">
            <v>TTYCYCSH3</v>
          </cell>
          <cell r="B2839" t="str">
            <v>TTYCYCS2867</v>
          </cell>
        </row>
        <row r="2840">
          <cell r="A2840" t="str">
            <v>TTYCYCSH4</v>
          </cell>
          <cell r="B2840" t="str">
            <v>TTYCYCSH</v>
          </cell>
        </row>
        <row r="2841">
          <cell r="A2841" t="str">
            <v>TTYCYCSH5</v>
          </cell>
          <cell r="B2841" t="str">
            <v>TTYCYCSH</v>
          </cell>
        </row>
        <row r="2842">
          <cell r="A2842" t="str">
            <v>TTYCYCSH6</v>
          </cell>
          <cell r="B2842" t="str">
            <v>TTYCYCSH</v>
          </cell>
        </row>
        <row r="2843">
          <cell r="A2843" t="str">
            <v>TTYCYH3688BLACK</v>
          </cell>
          <cell r="B2843" t="str">
            <v>TTYCYCSH</v>
          </cell>
        </row>
        <row r="2844">
          <cell r="A2844" t="str">
            <v>TTYCYH3688NAVY</v>
          </cell>
          <cell r="B2844" t="str">
            <v>TTYCYCSH</v>
          </cell>
        </row>
        <row r="2845">
          <cell r="A2845" t="str">
            <v>TTYCYH3688YELLOW</v>
          </cell>
          <cell r="B2845" t="str">
            <v>TTYCYCSH</v>
          </cell>
        </row>
        <row r="2846">
          <cell r="A2846" t="str">
            <v>TTYCYH8040APRICOT</v>
          </cell>
          <cell r="B2846" t="str">
            <v>TTYCYH3688</v>
          </cell>
        </row>
        <row r="2847">
          <cell r="A2847" t="str">
            <v>TTYCYH8040ORANGE</v>
          </cell>
          <cell r="B2847" t="str">
            <v>TTYCYH3688</v>
          </cell>
        </row>
        <row r="2848">
          <cell r="A2848" t="str">
            <v>TTYCYH8040RED</v>
          </cell>
          <cell r="B2848" t="str">
            <v>TTYCYH3688</v>
          </cell>
        </row>
        <row r="2849">
          <cell r="A2849" t="str">
            <v>TTYCYH8040WHITE</v>
          </cell>
          <cell r="B2849" t="str">
            <v>TTYCYH8040</v>
          </cell>
        </row>
        <row r="2850">
          <cell r="A2850" t="str">
            <v>TZFZY0XL</v>
          </cell>
          <cell r="B2850" t="str">
            <v>TTYCYH8040</v>
          </cell>
        </row>
        <row r="2851">
          <cell r="A2851" t="str">
            <v>TZIMUYH0</v>
          </cell>
          <cell r="B2851" t="str">
            <v>TTYCYH8040</v>
          </cell>
        </row>
        <row r="2852">
          <cell r="A2852" t="str">
            <v>TZIMUYH1</v>
          </cell>
          <cell r="B2852" t="str">
            <v>TTYCYH8040</v>
          </cell>
        </row>
        <row r="2853">
          <cell r="A2853" t="str">
            <v>TZIMUYH2</v>
          </cell>
          <cell r="B2853" t="str">
            <v>TZFZ</v>
          </cell>
        </row>
        <row r="2854">
          <cell r="A2854" t="str">
            <v>TZIMUYH3</v>
          </cell>
          <cell r="B2854" t="str">
            <v>TZIMUYH</v>
          </cell>
        </row>
        <row r="2855">
          <cell r="A2855" t="str">
            <v>TZIMUYH4</v>
          </cell>
          <cell r="B2855" t="str">
            <v>TZIMUYH</v>
          </cell>
        </row>
        <row r="2856">
          <cell r="A2856" t="str">
            <v>TZIMUYH5</v>
          </cell>
          <cell r="B2856" t="str">
            <v>TZIMUYH</v>
          </cell>
        </row>
        <row r="2857">
          <cell r="A2857" t="str">
            <v>TZIMUYH6</v>
          </cell>
          <cell r="B2857" t="str">
            <v>TZIMUYH</v>
          </cell>
        </row>
        <row r="2858">
          <cell r="A2858" t="str">
            <v>TZIMUYH7</v>
          </cell>
          <cell r="B2858" t="str">
            <v>TZIMUYH</v>
          </cell>
        </row>
        <row r="2859">
          <cell r="A2859" t="str">
            <v>TZIMUYH8</v>
          </cell>
          <cell r="B2859" t="str">
            <v>TZIMUYH</v>
          </cell>
        </row>
        <row r="2860">
          <cell r="A2860" t="str">
            <v>TZIMUYH9</v>
          </cell>
          <cell r="B2860" t="str">
            <v>TZIMUYH</v>
          </cell>
        </row>
        <row r="2861">
          <cell r="A2861" t="str">
            <v>VOGUEYH1</v>
          </cell>
          <cell r="B2861" t="str">
            <v>TZIMUYH</v>
          </cell>
        </row>
        <row r="2862">
          <cell r="A2862" t="str">
            <v>VOGUEYH2</v>
          </cell>
          <cell r="B2862" t="str">
            <v>TZIMUYH</v>
          </cell>
        </row>
        <row r="2863">
          <cell r="A2863" t="str">
            <v>VOGUEYH3</v>
          </cell>
          <cell r="B2863" t="str">
            <v>TZIMUYH</v>
          </cell>
        </row>
        <row r="2864">
          <cell r="A2864" t="str">
            <v>VOGUEYH4</v>
          </cell>
          <cell r="B2864" t="str">
            <v>VOGUEYH</v>
          </cell>
        </row>
        <row r="2865">
          <cell r="A2865" t="str">
            <v>WJBLYH0</v>
          </cell>
          <cell r="B2865" t="str">
            <v>VOGUEYH</v>
          </cell>
        </row>
        <row r="2866">
          <cell r="A2866" t="str">
            <v>WJBLYH1</v>
          </cell>
          <cell r="B2866" t="str">
            <v>VOGUEYH</v>
          </cell>
        </row>
        <row r="2867">
          <cell r="A2867" t="str">
            <v>WJBLYH2</v>
          </cell>
          <cell r="B2867" t="str">
            <v>VOGUEYH</v>
          </cell>
        </row>
        <row r="2868">
          <cell r="A2868" t="str">
            <v>WJBLYH3</v>
          </cell>
          <cell r="B2868" t="str">
            <v>WJBLYH</v>
          </cell>
        </row>
        <row r="2869">
          <cell r="A2869" t="str">
            <v>WJBLYH4</v>
          </cell>
          <cell r="B2869" t="str">
            <v>WJBLYH</v>
          </cell>
        </row>
        <row r="2870">
          <cell r="A2870" t="str">
            <v>WJBLYH5</v>
          </cell>
          <cell r="B2870" t="str">
            <v>WJBLYH</v>
          </cell>
        </row>
        <row r="2871">
          <cell r="A2871" t="str">
            <v>WJBLYH6</v>
          </cell>
          <cell r="B2871" t="str">
            <v>WJBLYH</v>
          </cell>
        </row>
        <row r="2872">
          <cell r="A2872" t="str">
            <v>WJBLYH7</v>
          </cell>
          <cell r="B2872" t="str">
            <v>WJBLYH</v>
          </cell>
        </row>
        <row r="2873">
          <cell r="A2873" t="str">
            <v>WJBLYH8</v>
          </cell>
          <cell r="B2873" t="str">
            <v>WJBLYH</v>
          </cell>
        </row>
        <row r="2874">
          <cell r="A2874" t="str">
            <v>WJBLYH9</v>
          </cell>
          <cell r="B2874" t="str">
            <v>WJBLYH</v>
          </cell>
        </row>
        <row r="2875">
          <cell r="A2875" t="str">
            <v>WMLBKHSD2XL</v>
          </cell>
          <cell r="B2875" t="str">
            <v>WJBLYH</v>
          </cell>
        </row>
        <row r="2876">
          <cell r="A2876" t="str">
            <v>WMLBKHSDL</v>
          </cell>
          <cell r="B2876" t="str">
            <v>WJBLYH</v>
          </cell>
        </row>
        <row r="2877">
          <cell r="A2877" t="str">
            <v>WMLBKHSDM</v>
          </cell>
          <cell r="B2877" t="str">
            <v>WJBLYH</v>
          </cell>
        </row>
        <row r="2878">
          <cell r="A2878" t="str">
            <v>WMLBKHSDS</v>
          </cell>
          <cell r="B2878" t="str">
            <v>WMLBK</v>
          </cell>
        </row>
        <row r="2879">
          <cell r="A2879" t="str">
            <v>WMLBKHSDXL</v>
          </cell>
          <cell r="B2879" t="str">
            <v>WMLBK</v>
          </cell>
        </row>
        <row r="2880">
          <cell r="A2880" t="str">
            <v>WMLBKK02XL</v>
          </cell>
          <cell r="B2880" t="str">
            <v>WMLBK</v>
          </cell>
        </row>
        <row r="2881">
          <cell r="A2881" t="str">
            <v>WMLBKK0L</v>
          </cell>
          <cell r="B2881" t="str">
            <v>WMLBK</v>
          </cell>
        </row>
        <row r="2882">
          <cell r="A2882" t="str">
            <v>WMLBKK0M</v>
          </cell>
          <cell r="B2882" t="str">
            <v>WMLBK</v>
          </cell>
        </row>
        <row r="2883">
          <cell r="A2883" t="str">
            <v>WMLBKK0S</v>
          </cell>
          <cell r="B2883" t="str">
            <v>WMLBK</v>
          </cell>
        </row>
        <row r="2884">
          <cell r="A2884" t="str">
            <v>WMLBKK0XL</v>
          </cell>
          <cell r="B2884" t="str">
            <v>WMLBK</v>
          </cell>
        </row>
        <row r="2885">
          <cell r="A2885" t="str">
            <v>WSWYCK0L</v>
          </cell>
          <cell r="B2885" t="str">
            <v>WMLBK</v>
          </cell>
        </row>
        <row r="2886">
          <cell r="A2886" t="str">
            <v>WSWYCK0M</v>
          </cell>
          <cell r="B2886" t="str">
            <v>WMLBK</v>
          </cell>
        </row>
        <row r="2887">
          <cell r="A2887" t="str">
            <v>WSWYCK0S</v>
          </cell>
          <cell r="B2887" t="str">
            <v>WMLBK</v>
          </cell>
        </row>
        <row r="2888">
          <cell r="A2888" t="str">
            <v>WSWYCK0XL</v>
          </cell>
          <cell r="B2888" t="str">
            <v>WSWYC</v>
          </cell>
        </row>
        <row r="2889">
          <cell r="A2889" t="str">
            <v>WSWYDK0L</v>
          </cell>
          <cell r="B2889" t="str">
            <v>WSWYC</v>
          </cell>
        </row>
        <row r="2890">
          <cell r="A2890" t="str">
            <v>WSWYDK0M</v>
          </cell>
          <cell r="B2890" t="str">
            <v>WSWYC</v>
          </cell>
        </row>
        <row r="2891">
          <cell r="A2891" t="str">
            <v>WSWYDK0S</v>
          </cell>
          <cell r="B2891" t="str">
            <v>WSWYC</v>
          </cell>
        </row>
        <row r="2892">
          <cell r="A2892" t="str">
            <v>WSWYDK0XL</v>
          </cell>
          <cell r="B2892" t="str">
            <v>WSWYD</v>
          </cell>
        </row>
        <row r="2893">
          <cell r="A2893" t="str">
            <v>WSWYHK0L</v>
          </cell>
          <cell r="B2893" t="str">
            <v>WSWYD</v>
          </cell>
        </row>
        <row r="2894">
          <cell r="A2894" t="str">
            <v>WSWYHK0M</v>
          </cell>
          <cell r="B2894" t="str">
            <v>WSWYD</v>
          </cell>
        </row>
        <row r="2895">
          <cell r="A2895" t="str">
            <v>WSWYHK0S</v>
          </cell>
          <cell r="B2895" t="str">
            <v>WSWYD</v>
          </cell>
        </row>
        <row r="2896">
          <cell r="A2896" t="str">
            <v>WSWYHK0XL</v>
          </cell>
          <cell r="B2896" t="str">
            <v>WSWYH</v>
          </cell>
        </row>
        <row r="2897">
          <cell r="A2897" t="str">
            <v>WSWYJK0L</v>
          </cell>
          <cell r="B2897" t="str">
            <v>WSWYH</v>
          </cell>
        </row>
        <row r="2898">
          <cell r="A2898" t="str">
            <v>WSWYJK0M</v>
          </cell>
          <cell r="B2898" t="str">
            <v>WSWYH</v>
          </cell>
        </row>
        <row r="2899">
          <cell r="A2899" t="str">
            <v>WSWYJK0S</v>
          </cell>
          <cell r="B2899" t="str">
            <v>WSWYH</v>
          </cell>
        </row>
        <row r="2900">
          <cell r="A2900" t="str">
            <v>WSWYJK0XL</v>
          </cell>
          <cell r="B2900" t="str">
            <v>WSWYJ</v>
          </cell>
        </row>
        <row r="2901">
          <cell r="A2901" t="str">
            <v>WSWYKR0L</v>
          </cell>
          <cell r="B2901" t="str">
            <v>WSWYJ</v>
          </cell>
        </row>
        <row r="2902">
          <cell r="A2902" t="str">
            <v>WSWYKR0M</v>
          </cell>
          <cell r="B2902" t="str">
            <v>WSWYJ</v>
          </cell>
        </row>
        <row r="2903">
          <cell r="A2903" t="str">
            <v>WSWYKR0S</v>
          </cell>
          <cell r="B2903" t="str">
            <v>WSWYJ</v>
          </cell>
        </row>
        <row r="2904">
          <cell r="A2904" t="str">
            <v>WSWYKR0XL</v>
          </cell>
          <cell r="B2904" t="str">
            <v>WSWYK</v>
          </cell>
        </row>
        <row r="2905">
          <cell r="A2905" t="str">
            <v>WSWYMK0L</v>
          </cell>
          <cell r="B2905" t="str">
            <v>WSWYK</v>
          </cell>
        </row>
        <row r="2906">
          <cell r="A2906" t="str">
            <v>WSWYMK0M</v>
          </cell>
          <cell r="B2906" t="str">
            <v>WSWYK</v>
          </cell>
        </row>
        <row r="2907">
          <cell r="A2907" t="str">
            <v>WSWYMK0S</v>
          </cell>
          <cell r="B2907" t="str">
            <v>WSWYK</v>
          </cell>
        </row>
        <row r="2908">
          <cell r="A2908" t="str">
            <v>WSWYMK0XL</v>
          </cell>
          <cell r="B2908" t="str">
            <v>WSWYM</v>
          </cell>
        </row>
        <row r="2909">
          <cell r="A2909" t="str">
            <v>WSWYNK0L</v>
          </cell>
          <cell r="B2909" t="str">
            <v>WSWYM</v>
          </cell>
        </row>
        <row r="2910">
          <cell r="A2910" t="str">
            <v>WSWYNK0M</v>
          </cell>
          <cell r="B2910" t="str">
            <v>WSWYM</v>
          </cell>
        </row>
        <row r="2911">
          <cell r="A2911" t="str">
            <v>WSWYNK0S</v>
          </cell>
          <cell r="B2911" t="str">
            <v>WSWYM</v>
          </cell>
        </row>
        <row r="2912">
          <cell r="A2912" t="str">
            <v>WSWYNK0XL</v>
          </cell>
          <cell r="B2912" t="str">
            <v>WSWYN</v>
          </cell>
        </row>
        <row r="2913">
          <cell r="A2913" t="str">
            <v>WSWYTK0L</v>
          </cell>
          <cell r="B2913" t="str">
            <v>WSWYN</v>
          </cell>
        </row>
        <row r="2914">
          <cell r="A2914" t="str">
            <v>WSWYTK0M</v>
          </cell>
          <cell r="B2914" t="str">
            <v>WSWYN</v>
          </cell>
        </row>
        <row r="2915">
          <cell r="A2915" t="str">
            <v>WSWYTK0S</v>
          </cell>
          <cell r="B2915" t="str">
            <v>WSWYN</v>
          </cell>
        </row>
        <row r="2916">
          <cell r="A2916" t="str">
            <v>WSWYTK0XL</v>
          </cell>
          <cell r="B2916" t="str">
            <v>WSWYT</v>
          </cell>
        </row>
        <row r="2917">
          <cell r="A2917" t="str">
            <v>WSWYWK0L</v>
          </cell>
          <cell r="B2917" t="str">
            <v>WSWYT</v>
          </cell>
        </row>
        <row r="2918">
          <cell r="A2918" t="str">
            <v>WSWYWK0M</v>
          </cell>
          <cell r="B2918" t="str">
            <v>WSWYT</v>
          </cell>
        </row>
        <row r="2919">
          <cell r="A2919" t="str">
            <v>WSWYWK0S</v>
          </cell>
          <cell r="B2919" t="str">
            <v>WSWYT</v>
          </cell>
        </row>
        <row r="2920">
          <cell r="A2920" t="str">
            <v>WSWYWK0XL</v>
          </cell>
          <cell r="B2920" t="str">
            <v>WSWYW</v>
          </cell>
        </row>
        <row r="2921">
          <cell r="A2921" t="str">
            <v>WSWYXR0L</v>
          </cell>
          <cell r="B2921" t="str">
            <v>WSWYW</v>
          </cell>
        </row>
        <row r="2922">
          <cell r="A2922" t="str">
            <v>WSWYXR0M</v>
          </cell>
          <cell r="B2922" t="str">
            <v>WSWYW</v>
          </cell>
        </row>
        <row r="2923">
          <cell r="A2923" t="str">
            <v>WSWYXR0S</v>
          </cell>
          <cell r="B2923" t="str">
            <v>WSWYW</v>
          </cell>
        </row>
        <row r="2924">
          <cell r="A2924" t="str">
            <v>WSWYXR0XL</v>
          </cell>
          <cell r="B2924" t="str">
            <v>WSWYX</v>
          </cell>
        </row>
        <row r="2925">
          <cell r="A2925" t="str">
            <v>WYL2012HS1M</v>
          </cell>
          <cell r="B2925" t="str">
            <v>WSWYX</v>
          </cell>
        </row>
        <row r="2926">
          <cell r="A2926" t="str">
            <v>WYL2012HS2M</v>
          </cell>
          <cell r="B2926" t="str">
            <v>WSWYX</v>
          </cell>
        </row>
        <row r="2927">
          <cell r="A2927" t="str">
            <v>WYL2012HS3M</v>
          </cell>
          <cell r="B2927" t="str">
            <v>WSWYX</v>
          </cell>
        </row>
        <row r="2928">
          <cell r="A2928" t="str">
            <v>WYL2012HS4M</v>
          </cell>
          <cell r="B2928" t="str">
            <v>WYL2012</v>
          </cell>
        </row>
        <row r="2929">
          <cell r="A2929" t="str">
            <v>WYL2012HS5M</v>
          </cell>
          <cell r="B2929" t="str">
            <v>WYL2012</v>
          </cell>
        </row>
        <row r="2930">
          <cell r="A2930" t="str">
            <v>WYL2031HS1M</v>
          </cell>
          <cell r="B2930" t="str">
            <v>WYL2012</v>
          </cell>
        </row>
        <row r="2931">
          <cell r="A2931" t="str">
            <v>WYL2031HS2M</v>
          </cell>
          <cell r="B2931" t="str">
            <v>WYL2012</v>
          </cell>
        </row>
        <row r="2932">
          <cell r="A2932" t="str">
            <v>WYL2031HS3M</v>
          </cell>
          <cell r="B2932" t="str">
            <v>WYL2012</v>
          </cell>
        </row>
        <row r="2933">
          <cell r="A2933" t="str">
            <v>WYL2031HS4M</v>
          </cell>
          <cell r="B2933" t="str">
            <v>WYL2031</v>
          </cell>
        </row>
        <row r="2934">
          <cell r="A2934" t="str">
            <v>WYL2031HS5M</v>
          </cell>
          <cell r="B2934" t="str">
            <v>WYL2031</v>
          </cell>
        </row>
        <row r="2935">
          <cell r="A2935" t="str">
            <v>WYLHSHS1M</v>
          </cell>
          <cell r="B2935" t="str">
            <v>WYL2031</v>
          </cell>
        </row>
        <row r="2936">
          <cell r="A2936" t="str">
            <v>WYLHSHS2M</v>
          </cell>
          <cell r="B2936" t="str">
            <v>WYL2031</v>
          </cell>
        </row>
        <row r="2937">
          <cell r="A2937" t="str">
            <v>WYLHSHS3M</v>
          </cell>
          <cell r="B2937" t="str">
            <v>WYL2031</v>
          </cell>
        </row>
        <row r="2938">
          <cell r="A2938" t="str">
            <v>WYLHSHS4M</v>
          </cell>
          <cell r="B2938" t="str">
            <v>WYLHS</v>
          </cell>
        </row>
        <row r="2939">
          <cell r="A2939" t="str">
            <v>WYS1007HS1M</v>
          </cell>
          <cell r="B2939" t="str">
            <v>WYLHS</v>
          </cell>
        </row>
        <row r="2940">
          <cell r="A2940" t="str">
            <v>WYS1007HS2M</v>
          </cell>
          <cell r="B2940" t="str">
            <v>WYLHS</v>
          </cell>
        </row>
        <row r="2941">
          <cell r="A2941" t="str">
            <v>WYS1007HS3M</v>
          </cell>
          <cell r="B2941" t="str">
            <v>WYLHS</v>
          </cell>
        </row>
        <row r="2942">
          <cell r="A2942" t="str">
            <v>WYS1007HS4M</v>
          </cell>
          <cell r="B2942" t="str">
            <v>WYS1007</v>
          </cell>
        </row>
        <row r="2943">
          <cell r="A2943" t="str">
            <v>WYS1007HS5M</v>
          </cell>
          <cell r="B2943" t="str">
            <v>WYS1007</v>
          </cell>
        </row>
        <row r="2944">
          <cell r="A2944" t="str">
            <v>WYS1018HS1M</v>
          </cell>
          <cell r="B2944" t="str">
            <v>WYS1007</v>
          </cell>
        </row>
        <row r="2945">
          <cell r="A2945" t="str">
            <v>WYS1018HS2M</v>
          </cell>
          <cell r="B2945" t="str">
            <v>WYS1007</v>
          </cell>
        </row>
        <row r="2946">
          <cell r="A2946" t="str">
            <v>WYS1018HS3M</v>
          </cell>
          <cell r="B2946" t="str">
            <v>WYS1007</v>
          </cell>
        </row>
        <row r="2947">
          <cell r="A2947" t="str">
            <v>WYS1018HS4M</v>
          </cell>
          <cell r="B2947" t="str">
            <v>WYS1018</v>
          </cell>
        </row>
        <row r="2948">
          <cell r="A2948" t="str">
            <v>WYS1026HS1M</v>
          </cell>
          <cell r="B2948" t="str">
            <v>WYS1018</v>
          </cell>
        </row>
        <row r="2949">
          <cell r="A2949" t="str">
            <v>WYS1026HS2M</v>
          </cell>
          <cell r="B2949" t="str">
            <v>WYS1018</v>
          </cell>
        </row>
        <row r="2950">
          <cell r="A2950" t="str">
            <v>WYS1026HS3M</v>
          </cell>
          <cell r="B2950" t="str">
            <v>WYS1018</v>
          </cell>
        </row>
        <row r="2951">
          <cell r="A2951" t="str">
            <v>WYS1026HS4M</v>
          </cell>
          <cell r="B2951" t="str">
            <v>WYS1026</v>
          </cell>
        </row>
        <row r="2952">
          <cell r="A2952" t="str">
            <v>WYS1026HS5M</v>
          </cell>
          <cell r="B2952" t="str">
            <v>WYS1026</v>
          </cell>
        </row>
        <row r="2953">
          <cell r="A2953" t="str">
            <v>WYS1038HS1M</v>
          </cell>
          <cell r="B2953" t="str">
            <v>WYS1026</v>
          </cell>
        </row>
        <row r="2954">
          <cell r="A2954" t="str">
            <v>WYS1038HS2M</v>
          </cell>
          <cell r="B2954" t="str">
            <v>WYS1026</v>
          </cell>
        </row>
        <row r="2955">
          <cell r="A2955" t="str">
            <v>WYS1038HS3M</v>
          </cell>
          <cell r="B2955" t="str">
            <v>WYS1026</v>
          </cell>
        </row>
        <row r="2956">
          <cell r="A2956" t="str">
            <v>WYS1038HS4M</v>
          </cell>
          <cell r="B2956" t="str">
            <v>WYS1038</v>
          </cell>
        </row>
        <row r="2957">
          <cell r="A2957" t="str">
            <v>WYS1038HS5M</v>
          </cell>
          <cell r="B2957" t="str">
            <v>WYS1038</v>
          </cell>
        </row>
        <row r="2958">
          <cell r="A2958" t="str">
            <v>WYS1091HS1M</v>
          </cell>
          <cell r="B2958" t="str">
            <v>WYS1038</v>
          </cell>
        </row>
        <row r="2959">
          <cell r="A2959" t="str">
            <v>WYS1091HS2M</v>
          </cell>
          <cell r="B2959" t="str">
            <v>WYS1038</v>
          </cell>
        </row>
        <row r="2960">
          <cell r="A2960" t="str">
            <v>WYS1091HS3M</v>
          </cell>
          <cell r="B2960" t="str">
            <v>WYS1038</v>
          </cell>
        </row>
        <row r="2961">
          <cell r="A2961" t="str">
            <v>WYS1091HS4M</v>
          </cell>
          <cell r="B2961" t="str">
            <v>WYS1091</v>
          </cell>
        </row>
        <row r="2962">
          <cell r="A2962" t="str">
            <v>WYS1105HS1M</v>
          </cell>
          <cell r="B2962" t="str">
            <v>WYS1091</v>
          </cell>
        </row>
        <row r="2963">
          <cell r="A2963" t="str">
            <v>WYS1105HS2M</v>
          </cell>
          <cell r="B2963" t="str">
            <v>WYS1091</v>
          </cell>
        </row>
        <row r="2964">
          <cell r="A2964" t="str">
            <v>WYS1105HS3M</v>
          </cell>
          <cell r="B2964" t="str">
            <v>WYS1091</v>
          </cell>
        </row>
        <row r="2965">
          <cell r="A2965" t="str">
            <v>WYS1105HS4M</v>
          </cell>
          <cell r="B2965" t="str">
            <v>WYS1105</v>
          </cell>
        </row>
        <row r="2966">
          <cell r="A2966" t="str">
            <v>WYS1105HS5M</v>
          </cell>
          <cell r="B2966" t="str">
            <v>WYS1105</v>
          </cell>
        </row>
        <row r="2967">
          <cell r="A2967" t="str">
            <v>WYS1106HS1M</v>
          </cell>
          <cell r="B2967" t="str">
            <v>WYS1105</v>
          </cell>
        </row>
        <row r="2968">
          <cell r="A2968" t="str">
            <v>WYS1106HS2M</v>
          </cell>
          <cell r="B2968" t="str">
            <v>WYS1105</v>
          </cell>
        </row>
        <row r="2969">
          <cell r="A2969" t="str">
            <v>WYS1106HS3M</v>
          </cell>
          <cell r="B2969" t="str">
            <v>WYS1105</v>
          </cell>
        </row>
        <row r="2970">
          <cell r="A2970" t="str">
            <v>WYS1106HS4M</v>
          </cell>
          <cell r="B2970" t="str">
            <v>WYS1106</v>
          </cell>
        </row>
        <row r="2971">
          <cell r="A2971" t="str">
            <v>WYS1106HS5M</v>
          </cell>
          <cell r="B2971" t="str">
            <v>WYS1106</v>
          </cell>
        </row>
        <row r="2972">
          <cell r="A2972" t="str">
            <v>WYSHSHS1M</v>
          </cell>
          <cell r="B2972" t="str">
            <v>WYS1106</v>
          </cell>
        </row>
        <row r="2973">
          <cell r="A2973" t="str">
            <v>WYSHSHS2M</v>
          </cell>
          <cell r="B2973" t="str">
            <v>WYS1106</v>
          </cell>
        </row>
        <row r="2974">
          <cell r="A2974" t="str">
            <v>WYSHSHS3M</v>
          </cell>
          <cell r="B2974" t="str">
            <v>WYS1106</v>
          </cell>
        </row>
        <row r="2975">
          <cell r="A2975" t="str">
            <v>WYSHSHS4M</v>
          </cell>
          <cell r="B2975" t="str">
            <v>WYSHS</v>
          </cell>
        </row>
        <row r="2976">
          <cell r="A2976" t="str">
            <v>WYSHSHS5M</v>
          </cell>
          <cell r="B2976" t="str">
            <v>WYSHS</v>
          </cell>
        </row>
        <row r="2977">
          <cell r="A2977" t="str">
            <v>WYSHSHS6M</v>
          </cell>
          <cell r="B2977" t="str">
            <v>WYSHS</v>
          </cell>
        </row>
        <row r="2978">
          <cell r="A2978" t="str">
            <v>WYSHSHS7M</v>
          </cell>
          <cell r="B2978" t="str">
            <v>WYSHS</v>
          </cell>
        </row>
        <row r="2979">
          <cell r="A2979" t="str">
            <v>XGNWK0</v>
          </cell>
          <cell r="B2979" t="str">
            <v>WYSHS</v>
          </cell>
        </row>
        <row r="2980">
          <cell r="A2980" t="str">
            <v>XHBTSW0</v>
          </cell>
          <cell r="B2980" t="str">
            <v>WYSHS</v>
          </cell>
        </row>
        <row r="2981">
          <cell r="A2981" t="str">
            <v>XHMZR0</v>
          </cell>
          <cell r="B2981" t="str">
            <v>WYSHS</v>
          </cell>
        </row>
        <row r="2982">
          <cell r="A2982" t="str">
            <v>XJMTSW0</v>
          </cell>
          <cell r="B2982" t="str">
            <v>XGNW</v>
          </cell>
        </row>
        <row r="2983">
          <cell r="A2983" t="str">
            <v>XNMYGB2XL</v>
          </cell>
          <cell r="B2983" t="str">
            <v>XHBTS</v>
          </cell>
        </row>
        <row r="2984">
          <cell r="A2984" t="str">
            <v>XNMYGB3XL</v>
          </cell>
          <cell r="B2984" t="str">
            <v>XHMZ</v>
          </cell>
        </row>
        <row r="2985">
          <cell r="A2985" t="str">
            <v>XNMYGB4XL</v>
          </cell>
          <cell r="B2985" t="str">
            <v>XJMTS</v>
          </cell>
        </row>
        <row r="2986">
          <cell r="A2986" t="str">
            <v>XNMYGB5XL</v>
          </cell>
          <cell r="B2986" t="str">
            <v>XNMY</v>
          </cell>
        </row>
        <row r="2987">
          <cell r="A2987" t="str">
            <v>XNMYGBL</v>
          </cell>
          <cell r="B2987" t="str">
            <v>XNMY</v>
          </cell>
        </row>
        <row r="2988">
          <cell r="A2988" t="str">
            <v>XNMYGBM</v>
          </cell>
          <cell r="B2988" t="str">
            <v>XNMY</v>
          </cell>
        </row>
        <row r="2989">
          <cell r="A2989" t="str">
            <v>XNMYGBXL</v>
          </cell>
          <cell r="B2989" t="str">
            <v>XNMY</v>
          </cell>
        </row>
        <row r="2990">
          <cell r="A2990" t="str">
            <v>XNMYK02XL</v>
          </cell>
          <cell r="B2990" t="str">
            <v>XNMY</v>
          </cell>
        </row>
        <row r="2991">
          <cell r="A2991" t="str">
            <v>XNMYK03XL</v>
          </cell>
          <cell r="B2991" t="str">
            <v>XNMY</v>
          </cell>
        </row>
        <row r="2992">
          <cell r="A2992" t="str">
            <v>XNMYK04XL</v>
          </cell>
          <cell r="B2992" t="str">
            <v>XNMY</v>
          </cell>
        </row>
        <row r="2993">
          <cell r="A2993" t="str">
            <v>XNMYK05XL</v>
          </cell>
          <cell r="B2993" t="str">
            <v>XNMY</v>
          </cell>
        </row>
        <row r="2994">
          <cell r="A2994" t="str">
            <v>XNMYK0L</v>
          </cell>
          <cell r="B2994" t="str">
            <v>XNMY</v>
          </cell>
        </row>
        <row r="2995">
          <cell r="A2995" t="str">
            <v>XNMYK0M</v>
          </cell>
          <cell r="B2995" t="str">
            <v>XNMY</v>
          </cell>
        </row>
        <row r="2996">
          <cell r="A2996" t="str">
            <v>XNMYK0XL</v>
          </cell>
          <cell r="B2996" t="str">
            <v>XNMY</v>
          </cell>
        </row>
        <row r="2997">
          <cell r="A2997" t="str">
            <v>XNMYTL2XL</v>
          </cell>
          <cell r="B2997" t="str">
            <v>XNMY</v>
          </cell>
        </row>
        <row r="2998">
          <cell r="A2998" t="str">
            <v>XNMYTL3XL</v>
          </cell>
          <cell r="B2998" t="str">
            <v>XNMY</v>
          </cell>
        </row>
        <row r="2999">
          <cell r="A2999" t="str">
            <v>XNMYTL4XL</v>
          </cell>
          <cell r="B2999" t="str">
            <v>XNMY</v>
          </cell>
        </row>
        <row r="3000">
          <cell r="A3000" t="str">
            <v>XNMYTL5XL</v>
          </cell>
          <cell r="B3000" t="str">
            <v>XNMY</v>
          </cell>
        </row>
        <row r="3001">
          <cell r="A3001" t="str">
            <v>XNMYTLL</v>
          </cell>
          <cell r="B3001" t="str">
            <v>XNMY</v>
          </cell>
        </row>
        <row r="3002">
          <cell r="A3002" t="str">
            <v>XNMYTLM</v>
          </cell>
          <cell r="B3002" t="str">
            <v>XNMY</v>
          </cell>
        </row>
        <row r="3003">
          <cell r="A3003" t="str">
            <v>XNMYTLXL</v>
          </cell>
          <cell r="B3003" t="str">
            <v>XNMY</v>
          </cell>
        </row>
        <row r="3004">
          <cell r="A3004" t="str">
            <v>XNMYW02XL</v>
          </cell>
          <cell r="B3004" t="str">
            <v>XNMY</v>
          </cell>
        </row>
        <row r="3005">
          <cell r="A3005" t="str">
            <v>XNMYW03XL</v>
          </cell>
          <cell r="B3005" t="str">
            <v>XNMY</v>
          </cell>
        </row>
        <row r="3006">
          <cell r="A3006" t="str">
            <v>XNMYW04XL</v>
          </cell>
          <cell r="B3006" t="str">
            <v>XNMY</v>
          </cell>
        </row>
        <row r="3007">
          <cell r="A3007" t="str">
            <v>XNMYW05XL</v>
          </cell>
          <cell r="B3007" t="str">
            <v>XNMY</v>
          </cell>
        </row>
        <row r="3008">
          <cell r="A3008" t="str">
            <v>XNMYW0L</v>
          </cell>
          <cell r="B3008" t="str">
            <v>XNMY</v>
          </cell>
        </row>
        <row r="3009">
          <cell r="A3009" t="str">
            <v>XNMYW0M</v>
          </cell>
          <cell r="B3009" t="str">
            <v>XNMY</v>
          </cell>
        </row>
        <row r="3010">
          <cell r="A3010" t="str">
            <v>XNMYW0XL</v>
          </cell>
          <cell r="B3010" t="str">
            <v>XNMY</v>
          </cell>
        </row>
        <row r="3011">
          <cell r="A3011" t="str">
            <v>XNMYZQ2XL</v>
          </cell>
          <cell r="B3011" t="str">
            <v>XNMY</v>
          </cell>
        </row>
        <row r="3012">
          <cell r="A3012" t="str">
            <v>XNMYZQ3XL</v>
          </cell>
          <cell r="B3012" t="str">
            <v>XNMY</v>
          </cell>
        </row>
        <row r="3013">
          <cell r="A3013" t="str">
            <v>XNMYZQ4XL</v>
          </cell>
          <cell r="B3013" t="str">
            <v>XNMY</v>
          </cell>
        </row>
        <row r="3014">
          <cell r="A3014" t="str">
            <v>XNMYZQ5XL</v>
          </cell>
          <cell r="B3014" t="str">
            <v>XNMY</v>
          </cell>
        </row>
        <row r="3015">
          <cell r="A3015" t="str">
            <v>XNMYZQL</v>
          </cell>
          <cell r="B3015" t="str">
            <v>XNMY</v>
          </cell>
        </row>
        <row r="3016">
          <cell r="A3016" t="str">
            <v>XNMYZQM</v>
          </cell>
          <cell r="B3016" t="str">
            <v>XNMY</v>
          </cell>
        </row>
        <row r="3017">
          <cell r="A3017" t="str">
            <v>XNMYZQXL</v>
          </cell>
          <cell r="B3017" t="str">
            <v>XNMY</v>
          </cell>
        </row>
        <row r="3018">
          <cell r="A3018" t="str">
            <v>XNNSW0</v>
          </cell>
          <cell r="B3018" t="str">
            <v>XNMY</v>
          </cell>
        </row>
        <row r="3019">
          <cell r="A3019" t="str">
            <v>XSBXJSL</v>
          </cell>
          <cell r="B3019" t="str">
            <v>XNMY</v>
          </cell>
        </row>
        <row r="3020">
          <cell r="A3020" t="str">
            <v>XSBXJSM</v>
          </cell>
          <cell r="B3020" t="str">
            <v>XNMY</v>
          </cell>
        </row>
        <row r="3021">
          <cell r="A3021" t="str">
            <v>XSBXJSS</v>
          </cell>
          <cell r="B3021" t="str">
            <v>XNNS</v>
          </cell>
        </row>
        <row r="3022">
          <cell r="A3022" t="str">
            <v>XSBXP0L</v>
          </cell>
          <cell r="B3022" t="str">
            <v>XSBX</v>
          </cell>
        </row>
        <row r="3023">
          <cell r="A3023" t="str">
            <v>XSBXP0M</v>
          </cell>
          <cell r="B3023" t="str">
            <v>XSBX</v>
          </cell>
        </row>
        <row r="3024">
          <cell r="A3024" t="str">
            <v>XSBXP0S</v>
          </cell>
          <cell r="B3024" t="str">
            <v>XSBX</v>
          </cell>
        </row>
        <row r="3025">
          <cell r="A3025" t="str">
            <v>XSBXW0L</v>
          </cell>
          <cell r="B3025" t="str">
            <v>XSBX</v>
          </cell>
        </row>
        <row r="3026">
          <cell r="A3026" t="str">
            <v>XSBXW0M</v>
          </cell>
          <cell r="B3026" t="str">
            <v>XSBX</v>
          </cell>
        </row>
        <row r="3027">
          <cell r="A3027" t="str">
            <v>XSBXW0S</v>
          </cell>
          <cell r="B3027" t="str">
            <v>XSBX</v>
          </cell>
        </row>
        <row r="3028">
          <cell r="A3028" t="str">
            <v>XTHOK0A</v>
          </cell>
          <cell r="B3028" t="str">
            <v>XSBX</v>
          </cell>
        </row>
        <row r="3029">
          <cell r="A3029" t="str">
            <v>XTHOK0B</v>
          </cell>
          <cell r="B3029" t="str">
            <v>XSBX</v>
          </cell>
        </row>
        <row r="3030">
          <cell r="A3030" t="str">
            <v>XTHOK0C</v>
          </cell>
          <cell r="B3030" t="str">
            <v>XSBX</v>
          </cell>
        </row>
        <row r="3031">
          <cell r="A3031" t="str">
            <v>XTHOK0D</v>
          </cell>
          <cell r="B3031" t="str">
            <v>XTHO</v>
          </cell>
        </row>
        <row r="3032">
          <cell r="A3032" t="str">
            <v>XTHOXSA</v>
          </cell>
          <cell r="B3032" t="str">
            <v>XTHO</v>
          </cell>
        </row>
        <row r="3033">
          <cell r="A3033" t="str">
            <v>XTHOXSB</v>
          </cell>
          <cell r="B3033" t="str">
            <v>XTHO</v>
          </cell>
        </row>
        <row r="3034">
          <cell r="A3034" t="str">
            <v>XTHOXSC</v>
          </cell>
          <cell r="B3034" t="str">
            <v>XTHO</v>
          </cell>
        </row>
        <row r="3035">
          <cell r="A3035" t="str">
            <v>XTHOXSD</v>
          </cell>
          <cell r="B3035" t="str">
            <v>XTHO</v>
          </cell>
        </row>
        <row r="3036">
          <cell r="A3036" t="str">
            <v>XTHQB0A</v>
          </cell>
          <cell r="B3036" t="str">
            <v>XTHO</v>
          </cell>
        </row>
        <row r="3037">
          <cell r="A3037" t="str">
            <v>XTHQB0B</v>
          </cell>
          <cell r="B3037" t="str">
            <v>XTHO</v>
          </cell>
        </row>
        <row r="3038">
          <cell r="A3038" t="str">
            <v>XTHQB0C</v>
          </cell>
          <cell r="B3038" t="str">
            <v>XTHO</v>
          </cell>
        </row>
        <row r="3039">
          <cell r="A3039" t="str">
            <v>XTHQB0D</v>
          </cell>
          <cell r="B3039" t="str">
            <v>XTHQ</v>
          </cell>
        </row>
        <row r="3040">
          <cell r="A3040" t="str">
            <v>XTHQK0A</v>
          </cell>
          <cell r="B3040" t="str">
            <v>XTHQ</v>
          </cell>
        </row>
        <row r="3041">
          <cell r="A3041" t="str">
            <v>XTHQK0B</v>
          </cell>
          <cell r="B3041" t="str">
            <v>XTHQ</v>
          </cell>
        </row>
        <row r="3042">
          <cell r="A3042" t="str">
            <v>XTHQK0C</v>
          </cell>
          <cell r="B3042" t="str">
            <v>XTHQ</v>
          </cell>
        </row>
        <row r="3043">
          <cell r="A3043" t="str">
            <v>XTHQK0D</v>
          </cell>
          <cell r="B3043" t="str">
            <v>XTHQ</v>
          </cell>
        </row>
        <row r="3044">
          <cell r="A3044" t="str">
            <v>XTHQR5A</v>
          </cell>
          <cell r="B3044" t="str">
            <v>XTHQ</v>
          </cell>
        </row>
        <row r="3045">
          <cell r="A3045" t="str">
            <v>XTHQR5B</v>
          </cell>
          <cell r="B3045" t="str">
            <v>XTHQ</v>
          </cell>
        </row>
        <row r="3046">
          <cell r="A3046" t="str">
            <v>XTHQR5C</v>
          </cell>
          <cell r="B3046" t="str">
            <v>XTHQ</v>
          </cell>
        </row>
        <row r="3047">
          <cell r="A3047" t="str">
            <v>XTHQR5D</v>
          </cell>
          <cell r="B3047" t="str">
            <v>XTHQ</v>
          </cell>
        </row>
        <row r="3048">
          <cell r="A3048" t="str">
            <v>XTHQXSA</v>
          </cell>
          <cell r="B3048" t="str">
            <v>XTHQ</v>
          </cell>
        </row>
        <row r="3049">
          <cell r="A3049" t="str">
            <v>XTHQXSB</v>
          </cell>
          <cell r="B3049" t="str">
            <v>XTHQ</v>
          </cell>
        </row>
        <row r="3050">
          <cell r="A3050" t="str">
            <v>XTHQXSC</v>
          </cell>
          <cell r="B3050" t="str">
            <v>XTHQ</v>
          </cell>
        </row>
        <row r="3051">
          <cell r="A3051" t="str">
            <v>XTHQXSD</v>
          </cell>
          <cell r="B3051" t="str">
            <v>XTHQ</v>
          </cell>
        </row>
        <row r="3052">
          <cell r="A3052" t="str">
            <v>XTKNSYK0A</v>
          </cell>
          <cell r="B3052" t="str">
            <v>XTHQ</v>
          </cell>
        </row>
        <row r="3053">
          <cell r="A3053" t="str">
            <v>XTKNSYK0B</v>
          </cell>
          <cell r="B3053" t="str">
            <v>XTHQ</v>
          </cell>
        </row>
        <row r="3054">
          <cell r="A3054" t="str">
            <v>XTKNSYK0C</v>
          </cell>
          <cell r="B3054" t="str">
            <v>XTHQ</v>
          </cell>
        </row>
        <row r="3055">
          <cell r="A3055" t="str">
            <v>XTKNSYK0D</v>
          </cell>
          <cell r="B3055" t="str">
            <v>XTKNSY</v>
          </cell>
        </row>
        <row r="3056">
          <cell r="A3056" t="str">
            <v>XTKNSYMSA</v>
          </cell>
          <cell r="B3056" t="str">
            <v>XTKNSY</v>
          </cell>
        </row>
        <row r="3057">
          <cell r="A3057" t="str">
            <v>XTKNSYMSB</v>
          </cell>
          <cell r="B3057" t="str">
            <v>XTKNSY</v>
          </cell>
        </row>
        <row r="3058">
          <cell r="A3058" t="str">
            <v>XTKNSYMSC</v>
          </cell>
          <cell r="B3058" t="str">
            <v>XTKNSY</v>
          </cell>
        </row>
        <row r="3059">
          <cell r="A3059" t="str">
            <v>XTKNSYMSD</v>
          </cell>
          <cell r="B3059" t="str">
            <v>XTKNSY</v>
          </cell>
        </row>
        <row r="3060">
          <cell r="A3060" t="str">
            <v>XTKNSYR5A</v>
          </cell>
          <cell r="B3060" t="str">
            <v>XTKNSY</v>
          </cell>
        </row>
        <row r="3061">
          <cell r="A3061" t="str">
            <v>XTKNSYR5B</v>
          </cell>
          <cell r="B3061" t="str">
            <v>XTKNSY</v>
          </cell>
        </row>
        <row r="3062">
          <cell r="A3062" t="str">
            <v>XTKNSYR5C</v>
          </cell>
          <cell r="B3062" t="str">
            <v>XTKNSY</v>
          </cell>
        </row>
        <row r="3063">
          <cell r="A3063" t="str">
            <v>XTKNSYR5D</v>
          </cell>
          <cell r="B3063" t="str">
            <v>XTKNSY</v>
          </cell>
        </row>
        <row r="3064">
          <cell r="A3064" t="str">
            <v>XTKNSYSGA</v>
          </cell>
          <cell r="B3064" t="str">
            <v>XTKNSY</v>
          </cell>
        </row>
        <row r="3065">
          <cell r="A3065" t="str">
            <v>XTKNSYSGB</v>
          </cell>
          <cell r="B3065" t="str">
            <v>XTKNSY</v>
          </cell>
        </row>
        <row r="3066">
          <cell r="A3066" t="str">
            <v>XTKNSYSGC</v>
          </cell>
          <cell r="B3066" t="str">
            <v>XTKNSY</v>
          </cell>
        </row>
        <row r="3067">
          <cell r="A3067" t="str">
            <v>XTKNSYSGD</v>
          </cell>
          <cell r="B3067" t="str">
            <v>XTKNSY</v>
          </cell>
        </row>
        <row r="3068">
          <cell r="A3068" t="str">
            <v>XTKNSYY0A</v>
          </cell>
          <cell r="B3068" t="str">
            <v>XTKNSY</v>
          </cell>
        </row>
        <row r="3069">
          <cell r="A3069" t="str">
            <v>XTKNSYY0B</v>
          </cell>
          <cell r="B3069" t="str">
            <v>XTKNSY</v>
          </cell>
        </row>
        <row r="3070">
          <cell r="A3070" t="str">
            <v>XTKNSYY0C</v>
          </cell>
          <cell r="B3070" t="str">
            <v>XTKNSY</v>
          </cell>
        </row>
        <row r="3071">
          <cell r="A3071" t="str">
            <v>XTKNSYY0D</v>
          </cell>
          <cell r="B3071" t="str">
            <v>XTKNSY</v>
          </cell>
        </row>
        <row r="3072">
          <cell r="A3072" t="str">
            <v>XTKNSYYHA</v>
          </cell>
          <cell r="B3072" t="str">
            <v>XTKNSY</v>
          </cell>
        </row>
        <row r="3073">
          <cell r="A3073" t="str">
            <v>XTKNSYYHB</v>
          </cell>
          <cell r="B3073" t="str">
            <v>XTKNSY</v>
          </cell>
        </row>
        <row r="3074">
          <cell r="A3074" t="str">
            <v>XTKNSYYHC</v>
          </cell>
          <cell r="B3074" t="str">
            <v>XTKNSY</v>
          </cell>
        </row>
        <row r="3075">
          <cell r="A3075" t="str">
            <v>XTKNSYYHD</v>
          </cell>
          <cell r="B3075" t="str">
            <v>XTKNSY</v>
          </cell>
        </row>
        <row r="3076">
          <cell r="A3076" t="str">
            <v>XTLAB0A</v>
          </cell>
          <cell r="B3076" t="str">
            <v>XTKNSY</v>
          </cell>
        </row>
        <row r="3077">
          <cell r="A3077" t="str">
            <v>XTLAB0B</v>
          </cell>
          <cell r="B3077" t="str">
            <v>XTKNSY</v>
          </cell>
        </row>
        <row r="3078">
          <cell r="A3078" t="str">
            <v>XTLAB0C</v>
          </cell>
          <cell r="B3078" t="str">
            <v>XTKNSY</v>
          </cell>
        </row>
        <row r="3079">
          <cell r="A3079" t="str">
            <v>XTLAB0D</v>
          </cell>
          <cell r="B3079" t="str">
            <v>XTLA</v>
          </cell>
        </row>
        <row r="3080">
          <cell r="A3080" t="str">
            <v>XTLAK0A</v>
          </cell>
          <cell r="B3080" t="str">
            <v>XTLA</v>
          </cell>
        </row>
        <row r="3081">
          <cell r="A3081" t="str">
            <v>XTLAK0B</v>
          </cell>
          <cell r="B3081" t="str">
            <v>XTLA</v>
          </cell>
        </row>
        <row r="3082">
          <cell r="A3082" t="str">
            <v>XTLAK0C</v>
          </cell>
          <cell r="B3082" t="str">
            <v>XTLA</v>
          </cell>
        </row>
        <row r="3083">
          <cell r="A3083" t="str">
            <v>XTLAK0D</v>
          </cell>
          <cell r="B3083" t="str">
            <v>XTLA</v>
          </cell>
        </row>
        <row r="3084">
          <cell r="A3084" t="str">
            <v>XTLAR5A</v>
          </cell>
          <cell r="B3084" t="str">
            <v>XTLA</v>
          </cell>
        </row>
        <row r="3085">
          <cell r="A3085" t="str">
            <v>XTLAR5B</v>
          </cell>
          <cell r="B3085" t="str">
            <v>XTLA</v>
          </cell>
        </row>
        <row r="3086">
          <cell r="A3086" t="str">
            <v>XTLAR5C</v>
          </cell>
          <cell r="B3086" t="str">
            <v>XTLA</v>
          </cell>
        </row>
        <row r="3087">
          <cell r="A3087" t="str">
            <v>XTLAR5D</v>
          </cell>
          <cell r="B3087" t="str">
            <v>XTLA</v>
          </cell>
        </row>
        <row r="3088">
          <cell r="A3088" t="str">
            <v>XTLAXSA</v>
          </cell>
          <cell r="B3088" t="str">
            <v>XTLA</v>
          </cell>
        </row>
        <row r="3089">
          <cell r="A3089" t="str">
            <v>XTLAXSB</v>
          </cell>
          <cell r="B3089" t="str">
            <v>XTLA</v>
          </cell>
        </row>
        <row r="3090">
          <cell r="A3090" t="str">
            <v>XTLAXSC</v>
          </cell>
          <cell r="B3090" t="str">
            <v>XTLA</v>
          </cell>
        </row>
        <row r="3091">
          <cell r="A3091" t="str">
            <v>XTLAXSD</v>
          </cell>
          <cell r="B3091" t="str">
            <v>XTLA</v>
          </cell>
        </row>
        <row r="3092">
          <cell r="A3092" t="str">
            <v>XTSSK0A</v>
          </cell>
          <cell r="B3092" t="str">
            <v>XTLA</v>
          </cell>
        </row>
        <row r="3093">
          <cell r="A3093" t="str">
            <v>XTSSK0B</v>
          </cell>
          <cell r="B3093" t="str">
            <v>XTLA</v>
          </cell>
        </row>
        <row r="3094">
          <cell r="A3094" t="str">
            <v>XTSSK0C</v>
          </cell>
          <cell r="B3094" t="str">
            <v>XTLA</v>
          </cell>
        </row>
        <row r="3095">
          <cell r="A3095" t="str">
            <v>XTSSK0D</v>
          </cell>
          <cell r="B3095" t="str">
            <v>XTSS</v>
          </cell>
        </row>
        <row r="3096">
          <cell r="A3096" t="str">
            <v>XTSSK0E</v>
          </cell>
          <cell r="B3096" t="str">
            <v>XTSS</v>
          </cell>
        </row>
        <row r="3097">
          <cell r="A3097" t="str">
            <v>XTSSK0F</v>
          </cell>
          <cell r="B3097" t="str">
            <v>XTSS</v>
          </cell>
        </row>
        <row r="3098">
          <cell r="A3098" t="str">
            <v>XTSSXSA</v>
          </cell>
          <cell r="B3098" t="str">
            <v>XTSS</v>
          </cell>
        </row>
        <row r="3099">
          <cell r="A3099" t="str">
            <v>XTSSXSB</v>
          </cell>
          <cell r="B3099" t="str">
            <v>XTSS</v>
          </cell>
        </row>
        <row r="3100">
          <cell r="A3100" t="str">
            <v>XTSSXSC</v>
          </cell>
          <cell r="B3100" t="str">
            <v>XTSS</v>
          </cell>
        </row>
        <row r="3101">
          <cell r="A3101" t="str">
            <v>XTSSXSD</v>
          </cell>
          <cell r="B3101" t="str">
            <v>XTSS</v>
          </cell>
        </row>
        <row r="3102">
          <cell r="A3102" t="str">
            <v>XTSSXSE</v>
          </cell>
          <cell r="B3102" t="str">
            <v>XTSS</v>
          </cell>
        </row>
        <row r="3103">
          <cell r="A3103" t="str">
            <v>XTSSXSF</v>
          </cell>
          <cell r="B3103" t="str">
            <v>XTSS</v>
          </cell>
        </row>
        <row r="3104">
          <cell r="A3104" t="str">
            <v>XXBFK0</v>
          </cell>
          <cell r="B3104" t="str">
            <v>XTSS</v>
          </cell>
        </row>
        <row r="3105">
          <cell r="A3105" t="str">
            <v>XXGNWK0L</v>
          </cell>
          <cell r="B3105" t="str">
            <v>XTSS</v>
          </cell>
        </row>
        <row r="3106">
          <cell r="A3106" t="str">
            <v>XXGNWK0M</v>
          </cell>
          <cell r="B3106" t="str">
            <v>XTSS</v>
          </cell>
        </row>
        <row r="3107">
          <cell r="A3107" t="str">
            <v>XYBXBAF008W0L</v>
          </cell>
          <cell r="B3107" t="str">
            <v>XXBF</v>
          </cell>
        </row>
        <row r="3108">
          <cell r="A3108" t="str">
            <v>XYBXBAF008W0XL</v>
          </cell>
          <cell r="B3108" t="str">
            <v>XXGNW</v>
          </cell>
        </row>
        <row r="3109">
          <cell r="A3109" t="str">
            <v>XZKFK02XL</v>
          </cell>
          <cell r="B3109" t="str">
            <v>XXGNW</v>
          </cell>
        </row>
        <row r="3110">
          <cell r="A3110" t="str">
            <v>XZKFK03XL</v>
          </cell>
          <cell r="B3110" t="str">
            <v>XYBX</v>
          </cell>
        </row>
        <row r="3111">
          <cell r="A3111" t="str">
            <v>XZKFK04XL</v>
          </cell>
          <cell r="B3111" t="str">
            <v>XYBX</v>
          </cell>
        </row>
        <row r="3112">
          <cell r="A3112" t="str">
            <v>XZKFK0L</v>
          </cell>
          <cell r="B3112" t="str">
            <v>XZKF</v>
          </cell>
        </row>
        <row r="3113">
          <cell r="A3113" t="str">
            <v>XZKFK0M</v>
          </cell>
          <cell r="B3113" t="str">
            <v>XZKF</v>
          </cell>
        </row>
        <row r="3114">
          <cell r="A3114" t="str">
            <v>XZKFK0XL</v>
          </cell>
          <cell r="B3114" t="str">
            <v>XZKF</v>
          </cell>
        </row>
        <row r="3115">
          <cell r="A3115" t="str">
            <v>XZKFKQS2XL</v>
          </cell>
          <cell r="B3115" t="str">
            <v>XZKF</v>
          </cell>
        </row>
        <row r="3116">
          <cell r="A3116" t="str">
            <v>XZKFKQS3XL</v>
          </cell>
          <cell r="B3116" t="str">
            <v>XZKF</v>
          </cell>
        </row>
        <row r="3117">
          <cell r="A3117" t="str">
            <v>XZKFKQS4XL</v>
          </cell>
          <cell r="B3117" t="str">
            <v>XZKF</v>
          </cell>
        </row>
        <row r="3118">
          <cell r="A3118" t="str">
            <v>XZKFKQSL</v>
          </cell>
          <cell r="B3118" t="str">
            <v>XZKF</v>
          </cell>
        </row>
        <row r="3119">
          <cell r="A3119" t="str">
            <v>XZKFKQSM</v>
          </cell>
          <cell r="B3119" t="str">
            <v>XZKF</v>
          </cell>
        </row>
        <row r="3120">
          <cell r="A3120" t="str">
            <v>XZKFKQSXL</v>
          </cell>
          <cell r="B3120" t="str">
            <v>XZKF</v>
          </cell>
        </row>
        <row r="3121">
          <cell r="A3121" t="str">
            <v>XZKFR02XL</v>
          </cell>
          <cell r="B3121" t="str">
            <v>XZKF</v>
          </cell>
        </row>
        <row r="3122">
          <cell r="A3122" t="str">
            <v>XZKFR03XL</v>
          </cell>
          <cell r="B3122" t="str">
            <v>XZKF</v>
          </cell>
        </row>
        <row r="3123">
          <cell r="A3123" t="str">
            <v>XZKFR04XL</v>
          </cell>
          <cell r="B3123" t="str">
            <v>XZKF</v>
          </cell>
        </row>
        <row r="3124">
          <cell r="A3124" t="str">
            <v>XZKFR0L</v>
          </cell>
          <cell r="B3124" t="str">
            <v>XZKF</v>
          </cell>
        </row>
        <row r="3125">
          <cell r="A3125" t="str">
            <v>XZKFR0M</v>
          </cell>
          <cell r="B3125" t="str">
            <v>XZKF</v>
          </cell>
        </row>
        <row r="3126">
          <cell r="A3126" t="str">
            <v>XZKFR0XL</v>
          </cell>
          <cell r="B3126" t="str">
            <v>XZKF</v>
          </cell>
        </row>
        <row r="3127">
          <cell r="A3127" t="str">
            <v>XZKFRY2XL</v>
          </cell>
          <cell r="B3127" t="str">
            <v>XZKF</v>
          </cell>
        </row>
        <row r="3128">
          <cell r="A3128" t="str">
            <v>XZKFRY3XL</v>
          </cell>
          <cell r="B3128" t="str">
            <v>XZKF</v>
          </cell>
        </row>
        <row r="3129">
          <cell r="A3129" t="str">
            <v>XZKFRY4XL</v>
          </cell>
          <cell r="B3129" t="str">
            <v>XZKF</v>
          </cell>
        </row>
        <row r="3130">
          <cell r="A3130" t="str">
            <v>XZKFRYL</v>
          </cell>
          <cell r="B3130" t="str">
            <v>XZKF</v>
          </cell>
        </row>
        <row r="3131">
          <cell r="A3131" t="str">
            <v>XZKFRYM</v>
          </cell>
          <cell r="B3131" t="str">
            <v>XZKF</v>
          </cell>
        </row>
        <row r="3132">
          <cell r="A3132" t="str">
            <v>XZKFRYXL</v>
          </cell>
          <cell r="B3132" t="str">
            <v>XZKF</v>
          </cell>
        </row>
        <row r="3133">
          <cell r="A3133" t="str">
            <v>XZKFSL2XL</v>
          </cell>
          <cell r="B3133" t="str">
            <v>XZKF</v>
          </cell>
        </row>
        <row r="3134">
          <cell r="A3134" t="str">
            <v>XZKFSL3XL</v>
          </cell>
          <cell r="B3134" t="str">
            <v>XZKF</v>
          </cell>
        </row>
        <row r="3135">
          <cell r="A3135" t="str">
            <v>XZKFSL4XL</v>
          </cell>
          <cell r="B3135" t="str">
            <v>XZKF</v>
          </cell>
        </row>
        <row r="3136">
          <cell r="A3136" t="str">
            <v>XZKFSLL</v>
          </cell>
          <cell r="B3136" t="str">
            <v>XZKF</v>
          </cell>
        </row>
        <row r="3137">
          <cell r="A3137" t="str">
            <v>XZKFSLM</v>
          </cell>
          <cell r="B3137" t="str">
            <v>XZKF</v>
          </cell>
        </row>
        <row r="3138">
          <cell r="A3138" t="str">
            <v>XZKFSLXL</v>
          </cell>
          <cell r="B3138" t="str">
            <v>XZKF</v>
          </cell>
        </row>
        <row r="3139">
          <cell r="A3139" t="str">
            <v>XZKFTL2XL</v>
          </cell>
          <cell r="B3139" t="str">
            <v>XZKF</v>
          </cell>
        </row>
        <row r="3140">
          <cell r="A3140" t="str">
            <v>XZKFTL3XL</v>
          </cell>
          <cell r="B3140" t="str">
            <v>XZKF</v>
          </cell>
        </row>
        <row r="3141">
          <cell r="A3141" t="str">
            <v>XZKFTL4XL</v>
          </cell>
          <cell r="B3141" t="str">
            <v>XZKF</v>
          </cell>
        </row>
        <row r="3142">
          <cell r="A3142" t="str">
            <v>XZKFTLL</v>
          </cell>
          <cell r="B3142" t="str">
            <v>XZKF</v>
          </cell>
        </row>
        <row r="3143">
          <cell r="A3143" t="str">
            <v>XZKFTLM</v>
          </cell>
          <cell r="B3143" t="str">
            <v>XZKF</v>
          </cell>
        </row>
        <row r="3144">
          <cell r="A3144" t="str">
            <v>XZKFTLXL</v>
          </cell>
          <cell r="B3144" t="str">
            <v>XZKF</v>
          </cell>
        </row>
        <row r="3145">
          <cell r="A3145" t="str">
            <v>XZKFW02XL</v>
          </cell>
          <cell r="B3145" t="str">
            <v>XZKF</v>
          </cell>
        </row>
        <row r="3146">
          <cell r="A3146" t="str">
            <v>XZKFW03XL</v>
          </cell>
          <cell r="B3146" t="str">
            <v>XZKF</v>
          </cell>
        </row>
        <row r="3147">
          <cell r="A3147" t="str">
            <v>XZKFW04XL</v>
          </cell>
          <cell r="B3147" t="str">
            <v>XZKF</v>
          </cell>
        </row>
        <row r="3148">
          <cell r="A3148" t="str">
            <v>XZKFW0L</v>
          </cell>
          <cell r="B3148" t="str">
            <v>XZKF</v>
          </cell>
        </row>
        <row r="3149">
          <cell r="A3149" t="str">
            <v>XZKFW0M</v>
          </cell>
          <cell r="B3149" t="str">
            <v>XZKF</v>
          </cell>
        </row>
        <row r="3150">
          <cell r="A3150" t="str">
            <v>XZKFW0XL</v>
          </cell>
          <cell r="B3150" t="str">
            <v>XZKF</v>
          </cell>
        </row>
        <row r="3151">
          <cell r="A3151" t="str">
            <v>YHXLMYG0</v>
          </cell>
          <cell r="B3151" t="str">
            <v>XZKF</v>
          </cell>
        </row>
        <row r="3152">
          <cell r="A3152" t="str">
            <v>YJBXHS10L</v>
          </cell>
          <cell r="B3152" t="str">
            <v>XZKF</v>
          </cell>
        </row>
        <row r="3153">
          <cell r="A3153" t="str">
            <v>YJBXHS10M</v>
          </cell>
          <cell r="B3153" t="str">
            <v>XZKF</v>
          </cell>
        </row>
        <row r="3154">
          <cell r="A3154" t="str">
            <v>YJBXHS10S</v>
          </cell>
          <cell r="B3154" t="str">
            <v>YHXLMY</v>
          </cell>
        </row>
        <row r="3155">
          <cell r="A3155" t="str">
            <v>YJBXHS10XL</v>
          </cell>
          <cell r="B3155" t="str">
            <v>YJBX</v>
          </cell>
        </row>
        <row r="3156">
          <cell r="A3156" t="str">
            <v>YJBXHS11L</v>
          </cell>
          <cell r="B3156" t="str">
            <v>YJBX</v>
          </cell>
        </row>
        <row r="3157">
          <cell r="A3157" t="str">
            <v>YJBXHS11M</v>
          </cell>
          <cell r="B3157" t="str">
            <v>YJBX</v>
          </cell>
        </row>
        <row r="3158">
          <cell r="A3158" t="str">
            <v>YJBXHS11S</v>
          </cell>
          <cell r="B3158" t="str">
            <v>YJBX</v>
          </cell>
        </row>
        <row r="3159">
          <cell r="A3159" t="str">
            <v>YJBXHS11XL</v>
          </cell>
          <cell r="B3159" t="str">
            <v>YJBX</v>
          </cell>
        </row>
        <row r="3160">
          <cell r="A3160" t="str">
            <v>YJBXHS12L</v>
          </cell>
          <cell r="B3160" t="str">
            <v>YJBX</v>
          </cell>
        </row>
        <row r="3161">
          <cell r="A3161" t="str">
            <v>YJBXHS12M</v>
          </cell>
          <cell r="B3161" t="str">
            <v>YJBX</v>
          </cell>
        </row>
        <row r="3162">
          <cell r="A3162" t="str">
            <v>YJBXHS12S</v>
          </cell>
          <cell r="B3162" t="str">
            <v>YJBX</v>
          </cell>
        </row>
        <row r="3163">
          <cell r="A3163" t="str">
            <v>YJBXHS12XL</v>
          </cell>
          <cell r="B3163" t="str">
            <v>YJBX</v>
          </cell>
        </row>
        <row r="3164">
          <cell r="A3164" t="str">
            <v>YJBXHS13L</v>
          </cell>
          <cell r="B3164" t="str">
            <v>YJBX</v>
          </cell>
        </row>
        <row r="3165">
          <cell r="A3165" t="str">
            <v>YJBXHS13M</v>
          </cell>
          <cell r="B3165" t="str">
            <v>YJBX</v>
          </cell>
        </row>
        <row r="3166">
          <cell r="A3166" t="str">
            <v>YJBXHS13S</v>
          </cell>
          <cell r="B3166" t="str">
            <v>YJBX</v>
          </cell>
        </row>
        <row r="3167">
          <cell r="A3167" t="str">
            <v>YJBXHS13XL</v>
          </cell>
          <cell r="B3167" t="str">
            <v>YJBX</v>
          </cell>
        </row>
        <row r="3168">
          <cell r="A3168" t="str">
            <v>YJBXHS14L</v>
          </cell>
          <cell r="B3168" t="str">
            <v>YJBX</v>
          </cell>
        </row>
        <row r="3169">
          <cell r="A3169" t="str">
            <v>YJBXHS14M</v>
          </cell>
          <cell r="B3169" t="str">
            <v>YJBX</v>
          </cell>
        </row>
        <row r="3170">
          <cell r="A3170" t="str">
            <v>YJBXHS14S</v>
          </cell>
          <cell r="B3170" t="str">
            <v>YJBX</v>
          </cell>
        </row>
        <row r="3171">
          <cell r="A3171" t="str">
            <v>YJBXHS14XL</v>
          </cell>
          <cell r="B3171" t="str">
            <v>YJBX</v>
          </cell>
        </row>
        <row r="3172">
          <cell r="A3172" t="str">
            <v>YJBXHS15L</v>
          </cell>
          <cell r="B3172" t="str">
            <v>YJBX</v>
          </cell>
        </row>
        <row r="3173">
          <cell r="A3173" t="str">
            <v>YJBXHS15M</v>
          </cell>
          <cell r="B3173" t="str">
            <v>YJBX</v>
          </cell>
        </row>
        <row r="3174">
          <cell r="A3174" t="str">
            <v>YJBXHS15S</v>
          </cell>
          <cell r="B3174" t="str">
            <v>YJBX</v>
          </cell>
        </row>
        <row r="3175">
          <cell r="A3175" t="str">
            <v>YJBXHS15XL</v>
          </cell>
          <cell r="B3175" t="str">
            <v>YJBX</v>
          </cell>
        </row>
        <row r="3176">
          <cell r="A3176" t="str">
            <v>YJBXHS1L</v>
          </cell>
          <cell r="B3176" t="str">
            <v>YJBX</v>
          </cell>
        </row>
        <row r="3177">
          <cell r="A3177" t="str">
            <v>YJBXHS1M</v>
          </cell>
          <cell r="B3177" t="str">
            <v>YJBX</v>
          </cell>
        </row>
        <row r="3178">
          <cell r="A3178" t="str">
            <v>YJBXHS1S</v>
          </cell>
          <cell r="B3178" t="str">
            <v>YJBX</v>
          </cell>
        </row>
        <row r="3179">
          <cell r="A3179" t="str">
            <v>YJBXHS1XL</v>
          </cell>
          <cell r="B3179" t="str">
            <v>YJBX</v>
          </cell>
        </row>
        <row r="3180">
          <cell r="A3180" t="str">
            <v>YJBXHS2L</v>
          </cell>
          <cell r="B3180" t="str">
            <v>YJBX</v>
          </cell>
        </row>
        <row r="3181">
          <cell r="A3181" t="str">
            <v>YJBXHS2M</v>
          </cell>
          <cell r="B3181" t="str">
            <v>YJBX</v>
          </cell>
        </row>
        <row r="3182">
          <cell r="A3182" t="str">
            <v>YJBXHS2S</v>
          </cell>
          <cell r="B3182" t="str">
            <v>YJBX</v>
          </cell>
        </row>
        <row r="3183">
          <cell r="A3183" t="str">
            <v>YJBXHS2XL</v>
          </cell>
          <cell r="B3183" t="str">
            <v>YJBX</v>
          </cell>
        </row>
        <row r="3184">
          <cell r="A3184" t="str">
            <v>YJBXHS3L</v>
          </cell>
          <cell r="B3184" t="str">
            <v>YJBX</v>
          </cell>
        </row>
        <row r="3185">
          <cell r="A3185" t="str">
            <v>YJBXHS3M</v>
          </cell>
          <cell r="B3185" t="str">
            <v>YJBX</v>
          </cell>
        </row>
        <row r="3186">
          <cell r="A3186" t="str">
            <v>YJBXHS3S</v>
          </cell>
          <cell r="B3186" t="str">
            <v>YJBX</v>
          </cell>
        </row>
        <row r="3187">
          <cell r="A3187" t="str">
            <v>YJBXHS3XL</v>
          </cell>
          <cell r="B3187" t="str">
            <v>YJBX</v>
          </cell>
        </row>
        <row r="3188">
          <cell r="A3188" t="str">
            <v>YJBXHS4L</v>
          </cell>
          <cell r="B3188" t="str">
            <v>YJBX</v>
          </cell>
        </row>
        <row r="3189">
          <cell r="A3189" t="str">
            <v>YJBXHS4M</v>
          </cell>
          <cell r="B3189" t="str">
            <v>YJBX</v>
          </cell>
        </row>
        <row r="3190">
          <cell r="A3190" t="str">
            <v>YJBXHS4S</v>
          </cell>
          <cell r="B3190" t="str">
            <v>YJBX</v>
          </cell>
        </row>
        <row r="3191">
          <cell r="A3191" t="str">
            <v>YJBXHS4XL</v>
          </cell>
          <cell r="B3191" t="str">
            <v>YJBX</v>
          </cell>
        </row>
        <row r="3192">
          <cell r="A3192" t="str">
            <v>YJBXHS5L</v>
          </cell>
          <cell r="B3192" t="str">
            <v>YJBX</v>
          </cell>
        </row>
        <row r="3193">
          <cell r="A3193" t="str">
            <v>YJBXHS5M</v>
          </cell>
          <cell r="B3193" t="str">
            <v>YJBX</v>
          </cell>
        </row>
        <row r="3194">
          <cell r="A3194" t="str">
            <v>YJBXHS5S</v>
          </cell>
          <cell r="B3194" t="str">
            <v>YJBX</v>
          </cell>
        </row>
        <row r="3195">
          <cell r="A3195" t="str">
            <v>YJBXHS5XL</v>
          </cell>
          <cell r="B3195" t="str">
            <v>YJBX</v>
          </cell>
        </row>
        <row r="3196">
          <cell r="A3196" t="str">
            <v>YJBXHS6L</v>
          </cell>
          <cell r="B3196" t="str">
            <v>YJBX</v>
          </cell>
        </row>
        <row r="3197">
          <cell r="A3197" t="str">
            <v>YJBXHS6M</v>
          </cell>
          <cell r="B3197" t="str">
            <v>YJBX</v>
          </cell>
        </row>
        <row r="3198">
          <cell r="A3198" t="str">
            <v>YJBXHS6S</v>
          </cell>
          <cell r="B3198" t="str">
            <v>YJBX</v>
          </cell>
        </row>
        <row r="3199">
          <cell r="A3199" t="str">
            <v>YJBXHS6XL</v>
          </cell>
          <cell r="B3199" t="str">
            <v>YJBX</v>
          </cell>
        </row>
        <row r="3200">
          <cell r="A3200" t="str">
            <v>YJBXHS7L</v>
          </cell>
          <cell r="B3200" t="str">
            <v>YJBX</v>
          </cell>
        </row>
        <row r="3201">
          <cell r="A3201" t="str">
            <v>YJBXHS7M</v>
          </cell>
          <cell r="B3201" t="str">
            <v>YJBX</v>
          </cell>
        </row>
        <row r="3202">
          <cell r="A3202" t="str">
            <v>YJBXHS7S</v>
          </cell>
          <cell r="B3202" t="str">
            <v>YJBX</v>
          </cell>
        </row>
        <row r="3203">
          <cell r="A3203" t="str">
            <v>YJBXHS7XL</v>
          </cell>
          <cell r="B3203" t="str">
            <v>YJBX</v>
          </cell>
        </row>
        <row r="3204">
          <cell r="A3204" t="str">
            <v>YJBXHS8L</v>
          </cell>
          <cell r="B3204" t="str">
            <v>YJBX</v>
          </cell>
        </row>
        <row r="3205">
          <cell r="A3205" t="str">
            <v>YJBXHS8M</v>
          </cell>
          <cell r="B3205" t="str">
            <v>YJBX</v>
          </cell>
        </row>
        <row r="3206">
          <cell r="A3206" t="str">
            <v>YJBXHS8S</v>
          </cell>
          <cell r="B3206" t="str">
            <v>YJBX</v>
          </cell>
        </row>
        <row r="3207">
          <cell r="A3207" t="str">
            <v>YJBXHS8XL</v>
          </cell>
          <cell r="B3207" t="str">
            <v>YJBX</v>
          </cell>
        </row>
        <row r="3208">
          <cell r="A3208" t="str">
            <v>YJBXHS9L</v>
          </cell>
          <cell r="B3208" t="str">
            <v>YJBX</v>
          </cell>
        </row>
        <row r="3209">
          <cell r="A3209" t="str">
            <v>YJBXHS9M</v>
          </cell>
          <cell r="B3209" t="str">
            <v>YJBX</v>
          </cell>
        </row>
        <row r="3210">
          <cell r="A3210" t="str">
            <v>YJBXHS9S</v>
          </cell>
          <cell r="B3210" t="str">
            <v>YJBX</v>
          </cell>
        </row>
        <row r="3211">
          <cell r="A3211" t="str">
            <v>YJBXHS9XL</v>
          </cell>
          <cell r="B3211" t="str">
            <v>YJBX</v>
          </cell>
        </row>
        <row r="3212">
          <cell r="A3212" t="str">
            <v>YJYHKHS10L</v>
          </cell>
          <cell r="B3212" t="str">
            <v>YJBX</v>
          </cell>
        </row>
        <row r="3213">
          <cell r="A3213" t="str">
            <v>YJYHKHS10M</v>
          </cell>
          <cell r="B3213" t="str">
            <v>YJBX</v>
          </cell>
        </row>
        <row r="3214">
          <cell r="A3214" t="str">
            <v>YJYHKHS10S</v>
          </cell>
          <cell r="B3214" t="str">
            <v>YJBX</v>
          </cell>
        </row>
        <row r="3215">
          <cell r="A3215" t="str">
            <v>YJYHKHS10XL</v>
          </cell>
          <cell r="B3215" t="str">
            <v>YJYHK</v>
          </cell>
        </row>
        <row r="3216">
          <cell r="A3216" t="str">
            <v>YJYHKHS11L</v>
          </cell>
          <cell r="B3216" t="str">
            <v>YJYHK</v>
          </cell>
        </row>
        <row r="3217">
          <cell r="A3217" t="str">
            <v>YJYHKHS11M</v>
          </cell>
          <cell r="B3217" t="str">
            <v>YJYHK</v>
          </cell>
        </row>
        <row r="3218">
          <cell r="A3218" t="str">
            <v>YJYHKHS11S</v>
          </cell>
          <cell r="B3218" t="str">
            <v>YJYHK</v>
          </cell>
        </row>
        <row r="3219">
          <cell r="A3219" t="str">
            <v>YJYHKHS11XL</v>
          </cell>
          <cell r="B3219" t="str">
            <v>YJYHK</v>
          </cell>
        </row>
        <row r="3220">
          <cell r="A3220" t="str">
            <v>YJYHKHS12L</v>
          </cell>
          <cell r="B3220" t="str">
            <v>YJYHK</v>
          </cell>
        </row>
        <row r="3221">
          <cell r="A3221" t="str">
            <v>YJYHKHS12M</v>
          </cell>
          <cell r="B3221" t="str">
            <v>YJYHK</v>
          </cell>
        </row>
        <row r="3222">
          <cell r="A3222" t="str">
            <v>YJYHKHS12S</v>
          </cell>
          <cell r="B3222" t="str">
            <v>YJYHK</v>
          </cell>
        </row>
        <row r="3223">
          <cell r="A3223" t="str">
            <v>YJYHKHS12XL</v>
          </cell>
          <cell r="B3223" t="str">
            <v>YJYHK</v>
          </cell>
        </row>
        <row r="3224">
          <cell r="A3224" t="str">
            <v>YJYHKHS13L</v>
          </cell>
          <cell r="B3224" t="str">
            <v>YJYHK</v>
          </cell>
        </row>
        <row r="3225">
          <cell r="A3225" t="str">
            <v>YJYHKHS13M</v>
          </cell>
          <cell r="B3225" t="str">
            <v>YJYHK</v>
          </cell>
        </row>
        <row r="3226">
          <cell r="A3226" t="str">
            <v>YJYHKHS13S</v>
          </cell>
          <cell r="B3226" t="str">
            <v>YJYHK</v>
          </cell>
        </row>
        <row r="3227">
          <cell r="A3227" t="str">
            <v>YJYHKHS13XL</v>
          </cell>
          <cell r="B3227" t="str">
            <v>YJYHK</v>
          </cell>
        </row>
        <row r="3228">
          <cell r="A3228" t="str">
            <v>YJYHKHS14L</v>
          </cell>
          <cell r="B3228" t="str">
            <v>YJYHK</v>
          </cell>
        </row>
        <row r="3229">
          <cell r="A3229" t="str">
            <v>YJYHKHS14M</v>
          </cell>
          <cell r="B3229" t="str">
            <v>YJYHK</v>
          </cell>
        </row>
        <row r="3230">
          <cell r="A3230" t="str">
            <v>YJYHKHS14S</v>
          </cell>
          <cell r="B3230" t="str">
            <v>YJYHK</v>
          </cell>
        </row>
        <row r="3231">
          <cell r="A3231" t="str">
            <v>YJYHKHS14XL</v>
          </cell>
          <cell r="B3231" t="str">
            <v>YJYHK</v>
          </cell>
        </row>
        <row r="3232">
          <cell r="A3232" t="str">
            <v>YJYHKHS15L</v>
          </cell>
          <cell r="B3232" t="str">
            <v>YJYHK</v>
          </cell>
        </row>
        <row r="3233">
          <cell r="A3233" t="str">
            <v>YJYHKHS15M</v>
          </cell>
          <cell r="B3233" t="str">
            <v>YJYHK</v>
          </cell>
        </row>
        <row r="3234">
          <cell r="A3234" t="str">
            <v>YJYHKHS15S</v>
          </cell>
          <cell r="B3234" t="str">
            <v>YJYHK</v>
          </cell>
        </row>
        <row r="3235">
          <cell r="A3235" t="str">
            <v>YJYHKHS15XL</v>
          </cell>
          <cell r="B3235" t="str">
            <v>YJYHK</v>
          </cell>
        </row>
        <row r="3236">
          <cell r="A3236" t="str">
            <v>YJYHKHS16L</v>
          </cell>
          <cell r="B3236" t="str">
            <v>YJYHK</v>
          </cell>
        </row>
        <row r="3237">
          <cell r="A3237" t="str">
            <v>YJYHKHS16M</v>
          </cell>
          <cell r="B3237" t="str">
            <v>YJYHK</v>
          </cell>
        </row>
        <row r="3238">
          <cell r="A3238" t="str">
            <v>YJYHKHS16S</v>
          </cell>
          <cell r="B3238" t="str">
            <v>YJYHK</v>
          </cell>
        </row>
        <row r="3239">
          <cell r="A3239" t="str">
            <v>YJYHKHS16XL</v>
          </cell>
          <cell r="B3239" t="str">
            <v>YJYHK</v>
          </cell>
        </row>
        <row r="3240">
          <cell r="A3240" t="str">
            <v>YJYHKHS17L</v>
          </cell>
          <cell r="B3240" t="str">
            <v>YJYHK</v>
          </cell>
        </row>
        <row r="3241">
          <cell r="A3241" t="str">
            <v>YJYHKHS17M</v>
          </cell>
          <cell r="B3241" t="str">
            <v>YJYHK</v>
          </cell>
        </row>
        <row r="3242">
          <cell r="A3242" t="str">
            <v>YJYHKHS17S</v>
          </cell>
          <cell r="B3242" t="str">
            <v>YJYHK</v>
          </cell>
        </row>
        <row r="3243">
          <cell r="A3243" t="str">
            <v>YJYHKHS17XL</v>
          </cell>
          <cell r="B3243" t="str">
            <v>YJYHK</v>
          </cell>
        </row>
        <row r="3244">
          <cell r="A3244" t="str">
            <v>YJYHKHS18L</v>
          </cell>
          <cell r="B3244" t="str">
            <v>YJYHK</v>
          </cell>
        </row>
        <row r="3245">
          <cell r="A3245" t="str">
            <v>YJYHKHS18M</v>
          </cell>
          <cell r="B3245" t="str">
            <v>YJYHK</v>
          </cell>
        </row>
        <row r="3246">
          <cell r="A3246" t="str">
            <v>YJYHKHS18S</v>
          </cell>
          <cell r="B3246" t="str">
            <v>YJYHK</v>
          </cell>
        </row>
        <row r="3247">
          <cell r="A3247" t="str">
            <v>YJYHKHS18XL</v>
          </cell>
          <cell r="B3247" t="str">
            <v>YJYHK</v>
          </cell>
        </row>
        <row r="3248">
          <cell r="A3248" t="str">
            <v>YJYHKHS19L</v>
          </cell>
          <cell r="B3248" t="str">
            <v>YJYHK</v>
          </cell>
        </row>
        <row r="3249">
          <cell r="A3249" t="str">
            <v>YJYHKHS19M</v>
          </cell>
          <cell r="B3249" t="str">
            <v>YJYHK</v>
          </cell>
        </row>
        <row r="3250">
          <cell r="A3250" t="str">
            <v>YJYHKHS19S</v>
          </cell>
          <cell r="B3250" t="str">
            <v>YJYHK</v>
          </cell>
        </row>
        <row r="3251">
          <cell r="A3251" t="str">
            <v>YJYHKHS19XL</v>
          </cell>
          <cell r="B3251" t="str">
            <v>YJYHK</v>
          </cell>
        </row>
        <row r="3252">
          <cell r="A3252" t="str">
            <v>YJYHKHS1L</v>
          </cell>
          <cell r="B3252" t="str">
            <v>YJYHK</v>
          </cell>
        </row>
        <row r="3253">
          <cell r="A3253" t="str">
            <v>YJYHKHS1M</v>
          </cell>
          <cell r="B3253" t="str">
            <v>YJYHK</v>
          </cell>
        </row>
        <row r="3254">
          <cell r="A3254" t="str">
            <v>YJYHKHS1S</v>
          </cell>
          <cell r="B3254" t="str">
            <v>YJYHK</v>
          </cell>
        </row>
        <row r="3255">
          <cell r="A3255" t="str">
            <v>YJYHKHS1XL</v>
          </cell>
          <cell r="B3255" t="str">
            <v>YJYHK</v>
          </cell>
        </row>
        <row r="3256">
          <cell r="A3256" t="str">
            <v>YJYHKHS2L</v>
          </cell>
          <cell r="B3256" t="str">
            <v>YJYHK</v>
          </cell>
        </row>
        <row r="3257">
          <cell r="A3257" t="str">
            <v>YJYHKHS2M</v>
          </cell>
          <cell r="B3257" t="str">
            <v>YJYHK</v>
          </cell>
        </row>
        <row r="3258">
          <cell r="A3258" t="str">
            <v>YJYHKHS2S</v>
          </cell>
          <cell r="B3258" t="str">
            <v>YJYHK</v>
          </cell>
        </row>
        <row r="3259">
          <cell r="A3259" t="str">
            <v>YJYHKHS2XL</v>
          </cell>
          <cell r="B3259" t="str">
            <v>YJYHK</v>
          </cell>
        </row>
        <row r="3260">
          <cell r="A3260" t="str">
            <v>YJYHKHS3L</v>
          </cell>
          <cell r="B3260" t="str">
            <v>YJYHK</v>
          </cell>
        </row>
        <row r="3261">
          <cell r="A3261" t="str">
            <v>YJYHKHS3M</v>
          </cell>
          <cell r="B3261" t="str">
            <v>YJYHK</v>
          </cell>
        </row>
        <row r="3262">
          <cell r="A3262" t="str">
            <v>YJYHKHS3S</v>
          </cell>
          <cell r="B3262" t="str">
            <v>YJYHK</v>
          </cell>
        </row>
        <row r="3263">
          <cell r="A3263" t="str">
            <v>YJYHKHS3XL</v>
          </cell>
          <cell r="B3263" t="str">
            <v>YJYHK</v>
          </cell>
        </row>
        <row r="3264">
          <cell r="A3264" t="str">
            <v>YJYHKHS4L</v>
          </cell>
          <cell r="B3264" t="str">
            <v>YJYHK</v>
          </cell>
        </row>
        <row r="3265">
          <cell r="A3265" t="str">
            <v>YJYHKHS4M</v>
          </cell>
          <cell r="B3265" t="str">
            <v>YJYHK</v>
          </cell>
        </row>
        <row r="3266">
          <cell r="A3266" t="str">
            <v>YJYHKHS4S</v>
          </cell>
          <cell r="B3266" t="str">
            <v>YJYHK</v>
          </cell>
        </row>
        <row r="3267">
          <cell r="A3267" t="str">
            <v>YJYHKHS4XL</v>
          </cell>
          <cell r="B3267" t="str">
            <v>YJYHK</v>
          </cell>
        </row>
        <row r="3268">
          <cell r="A3268" t="str">
            <v>YJYHKHS5L</v>
          </cell>
          <cell r="B3268" t="str">
            <v>YJYHK</v>
          </cell>
        </row>
        <row r="3269">
          <cell r="A3269" t="str">
            <v>YJYHKHS5M</v>
          </cell>
          <cell r="B3269" t="str">
            <v>YJYHK</v>
          </cell>
        </row>
        <row r="3270">
          <cell r="A3270" t="str">
            <v>YJYHKHS5S</v>
          </cell>
          <cell r="B3270" t="str">
            <v>YJYHK</v>
          </cell>
        </row>
        <row r="3271">
          <cell r="A3271" t="str">
            <v>YJYHKHS5XL</v>
          </cell>
          <cell r="B3271" t="str">
            <v>YJYHK</v>
          </cell>
        </row>
        <row r="3272">
          <cell r="A3272" t="str">
            <v>YJYHKHS6L</v>
          </cell>
          <cell r="B3272" t="str">
            <v>YJYHK</v>
          </cell>
        </row>
        <row r="3273">
          <cell r="A3273" t="str">
            <v>YJYHKHS6M</v>
          </cell>
          <cell r="B3273" t="str">
            <v>YJYHK</v>
          </cell>
        </row>
        <row r="3274">
          <cell r="A3274" t="str">
            <v>YJYHKHS6S</v>
          </cell>
          <cell r="B3274" t="str">
            <v>YJYHK</v>
          </cell>
        </row>
        <row r="3275">
          <cell r="A3275" t="str">
            <v>YJYHKHS6XL</v>
          </cell>
          <cell r="B3275" t="str">
            <v>YJYHK</v>
          </cell>
        </row>
        <row r="3276">
          <cell r="A3276" t="str">
            <v>YJYHKHS7L</v>
          </cell>
          <cell r="B3276" t="str">
            <v>YJYHK</v>
          </cell>
        </row>
        <row r="3277">
          <cell r="A3277" t="str">
            <v>YJYHKHS7M</v>
          </cell>
          <cell r="B3277" t="str">
            <v>YJYHK</v>
          </cell>
        </row>
        <row r="3278">
          <cell r="A3278" t="str">
            <v>YJYHKHS7S</v>
          </cell>
          <cell r="B3278" t="str">
            <v>YJYHK</v>
          </cell>
        </row>
        <row r="3279">
          <cell r="A3279" t="str">
            <v>YJYHKHS7XL</v>
          </cell>
          <cell r="B3279" t="str">
            <v>YJYHK</v>
          </cell>
        </row>
        <row r="3280">
          <cell r="A3280" t="str">
            <v>YJYHKHS8L</v>
          </cell>
          <cell r="B3280" t="str">
            <v>YJYHK</v>
          </cell>
        </row>
        <row r="3281">
          <cell r="A3281" t="str">
            <v>YJYHKHS8M</v>
          </cell>
          <cell r="B3281" t="str">
            <v>YJYHK</v>
          </cell>
        </row>
        <row r="3282">
          <cell r="A3282" t="str">
            <v>YJYHKHS8S</v>
          </cell>
          <cell r="B3282" t="str">
            <v>YJYHK</v>
          </cell>
        </row>
        <row r="3283">
          <cell r="A3283" t="str">
            <v>YJYHKHS8XL</v>
          </cell>
          <cell r="B3283" t="str">
            <v>YJYHK</v>
          </cell>
        </row>
        <row r="3284">
          <cell r="A3284" t="str">
            <v>YJYHKHS9L</v>
          </cell>
          <cell r="B3284" t="str">
            <v>YJYHK</v>
          </cell>
        </row>
        <row r="3285">
          <cell r="A3285" t="str">
            <v>YJYHKHS9M</v>
          </cell>
          <cell r="B3285" t="str">
            <v>YJYHK</v>
          </cell>
        </row>
        <row r="3286">
          <cell r="A3286" t="str">
            <v>YJYHKHS9S</v>
          </cell>
          <cell r="B3286" t="str">
            <v>YJYHK</v>
          </cell>
        </row>
        <row r="3287">
          <cell r="A3287" t="str">
            <v>YJYHKHS9XL</v>
          </cell>
          <cell r="B3287" t="str">
            <v>YJYHK</v>
          </cell>
        </row>
        <row r="3288">
          <cell r="A3288" t="str">
            <v>YKYTKTKB0XXL</v>
          </cell>
          <cell r="B3288" t="str">
            <v>YJYHK</v>
          </cell>
        </row>
        <row r="3289">
          <cell r="A3289" t="str">
            <v>YKYTKTKB0XXXL</v>
          </cell>
          <cell r="B3289" t="str">
            <v>YJYHK</v>
          </cell>
        </row>
        <row r="3290">
          <cell r="A3290" t="str">
            <v>YKYTKTKE0XXL</v>
          </cell>
          <cell r="B3290" t="str">
            <v>YJYHK</v>
          </cell>
        </row>
        <row r="3291">
          <cell r="A3291" t="str">
            <v>YKYTKTKE0XXXL</v>
          </cell>
          <cell r="B3291" t="str">
            <v>YKYTKTK</v>
          </cell>
        </row>
        <row r="3292">
          <cell r="A3292" t="str">
            <v>YKYTKTKG0XXL</v>
          </cell>
          <cell r="B3292" t="str">
            <v>YKYTKTK</v>
          </cell>
        </row>
        <row r="3293">
          <cell r="A3293" t="str">
            <v>YKYTKTKG0XXXL</v>
          </cell>
          <cell r="B3293" t="str">
            <v>YKYTKTK</v>
          </cell>
        </row>
        <row r="3294">
          <cell r="A3294" t="str">
            <v>YKYTKTKK0XXL</v>
          </cell>
          <cell r="B3294" t="str">
            <v>YKYTKTK</v>
          </cell>
        </row>
        <row r="3295">
          <cell r="A3295" t="str">
            <v>YKYTKTKK0XXXL</v>
          </cell>
          <cell r="B3295" t="str">
            <v>YKYTKTK</v>
          </cell>
        </row>
        <row r="3296">
          <cell r="A3296" t="str">
            <v>YKYTKTKQLXXL</v>
          </cell>
          <cell r="B3296" t="str">
            <v>YKYTKTK</v>
          </cell>
        </row>
        <row r="3297">
          <cell r="A3297" t="str">
            <v>YKYTKTKQLXXXL</v>
          </cell>
          <cell r="B3297" t="str">
            <v>YKYTKTK</v>
          </cell>
        </row>
        <row r="3298">
          <cell r="A3298" t="str">
            <v>YLXZKK02XL</v>
          </cell>
          <cell r="B3298" t="str">
            <v>YKYTKTK</v>
          </cell>
        </row>
        <row r="3299">
          <cell r="A3299" t="str">
            <v>YLXZKK03XL</v>
          </cell>
          <cell r="B3299" t="str">
            <v>YKYTKTK</v>
          </cell>
        </row>
        <row r="3300">
          <cell r="A3300" t="str">
            <v>YLXZKK04XL</v>
          </cell>
          <cell r="B3300" t="str">
            <v>YKYTKTK</v>
          </cell>
        </row>
        <row r="3301">
          <cell r="A3301" t="str">
            <v>YLXZKK05XL</v>
          </cell>
          <cell r="B3301" t="str">
            <v>YLXZK</v>
          </cell>
        </row>
        <row r="3302">
          <cell r="A3302" t="str">
            <v>YLXZKK0L</v>
          </cell>
          <cell r="B3302" t="str">
            <v>YLXZK</v>
          </cell>
        </row>
        <row r="3303">
          <cell r="A3303" t="str">
            <v>YLXZKK0M</v>
          </cell>
          <cell r="B3303" t="str">
            <v>YLXZK</v>
          </cell>
        </row>
        <row r="3304">
          <cell r="A3304" t="str">
            <v>YLXZKK0S</v>
          </cell>
          <cell r="B3304" t="str">
            <v>YLXZK</v>
          </cell>
        </row>
        <row r="3305">
          <cell r="A3305" t="str">
            <v>YLXZKK0XL</v>
          </cell>
          <cell r="B3305" t="str">
            <v>YLXZK</v>
          </cell>
        </row>
        <row r="3306">
          <cell r="A3306" t="str">
            <v>YLXZKKQS2XL</v>
          </cell>
          <cell r="B3306" t="str">
            <v>YLXZK</v>
          </cell>
        </row>
        <row r="3307">
          <cell r="A3307" t="str">
            <v>YLXZKKQS3XL</v>
          </cell>
          <cell r="B3307" t="str">
            <v>YLXZK</v>
          </cell>
        </row>
        <row r="3308">
          <cell r="A3308" t="str">
            <v>YLXZKKQS4XL</v>
          </cell>
          <cell r="B3308" t="str">
            <v>YLXZK</v>
          </cell>
        </row>
        <row r="3309">
          <cell r="A3309" t="str">
            <v>YLXZKKQS5XL</v>
          </cell>
          <cell r="B3309" t="str">
            <v>YLXZK</v>
          </cell>
        </row>
        <row r="3310">
          <cell r="A3310" t="str">
            <v>YLXZKKQSL</v>
          </cell>
          <cell r="B3310" t="str">
            <v>YLXZK</v>
          </cell>
        </row>
        <row r="3311">
          <cell r="A3311" t="str">
            <v>YLXZKKQSM</v>
          </cell>
          <cell r="B3311" t="str">
            <v>YLXZK</v>
          </cell>
        </row>
        <row r="3312">
          <cell r="A3312" t="str">
            <v>YLXZKKQSS</v>
          </cell>
          <cell r="B3312" t="str">
            <v>YLXZK</v>
          </cell>
        </row>
        <row r="3313">
          <cell r="A3313" t="str">
            <v>YLXZKKQSXL</v>
          </cell>
          <cell r="B3313" t="str">
            <v>YLXZK</v>
          </cell>
        </row>
        <row r="3314">
          <cell r="A3314" t="str">
            <v>YMQYZBCS</v>
          </cell>
          <cell r="B3314" t="str">
            <v>YMQYZ</v>
          </cell>
        </row>
        <row r="3315">
          <cell r="A3315" t="str">
            <v>YXKTKYHL</v>
          </cell>
          <cell r="B3315" t="str">
            <v>YXKTK</v>
          </cell>
        </row>
        <row r="3316">
          <cell r="A3316" t="str">
            <v>YXKTKYHM</v>
          </cell>
          <cell r="B3316" t="str">
            <v>YXKTK</v>
          </cell>
        </row>
        <row r="3317">
          <cell r="A3317" t="str">
            <v>YXKTKYHS</v>
          </cell>
          <cell r="B3317" t="str">
            <v>YXKTK</v>
          </cell>
        </row>
        <row r="3318">
          <cell r="A3318" t="str">
            <v>YXKTKYHXL</v>
          </cell>
          <cell r="B3318" t="str">
            <v>YXKTK</v>
          </cell>
        </row>
        <row r="3319">
          <cell r="A3319" t="str">
            <v>YXKTKYHXS</v>
          </cell>
          <cell r="B3319" t="str">
            <v>YXKTK</v>
          </cell>
        </row>
        <row r="3320">
          <cell r="A3320" t="str">
            <v>YXYKTK1</v>
          </cell>
          <cell r="B3320" t="str">
            <v>YXKTK</v>
          </cell>
        </row>
        <row r="3321">
          <cell r="A3321" t="str">
            <v>YXYKTK10</v>
          </cell>
          <cell r="B3321" t="str">
            <v>YXKTK</v>
          </cell>
        </row>
        <row r="3322">
          <cell r="A3322" t="str">
            <v>YXYKTK100</v>
          </cell>
          <cell r="B3322" t="str">
            <v>YXKTK</v>
          </cell>
        </row>
        <row r="3323">
          <cell r="A3323" t="str">
            <v>YXYKTK101</v>
          </cell>
          <cell r="B3323" t="str">
            <v>YXYKTK</v>
          </cell>
        </row>
        <row r="3324">
          <cell r="A3324" t="str">
            <v>YXYKTK102</v>
          </cell>
          <cell r="B3324" t="str">
            <v>YXYKTK</v>
          </cell>
        </row>
        <row r="3325">
          <cell r="A3325" t="str">
            <v>YXYKTK103</v>
          </cell>
          <cell r="B3325" t="str">
            <v>YXYKTK</v>
          </cell>
        </row>
        <row r="3326">
          <cell r="A3326" t="str">
            <v>YXYKTK104</v>
          </cell>
          <cell r="B3326" t="str">
            <v>YXYKTK</v>
          </cell>
        </row>
        <row r="3327">
          <cell r="A3327" t="str">
            <v>YXYKTK105</v>
          </cell>
          <cell r="B3327" t="str">
            <v>YXYKTK</v>
          </cell>
        </row>
        <row r="3328">
          <cell r="A3328" t="str">
            <v>YXYKTK106</v>
          </cell>
          <cell r="B3328" t="str">
            <v>YXYKTK</v>
          </cell>
        </row>
        <row r="3329">
          <cell r="A3329" t="str">
            <v>YXYKTK107</v>
          </cell>
          <cell r="B3329" t="str">
            <v>YXYKTK</v>
          </cell>
        </row>
        <row r="3330">
          <cell r="A3330" t="str">
            <v>YXYKTK108</v>
          </cell>
          <cell r="B3330" t="str">
            <v>YXYKTK</v>
          </cell>
        </row>
        <row r="3331">
          <cell r="A3331" t="str">
            <v>YXYKTK11</v>
          </cell>
          <cell r="B3331" t="str">
            <v>YXYKTK</v>
          </cell>
        </row>
        <row r="3332">
          <cell r="A3332" t="str">
            <v>YXYKTK12</v>
          </cell>
          <cell r="B3332" t="str">
            <v>YXYKTK</v>
          </cell>
        </row>
        <row r="3333">
          <cell r="A3333" t="str">
            <v>YXYKTK13</v>
          </cell>
          <cell r="B3333" t="str">
            <v>YXYKTK</v>
          </cell>
        </row>
        <row r="3334">
          <cell r="A3334" t="str">
            <v>YXYKTK14</v>
          </cell>
          <cell r="B3334" t="str">
            <v>YXYKTK</v>
          </cell>
        </row>
        <row r="3335">
          <cell r="A3335" t="str">
            <v>YXYKTK15</v>
          </cell>
          <cell r="B3335" t="str">
            <v>YXYKTK</v>
          </cell>
        </row>
        <row r="3336">
          <cell r="A3336" t="str">
            <v>YXYKTK16</v>
          </cell>
          <cell r="B3336" t="str">
            <v>YXYKTK</v>
          </cell>
        </row>
        <row r="3337">
          <cell r="A3337" t="str">
            <v>YXYKTK17</v>
          </cell>
          <cell r="B3337" t="str">
            <v>YXYKTK</v>
          </cell>
        </row>
        <row r="3338">
          <cell r="A3338" t="str">
            <v>YXYKTK18</v>
          </cell>
          <cell r="B3338" t="str">
            <v>YXYKTK</v>
          </cell>
        </row>
        <row r="3339">
          <cell r="A3339" t="str">
            <v>YXYKTK19</v>
          </cell>
          <cell r="B3339" t="str">
            <v>YXYKTK</v>
          </cell>
        </row>
        <row r="3340">
          <cell r="A3340" t="str">
            <v>YXYKTK2</v>
          </cell>
          <cell r="B3340" t="str">
            <v>YXYKTK</v>
          </cell>
        </row>
        <row r="3341">
          <cell r="A3341" t="str">
            <v>YXYKTK20</v>
          </cell>
          <cell r="B3341" t="str">
            <v>YXYKTK</v>
          </cell>
        </row>
        <row r="3342">
          <cell r="A3342" t="str">
            <v>YXYKTK21</v>
          </cell>
          <cell r="B3342" t="str">
            <v>YXYKTK</v>
          </cell>
        </row>
        <row r="3343">
          <cell r="A3343" t="str">
            <v>YXYKTK22</v>
          </cell>
          <cell r="B3343" t="str">
            <v>YXYKTK</v>
          </cell>
        </row>
        <row r="3344">
          <cell r="A3344" t="str">
            <v>YXYKTK23</v>
          </cell>
          <cell r="B3344" t="str">
            <v>YXYKTK</v>
          </cell>
        </row>
        <row r="3345">
          <cell r="A3345" t="str">
            <v>YXYKTK24</v>
          </cell>
          <cell r="B3345" t="str">
            <v>YXYKTK</v>
          </cell>
        </row>
        <row r="3346">
          <cell r="A3346" t="str">
            <v>YXYKTK25</v>
          </cell>
          <cell r="B3346" t="str">
            <v>YXYKTK</v>
          </cell>
        </row>
        <row r="3347">
          <cell r="A3347" t="str">
            <v>YXYKTK26</v>
          </cell>
          <cell r="B3347" t="str">
            <v>YXYKTK</v>
          </cell>
        </row>
        <row r="3348">
          <cell r="A3348" t="str">
            <v>YXYKTK27</v>
          </cell>
          <cell r="B3348" t="str">
            <v>YXYKTK</v>
          </cell>
        </row>
        <row r="3349">
          <cell r="A3349" t="str">
            <v>YXYKTK28</v>
          </cell>
          <cell r="B3349" t="str">
            <v>YXYKTK</v>
          </cell>
        </row>
        <row r="3350">
          <cell r="A3350" t="str">
            <v>YXYKTK29</v>
          </cell>
          <cell r="B3350" t="str">
            <v>YXYKTK</v>
          </cell>
        </row>
        <row r="3351">
          <cell r="A3351" t="str">
            <v>YXYKTK3</v>
          </cell>
          <cell r="B3351" t="str">
            <v>YXYKTK</v>
          </cell>
        </row>
        <row r="3352">
          <cell r="A3352" t="str">
            <v>YXYKTK30</v>
          </cell>
          <cell r="B3352" t="str">
            <v>YXYKTK</v>
          </cell>
        </row>
        <row r="3353">
          <cell r="A3353" t="str">
            <v>YXYKTK31</v>
          </cell>
          <cell r="B3353" t="str">
            <v>YXYKTK</v>
          </cell>
        </row>
        <row r="3354">
          <cell r="A3354" t="str">
            <v>YXYKTK32</v>
          </cell>
          <cell r="B3354" t="str">
            <v>YXYKTK</v>
          </cell>
        </row>
        <row r="3355">
          <cell r="A3355" t="str">
            <v>YXYKTK33</v>
          </cell>
          <cell r="B3355" t="str">
            <v>YXYKTK</v>
          </cell>
        </row>
        <row r="3356">
          <cell r="A3356" t="str">
            <v>YXYKTK34</v>
          </cell>
          <cell r="B3356" t="str">
            <v>YXYKTK</v>
          </cell>
        </row>
        <row r="3357">
          <cell r="A3357" t="str">
            <v>YXYKTK35</v>
          </cell>
          <cell r="B3357" t="str">
            <v>YXYKTK</v>
          </cell>
        </row>
        <row r="3358">
          <cell r="A3358" t="str">
            <v>YXYKTK36</v>
          </cell>
          <cell r="B3358" t="str">
            <v>YXYKTK</v>
          </cell>
        </row>
        <row r="3359">
          <cell r="A3359" t="str">
            <v>YXYKTK37</v>
          </cell>
          <cell r="B3359" t="str">
            <v>YXYKTK</v>
          </cell>
        </row>
        <row r="3360">
          <cell r="A3360" t="str">
            <v>YXYKTK38</v>
          </cell>
          <cell r="B3360" t="str">
            <v>YXYKTK</v>
          </cell>
        </row>
        <row r="3361">
          <cell r="A3361" t="str">
            <v>YXYKTK39</v>
          </cell>
          <cell r="B3361" t="str">
            <v>YXYKTK</v>
          </cell>
        </row>
        <row r="3362">
          <cell r="A3362" t="str">
            <v>YXYKTK4</v>
          </cell>
          <cell r="B3362" t="str">
            <v>YXYKTK</v>
          </cell>
        </row>
        <row r="3363">
          <cell r="A3363" t="str">
            <v>YXYKTK40</v>
          </cell>
          <cell r="B3363" t="str">
            <v>YXYKTK</v>
          </cell>
        </row>
        <row r="3364">
          <cell r="A3364" t="str">
            <v>YXYKTK41</v>
          </cell>
          <cell r="B3364" t="str">
            <v>YXYKTK</v>
          </cell>
        </row>
        <row r="3365">
          <cell r="A3365" t="str">
            <v>YXYKTK42</v>
          </cell>
          <cell r="B3365" t="str">
            <v>YXYKTK</v>
          </cell>
        </row>
        <row r="3366">
          <cell r="A3366" t="str">
            <v>YXYKTK43</v>
          </cell>
          <cell r="B3366" t="str">
            <v>YXYKTK</v>
          </cell>
        </row>
        <row r="3367">
          <cell r="A3367" t="str">
            <v>YXYKTK44</v>
          </cell>
          <cell r="B3367" t="str">
            <v>YXYKTK</v>
          </cell>
        </row>
        <row r="3368">
          <cell r="A3368" t="str">
            <v>YXYKTK45</v>
          </cell>
          <cell r="B3368" t="str">
            <v>YXYKTK</v>
          </cell>
        </row>
        <row r="3369">
          <cell r="A3369" t="str">
            <v>YXYKTK46</v>
          </cell>
          <cell r="B3369" t="str">
            <v>YXYKTK</v>
          </cell>
        </row>
        <row r="3370">
          <cell r="A3370" t="str">
            <v>YXYKTK47</v>
          </cell>
          <cell r="B3370" t="str">
            <v>YXYKTK</v>
          </cell>
        </row>
        <row r="3371">
          <cell r="A3371" t="str">
            <v>YXYKTK48</v>
          </cell>
          <cell r="B3371" t="str">
            <v>YXYKTK</v>
          </cell>
        </row>
        <row r="3372">
          <cell r="A3372" t="str">
            <v>YXYKTK49</v>
          </cell>
          <cell r="B3372" t="str">
            <v>YXYKTK</v>
          </cell>
        </row>
        <row r="3373">
          <cell r="A3373" t="str">
            <v>YXYKTK5</v>
          </cell>
          <cell r="B3373" t="str">
            <v>YXYKTK</v>
          </cell>
        </row>
        <row r="3374">
          <cell r="A3374" t="str">
            <v>YXYKTK50</v>
          </cell>
          <cell r="B3374" t="str">
            <v>YXYKTK</v>
          </cell>
        </row>
        <row r="3375">
          <cell r="A3375" t="str">
            <v>YXYKTK51</v>
          </cell>
          <cell r="B3375" t="str">
            <v>YXYKTK</v>
          </cell>
        </row>
        <row r="3376">
          <cell r="A3376" t="str">
            <v>YXYKTK52</v>
          </cell>
          <cell r="B3376" t="str">
            <v>YXYKTK</v>
          </cell>
        </row>
        <row r="3377">
          <cell r="A3377" t="str">
            <v>YXYKTK53</v>
          </cell>
          <cell r="B3377" t="str">
            <v>YXYKTK</v>
          </cell>
        </row>
        <row r="3378">
          <cell r="A3378" t="str">
            <v>YXYKTK54</v>
          </cell>
          <cell r="B3378" t="str">
            <v>YXYKTK</v>
          </cell>
        </row>
        <row r="3379">
          <cell r="A3379" t="str">
            <v>YXYKTK55</v>
          </cell>
          <cell r="B3379" t="str">
            <v>YXYKTK</v>
          </cell>
        </row>
        <row r="3380">
          <cell r="A3380" t="str">
            <v>YXYKTK56</v>
          </cell>
          <cell r="B3380" t="str">
            <v>YXYKTK</v>
          </cell>
        </row>
        <row r="3381">
          <cell r="A3381" t="str">
            <v>YXYKTK57</v>
          </cell>
          <cell r="B3381" t="str">
            <v>YXYKTK</v>
          </cell>
        </row>
        <row r="3382">
          <cell r="A3382" t="str">
            <v>YXYKTK58</v>
          </cell>
          <cell r="B3382" t="str">
            <v>YXYKTK</v>
          </cell>
        </row>
        <row r="3383">
          <cell r="A3383" t="str">
            <v>YXYKTK59</v>
          </cell>
          <cell r="B3383" t="str">
            <v>YXYKTK</v>
          </cell>
        </row>
        <row r="3384">
          <cell r="A3384" t="str">
            <v>YXYKTK6</v>
          </cell>
          <cell r="B3384" t="str">
            <v>YXYKTK</v>
          </cell>
        </row>
        <row r="3385">
          <cell r="A3385" t="str">
            <v>YXYKTK60</v>
          </cell>
          <cell r="B3385" t="str">
            <v>YXYKTK</v>
          </cell>
        </row>
        <row r="3386">
          <cell r="A3386" t="str">
            <v>YXYKTK61</v>
          </cell>
          <cell r="B3386" t="str">
            <v>YXYKTK</v>
          </cell>
        </row>
        <row r="3387">
          <cell r="A3387" t="str">
            <v>YXYKTK62</v>
          </cell>
          <cell r="B3387" t="str">
            <v>YXYKTK</v>
          </cell>
        </row>
        <row r="3388">
          <cell r="A3388" t="str">
            <v>YXYKTK63</v>
          </cell>
          <cell r="B3388" t="str">
            <v>YXYKTK</v>
          </cell>
        </row>
        <row r="3389">
          <cell r="A3389" t="str">
            <v>YXYKTK64</v>
          </cell>
          <cell r="B3389" t="str">
            <v>YXYKTK</v>
          </cell>
        </row>
        <row r="3390">
          <cell r="A3390" t="str">
            <v>YXYKTK65</v>
          </cell>
          <cell r="B3390" t="str">
            <v>YXYKTK</v>
          </cell>
        </row>
        <row r="3391">
          <cell r="A3391" t="str">
            <v>YXYKTK66</v>
          </cell>
          <cell r="B3391" t="str">
            <v>YXYKTK</v>
          </cell>
        </row>
        <row r="3392">
          <cell r="A3392" t="str">
            <v>YXYKTK67</v>
          </cell>
          <cell r="B3392" t="str">
            <v>YXYKTK</v>
          </cell>
        </row>
        <row r="3393">
          <cell r="A3393" t="str">
            <v>YXYKTK68</v>
          </cell>
          <cell r="B3393" t="str">
            <v>YXYKTK</v>
          </cell>
        </row>
        <row r="3394">
          <cell r="A3394" t="str">
            <v>YXYKTK69</v>
          </cell>
          <cell r="B3394" t="str">
            <v>YXYKTK</v>
          </cell>
        </row>
        <row r="3395">
          <cell r="A3395" t="str">
            <v>YXYKTK7</v>
          </cell>
          <cell r="B3395" t="str">
            <v>YXYKTK</v>
          </cell>
        </row>
        <row r="3396">
          <cell r="A3396" t="str">
            <v>YXYKTK70</v>
          </cell>
          <cell r="B3396" t="str">
            <v>YXYKTK</v>
          </cell>
        </row>
        <row r="3397">
          <cell r="A3397" t="str">
            <v>YXYKTK71</v>
          </cell>
          <cell r="B3397" t="str">
            <v>YXYKTK</v>
          </cell>
        </row>
        <row r="3398">
          <cell r="A3398" t="str">
            <v>YXYKTK72</v>
          </cell>
          <cell r="B3398" t="str">
            <v>YXYKTK</v>
          </cell>
        </row>
        <row r="3399">
          <cell r="A3399" t="str">
            <v>YXYKTK73</v>
          </cell>
          <cell r="B3399" t="str">
            <v>YXYKTK</v>
          </cell>
        </row>
        <row r="3400">
          <cell r="A3400" t="str">
            <v>YXYKTK74</v>
          </cell>
          <cell r="B3400" t="str">
            <v>YXYKTK</v>
          </cell>
        </row>
        <row r="3401">
          <cell r="A3401" t="str">
            <v>YXYKTK75</v>
          </cell>
          <cell r="B3401" t="str">
            <v>YXYKTK</v>
          </cell>
        </row>
        <row r="3402">
          <cell r="A3402" t="str">
            <v>YXYKTK76</v>
          </cell>
          <cell r="B3402" t="str">
            <v>YXYKTK</v>
          </cell>
        </row>
        <row r="3403">
          <cell r="A3403" t="str">
            <v>YXYKTK77</v>
          </cell>
          <cell r="B3403" t="str">
            <v>YXYKTK</v>
          </cell>
        </row>
        <row r="3404">
          <cell r="A3404" t="str">
            <v>YXYKTK78</v>
          </cell>
          <cell r="B3404" t="str">
            <v>YXYKTK</v>
          </cell>
        </row>
        <row r="3405">
          <cell r="A3405" t="str">
            <v>YXYKTK79</v>
          </cell>
          <cell r="B3405" t="str">
            <v>YXYKTK</v>
          </cell>
        </row>
        <row r="3406">
          <cell r="A3406" t="str">
            <v>YXYKTK8</v>
          </cell>
          <cell r="B3406" t="str">
            <v>YXYKTK</v>
          </cell>
        </row>
        <row r="3407">
          <cell r="A3407" t="str">
            <v>YXYKTK80</v>
          </cell>
          <cell r="B3407" t="str">
            <v>YXYKTK</v>
          </cell>
        </row>
        <row r="3408">
          <cell r="A3408" t="str">
            <v>YXYKTK81</v>
          </cell>
          <cell r="B3408" t="str">
            <v>YXYKTK</v>
          </cell>
        </row>
        <row r="3409">
          <cell r="A3409" t="str">
            <v>YXYKTK82</v>
          </cell>
          <cell r="B3409" t="str">
            <v>YXYKTK</v>
          </cell>
        </row>
        <row r="3410">
          <cell r="A3410" t="str">
            <v>YXYKTK83</v>
          </cell>
          <cell r="B3410" t="str">
            <v>YXYKTK</v>
          </cell>
        </row>
        <row r="3411">
          <cell r="A3411" t="str">
            <v>YXYKTK84</v>
          </cell>
          <cell r="B3411" t="str">
            <v>YXYKTK</v>
          </cell>
        </row>
        <row r="3412">
          <cell r="A3412" t="str">
            <v>YXYKTK85</v>
          </cell>
          <cell r="B3412" t="str">
            <v>YXYKTK</v>
          </cell>
        </row>
        <row r="3413">
          <cell r="A3413" t="str">
            <v>YXYKTK86</v>
          </cell>
          <cell r="B3413" t="str">
            <v>YXYKTK</v>
          </cell>
        </row>
        <row r="3414">
          <cell r="A3414" t="str">
            <v>YXYKTK87</v>
          </cell>
          <cell r="B3414" t="str">
            <v>YXYKTK</v>
          </cell>
        </row>
        <row r="3415">
          <cell r="A3415" t="str">
            <v>YXYKTK88</v>
          </cell>
          <cell r="B3415" t="str">
            <v>YXYKTK</v>
          </cell>
        </row>
        <row r="3416">
          <cell r="A3416" t="str">
            <v>YXYKTK89</v>
          </cell>
          <cell r="B3416" t="str">
            <v>YXYKTK</v>
          </cell>
        </row>
        <row r="3417">
          <cell r="A3417" t="str">
            <v>YXYKTK9</v>
          </cell>
          <cell r="B3417" t="str">
            <v>YXYKTK</v>
          </cell>
        </row>
        <row r="3418">
          <cell r="A3418" t="str">
            <v>YXYKTK90</v>
          </cell>
          <cell r="B3418" t="str">
            <v>YXYKTK</v>
          </cell>
        </row>
        <row r="3419">
          <cell r="A3419" t="str">
            <v>YXYKTK91</v>
          </cell>
          <cell r="B3419" t="str">
            <v>YXYKTK</v>
          </cell>
        </row>
        <row r="3420">
          <cell r="A3420" t="str">
            <v>YXYKTK92</v>
          </cell>
          <cell r="B3420" t="str">
            <v>YXYKTK</v>
          </cell>
        </row>
        <row r="3421">
          <cell r="A3421" t="str">
            <v>YXYKTK93</v>
          </cell>
          <cell r="B3421" t="str">
            <v>YXYKTK</v>
          </cell>
        </row>
        <row r="3422">
          <cell r="A3422" t="str">
            <v>YXYKTK94</v>
          </cell>
          <cell r="B3422" t="str">
            <v>YXYKTK</v>
          </cell>
        </row>
        <row r="3423">
          <cell r="A3423" t="str">
            <v>YXYKTK95</v>
          </cell>
          <cell r="B3423" t="str">
            <v>YXYKTK</v>
          </cell>
        </row>
        <row r="3424">
          <cell r="A3424" t="str">
            <v>YXYKTK96</v>
          </cell>
          <cell r="B3424" t="str">
            <v>YXYKTK</v>
          </cell>
        </row>
        <row r="3425">
          <cell r="A3425" t="str">
            <v>YXYKTK97</v>
          </cell>
          <cell r="B3425" t="str">
            <v>YXYKTK</v>
          </cell>
        </row>
        <row r="3426">
          <cell r="A3426" t="str">
            <v>YXYKTK98</v>
          </cell>
          <cell r="B3426" t="str">
            <v>YXYKTK</v>
          </cell>
        </row>
        <row r="3427">
          <cell r="A3427" t="str">
            <v>YXYKTK99</v>
          </cell>
          <cell r="B3427" t="str">
            <v>YXYKTK</v>
          </cell>
        </row>
        <row r="3428">
          <cell r="A3428" t="str">
            <v>YYXZYH1</v>
          </cell>
          <cell r="B3428" t="str">
            <v>YXYKTK</v>
          </cell>
        </row>
        <row r="3429">
          <cell r="A3429" t="str">
            <v>YYXZYH2</v>
          </cell>
          <cell r="B3429" t="str">
            <v>YXYKTK</v>
          </cell>
        </row>
        <row r="3430">
          <cell r="A3430" t="str">
            <v>YYXZYH3</v>
          </cell>
          <cell r="B3430" t="str">
            <v>YXYKTK</v>
          </cell>
        </row>
        <row r="3431">
          <cell r="A3431" t="str">
            <v>YYXZYH4</v>
          </cell>
          <cell r="B3431" t="str">
            <v>YYXZYH</v>
          </cell>
        </row>
        <row r="3432">
          <cell r="A3432" t="str">
            <v>ZCKDJWZW0</v>
          </cell>
          <cell r="B3432" t="str">
            <v>YYXZYH</v>
          </cell>
        </row>
        <row r="3433">
          <cell r="A3433" t="str">
            <v>ZCKSWZW0</v>
          </cell>
          <cell r="B3433" t="str">
            <v>YYXZYH</v>
          </cell>
        </row>
        <row r="3434">
          <cell r="A3434" t="str">
            <v>ZIMUYH1</v>
          </cell>
          <cell r="B3434" t="str">
            <v>YYXZYH</v>
          </cell>
        </row>
        <row r="3435">
          <cell r="A3435" t="str">
            <v>ZIMUYH2</v>
          </cell>
          <cell r="B3435" t="str">
            <v>ZCKDJWZ</v>
          </cell>
        </row>
        <row r="3436">
          <cell r="A3436" t="str">
            <v>ZIMUYH3</v>
          </cell>
          <cell r="B3436" t="str">
            <v>ZCKSWZ</v>
          </cell>
        </row>
        <row r="3437">
          <cell r="A3437" t="str">
            <v>ZIMUYH4</v>
          </cell>
          <cell r="B3437" t="str">
            <v>ZIMUYH</v>
          </cell>
        </row>
        <row r="3438">
          <cell r="A3438" t="str">
            <v>ZIMUYH5</v>
          </cell>
          <cell r="B3438" t="str">
            <v>ZIMUYH</v>
          </cell>
        </row>
        <row r="3439">
          <cell r="A3439" t="str">
            <v>ZIMUYH6</v>
          </cell>
          <cell r="B3439" t="str">
            <v>ZIMUYH</v>
          </cell>
        </row>
        <row r="3440">
          <cell r="A3440" t="str">
            <v>ZIMUYH7</v>
          </cell>
          <cell r="B3440" t="str">
            <v>ZIMUYH</v>
          </cell>
        </row>
        <row r="3441">
          <cell r="A3441" t="str">
            <v>ZIMUYH8</v>
          </cell>
          <cell r="B3441" t="str">
            <v>ZIMUYH</v>
          </cell>
        </row>
        <row r="3442">
          <cell r="A3442" t="str">
            <v>ZIMUYH9</v>
          </cell>
          <cell r="B3442" t="str">
            <v>ZIMUYH</v>
          </cell>
        </row>
        <row r="3443">
          <cell r="A3443" t="str">
            <v>ZSNWP0</v>
          </cell>
          <cell r="B3443" t="str">
            <v>ZIMUYH</v>
          </cell>
        </row>
        <row r="3444">
          <cell r="A3444" t="str">
            <v>ZZTSW0</v>
          </cell>
          <cell r="B3444" t="str">
            <v>ZIMUYH</v>
          </cell>
        </row>
      </sheetData>
      <sheetData sheetId="1"/>
      <sheetData sheetId="2"/>
      <sheetData sheetId="3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4" Type="http://schemas.openxmlformats.org/officeDocument/2006/relationships/image" Target="../media/image1.wmf"/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4" Type="http://schemas.openxmlformats.org/officeDocument/2006/relationships/image" Target="../media/image2.wmf"/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4" Type="http://schemas.openxmlformats.org/officeDocument/2006/relationships/image" Target="../media/image3.wmf"/><Relationship Id="rId3" Type="http://schemas.openxmlformats.org/officeDocument/2006/relationships/control" Target="../activeX/activeX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AG16541"/>
  <sheetViews>
    <sheetView tabSelected="1" topLeftCell="J2" workbookViewId="0">
      <selection activeCell="AG93" sqref="AG2:AG175"/>
    </sheetView>
  </sheetViews>
  <sheetFormatPr defaultColWidth="9" defaultRowHeight="14.25"/>
  <cols>
    <col min="2" max="2" width="12.625"/>
    <col min="3" max="3" width="30.875" customWidth="1"/>
    <col min="31" max="31" width="8.625" customWidth="1"/>
    <col min="32" max="32" width="10.375" customWidth="1"/>
    <col min="33" max="33" width="15.5666666666667" style="11" customWidth="1"/>
  </cols>
  <sheetData>
    <row r="1" spans="1:33">
      <c r="A1" s="10" t="s">
        <v>0</v>
      </c>
      <c r="B1" s="10" t="s">
        <v>1</v>
      </c>
      <c r="C1" s="10" t="s">
        <v>2</v>
      </c>
      <c r="D1" s="10" t="s">
        <v>3</v>
      </c>
      <c r="E1" s="10" t="s">
        <v>4</v>
      </c>
      <c r="F1" s="10" t="s">
        <v>5</v>
      </c>
      <c r="G1" s="10" t="s">
        <v>6</v>
      </c>
      <c r="H1" s="10" t="s">
        <v>7</v>
      </c>
      <c r="I1" s="10" t="s">
        <v>8</v>
      </c>
      <c r="J1" s="10" t="s">
        <v>9</v>
      </c>
      <c r="K1" s="10" t="s">
        <v>10</v>
      </c>
      <c r="L1" s="10" t="s">
        <v>11</v>
      </c>
      <c r="M1" s="10" t="s">
        <v>12</v>
      </c>
      <c r="N1" s="10" t="s">
        <v>13</v>
      </c>
      <c r="O1" s="10" t="s">
        <v>14</v>
      </c>
      <c r="P1" s="10" t="s">
        <v>15</v>
      </c>
      <c r="Q1" s="10" t="s">
        <v>16</v>
      </c>
      <c r="R1" s="10" t="s">
        <v>17</v>
      </c>
      <c r="S1" s="10" t="s">
        <v>18</v>
      </c>
      <c r="T1" s="10" t="s">
        <v>19</v>
      </c>
      <c r="U1" s="10" t="s">
        <v>20</v>
      </c>
      <c r="V1" s="10" t="s">
        <v>21</v>
      </c>
      <c r="W1" s="10" t="s">
        <v>22</v>
      </c>
      <c r="X1" s="10" t="s">
        <v>23</v>
      </c>
      <c r="Y1" s="10" t="s">
        <v>24</v>
      </c>
      <c r="Z1" s="10" t="s">
        <v>25</v>
      </c>
      <c r="AA1" s="10" t="s">
        <v>26</v>
      </c>
      <c r="AB1" s="10" t="s">
        <v>27</v>
      </c>
      <c r="AC1" s="10" t="s">
        <v>28</v>
      </c>
      <c r="AD1" s="10" t="s">
        <v>29</v>
      </c>
      <c r="AE1" s="10" t="s">
        <v>30</v>
      </c>
      <c r="AF1" s="10" t="s">
        <v>31</v>
      </c>
      <c r="AG1" s="11" t="s">
        <v>32</v>
      </c>
    </row>
    <row r="2" spans="1:33">
      <c r="A2" s="9" t="s">
        <v>33</v>
      </c>
      <c r="B2" s="9" t="s">
        <v>33</v>
      </c>
      <c r="C2" s="9" t="s">
        <v>34</v>
      </c>
      <c r="D2" s="9" t="s">
        <v>35</v>
      </c>
      <c r="E2" s="9" t="s">
        <v>36</v>
      </c>
      <c r="F2" s="9" t="s">
        <v>37</v>
      </c>
      <c r="G2" s="9" t="s">
        <v>38</v>
      </c>
      <c r="H2" s="9"/>
      <c r="I2" s="9"/>
      <c r="J2" s="9" t="s">
        <v>39</v>
      </c>
      <c r="K2" s="9" t="s">
        <v>40</v>
      </c>
      <c r="L2" s="9" t="s">
        <v>41</v>
      </c>
      <c r="M2" s="9" t="s">
        <v>42</v>
      </c>
      <c r="N2" s="9" t="s">
        <v>36</v>
      </c>
      <c r="O2" s="9">
        <v>1</v>
      </c>
      <c r="P2" s="9" t="s">
        <v>43</v>
      </c>
      <c r="Q2" s="9">
        <v>12.99</v>
      </c>
      <c r="R2" s="9"/>
      <c r="S2" s="9"/>
      <c r="T2" s="9"/>
      <c r="U2" s="9"/>
      <c r="V2" s="9"/>
      <c r="W2" s="9"/>
      <c r="X2" s="9"/>
      <c r="Y2" s="9" t="s">
        <v>44</v>
      </c>
      <c r="Z2" s="9" t="s">
        <v>45</v>
      </c>
      <c r="AA2" s="9" t="s">
        <v>46</v>
      </c>
      <c r="AB2" s="9" t="s">
        <v>47</v>
      </c>
      <c r="AC2" s="9"/>
      <c r="AD2" s="9" t="b">
        <v>0</v>
      </c>
      <c r="AE2" s="9"/>
      <c r="AF2" s="9"/>
      <c r="AG2" s="12">
        <f t="shared" ref="AG2:AG65" si="0">DATEVALUE(LEFT(C2,10))</f>
        <v>43255</v>
      </c>
    </row>
    <row r="3" spans="1:33">
      <c r="A3" s="9" t="s">
        <v>48</v>
      </c>
      <c r="B3" s="9" t="s">
        <v>48</v>
      </c>
      <c r="C3" s="9" t="s">
        <v>49</v>
      </c>
      <c r="D3" s="9" t="s">
        <v>50</v>
      </c>
      <c r="E3" s="9" t="s">
        <v>36</v>
      </c>
      <c r="F3" s="9" t="s">
        <v>37</v>
      </c>
      <c r="G3" s="9" t="s">
        <v>38</v>
      </c>
      <c r="H3" s="9"/>
      <c r="I3" s="9"/>
      <c r="J3" s="9" t="s">
        <v>39</v>
      </c>
      <c r="K3" s="9" t="s">
        <v>51</v>
      </c>
      <c r="L3" s="9" t="s">
        <v>52</v>
      </c>
      <c r="M3" s="9" t="s">
        <v>53</v>
      </c>
      <c r="N3" s="9" t="s">
        <v>36</v>
      </c>
      <c r="O3" s="9">
        <v>1</v>
      </c>
      <c r="P3" s="9" t="s">
        <v>43</v>
      </c>
      <c r="Q3" s="9">
        <v>13.9</v>
      </c>
      <c r="R3" s="9"/>
      <c r="S3" s="9"/>
      <c r="T3" s="9"/>
      <c r="U3" s="9"/>
      <c r="V3" s="9"/>
      <c r="W3" s="9"/>
      <c r="X3" s="9"/>
      <c r="Y3" s="9" t="s">
        <v>54</v>
      </c>
      <c r="Z3" s="9" t="s">
        <v>55</v>
      </c>
      <c r="AA3" s="9" t="s">
        <v>56</v>
      </c>
      <c r="AB3" s="9" t="s">
        <v>47</v>
      </c>
      <c r="AC3" s="9"/>
      <c r="AD3" s="9" t="b">
        <v>0</v>
      </c>
      <c r="AE3" s="9"/>
      <c r="AF3" s="9"/>
      <c r="AG3" s="12">
        <f t="shared" si="0"/>
        <v>43255</v>
      </c>
    </row>
    <row r="4" spans="1:33">
      <c r="A4" s="9" t="s">
        <v>57</v>
      </c>
      <c r="B4" s="9" t="s">
        <v>57</v>
      </c>
      <c r="C4" s="9" t="s">
        <v>58</v>
      </c>
      <c r="D4" s="9" t="s">
        <v>59</v>
      </c>
      <c r="E4" s="9" t="s">
        <v>36</v>
      </c>
      <c r="F4" s="9" t="s">
        <v>37</v>
      </c>
      <c r="G4" s="9" t="s">
        <v>38</v>
      </c>
      <c r="H4" s="9"/>
      <c r="I4" s="9"/>
      <c r="J4" s="9" t="s">
        <v>39</v>
      </c>
      <c r="K4" s="9" t="s">
        <v>60</v>
      </c>
      <c r="L4" s="9" t="s">
        <v>61</v>
      </c>
      <c r="M4" s="9" t="s">
        <v>62</v>
      </c>
      <c r="N4" s="9" t="s">
        <v>36</v>
      </c>
      <c r="O4" s="9">
        <v>1</v>
      </c>
      <c r="P4" s="9" t="s">
        <v>43</v>
      </c>
      <c r="Q4" s="9">
        <v>9.99</v>
      </c>
      <c r="R4" s="9"/>
      <c r="S4" s="9"/>
      <c r="T4" s="9"/>
      <c r="U4" s="9"/>
      <c r="V4" s="9"/>
      <c r="W4" s="9"/>
      <c r="X4" s="9"/>
      <c r="Y4" s="9" t="s">
        <v>63</v>
      </c>
      <c r="Z4" s="9" t="s">
        <v>64</v>
      </c>
      <c r="AA4" s="9" t="s">
        <v>65</v>
      </c>
      <c r="AB4" s="9" t="s">
        <v>47</v>
      </c>
      <c r="AC4" s="9"/>
      <c r="AD4" s="9" t="b">
        <v>0</v>
      </c>
      <c r="AE4" s="9"/>
      <c r="AF4" s="9"/>
      <c r="AG4" s="12">
        <f t="shared" si="0"/>
        <v>43255</v>
      </c>
    </row>
    <row r="5" spans="1:33">
      <c r="A5" s="9" t="s">
        <v>57</v>
      </c>
      <c r="B5" s="9" t="s">
        <v>57</v>
      </c>
      <c r="C5" s="9" t="s">
        <v>58</v>
      </c>
      <c r="D5" s="9" t="s">
        <v>59</v>
      </c>
      <c r="E5" s="9" t="s">
        <v>36</v>
      </c>
      <c r="F5" s="9" t="s">
        <v>37</v>
      </c>
      <c r="G5" s="9" t="s">
        <v>38</v>
      </c>
      <c r="H5" s="9"/>
      <c r="I5" s="9"/>
      <c r="J5" s="9" t="s">
        <v>39</v>
      </c>
      <c r="K5" s="9" t="s">
        <v>66</v>
      </c>
      <c r="L5" s="9" t="s">
        <v>67</v>
      </c>
      <c r="M5" s="9" t="s">
        <v>68</v>
      </c>
      <c r="N5" s="9" t="s">
        <v>36</v>
      </c>
      <c r="O5" s="9">
        <v>1</v>
      </c>
      <c r="P5" s="9" t="s">
        <v>43</v>
      </c>
      <c r="Q5" s="9">
        <v>7.8</v>
      </c>
      <c r="R5" s="9"/>
      <c r="S5" s="9"/>
      <c r="T5" s="9"/>
      <c r="U5" s="9"/>
      <c r="V5" s="9"/>
      <c r="W5" s="9"/>
      <c r="X5" s="9"/>
      <c r="Y5" s="9" t="s">
        <v>63</v>
      </c>
      <c r="Z5" s="9" t="s">
        <v>64</v>
      </c>
      <c r="AA5" s="9" t="s">
        <v>65</v>
      </c>
      <c r="AB5" s="9" t="s">
        <v>47</v>
      </c>
      <c r="AC5" s="9"/>
      <c r="AD5" s="9" t="b">
        <v>0</v>
      </c>
      <c r="AE5" s="9"/>
      <c r="AF5" s="9"/>
      <c r="AG5" s="12">
        <f t="shared" si="0"/>
        <v>43255</v>
      </c>
    </row>
    <row r="6" spans="1:33">
      <c r="A6" s="9" t="s">
        <v>69</v>
      </c>
      <c r="B6" s="9" t="s">
        <v>69</v>
      </c>
      <c r="C6" s="9" t="s">
        <v>70</v>
      </c>
      <c r="D6" s="9" t="s">
        <v>71</v>
      </c>
      <c r="E6" s="9" t="s">
        <v>36</v>
      </c>
      <c r="F6" s="9" t="s">
        <v>37</v>
      </c>
      <c r="G6" s="9" t="s">
        <v>38</v>
      </c>
      <c r="H6" s="9"/>
      <c r="I6" s="9"/>
      <c r="J6" s="9" t="s">
        <v>72</v>
      </c>
      <c r="K6" s="9" t="s">
        <v>73</v>
      </c>
      <c r="L6" s="9" t="s">
        <v>74</v>
      </c>
      <c r="M6" s="9" t="s">
        <v>75</v>
      </c>
      <c r="N6" s="9" t="s">
        <v>36</v>
      </c>
      <c r="O6" s="9">
        <v>1</v>
      </c>
      <c r="P6" s="9" t="s">
        <v>43</v>
      </c>
      <c r="Q6" s="9">
        <v>9.99</v>
      </c>
      <c r="R6" s="9"/>
      <c r="S6" s="9">
        <v>2.29</v>
      </c>
      <c r="T6" s="9"/>
      <c r="U6" s="9"/>
      <c r="V6" s="9"/>
      <c r="W6" s="9"/>
      <c r="X6" s="9">
        <v>2.29</v>
      </c>
      <c r="Y6" s="9" t="s">
        <v>76</v>
      </c>
      <c r="Z6" s="9" t="s">
        <v>77</v>
      </c>
      <c r="AA6" s="9" t="s">
        <v>78</v>
      </c>
      <c r="AB6" s="9" t="s">
        <v>47</v>
      </c>
      <c r="AC6" s="9" t="s">
        <v>79</v>
      </c>
      <c r="AD6" s="9" t="b">
        <v>0</v>
      </c>
      <c r="AE6" s="9"/>
      <c r="AF6" s="9"/>
      <c r="AG6" s="12">
        <f t="shared" si="0"/>
        <v>43255</v>
      </c>
    </row>
    <row r="7" spans="1:33">
      <c r="A7" s="9" t="s">
        <v>80</v>
      </c>
      <c r="B7" s="9"/>
      <c r="C7" s="9" t="s">
        <v>81</v>
      </c>
      <c r="D7" s="9" t="s">
        <v>82</v>
      </c>
      <c r="E7" s="9" t="s">
        <v>36</v>
      </c>
      <c r="F7" s="9" t="s">
        <v>83</v>
      </c>
      <c r="G7" s="9" t="s">
        <v>38</v>
      </c>
      <c r="H7" s="9"/>
      <c r="I7" s="9"/>
      <c r="J7" s="9" t="s">
        <v>72</v>
      </c>
      <c r="K7" s="9" t="s">
        <v>84</v>
      </c>
      <c r="L7" s="9" t="s">
        <v>85</v>
      </c>
      <c r="M7" s="9" t="s">
        <v>86</v>
      </c>
      <c r="N7" s="9" t="s">
        <v>36</v>
      </c>
      <c r="O7" s="9">
        <v>1</v>
      </c>
      <c r="P7" s="9" t="s">
        <v>43</v>
      </c>
      <c r="Q7" s="9">
        <v>29.9</v>
      </c>
      <c r="R7" s="9"/>
      <c r="S7" s="9">
        <v>2.54</v>
      </c>
      <c r="T7" s="9"/>
      <c r="U7" s="9">
        <v>0</v>
      </c>
      <c r="V7" s="9"/>
      <c r="W7" s="9"/>
      <c r="X7" s="9"/>
      <c r="Y7" s="9" t="s">
        <v>87</v>
      </c>
      <c r="Z7" s="9" t="s">
        <v>88</v>
      </c>
      <c r="AA7" s="9">
        <v>27705</v>
      </c>
      <c r="AB7" s="9" t="s">
        <v>47</v>
      </c>
      <c r="AC7" s="9"/>
      <c r="AD7" s="9" t="b">
        <v>0</v>
      </c>
      <c r="AE7" s="9"/>
      <c r="AF7" s="9"/>
      <c r="AG7" s="12">
        <f t="shared" si="0"/>
        <v>43256</v>
      </c>
    </row>
    <row r="8" spans="1:33">
      <c r="A8" s="9" t="s">
        <v>80</v>
      </c>
      <c r="B8" s="9"/>
      <c r="C8" s="9" t="s">
        <v>81</v>
      </c>
      <c r="D8" s="9" t="s">
        <v>82</v>
      </c>
      <c r="E8" s="9" t="s">
        <v>36</v>
      </c>
      <c r="F8" s="9" t="s">
        <v>83</v>
      </c>
      <c r="G8" s="9" t="s">
        <v>38</v>
      </c>
      <c r="H8" s="9"/>
      <c r="I8" s="9"/>
      <c r="J8" s="9" t="s">
        <v>72</v>
      </c>
      <c r="K8" s="9" t="s">
        <v>89</v>
      </c>
      <c r="L8" s="9" t="s">
        <v>90</v>
      </c>
      <c r="M8" s="9" t="s">
        <v>91</v>
      </c>
      <c r="N8" s="9" t="s">
        <v>36</v>
      </c>
      <c r="O8" s="9">
        <v>1</v>
      </c>
      <c r="P8" s="9" t="s">
        <v>43</v>
      </c>
      <c r="Q8" s="9">
        <v>29.9</v>
      </c>
      <c r="R8" s="9"/>
      <c r="S8" s="9">
        <v>2.55</v>
      </c>
      <c r="T8" s="9"/>
      <c r="U8" s="9">
        <v>0</v>
      </c>
      <c r="V8" s="9"/>
      <c r="W8" s="9"/>
      <c r="X8" s="9"/>
      <c r="Y8" s="9" t="s">
        <v>87</v>
      </c>
      <c r="Z8" s="9" t="s">
        <v>88</v>
      </c>
      <c r="AA8" s="9">
        <v>27705</v>
      </c>
      <c r="AB8" s="9" t="s">
        <v>47</v>
      </c>
      <c r="AC8" s="9"/>
      <c r="AD8" s="9" t="b">
        <v>0</v>
      </c>
      <c r="AE8" s="9"/>
      <c r="AF8" s="9"/>
      <c r="AG8" s="12">
        <f t="shared" si="0"/>
        <v>43256</v>
      </c>
    </row>
    <row r="9" spans="1:33">
      <c r="A9" s="9" t="s">
        <v>92</v>
      </c>
      <c r="B9" s="9" t="s">
        <v>92</v>
      </c>
      <c r="C9" s="9" t="s">
        <v>93</v>
      </c>
      <c r="D9" s="9" t="s">
        <v>94</v>
      </c>
      <c r="E9" s="9" t="s">
        <v>36</v>
      </c>
      <c r="F9" s="9" t="s">
        <v>37</v>
      </c>
      <c r="G9" s="9" t="s">
        <v>38</v>
      </c>
      <c r="H9" s="9"/>
      <c r="I9" s="9"/>
      <c r="J9" s="9" t="s">
        <v>72</v>
      </c>
      <c r="K9" s="9" t="s">
        <v>95</v>
      </c>
      <c r="L9" s="9" t="s">
        <v>96</v>
      </c>
      <c r="M9" s="9" t="s">
        <v>97</v>
      </c>
      <c r="N9" s="9" t="s">
        <v>36</v>
      </c>
      <c r="O9" s="9">
        <v>1</v>
      </c>
      <c r="P9" s="9" t="s">
        <v>43</v>
      </c>
      <c r="Q9" s="9">
        <v>18.99</v>
      </c>
      <c r="R9" s="9"/>
      <c r="S9" s="9">
        <v>1.78</v>
      </c>
      <c r="T9" s="9"/>
      <c r="U9" s="9"/>
      <c r="V9" s="9"/>
      <c r="W9" s="9"/>
      <c r="X9" s="9">
        <v>1.78</v>
      </c>
      <c r="Y9" s="9" t="s">
        <v>98</v>
      </c>
      <c r="Z9" s="9" t="s">
        <v>77</v>
      </c>
      <c r="AA9" s="9" t="s">
        <v>99</v>
      </c>
      <c r="AB9" s="9" t="s">
        <v>47</v>
      </c>
      <c r="AC9" s="9" t="s">
        <v>79</v>
      </c>
      <c r="AD9" s="9" t="b">
        <v>0</v>
      </c>
      <c r="AE9" s="9"/>
      <c r="AF9" s="9"/>
      <c r="AG9" s="12">
        <f t="shared" si="0"/>
        <v>43256</v>
      </c>
    </row>
    <row r="10" spans="1:33">
      <c r="A10" s="9" t="s">
        <v>100</v>
      </c>
      <c r="B10" s="9" t="s">
        <v>100</v>
      </c>
      <c r="C10" s="9" t="s">
        <v>101</v>
      </c>
      <c r="D10" s="9" t="s">
        <v>102</v>
      </c>
      <c r="E10" s="9" t="s">
        <v>36</v>
      </c>
      <c r="F10" s="9" t="s">
        <v>37</v>
      </c>
      <c r="G10" s="9" t="s">
        <v>38</v>
      </c>
      <c r="H10" s="9"/>
      <c r="I10" s="9"/>
      <c r="J10" s="9" t="s">
        <v>103</v>
      </c>
      <c r="K10" s="9" t="s">
        <v>104</v>
      </c>
      <c r="L10" s="9" t="s">
        <v>105</v>
      </c>
      <c r="M10" s="9" t="s">
        <v>106</v>
      </c>
      <c r="N10" s="9" t="s">
        <v>36</v>
      </c>
      <c r="O10" s="9">
        <v>1</v>
      </c>
      <c r="P10" s="9" t="s">
        <v>43</v>
      </c>
      <c r="Q10" s="9">
        <v>13.9</v>
      </c>
      <c r="R10" s="9"/>
      <c r="S10" s="9">
        <v>3.99</v>
      </c>
      <c r="T10" s="9"/>
      <c r="U10" s="9"/>
      <c r="V10" s="9"/>
      <c r="W10" s="9"/>
      <c r="X10" s="9"/>
      <c r="Y10" s="9" t="s">
        <v>107</v>
      </c>
      <c r="Z10" s="9" t="s">
        <v>108</v>
      </c>
      <c r="AA10" s="9" t="s">
        <v>109</v>
      </c>
      <c r="AB10" s="9" t="s">
        <v>47</v>
      </c>
      <c r="AC10" s="9"/>
      <c r="AD10" s="9" t="b">
        <v>0</v>
      </c>
      <c r="AE10" s="9"/>
      <c r="AF10" s="9"/>
      <c r="AG10" s="12">
        <f t="shared" si="0"/>
        <v>43256</v>
      </c>
    </row>
    <row r="11" spans="1:33">
      <c r="A11" s="9" t="s">
        <v>110</v>
      </c>
      <c r="B11" s="9" t="s">
        <v>110</v>
      </c>
      <c r="C11" s="9" t="s">
        <v>111</v>
      </c>
      <c r="D11" s="9" t="s">
        <v>112</v>
      </c>
      <c r="E11" s="9" t="s">
        <v>113</v>
      </c>
      <c r="F11" s="9" t="s">
        <v>37</v>
      </c>
      <c r="G11" s="9" t="s">
        <v>38</v>
      </c>
      <c r="H11" s="9"/>
      <c r="I11" s="9"/>
      <c r="J11" s="9" t="s">
        <v>39</v>
      </c>
      <c r="K11" s="9" t="s">
        <v>114</v>
      </c>
      <c r="L11" s="9" t="s">
        <v>115</v>
      </c>
      <c r="M11" s="9" t="s">
        <v>116</v>
      </c>
      <c r="N11" s="9" t="s">
        <v>117</v>
      </c>
      <c r="O11" s="9">
        <v>1</v>
      </c>
      <c r="P11" s="9" t="s">
        <v>43</v>
      </c>
      <c r="Q11" s="9">
        <v>13.9</v>
      </c>
      <c r="R11" s="9"/>
      <c r="S11" s="9"/>
      <c r="T11" s="9"/>
      <c r="U11" s="9"/>
      <c r="V11" s="9"/>
      <c r="W11" s="9"/>
      <c r="X11" s="9"/>
      <c r="Y11" s="9" t="s">
        <v>118</v>
      </c>
      <c r="Z11" s="9" t="s">
        <v>119</v>
      </c>
      <c r="AA11" s="9" t="s">
        <v>120</v>
      </c>
      <c r="AB11" s="9" t="s">
        <v>47</v>
      </c>
      <c r="AC11" s="9"/>
      <c r="AD11" s="9" t="b">
        <v>0</v>
      </c>
      <c r="AE11" s="9"/>
      <c r="AF11" s="9"/>
      <c r="AG11" s="12">
        <f t="shared" si="0"/>
        <v>43256</v>
      </c>
    </row>
    <row r="12" spans="1:33">
      <c r="A12" s="9" t="s">
        <v>121</v>
      </c>
      <c r="B12" s="9" t="s">
        <v>121</v>
      </c>
      <c r="C12" s="9" t="s">
        <v>122</v>
      </c>
      <c r="D12" s="9" t="s">
        <v>123</v>
      </c>
      <c r="E12" s="9" t="s">
        <v>36</v>
      </c>
      <c r="F12" s="9" t="s">
        <v>37</v>
      </c>
      <c r="G12" s="9" t="s">
        <v>38</v>
      </c>
      <c r="H12" s="9"/>
      <c r="I12" s="9"/>
      <c r="J12" s="9" t="s">
        <v>72</v>
      </c>
      <c r="K12" s="9" t="s">
        <v>124</v>
      </c>
      <c r="L12" s="9" t="s">
        <v>125</v>
      </c>
      <c r="M12" s="9" t="s">
        <v>126</v>
      </c>
      <c r="N12" s="9" t="s">
        <v>36</v>
      </c>
      <c r="O12" s="9">
        <v>1</v>
      </c>
      <c r="P12" s="9" t="s">
        <v>43</v>
      </c>
      <c r="Q12" s="9">
        <v>13.9</v>
      </c>
      <c r="R12" s="9"/>
      <c r="S12" s="9">
        <v>2.06</v>
      </c>
      <c r="T12" s="9"/>
      <c r="U12" s="9"/>
      <c r="V12" s="9"/>
      <c r="W12" s="9"/>
      <c r="X12" s="9">
        <v>2.06</v>
      </c>
      <c r="Y12" s="9" t="s">
        <v>127</v>
      </c>
      <c r="Z12" s="9" t="s">
        <v>128</v>
      </c>
      <c r="AA12" s="9" t="s">
        <v>129</v>
      </c>
      <c r="AB12" s="9" t="s">
        <v>47</v>
      </c>
      <c r="AC12" s="9" t="s">
        <v>79</v>
      </c>
      <c r="AD12" s="9" t="b">
        <v>0</v>
      </c>
      <c r="AE12" s="9"/>
      <c r="AF12" s="9"/>
      <c r="AG12" s="12">
        <f t="shared" si="0"/>
        <v>43257</v>
      </c>
    </row>
    <row r="13" spans="1:33">
      <c r="A13" s="9" t="s">
        <v>130</v>
      </c>
      <c r="B13" s="9" t="s">
        <v>130</v>
      </c>
      <c r="C13" s="9" t="s">
        <v>131</v>
      </c>
      <c r="D13" s="9" t="s">
        <v>132</v>
      </c>
      <c r="E13" s="9" t="s">
        <v>36</v>
      </c>
      <c r="F13" s="9" t="s">
        <v>37</v>
      </c>
      <c r="G13" s="9" t="s">
        <v>38</v>
      </c>
      <c r="H13" s="9"/>
      <c r="I13" s="9"/>
      <c r="J13" s="9" t="s">
        <v>72</v>
      </c>
      <c r="K13" s="9" t="s">
        <v>133</v>
      </c>
      <c r="L13" s="9" t="s">
        <v>134</v>
      </c>
      <c r="M13" s="9" t="s">
        <v>135</v>
      </c>
      <c r="N13" s="9" t="s">
        <v>36</v>
      </c>
      <c r="O13" s="9">
        <v>1</v>
      </c>
      <c r="P13" s="9" t="s">
        <v>43</v>
      </c>
      <c r="Q13" s="9">
        <v>20.9</v>
      </c>
      <c r="R13" s="9"/>
      <c r="S13" s="9">
        <v>5.99</v>
      </c>
      <c r="T13" s="9"/>
      <c r="U13" s="9"/>
      <c r="V13" s="9"/>
      <c r="W13" s="9"/>
      <c r="X13" s="9"/>
      <c r="Y13" s="9" t="s">
        <v>136</v>
      </c>
      <c r="Z13" s="9" t="s">
        <v>137</v>
      </c>
      <c r="AA13" s="9" t="s">
        <v>138</v>
      </c>
      <c r="AB13" s="9" t="s">
        <v>47</v>
      </c>
      <c r="AC13" s="9"/>
      <c r="AD13" s="9" t="b">
        <v>0</v>
      </c>
      <c r="AE13" s="9"/>
      <c r="AF13" s="9"/>
      <c r="AG13" s="12">
        <f t="shared" si="0"/>
        <v>43257</v>
      </c>
    </row>
    <row r="14" spans="1:33">
      <c r="A14" s="9" t="s">
        <v>139</v>
      </c>
      <c r="B14" s="9" t="s">
        <v>139</v>
      </c>
      <c r="C14" s="9" t="s">
        <v>140</v>
      </c>
      <c r="D14" s="9" t="s">
        <v>141</v>
      </c>
      <c r="E14" s="9" t="s">
        <v>36</v>
      </c>
      <c r="F14" s="9" t="s">
        <v>37</v>
      </c>
      <c r="G14" s="9" t="s">
        <v>38</v>
      </c>
      <c r="H14" s="9"/>
      <c r="I14" s="9"/>
      <c r="J14" s="9" t="s">
        <v>72</v>
      </c>
      <c r="K14" s="9" t="s">
        <v>142</v>
      </c>
      <c r="L14" s="9" t="s">
        <v>143</v>
      </c>
      <c r="M14" s="9" t="s">
        <v>144</v>
      </c>
      <c r="N14" s="9" t="s">
        <v>36</v>
      </c>
      <c r="O14" s="9">
        <v>1</v>
      </c>
      <c r="P14" s="9" t="s">
        <v>43</v>
      </c>
      <c r="Q14" s="9">
        <v>20.9</v>
      </c>
      <c r="R14" s="9"/>
      <c r="S14" s="9">
        <v>5.99</v>
      </c>
      <c r="T14" s="9"/>
      <c r="U14" s="9"/>
      <c r="V14" s="9"/>
      <c r="W14" s="9"/>
      <c r="X14" s="9"/>
      <c r="Y14" s="9" t="s">
        <v>136</v>
      </c>
      <c r="Z14" s="9" t="s">
        <v>137</v>
      </c>
      <c r="AA14" s="9" t="s">
        <v>138</v>
      </c>
      <c r="AB14" s="9" t="s">
        <v>47</v>
      </c>
      <c r="AC14" s="9"/>
      <c r="AD14" s="9" t="b">
        <v>0</v>
      </c>
      <c r="AE14" s="9"/>
      <c r="AF14" s="9"/>
      <c r="AG14" s="12">
        <f t="shared" si="0"/>
        <v>43257</v>
      </c>
    </row>
    <row r="15" spans="1:33">
      <c r="A15" s="9" t="s">
        <v>145</v>
      </c>
      <c r="B15" s="9" t="s">
        <v>145</v>
      </c>
      <c r="C15" s="9" t="s">
        <v>146</v>
      </c>
      <c r="D15" s="9" t="s">
        <v>147</v>
      </c>
      <c r="E15" s="9" t="s">
        <v>36</v>
      </c>
      <c r="F15" s="9" t="s">
        <v>37</v>
      </c>
      <c r="G15" s="9" t="s">
        <v>38</v>
      </c>
      <c r="H15" s="9"/>
      <c r="I15" s="9"/>
      <c r="J15" s="9" t="s">
        <v>39</v>
      </c>
      <c r="K15" s="9" t="s">
        <v>148</v>
      </c>
      <c r="L15" s="9" t="s">
        <v>149</v>
      </c>
      <c r="M15" s="9" t="s">
        <v>150</v>
      </c>
      <c r="N15" s="9" t="s">
        <v>36</v>
      </c>
      <c r="O15" s="9">
        <v>1</v>
      </c>
      <c r="P15" s="9" t="s">
        <v>43</v>
      </c>
      <c r="Q15" s="9">
        <v>18.99</v>
      </c>
      <c r="R15" s="9"/>
      <c r="S15" s="9"/>
      <c r="T15" s="9"/>
      <c r="U15" s="9"/>
      <c r="V15" s="9"/>
      <c r="W15" s="9"/>
      <c r="X15" s="9"/>
      <c r="Y15" s="9" t="s">
        <v>151</v>
      </c>
      <c r="Z15" s="9" t="s">
        <v>77</v>
      </c>
      <c r="AA15" s="9" t="s">
        <v>152</v>
      </c>
      <c r="AB15" s="9" t="s">
        <v>47</v>
      </c>
      <c r="AC15" s="9"/>
      <c r="AD15" s="9" t="b">
        <v>0</v>
      </c>
      <c r="AE15" s="9"/>
      <c r="AF15" s="9"/>
      <c r="AG15" s="12">
        <f t="shared" si="0"/>
        <v>43257</v>
      </c>
    </row>
    <row r="16" spans="1:33">
      <c r="A16" s="9" t="s">
        <v>153</v>
      </c>
      <c r="B16" s="9" t="s">
        <v>153</v>
      </c>
      <c r="C16" s="9" t="s">
        <v>154</v>
      </c>
      <c r="D16" s="9" t="s">
        <v>155</v>
      </c>
      <c r="E16" s="9" t="s">
        <v>36</v>
      </c>
      <c r="F16" s="9" t="s">
        <v>37</v>
      </c>
      <c r="G16" s="9" t="s">
        <v>38</v>
      </c>
      <c r="H16" s="9"/>
      <c r="I16" s="9"/>
      <c r="J16" s="9" t="s">
        <v>103</v>
      </c>
      <c r="K16" s="9" t="s">
        <v>156</v>
      </c>
      <c r="L16" s="9" t="s">
        <v>157</v>
      </c>
      <c r="M16" s="9" t="s">
        <v>158</v>
      </c>
      <c r="N16" s="9" t="s">
        <v>36</v>
      </c>
      <c r="O16" s="9">
        <v>1</v>
      </c>
      <c r="P16" s="9" t="s">
        <v>43</v>
      </c>
      <c r="Q16" s="9">
        <v>13.9</v>
      </c>
      <c r="R16" s="9"/>
      <c r="S16" s="9">
        <v>3.99</v>
      </c>
      <c r="T16" s="9"/>
      <c r="U16" s="9"/>
      <c r="V16" s="9"/>
      <c r="W16" s="9"/>
      <c r="X16" s="9"/>
      <c r="Y16" s="9" t="s">
        <v>159</v>
      </c>
      <c r="Z16" s="9" t="s">
        <v>160</v>
      </c>
      <c r="AA16" s="9" t="s">
        <v>161</v>
      </c>
      <c r="AB16" s="9" t="s">
        <v>47</v>
      </c>
      <c r="AC16" s="9"/>
      <c r="AD16" s="9" t="b">
        <v>0</v>
      </c>
      <c r="AE16" s="9"/>
      <c r="AF16" s="9"/>
      <c r="AG16" s="12">
        <f t="shared" si="0"/>
        <v>43257</v>
      </c>
    </row>
    <row r="17" spans="1:33">
      <c r="A17" s="9" t="s">
        <v>162</v>
      </c>
      <c r="B17" s="9" t="s">
        <v>162</v>
      </c>
      <c r="C17" s="9" t="s">
        <v>163</v>
      </c>
      <c r="D17" s="9" t="s">
        <v>164</v>
      </c>
      <c r="E17" s="9" t="s">
        <v>36</v>
      </c>
      <c r="F17" s="9" t="s">
        <v>37</v>
      </c>
      <c r="G17" s="9" t="s">
        <v>38</v>
      </c>
      <c r="H17" s="9"/>
      <c r="I17" s="9"/>
      <c r="J17" s="9" t="s">
        <v>72</v>
      </c>
      <c r="K17" s="9" t="s">
        <v>165</v>
      </c>
      <c r="L17" s="9" t="s">
        <v>166</v>
      </c>
      <c r="M17" s="9" t="s">
        <v>167</v>
      </c>
      <c r="N17" s="9" t="s">
        <v>36</v>
      </c>
      <c r="O17" s="9">
        <v>1</v>
      </c>
      <c r="P17" s="9" t="s">
        <v>43</v>
      </c>
      <c r="Q17" s="9">
        <v>16.9</v>
      </c>
      <c r="R17" s="9"/>
      <c r="S17" s="9">
        <v>3.71</v>
      </c>
      <c r="T17" s="9"/>
      <c r="U17" s="9"/>
      <c r="V17" s="9"/>
      <c r="W17" s="9"/>
      <c r="X17" s="9">
        <v>3.71</v>
      </c>
      <c r="Y17" s="9" t="s">
        <v>168</v>
      </c>
      <c r="Z17" s="9" t="s">
        <v>168</v>
      </c>
      <c r="AA17" s="9">
        <v>11214</v>
      </c>
      <c r="AB17" s="9" t="s">
        <v>47</v>
      </c>
      <c r="AC17" s="9" t="s">
        <v>79</v>
      </c>
      <c r="AD17" s="9" t="b">
        <v>0</v>
      </c>
      <c r="AE17" s="9"/>
      <c r="AF17" s="9"/>
      <c r="AG17" s="12">
        <f t="shared" si="0"/>
        <v>43257</v>
      </c>
    </row>
    <row r="18" spans="1:33">
      <c r="A18" s="9" t="s">
        <v>169</v>
      </c>
      <c r="B18" s="9" t="s">
        <v>169</v>
      </c>
      <c r="C18" s="9" t="s">
        <v>170</v>
      </c>
      <c r="D18" s="9" t="s">
        <v>171</v>
      </c>
      <c r="E18" s="9" t="s">
        <v>36</v>
      </c>
      <c r="F18" s="9" t="s">
        <v>37</v>
      </c>
      <c r="G18" s="9" t="s">
        <v>38</v>
      </c>
      <c r="H18" s="9"/>
      <c r="I18" s="9"/>
      <c r="J18" s="9" t="s">
        <v>39</v>
      </c>
      <c r="K18" s="9" t="s">
        <v>172</v>
      </c>
      <c r="L18" s="9" t="s">
        <v>173</v>
      </c>
      <c r="M18" s="9" t="s">
        <v>174</v>
      </c>
      <c r="N18" s="9" t="s">
        <v>36</v>
      </c>
      <c r="O18" s="9">
        <v>1</v>
      </c>
      <c r="P18" s="9" t="s">
        <v>43</v>
      </c>
      <c r="Q18" s="9">
        <v>9.99</v>
      </c>
      <c r="R18" s="9"/>
      <c r="S18" s="9"/>
      <c r="T18" s="9"/>
      <c r="U18" s="9"/>
      <c r="V18" s="9"/>
      <c r="W18" s="9"/>
      <c r="X18" s="9"/>
      <c r="Y18" s="9" t="s">
        <v>175</v>
      </c>
      <c r="Z18" s="9" t="s">
        <v>176</v>
      </c>
      <c r="AA18" s="9">
        <v>78758</v>
      </c>
      <c r="AB18" s="9" t="s">
        <v>47</v>
      </c>
      <c r="AC18" s="9"/>
      <c r="AD18" s="9" t="b">
        <v>0</v>
      </c>
      <c r="AE18" s="9"/>
      <c r="AF18" s="9"/>
      <c r="AG18" s="12">
        <f t="shared" si="0"/>
        <v>43257</v>
      </c>
    </row>
    <row r="19" spans="1:33">
      <c r="A19" s="9" t="s">
        <v>177</v>
      </c>
      <c r="B19" s="9" t="s">
        <v>177</v>
      </c>
      <c r="C19" s="9" t="s">
        <v>178</v>
      </c>
      <c r="D19" s="9" t="s">
        <v>179</v>
      </c>
      <c r="E19" s="9" t="s">
        <v>113</v>
      </c>
      <c r="F19" s="9" t="s">
        <v>37</v>
      </c>
      <c r="G19" s="9" t="s">
        <v>38</v>
      </c>
      <c r="H19" s="9"/>
      <c r="I19" s="9"/>
      <c r="J19" s="9" t="s">
        <v>72</v>
      </c>
      <c r="K19" s="9" t="s">
        <v>180</v>
      </c>
      <c r="L19" s="9" t="s">
        <v>181</v>
      </c>
      <c r="M19" s="9" t="s">
        <v>182</v>
      </c>
      <c r="N19" s="9" t="s">
        <v>117</v>
      </c>
      <c r="O19" s="9">
        <v>1</v>
      </c>
      <c r="P19" s="9" t="s">
        <v>43</v>
      </c>
      <c r="Q19" s="9">
        <v>20.9</v>
      </c>
      <c r="R19" s="9"/>
      <c r="S19" s="9"/>
      <c r="T19" s="9"/>
      <c r="U19" s="9"/>
      <c r="V19" s="9"/>
      <c r="W19" s="9"/>
      <c r="X19" s="9"/>
      <c r="Y19" s="9" t="s">
        <v>183</v>
      </c>
      <c r="Z19" s="9" t="s">
        <v>184</v>
      </c>
      <c r="AA19" s="9" t="s">
        <v>185</v>
      </c>
      <c r="AB19" s="9" t="s">
        <v>47</v>
      </c>
      <c r="AC19" s="9"/>
      <c r="AD19" s="9" t="b">
        <v>0</v>
      </c>
      <c r="AE19" s="9"/>
      <c r="AF19" s="9"/>
      <c r="AG19" s="12">
        <f t="shared" si="0"/>
        <v>43258</v>
      </c>
    </row>
    <row r="20" spans="1:33">
      <c r="A20" s="9" t="s">
        <v>186</v>
      </c>
      <c r="B20" s="9" t="s">
        <v>186</v>
      </c>
      <c r="C20" s="9" t="s">
        <v>187</v>
      </c>
      <c r="D20" s="9" t="s">
        <v>188</v>
      </c>
      <c r="E20" s="9" t="s">
        <v>36</v>
      </c>
      <c r="F20" s="9" t="s">
        <v>37</v>
      </c>
      <c r="G20" s="9" t="s">
        <v>38</v>
      </c>
      <c r="H20" s="9"/>
      <c r="I20" s="9"/>
      <c r="J20" s="9" t="s">
        <v>39</v>
      </c>
      <c r="K20" s="9" t="s">
        <v>189</v>
      </c>
      <c r="L20" s="9" t="s">
        <v>190</v>
      </c>
      <c r="M20" s="9" t="s">
        <v>191</v>
      </c>
      <c r="N20" s="9" t="s">
        <v>36</v>
      </c>
      <c r="O20" s="9">
        <v>1</v>
      </c>
      <c r="P20" s="9" t="s">
        <v>43</v>
      </c>
      <c r="Q20" s="9">
        <v>9.99</v>
      </c>
      <c r="R20" s="9"/>
      <c r="S20" s="9"/>
      <c r="T20" s="9"/>
      <c r="U20" s="9"/>
      <c r="V20" s="9"/>
      <c r="W20" s="9"/>
      <c r="X20" s="9"/>
      <c r="Y20" s="9" t="s">
        <v>192</v>
      </c>
      <c r="Z20" s="9" t="s">
        <v>193</v>
      </c>
      <c r="AA20" s="9" t="s">
        <v>194</v>
      </c>
      <c r="AB20" s="9" t="s">
        <v>47</v>
      </c>
      <c r="AC20" s="9"/>
      <c r="AD20" s="9" t="b">
        <v>0</v>
      </c>
      <c r="AE20" s="9"/>
      <c r="AF20" s="9"/>
      <c r="AG20" s="12">
        <f t="shared" si="0"/>
        <v>43258</v>
      </c>
    </row>
    <row r="21" spans="1:33">
      <c r="A21" s="9" t="s">
        <v>195</v>
      </c>
      <c r="B21" s="9" t="s">
        <v>195</v>
      </c>
      <c r="C21" s="9" t="s">
        <v>196</v>
      </c>
      <c r="D21" s="9" t="s">
        <v>197</v>
      </c>
      <c r="E21" s="9" t="s">
        <v>36</v>
      </c>
      <c r="F21" s="9" t="s">
        <v>37</v>
      </c>
      <c r="G21" s="9" t="s">
        <v>38</v>
      </c>
      <c r="H21" s="9"/>
      <c r="I21" s="9"/>
      <c r="J21" s="9" t="s">
        <v>39</v>
      </c>
      <c r="K21" s="9" t="s">
        <v>198</v>
      </c>
      <c r="L21" s="9" t="s">
        <v>199</v>
      </c>
      <c r="M21" s="9" t="s">
        <v>200</v>
      </c>
      <c r="N21" s="9" t="s">
        <v>36</v>
      </c>
      <c r="O21" s="9">
        <v>1</v>
      </c>
      <c r="P21" s="9" t="s">
        <v>43</v>
      </c>
      <c r="Q21" s="9">
        <v>20.9</v>
      </c>
      <c r="R21" s="9"/>
      <c r="S21" s="9"/>
      <c r="T21" s="9"/>
      <c r="U21" s="9"/>
      <c r="V21" s="9"/>
      <c r="W21" s="9"/>
      <c r="X21" s="9"/>
      <c r="Y21" s="9" t="s">
        <v>201</v>
      </c>
      <c r="Z21" s="9" t="s">
        <v>202</v>
      </c>
      <c r="AA21" s="9" t="s">
        <v>203</v>
      </c>
      <c r="AB21" s="9" t="s">
        <v>47</v>
      </c>
      <c r="AC21" s="9"/>
      <c r="AD21" s="9" t="b">
        <v>0</v>
      </c>
      <c r="AE21" s="9"/>
      <c r="AF21" s="9"/>
      <c r="AG21" s="12">
        <f t="shared" si="0"/>
        <v>43258</v>
      </c>
    </row>
    <row r="22" spans="1:33">
      <c r="A22" s="9" t="s">
        <v>204</v>
      </c>
      <c r="B22" s="9" t="s">
        <v>204</v>
      </c>
      <c r="C22" s="9" t="s">
        <v>205</v>
      </c>
      <c r="D22" s="9" t="s">
        <v>206</v>
      </c>
      <c r="E22" s="9" t="s">
        <v>36</v>
      </c>
      <c r="F22" s="9" t="s">
        <v>37</v>
      </c>
      <c r="G22" s="9" t="s">
        <v>38</v>
      </c>
      <c r="H22" s="9"/>
      <c r="I22" s="9"/>
      <c r="J22" s="9" t="s">
        <v>103</v>
      </c>
      <c r="K22" s="9" t="s">
        <v>207</v>
      </c>
      <c r="L22" s="9" t="s">
        <v>208</v>
      </c>
      <c r="M22" s="9" t="s">
        <v>209</v>
      </c>
      <c r="N22" s="9" t="s">
        <v>36</v>
      </c>
      <c r="O22" s="9">
        <v>1</v>
      </c>
      <c r="P22" s="9" t="s">
        <v>43</v>
      </c>
      <c r="Q22" s="9">
        <v>16.99</v>
      </c>
      <c r="R22" s="9"/>
      <c r="S22" s="9">
        <v>3.99</v>
      </c>
      <c r="T22" s="9"/>
      <c r="U22" s="9"/>
      <c r="V22" s="9"/>
      <c r="W22" s="9"/>
      <c r="X22" s="9"/>
      <c r="Y22" s="9" t="s">
        <v>210</v>
      </c>
      <c r="Z22" s="9" t="s">
        <v>64</v>
      </c>
      <c r="AA22" s="9" t="s">
        <v>211</v>
      </c>
      <c r="AB22" s="9" t="s">
        <v>47</v>
      </c>
      <c r="AC22" s="9"/>
      <c r="AD22" s="9" t="b">
        <v>0</v>
      </c>
      <c r="AE22" s="9"/>
      <c r="AF22" s="9"/>
      <c r="AG22" s="12">
        <f t="shared" si="0"/>
        <v>43258</v>
      </c>
    </row>
    <row r="23" spans="1:33">
      <c r="A23" s="9" t="s">
        <v>212</v>
      </c>
      <c r="B23" s="9" t="s">
        <v>212</v>
      </c>
      <c r="C23" s="9" t="s">
        <v>213</v>
      </c>
      <c r="D23" s="9" t="s">
        <v>214</v>
      </c>
      <c r="E23" s="9" t="s">
        <v>36</v>
      </c>
      <c r="F23" s="9" t="s">
        <v>37</v>
      </c>
      <c r="G23" s="9" t="s">
        <v>38</v>
      </c>
      <c r="H23" s="9"/>
      <c r="I23" s="9"/>
      <c r="J23" s="9" t="s">
        <v>39</v>
      </c>
      <c r="K23" s="9" t="s">
        <v>189</v>
      </c>
      <c r="L23" s="9" t="s">
        <v>190</v>
      </c>
      <c r="M23" s="9" t="s">
        <v>191</v>
      </c>
      <c r="N23" s="9" t="s">
        <v>36</v>
      </c>
      <c r="O23" s="9">
        <v>1</v>
      </c>
      <c r="P23" s="9" t="s">
        <v>43</v>
      </c>
      <c r="Q23" s="9">
        <v>9.99</v>
      </c>
      <c r="R23" s="9"/>
      <c r="S23" s="9"/>
      <c r="T23" s="9"/>
      <c r="U23" s="9"/>
      <c r="V23" s="9"/>
      <c r="W23" s="9"/>
      <c r="X23" s="9"/>
      <c r="Y23" s="9" t="s">
        <v>215</v>
      </c>
      <c r="Z23" s="9" t="s">
        <v>176</v>
      </c>
      <c r="AA23" s="9" t="s">
        <v>216</v>
      </c>
      <c r="AB23" s="9" t="s">
        <v>47</v>
      </c>
      <c r="AC23" s="9"/>
      <c r="AD23" s="9" t="b">
        <v>0</v>
      </c>
      <c r="AE23" s="9"/>
      <c r="AF23" s="9"/>
      <c r="AG23" s="12">
        <f t="shared" si="0"/>
        <v>43258</v>
      </c>
    </row>
    <row r="24" spans="1:33">
      <c r="A24" s="9" t="s">
        <v>217</v>
      </c>
      <c r="B24" s="9" t="s">
        <v>217</v>
      </c>
      <c r="C24" s="9" t="s">
        <v>218</v>
      </c>
      <c r="D24" s="9" t="s">
        <v>219</v>
      </c>
      <c r="E24" s="9" t="s">
        <v>36</v>
      </c>
      <c r="F24" s="9" t="s">
        <v>37</v>
      </c>
      <c r="G24" s="9" t="s">
        <v>38</v>
      </c>
      <c r="H24" s="9"/>
      <c r="I24" s="9"/>
      <c r="J24" s="9" t="s">
        <v>39</v>
      </c>
      <c r="K24" s="9" t="s">
        <v>220</v>
      </c>
      <c r="L24" s="9" t="s">
        <v>221</v>
      </c>
      <c r="M24" s="9" t="s">
        <v>222</v>
      </c>
      <c r="N24" s="9" t="s">
        <v>36</v>
      </c>
      <c r="O24" s="9">
        <v>1</v>
      </c>
      <c r="P24" s="9" t="s">
        <v>43</v>
      </c>
      <c r="Q24" s="9">
        <v>7.89</v>
      </c>
      <c r="R24" s="9"/>
      <c r="S24" s="9"/>
      <c r="T24" s="9"/>
      <c r="U24" s="9"/>
      <c r="V24" s="9"/>
      <c r="W24" s="9"/>
      <c r="X24" s="9"/>
      <c r="Y24" s="9" t="s">
        <v>223</v>
      </c>
      <c r="Z24" s="9" t="s">
        <v>224</v>
      </c>
      <c r="AA24" s="9" t="s">
        <v>225</v>
      </c>
      <c r="AB24" s="9" t="s">
        <v>47</v>
      </c>
      <c r="AC24" s="9"/>
      <c r="AD24" s="9" t="b">
        <v>0</v>
      </c>
      <c r="AE24" s="9"/>
      <c r="AF24" s="9"/>
      <c r="AG24" s="12">
        <f t="shared" si="0"/>
        <v>43259</v>
      </c>
    </row>
    <row r="25" spans="1:33">
      <c r="A25" s="9" t="s">
        <v>217</v>
      </c>
      <c r="B25" s="9" t="s">
        <v>217</v>
      </c>
      <c r="C25" s="9" t="s">
        <v>218</v>
      </c>
      <c r="D25" s="9" t="s">
        <v>219</v>
      </c>
      <c r="E25" s="9" t="s">
        <v>36</v>
      </c>
      <c r="F25" s="9" t="s">
        <v>37</v>
      </c>
      <c r="G25" s="9" t="s">
        <v>38</v>
      </c>
      <c r="H25" s="9"/>
      <c r="I25" s="9"/>
      <c r="J25" s="9" t="s">
        <v>39</v>
      </c>
      <c r="K25" s="9" t="s">
        <v>226</v>
      </c>
      <c r="L25" s="9" t="s">
        <v>227</v>
      </c>
      <c r="M25" s="9" t="s">
        <v>228</v>
      </c>
      <c r="N25" s="9" t="s">
        <v>36</v>
      </c>
      <c r="O25" s="9">
        <v>1</v>
      </c>
      <c r="P25" s="9" t="s">
        <v>43</v>
      </c>
      <c r="Q25" s="9">
        <v>8.53</v>
      </c>
      <c r="R25" s="9"/>
      <c r="S25" s="9"/>
      <c r="T25" s="9"/>
      <c r="U25" s="9"/>
      <c r="V25" s="9"/>
      <c r="W25" s="9"/>
      <c r="X25" s="9"/>
      <c r="Y25" s="9" t="s">
        <v>223</v>
      </c>
      <c r="Z25" s="9" t="s">
        <v>224</v>
      </c>
      <c r="AA25" s="9" t="s">
        <v>225</v>
      </c>
      <c r="AB25" s="9" t="s">
        <v>47</v>
      </c>
      <c r="AC25" s="9"/>
      <c r="AD25" s="9" t="b">
        <v>0</v>
      </c>
      <c r="AE25" s="9"/>
      <c r="AF25" s="9"/>
      <c r="AG25" s="12">
        <f t="shared" si="0"/>
        <v>43259</v>
      </c>
    </row>
    <row r="26" spans="1:33">
      <c r="A26" s="9" t="s">
        <v>229</v>
      </c>
      <c r="B26" s="9" t="s">
        <v>229</v>
      </c>
      <c r="C26" s="9" t="s">
        <v>230</v>
      </c>
      <c r="D26" s="9" t="s">
        <v>231</v>
      </c>
      <c r="E26" s="9" t="s">
        <v>36</v>
      </c>
      <c r="F26" s="9" t="s">
        <v>37</v>
      </c>
      <c r="G26" s="9" t="s">
        <v>38</v>
      </c>
      <c r="H26" s="9"/>
      <c r="I26" s="9"/>
      <c r="J26" s="9" t="s">
        <v>39</v>
      </c>
      <c r="K26" s="9" t="s">
        <v>232</v>
      </c>
      <c r="L26" s="9" t="s">
        <v>233</v>
      </c>
      <c r="M26" s="9" t="s">
        <v>234</v>
      </c>
      <c r="N26" s="9" t="s">
        <v>36</v>
      </c>
      <c r="O26" s="9">
        <v>1</v>
      </c>
      <c r="P26" s="9" t="s">
        <v>43</v>
      </c>
      <c r="Q26" s="9">
        <v>9.21</v>
      </c>
      <c r="R26" s="9">
        <v>0.83</v>
      </c>
      <c r="S26" s="9"/>
      <c r="T26" s="9"/>
      <c r="U26" s="9"/>
      <c r="V26" s="9"/>
      <c r="W26" s="9"/>
      <c r="X26" s="9"/>
      <c r="Y26" s="9" t="s">
        <v>235</v>
      </c>
      <c r="Z26" s="9" t="s">
        <v>236</v>
      </c>
      <c r="AA26" s="9">
        <v>98310</v>
      </c>
      <c r="AB26" s="9" t="s">
        <v>47</v>
      </c>
      <c r="AC26" s="9"/>
      <c r="AD26" s="9" t="b">
        <v>0</v>
      </c>
      <c r="AE26" s="9"/>
      <c r="AF26" s="9"/>
      <c r="AG26" s="12">
        <f t="shared" si="0"/>
        <v>43259</v>
      </c>
    </row>
    <row r="27" spans="1:33">
      <c r="A27" s="9" t="s">
        <v>237</v>
      </c>
      <c r="B27" s="9" t="s">
        <v>237</v>
      </c>
      <c r="C27" s="9" t="s">
        <v>238</v>
      </c>
      <c r="D27" s="9" t="s">
        <v>239</v>
      </c>
      <c r="E27" s="9" t="s">
        <v>36</v>
      </c>
      <c r="F27" s="9" t="s">
        <v>37</v>
      </c>
      <c r="G27" s="9" t="s">
        <v>38</v>
      </c>
      <c r="H27" s="9"/>
      <c r="I27" s="9"/>
      <c r="J27" s="9" t="s">
        <v>72</v>
      </c>
      <c r="K27" s="9" t="s">
        <v>240</v>
      </c>
      <c r="L27" s="9" t="s">
        <v>241</v>
      </c>
      <c r="M27" s="9" t="s">
        <v>242</v>
      </c>
      <c r="N27" s="9" t="s">
        <v>36</v>
      </c>
      <c r="O27" s="9">
        <v>1</v>
      </c>
      <c r="P27" s="9" t="s">
        <v>43</v>
      </c>
      <c r="Q27" s="9">
        <v>18.99</v>
      </c>
      <c r="R27" s="9"/>
      <c r="S27" s="9">
        <v>3.71</v>
      </c>
      <c r="T27" s="9"/>
      <c r="U27" s="9"/>
      <c r="V27" s="9"/>
      <c r="W27" s="9"/>
      <c r="X27" s="9">
        <v>3.71</v>
      </c>
      <c r="Y27" s="9" t="s">
        <v>243</v>
      </c>
      <c r="Z27" s="9" t="s">
        <v>244</v>
      </c>
      <c r="AA27" s="9">
        <v>48044</v>
      </c>
      <c r="AB27" s="9" t="s">
        <v>47</v>
      </c>
      <c r="AC27" s="9" t="s">
        <v>79</v>
      </c>
      <c r="AD27" s="9" t="b">
        <v>0</v>
      </c>
      <c r="AE27" s="9"/>
      <c r="AF27" s="9"/>
      <c r="AG27" s="12">
        <f t="shared" si="0"/>
        <v>43259</v>
      </c>
    </row>
    <row r="28" spans="1:33">
      <c r="A28" s="9" t="s">
        <v>245</v>
      </c>
      <c r="B28" s="9" t="s">
        <v>245</v>
      </c>
      <c r="C28" s="9" t="s">
        <v>246</v>
      </c>
      <c r="D28" s="9" t="s">
        <v>247</v>
      </c>
      <c r="E28" s="9" t="s">
        <v>36</v>
      </c>
      <c r="F28" s="9" t="s">
        <v>37</v>
      </c>
      <c r="G28" s="9" t="s">
        <v>38</v>
      </c>
      <c r="H28" s="9"/>
      <c r="I28" s="9"/>
      <c r="J28" s="9" t="s">
        <v>39</v>
      </c>
      <c r="K28" s="9" t="s">
        <v>248</v>
      </c>
      <c r="L28" s="9" t="s">
        <v>249</v>
      </c>
      <c r="M28" s="9" t="s">
        <v>250</v>
      </c>
      <c r="N28" s="9" t="s">
        <v>36</v>
      </c>
      <c r="O28" s="9">
        <v>1</v>
      </c>
      <c r="P28" s="9" t="s">
        <v>43</v>
      </c>
      <c r="Q28" s="9">
        <v>9.99</v>
      </c>
      <c r="R28" s="9"/>
      <c r="S28" s="9"/>
      <c r="T28" s="9"/>
      <c r="U28" s="9"/>
      <c r="V28" s="9"/>
      <c r="W28" s="9"/>
      <c r="X28" s="9"/>
      <c r="Y28" s="9" t="s">
        <v>251</v>
      </c>
      <c r="Z28" s="9" t="s">
        <v>252</v>
      </c>
      <c r="AA28" s="9" t="s">
        <v>253</v>
      </c>
      <c r="AB28" s="9" t="s">
        <v>47</v>
      </c>
      <c r="AC28" s="9"/>
      <c r="AD28" s="9" t="b">
        <v>0</v>
      </c>
      <c r="AE28" s="9"/>
      <c r="AF28" s="9"/>
      <c r="AG28" s="12">
        <f t="shared" si="0"/>
        <v>43260</v>
      </c>
    </row>
    <row r="29" spans="1:33">
      <c r="A29" s="9" t="s">
        <v>254</v>
      </c>
      <c r="B29" s="9" t="s">
        <v>254</v>
      </c>
      <c r="C29" s="9" t="s">
        <v>255</v>
      </c>
      <c r="D29" s="9" t="s">
        <v>256</v>
      </c>
      <c r="E29" s="9" t="s">
        <v>36</v>
      </c>
      <c r="F29" s="9" t="s">
        <v>37</v>
      </c>
      <c r="G29" s="9" t="s">
        <v>38</v>
      </c>
      <c r="H29" s="9"/>
      <c r="I29" s="9"/>
      <c r="J29" s="9" t="s">
        <v>39</v>
      </c>
      <c r="K29" s="9" t="s">
        <v>257</v>
      </c>
      <c r="L29" s="9" t="s">
        <v>258</v>
      </c>
      <c r="M29" s="9" t="s">
        <v>259</v>
      </c>
      <c r="N29" s="9" t="s">
        <v>36</v>
      </c>
      <c r="O29" s="9">
        <v>1</v>
      </c>
      <c r="P29" s="9" t="s">
        <v>43</v>
      </c>
      <c r="Q29" s="9">
        <v>16.99</v>
      </c>
      <c r="R29" s="9"/>
      <c r="S29" s="9"/>
      <c r="T29" s="9"/>
      <c r="U29" s="9"/>
      <c r="V29" s="9"/>
      <c r="W29" s="9"/>
      <c r="X29" s="9"/>
      <c r="Y29" s="9" t="s">
        <v>260</v>
      </c>
      <c r="Z29" s="9" t="s">
        <v>168</v>
      </c>
      <c r="AA29" s="9" t="s">
        <v>261</v>
      </c>
      <c r="AB29" s="9" t="s">
        <v>47</v>
      </c>
      <c r="AC29" s="9"/>
      <c r="AD29" s="9" t="b">
        <v>0</v>
      </c>
      <c r="AE29" s="9"/>
      <c r="AF29" s="9"/>
      <c r="AG29" s="12">
        <f t="shared" si="0"/>
        <v>43260</v>
      </c>
    </row>
    <row r="30" spans="1:33">
      <c r="A30" s="9" t="s">
        <v>262</v>
      </c>
      <c r="B30" s="9" t="s">
        <v>262</v>
      </c>
      <c r="C30" s="9" t="s">
        <v>263</v>
      </c>
      <c r="D30" s="9" t="s">
        <v>264</v>
      </c>
      <c r="E30" s="9" t="s">
        <v>36</v>
      </c>
      <c r="F30" s="9" t="s">
        <v>37</v>
      </c>
      <c r="G30" s="9" t="s">
        <v>38</v>
      </c>
      <c r="H30" s="9"/>
      <c r="I30" s="9"/>
      <c r="J30" s="9" t="s">
        <v>39</v>
      </c>
      <c r="K30" s="9" t="s">
        <v>265</v>
      </c>
      <c r="L30" s="9" t="s">
        <v>266</v>
      </c>
      <c r="M30" s="9" t="s">
        <v>267</v>
      </c>
      <c r="N30" s="9" t="s">
        <v>36</v>
      </c>
      <c r="O30" s="9">
        <v>1</v>
      </c>
      <c r="P30" s="9" t="s">
        <v>43</v>
      </c>
      <c r="Q30" s="9">
        <v>15.99</v>
      </c>
      <c r="R30" s="9"/>
      <c r="S30" s="9"/>
      <c r="T30" s="9"/>
      <c r="U30" s="9"/>
      <c r="V30" s="9"/>
      <c r="W30" s="9"/>
      <c r="X30" s="9"/>
      <c r="Y30" s="9" t="s">
        <v>268</v>
      </c>
      <c r="Z30" s="9" t="s">
        <v>269</v>
      </c>
      <c r="AA30" s="9">
        <v>48124</v>
      </c>
      <c r="AB30" s="9" t="s">
        <v>47</v>
      </c>
      <c r="AC30" s="9"/>
      <c r="AD30" s="9" t="b">
        <v>0</v>
      </c>
      <c r="AE30" s="9"/>
      <c r="AF30" s="9"/>
      <c r="AG30" s="12">
        <f t="shared" si="0"/>
        <v>43260</v>
      </c>
    </row>
    <row r="31" spans="1:33">
      <c r="A31" s="9" t="s">
        <v>270</v>
      </c>
      <c r="B31" s="9" t="s">
        <v>270</v>
      </c>
      <c r="C31" s="9" t="s">
        <v>271</v>
      </c>
      <c r="D31" s="9" t="s">
        <v>272</v>
      </c>
      <c r="E31" s="9" t="s">
        <v>36</v>
      </c>
      <c r="F31" s="9" t="s">
        <v>37</v>
      </c>
      <c r="G31" s="9" t="s">
        <v>38</v>
      </c>
      <c r="H31" s="9"/>
      <c r="I31" s="9"/>
      <c r="J31" s="9" t="s">
        <v>39</v>
      </c>
      <c r="K31" s="9" t="s">
        <v>273</v>
      </c>
      <c r="L31" s="9" t="s">
        <v>274</v>
      </c>
      <c r="M31" s="9" t="s">
        <v>275</v>
      </c>
      <c r="N31" s="9" t="s">
        <v>36</v>
      </c>
      <c r="O31" s="9">
        <v>1</v>
      </c>
      <c r="P31" s="9" t="s">
        <v>43</v>
      </c>
      <c r="Q31" s="9">
        <v>16.99</v>
      </c>
      <c r="R31" s="9"/>
      <c r="S31" s="9"/>
      <c r="T31" s="9"/>
      <c r="U31" s="9"/>
      <c r="V31" s="9"/>
      <c r="W31" s="9"/>
      <c r="X31" s="9"/>
      <c r="Y31" s="9" t="s">
        <v>276</v>
      </c>
      <c r="Z31" s="9" t="s">
        <v>168</v>
      </c>
      <c r="AA31" s="9" t="s">
        <v>277</v>
      </c>
      <c r="AB31" s="9" t="s">
        <v>47</v>
      </c>
      <c r="AC31" s="9"/>
      <c r="AD31" s="9" t="b">
        <v>0</v>
      </c>
      <c r="AE31" s="9"/>
      <c r="AF31" s="9"/>
      <c r="AG31" s="12">
        <f t="shared" si="0"/>
        <v>43260</v>
      </c>
    </row>
    <row r="32" spans="1:33">
      <c r="A32" s="9" t="s">
        <v>278</v>
      </c>
      <c r="B32" s="9" t="s">
        <v>278</v>
      </c>
      <c r="C32" s="9" t="s">
        <v>279</v>
      </c>
      <c r="D32" s="9" t="s">
        <v>280</v>
      </c>
      <c r="E32" s="9" t="s">
        <v>36</v>
      </c>
      <c r="F32" s="9" t="s">
        <v>37</v>
      </c>
      <c r="G32" s="9" t="s">
        <v>38</v>
      </c>
      <c r="H32" s="9"/>
      <c r="I32" s="9"/>
      <c r="J32" s="9" t="s">
        <v>72</v>
      </c>
      <c r="K32" s="9" t="s">
        <v>265</v>
      </c>
      <c r="L32" s="9" t="s">
        <v>281</v>
      </c>
      <c r="M32" s="9" t="s">
        <v>282</v>
      </c>
      <c r="N32" s="9" t="s">
        <v>36</v>
      </c>
      <c r="O32" s="9">
        <v>1</v>
      </c>
      <c r="P32" s="9" t="s">
        <v>43</v>
      </c>
      <c r="Q32" s="9">
        <v>18.99</v>
      </c>
      <c r="R32" s="9"/>
      <c r="S32" s="9"/>
      <c r="T32" s="9"/>
      <c r="U32" s="9"/>
      <c r="V32" s="9"/>
      <c r="W32" s="9"/>
      <c r="X32" s="9"/>
      <c r="Y32" s="9" t="s">
        <v>283</v>
      </c>
      <c r="Z32" s="9" t="s">
        <v>284</v>
      </c>
      <c r="AA32" s="9">
        <v>687</v>
      </c>
      <c r="AB32" s="9" t="s">
        <v>47</v>
      </c>
      <c r="AC32" s="9"/>
      <c r="AD32" s="9" t="b">
        <v>0</v>
      </c>
      <c r="AE32" s="9"/>
      <c r="AF32" s="9"/>
      <c r="AG32" s="12">
        <f t="shared" si="0"/>
        <v>43260</v>
      </c>
    </row>
    <row r="33" spans="1:33">
      <c r="A33" s="9" t="s">
        <v>285</v>
      </c>
      <c r="B33" s="9" t="s">
        <v>285</v>
      </c>
      <c r="C33" s="9" t="s">
        <v>286</v>
      </c>
      <c r="D33" s="9" t="s">
        <v>287</v>
      </c>
      <c r="E33" s="9" t="s">
        <v>36</v>
      </c>
      <c r="F33" s="9" t="s">
        <v>37</v>
      </c>
      <c r="G33" s="9" t="s">
        <v>38</v>
      </c>
      <c r="H33" s="9"/>
      <c r="I33" s="9"/>
      <c r="J33" s="9" t="s">
        <v>39</v>
      </c>
      <c r="K33" s="9" t="s">
        <v>288</v>
      </c>
      <c r="L33" s="9" t="s">
        <v>289</v>
      </c>
      <c r="M33" s="9" t="s">
        <v>290</v>
      </c>
      <c r="N33" s="9" t="s">
        <v>36</v>
      </c>
      <c r="O33" s="9">
        <v>1</v>
      </c>
      <c r="P33" s="9" t="s">
        <v>43</v>
      </c>
      <c r="Q33" s="9">
        <v>9.99</v>
      </c>
      <c r="R33" s="9"/>
      <c r="S33" s="9"/>
      <c r="T33" s="9"/>
      <c r="U33" s="9"/>
      <c r="V33" s="9"/>
      <c r="W33" s="9"/>
      <c r="X33" s="9"/>
      <c r="Y33" s="9" t="s">
        <v>291</v>
      </c>
      <c r="Z33" s="9" t="s">
        <v>64</v>
      </c>
      <c r="AA33" s="9" t="s">
        <v>292</v>
      </c>
      <c r="AB33" s="9" t="s">
        <v>47</v>
      </c>
      <c r="AC33" s="9"/>
      <c r="AD33" s="9" t="b">
        <v>0</v>
      </c>
      <c r="AE33" s="9"/>
      <c r="AF33" s="9"/>
      <c r="AG33" s="12">
        <f t="shared" si="0"/>
        <v>43260</v>
      </c>
    </row>
    <row r="34" spans="1:33">
      <c r="A34" s="9" t="s">
        <v>293</v>
      </c>
      <c r="B34" s="9" t="s">
        <v>293</v>
      </c>
      <c r="C34" s="9" t="s">
        <v>294</v>
      </c>
      <c r="D34" s="9" t="s">
        <v>295</v>
      </c>
      <c r="E34" s="9" t="s">
        <v>36</v>
      </c>
      <c r="F34" s="9" t="s">
        <v>37</v>
      </c>
      <c r="G34" s="9" t="s">
        <v>38</v>
      </c>
      <c r="H34" s="9"/>
      <c r="I34" s="9"/>
      <c r="J34" s="9" t="s">
        <v>39</v>
      </c>
      <c r="K34" s="9" t="s">
        <v>296</v>
      </c>
      <c r="L34" s="9" t="s">
        <v>297</v>
      </c>
      <c r="M34" s="9" t="s">
        <v>298</v>
      </c>
      <c r="N34" s="9" t="s">
        <v>36</v>
      </c>
      <c r="O34" s="9">
        <v>2</v>
      </c>
      <c r="P34" s="9" t="s">
        <v>43</v>
      </c>
      <c r="Q34" s="9">
        <v>27.8</v>
      </c>
      <c r="R34" s="9"/>
      <c r="S34" s="9"/>
      <c r="T34" s="9"/>
      <c r="U34" s="9"/>
      <c r="V34" s="9"/>
      <c r="W34" s="9"/>
      <c r="X34" s="9"/>
      <c r="Y34" s="9" t="s">
        <v>299</v>
      </c>
      <c r="Z34" s="9" t="s">
        <v>300</v>
      </c>
      <c r="AA34" s="9" t="s">
        <v>301</v>
      </c>
      <c r="AB34" s="9" t="s">
        <v>47</v>
      </c>
      <c r="AC34" s="9"/>
      <c r="AD34" s="9" t="b">
        <v>0</v>
      </c>
      <c r="AE34" s="9"/>
      <c r="AF34" s="9"/>
      <c r="AG34" s="12">
        <f t="shared" si="0"/>
        <v>43260</v>
      </c>
    </row>
    <row r="35" spans="1:33">
      <c r="A35" s="9" t="s">
        <v>302</v>
      </c>
      <c r="B35" s="9" t="s">
        <v>302</v>
      </c>
      <c r="C35" s="9" t="s">
        <v>303</v>
      </c>
      <c r="D35" s="9" t="s">
        <v>304</v>
      </c>
      <c r="E35" s="9" t="s">
        <v>36</v>
      </c>
      <c r="F35" s="9" t="s">
        <v>37</v>
      </c>
      <c r="G35" s="9" t="s">
        <v>38</v>
      </c>
      <c r="H35" s="9"/>
      <c r="I35" s="9"/>
      <c r="J35" s="9" t="s">
        <v>39</v>
      </c>
      <c r="K35" s="9" t="s">
        <v>273</v>
      </c>
      <c r="L35" s="9" t="s">
        <v>274</v>
      </c>
      <c r="M35" s="9" t="s">
        <v>275</v>
      </c>
      <c r="N35" s="9" t="s">
        <v>36</v>
      </c>
      <c r="O35" s="9">
        <v>1</v>
      </c>
      <c r="P35" s="9" t="s">
        <v>43</v>
      </c>
      <c r="Q35" s="9">
        <v>16.99</v>
      </c>
      <c r="R35" s="9"/>
      <c r="S35" s="9"/>
      <c r="T35" s="9"/>
      <c r="U35" s="9"/>
      <c r="V35" s="9"/>
      <c r="W35" s="9"/>
      <c r="X35" s="9"/>
      <c r="Y35" s="9" t="s">
        <v>305</v>
      </c>
      <c r="Z35" s="9" t="s">
        <v>224</v>
      </c>
      <c r="AA35" s="9" t="s">
        <v>306</v>
      </c>
      <c r="AB35" s="9" t="s">
        <v>47</v>
      </c>
      <c r="AC35" s="9"/>
      <c r="AD35" s="9" t="b">
        <v>0</v>
      </c>
      <c r="AE35" s="9"/>
      <c r="AF35" s="9"/>
      <c r="AG35" s="12">
        <f t="shared" si="0"/>
        <v>43261</v>
      </c>
    </row>
    <row r="36" spans="1:33">
      <c r="A36" s="9" t="s">
        <v>307</v>
      </c>
      <c r="B36" s="9" t="s">
        <v>307</v>
      </c>
      <c r="C36" s="9" t="s">
        <v>308</v>
      </c>
      <c r="D36" s="9" t="s">
        <v>309</v>
      </c>
      <c r="E36" s="9" t="s">
        <v>36</v>
      </c>
      <c r="F36" s="9" t="s">
        <v>37</v>
      </c>
      <c r="G36" s="9" t="s">
        <v>38</v>
      </c>
      <c r="H36" s="9"/>
      <c r="I36" s="9"/>
      <c r="J36" s="9" t="s">
        <v>39</v>
      </c>
      <c r="K36" s="9" t="s">
        <v>310</v>
      </c>
      <c r="L36" s="9" t="s">
        <v>311</v>
      </c>
      <c r="M36" s="9" t="s">
        <v>312</v>
      </c>
      <c r="N36" s="9" t="s">
        <v>36</v>
      </c>
      <c r="O36" s="9">
        <v>1</v>
      </c>
      <c r="P36" s="9" t="s">
        <v>43</v>
      </c>
      <c r="Q36" s="9">
        <v>42.99</v>
      </c>
      <c r="R36" s="9"/>
      <c r="S36" s="9"/>
      <c r="T36" s="9"/>
      <c r="U36" s="9"/>
      <c r="V36" s="9"/>
      <c r="W36" s="9"/>
      <c r="X36" s="9"/>
      <c r="Y36" s="9" t="s">
        <v>291</v>
      </c>
      <c r="Z36" s="9" t="s">
        <v>64</v>
      </c>
      <c r="AA36" s="9" t="s">
        <v>313</v>
      </c>
      <c r="AB36" s="9" t="s">
        <v>47</v>
      </c>
      <c r="AC36" s="9"/>
      <c r="AD36" s="9" t="b">
        <v>0</v>
      </c>
      <c r="AE36" s="9"/>
      <c r="AF36" s="9"/>
      <c r="AG36" s="12">
        <f t="shared" si="0"/>
        <v>43261</v>
      </c>
    </row>
    <row r="37" spans="1:33">
      <c r="A37" s="9" t="s">
        <v>314</v>
      </c>
      <c r="B37" s="9" t="s">
        <v>314</v>
      </c>
      <c r="C37" s="9" t="s">
        <v>315</v>
      </c>
      <c r="D37" s="9" t="s">
        <v>316</v>
      </c>
      <c r="E37" s="9" t="s">
        <v>36</v>
      </c>
      <c r="F37" s="9" t="s">
        <v>37</v>
      </c>
      <c r="G37" s="9" t="s">
        <v>38</v>
      </c>
      <c r="H37" s="9"/>
      <c r="I37" s="9"/>
      <c r="J37" s="9" t="s">
        <v>39</v>
      </c>
      <c r="K37" s="9" t="s">
        <v>317</v>
      </c>
      <c r="L37" s="9" t="s">
        <v>318</v>
      </c>
      <c r="M37" s="9" t="s">
        <v>319</v>
      </c>
      <c r="N37" s="9" t="s">
        <v>36</v>
      </c>
      <c r="O37" s="9">
        <v>1</v>
      </c>
      <c r="P37" s="9" t="s">
        <v>43</v>
      </c>
      <c r="Q37" s="9">
        <v>29.9</v>
      </c>
      <c r="R37" s="9"/>
      <c r="S37" s="9"/>
      <c r="T37" s="9"/>
      <c r="U37" s="9"/>
      <c r="V37" s="9"/>
      <c r="W37" s="9"/>
      <c r="X37" s="9"/>
      <c r="Y37" s="9" t="s">
        <v>320</v>
      </c>
      <c r="Z37" s="9" t="s">
        <v>321</v>
      </c>
      <c r="AA37" s="9" t="s">
        <v>322</v>
      </c>
      <c r="AB37" s="9" t="s">
        <v>47</v>
      </c>
      <c r="AC37" s="9"/>
      <c r="AD37" s="9" t="b">
        <v>0</v>
      </c>
      <c r="AE37" s="9"/>
      <c r="AF37" s="9"/>
      <c r="AG37" s="12">
        <f t="shared" si="0"/>
        <v>43261</v>
      </c>
    </row>
    <row r="38" spans="1:33">
      <c r="A38" s="9" t="s">
        <v>323</v>
      </c>
      <c r="B38" s="9" t="s">
        <v>323</v>
      </c>
      <c r="C38" s="9" t="s">
        <v>324</v>
      </c>
      <c r="D38" s="9" t="s">
        <v>325</v>
      </c>
      <c r="E38" s="9" t="s">
        <v>36</v>
      </c>
      <c r="F38" s="9" t="s">
        <v>37</v>
      </c>
      <c r="G38" s="9" t="s">
        <v>38</v>
      </c>
      <c r="H38" s="9"/>
      <c r="I38" s="9"/>
      <c r="J38" s="9" t="s">
        <v>39</v>
      </c>
      <c r="K38" s="9" t="s">
        <v>207</v>
      </c>
      <c r="L38" s="9" t="s">
        <v>208</v>
      </c>
      <c r="M38" s="9" t="s">
        <v>209</v>
      </c>
      <c r="N38" s="9" t="s">
        <v>36</v>
      </c>
      <c r="O38" s="9">
        <v>1</v>
      </c>
      <c r="P38" s="9" t="s">
        <v>43</v>
      </c>
      <c r="Q38" s="9">
        <v>16.99</v>
      </c>
      <c r="R38" s="9"/>
      <c r="S38" s="9"/>
      <c r="T38" s="9"/>
      <c r="U38" s="9"/>
      <c r="V38" s="9"/>
      <c r="W38" s="9"/>
      <c r="X38" s="9"/>
      <c r="Y38" s="9" t="s">
        <v>326</v>
      </c>
      <c r="Z38" s="9" t="s">
        <v>327</v>
      </c>
      <c r="AA38" s="9" t="s">
        <v>328</v>
      </c>
      <c r="AB38" s="9" t="s">
        <v>47</v>
      </c>
      <c r="AC38" s="9"/>
      <c r="AD38" s="9" t="b">
        <v>0</v>
      </c>
      <c r="AE38" s="9"/>
      <c r="AF38" s="9"/>
      <c r="AG38" s="12">
        <f t="shared" si="0"/>
        <v>43261</v>
      </c>
    </row>
    <row r="39" spans="1:33">
      <c r="A39" s="9" t="s">
        <v>329</v>
      </c>
      <c r="B39" s="9" t="s">
        <v>329</v>
      </c>
      <c r="C39" s="9" t="s">
        <v>330</v>
      </c>
      <c r="D39" s="9" t="s">
        <v>331</v>
      </c>
      <c r="E39" s="9" t="s">
        <v>36</v>
      </c>
      <c r="F39" s="9" t="s">
        <v>37</v>
      </c>
      <c r="G39" s="9" t="s">
        <v>38</v>
      </c>
      <c r="H39" s="9"/>
      <c r="I39" s="9"/>
      <c r="J39" s="9" t="s">
        <v>39</v>
      </c>
      <c r="K39" s="9" t="s">
        <v>240</v>
      </c>
      <c r="L39" s="9" t="s">
        <v>241</v>
      </c>
      <c r="M39" s="9" t="s">
        <v>242</v>
      </c>
      <c r="N39" s="9" t="s">
        <v>36</v>
      </c>
      <c r="O39" s="9">
        <v>1</v>
      </c>
      <c r="P39" s="9" t="s">
        <v>43</v>
      </c>
      <c r="Q39" s="9">
        <v>18.99</v>
      </c>
      <c r="R39" s="9"/>
      <c r="S39" s="9"/>
      <c r="T39" s="9"/>
      <c r="U39" s="9"/>
      <c r="V39" s="9"/>
      <c r="W39" s="9"/>
      <c r="X39" s="9"/>
      <c r="Y39" s="9" t="s">
        <v>332</v>
      </c>
      <c r="Z39" s="9" t="s">
        <v>333</v>
      </c>
      <c r="AA39" s="9" t="s">
        <v>334</v>
      </c>
      <c r="AB39" s="9" t="s">
        <v>47</v>
      </c>
      <c r="AC39" s="9"/>
      <c r="AD39" s="9" t="b">
        <v>0</v>
      </c>
      <c r="AE39" s="9"/>
      <c r="AF39" s="9"/>
      <c r="AG39" s="12">
        <f t="shared" si="0"/>
        <v>43261</v>
      </c>
    </row>
    <row r="40" spans="1:33">
      <c r="A40" s="9" t="s">
        <v>335</v>
      </c>
      <c r="B40" s="9" t="s">
        <v>336</v>
      </c>
      <c r="C40" s="9" t="s">
        <v>337</v>
      </c>
      <c r="D40" s="9" t="s">
        <v>338</v>
      </c>
      <c r="E40" s="9" t="s">
        <v>36</v>
      </c>
      <c r="F40" s="9" t="s">
        <v>37</v>
      </c>
      <c r="G40" s="9" t="s">
        <v>339</v>
      </c>
      <c r="H40" s="9"/>
      <c r="I40" s="9"/>
      <c r="J40" s="9" t="s">
        <v>72</v>
      </c>
      <c r="K40" s="9" t="s">
        <v>84</v>
      </c>
      <c r="L40" s="9" t="s">
        <v>85</v>
      </c>
      <c r="M40" s="9" t="s">
        <v>86</v>
      </c>
      <c r="N40" s="9" t="s">
        <v>117</v>
      </c>
      <c r="O40" s="9">
        <v>1</v>
      </c>
      <c r="P40" s="9"/>
      <c r="Q40" s="9"/>
      <c r="R40" s="9"/>
      <c r="S40" s="9"/>
      <c r="T40" s="9"/>
      <c r="U40" s="9"/>
      <c r="V40" s="9"/>
      <c r="W40" s="9"/>
      <c r="X40" s="9"/>
      <c r="Y40" s="9"/>
      <c r="Z40" s="9"/>
      <c r="AA40" s="9"/>
      <c r="AB40" s="9"/>
      <c r="AC40" s="9"/>
      <c r="AD40" s="9" t="b">
        <v>0</v>
      </c>
      <c r="AE40" s="9"/>
      <c r="AF40" s="9"/>
      <c r="AG40" s="12">
        <f t="shared" si="0"/>
        <v>43262</v>
      </c>
    </row>
    <row r="41" spans="1:33">
      <c r="A41" s="9" t="s">
        <v>340</v>
      </c>
      <c r="B41" s="9" t="s">
        <v>340</v>
      </c>
      <c r="C41" s="9" t="s">
        <v>341</v>
      </c>
      <c r="D41" s="9" t="s">
        <v>342</v>
      </c>
      <c r="E41" s="9" t="s">
        <v>113</v>
      </c>
      <c r="F41" s="9" t="s">
        <v>37</v>
      </c>
      <c r="G41" s="9" t="s">
        <v>38</v>
      </c>
      <c r="H41" s="9"/>
      <c r="I41" s="9"/>
      <c r="J41" s="9" t="s">
        <v>72</v>
      </c>
      <c r="K41" s="9" t="s">
        <v>104</v>
      </c>
      <c r="L41" s="9" t="s">
        <v>343</v>
      </c>
      <c r="M41" s="9" t="s">
        <v>344</v>
      </c>
      <c r="N41" s="9" t="s">
        <v>113</v>
      </c>
      <c r="O41" s="9">
        <v>0</v>
      </c>
      <c r="P41" s="9"/>
      <c r="Q41" s="9"/>
      <c r="R41" s="9"/>
      <c r="S41" s="9"/>
      <c r="T41" s="9"/>
      <c r="U41" s="9"/>
      <c r="V41" s="9"/>
      <c r="W41" s="9"/>
      <c r="X41" s="9"/>
      <c r="Y41" s="9" t="s">
        <v>345</v>
      </c>
      <c r="Z41" s="9" t="s">
        <v>64</v>
      </c>
      <c r="AA41" s="9" t="s">
        <v>346</v>
      </c>
      <c r="AB41" s="9" t="s">
        <v>47</v>
      </c>
      <c r="AC41" s="9"/>
      <c r="AD41" s="9" t="b">
        <v>0</v>
      </c>
      <c r="AE41" s="9"/>
      <c r="AF41" s="9"/>
      <c r="AG41" s="12">
        <f t="shared" si="0"/>
        <v>43262</v>
      </c>
    </row>
    <row r="42" spans="1:33">
      <c r="A42" s="9" t="s">
        <v>347</v>
      </c>
      <c r="B42" s="9" t="s">
        <v>347</v>
      </c>
      <c r="C42" s="9" t="s">
        <v>348</v>
      </c>
      <c r="D42" s="9" t="s">
        <v>349</v>
      </c>
      <c r="E42" s="9" t="s">
        <v>36</v>
      </c>
      <c r="F42" s="9" t="s">
        <v>37</v>
      </c>
      <c r="G42" s="9" t="s">
        <v>38</v>
      </c>
      <c r="H42" s="9"/>
      <c r="I42" s="9"/>
      <c r="J42" s="9" t="s">
        <v>39</v>
      </c>
      <c r="K42" s="9" t="s">
        <v>350</v>
      </c>
      <c r="L42" s="9" t="s">
        <v>351</v>
      </c>
      <c r="M42" s="9" t="s">
        <v>352</v>
      </c>
      <c r="N42" s="9" t="s">
        <v>36</v>
      </c>
      <c r="O42" s="9">
        <v>1</v>
      </c>
      <c r="P42" s="9" t="s">
        <v>43</v>
      </c>
      <c r="Q42" s="9">
        <v>7.99</v>
      </c>
      <c r="R42" s="9"/>
      <c r="S42" s="9"/>
      <c r="T42" s="9"/>
      <c r="U42" s="9"/>
      <c r="V42" s="9"/>
      <c r="W42" s="9"/>
      <c r="X42" s="9"/>
      <c r="Y42" s="9" t="s">
        <v>353</v>
      </c>
      <c r="Z42" s="9" t="s">
        <v>354</v>
      </c>
      <c r="AA42" s="9" t="s">
        <v>355</v>
      </c>
      <c r="AB42" s="9" t="s">
        <v>47</v>
      </c>
      <c r="AC42" s="9"/>
      <c r="AD42" s="9" t="b">
        <v>0</v>
      </c>
      <c r="AE42" s="9"/>
      <c r="AF42" s="9"/>
      <c r="AG42" s="12">
        <f t="shared" si="0"/>
        <v>43262</v>
      </c>
    </row>
    <row r="43" spans="1:33">
      <c r="A43" s="9" t="s">
        <v>356</v>
      </c>
      <c r="B43" s="9" t="s">
        <v>356</v>
      </c>
      <c r="C43" s="9" t="s">
        <v>357</v>
      </c>
      <c r="D43" s="9" t="s">
        <v>358</v>
      </c>
      <c r="E43" s="9" t="s">
        <v>36</v>
      </c>
      <c r="F43" s="9" t="s">
        <v>37</v>
      </c>
      <c r="G43" s="9" t="s">
        <v>38</v>
      </c>
      <c r="H43" s="9"/>
      <c r="I43" s="9"/>
      <c r="J43" s="9" t="s">
        <v>72</v>
      </c>
      <c r="K43" s="9" t="s">
        <v>359</v>
      </c>
      <c r="L43" s="9" t="s">
        <v>360</v>
      </c>
      <c r="M43" s="9" t="s">
        <v>361</v>
      </c>
      <c r="N43" s="9" t="s">
        <v>36</v>
      </c>
      <c r="O43" s="9">
        <v>1</v>
      </c>
      <c r="P43" s="9" t="s">
        <v>43</v>
      </c>
      <c r="Q43" s="9">
        <v>18.99</v>
      </c>
      <c r="R43" s="9"/>
      <c r="S43" s="9">
        <v>1.93</v>
      </c>
      <c r="T43" s="9"/>
      <c r="U43" s="9"/>
      <c r="V43" s="9"/>
      <c r="W43" s="9"/>
      <c r="X43" s="9">
        <v>1.93</v>
      </c>
      <c r="Y43" s="9" t="s">
        <v>362</v>
      </c>
      <c r="Z43" s="9" t="s">
        <v>193</v>
      </c>
      <c r="AA43" s="9" t="s">
        <v>363</v>
      </c>
      <c r="AB43" s="9" t="s">
        <v>47</v>
      </c>
      <c r="AC43" s="9" t="s">
        <v>79</v>
      </c>
      <c r="AD43" s="9" t="b">
        <v>0</v>
      </c>
      <c r="AE43" s="9"/>
      <c r="AF43" s="9"/>
      <c r="AG43" s="12">
        <f t="shared" si="0"/>
        <v>43262</v>
      </c>
    </row>
    <row r="44" spans="1:33">
      <c r="A44" s="9" t="s">
        <v>364</v>
      </c>
      <c r="B44" s="9" t="s">
        <v>364</v>
      </c>
      <c r="C44" s="9" t="s">
        <v>365</v>
      </c>
      <c r="D44" s="9" t="s">
        <v>366</v>
      </c>
      <c r="E44" s="9" t="s">
        <v>36</v>
      </c>
      <c r="F44" s="9" t="s">
        <v>37</v>
      </c>
      <c r="G44" s="9" t="s">
        <v>38</v>
      </c>
      <c r="H44" s="9"/>
      <c r="I44" s="9"/>
      <c r="J44" s="9" t="s">
        <v>39</v>
      </c>
      <c r="K44" s="9" t="s">
        <v>288</v>
      </c>
      <c r="L44" s="9" t="s">
        <v>289</v>
      </c>
      <c r="M44" s="9" t="s">
        <v>290</v>
      </c>
      <c r="N44" s="9" t="s">
        <v>36</v>
      </c>
      <c r="O44" s="9">
        <v>1</v>
      </c>
      <c r="P44" s="9" t="s">
        <v>43</v>
      </c>
      <c r="Q44" s="9">
        <v>9.99</v>
      </c>
      <c r="R44" s="9"/>
      <c r="S44" s="9"/>
      <c r="T44" s="9"/>
      <c r="U44" s="9"/>
      <c r="V44" s="9"/>
      <c r="W44" s="9"/>
      <c r="X44" s="9"/>
      <c r="Y44" s="9" t="s">
        <v>367</v>
      </c>
      <c r="Z44" s="9" t="s">
        <v>368</v>
      </c>
      <c r="AA44" s="9" t="s">
        <v>369</v>
      </c>
      <c r="AB44" s="9" t="s">
        <v>47</v>
      </c>
      <c r="AC44" s="9"/>
      <c r="AD44" s="9" t="b">
        <v>0</v>
      </c>
      <c r="AE44" s="9"/>
      <c r="AF44" s="9"/>
      <c r="AG44" s="12">
        <f t="shared" si="0"/>
        <v>43262</v>
      </c>
    </row>
    <row r="45" spans="1:33">
      <c r="A45" s="9" t="s">
        <v>370</v>
      </c>
      <c r="B45" s="9" t="s">
        <v>370</v>
      </c>
      <c r="C45" s="9" t="s">
        <v>371</v>
      </c>
      <c r="D45" s="9" t="s">
        <v>372</v>
      </c>
      <c r="E45" s="9" t="s">
        <v>113</v>
      </c>
      <c r="F45" s="9" t="s">
        <v>37</v>
      </c>
      <c r="G45" s="9" t="s">
        <v>38</v>
      </c>
      <c r="H45" s="9"/>
      <c r="I45" s="9"/>
      <c r="J45" s="9" t="s">
        <v>72</v>
      </c>
      <c r="K45" s="9" t="s">
        <v>104</v>
      </c>
      <c r="L45" s="9" t="s">
        <v>105</v>
      </c>
      <c r="M45" s="9" t="s">
        <v>106</v>
      </c>
      <c r="N45" s="9" t="s">
        <v>113</v>
      </c>
      <c r="O45" s="9">
        <v>0</v>
      </c>
      <c r="P45" s="9"/>
      <c r="Q45" s="9"/>
      <c r="R45" s="9"/>
      <c r="S45" s="9"/>
      <c r="T45" s="9"/>
      <c r="U45" s="9"/>
      <c r="V45" s="9"/>
      <c r="W45" s="9"/>
      <c r="X45" s="9"/>
      <c r="Y45" s="9" t="s">
        <v>345</v>
      </c>
      <c r="Z45" s="9" t="s">
        <v>64</v>
      </c>
      <c r="AA45" s="9" t="s">
        <v>346</v>
      </c>
      <c r="AB45" s="9" t="s">
        <v>47</v>
      </c>
      <c r="AC45" s="9"/>
      <c r="AD45" s="9" t="b">
        <v>0</v>
      </c>
      <c r="AE45" s="9"/>
      <c r="AF45" s="9"/>
      <c r="AG45" s="12">
        <f t="shared" si="0"/>
        <v>43262</v>
      </c>
    </row>
    <row r="46" spans="1:33">
      <c r="A46" s="9" t="s">
        <v>373</v>
      </c>
      <c r="B46" s="9" t="s">
        <v>373</v>
      </c>
      <c r="C46" s="9" t="s">
        <v>374</v>
      </c>
      <c r="D46" s="9" t="s">
        <v>375</v>
      </c>
      <c r="E46" s="9" t="s">
        <v>36</v>
      </c>
      <c r="F46" s="9" t="s">
        <v>37</v>
      </c>
      <c r="G46" s="9" t="s">
        <v>38</v>
      </c>
      <c r="H46" s="9"/>
      <c r="I46" s="9"/>
      <c r="J46" s="9" t="s">
        <v>72</v>
      </c>
      <c r="K46" s="9" t="s">
        <v>376</v>
      </c>
      <c r="L46" s="9" t="s">
        <v>377</v>
      </c>
      <c r="M46" s="9" t="s">
        <v>378</v>
      </c>
      <c r="N46" s="9" t="s">
        <v>36</v>
      </c>
      <c r="O46" s="9">
        <v>1</v>
      </c>
      <c r="P46" s="9" t="s">
        <v>43</v>
      </c>
      <c r="Q46" s="9">
        <v>4.71</v>
      </c>
      <c r="R46" s="9"/>
      <c r="S46" s="9">
        <v>3</v>
      </c>
      <c r="T46" s="9"/>
      <c r="U46" s="9"/>
      <c r="V46" s="9"/>
      <c r="W46" s="9"/>
      <c r="X46" s="9"/>
      <c r="Y46" s="9" t="s">
        <v>379</v>
      </c>
      <c r="Z46" s="9" t="s">
        <v>380</v>
      </c>
      <c r="AA46" s="9">
        <v>55362</v>
      </c>
      <c r="AB46" s="9" t="s">
        <v>47</v>
      </c>
      <c r="AC46" s="9"/>
      <c r="AD46" s="9" t="b">
        <v>0</v>
      </c>
      <c r="AE46" s="9"/>
      <c r="AF46" s="9"/>
      <c r="AG46" s="12">
        <f t="shared" si="0"/>
        <v>43262</v>
      </c>
    </row>
    <row r="47" spans="1:33">
      <c r="A47" s="9" t="s">
        <v>381</v>
      </c>
      <c r="B47" s="9" t="s">
        <v>381</v>
      </c>
      <c r="C47" s="9" t="s">
        <v>382</v>
      </c>
      <c r="D47" s="9" t="s">
        <v>383</v>
      </c>
      <c r="E47" s="9" t="s">
        <v>36</v>
      </c>
      <c r="F47" s="9" t="s">
        <v>37</v>
      </c>
      <c r="G47" s="9" t="s">
        <v>38</v>
      </c>
      <c r="H47" s="9"/>
      <c r="I47" s="9"/>
      <c r="J47" s="9" t="s">
        <v>72</v>
      </c>
      <c r="K47" s="9" t="s">
        <v>384</v>
      </c>
      <c r="L47" s="9" t="s">
        <v>385</v>
      </c>
      <c r="M47" s="9" t="s">
        <v>386</v>
      </c>
      <c r="N47" s="9" t="s">
        <v>36</v>
      </c>
      <c r="O47" s="9">
        <v>1</v>
      </c>
      <c r="P47" s="9" t="s">
        <v>43</v>
      </c>
      <c r="Q47" s="9">
        <v>13.9</v>
      </c>
      <c r="R47" s="9"/>
      <c r="S47" s="9">
        <v>3.48</v>
      </c>
      <c r="T47" s="9"/>
      <c r="U47" s="9"/>
      <c r="V47" s="9"/>
      <c r="W47" s="9"/>
      <c r="X47" s="9">
        <v>3.48</v>
      </c>
      <c r="Y47" s="9" t="s">
        <v>387</v>
      </c>
      <c r="Z47" s="9" t="s">
        <v>160</v>
      </c>
      <c r="AA47" s="9" t="s">
        <v>388</v>
      </c>
      <c r="AB47" s="9" t="s">
        <v>47</v>
      </c>
      <c r="AC47" s="9" t="s">
        <v>79</v>
      </c>
      <c r="AD47" s="9" t="b">
        <v>0</v>
      </c>
      <c r="AE47" s="9"/>
      <c r="AF47" s="9"/>
      <c r="AG47" s="12">
        <f t="shared" si="0"/>
        <v>43262</v>
      </c>
    </row>
    <row r="48" spans="1:33">
      <c r="A48" s="9" t="s">
        <v>389</v>
      </c>
      <c r="B48" s="9" t="s">
        <v>389</v>
      </c>
      <c r="C48" s="9" t="s">
        <v>390</v>
      </c>
      <c r="D48" s="9" t="s">
        <v>391</v>
      </c>
      <c r="E48" s="9" t="s">
        <v>36</v>
      </c>
      <c r="F48" s="9" t="s">
        <v>37</v>
      </c>
      <c r="G48" s="9" t="s">
        <v>38</v>
      </c>
      <c r="H48" s="9"/>
      <c r="I48" s="9"/>
      <c r="J48" s="9" t="s">
        <v>72</v>
      </c>
      <c r="K48" s="9" t="s">
        <v>392</v>
      </c>
      <c r="L48" s="9" t="s">
        <v>393</v>
      </c>
      <c r="M48" s="9" t="s">
        <v>394</v>
      </c>
      <c r="N48" s="9" t="s">
        <v>36</v>
      </c>
      <c r="O48" s="9">
        <v>1</v>
      </c>
      <c r="P48" s="9" t="s">
        <v>43</v>
      </c>
      <c r="Q48" s="9">
        <v>16.99</v>
      </c>
      <c r="R48" s="9"/>
      <c r="S48" s="9"/>
      <c r="T48" s="9"/>
      <c r="U48" s="9"/>
      <c r="V48" s="9"/>
      <c r="W48" s="9"/>
      <c r="X48" s="9"/>
      <c r="Y48" s="9" t="s">
        <v>395</v>
      </c>
      <c r="Z48" s="9" t="s">
        <v>396</v>
      </c>
      <c r="AA48" s="9" t="s">
        <v>397</v>
      </c>
      <c r="AB48" s="9" t="s">
        <v>47</v>
      </c>
      <c r="AC48" s="9"/>
      <c r="AD48" s="9" t="b">
        <v>0</v>
      </c>
      <c r="AE48" s="9"/>
      <c r="AF48" s="9"/>
      <c r="AG48" s="12">
        <f t="shared" si="0"/>
        <v>43262</v>
      </c>
    </row>
    <row r="49" spans="1:33">
      <c r="A49" s="9" t="s">
        <v>398</v>
      </c>
      <c r="B49" s="9" t="s">
        <v>398</v>
      </c>
      <c r="C49" s="9" t="s">
        <v>399</v>
      </c>
      <c r="D49" s="9" t="s">
        <v>400</v>
      </c>
      <c r="E49" s="9" t="s">
        <v>36</v>
      </c>
      <c r="F49" s="9" t="s">
        <v>37</v>
      </c>
      <c r="G49" s="9" t="s">
        <v>38</v>
      </c>
      <c r="H49" s="9"/>
      <c r="I49" s="9"/>
      <c r="J49" s="9" t="s">
        <v>72</v>
      </c>
      <c r="K49" s="9" t="s">
        <v>66</v>
      </c>
      <c r="L49" s="9" t="s">
        <v>67</v>
      </c>
      <c r="M49" s="9" t="s">
        <v>68</v>
      </c>
      <c r="N49" s="9" t="s">
        <v>36</v>
      </c>
      <c r="O49" s="9">
        <v>1</v>
      </c>
      <c r="P49" s="9" t="s">
        <v>43</v>
      </c>
      <c r="Q49" s="9">
        <v>7.8</v>
      </c>
      <c r="R49" s="9"/>
      <c r="S49" s="9">
        <v>2.44</v>
      </c>
      <c r="T49" s="9"/>
      <c r="U49" s="9"/>
      <c r="V49" s="9"/>
      <c r="W49" s="9"/>
      <c r="X49" s="9">
        <v>2.44</v>
      </c>
      <c r="Y49" s="9" t="s">
        <v>401</v>
      </c>
      <c r="Z49" s="9" t="s">
        <v>64</v>
      </c>
      <c r="AA49" s="9" t="s">
        <v>402</v>
      </c>
      <c r="AB49" s="9" t="s">
        <v>47</v>
      </c>
      <c r="AC49" s="9" t="s">
        <v>79</v>
      </c>
      <c r="AD49" s="9" t="b">
        <v>0</v>
      </c>
      <c r="AE49" s="9"/>
      <c r="AF49" s="9"/>
      <c r="AG49" s="12">
        <f t="shared" si="0"/>
        <v>43263</v>
      </c>
    </row>
    <row r="50" spans="1:33">
      <c r="A50" s="9" t="s">
        <v>403</v>
      </c>
      <c r="B50" s="9" t="s">
        <v>403</v>
      </c>
      <c r="C50" s="9" t="s">
        <v>404</v>
      </c>
      <c r="D50" s="9" t="s">
        <v>405</v>
      </c>
      <c r="E50" s="9" t="s">
        <v>36</v>
      </c>
      <c r="F50" s="9" t="s">
        <v>37</v>
      </c>
      <c r="G50" s="9" t="s">
        <v>38</v>
      </c>
      <c r="H50" s="9"/>
      <c r="I50" s="9"/>
      <c r="J50" s="9" t="s">
        <v>39</v>
      </c>
      <c r="K50" s="9" t="s">
        <v>406</v>
      </c>
      <c r="L50" s="9" t="s">
        <v>407</v>
      </c>
      <c r="M50" s="9" t="s">
        <v>408</v>
      </c>
      <c r="N50" s="9" t="s">
        <v>36</v>
      </c>
      <c r="O50" s="9">
        <v>1</v>
      </c>
      <c r="P50" s="9" t="s">
        <v>43</v>
      </c>
      <c r="Q50" s="9">
        <v>9.99</v>
      </c>
      <c r="R50" s="9"/>
      <c r="S50" s="9"/>
      <c r="T50" s="9"/>
      <c r="U50" s="9"/>
      <c r="V50" s="9"/>
      <c r="W50" s="9"/>
      <c r="X50" s="9"/>
      <c r="Y50" s="9" t="s">
        <v>409</v>
      </c>
      <c r="Z50" s="9" t="s">
        <v>160</v>
      </c>
      <c r="AA50" s="9">
        <v>93268</v>
      </c>
      <c r="AB50" s="9" t="s">
        <v>47</v>
      </c>
      <c r="AC50" s="9"/>
      <c r="AD50" s="9" t="b">
        <v>0</v>
      </c>
      <c r="AE50" s="9"/>
      <c r="AF50" s="9"/>
      <c r="AG50" s="12">
        <f t="shared" si="0"/>
        <v>43263</v>
      </c>
    </row>
    <row r="51" spans="1:33">
      <c r="A51" s="9" t="s">
        <v>410</v>
      </c>
      <c r="B51" s="9" t="s">
        <v>410</v>
      </c>
      <c r="C51" s="9" t="s">
        <v>411</v>
      </c>
      <c r="D51" s="9" t="s">
        <v>412</v>
      </c>
      <c r="E51" s="9" t="s">
        <v>36</v>
      </c>
      <c r="F51" s="9" t="s">
        <v>37</v>
      </c>
      <c r="G51" s="9" t="s">
        <v>38</v>
      </c>
      <c r="H51" s="9"/>
      <c r="I51" s="9"/>
      <c r="J51" s="9" t="s">
        <v>39</v>
      </c>
      <c r="K51" s="9" t="s">
        <v>413</v>
      </c>
      <c r="L51" s="9" t="s">
        <v>414</v>
      </c>
      <c r="M51" s="9" t="s">
        <v>415</v>
      </c>
      <c r="N51" s="9" t="s">
        <v>36</v>
      </c>
      <c r="O51" s="9">
        <v>1</v>
      </c>
      <c r="P51" s="9" t="s">
        <v>43</v>
      </c>
      <c r="Q51" s="9">
        <v>42.99</v>
      </c>
      <c r="R51" s="9"/>
      <c r="S51" s="9"/>
      <c r="T51" s="9"/>
      <c r="U51" s="9"/>
      <c r="V51" s="9"/>
      <c r="W51" s="9"/>
      <c r="X51" s="9"/>
      <c r="Y51" s="9" t="s">
        <v>416</v>
      </c>
      <c r="Z51" s="9" t="s">
        <v>417</v>
      </c>
      <c r="AA51" s="9" t="s">
        <v>418</v>
      </c>
      <c r="AB51" s="9" t="s">
        <v>47</v>
      </c>
      <c r="AC51" s="9"/>
      <c r="AD51" s="9" t="b">
        <v>0</v>
      </c>
      <c r="AE51" s="9"/>
      <c r="AF51" s="9"/>
      <c r="AG51" s="12">
        <f t="shared" si="0"/>
        <v>43264</v>
      </c>
    </row>
    <row r="52" spans="1:33">
      <c r="A52" s="9" t="s">
        <v>419</v>
      </c>
      <c r="B52" s="9" t="s">
        <v>419</v>
      </c>
      <c r="C52" s="9" t="s">
        <v>420</v>
      </c>
      <c r="D52" s="9" t="s">
        <v>421</v>
      </c>
      <c r="E52" s="9" t="s">
        <v>36</v>
      </c>
      <c r="F52" s="9" t="s">
        <v>37</v>
      </c>
      <c r="G52" s="9" t="s">
        <v>38</v>
      </c>
      <c r="H52" s="9"/>
      <c r="I52" s="9"/>
      <c r="J52" s="9" t="s">
        <v>103</v>
      </c>
      <c r="K52" s="9" t="s">
        <v>422</v>
      </c>
      <c r="L52" s="9" t="s">
        <v>423</v>
      </c>
      <c r="M52" s="9" t="s">
        <v>424</v>
      </c>
      <c r="N52" s="9" t="s">
        <v>36</v>
      </c>
      <c r="O52" s="9">
        <v>1</v>
      </c>
      <c r="P52" s="9" t="s">
        <v>43</v>
      </c>
      <c r="Q52" s="9">
        <v>15.99</v>
      </c>
      <c r="R52" s="9"/>
      <c r="S52" s="9">
        <v>3.99</v>
      </c>
      <c r="T52" s="9"/>
      <c r="U52" s="9"/>
      <c r="V52" s="9"/>
      <c r="W52" s="9"/>
      <c r="X52" s="9"/>
      <c r="Y52" s="9" t="s">
        <v>425</v>
      </c>
      <c r="Z52" s="9" t="s">
        <v>64</v>
      </c>
      <c r="AA52" s="9" t="s">
        <v>426</v>
      </c>
      <c r="AB52" s="9" t="s">
        <v>47</v>
      </c>
      <c r="AC52" s="9"/>
      <c r="AD52" s="9" t="b">
        <v>0</v>
      </c>
      <c r="AE52" s="9"/>
      <c r="AF52" s="9"/>
      <c r="AG52" s="12">
        <f t="shared" si="0"/>
        <v>43264</v>
      </c>
    </row>
    <row r="53" spans="1:33">
      <c r="A53" s="9" t="s">
        <v>427</v>
      </c>
      <c r="B53" s="9" t="s">
        <v>427</v>
      </c>
      <c r="C53" s="9" t="s">
        <v>428</v>
      </c>
      <c r="D53" s="9" t="s">
        <v>429</v>
      </c>
      <c r="E53" s="9" t="s">
        <v>36</v>
      </c>
      <c r="F53" s="9" t="s">
        <v>37</v>
      </c>
      <c r="G53" s="9" t="s">
        <v>38</v>
      </c>
      <c r="H53" s="9"/>
      <c r="I53" s="9"/>
      <c r="J53" s="9" t="s">
        <v>103</v>
      </c>
      <c r="K53" s="9" t="s">
        <v>430</v>
      </c>
      <c r="L53" s="9" t="s">
        <v>431</v>
      </c>
      <c r="M53" s="9" t="s">
        <v>432</v>
      </c>
      <c r="N53" s="9" t="s">
        <v>36</v>
      </c>
      <c r="O53" s="9">
        <v>1</v>
      </c>
      <c r="P53" s="9" t="s">
        <v>43</v>
      </c>
      <c r="Q53" s="9">
        <v>8.08</v>
      </c>
      <c r="R53" s="9"/>
      <c r="S53" s="9">
        <v>3.99</v>
      </c>
      <c r="T53" s="9"/>
      <c r="U53" s="9"/>
      <c r="V53" s="9"/>
      <c r="W53" s="9"/>
      <c r="X53" s="9"/>
      <c r="Y53" s="9" t="s">
        <v>433</v>
      </c>
      <c r="Z53" s="9" t="s">
        <v>176</v>
      </c>
      <c r="AA53" s="9">
        <v>76537</v>
      </c>
      <c r="AB53" s="9" t="s">
        <v>47</v>
      </c>
      <c r="AC53" s="9"/>
      <c r="AD53" s="9" t="b">
        <v>0</v>
      </c>
      <c r="AE53" s="9"/>
      <c r="AF53" s="9"/>
      <c r="AG53" s="12">
        <f t="shared" si="0"/>
        <v>43264</v>
      </c>
    </row>
    <row r="54" spans="1:33">
      <c r="A54" s="9" t="s">
        <v>434</v>
      </c>
      <c r="B54" s="9" t="s">
        <v>434</v>
      </c>
      <c r="C54" s="9" t="s">
        <v>435</v>
      </c>
      <c r="D54" s="9" t="s">
        <v>436</v>
      </c>
      <c r="E54" s="9" t="s">
        <v>36</v>
      </c>
      <c r="F54" s="9" t="s">
        <v>37</v>
      </c>
      <c r="G54" s="9" t="s">
        <v>38</v>
      </c>
      <c r="H54" s="9"/>
      <c r="I54" s="9"/>
      <c r="J54" s="9" t="s">
        <v>39</v>
      </c>
      <c r="K54" s="9" t="s">
        <v>189</v>
      </c>
      <c r="L54" s="9" t="s">
        <v>190</v>
      </c>
      <c r="M54" s="9" t="s">
        <v>191</v>
      </c>
      <c r="N54" s="9" t="s">
        <v>36</v>
      </c>
      <c r="O54" s="9">
        <v>1</v>
      </c>
      <c r="P54" s="9" t="s">
        <v>43</v>
      </c>
      <c r="Q54" s="9">
        <v>9.99</v>
      </c>
      <c r="R54" s="9"/>
      <c r="S54" s="9"/>
      <c r="T54" s="9"/>
      <c r="U54" s="9">
        <v>4.49</v>
      </c>
      <c r="V54" s="9"/>
      <c r="W54" s="9"/>
      <c r="X54" s="9"/>
      <c r="Y54" s="9" t="s">
        <v>437</v>
      </c>
      <c r="Z54" s="9" t="s">
        <v>160</v>
      </c>
      <c r="AA54" s="9" t="s">
        <v>438</v>
      </c>
      <c r="AB54" s="9" t="s">
        <v>47</v>
      </c>
      <c r="AC54" s="9"/>
      <c r="AD54" s="9" t="b">
        <v>0</v>
      </c>
      <c r="AE54" s="9"/>
      <c r="AF54" s="9"/>
      <c r="AG54" s="12">
        <f t="shared" si="0"/>
        <v>43264</v>
      </c>
    </row>
    <row r="55" spans="1:33">
      <c r="A55" s="9" t="s">
        <v>439</v>
      </c>
      <c r="B55" s="9" t="s">
        <v>439</v>
      </c>
      <c r="C55" s="9" t="s">
        <v>440</v>
      </c>
      <c r="D55" s="9" t="s">
        <v>441</v>
      </c>
      <c r="E55" s="9" t="s">
        <v>36</v>
      </c>
      <c r="F55" s="9" t="s">
        <v>37</v>
      </c>
      <c r="G55" s="9" t="s">
        <v>38</v>
      </c>
      <c r="H55" s="9"/>
      <c r="I55" s="9"/>
      <c r="J55" s="9" t="s">
        <v>39</v>
      </c>
      <c r="K55" s="9" t="s">
        <v>422</v>
      </c>
      <c r="L55" s="9" t="s">
        <v>423</v>
      </c>
      <c r="M55" s="9" t="s">
        <v>424</v>
      </c>
      <c r="N55" s="9" t="s">
        <v>36</v>
      </c>
      <c r="O55" s="9">
        <v>1</v>
      </c>
      <c r="P55" s="9" t="s">
        <v>43</v>
      </c>
      <c r="Q55" s="9">
        <v>15.99</v>
      </c>
      <c r="R55" s="9"/>
      <c r="S55" s="9"/>
      <c r="T55" s="9"/>
      <c r="U55" s="9"/>
      <c r="V55" s="9"/>
      <c r="W55" s="9"/>
      <c r="X55" s="9"/>
      <c r="Y55" s="9" t="s">
        <v>442</v>
      </c>
      <c r="Z55" s="9" t="s">
        <v>64</v>
      </c>
      <c r="AA55" s="9" t="s">
        <v>443</v>
      </c>
      <c r="AB55" s="9" t="s">
        <v>47</v>
      </c>
      <c r="AC55" s="9"/>
      <c r="AD55" s="9" t="b">
        <v>0</v>
      </c>
      <c r="AE55" s="9"/>
      <c r="AF55" s="9"/>
      <c r="AG55" s="12">
        <f t="shared" si="0"/>
        <v>43264</v>
      </c>
    </row>
    <row r="56" spans="1:33">
      <c r="A56" s="9" t="s">
        <v>444</v>
      </c>
      <c r="B56" s="9" t="s">
        <v>444</v>
      </c>
      <c r="C56" s="9" t="s">
        <v>445</v>
      </c>
      <c r="D56" s="9" t="s">
        <v>446</v>
      </c>
      <c r="E56" s="9" t="s">
        <v>36</v>
      </c>
      <c r="F56" s="9" t="s">
        <v>37</v>
      </c>
      <c r="G56" s="9" t="s">
        <v>38</v>
      </c>
      <c r="H56" s="9"/>
      <c r="I56" s="9"/>
      <c r="J56" s="9" t="s">
        <v>72</v>
      </c>
      <c r="K56" s="9" t="s">
        <v>447</v>
      </c>
      <c r="L56" s="9" t="s">
        <v>448</v>
      </c>
      <c r="M56" s="9" t="s">
        <v>449</v>
      </c>
      <c r="N56" s="9" t="s">
        <v>36</v>
      </c>
      <c r="O56" s="9">
        <v>1</v>
      </c>
      <c r="P56" s="9" t="s">
        <v>43</v>
      </c>
      <c r="Q56" s="9">
        <v>13.9</v>
      </c>
      <c r="R56" s="9"/>
      <c r="S56" s="9">
        <v>5.99</v>
      </c>
      <c r="T56" s="9"/>
      <c r="U56" s="9"/>
      <c r="V56" s="9"/>
      <c r="W56" s="9"/>
      <c r="X56" s="9"/>
      <c r="Y56" s="9" t="s">
        <v>450</v>
      </c>
      <c r="Z56" s="9" t="s">
        <v>451</v>
      </c>
      <c r="AA56" s="9" t="s">
        <v>452</v>
      </c>
      <c r="AB56" s="9" t="s">
        <v>47</v>
      </c>
      <c r="AC56" s="9"/>
      <c r="AD56" s="9" t="b">
        <v>0</v>
      </c>
      <c r="AE56" s="9"/>
      <c r="AF56" s="9"/>
      <c r="AG56" s="12">
        <f t="shared" si="0"/>
        <v>43264</v>
      </c>
    </row>
    <row r="57" spans="1:33">
      <c r="A57" s="9" t="s">
        <v>453</v>
      </c>
      <c r="B57" s="9" t="s">
        <v>453</v>
      </c>
      <c r="C57" s="9" t="s">
        <v>454</v>
      </c>
      <c r="D57" s="9" t="s">
        <v>455</v>
      </c>
      <c r="E57" s="9" t="s">
        <v>36</v>
      </c>
      <c r="F57" s="9" t="s">
        <v>37</v>
      </c>
      <c r="G57" s="9" t="s">
        <v>38</v>
      </c>
      <c r="H57" s="9"/>
      <c r="I57" s="9"/>
      <c r="J57" s="9" t="s">
        <v>39</v>
      </c>
      <c r="K57" s="9" t="s">
        <v>456</v>
      </c>
      <c r="L57" s="9" t="s">
        <v>289</v>
      </c>
      <c r="M57" s="9" t="s">
        <v>290</v>
      </c>
      <c r="N57" s="9" t="s">
        <v>36</v>
      </c>
      <c r="O57" s="9">
        <v>1</v>
      </c>
      <c r="P57" s="9" t="s">
        <v>43</v>
      </c>
      <c r="Q57" s="9">
        <v>9.99</v>
      </c>
      <c r="R57" s="9"/>
      <c r="S57" s="9"/>
      <c r="T57" s="9"/>
      <c r="U57" s="9"/>
      <c r="V57" s="9"/>
      <c r="W57" s="9"/>
      <c r="X57" s="9"/>
      <c r="Y57" s="9" t="s">
        <v>457</v>
      </c>
      <c r="Z57" s="9" t="s">
        <v>160</v>
      </c>
      <c r="AA57" s="9">
        <v>94536</v>
      </c>
      <c r="AB57" s="9" t="s">
        <v>47</v>
      </c>
      <c r="AC57" s="9"/>
      <c r="AD57" s="9" t="b">
        <v>0</v>
      </c>
      <c r="AE57" s="9"/>
      <c r="AF57" s="9"/>
      <c r="AG57" s="12">
        <f t="shared" si="0"/>
        <v>43264</v>
      </c>
    </row>
    <row r="58" spans="1:33">
      <c r="A58" s="9" t="s">
        <v>458</v>
      </c>
      <c r="B58" s="9" t="s">
        <v>458</v>
      </c>
      <c r="C58" s="9" t="s">
        <v>459</v>
      </c>
      <c r="D58" s="9" t="s">
        <v>460</v>
      </c>
      <c r="E58" s="9" t="s">
        <v>36</v>
      </c>
      <c r="F58" s="9" t="s">
        <v>37</v>
      </c>
      <c r="G58" s="9" t="s">
        <v>38</v>
      </c>
      <c r="H58" s="9"/>
      <c r="I58" s="9"/>
      <c r="J58" s="9" t="s">
        <v>39</v>
      </c>
      <c r="K58" s="9" t="s">
        <v>461</v>
      </c>
      <c r="L58" s="9" t="s">
        <v>462</v>
      </c>
      <c r="M58" s="9" t="s">
        <v>463</v>
      </c>
      <c r="N58" s="9" t="s">
        <v>36</v>
      </c>
      <c r="O58" s="9">
        <v>1</v>
      </c>
      <c r="P58" s="9" t="s">
        <v>43</v>
      </c>
      <c r="Q58" s="9">
        <v>9.99</v>
      </c>
      <c r="R58" s="9"/>
      <c r="S58" s="9"/>
      <c r="T58" s="9"/>
      <c r="U58" s="9"/>
      <c r="V58" s="9"/>
      <c r="W58" s="9"/>
      <c r="X58" s="9"/>
      <c r="Y58" s="9" t="s">
        <v>464</v>
      </c>
      <c r="Z58" s="9" t="s">
        <v>465</v>
      </c>
      <c r="AA58" s="9">
        <v>28277</v>
      </c>
      <c r="AB58" s="9" t="s">
        <v>47</v>
      </c>
      <c r="AC58" s="9"/>
      <c r="AD58" s="9" t="b">
        <v>0</v>
      </c>
      <c r="AE58" s="9"/>
      <c r="AF58" s="9"/>
      <c r="AG58" s="12">
        <f t="shared" si="0"/>
        <v>43265</v>
      </c>
    </row>
    <row r="59" spans="1:33">
      <c r="A59" s="9" t="s">
        <v>466</v>
      </c>
      <c r="B59" s="9" t="s">
        <v>467</v>
      </c>
      <c r="C59" s="9" t="s">
        <v>468</v>
      </c>
      <c r="D59" s="9" t="s">
        <v>469</v>
      </c>
      <c r="E59" s="9" t="s">
        <v>36</v>
      </c>
      <c r="F59" s="9" t="s">
        <v>37</v>
      </c>
      <c r="G59" s="9" t="s">
        <v>339</v>
      </c>
      <c r="H59" s="9"/>
      <c r="I59" s="9"/>
      <c r="J59" s="9" t="s">
        <v>72</v>
      </c>
      <c r="K59" s="9" t="s">
        <v>133</v>
      </c>
      <c r="L59" s="9" t="s">
        <v>134</v>
      </c>
      <c r="M59" s="9" t="s">
        <v>135</v>
      </c>
      <c r="N59" s="9" t="s">
        <v>117</v>
      </c>
      <c r="O59" s="9">
        <v>1</v>
      </c>
      <c r="P59" s="9"/>
      <c r="Q59" s="9"/>
      <c r="R59" s="9"/>
      <c r="S59" s="9"/>
      <c r="T59" s="9"/>
      <c r="U59" s="9"/>
      <c r="V59" s="9"/>
      <c r="W59" s="9"/>
      <c r="X59" s="9"/>
      <c r="Y59" s="9"/>
      <c r="Z59" s="9"/>
      <c r="AA59" s="9"/>
      <c r="AB59" s="9"/>
      <c r="AC59" s="9"/>
      <c r="AD59" s="9" t="b">
        <v>0</v>
      </c>
      <c r="AE59" s="9"/>
      <c r="AF59" s="9"/>
      <c r="AG59" s="12">
        <f t="shared" si="0"/>
        <v>43266</v>
      </c>
    </row>
    <row r="60" spans="1:33">
      <c r="A60" s="9" t="s">
        <v>470</v>
      </c>
      <c r="B60" s="9" t="s">
        <v>470</v>
      </c>
      <c r="C60" s="9" t="s">
        <v>471</v>
      </c>
      <c r="D60" s="9" t="s">
        <v>472</v>
      </c>
      <c r="E60" s="9" t="s">
        <v>36</v>
      </c>
      <c r="F60" s="9" t="s">
        <v>37</v>
      </c>
      <c r="G60" s="9" t="s">
        <v>38</v>
      </c>
      <c r="H60" s="9"/>
      <c r="I60" s="9"/>
      <c r="J60" s="9" t="s">
        <v>39</v>
      </c>
      <c r="K60" s="9" t="s">
        <v>384</v>
      </c>
      <c r="L60" s="9" t="s">
        <v>385</v>
      </c>
      <c r="M60" s="9" t="s">
        <v>386</v>
      </c>
      <c r="N60" s="9" t="s">
        <v>36</v>
      </c>
      <c r="O60" s="9">
        <v>1</v>
      </c>
      <c r="P60" s="9" t="s">
        <v>43</v>
      </c>
      <c r="Q60" s="9">
        <v>13.9</v>
      </c>
      <c r="R60" s="9"/>
      <c r="S60" s="9"/>
      <c r="T60" s="9"/>
      <c r="U60" s="9"/>
      <c r="V60" s="9"/>
      <c r="W60" s="9"/>
      <c r="X60" s="9"/>
      <c r="Y60" s="9" t="s">
        <v>473</v>
      </c>
      <c r="Z60" s="9" t="s">
        <v>474</v>
      </c>
      <c r="AA60" s="9">
        <v>84058</v>
      </c>
      <c r="AB60" s="9" t="s">
        <v>47</v>
      </c>
      <c r="AC60" s="9"/>
      <c r="AD60" s="9" t="b">
        <v>0</v>
      </c>
      <c r="AE60" s="9"/>
      <c r="AF60" s="9"/>
      <c r="AG60" s="12">
        <f t="shared" si="0"/>
        <v>43266</v>
      </c>
    </row>
    <row r="61" spans="1:33">
      <c r="A61" s="9" t="s">
        <v>475</v>
      </c>
      <c r="B61" s="9" t="s">
        <v>475</v>
      </c>
      <c r="C61" s="9" t="s">
        <v>476</v>
      </c>
      <c r="D61" s="9" t="s">
        <v>477</v>
      </c>
      <c r="E61" s="9" t="s">
        <v>36</v>
      </c>
      <c r="F61" s="9" t="s">
        <v>37</v>
      </c>
      <c r="G61" s="9" t="s">
        <v>38</v>
      </c>
      <c r="H61" s="9"/>
      <c r="I61" s="9"/>
      <c r="J61" s="9" t="s">
        <v>39</v>
      </c>
      <c r="K61" s="9" t="s">
        <v>478</v>
      </c>
      <c r="L61" s="9" t="s">
        <v>479</v>
      </c>
      <c r="M61" s="9" t="s">
        <v>480</v>
      </c>
      <c r="N61" s="9" t="s">
        <v>36</v>
      </c>
      <c r="O61" s="9">
        <v>1</v>
      </c>
      <c r="P61" s="9" t="s">
        <v>43</v>
      </c>
      <c r="Q61" s="9">
        <v>16.99</v>
      </c>
      <c r="R61" s="9"/>
      <c r="S61" s="9"/>
      <c r="T61" s="9"/>
      <c r="U61" s="9"/>
      <c r="V61" s="9"/>
      <c r="W61" s="9"/>
      <c r="X61" s="9"/>
      <c r="Y61" s="9" t="s">
        <v>481</v>
      </c>
      <c r="Z61" s="9" t="s">
        <v>77</v>
      </c>
      <c r="AA61" s="9" t="s">
        <v>482</v>
      </c>
      <c r="AB61" s="9" t="s">
        <v>47</v>
      </c>
      <c r="AC61" s="9"/>
      <c r="AD61" s="9" t="b">
        <v>0</v>
      </c>
      <c r="AE61" s="9"/>
      <c r="AF61" s="9"/>
      <c r="AG61" s="12">
        <f t="shared" si="0"/>
        <v>43266</v>
      </c>
    </row>
    <row r="62" spans="1:33">
      <c r="A62" s="9" t="s">
        <v>483</v>
      </c>
      <c r="B62" s="9" t="s">
        <v>483</v>
      </c>
      <c r="C62" s="9" t="s">
        <v>484</v>
      </c>
      <c r="D62" s="9" t="s">
        <v>485</v>
      </c>
      <c r="E62" s="9" t="s">
        <v>36</v>
      </c>
      <c r="F62" s="9" t="s">
        <v>37</v>
      </c>
      <c r="G62" s="9" t="s">
        <v>38</v>
      </c>
      <c r="H62" s="9"/>
      <c r="I62" s="9"/>
      <c r="J62" s="9" t="s">
        <v>39</v>
      </c>
      <c r="K62" s="9" t="s">
        <v>486</v>
      </c>
      <c r="L62" s="9" t="s">
        <v>487</v>
      </c>
      <c r="M62" s="9" t="s">
        <v>488</v>
      </c>
      <c r="N62" s="9" t="s">
        <v>36</v>
      </c>
      <c r="O62" s="9">
        <v>1</v>
      </c>
      <c r="P62" s="9" t="s">
        <v>43</v>
      </c>
      <c r="Q62" s="9">
        <v>15.99</v>
      </c>
      <c r="R62" s="9"/>
      <c r="S62" s="9"/>
      <c r="T62" s="9"/>
      <c r="U62" s="9"/>
      <c r="V62" s="9"/>
      <c r="W62" s="9"/>
      <c r="X62" s="9"/>
      <c r="Y62" s="9" t="s">
        <v>489</v>
      </c>
      <c r="Z62" s="9" t="s">
        <v>168</v>
      </c>
      <c r="AA62" s="9" t="s">
        <v>490</v>
      </c>
      <c r="AB62" s="9" t="s">
        <v>47</v>
      </c>
      <c r="AC62" s="9"/>
      <c r="AD62" s="9" t="b">
        <v>0</v>
      </c>
      <c r="AE62" s="9"/>
      <c r="AF62" s="9"/>
      <c r="AG62" s="12">
        <f t="shared" si="0"/>
        <v>43266</v>
      </c>
    </row>
    <row r="63" spans="1:33">
      <c r="A63" s="9" t="s">
        <v>491</v>
      </c>
      <c r="B63" s="9" t="s">
        <v>491</v>
      </c>
      <c r="C63" s="9" t="s">
        <v>492</v>
      </c>
      <c r="D63" s="9" t="s">
        <v>493</v>
      </c>
      <c r="E63" s="9" t="s">
        <v>36</v>
      </c>
      <c r="F63" s="9" t="s">
        <v>37</v>
      </c>
      <c r="G63" s="9" t="s">
        <v>38</v>
      </c>
      <c r="H63" s="9"/>
      <c r="I63" s="9"/>
      <c r="J63" s="9" t="s">
        <v>39</v>
      </c>
      <c r="K63" s="9" t="s">
        <v>248</v>
      </c>
      <c r="L63" s="9" t="s">
        <v>249</v>
      </c>
      <c r="M63" s="9" t="s">
        <v>250</v>
      </c>
      <c r="N63" s="9" t="s">
        <v>36</v>
      </c>
      <c r="O63" s="9">
        <v>1</v>
      </c>
      <c r="P63" s="9" t="s">
        <v>43</v>
      </c>
      <c r="Q63" s="9">
        <v>9.99</v>
      </c>
      <c r="R63" s="9"/>
      <c r="S63" s="9"/>
      <c r="T63" s="9"/>
      <c r="U63" s="9"/>
      <c r="V63" s="9"/>
      <c r="W63" s="9"/>
      <c r="X63" s="9"/>
      <c r="Y63" s="9" t="s">
        <v>494</v>
      </c>
      <c r="Z63" s="9" t="s">
        <v>417</v>
      </c>
      <c r="AA63" s="9" t="s">
        <v>495</v>
      </c>
      <c r="AB63" s="9" t="s">
        <v>47</v>
      </c>
      <c r="AC63" s="9"/>
      <c r="AD63" s="9" t="b">
        <v>0</v>
      </c>
      <c r="AE63" s="9"/>
      <c r="AF63" s="9"/>
      <c r="AG63" s="12">
        <f t="shared" si="0"/>
        <v>43266</v>
      </c>
    </row>
    <row r="64" spans="1:33">
      <c r="A64" s="9" t="s">
        <v>496</v>
      </c>
      <c r="B64" s="9" t="s">
        <v>496</v>
      </c>
      <c r="C64" s="9" t="s">
        <v>497</v>
      </c>
      <c r="D64" s="9" t="s">
        <v>498</v>
      </c>
      <c r="E64" s="9" t="s">
        <v>36</v>
      </c>
      <c r="F64" s="9" t="s">
        <v>37</v>
      </c>
      <c r="G64" s="9" t="s">
        <v>38</v>
      </c>
      <c r="H64" s="9"/>
      <c r="I64" s="9"/>
      <c r="J64" s="9" t="s">
        <v>72</v>
      </c>
      <c r="K64" s="9" t="s">
        <v>142</v>
      </c>
      <c r="L64" s="9" t="s">
        <v>143</v>
      </c>
      <c r="M64" s="9" t="s">
        <v>144</v>
      </c>
      <c r="N64" s="9" t="s">
        <v>36</v>
      </c>
      <c r="O64" s="9">
        <v>1</v>
      </c>
      <c r="P64" s="9" t="s">
        <v>43</v>
      </c>
      <c r="Q64" s="9">
        <v>20.9</v>
      </c>
      <c r="R64" s="9"/>
      <c r="S64" s="9">
        <v>2.45</v>
      </c>
      <c r="T64" s="9"/>
      <c r="U64" s="9"/>
      <c r="V64" s="9"/>
      <c r="W64" s="9"/>
      <c r="X64" s="9"/>
      <c r="Y64" s="9" t="s">
        <v>499</v>
      </c>
      <c r="Z64" s="9" t="s">
        <v>160</v>
      </c>
      <c r="AA64" s="9" t="s">
        <v>500</v>
      </c>
      <c r="AB64" s="9" t="s">
        <v>47</v>
      </c>
      <c r="AC64" s="9"/>
      <c r="AD64" s="9" t="b">
        <v>0</v>
      </c>
      <c r="AE64" s="9"/>
      <c r="AF64" s="9"/>
      <c r="AG64" s="12">
        <f t="shared" si="0"/>
        <v>43266</v>
      </c>
    </row>
    <row r="65" spans="1:33">
      <c r="A65" s="9" t="s">
        <v>501</v>
      </c>
      <c r="B65" s="9" t="s">
        <v>501</v>
      </c>
      <c r="C65" s="9" t="s">
        <v>502</v>
      </c>
      <c r="D65" s="9" t="s">
        <v>503</v>
      </c>
      <c r="E65" s="9" t="s">
        <v>36</v>
      </c>
      <c r="F65" s="9" t="s">
        <v>37</v>
      </c>
      <c r="G65" s="9" t="s">
        <v>38</v>
      </c>
      <c r="H65" s="9"/>
      <c r="I65" s="9"/>
      <c r="J65" s="9" t="s">
        <v>39</v>
      </c>
      <c r="K65" s="9" t="s">
        <v>504</v>
      </c>
      <c r="L65" s="9" t="s">
        <v>505</v>
      </c>
      <c r="M65" s="9" t="s">
        <v>506</v>
      </c>
      <c r="N65" s="9" t="s">
        <v>36</v>
      </c>
      <c r="O65" s="9">
        <v>1</v>
      </c>
      <c r="P65" s="9" t="s">
        <v>43</v>
      </c>
      <c r="Q65" s="9">
        <v>16.99</v>
      </c>
      <c r="R65" s="9"/>
      <c r="S65" s="9"/>
      <c r="T65" s="9"/>
      <c r="U65" s="9"/>
      <c r="V65" s="9"/>
      <c r="W65" s="9"/>
      <c r="X65" s="9"/>
      <c r="Y65" s="9" t="s">
        <v>395</v>
      </c>
      <c r="Z65" s="9" t="s">
        <v>176</v>
      </c>
      <c r="AA65" s="9" t="s">
        <v>507</v>
      </c>
      <c r="AB65" s="9" t="s">
        <v>47</v>
      </c>
      <c r="AC65" s="9"/>
      <c r="AD65" s="9" t="b">
        <v>0</v>
      </c>
      <c r="AE65" s="9"/>
      <c r="AF65" s="9"/>
      <c r="AG65" s="12">
        <f t="shared" si="0"/>
        <v>43267</v>
      </c>
    </row>
    <row r="66" spans="1:33">
      <c r="A66" s="9" t="s">
        <v>508</v>
      </c>
      <c r="B66" s="9" t="s">
        <v>508</v>
      </c>
      <c r="C66" s="9" t="s">
        <v>509</v>
      </c>
      <c r="D66" s="9" t="s">
        <v>510</v>
      </c>
      <c r="E66" s="9" t="s">
        <v>36</v>
      </c>
      <c r="F66" s="9" t="s">
        <v>37</v>
      </c>
      <c r="G66" s="9" t="s">
        <v>38</v>
      </c>
      <c r="H66" s="9"/>
      <c r="I66" s="9"/>
      <c r="J66" s="9" t="s">
        <v>39</v>
      </c>
      <c r="K66" s="9" t="s">
        <v>511</v>
      </c>
      <c r="L66" s="9" t="s">
        <v>512</v>
      </c>
      <c r="M66" s="9" t="s">
        <v>513</v>
      </c>
      <c r="N66" s="9" t="s">
        <v>36</v>
      </c>
      <c r="O66" s="9">
        <v>1</v>
      </c>
      <c r="P66" s="9" t="s">
        <v>43</v>
      </c>
      <c r="Q66" s="9">
        <v>18.99</v>
      </c>
      <c r="R66" s="9"/>
      <c r="S66" s="9"/>
      <c r="T66" s="9"/>
      <c r="U66" s="9"/>
      <c r="V66" s="9"/>
      <c r="W66" s="9"/>
      <c r="X66" s="9"/>
      <c r="Y66" s="9" t="s">
        <v>514</v>
      </c>
      <c r="Z66" s="9" t="s">
        <v>168</v>
      </c>
      <c r="AA66" s="9">
        <v>10580</v>
      </c>
      <c r="AB66" s="9" t="s">
        <v>47</v>
      </c>
      <c r="AC66" s="9"/>
      <c r="AD66" s="9" t="b">
        <v>0</v>
      </c>
      <c r="AE66" s="9"/>
      <c r="AF66" s="9"/>
      <c r="AG66" s="12">
        <f t="shared" ref="AG66:AG129" si="1">DATEVALUE(LEFT(C66,10))</f>
        <v>43267</v>
      </c>
    </row>
    <row r="67" spans="1:33">
      <c r="A67" s="9" t="s">
        <v>515</v>
      </c>
      <c r="B67" s="9" t="s">
        <v>515</v>
      </c>
      <c r="C67" s="9" t="s">
        <v>516</v>
      </c>
      <c r="D67" s="9" t="s">
        <v>517</v>
      </c>
      <c r="E67" s="9" t="s">
        <v>36</v>
      </c>
      <c r="F67" s="9" t="s">
        <v>37</v>
      </c>
      <c r="G67" s="9" t="s">
        <v>38</v>
      </c>
      <c r="H67" s="9"/>
      <c r="I67" s="9"/>
      <c r="J67" s="9" t="s">
        <v>39</v>
      </c>
      <c r="K67" s="9" t="s">
        <v>518</v>
      </c>
      <c r="L67" s="9" t="s">
        <v>519</v>
      </c>
      <c r="M67" s="9" t="s">
        <v>520</v>
      </c>
      <c r="N67" s="9" t="s">
        <v>36</v>
      </c>
      <c r="O67" s="9">
        <v>1</v>
      </c>
      <c r="P67" s="9" t="s">
        <v>43</v>
      </c>
      <c r="Q67" s="9">
        <v>15.99</v>
      </c>
      <c r="R67" s="9"/>
      <c r="S67" s="9"/>
      <c r="T67" s="9"/>
      <c r="U67" s="9"/>
      <c r="V67" s="9"/>
      <c r="W67" s="9"/>
      <c r="X67" s="9"/>
      <c r="Y67" s="9" t="s">
        <v>521</v>
      </c>
      <c r="Z67" s="9" t="s">
        <v>522</v>
      </c>
      <c r="AA67" s="9" t="s">
        <v>523</v>
      </c>
      <c r="AB67" s="9" t="s">
        <v>47</v>
      </c>
      <c r="AC67" s="9"/>
      <c r="AD67" s="9" t="b">
        <v>0</v>
      </c>
      <c r="AE67" s="9"/>
      <c r="AF67" s="9"/>
      <c r="AG67" s="12">
        <f t="shared" si="1"/>
        <v>43267</v>
      </c>
    </row>
    <row r="68" spans="1:33">
      <c r="A68" s="9" t="s">
        <v>524</v>
      </c>
      <c r="B68" s="9" t="s">
        <v>524</v>
      </c>
      <c r="C68" s="9" t="s">
        <v>525</v>
      </c>
      <c r="D68" s="9" t="s">
        <v>526</v>
      </c>
      <c r="E68" s="9" t="s">
        <v>36</v>
      </c>
      <c r="F68" s="9" t="s">
        <v>37</v>
      </c>
      <c r="G68" s="9" t="s">
        <v>38</v>
      </c>
      <c r="H68" s="9"/>
      <c r="I68" s="9"/>
      <c r="J68" s="9" t="s">
        <v>39</v>
      </c>
      <c r="K68" s="9" t="s">
        <v>317</v>
      </c>
      <c r="L68" s="9" t="s">
        <v>318</v>
      </c>
      <c r="M68" s="9" t="s">
        <v>319</v>
      </c>
      <c r="N68" s="9" t="s">
        <v>36</v>
      </c>
      <c r="O68" s="9">
        <v>1</v>
      </c>
      <c r="P68" s="9" t="s">
        <v>43</v>
      </c>
      <c r="Q68" s="9">
        <v>24.99</v>
      </c>
      <c r="R68" s="9"/>
      <c r="S68" s="9"/>
      <c r="T68" s="9"/>
      <c r="U68" s="9"/>
      <c r="V68" s="9"/>
      <c r="W68" s="9"/>
      <c r="X68" s="9"/>
      <c r="Y68" s="9" t="s">
        <v>527</v>
      </c>
      <c r="Z68" s="9" t="s">
        <v>528</v>
      </c>
      <c r="AA68" s="9">
        <v>85624</v>
      </c>
      <c r="AB68" s="9" t="s">
        <v>47</v>
      </c>
      <c r="AC68" s="9"/>
      <c r="AD68" s="9" t="b">
        <v>0</v>
      </c>
      <c r="AE68" s="9"/>
      <c r="AF68" s="9"/>
      <c r="AG68" s="12">
        <f t="shared" si="1"/>
        <v>43267</v>
      </c>
    </row>
    <row r="69" spans="1:33">
      <c r="A69" s="9" t="s">
        <v>529</v>
      </c>
      <c r="B69" s="9" t="s">
        <v>529</v>
      </c>
      <c r="C69" s="9" t="s">
        <v>530</v>
      </c>
      <c r="D69" s="9" t="s">
        <v>531</v>
      </c>
      <c r="E69" s="9" t="s">
        <v>36</v>
      </c>
      <c r="F69" s="9" t="s">
        <v>37</v>
      </c>
      <c r="G69" s="9" t="s">
        <v>38</v>
      </c>
      <c r="H69" s="9"/>
      <c r="I69" s="9"/>
      <c r="J69" s="9" t="s">
        <v>39</v>
      </c>
      <c r="K69" s="9" t="s">
        <v>532</v>
      </c>
      <c r="L69" s="9" t="s">
        <v>533</v>
      </c>
      <c r="M69" s="9" t="s">
        <v>534</v>
      </c>
      <c r="N69" s="9" t="s">
        <v>36</v>
      </c>
      <c r="O69" s="9">
        <v>1</v>
      </c>
      <c r="P69" s="9" t="s">
        <v>43</v>
      </c>
      <c r="Q69" s="9">
        <v>18.99</v>
      </c>
      <c r="R69" s="9"/>
      <c r="S69" s="9"/>
      <c r="T69" s="9"/>
      <c r="U69" s="9"/>
      <c r="V69" s="9"/>
      <c r="W69" s="9"/>
      <c r="X69" s="9"/>
      <c r="Y69" s="9" t="s">
        <v>535</v>
      </c>
      <c r="Z69" s="9" t="s">
        <v>451</v>
      </c>
      <c r="AA69" s="9" t="s">
        <v>536</v>
      </c>
      <c r="AB69" s="9" t="s">
        <v>47</v>
      </c>
      <c r="AC69" s="9"/>
      <c r="AD69" s="9" t="b">
        <v>0</v>
      </c>
      <c r="AE69" s="9"/>
      <c r="AF69" s="9"/>
      <c r="AG69" s="12">
        <f t="shared" si="1"/>
        <v>43267</v>
      </c>
    </row>
    <row r="70" spans="1:33">
      <c r="A70" s="9" t="s">
        <v>537</v>
      </c>
      <c r="B70" s="9" t="s">
        <v>537</v>
      </c>
      <c r="C70" s="9" t="s">
        <v>538</v>
      </c>
      <c r="D70" s="9" t="s">
        <v>539</v>
      </c>
      <c r="E70" s="9" t="s">
        <v>36</v>
      </c>
      <c r="F70" s="9" t="s">
        <v>37</v>
      </c>
      <c r="G70" s="9" t="s">
        <v>38</v>
      </c>
      <c r="H70" s="9"/>
      <c r="I70" s="9"/>
      <c r="J70" s="9" t="s">
        <v>540</v>
      </c>
      <c r="K70" s="9" t="s">
        <v>541</v>
      </c>
      <c r="L70" s="9" t="s">
        <v>542</v>
      </c>
      <c r="M70" s="9" t="s">
        <v>543</v>
      </c>
      <c r="N70" s="9" t="s">
        <v>36</v>
      </c>
      <c r="O70" s="9">
        <v>1</v>
      </c>
      <c r="P70" s="9" t="s">
        <v>43</v>
      </c>
      <c r="Q70" s="9">
        <v>8.79</v>
      </c>
      <c r="R70" s="9"/>
      <c r="S70" s="9"/>
      <c r="T70" s="9"/>
      <c r="U70" s="9"/>
      <c r="V70" s="9"/>
      <c r="W70" s="9"/>
      <c r="X70" s="9"/>
      <c r="Y70" s="9" t="s">
        <v>544</v>
      </c>
      <c r="Z70" s="9" t="s">
        <v>108</v>
      </c>
      <c r="AA70" s="9">
        <v>60614</v>
      </c>
      <c r="AB70" s="9" t="s">
        <v>47</v>
      </c>
      <c r="AC70" s="9"/>
      <c r="AD70" s="9" t="b">
        <v>0</v>
      </c>
      <c r="AE70" s="9"/>
      <c r="AF70" s="9"/>
      <c r="AG70" s="12">
        <f t="shared" si="1"/>
        <v>43268</v>
      </c>
    </row>
    <row r="71" spans="1:33">
      <c r="A71" s="9" t="s">
        <v>545</v>
      </c>
      <c r="B71" s="9" t="s">
        <v>545</v>
      </c>
      <c r="C71" s="9" t="s">
        <v>546</v>
      </c>
      <c r="D71" s="9" t="s">
        <v>547</v>
      </c>
      <c r="E71" s="9" t="s">
        <v>36</v>
      </c>
      <c r="F71" s="9" t="s">
        <v>37</v>
      </c>
      <c r="G71" s="9" t="s">
        <v>38</v>
      </c>
      <c r="H71" s="9"/>
      <c r="I71" s="9"/>
      <c r="J71" s="9" t="s">
        <v>39</v>
      </c>
      <c r="K71" s="9" t="s">
        <v>548</v>
      </c>
      <c r="L71" s="9" t="s">
        <v>549</v>
      </c>
      <c r="M71" s="9" t="s">
        <v>550</v>
      </c>
      <c r="N71" s="9" t="s">
        <v>36</v>
      </c>
      <c r="O71" s="9">
        <v>1</v>
      </c>
      <c r="P71" s="9" t="s">
        <v>43</v>
      </c>
      <c r="Q71" s="9">
        <v>7.99</v>
      </c>
      <c r="R71" s="9"/>
      <c r="S71" s="9"/>
      <c r="T71" s="9"/>
      <c r="U71" s="9"/>
      <c r="V71" s="9"/>
      <c r="W71" s="9"/>
      <c r="X71" s="9"/>
      <c r="Y71" s="9" t="s">
        <v>551</v>
      </c>
      <c r="Z71" s="9" t="s">
        <v>552</v>
      </c>
      <c r="AA71" s="9" t="s">
        <v>553</v>
      </c>
      <c r="AB71" s="9" t="s">
        <v>47</v>
      </c>
      <c r="AC71" s="9"/>
      <c r="AD71" s="9" t="b">
        <v>0</v>
      </c>
      <c r="AE71" s="9"/>
      <c r="AF71" s="9"/>
      <c r="AG71" s="12">
        <f t="shared" si="1"/>
        <v>43268</v>
      </c>
    </row>
    <row r="72" spans="1:33">
      <c r="A72" s="9" t="s">
        <v>554</v>
      </c>
      <c r="B72" s="9" t="s">
        <v>554</v>
      </c>
      <c r="C72" s="9" t="s">
        <v>555</v>
      </c>
      <c r="D72" s="9" t="s">
        <v>556</v>
      </c>
      <c r="E72" s="9" t="s">
        <v>36</v>
      </c>
      <c r="F72" s="9" t="s">
        <v>37</v>
      </c>
      <c r="G72" s="9" t="s">
        <v>38</v>
      </c>
      <c r="H72" s="9"/>
      <c r="I72" s="9"/>
      <c r="J72" s="9" t="s">
        <v>39</v>
      </c>
      <c r="K72" s="9" t="s">
        <v>557</v>
      </c>
      <c r="L72" s="9" t="s">
        <v>558</v>
      </c>
      <c r="M72" s="9" t="s">
        <v>559</v>
      </c>
      <c r="N72" s="9" t="s">
        <v>36</v>
      </c>
      <c r="O72" s="9">
        <v>1</v>
      </c>
      <c r="P72" s="9" t="s">
        <v>43</v>
      </c>
      <c r="Q72" s="9">
        <v>42.99</v>
      </c>
      <c r="R72" s="9"/>
      <c r="S72" s="9"/>
      <c r="T72" s="9"/>
      <c r="U72" s="9"/>
      <c r="V72" s="9"/>
      <c r="W72" s="9"/>
      <c r="X72" s="9"/>
      <c r="Y72" s="9" t="s">
        <v>291</v>
      </c>
      <c r="Z72" s="9" t="s">
        <v>64</v>
      </c>
      <c r="AA72" s="9" t="s">
        <v>560</v>
      </c>
      <c r="AB72" s="9" t="s">
        <v>47</v>
      </c>
      <c r="AC72" s="9"/>
      <c r="AD72" s="9" t="b">
        <v>0</v>
      </c>
      <c r="AE72" s="9"/>
      <c r="AF72" s="9"/>
      <c r="AG72" s="12">
        <f t="shared" si="1"/>
        <v>43268</v>
      </c>
    </row>
    <row r="73" spans="1:33">
      <c r="A73" s="9" t="s">
        <v>561</v>
      </c>
      <c r="B73" s="9" t="s">
        <v>561</v>
      </c>
      <c r="C73" s="9" t="s">
        <v>562</v>
      </c>
      <c r="D73" s="9" t="s">
        <v>563</v>
      </c>
      <c r="E73" s="9" t="s">
        <v>36</v>
      </c>
      <c r="F73" s="9" t="s">
        <v>37</v>
      </c>
      <c r="G73" s="9" t="s">
        <v>38</v>
      </c>
      <c r="H73" s="9"/>
      <c r="I73" s="9"/>
      <c r="J73" s="9" t="s">
        <v>72</v>
      </c>
      <c r="K73" s="9" t="s">
        <v>73</v>
      </c>
      <c r="L73" s="9" t="s">
        <v>74</v>
      </c>
      <c r="M73" s="9" t="s">
        <v>75</v>
      </c>
      <c r="N73" s="9" t="s">
        <v>36</v>
      </c>
      <c r="O73" s="9">
        <v>1</v>
      </c>
      <c r="P73" s="9" t="s">
        <v>43</v>
      </c>
      <c r="Q73" s="9">
        <v>9.99</v>
      </c>
      <c r="R73" s="9"/>
      <c r="S73" s="9">
        <v>5.99</v>
      </c>
      <c r="T73" s="9"/>
      <c r="U73" s="9"/>
      <c r="V73" s="9"/>
      <c r="W73" s="9"/>
      <c r="X73" s="9"/>
      <c r="Y73" s="9" t="s">
        <v>564</v>
      </c>
      <c r="Z73" s="9" t="s">
        <v>565</v>
      </c>
      <c r="AA73" s="9" t="s">
        <v>566</v>
      </c>
      <c r="AB73" s="9" t="s">
        <v>47</v>
      </c>
      <c r="AC73" s="9"/>
      <c r="AD73" s="9" t="b">
        <v>0</v>
      </c>
      <c r="AE73" s="9"/>
      <c r="AF73" s="9"/>
      <c r="AG73" s="12">
        <f t="shared" si="1"/>
        <v>43268</v>
      </c>
    </row>
    <row r="74" spans="1:33">
      <c r="A74" s="9" t="s">
        <v>567</v>
      </c>
      <c r="B74" s="9" t="s">
        <v>567</v>
      </c>
      <c r="C74" s="9" t="s">
        <v>568</v>
      </c>
      <c r="D74" s="9" t="s">
        <v>569</v>
      </c>
      <c r="E74" s="9" t="s">
        <v>113</v>
      </c>
      <c r="F74" s="9" t="s">
        <v>37</v>
      </c>
      <c r="G74" s="9" t="s">
        <v>38</v>
      </c>
      <c r="H74" s="9"/>
      <c r="I74" s="9"/>
      <c r="J74" s="9" t="s">
        <v>39</v>
      </c>
      <c r="K74" s="9" t="s">
        <v>570</v>
      </c>
      <c r="L74" s="9" t="s">
        <v>571</v>
      </c>
      <c r="M74" s="9" t="s">
        <v>572</v>
      </c>
      <c r="N74" s="9" t="s">
        <v>117</v>
      </c>
      <c r="O74" s="9">
        <v>1</v>
      </c>
      <c r="P74" s="9" t="s">
        <v>43</v>
      </c>
      <c r="Q74" s="9">
        <v>8.86</v>
      </c>
      <c r="R74" s="9"/>
      <c r="S74" s="9"/>
      <c r="T74" s="9"/>
      <c r="U74" s="9"/>
      <c r="V74" s="9"/>
      <c r="W74" s="9"/>
      <c r="X74" s="9"/>
      <c r="Y74" s="9" t="s">
        <v>573</v>
      </c>
      <c r="Z74" s="9" t="s">
        <v>160</v>
      </c>
      <c r="AA74" s="9" t="s">
        <v>574</v>
      </c>
      <c r="AB74" s="9" t="s">
        <v>47</v>
      </c>
      <c r="AC74" s="9"/>
      <c r="AD74" s="9" t="b">
        <v>0</v>
      </c>
      <c r="AE74" s="9"/>
      <c r="AF74" s="9"/>
      <c r="AG74" s="12">
        <f t="shared" si="1"/>
        <v>43269</v>
      </c>
    </row>
    <row r="75" spans="1:33">
      <c r="A75" s="9" t="s">
        <v>575</v>
      </c>
      <c r="B75" s="9" t="s">
        <v>575</v>
      </c>
      <c r="C75" s="9" t="s">
        <v>576</v>
      </c>
      <c r="D75" s="9" t="s">
        <v>577</v>
      </c>
      <c r="E75" s="9" t="s">
        <v>36</v>
      </c>
      <c r="F75" s="9" t="s">
        <v>37</v>
      </c>
      <c r="G75" s="9" t="s">
        <v>38</v>
      </c>
      <c r="H75" s="9"/>
      <c r="I75" s="9"/>
      <c r="J75" s="9" t="s">
        <v>39</v>
      </c>
      <c r="K75" s="9" t="s">
        <v>180</v>
      </c>
      <c r="L75" s="9" t="s">
        <v>181</v>
      </c>
      <c r="M75" s="9" t="s">
        <v>182</v>
      </c>
      <c r="N75" s="9" t="s">
        <v>36</v>
      </c>
      <c r="O75" s="9">
        <v>1</v>
      </c>
      <c r="P75" s="9" t="s">
        <v>43</v>
      </c>
      <c r="Q75" s="9">
        <v>20.9</v>
      </c>
      <c r="R75" s="9"/>
      <c r="S75" s="9"/>
      <c r="T75" s="9"/>
      <c r="U75" s="9"/>
      <c r="V75" s="9"/>
      <c r="W75" s="9"/>
      <c r="X75" s="9"/>
      <c r="Y75" s="9" t="s">
        <v>578</v>
      </c>
      <c r="Z75" s="9" t="s">
        <v>417</v>
      </c>
      <c r="AA75" s="9">
        <v>30567</v>
      </c>
      <c r="AB75" s="9" t="s">
        <v>47</v>
      </c>
      <c r="AC75" s="9"/>
      <c r="AD75" s="9" t="b">
        <v>1</v>
      </c>
      <c r="AE75" s="9"/>
      <c r="AF75" s="9"/>
      <c r="AG75" s="12">
        <f t="shared" si="1"/>
        <v>43269</v>
      </c>
    </row>
    <row r="76" spans="1:33">
      <c r="A76" s="9" t="s">
        <v>579</v>
      </c>
      <c r="B76" s="9" t="s">
        <v>579</v>
      </c>
      <c r="C76" s="9" t="s">
        <v>580</v>
      </c>
      <c r="D76" s="9" t="s">
        <v>581</v>
      </c>
      <c r="E76" s="9" t="s">
        <v>36</v>
      </c>
      <c r="F76" s="9" t="s">
        <v>37</v>
      </c>
      <c r="G76" s="9" t="s">
        <v>38</v>
      </c>
      <c r="H76" s="9"/>
      <c r="I76" s="9"/>
      <c r="J76" s="9" t="s">
        <v>39</v>
      </c>
      <c r="K76" s="9" t="s">
        <v>582</v>
      </c>
      <c r="L76" s="9" t="s">
        <v>583</v>
      </c>
      <c r="M76" s="9" t="s">
        <v>584</v>
      </c>
      <c r="N76" s="9" t="s">
        <v>36</v>
      </c>
      <c r="O76" s="9">
        <v>1</v>
      </c>
      <c r="P76" s="9" t="s">
        <v>43</v>
      </c>
      <c r="Q76" s="9">
        <v>15.19</v>
      </c>
      <c r="R76" s="9"/>
      <c r="S76" s="9"/>
      <c r="T76" s="9"/>
      <c r="U76" s="9"/>
      <c r="V76" s="9"/>
      <c r="W76" s="9"/>
      <c r="X76" s="9"/>
      <c r="Y76" s="9" t="s">
        <v>585</v>
      </c>
      <c r="Z76" s="9" t="s">
        <v>168</v>
      </c>
      <c r="AA76" s="9" t="s">
        <v>586</v>
      </c>
      <c r="AB76" s="9" t="s">
        <v>47</v>
      </c>
      <c r="AC76" s="9"/>
      <c r="AD76" s="9" t="b">
        <v>0</v>
      </c>
      <c r="AE76" s="9"/>
      <c r="AF76" s="9"/>
      <c r="AG76" s="12">
        <f t="shared" si="1"/>
        <v>43269</v>
      </c>
    </row>
    <row r="77" spans="1:33">
      <c r="A77" s="9" t="s">
        <v>587</v>
      </c>
      <c r="B77" s="9" t="s">
        <v>587</v>
      </c>
      <c r="C77" s="9" t="s">
        <v>588</v>
      </c>
      <c r="D77" s="9" t="s">
        <v>589</v>
      </c>
      <c r="E77" s="9" t="s">
        <v>36</v>
      </c>
      <c r="F77" s="9" t="s">
        <v>37</v>
      </c>
      <c r="G77" s="9" t="s">
        <v>38</v>
      </c>
      <c r="H77" s="9"/>
      <c r="I77" s="9"/>
      <c r="J77" s="9" t="s">
        <v>39</v>
      </c>
      <c r="K77" s="9" t="s">
        <v>590</v>
      </c>
      <c r="L77" s="9" t="s">
        <v>591</v>
      </c>
      <c r="M77" s="9" t="s">
        <v>592</v>
      </c>
      <c r="N77" s="9" t="s">
        <v>36</v>
      </c>
      <c r="O77" s="9">
        <v>1</v>
      </c>
      <c r="P77" s="9" t="s">
        <v>43</v>
      </c>
      <c r="Q77" s="9">
        <v>5.41</v>
      </c>
      <c r="R77" s="9"/>
      <c r="S77" s="9"/>
      <c r="T77" s="9"/>
      <c r="U77" s="9"/>
      <c r="V77" s="9"/>
      <c r="W77" s="9"/>
      <c r="X77" s="9"/>
      <c r="Y77" s="9" t="s">
        <v>593</v>
      </c>
      <c r="Z77" s="9" t="s">
        <v>269</v>
      </c>
      <c r="AA77" s="9">
        <v>48042</v>
      </c>
      <c r="AB77" s="9" t="s">
        <v>47</v>
      </c>
      <c r="AC77" s="9"/>
      <c r="AD77" s="9" t="b">
        <v>0</v>
      </c>
      <c r="AE77" s="9"/>
      <c r="AF77" s="9"/>
      <c r="AG77" s="12">
        <f t="shared" si="1"/>
        <v>43269</v>
      </c>
    </row>
    <row r="78" spans="1:33">
      <c r="A78" s="9" t="s">
        <v>594</v>
      </c>
      <c r="B78" s="9" t="s">
        <v>594</v>
      </c>
      <c r="C78" s="9" t="s">
        <v>595</v>
      </c>
      <c r="D78" s="9" t="s">
        <v>596</v>
      </c>
      <c r="E78" s="9" t="s">
        <v>36</v>
      </c>
      <c r="F78" s="9" t="s">
        <v>37</v>
      </c>
      <c r="G78" s="9" t="s">
        <v>38</v>
      </c>
      <c r="H78" s="9"/>
      <c r="I78" s="9"/>
      <c r="J78" s="9" t="s">
        <v>39</v>
      </c>
      <c r="K78" s="9" t="s">
        <v>422</v>
      </c>
      <c r="L78" s="9" t="s">
        <v>423</v>
      </c>
      <c r="M78" s="9" t="s">
        <v>424</v>
      </c>
      <c r="N78" s="9" t="s">
        <v>36</v>
      </c>
      <c r="O78" s="9">
        <v>1</v>
      </c>
      <c r="P78" s="9" t="s">
        <v>43</v>
      </c>
      <c r="Q78" s="9">
        <v>15.99</v>
      </c>
      <c r="R78" s="9"/>
      <c r="S78" s="9"/>
      <c r="T78" s="9"/>
      <c r="U78" s="9"/>
      <c r="V78" s="9"/>
      <c r="W78" s="9"/>
      <c r="X78" s="9"/>
      <c r="Y78" s="9" t="s">
        <v>597</v>
      </c>
      <c r="Z78" s="9" t="s">
        <v>64</v>
      </c>
      <c r="AA78" s="9">
        <v>33166</v>
      </c>
      <c r="AB78" s="9" t="s">
        <v>47</v>
      </c>
      <c r="AC78" s="9"/>
      <c r="AD78" s="9" t="b">
        <v>0</v>
      </c>
      <c r="AE78" s="9"/>
      <c r="AF78" s="9"/>
      <c r="AG78" s="12">
        <f t="shared" si="1"/>
        <v>43269</v>
      </c>
    </row>
    <row r="79" spans="1:33">
      <c r="A79" s="9" t="s">
        <v>598</v>
      </c>
      <c r="B79" s="9" t="s">
        <v>598</v>
      </c>
      <c r="C79" s="9" t="s">
        <v>599</v>
      </c>
      <c r="D79" s="9" t="s">
        <v>600</v>
      </c>
      <c r="E79" s="9" t="s">
        <v>36</v>
      </c>
      <c r="F79" s="9" t="s">
        <v>37</v>
      </c>
      <c r="G79" s="9" t="s">
        <v>38</v>
      </c>
      <c r="H79" s="9"/>
      <c r="I79" s="9"/>
      <c r="J79" s="9" t="s">
        <v>39</v>
      </c>
      <c r="K79" s="9" t="s">
        <v>601</v>
      </c>
      <c r="L79" s="9" t="s">
        <v>602</v>
      </c>
      <c r="M79" s="9" t="s">
        <v>603</v>
      </c>
      <c r="N79" s="9" t="s">
        <v>36</v>
      </c>
      <c r="O79" s="9">
        <v>1</v>
      </c>
      <c r="P79" s="9" t="s">
        <v>43</v>
      </c>
      <c r="Q79" s="9">
        <v>9.99</v>
      </c>
      <c r="R79" s="9"/>
      <c r="S79" s="9"/>
      <c r="T79" s="9"/>
      <c r="U79" s="9"/>
      <c r="V79" s="9"/>
      <c r="W79" s="9"/>
      <c r="X79" s="9"/>
      <c r="Y79" s="9" t="s">
        <v>604</v>
      </c>
      <c r="Z79" s="9" t="s">
        <v>605</v>
      </c>
      <c r="AA79" s="9" t="s">
        <v>606</v>
      </c>
      <c r="AB79" s="9" t="s">
        <v>47</v>
      </c>
      <c r="AC79" s="9"/>
      <c r="AD79" s="9" t="b">
        <v>0</v>
      </c>
      <c r="AE79" s="9"/>
      <c r="AF79" s="9"/>
      <c r="AG79" s="12">
        <f t="shared" si="1"/>
        <v>43269</v>
      </c>
    </row>
    <row r="80" spans="1:33">
      <c r="A80" s="9" t="s">
        <v>607</v>
      </c>
      <c r="B80" s="9" t="s">
        <v>607</v>
      </c>
      <c r="C80" s="9" t="s">
        <v>608</v>
      </c>
      <c r="D80" s="9" t="s">
        <v>609</v>
      </c>
      <c r="E80" s="9" t="s">
        <v>36</v>
      </c>
      <c r="F80" s="9" t="s">
        <v>37</v>
      </c>
      <c r="G80" s="9" t="s">
        <v>38</v>
      </c>
      <c r="H80" s="9"/>
      <c r="I80" s="9"/>
      <c r="J80" s="9" t="s">
        <v>39</v>
      </c>
      <c r="K80" s="9" t="s">
        <v>310</v>
      </c>
      <c r="L80" s="9" t="s">
        <v>311</v>
      </c>
      <c r="M80" s="9" t="s">
        <v>312</v>
      </c>
      <c r="N80" s="9" t="s">
        <v>36</v>
      </c>
      <c r="O80" s="9">
        <v>1</v>
      </c>
      <c r="P80" s="9" t="s">
        <v>43</v>
      </c>
      <c r="Q80" s="9">
        <v>42.99</v>
      </c>
      <c r="R80" s="9"/>
      <c r="S80" s="9"/>
      <c r="T80" s="9"/>
      <c r="U80" s="9"/>
      <c r="V80" s="9"/>
      <c r="W80" s="9"/>
      <c r="X80" s="9"/>
      <c r="Y80" s="9" t="s">
        <v>610</v>
      </c>
      <c r="Z80" s="9" t="s">
        <v>168</v>
      </c>
      <c r="AA80" s="9" t="s">
        <v>611</v>
      </c>
      <c r="AB80" s="9" t="s">
        <v>47</v>
      </c>
      <c r="AC80" s="9"/>
      <c r="AD80" s="9" t="b">
        <v>0</v>
      </c>
      <c r="AE80" s="9"/>
      <c r="AF80" s="9"/>
      <c r="AG80" s="12">
        <f t="shared" si="1"/>
        <v>43270</v>
      </c>
    </row>
    <row r="81" spans="1:33">
      <c r="A81" s="9" t="s">
        <v>612</v>
      </c>
      <c r="B81" s="9" t="s">
        <v>612</v>
      </c>
      <c r="C81" s="9" t="s">
        <v>613</v>
      </c>
      <c r="D81" s="9" t="s">
        <v>614</v>
      </c>
      <c r="E81" s="9" t="s">
        <v>113</v>
      </c>
      <c r="F81" s="9" t="s">
        <v>37</v>
      </c>
      <c r="G81" s="9" t="s">
        <v>38</v>
      </c>
      <c r="H81" s="9"/>
      <c r="I81" s="9"/>
      <c r="J81" s="9" t="s">
        <v>39</v>
      </c>
      <c r="K81" s="9" t="s">
        <v>310</v>
      </c>
      <c r="L81" s="9" t="s">
        <v>311</v>
      </c>
      <c r="M81" s="9" t="s">
        <v>312</v>
      </c>
      <c r="N81" s="9" t="s">
        <v>113</v>
      </c>
      <c r="O81" s="9">
        <v>0</v>
      </c>
      <c r="P81" s="9"/>
      <c r="Q81" s="9"/>
      <c r="R81" s="9"/>
      <c r="S81" s="9"/>
      <c r="T81" s="9"/>
      <c r="U81" s="9"/>
      <c r="V81" s="9"/>
      <c r="W81" s="9"/>
      <c r="X81" s="9"/>
      <c r="Y81" s="9" t="s">
        <v>610</v>
      </c>
      <c r="Z81" s="9" t="s">
        <v>168</v>
      </c>
      <c r="AA81" s="9" t="s">
        <v>611</v>
      </c>
      <c r="AB81" s="9" t="s">
        <v>47</v>
      </c>
      <c r="AC81" s="9"/>
      <c r="AD81" s="9" t="b">
        <v>0</v>
      </c>
      <c r="AE81" s="9"/>
      <c r="AF81" s="9"/>
      <c r="AG81" s="12">
        <f t="shared" si="1"/>
        <v>43270</v>
      </c>
    </row>
    <row r="82" spans="1:33">
      <c r="A82" s="9" t="s">
        <v>615</v>
      </c>
      <c r="B82" s="9" t="s">
        <v>615</v>
      </c>
      <c r="C82" s="9" t="s">
        <v>616</v>
      </c>
      <c r="D82" s="9" t="s">
        <v>617</v>
      </c>
      <c r="E82" s="9" t="s">
        <v>36</v>
      </c>
      <c r="F82" s="9" t="s">
        <v>37</v>
      </c>
      <c r="G82" s="9" t="s">
        <v>38</v>
      </c>
      <c r="H82" s="9"/>
      <c r="I82" s="9"/>
      <c r="J82" s="9" t="s">
        <v>39</v>
      </c>
      <c r="K82" s="9" t="s">
        <v>456</v>
      </c>
      <c r="L82" s="9" t="s">
        <v>289</v>
      </c>
      <c r="M82" s="9" t="s">
        <v>290</v>
      </c>
      <c r="N82" s="9" t="s">
        <v>36</v>
      </c>
      <c r="O82" s="9">
        <v>1</v>
      </c>
      <c r="P82" s="9" t="s">
        <v>43</v>
      </c>
      <c r="Q82" s="9">
        <v>9.99</v>
      </c>
      <c r="R82" s="9"/>
      <c r="S82" s="9"/>
      <c r="T82" s="9"/>
      <c r="U82" s="9"/>
      <c r="V82" s="9"/>
      <c r="W82" s="9"/>
      <c r="X82" s="9"/>
      <c r="Y82" s="9" t="s">
        <v>618</v>
      </c>
      <c r="Z82" s="9" t="s">
        <v>619</v>
      </c>
      <c r="AA82" s="9" t="s">
        <v>620</v>
      </c>
      <c r="AB82" s="9" t="s">
        <v>47</v>
      </c>
      <c r="AC82" s="9"/>
      <c r="AD82" s="9" t="b">
        <v>0</v>
      </c>
      <c r="AE82" s="9"/>
      <c r="AF82" s="9"/>
      <c r="AG82" s="12">
        <f t="shared" si="1"/>
        <v>43270</v>
      </c>
    </row>
    <row r="83" spans="1:33">
      <c r="A83" s="9" t="s">
        <v>621</v>
      </c>
      <c r="B83" s="9" t="s">
        <v>621</v>
      </c>
      <c r="C83" s="9" t="s">
        <v>622</v>
      </c>
      <c r="D83" s="9" t="s">
        <v>623</v>
      </c>
      <c r="E83" s="9" t="s">
        <v>36</v>
      </c>
      <c r="F83" s="9" t="s">
        <v>37</v>
      </c>
      <c r="G83" s="9" t="s">
        <v>38</v>
      </c>
      <c r="H83" s="9"/>
      <c r="I83" s="9"/>
      <c r="J83" s="9" t="s">
        <v>39</v>
      </c>
      <c r="K83" s="9" t="s">
        <v>624</v>
      </c>
      <c r="L83" s="9" t="s">
        <v>625</v>
      </c>
      <c r="M83" s="9" t="s">
        <v>626</v>
      </c>
      <c r="N83" s="9" t="s">
        <v>36</v>
      </c>
      <c r="O83" s="9">
        <v>1</v>
      </c>
      <c r="P83" s="9" t="s">
        <v>43</v>
      </c>
      <c r="Q83" s="9">
        <v>16.99</v>
      </c>
      <c r="R83" s="9"/>
      <c r="S83" s="9"/>
      <c r="T83" s="9"/>
      <c r="U83" s="9"/>
      <c r="V83" s="9"/>
      <c r="W83" s="9"/>
      <c r="X83" s="9"/>
      <c r="Y83" s="9" t="s">
        <v>627</v>
      </c>
      <c r="Z83" s="9" t="s">
        <v>168</v>
      </c>
      <c r="AA83" s="9" t="s">
        <v>628</v>
      </c>
      <c r="AB83" s="9" t="s">
        <v>47</v>
      </c>
      <c r="AC83" s="9"/>
      <c r="AD83" s="9" t="b">
        <v>0</v>
      </c>
      <c r="AE83" s="9"/>
      <c r="AF83" s="9"/>
      <c r="AG83" s="12">
        <f t="shared" si="1"/>
        <v>43270</v>
      </c>
    </row>
    <row r="84" spans="1:33">
      <c r="A84" s="9" t="s">
        <v>629</v>
      </c>
      <c r="B84" s="9" t="s">
        <v>629</v>
      </c>
      <c r="C84" s="9" t="s">
        <v>630</v>
      </c>
      <c r="D84" s="9" t="s">
        <v>631</v>
      </c>
      <c r="E84" s="9" t="s">
        <v>36</v>
      </c>
      <c r="F84" s="9" t="s">
        <v>37</v>
      </c>
      <c r="G84" s="9" t="s">
        <v>38</v>
      </c>
      <c r="H84" s="9"/>
      <c r="I84" s="9"/>
      <c r="J84" s="9" t="s">
        <v>72</v>
      </c>
      <c r="K84" s="9" t="s">
        <v>632</v>
      </c>
      <c r="L84" s="9" t="s">
        <v>633</v>
      </c>
      <c r="M84" s="9" t="s">
        <v>634</v>
      </c>
      <c r="N84" s="9" t="s">
        <v>36</v>
      </c>
      <c r="O84" s="9">
        <v>1</v>
      </c>
      <c r="P84" s="9" t="s">
        <v>43</v>
      </c>
      <c r="Q84" s="9">
        <v>5.59</v>
      </c>
      <c r="R84" s="9"/>
      <c r="S84" s="9">
        <v>1.31</v>
      </c>
      <c r="T84" s="9"/>
      <c r="U84" s="9"/>
      <c r="V84" s="9"/>
      <c r="W84" s="9"/>
      <c r="X84" s="9"/>
      <c r="Y84" s="9" t="s">
        <v>635</v>
      </c>
      <c r="Z84" s="9" t="s">
        <v>636</v>
      </c>
      <c r="AA84" s="9">
        <v>49621</v>
      </c>
      <c r="AB84" s="9" t="s">
        <v>47</v>
      </c>
      <c r="AC84" s="9"/>
      <c r="AD84" s="9" t="b">
        <v>0</v>
      </c>
      <c r="AE84" s="9"/>
      <c r="AF84" s="9"/>
      <c r="AG84" s="12">
        <f t="shared" si="1"/>
        <v>43270</v>
      </c>
    </row>
    <row r="85" spans="1:33">
      <c r="A85" s="9" t="s">
        <v>637</v>
      </c>
      <c r="B85" s="9" t="s">
        <v>637</v>
      </c>
      <c r="C85" s="9" t="s">
        <v>638</v>
      </c>
      <c r="D85" s="9" t="s">
        <v>639</v>
      </c>
      <c r="E85" s="9" t="s">
        <v>36</v>
      </c>
      <c r="F85" s="9" t="s">
        <v>37</v>
      </c>
      <c r="G85" s="9" t="s">
        <v>38</v>
      </c>
      <c r="H85" s="9"/>
      <c r="I85" s="9"/>
      <c r="J85" s="9" t="s">
        <v>103</v>
      </c>
      <c r="K85" s="9" t="s">
        <v>640</v>
      </c>
      <c r="L85" s="9" t="s">
        <v>641</v>
      </c>
      <c r="M85" s="9" t="s">
        <v>642</v>
      </c>
      <c r="N85" s="9" t="s">
        <v>36</v>
      </c>
      <c r="O85" s="9">
        <v>1</v>
      </c>
      <c r="P85" s="9" t="s">
        <v>43</v>
      </c>
      <c r="Q85" s="9">
        <v>13.9</v>
      </c>
      <c r="R85" s="9"/>
      <c r="S85" s="9">
        <v>3.99</v>
      </c>
      <c r="T85" s="9"/>
      <c r="U85" s="9"/>
      <c r="V85" s="9"/>
      <c r="W85" s="9"/>
      <c r="X85" s="9"/>
      <c r="Y85" s="9" t="s">
        <v>643</v>
      </c>
      <c r="Z85" s="9" t="s">
        <v>108</v>
      </c>
      <c r="AA85" s="9" t="s">
        <v>644</v>
      </c>
      <c r="AB85" s="9" t="s">
        <v>47</v>
      </c>
      <c r="AC85" s="9"/>
      <c r="AD85" s="9" t="b">
        <v>0</v>
      </c>
      <c r="AE85" s="9"/>
      <c r="AF85" s="9"/>
      <c r="AG85" s="12">
        <f t="shared" si="1"/>
        <v>43270</v>
      </c>
    </row>
    <row r="86" spans="1:33">
      <c r="A86" s="10" t="s">
        <v>645</v>
      </c>
      <c r="B86" s="10" t="s">
        <v>645</v>
      </c>
      <c r="C86" s="10" t="s">
        <v>646</v>
      </c>
      <c r="D86" s="10" t="s">
        <v>647</v>
      </c>
      <c r="E86" s="10" t="s">
        <v>36</v>
      </c>
      <c r="F86" s="10" t="s">
        <v>37</v>
      </c>
      <c r="G86" s="10" t="s">
        <v>38</v>
      </c>
      <c r="H86" s="10"/>
      <c r="I86" s="10"/>
      <c r="J86" s="10" t="s">
        <v>39</v>
      </c>
      <c r="K86" s="10" t="s">
        <v>648</v>
      </c>
      <c r="L86" s="10" t="s">
        <v>649</v>
      </c>
      <c r="M86" s="10" t="s">
        <v>650</v>
      </c>
      <c r="N86" s="10" t="s">
        <v>36</v>
      </c>
      <c r="O86" s="10">
        <v>1</v>
      </c>
      <c r="P86" s="10" t="s">
        <v>43</v>
      </c>
      <c r="Q86" s="10">
        <v>7.46</v>
      </c>
      <c r="R86" s="10">
        <v>0.74</v>
      </c>
      <c r="S86" s="10"/>
      <c r="T86" s="10"/>
      <c r="U86" s="10"/>
      <c r="V86" s="10"/>
      <c r="W86" s="10"/>
      <c r="X86" s="10"/>
      <c r="Y86" s="10" t="s">
        <v>651</v>
      </c>
      <c r="Z86" s="10" t="s">
        <v>236</v>
      </c>
      <c r="AA86" s="10" t="s">
        <v>652</v>
      </c>
      <c r="AB86" s="10" t="s">
        <v>47</v>
      </c>
      <c r="AC86" s="10"/>
      <c r="AD86" s="10" t="b">
        <v>0</v>
      </c>
      <c r="AE86" s="10"/>
      <c r="AF86" s="10"/>
      <c r="AG86" s="12">
        <f t="shared" si="1"/>
        <v>43271</v>
      </c>
    </row>
    <row r="87" spans="1:33">
      <c r="A87" s="10" t="s">
        <v>653</v>
      </c>
      <c r="B87" s="10" t="s">
        <v>653</v>
      </c>
      <c r="C87" s="10" t="s">
        <v>654</v>
      </c>
      <c r="D87" s="10" t="s">
        <v>655</v>
      </c>
      <c r="E87" s="10" t="s">
        <v>113</v>
      </c>
      <c r="F87" s="10" t="s">
        <v>37</v>
      </c>
      <c r="G87" s="10" t="s">
        <v>38</v>
      </c>
      <c r="H87" s="10"/>
      <c r="I87" s="10"/>
      <c r="J87" s="10" t="s">
        <v>39</v>
      </c>
      <c r="K87" s="10" t="s">
        <v>656</v>
      </c>
      <c r="L87" s="10" t="s">
        <v>657</v>
      </c>
      <c r="M87" s="10" t="s">
        <v>658</v>
      </c>
      <c r="N87" s="10" t="s">
        <v>113</v>
      </c>
      <c r="O87" s="10">
        <v>0</v>
      </c>
      <c r="P87" s="10"/>
      <c r="Q87" s="10"/>
      <c r="R87" s="10"/>
      <c r="S87" s="10"/>
      <c r="T87" s="10"/>
      <c r="U87" s="10"/>
      <c r="V87" s="10"/>
      <c r="W87" s="10"/>
      <c r="X87" s="10"/>
      <c r="Y87" s="10" t="s">
        <v>659</v>
      </c>
      <c r="Z87" s="10" t="s">
        <v>64</v>
      </c>
      <c r="AA87" s="10" t="s">
        <v>660</v>
      </c>
      <c r="AB87" s="10" t="s">
        <v>47</v>
      </c>
      <c r="AC87" s="10"/>
      <c r="AD87" s="10" t="b">
        <v>0</v>
      </c>
      <c r="AE87" s="10"/>
      <c r="AF87" s="10"/>
      <c r="AG87" s="12">
        <f t="shared" si="1"/>
        <v>43271</v>
      </c>
    </row>
    <row r="88" spans="1:33">
      <c r="A88" s="10" t="s">
        <v>661</v>
      </c>
      <c r="B88" s="10" t="s">
        <v>661</v>
      </c>
      <c r="C88" s="10" t="s">
        <v>662</v>
      </c>
      <c r="D88" s="10" t="s">
        <v>663</v>
      </c>
      <c r="E88" s="10" t="s">
        <v>36</v>
      </c>
      <c r="F88" s="10" t="s">
        <v>37</v>
      </c>
      <c r="G88" s="10" t="s">
        <v>38</v>
      </c>
      <c r="H88" s="10"/>
      <c r="I88" s="10"/>
      <c r="J88" s="10" t="s">
        <v>39</v>
      </c>
      <c r="K88" s="10" t="s">
        <v>461</v>
      </c>
      <c r="L88" s="10" t="s">
        <v>462</v>
      </c>
      <c r="M88" s="10" t="s">
        <v>463</v>
      </c>
      <c r="N88" s="10" t="s">
        <v>36</v>
      </c>
      <c r="O88" s="10">
        <v>1</v>
      </c>
      <c r="P88" s="10" t="s">
        <v>43</v>
      </c>
      <c r="Q88" s="10">
        <v>9.99</v>
      </c>
      <c r="R88" s="10"/>
      <c r="S88" s="10"/>
      <c r="T88" s="10"/>
      <c r="U88" s="10"/>
      <c r="V88" s="10"/>
      <c r="W88" s="10"/>
      <c r="X88" s="10"/>
      <c r="Y88" s="10" t="s">
        <v>664</v>
      </c>
      <c r="Z88" s="10" t="s">
        <v>619</v>
      </c>
      <c r="AA88" s="10">
        <v>70816</v>
      </c>
      <c r="AB88" s="10" t="s">
        <v>47</v>
      </c>
      <c r="AC88" s="10"/>
      <c r="AD88" s="10" t="b">
        <v>0</v>
      </c>
      <c r="AE88" s="10"/>
      <c r="AF88" s="10"/>
      <c r="AG88" s="12">
        <f t="shared" si="1"/>
        <v>43271</v>
      </c>
    </row>
    <row r="89" spans="1:33">
      <c r="A89" s="9" t="s">
        <v>665</v>
      </c>
      <c r="B89" s="9" t="s">
        <v>665</v>
      </c>
      <c r="C89" s="9" t="s">
        <v>666</v>
      </c>
      <c r="D89" s="9" t="s">
        <v>667</v>
      </c>
      <c r="E89" s="9" t="s">
        <v>36</v>
      </c>
      <c r="F89" s="9" t="s">
        <v>37</v>
      </c>
      <c r="G89" s="9" t="s">
        <v>38</v>
      </c>
      <c r="H89" s="9"/>
      <c r="I89" s="9"/>
      <c r="J89" s="9" t="s">
        <v>39</v>
      </c>
      <c r="K89" s="9" t="s">
        <v>273</v>
      </c>
      <c r="L89" s="9" t="s">
        <v>274</v>
      </c>
      <c r="M89" s="9" t="s">
        <v>275</v>
      </c>
      <c r="N89" s="9" t="s">
        <v>36</v>
      </c>
      <c r="O89" s="9">
        <v>1</v>
      </c>
      <c r="P89" s="9" t="s">
        <v>43</v>
      </c>
      <c r="Q89" s="9">
        <v>16.99</v>
      </c>
      <c r="R89" s="9"/>
      <c r="S89" s="9"/>
      <c r="T89" s="9"/>
      <c r="U89" s="9"/>
      <c r="V89" s="9"/>
      <c r="W89" s="9"/>
      <c r="X89" s="9"/>
      <c r="Y89" s="9" t="s">
        <v>668</v>
      </c>
      <c r="Z89" s="9" t="s">
        <v>108</v>
      </c>
      <c r="AA89" s="9" t="s">
        <v>669</v>
      </c>
      <c r="AB89" s="9" t="s">
        <v>47</v>
      </c>
      <c r="AC89" s="9"/>
      <c r="AD89" s="9" t="b">
        <v>0</v>
      </c>
      <c r="AE89" s="9"/>
      <c r="AF89" s="9"/>
      <c r="AG89" s="12">
        <f t="shared" si="1"/>
        <v>43272</v>
      </c>
    </row>
    <row r="90" spans="1:33">
      <c r="A90" s="9" t="s">
        <v>670</v>
      </c>
      <c r="B90" s="9" t="s">
        <v>670</v>
      </c>
      <c r="C90" s="9" t="s">
        <v>671</v>
      </c>
      <c r="D90" s="9" t="s">
        <v>672</v>
      </c>
      <c r="E90" s="9" t="s">
        <v>36</v>
      </c>
      <c r="F90" s="9" t="s">
        <v>37</v>
      </c>
      <c r="G90" s="9" t="s">
        <v>38</v>
      </c>
      <c r="H90" s="9"/>
      <c r="I90" s="9"/>
      <c r="J90" s="9" t="s">
        <v>72</v>
      </c>
      <c r="K90" s="9" t="s">
        <v>673</v>
      </c>
      <c r="L90" s="9" t="s">
        <v>674</v>
      </c>
      <c r="M90" s="9" t="s">
        <v>675</v>
      </c>
      <c r="N90" s="9" t="s">
        <v>36</v>
      </c>
      <c r="O90" s="9">
        <v>1</v>
      </c>
      <c r="P90" s="9" t="s">
        <v>43</v>
      </c>
      <c r="Q90" s="9">
        <v>18.99</v>
      </c>
      <c r="R90" s="9"/>
      <c r="S90" s="9">
        <v>1.5</v>
      </c>
      <c r="T90" s="9"/>
      <c r="U90" s="9"/>
      <c r="V90" s="9"/>
      <c r="W90" s="9"/>
      <c r="X90" s="9">
        <v>1.5</v>
      </c>
      <c r="Y90" s="9" t="s">
        <v>676</v>
      </c>
      <c r="Z90" s="9" t="s">
        <v>677</v>
      </c>
      <c r="AA90" s="9">
        <v>9356</v>
      </c>
      <c r="AB90" s="9" t="s">
        <v>47</v>
      </c>
      <c r="AC90" s="9" t="s">
        <v>79</v>
      </c>
      <c r="AD90" s="9" t="b">
        <v>0</v>
      </c>
      <c r="AE90" s="9"/>
      <c r="AF90" s="9"/>
      <c r="AG90" s="12">
        <f t="shared" si="1"/>
        <v>43272</v>
      </c>
    </row>
    <row r="91" spans="1:33">
      <c r="A91" s="9" t="s">
        <v>678</v>
      </c>
      <c r="B91" s="9" t="s">
        <v>678</v>
      </c>
      <c r="C91" s="9" t="s">
        <v>679</v>
      </c>
      <c r="D91" s="9" t="s">
        <v>680</v>
      </c>
      <c r="E91" s="9" t="s">
        <v>36</v>
      </c>
      <c r="F91" s="9" t="s">
        <v>37</v>
      </c>
      <c r="G91" s="9" t="s">
        <v>38</v>
      </c>
      <c r="H91" s="9"/>
      <c r="I91" s="9"/>
      <c r="J91" s="9" t="s">
        <v>39</v>
      </c>
      <c r="K91" s="9" t="s">
        <v>681</v>
      </c>
      <c r="L91" s="9" t="s">
        <v>682</v>
      </c>
      <c r="M91" s="9" t="s">
        <v>683</v>
      </c>
      <c r="N91" s="9" t="s">
        <v>36</v>
      </c>
      <c r="O91" s="9">
        <v>1</v>
      </c>
      <c r="P91" s="9" t="s">
        <v>43</v>
      </c>
      <c r="Q91" s="9">
        <v>12.9</v>
      </c>
      <c r="R91" s="9"/>
      <c r="S91" s="9"/>
      <c r="T91" s="9"/>
      <c r="U91" s="9"/>
      <c r="V91" s="9"/>
      <c r="W91" s="9"/>
      <c r="X91" s="9"/>
      <c r="Y91" s="9" t="s">
        <v>684</v>
      </c>
      <c r="Z91" s="9" t="s">
        <v>417</v>
      </c>
      <c r="AA91" s="9" t="s">
        <v>685</v>
      </c>
      <c r="AB91" s="9" t="s">
        <v>47</v>
      </c>
      <c r="AC91" s="9"/>
      <c r="AD91" s="9" t="b">
        <v>0</v>
      </c>
      <c r="AE91" s="9"/>
      <c r="AF91" s="9"/>
      <c r="AG91" s="12">
        <f t="shared" si="1"/>
        <v>43272</v>
      </c>
    </row>
    <row r="92" spans="1:33">
      <c r="A92" s="9" t="s">
        <v>686</v>
      </c>
      <c r="B92" s="9" t="s">
        <v>686</v>
      </c>
      <c r="C92" s="9" t="s">
        <v>687</v>
      </c>
      <c r="D92" s="9" t="s">
        <v>688</v>
      </c>
      <c r="E92" s="9" t="s">
        <v>36</v>
      </c>
      <c r="F92" s="9" t="s">
        <v>37</v>
      </c>
      <c r="G92" s="9" t="s">
        <v>38</v>
      </c>
      <c r="H92" s="9"/>
      <c r="I92" s="9"/>
      <c r="J92" s="9" t="s">
        <v>39</v>
      </c>
      <c r="K92" s="9" t="s">
        <v>689</v>
      </c>
      <c r="L92" s="9" t="s">
        <v>690</v>
      </c>
      <c r="M92" s="9" t="s">
        <v>691</v>
      </c>
      <c r="N92" s="9" t="s">
        <v>36</v>
      </c>
      <c r="O92" s="9">
        <v>1</v>
      </c>
      <c r="P92" s="9" t="s">
        <v>43</v>
      </c>
      <c r="Q92" s="9">
        <v>23.9</v>
      </c>
      <c r="R92" s="9"/>
      <c r="S92" s="9"/>
      <c r="T92" s="9"/>
      <c r="U92" s="9"/>
      <c r="V92" s="9"/>
      <c r="W92" s="9"/>
      <c r="X92" s="9"/>
      <c r="Y92" s="9" t="s">
        <v>692</v>
      </c>
      <c r="Z92" s="9" t="s">
        <v>693</v>
      </c>
      <c r="AA92" s="9" t="s">
        <v>694</v>
      </c>
      <c r="AB92" s="9" t="s">
        <v>47</v>
      </c>
      <c r="AC92" s="9"/>
      <c r="AD92" s="9" t="b">
        <v>0</v>
      </c>
      <c r="AE92" s="9"/>
      <c r="AF92" s="9"/>
      <c r="AG92" s="12">
        <f t="shared" si="1"/>
        <v>43272</v>
      </c>
    </row>
    <row r="93" spans="1:33">
      <c r="A93" s="9" t="s">
        <v>695</v>
      </c>
      <c r="B93" s="9" t="s">
        <v>696</v>
      </c>
      <c r="C93" s="9" t="s">
        <v>697</v>
      </c>
      <c r="D93" s="9" t="s">
        <v>698</v>
      </c>
      <c r="E93" s="9" t="s">
        <v>36</v>
      </c>
      <c r="F93" s="9" t="s">
        <v>37</v>
      </c>
      <c r="G93" s="9" t="s">
        <v>339</v>
      </c>
      <c r="H93" s="9"/>
      <c r="I93" s="9"/>
      <c r="J93" s="9" t="s">
        <v>72</v>
      </c>
      <c r="K93" s="9" t="s">
        <v>699</v>
      </c>
      <c r="L93" s="9" t="s">
        <v>318</v>
      </c>
      <c r="M93" s="9" t="s">
        <v>319</v>
      </c>
      <c r="N93" s="9" t="s">
        <v>117</v>
      </c>
      <c r="O93" s="9">
        <v>1</v>
      </c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 t="b">
        <v>0</v>
      </c>
      <c r="AE93" s="9"/>
      <c r="AF93" s="9"/>
      <c r="AG93" s="12">
        <f t="shared" si="1"/>
        <v>43273</v>
      </c>
    </row>
    <row r="94" spans="1:33">
      <c r="A94" s="9" t="s">
        <v>700</v>
      </c>
      <c r="B94" s="9" t="s">
        <v>700</v>
      </c>
      <c r="C94" s="9" t="s">
        <v>701</v>
      </c>
      <c r="D94" s="9" t="s">
        <v>702</v>
      </c>
      <c r="E94" s="9" t="s">
        <v>36</v>
      </c>
      <c r="F94" s="9" t="s">
        <v>37</v>
      </c>
      <c r="G94" s="9" t="s">
        <v>38</v>
      </c>
      <c r="H94" s="9"/>
      <c r="I94" s="9"/>
      <c r="J94" s="9" t="s">
        <v>39</v>
      </c>
      <c r="K94" s="9" t="s">
        <v>504</v>
      </c>
      <c r="L94" s="9" t="s">
        <v>505</v>
      </c>
      <c r="M94" s="9" t="s">
        <v>506</v>
      </c>
      <c r="N94" s="9" t="s">
        <v>36</v>
      </c>
      <c r="O94" s="9">
        <v>1</v>
      </c>
      <c r="P94" s="9" t="s">
        <v>43</v>
      </c>
      <c r="Q94" s="9">
        <v>16.99</v>
      </c>
      <c r="R94" s="9"/>
      <c r="S94" s="9"/>
      <c r="T94" s="9"/>
      <c r="U94" s="9"/>
      <c r="V94" s="9"/>
      <c r="W94" s="9"/>
      <c r="X94" s="9"/>
      <c r="Y94" s="9" t="s">
        <v>703</v>
      </c>
      <c r="Z94" s="9" t="s">
        <v>160</v>
      </c>
      <c r="AA94" s="9">
        <v>90802</v>
      </c>
      <c r="AB94" s="9" t="s">
        <v>47</v>
      </c>
      <c r="AC94" s="9"/>
      <c r="AD94" s="9" t="b">
        <v>0</v>
      </c>
      <c r="AE94" s="9"/>
      <c r="AF94" s="9"/>
      <c r="AG94" s="12">
        <f t="shared" si="1"/>
        <v>43273</v>
      </c>
    </row>
    <row r="95" spans="1:33">
      <c r="A95" s="9" t="s">
        <v>704</v>
      </c>
      <c r="B95" s="9" t="s">
        <v>704</v>
      </c>
      <c r="C95" s="9" t="s">
        <v>705</v>
      </c>
      <c r="D95" s="9" t="s">
        <v>706</v>
      </c>
      <c r="E95" s="9" t="s">
        <v>36</v>
      </c>
      <c r="F95" s="9" t="s">
        <v>37</v>
      </c>
      <c r="G95" s="9" t="s">
        <v>38</v>
      </c>
      <c r="H95" s="9"/>
      <c r="I95" s="9"/>
      <c r="J95" s="9" t="s">
        <v>39</v>
      </c>
      <c r="K95" s="9" t="s">
        <v>226</v>
      </c>
      <c r="L95" s="9" t="s">
        <v>227</v>
      </c>
      <c r="M95" s="9" t="s">
        <v>228</v>
      </c>
      <c r="N95" s="9" t="s">
        <v>36</v>
      </c>
      <c r="O95" s="9">
        <v>1</v>
      </c>
      <c r="P95" s="9" t="s">
        <v>43</v>
      </c>
      <c r="Q95" s="9">
        <v>8.53</v>
      </c>
      <c r="R95" s="9"/>
      <c r="S95" s="9"/>
      <c r="T95" s="9"/>
      <c r="U95" s="9"/>
      <c r="V95" s="9"/>
      <c r="W95" s="9"/>
      <c r="X95" s="9"/>
      <c r="Y95" s="9" t="s">
        <v>707</v>
      </c>
      <c r="Z95" s="9" t="s">
        <v>708</v>
      </c>
      <c r="AA95" s="9">
        <v>85143</v>
      </c>
      <c r="AB95" s="9" t="s">
        <v>47</v>
      </c>
      <c r="AC95" s="9"/>
      <c r="AD95" s="9" t="b">
        <v>0</v>
      </c>
      <c r="AE95" s="9"/>
      <c r="AF95" s="9"/>
      <c r="AG95" s="12">
        <f t="shared" si="1"/>
        <v>43273</v>
      </c>
    </row>
    <row r="96" spans="1:33">
      <c r="A96" s="9" t="s">
        <v>704</v>
      </c>
      <c r="B96" s="9" t="s">
        <v>704</v>
      </c>
      <c r="C96" s="9" t="s">
        <v>705</v>
      </c>
      <c r="D96" s="9" t="s">
        <v>706</v>
      </c>
      <c r="E96" s="9" t="s">
        <v>36</v>
      </c>
      <c r="F96" s="9" t="s">
        <v>37</v>
      </c>
      <c r="G96" s="9" t="s">
        <v>38</v>
      </c>
      <c r="H96" s="9"/>
      <c r="I96" s="9"/>
      <c r="J96" s="9" t="s">
        <v>39</v>
      </c>
      <c r="K96" s="9" t="s">
        <v>709</v>
      </c>
      <c r="L96" s="9" t="s">
        <v>710</v>
      </c>
      <c r="M96" s="9" t="s">
        <v>711</v>
      </c>
      <c r="N96" s="9" t="s">
        <v>36</v>
      </c>
      <c r="O96" s="9">
        <v>1</v>
      </c>
      <c r="P96" s="9" t="s">
        <v>43</v>
      </c>
      <c r="Q96" s="9">
        <v>9.99</v>
      </c>
      <c r="R96" s="9"/>
      <c r="S96" s="9"/>
      <c r="T96" s="9"/>
      <c r="U96" s="9"/>
      <c r="V96" s="9"/>
      <c r="W96" s="9"/>
      <c r="X96" s="9"/>
      <c r="Y96" s="9" t="s">
        <v>707</v>
      </c>
      <c r="Z96" s="9" t="s">
        <v>708</v>
      </c>
      <c r="AA96" s="9">
        <v>85143</v>
      </c>
      <c r="AB96" s="9" t="s">
        <v>47</v>
      </c>
      <c r="AC96" s="9"/>
      <c r="AD96" s="9" t="b">
        <v>0</v>
      </c>
      <c r="AE96" s="9"/>
      <c r="AF96" s="9"/>
      <c r="AG96" s="12">
        <f t="shared" si="1"/>
        <v>43273</v>
      </c>
    </row>
    <row r="97" spans="1:33">
      <c r="A97" s="9" t="s">
        <v>712</v>
      </c>
      <c r="B97" s="9" t="s">
        <v>712</v>
      </c>
      <c r="C97" s="9" t="s">
        <v>713</v>
      </c>
      <c r="D97" s="9" t="s">
        <v>714</v>
      </c>
      <c r="E97" s="9" t="s">
        <v>36</v>
      </c>
      <c r="F97" s="9" t="s">
        <v>37</v>
      </c>
      <c r="G97" s="9" t="s">
        <v>38</v>
      </c>
      <c r="H97" s="9"/>
      <c r="I97" s="9"/>
      <c r="J97" s="9" t="s">
        <v>39</v>
      </c>
      <c r="K97" s="9" t="s">
        <v>715</v>
      </c>
      <c r="L97" s="9" t="s">
        <v>716</v>
      </c>
      <c r="M97" s="9" t="s">
        <v>717</v>
      </c>
      <c r="N97" s="9" t="s">
        <v>36</v>
      </c>
      <c r="O97" s="9">
        <v>1</v>
      </c>
      <c r="P97" s="9" t="s">
        <v>43</v>
      </c>
      <c r="Q97" s="9">
        <v>13.9</v>
      </c>
      <c r="R97" s="9"/>
      <c r="S97" s="9"/>
      <c r="T97" s="9"/>
      <c r="U97" s="9"/>
      <c r="V97" s="9"/>
      <c r="W97" s="9"/>
      <c r="X97" s="9"/>
      <c r="Y97" s="9" t="s">
        <v>718</v>
      </c>
      <c r="Z97" s="9" t="s">
        <v>719</v>
      </c>
      <c r="AA97" s="9" t="s">
        <v>720</v>
      </c>
      <c r="AB97" s="9" t="s">
        <v>47</v>
      </c>
      <c r="AC97" s="9"/>
      <c r="AD97" s="9" t="b">
        <v>0</v>
      </c>
      <c r="AE97" s="9"/>
      <c r="AF97" s="9"/>
      <c r="AG97" s="12">
        <f t="shared" si="1"/>
        <v>43273</v>
      </c>
    </row>
    <row r="98" spans="1:33">
      <c r="A98" s="9" t="s">
        <v>721</v>
      </c>
      <c r="B98" s="9" t="s">
        <v>721</v>
      </c>
      <c r="C98" s="9" t="s">
        <v>722</v>
      </c>
      <c r="D98" s="9" t="s">
        <v>723</v>
      </c>
      <c r="E98" s="9" t="s">
        <v>36</v>
      </c>
      <c r="F98" s="9" t="s">
        <v>37</v>
      </c>
      <c r="G98" s="9" t="s">
        <v>38</v>
      </c>
      <c r="H98" s="9"/>
      <c r="I98" s="9"/>
      <c r="J98" s="9" t="s">
        <v>39</v>
      </c>
      <c r="K98" s="9" t="s">
        <v>724</v>
      </c>
      <c r="L98" s="9" t="s">
        <v>725</v>
      </c>
      <c r="M98" s="9" t="s">
        <v>726</v>
      </c>
      <c r="N98" s="9" t="s">
        <v>36</v>
      </c>
      <c r="O98" s="9">
        <v>1</v>
      </c>
      <c r="P98" s="9" t="s">
        <v>43</v>
      </c>
      <c r="Q98" s="9">
        <v>16.99</v>
      </c>
      <c r="R98" s="9"/>
      <c r="S98" s="9"/>
      <c r="T98" s="9"/>
      <c r="U98" s="9"/>
      <c r="V98" s="9"/>
      <c r="W98" s="9"/>
      <c r="X98" s="9"/>
      <c r="Y98" s="9" t="s">
        <v>727</v>
      </c>
      <c r="Z98" s="9" t="s">
        <v>202</v>
      </c>
      <c r="AA98" s="9" t="s">
        <v>728</v>
      </c>
      <c r="AB98" s="9" t="s">
        <v>47</v>
      </c>
      <c r="AC98" s="9"/>
      <c r="AD98" s="9" t="b">
        <v>0</v>
      </c>
      <c r="AE98" s="9"/>
      <c r="AF98" s="9"/>
      <c r="AG98" s="12">
        <f t="shared" si="1"/>
        <v>43273</v>
      </c>
    </row>
    <row r="99" spans="1:33">
      <c r="A99" s="9" t="s">
        <v>729</v>
      </c>
      <c r="B99" s="9" t="s">
        <v>729</v>
      </c>
      <c r="C99" s="9" t="s">
        <v>730</v>
      </c>
      <c r="D99" s="9" t="s">
        <v>731</v>
      </c>
      <c r="E99" s="9" t="s">
        <v>36</v>
      </c>
      <c r="F99" s="9" t="s">
        <v>37</v>
      </c>
      <c r="G99" s="9" t="s">
        <v>38</v>
      </c>
      <c r="H99" s="9"/>
      <c r="I99" s="9"/>
      <c r="J99" s="9" t="s">
        <v>39</v>
      </c>
      <c r="K99" s="9" t="s">
        <v>732</v>
      </c>
      <c r="L99" s="9" t="s">
        <v>733</v>
      </c>
      <c r="M99" s="9" t="s">
        <v>734</v>
      </c>
      <c r="N99" s="9" t="s">
        <v>36</v>
      </c>
      <c r="O99" s="9">
        <v>1</v>
      </c>
      <c r="P99" s="9" t="s">
        <v>43</v>
      </c>
      <c r="Q99" s="9">
        <v>13.9</v>
      </c>
      <c r="R99" s="9"/>
      <c r="S99" s="9"/>
      <c r="T99" s="9"/>
      <c r="U99" s="9"/>
      <c r="V99" s="9"/>
      <c r="W99" s="9"/>
      <c r="X99" s="9"/>
      <c r="Y99" s="9" t="s">
        <v>735</v>
      </c>
      <c r="Z99" s="9" t="s">
        <v>252</v>
      </c>
      <c r="AA99" s="9" t="s">
        <v>736</v>
      </c>
      <c r="AB99" s="9" t="s">
        <v>47</v>
      </c>
      <c r="AC99" s="9"/>
      <c r="AD99" s="9" t="b">
        <v>0</v>
      </c>
      <c r="AE99" s="9"/>
      <c r="AF99" s="9"/>
      <c r="AG99" s="12">
        <f t="shared" si="1"/>
        <v>43274</v>
      </c>
    </row>
    <row r="100" spans="1:33">
      <c r="A100" s="9" t="s">
        <v>737</v>
      </c>
      <c r="B100" s="9" t="s">
        <v>737</v>
      </c>
      <c r="C100" s="9" t="s">
        <v>738</v>
      </c>
      <c r="D100" s="9" t="s">
        <v>739</v>
      </c>
      <c r="E100" s="9" t="s">
        <v>36</v>
      </c>
      <c r="F100" s="9" t="s">
        <v>37</v>
      </c>
      <c r="G100" s="9" t="s">
        <v>38</v>
      </c>
      <c r="H100" s="9"/>
      <c r="I100" s="9"/>
      <c r="J100" s="9" t="s">
        <v>72</v>
      </c>
      <c r="K100" s="9" t="s">
        <v>673</v>
      </c>
      <c r="L100" s="9" t="s">
        <v>674</v>
      </c>
      <c r="M100" s="9" t="s">
        <v>675</v>
      </c>
      <c r="N100" s="9" t="s">
        <v>36</v>
      </c>
      <c r="O100" s="9">
        <v>1</v>
      </c>
      <c r="P100" s="9" t="s">
        <v>43</v>
      </c>
      <c r="Q100" s="9">
        <v>18.99</v>
      </c>
      <c r="R100" s="9"/>
      <c r="S100" s="9">
        <v>5.99</v>
      </c>
      <c r="T100" s="9"/>
      <c r="U100" s="9"/>
      <c r="V100" s="9"/>
      <c r="W100" s="9"/>
      <c r="X100" s="9"/>
      <c r="Y100" s="9" t="s">
        <v>740</v>
      </c>
      <c r="Z100" s="9" t="s">
        <v>522</v>
      </c>
      <c r="AA100" s="9" t="s">
        <v>741</v>
      </c>
      <c r="AB100" s="9" t="s">
        <v>47</v>
      </c>
      <c r="AC100" s="9"/>
      <c r="AD100" s="9" t="b">
        <v>0</v>
      </c>
      <c r="AE100" s="9"/>
      <c r="AF100" s="9"/>
      <c r="AG100" s="12">
        <f t="shared" si="1"/>
        <v>43274</v>
      </c>
    </row>
    <row r="101" spans="1:33">
      <c r="A101" s="9" t="s">
        <v>742</v>
      </c>
      <c r="B101" s="9" t="s">
        <v>742</v>
      </c>
      <c r="C101" s="9" t="s">
        <v>743</v>
      </c>
      <c r="D101" s="9" t="s">
        <v>744</v>
      </c>
      <c r="E101" s="9" t="s">
        <v>36</v>
      </c>
      <c r="F101" s="9" t="s">
        <v>37</v>
      </c>
      <c r="G101" s="9" t="s">
        <v>38</v>
      </c>
      <c r="H101" s="9"/>
      <c r="I101" s="9"/>
      <c r="J101" s="9" t="s">
        <v>103</v>
      </c>
      <c r="K101" s="9" t="s">
        <v>745</v>
      </c>
      <c r="L101" s="9" t="s">
        <v>746</v>
      </c>
      <c r="M101" s="9" t="s">
        <v>747</v>
      </c>
      <c r="N101" s="9" t="s">
        <v>36</v>
      </c>
      <c r="O101" s="9">
        <v>1</v>
      </c>
      <c r="P101" s="9" t="s">
        <v>43</v>
      </c>
      <c r="Q101" s="9">
        <v>13.9</v>
      </c>
      <c r="R101" s="9"/>
      <c r="S101" s="9">
        <v>3.99</v>
      </c>
      <c r="T101" s="9"/>
      <c r="U101" s="9"/>
      <c r="V101" s="9"/>
      <c r="W101" s="9"/>
      <c r="X101" s="9"/>
      <c r="Y101" s="9" t="s">
        <v>748</v>
      </c>
      <c r="Z101" s="9" t="s">
        <v>176</v>
      </c>
      <c r="AA101" s="9" t="s">
        <v>749</v>
      </c>
      <c r="AB101" s="9" t="s">
        <v>47</v>
      </c>
      <c r="AC101" s="9"/>
      <c r="AD101" s="9" t="b">
        <v>0</v>
      </c>
      <c r="AE101" s="9"/>
      <c r="AF101" s="9"/>
      <c r="AG101" s="12">
        <f t="shared" si="1"/>
        <v>43274</v>
      </c>
    </row>
    <row r="102" spans="1:33">
      <c r="A102" s="9" t="s">
        <v>750</v>
      </c>
      <c r="B102" s="9" t="s">
        <v>750</v>
      </c>
      <c r="C102" s="9" t="s">
        <v>751</v>
      </c>
      <c r="D102" s="9" t="s">
        <v>752</v>
      </c>
      <c r="E102" s="9" t="s">
        <v>36</v>
      </c>
      <c r="F102" s="9" t="s">
        <v>37</v>
      </c>
      <c r="G102" s="9" t="s">
        <v>38</v>
      </c>
      <c r="H102" s="9"/>
      <c r="I102" s="9"/>
      <c r="J102" s="9" t="s">
        <v>39</v>
      </c>
      <c r="K102" s="9" t="s">
        <v>753</v>
      </c>
      <c r="L102" s="9" t="s">
        <v>754</v>
      </c>
      <c r="M102" s="9" t="s">
        <v>755</v>
      </c>
      <c r="N102" s="9" t="s">
        <v>36</v>
      </c>
      <c r="O102" s="9">
        <v>1</v>
      </c>
      <c r="P102" s="9" t="s">
        <v>43</v>
      </c>
      <c r="Q102" s="9">
        <v>18.99</v>
      </c>
      <c r="R102" s="9"/>
      <c r="S102" s="9"/>
      <c r="T102" s="9"/>
      <c r="U102" s="9"/>
      <c r="V102" s="9"/>
      <c r="W102" s="9"/>
      <c r="X102" s="9"/>
      <c r="Y102" s="9" t="s">
        <v>756</v>
      </c>
      <c r="Z102" s="9" t="s">
        <v>160</v>
      </c>
      <c r="AA102" s="9" t="s">
        <v>757</v>
      </c>
      <c r="AB102" s="9" t="s">
        <v>47</v>
      </c>
      <c r="AC102" s="9"/>
      <c r="AD102" s="9" t="b">
        <v>0</v>
      </c>
      <c r="AE102" s="9"/>
      <c r="AF102" s="9"/>
      <c r="AG102" s="12">
        <f t="shared" si="1"/>
        <v>43274</v>
      </c>
    </row>
    <row r="103" spans="1:33">
      <c r="A103" s="9" t="s">
        <v>758</v>
      </c>
      <c r="B103" s="9" t="s">
        <v>758</v>
      </c>
      <c r="C103" s="9" t="s">
        <v>759</v>
      </c>
      <c r="D103" s="9" t="s">
        <v>760</v>
      </c>
      <c r="E103" s="9" t="s">
        <v>36</v>
      </c>
      <c r="F103" s="9" t="s">
        <v>37</v>
      </c>
      <c r="G103" s="9" t="s">
        <v>38</v>
      </c>
      <c r="H103" s="9"/>
      <c r="I103" s="9"/>
      <c r="J103" s="9" t="s">
        <v>39</v>
      </c>
      <c r="K103" s="9" t="s">
        <v>761</v>
      </c>
      <c r="L103" s="9" t="s">
        <v>762</v>
      </c>
      <c r="M103" s="9" t="s">
        <v>763</v>
      </c>
      <c r="N103" s="9" t="s">
        <v>36</v>
      </c>
      <c r="O103" s="9">
        <v>1</v>
      </c>
      <c r="P103" s="9" t="s">
        <v>43</v>
      </c>
      <c r="Q103" s="9">
        <v>7.68</v>
      </c>
      <c r="R103" s="9"/>
      <c r="S103" s="9"/>
      <c r="T103" s="9"/>
      <c r="U103" s="9"/>
      <c r="V103" s="9"/>
      <c r="W103" s="9"/>
      <c r="X103" s="9"/>
      <c r="Y103" s="9" t="s">
        <v>764</v>
      </c>
      <c r="Z103" s="9" t="s">
        <v>168</v>
      </c>
      <c r="AA103" s="9" t="s">
        <v>765</v>
      </c>
      <c r="AB103" s="9" t="s">
        <v>47</v>
      </c>
      <c r="AC103" s="9"/>
      <c r="AD103" s="9" t="b">
        <v>0</v>
      </c>
      <c r="AE103" s="9"/>
      <c r="AF103" s="9"/>
      <c r="AG103" s="12">
        <f t="shared" si="1"/>
        <v>43274</v>
      </c>
    </row>
    <row r="104" spans="1:33">
      <c r="A104" s="9" t="s">
        <v>766</v>
      </c>
      <c r="B104" s="9" t="s">
        <v>766</v>
      </c>
      <c r="C104" s="9" t="s">
        <v>767</v>
      </c>
      <c r="D104" s="9" t="s">
        <v>768</v>
      </c>
      <c r="E104" s="9" t="s">
        <v>36</v>
      </c>
      <c r="F104" s="9" t="s">
        <v>37</v>
      </c>
      <c r="G104" s="9" t="s">
        <v>38</v>
      </c>
      <c r="H104" s="9"/>
      <c r="I104" s="9"/>
      <c r="J104" s="9" t="s">
        <v>39</v>
      </c>
      <c r="K104" s="9" t="s">
        <v>769</v>
      </c>
      <c r="L104" s="9" t="s">
        <v>770</v>
      </c>
      <c r="M104" s="9" t="s">
        <v>771</v>
      </c>
      <c r="N104" s="9" t="s">
        <v>36</v>
      </c>
      <c r="O104" s="9">
        <v>1</v>
      </c>
      <c r="P104" s="9" t="s">
        <v>43</v>
      </c>
      <c r="Q104" s="9">
        <v>10.39</v>
      </c>
      <c r="R104" s="9"/>
      <c r="S104" s="9"/>
      <c r="T104" s="9"/>
      <c r="U104" s="9"/>
      <c r="V104" s="9"/>
      <c r="W104" s="9"/>
      <c r="X104" s="9"/>
      <c r="Y104" s="9" t="s">
        <v>772</v>
      </c>
      <c r="Z104" s="9" t="s">
        <v>202</v>
      </c>
      <c r="AA104" s="9" t="s">
        <v>773</v>
      </c>
      <c r="AB104" s="9" t="s">
        <v>47</v>
      </c>
      <c r="AC104" s="9"/>
      <c r="AD104" s="9" t="b">
        <v>0</v>
      </c>
      <c r="AE104" s="9"/>
      <c r="AF104" s="9"/>
      <c r="AG104" s="12">
        <f t="shared" si="1"/>
        <v>43275</v>
      </c>
    </row>
    <row r="105" spans="1:33">
      <c r="A105" s="9" t="s">
        <v>774</v>
      </c>
      <c r="B105" s="9" t="s">
        <v>774</v>
      </c>
      <c r="C105" s="9" t="s">
        <v>775</v>
      </c>
      <c r="D105" s="9" t="s">
        <v>776</v>
      </c>
      <c r="E105" s="9" t="s">
        <v>36</v>
      </c>
      <c r="F105" s="9" t="s">
        <v>37</v>
      </c>
      <c r="G105" s="9" t="s">
        <v>38</v>
      </c>
      <c r="H105" s="9"/>
      <c r="I105" s="9"/>
      <c r="J105" s="9" t="s">
        <v>39</v>
      </c>
      <c r="K105" s="9" t="s">
        <v>777</v>
      </c>
      <c r="L105" s="9" t="s">
        <v>778</v>
      </c>
      <c r="M105" s="9" t="s">
        <v>779</v>
      </c>
      <c r="N105" s="9" t="s">
        <v>36</v>
      </c>
      <c r="O105" s="9">
        <v>1</v>
      </c>
      <c r="P105" s="9" t="s">
        <v>43</v>
      </c>
      <c r="Q105" s="9">
        <v>12.99</v>
      </c>
      <c r="R105" s="9"/>
      <c r="S105" s="9"/>
      <c r="T105" s="9"/>
      <c r="U105" s="9"/>
      <c r="V105" s="9"/>
      <c r="W105" s="9"/>
      <c r="X105" s="9"/>
      <c r="Y105" s="9" t="s">
        <v>780</v>
      </c>
      <c r="Z105" s="9" t="s">
        <v>417</v>
      </c>
      <c r="AA105" s="9" t="s">
        <v>781</v>
      </c>
      <c r="AB105" s="9" t="s">
        <v>47</v>
      </c>
      <c r="AC105" s="9"/>
      <c r="AD105" s="9" t="b">
        <v>0</v>
      </c>
      <c r="AE105" s="9"/>
      <c r="AF105" s="9"/>
      <c r="AG105" s="12">
        <f t="shared" si="1"/>
        <v>43275</v>
      </c>
    </row>
    <row r="106" spans="1:33">
      <c r="A106" s="9" t="s">
        <v>782</v>
      </c>
      <c r="B106" s="9" t="s">
        <v>782</v>
      </c>
      <c r="C106" s="9" t="s">
        <v>783</v>
      </c>
      <c r="D106" s="9" t="s">
        <v>784</v>
      </c>
      <c r="E106" s="9" t="s">
        <v>113</v>
      </c>
      <c r="F106" s="9" t="s">
        <v>37</v>
      </c>
      <c r="G106" s="9" t="s">
        <v>38</v>
      </c>
      <c r="H106" s="9"/>
      <c r="I106" s="9"/>
      <c r="J106" s="9" t="s">
        <v>39</v>
      </c>
      <c r="K106" s="9" t="s">
        <v>777</v>
      </c>
      <c r="L106" s="9" t="s">
        <v>778</v>
      </c>
      <c r="M106" s="9" t="s">
        <v>779</v>
      </c>
      <c r="N106" s="9" t="s">
        <v>117</v>
      </c>
      <c r="O106" s="9">
        <v>1</v>
      </c>
      <c r="P106" s="9" t="s">
        <v>43</v>
      </c>
      <c r="Q106" s="9">
        <v>12.99</v>
      </c>
      <c r="R106" s="9"/>
      <c r="S106" s="9"/>
      <c r="T106" s="9"/>
      <c r="U106" s="9"/>
      <c r="V106" s="9"/>
      <c r="W106" s="9"/>
      <c r="X106" s="9"/>
      <c r="Y106" s="9" t="s">
        <v>785</v>
      </c>
      <c r="Z106" s="9" t="s">
        <v>160</v>
      </c>
      <c r="AA106" s="9" t="s">
        <v>786</v>
      </c>
      <c r="AB106" s="9" t="s">
        <v>47</v>
      </c>
      <c r="AC106" s="9"/>
      <c r="AD106" s="9" t="b">
        <v>0</v>
      </c>
      <c r="AE106" s="9"/>
      <c r="AF106" s="9"/>
      <c r="AG106" s="12">
        <f t="shared" si="1"/>
        <v>43275</v>
      </c>
    </row>
    <row r="107" spans="1:33">
      <c r="A107" s="9" t="s">
        <v>787</v>
      </c>
      <c r="B107" s="9" t="s">
        <v>787</v>
      </c>
      <c r="C107" s="9" t="s">
        <v>788</v>
      </c>
      <c r="D107" s="9" t="s">
        <v>789</v>
      </c>
      <c r="E107" s="9" t="s">
        <v>36</v>
      </c>
      <c r="F107" s="9" t="s">
        <v>37</v>
      </c>
      <c r="G107" s="9" t="s">
        <v>38</v>
      </c>
      <c r="H107" s="9"/>
      <c r="I107" s="9"/>
      <c r="J107" s="9" t="s">
        <v>72</v>
      </c>
      <c r="K107" s="9" t="s">
        <v>777</v>
      </c>
      <c r="L107" s="9" t="s">
        <v>778</v>
      </c>
      <c r="M107" s="9" t="s">
        <v>779</v>
      </c>
      <c r="N107" s="9" t="s">
        <v>36</v>
      </c>
      <c r="O107" s="9">
        <v>1</v>
      </c>
      <c r="P107" s="9" t="s">
        <v>43</v>
      </c>
      <c r="Q107" s="9">
        <v>12.99</v>
      </c>
      <c r="R107" s="9"/>
      <c r="S107" s="9"/>
      <c r="T107" s="9"/>
      <c r="U107" s="9"/>
      <c r="V107" s="9"/>
      <c r="W107" s="9"/>
      <c r="X107" s="9"/>
      <c r="Y107" s="9" t="s">
        <v>790</v>
      </c>
      <c r="Z107" s="9" t="s">
        <v>160</v>
      </c>
      <c r="AA107" s="9" t="s">
        <v>791</v>
      </c>
      <c r="AB107" s="9" t="s">
        <v>47</v>
      </c>
      <c r="AC107" s="9"/>
      <c r="AD107" s="9" t="b">
        <v>0</v>
      </c>
      <c r="AE107" s="9"/>
      <c r="AF107" s="9"/>
      <c r="AG107" s="12">
        <f t="shared" si="1"/>
        <v>43275</v>
      </c>
    </row>
    <row r="108" spans="1:33">
      <c r="A108" s="9" t="s">
        <v>792</v>
      </c>
      <c r="B108" s="9" t="s">
        <v>792</v>
      </c>
      <c r="C108" s="9" t="s">
        <v>793</v>
      </c>
      <c r="D108" s="9" t="s">
        <v>794</v>
      </c>
      <c r="E108" s="9" t="s">
        <v>36</v>
      </c>
      <c r="F108" s="9" t="s">
        <v>37</v>
      </c>
      <c r="G108" s="9" t="s">
        <v>38</v>
      </c>
      <c r="H108" s="9"/>
      <c r="I108" s="9"/>
      <c r="J108" s="9" t="s">
        <v>39</v>
      </c>
      <c r="K108" s="9" t="s">
        <v>777</v>
      </c>
      <c r="L108" s="9" t="s">
        <v>778</v>
      </c>
      <c r="M108" s="9" t="s">
        <v>779</v>
      </c>
      <c r="N108" s="9" t="s">
        <v>36</v>
      </c>
      <c r="O108" s="9">
        <v>1</v>
      </c>
      <c r="P108" s="9" t="s">
        <v>43</v>
      </c>
      <c r="Q108" s="9">
        <v>12.99</v>
      </c>
      <c r="R108" s="9"/>
      <c r="S108" s="9"/>
      <c r="T108" s="9"/>
      <c r="U108" s="9"/>
      <c r="V108" s="9"/>
      <c r="W108" s="9"/>
      <c r="X108" s="9"/>
      <c r="Y108" s="9" t="s">
        <v>795</v>
      </c>
      <c r="Z108" s="9" t="s">
        <v>417</v>
      </c>
      <c r="AA108" s="9" t="s">
        <v>796</v>
      </c>
      <c r="AB108" s="9" t="s">
        <v>47</v>
      </c>
      <c r="AC108" s="9"/>
      <c r="AD108" s="9" t="b">
        <v>0</v>
      </c>
      <c r="AE108" s="9"/>
      <c r="AF108" s="9"/>
      <c r="AG108" s="12">
        <f t="shared" si="1"/>
        <v>43275</v>
      </c>
    </row>
    <row r="109" spans="1:33">
      <c r="A109" s="9" t="s">
        <v>797</v>
      </c>
      <c r="B109" s="9" t="s">
        <v>797</v>
      </c>
      <c r="C109" s="9" t="s">
        <v>798</v>
      </c>
      <c r="D109" s="9" t="s">
        <v>799</v>
      </c>
      <c r="E109" s="9" t="s">
        <v>36</v>
      </c>
      <c r="F109" s="9" t="s">
        <v>37</v>
      </c>
      <c r="G109" s="9" t="s">
        <v>38</v>
      </c>
      <c r="H109" s="9"/>
      <c r="I109" s="9"/>
      <c r="J109" s="9" t="s">
        <v>39</v>
      </c>
      <c r="K109" s="9" t="s">
        <v>461</v>
      </c>
      <c r="L109" s="9" t="s">
        <v>462</v>
      </c>
      <c r="M109" s="9" t="s">
        <v>463</v>
      </c>
      <c r="N109" s="9" t="s">
        <v>36</v>
      </c>
      <c r="O109" s="9">
        <v>1</v>
      </c>
      <c r="P109" s="9" t="s">
        <v>43</v>
      </c>
      <c r="Q109" s="9">
        <v>9.99</v>
      </c>
      <c r="R109" s="9"/>
      <c r="S109" s="9"/>
      <c r="T109" s="9"/>
      <c r="U109" s="9"/>
      <c r="V109" s="9"/>
      <c r="W109" s="9"/>
      <c r="X109" s="9"/>
      <c r="Y109" s="9" t="s">
        <v>800</v>
      </c>
      <c r="Z109" s="9" t="s">
        <v>417</v>
      </c>
      <c r="AA109" s="9" t="s">
        <v>801</v>
      </c>
      <c r="AB109" s="9" t="s">
        <v>47</v>
      </c>
      <c r="AC109" s="9"/>
      <c r="AD109" s="9" t="b">
        <v>0</v>
      </c>
      <c r="AE109" s="9"/>
      <c r="AF109" s="9"/>
      <c r="AG109" s="12">
        <f t="shared" si="1"/>
        <v>43276</v>
      </c>
    </row>
    <row r="110" spans="1:33">
      <c r="A110" s="9" t="s">
        <v>802</v>
      </c>
      <c r="B110" s="9" t="s">
        <v>802</v>
      </c>
      <c r="C110" s="9" t="s">
        <v>803</v>
      </c>
      <c r="D110" s="9" t="s">
        <v>804</v>
      </c>
      <c r="E110" s="9" t="s">
        <v>36</v>
      </c>
      <c r="F110" s="9" t="s">
        <v>37</v>
      </c>
      <c r="G110" s="9" t="s">
        <v>38</v>
      </c>
      <c r="H110" s="9"/>
      <c r="I110" s="9"/>
      <c r="J110" s="9" t="s">
        <v>540</v>
      </c>
      <c r="K110" s="9" t="s">
        <v>447</v>
      </c>
      <c r="L110" s="9" t="s">
        <v>448</v>
      </c>
      <c r="M110" s="9" t="s">
        <v>449</v>
      </c>
      <c r="N110" s="9" t="s">
        <v>36</v>
      </c>
      <c r="O110" s="9">
        <v>1</v>
      </c>
      <c r="P110" s="9" t="s">
        <v>43</v>
      </c>
      <c r="Q110" s="9">
        <v>13.9</v>
      </c>
      <c r="R110" s="9"/>
      <c r="S110" s="9">
        <v>3.99</v>
      </c>
      <c r="T110" s="9"/>
      <c r="U110" s="9"/>
      <c r="V110" s="9"/>
      <c r="W110" s="9"/>
      <c r="X110" s="9"/>
      <c r="Y110" s="9" t="s">
        <v>805</v>
      </c>
      <c r="Z110" s="9" t="s">
        <v>333</v>
      </c>
      <c r="AA110" s="9">
        <v>2215</v>
      </c>
      <c r="AB110" s="9" t="s">
        <v>47</v>
      </c>
      <c r="AC110" s="9"/>
      <c r="AD110" s="9" t="b">
        <v>0</v>
      </c>
      <c r="AE110" s="9"/>
      <c r="AF110" s="9"/>
      <c r="AG110" s="12">
        <f t="shared" si="1"/>
        <v>43276</v>
      </c>
    </row>
    <row r="111" spans="1:33">
      <c r="A111" s="9" t="s">
        <v>806</v>
      </c>
      <c r="B111" s="9" t="s">
        <v>806</v>
      </c>
      <c r="C111" s="9" t="s">
        <v>807</v>
      </c>
      <c r="D111" s="9" t="s">
        <v>808</v>
      </c>
      <c r="E111" s="9" t="s">
        <v>36</v>
      </c>
      <c r="F111" s="9" t="s">
        <v>37</v>
      </c>
      <c r="G111" s="9" t="s">
        <v>38</v>
      </c>
      <c r="H111" s="9"/>
      <c r="I111" s="9"/>
      <c r="J111" s="9" t="s">
        <v>39</v>
      </c>
      <c r="K111" s="9" t="s">
        <v>777</v>
      </c>
      <c r="L111" s="9" t="s">
        <v>778</v>
      </c>
      <c r="M111" s="9" t="s">
        <v>779</v>
      </c>
      <c r="N111" s="9" t="s">
        <v>36</v>
      </c>
      <c r="O111" s="9">
        <v>1</v>
      </c>
      <c r="P111" s="9" t="s">
        <v>43</v>
      </c>
      <c r="Q111" s="9">
        <v>12.99</v>
      </c>
      <c r="R111" s="9"/>
      <c r="S111" s="9"/>
      <c r="T111" s="9"/>
      <c r="U111" s="9"/>
      <c r="V111" s="9"/>
      <c r="W111" s="9"/>
      <c r="X111" s="9"/>
      <c r="Y111" s="9" t="s">
        <v>809</v>
      </c>
      <c r="Z111" s="9" t="s">
        <v>354</v>
      </c>
      <c r="AA111" s="9" t="s">
        <v>810</v>
      </c>
      <c r="AB111" s="9" t="s">
        <v>47</v>
      </c>
      <c r="AC111" s="9"/>
      <c r="AD111" s="9" t="b">
        <v>0</v>
      </c>
      <c r="AE111" s="9"/>
      <c r="AF111" s="9"/>
      <c r="AG111" s="12">
        <f t="shared" si="1"/>
        <v>43276</v>
      </c>
    </row>
    <row r="112" spans="1:33">
      <c r="A112" s="9" t="s">
        <v>811</v>
      </c>
      <c r="B112" s="9" t="s">
        <v>811</v>
      </c>
      <c r="C112" s="9" t="s">
        <v>812</v>
      </c>
      <c r="D112" s="9" t="s">
        <v>813</v>
      </c>
      <c r="E112" s="9" t="s">
        <v>36</v>
      </c>
      <c r="F112" s="9" t="s">
        <v>37</v>
      </c>
      <c r="G112" s="9" t="s">
        <v>38</v>
      </c>
      <c r="H112" s="9"/>
      <c r="I112" s="9"/>
      <c r="J112" s="9" t="s">
        <v>39</v>
      </c>
      <c r="K112" s="9" t="s">
        <v>232</v>
      </c>
      <c r="L112" s="9" t="s">
        <v>233</v>
      </c>
      <c r="M112" s="9" t="s">
        <v>234</v>
      </c>
      <c r="N112" s="9" t="s">
        <v>36</v>
      </c>
      <c r="O112" s="9">
        <v>1</v>
      </c>
      <c r="P112" s="9" t="s">
        <v>43</v>
      </c>
      <c r="Q112" s="9">
        <v>9.21</v>
      </c>
      <c r="R112" s="9"/>
      <c r="S112" s="9"/>
      <c r="T112" s="9"/>
      <c r="U112" s="9"/>
      <c r="V112" s="9"/>
      <c r="W112" s="9"/>
      <c r="X112" s="9"/>
      <c r="Y112" s="9" t="s">
        <v>814</v>
      </c>
      <c r="Z112" s="9" t="s">
        <v>269</v>
      </c>
      <c r="AA112" s="9">
        <v>48416</v>
      </c>
      <c r="AB112" s="9" t="s">
        <v>47</v>
      </c>
      <c r="AC112" s="9"/>
      <c r="AD112" s="9" t="b">
        <v>0</v>
      </c>
      <c r="AE112" s="9"/>
      <c r="AF112" s="9"/>
      <c r="AG112" s="12">
        <f t="shared" si="1"/>
        <v>43276</v>
      </c>
    </row>
    <row r="113" spans="1:33">
      <c r="A113" s="9" t="s">
        <v>815</v>
      </c>
      <c r="B113" s="9" t="s">
        <v>815</v>
      </c>
      <c r="C113" s="9" t="s">
        <v>816</v>
      </c>
      <c r="D113" s="9" t="s">
        <v>817</v>
      </c>
      <c r="E113" s="9" t="s">
        <v>36</v>
      </c>
      <c r="F113" s="9" t="s">
        <v>37</v>
      </c>
      <c r="G113" s="9" t="s">
        <v>38</v>
      </c>
      <c r="H113" s="9"/>
      <c r="I113" s="9"/>
      <c r="J113" s="9" t="s">
        <v>72</v>
      </c>
      <c r="K113" s="9" t="s">
        <v>818</v>
      </c>
      <c r="L113" s="9" t="s">
        <v>819</v>
      </c>
      <c r="M113" s="9" t="s">
        <v>820</v>
      </c>
      <c r="N113" s="9" t="s">
        <v>36</v>
      </c>
      <c r="O113" s="9">
        <v>1</v>
      </c>
      <c r="P113" s="9" t="s">
        <v>43</v>
      </c>
      <c r="Q113" s="9">
        <v>4.45</v>
      </c>
      <c r="R113" s="9">
        <v>0.45</v>
      </c>
      <c r="S113" s="9">
        <v>1.25</v>
      </c>
      <c r="T113" s="9"/>
      <c r="U113" s="9"/>
      <c r="V113" s="9"/>
      <c r="W113" s="9"/>
      <c r="X113" s="9">
        <v>1.25</v>
      </c>
      <c r="Y113" s="9" t="s">
        <v>821</v>
      </c>
      <c r="Z113" s="9" t="s">
        <v>236</v>
      </c>
      <c r="AA113" s="9" t="s">
        <v>822</v>
      </c>
      <c r="AB113" s="9" t="s">
        <v>47</v>
      </c>
      <c r="AC113" s="9" t="s">
        <v>79</v>
      </c>
      <c r="AD113" s="9" t="b">
        <v>0</v>
      </c>
      <c r="AE113" s="9"/>
      <c r="AF113" s="9"/>
      <c r="AG113" s="12">
        <f t="shared" si="1"/>
        <v>43276</v>
      </c>
    </row>
    <row r="114" spans="1:33">
      <c r="A114" s="9" t="s">
        <v>823</v>
      </c>
      <c r="B114" s="9" t="s">
        <v>823</v>
      </c>
      <c r="C114" s="9" t="s">
        <v>824</v>
      </c>
      <c r="D114" s="9" t="s">
        <v>825</v>
      </c>
      <c r="E114" s="9" t="s">
        <v>36</v>
      </c>
      <c r="F114" s="9" t="s">
        <v>37</v>
      </c>
      <c r="G114" s="9" t="s">
        <v>38</v>
      </c>
      <c r="H114" s="9"/>
      <c r="I114" s="9"/>
      <c r="J114" s="9" t="s">
        <v>39</v>
      </c>
      <c r="K114" s="9" t="s">
        <v>207</v>
      </c>
      <c r="L114" s="9" t="s">
        <v>208</v>
      </c>
      <c r="M114" s="9" t="s">
        <v>209</v>
      </c>
      <c r="N114" s="9" t="s">
        <v>36</v>
      </c>
      <c r="O114" s="9">
        <v>1</v>
      </c>
      <c r="P114" s="9" t="s">
        <v>43</v>
      </c>
      <c r="Q114" s="9">
        <v>16.99</v>
      </c>
      <c r="R114" s="9"/>
      <c r="S114" s="9"/>
      <c r="T114" s="9"/>
      <c r="U114" s="9"/>
      <c r="V114" s="9"/>
      <c r="W114" s="9"/>
      <c r="X114" s="9"/>
      <c r="Y114" s="9" t="s">
        <v>826</v>
      </c>
      <c r="Z114" s="9" t="s">
        <v>827</v>
      </c>
      <c r="AA114" s="9">
        <v>93230</v>
      </c>
      <c r="AB114" s="9" t="s">
        <v>47</v>
      </c>
      <c r="AC114" s="9"/>
      <c r="AD114" s="9" t="b">
        <v>0</v>
      </c>
      <c r="AE114" s="9"/>
      <c r="AF114" s="9"/>
      <c r="AG114" s="12">
        <f t="shared" si="1"/>
        <v>43276</v>
      </c>
    </row>
    <row r="115" spans="1:33">
      <c r="A115" s="9" t="s">
        <v>828</v>
      </c>
      <c r="B115" s="9" t="s">
        <v>828</v>
      </c>
      <c r="C115" s="9" t="s">
        <v>829</v>
      </c>
      <c r="D115" s="9" t="s">
        <v>830</v>
      </c>
      <c r="E115" s="9" t="s">
        <v>36</v>
      </c>
      <c r="F115" s="9" t="s">
        <v>37</v>
      </c>
      <c r="G115" s="9" t="s">
        <v>38</v>
      </c>
      <c r="H115" s="9"/>
      <c r="I115" s="9"/>
      <c r="J115" s="9" t="s">
        <v>39</v>
      </c>
      <c r="K115" s="9" t="s">
        <v>777</v>
      </c>
      <c r="L115" s="9" t="s">
        <v>778</v>
      </c>
      <c r="M115" s="9" t="s">
        <v>779</v>
      </c>
      <c r="N115" s="9" t="s">
        <v>36</v>
      </c>
      <c r="O115" s="9">
        <v>1</v>
      </c>
      <c r="P115" s="9" t="s">
        <v>43</v>
      </c>
      <c r="Q115" s="9">
        <v>12.99</v>
      </c>
      <c r="R115" s="9"/>
      <c r="S115" s="9"/>
      <c r="T115" s="9"/>
      <c r="U115" s="9"/>
      <c r="V115" s="9"/>
      <c r="W115" s="9"/>
      <c r="X115" s="9"/>
      <c r="Y115" s="9" t="s">
        <v>831</v>
      </c>
      <c r="Z115" s="9" t="s">
        <v>64</v>
      </c>
      <c r="AA115" s="9" t="s">
        <v>832</v>
      </c>
      <c r="AB115" s="9" t="s">
        <v>47</v>
      </c>
      <c r="AC115" s="9"/>
      <c r="AD115" s="9" t="b">
        <v>0</v>
      </c>
      <c r="AE115" s="9"/>
      <c r="AF115" s="9"/>
      <c r="AG115" s="12">
        <f t="shared" si="1"/>
        <v>43276</v>
      </c>
    </row>
    <row r="116" spans="1:33">
      <c r="A116" s="9" t="s">
        <v>833</v>
      </c>
      <c r="B116" s="9" t="s">
        <v>833</v>
      </c>
      <c r="C116" s="9" t="s">
        <v>834</v>
      </c>
      <c r="D116" s="9" t="s">
        <v>835</v>
      </c>
      <c r="E116" s="9" t="s">
        <v>36</v>
      </c>
      <c r="F116" s="9" t="s">
        <v>37</v>
      </c>
      <c r="G116" s="9" t="s">
        <v>38</v>
      </c>
      <c r="H116" s="9"/>
      <c r="I116" s="9"/>
      <c r="J116" s="9" t="s">
        <v>72</v>
      </c>
      <c r="K116" s="9" t="s">
        <v>632</v>
      </c>
      <c r="L116" s="9" t="s">
        <v>633</v>
      </c>
      <c r="M116" s="9" t="s">
        <v>634</v>
      </c>
      <c r="N116" s="9" t="s">
        <v>36</v>
      </c>
      <c r="O116" s="9">
        <v>1</v>
      </c>
      <c r="P116" s="9" t="s">
        <v>43</v>
      </c>
      <c r="Q116" s="9">
        <v>5.59</v>
      </c>
      <c r="R116" s="9"/>
      <c r="S116" s="9"/>
      <c r="T116" s="9"/>
      <c r="U116" s="9"/>
      <c r="V116" s="9"/>
      <c r="W116" s="9"/>
      <c r="X116" s="9"/>
      <c r="Y116" s="9" t="s">
        <v>790</v>
      </c>
      <c r="Z116" s="9" t="s">
        <v>160</v>
      </c>
      <c r="AA116" s="9" t="s">
        <v>791</v>
      </c>
      <c r="AB116" s="9" t="s">
        <v>47</v>
      </c>
      <c r="AC116" s="9"/>
      <c r="AD116" s="9" t="b">
        <v>0</v>
      </c>
      <c r="AE116" s="9"/>
      <c r="AF116" s="9"/>
      <c r="AG116" s="12">
        <f t="shared" si="1"/>
        <v>43276</v>
      </c>
    </row>
    <row r="117" spans="1:33">
      <c r="A117" s="9" t="s">
        <v>836</v>
      </c>
      <c r="B117" s="9" t="s">
        <v>836</v>
      </c>
      <c r="C117" s="9" t="s">
        <v>837</v>
      </c>
      <c r="D117" s="9" t="s">
        <v>838</v>
      </c>
      <c r="E117" s="9" t="s">
        <v>36</v>
      </c>
      <c r="F117" s="9" t="s">
        <v>37</v>
      </c>
      <c r="G117" s="9" t="s">
        <v>38</v>
      </c>
      <c r="H117" s="9"/>
      <c r="I117" s="9"/>
      <c r="J117" s="9" t="s">
        <v>39</v>
      </c>
      <c r="K117" s="9" t="s">
        <v>839</v>
      </c>
      <c r="L117" s="9" t="s">
        <v>840</v>
      </c>
      <c r="M117" s="9" t="s">
        <v>841</v>
      </c>
      <c r="N117" s="9" t="s">
        <v>36</v>
      </c>
      <c r="O117" s="9">
        <v>1</v>
      </c>
      <c r="P117" s="9" t="s">
        <v>43</v>
      </c>
      <c r="Q117" s="9">
        <v>36.76</v>
      </c>
      <c r="R117" s="9"/>
      <c r="S117" s="9"/>
      <c r="T117" s="9"/>
      <c r="U117" s="9"/>
      <c r="V117" s="9"/>
      <c r="W117" s="9"/>
      <c r="X117" s="9"/>
      <c r="Y117" s="9" t="s">
        <v>780</v>
      </c>
      <c r="Z117" s="9" t="s">
        <v>417</v>
      </c>
      <c r="AA117" s="9" t="s">
        <v>781</v>
      </c>
      <c r="AB117" s="9" t="s">
        <v>47</v>
      </c>
      <c r="AC117" s="9"/>
      <c r="AD117" s="9" t="b">
        <v>0</v>
      </c>
      <c r="AE117" s="9"/>
      <c r="AF117" s="9"/>
      <c r="AG117" s="12">
        <f t="shared" si="1"/>
        <v>43276</v>
      </c>
    </row>
    <row r="118" spans="1:33">
      <c r="A118" s="9" t="s">
        <v>842</v>
      </c>
      <c r="B118" s="9" t="s">
        <v>842</v>
      </c>
      <c r="C118" s="9" t="s">
        <v>843</v>
      </c>
      <c r="D118" s="9" t="s">
        <v>844</v>
      </c>
      <c r="E118" s="9" t="s">
        <v>36</v>
      </c>
      <c r="F118" s="9" t="s">
        <v>37</v>
      </c>
      <c r="G118" s="9" t="s">
        <v>38</v>
      </c>
      <c r="H118" s="9"/>
      <c r="I118" s="9"/>
      <c r="J118" s="9" t="s">
        <v>39</v>
      </c>
      <c r="K118" s="9" t="s">
        <v>590</v>
      </c>
      <c r="L118" s="9" t="s">
        <v>591</v>
      </c>
      <c r="M118" s="9" t="s">
        <v>592</v>
      </c>
      <c r="N118" s="9" t="s">
        <v>36</v>
      </c>
      <c r="O118" s="9">
        <v>1</v>
      </c>
      <c r="P118" s="9" t="s">
        <v>43</v>
      </c>
      <c r="Q118" s="9">
        <v>5.41</v>
      </c>
      <c r="R118" s="9"/>
      <c r="S118" s="9"/>
      <c r="T118" s="9"/>
      <c r="U118" s="9"/>
      <c r="V118" s="9"/>
      <c r="W118" s="9"/>
      <c r="X118" s="9"/>
      <c r="Y118" s="9" t="s">
        <v>845</v>
      </c>
      <c r="Z118" s="9" t="s">
        <v>176</v>
      </c>
      <c r="AA118" s="9" t="s">
        <v>846</v>
      </c>
      <c r="AB118" s="9" t="s">
        <v>47</v>
      </c>
      <c r="AC118" s="9"/>
      <c r="AD118" s="9" t="b">
        <v>0</v>
      </c>
      <c r="AE118" s="9"/>
      <c r="AF118" s="9"/>
      <c r="AG118" s="12">
        <f t="shared" si="1"/>
        <v>43276</v>
      </c>
    </row>
    <row r="119" spans="1:33">
      <c r="A119" s="9" t="s">
        <v>842</v>
      </c>
      <c r="B119" s="9" t="s">
        <v>842</v>
      </c>
      <c r="C119" s="9" t="s">
        <v>843</v>
      </c>
      <c r="D119" s="9" t="s">
        <v>844</v>
      </c>
      <c r="E119" s="9" t="s">
        <v>36</v>
      </c>
      <c r="F119" s="9" t="s">
        <v>37</v>
      </c>
      <c r="G119" s="9" t="s">
        <v>38</v>
      </c>
      <c r="H119" s="9"/>
      <c r="I119" s="9"/>
      <c r="J119" s="9" t="s">
        <v>39</v>
      </c>
      <c r="K119" s="9" t="s">
        <v>220</v>
      </c>
      <c r="L119" s="9" t="s">
        <v>221</v>
      </c>
      <c r="M119" s="9" t="s">
        <v>222</v>
      </c>
      <c r="N119" s="9" t="s">
        <v>36</v>
      </c>
      <c r="O119" s="9">
        <v>1</v>
      </c>
      <c r="P119" s="9" t="s">
        <v>43</v>
      </c>
      <c r="Q119" s="9">
        <v>7.89</v>
      </c>
      <c r="R119" s="9"/>
      <c r="S119" s="9"/>
      <c r="T119" s="9"/>
      <c r="U119" s="9"/>
      <c r="V119" s="9"/>
      <c r="W119" s="9"/>
      <c r="X119" s="9"/>
      <c r="Y119" s="9" t="s">
        <v>845</v>
      </c>
      <c r="Z119" s="9" t="s">
        <v>176</v>
      </c>
      <c r="AA119" s="9" t="s">
        <v>846</v>
      </c>
      <c r="AB119" s="9" t="s">
        <v>47</v>
      </c>
      <c r="AC119" s="9"/>
      <c r="AD119" s="9" t="b">
        <v>0</v>
      </c>
      <c r="AE119" s="9"/>
      <c r="AF119" s="9"/>
      <c r="AG119" s="12">
        <f t="shared" si="1"/>
        <v>43276</v>
      </c>
    </row>
    <row r="120" spans="1:33">
      <c r="A120" s="9" t="s">
        <v>847</v>
      </c>
      <c r="B120" s="9" t="s">
        <v>847</v>
      </c>
      <c r="C120" s="9" t="s">
        <v>848</v>
      </c>
      <c r="D120" s="9" t="s">
        <v>849</v>
      </c>
      <c r="E120" s="9" t="s">
        <v>36</v>
      </c>
      <c r="F120" s="9" t="s">
        <v>37</v>
      </c>
      <c r="G120" s="9" t="s">
        <v>38</v>
      </c>
      <c r="H120" s="9"/>
      <c r="I120" s="9"/>
      <c r="J120" s="9" t="s">
        <v>540</v>
      </c>
      <c r="K120" s="9" t="s">
        <v>850</v>
      </c>
      <c r="L120" s="9" t="s">
        <v>190</v>
      </c>
      <c r="M120" s="9" t="s">
        <v>191</v>
      </c>
      <c r="N120" s="9" t="s">
        <v>36</v>
      </c>
      <c r="O120" s="9">
        <v>1</v>
      </c>
      <c r="P120" s="9" t="s">
        <v>43</v>
      </c>
      <c r="Q120" s="9">
        <v>9.99</v>
      </c>
      <c r="R120" s="9"/>
      <c r="S120" s="9">
        <v>1.5</v>
      </c>
      <c r="T120" s="9"/>
      <c r="U120" s="9"/>
      <c r="V120" s="9"/>
      <c r="W120" s="9"/>
      <c r="X120" s="9">
        <v>1.5</v>
      </c>
      <c r="Y120" s="9" t="s">
        <v>851</v>
      </c>
      <c r="Z120" s="9" t="s">
        <v>45</v>
      </c>
      <c r="AA120" s="9" t="s">
        <v>852</v>
      </c>
      <c r="AB120" s="9" t="s">
        <v>47</v>
      </c>
      <c r="AC120" s="9"/>
      <c r="AD120" s="9" t="b">
        <v>0</v>
      </c>
      <c r="AE120" s="9"/>
      <c r="AF120" s="9"/>
      <c r="AG120" s="12">
        <f t="shared" si="1"/>
        <v>43277</v>
      </c>
    </row>
    <row r="121" spans="1:33">
      <c r="A121" s="9" t="s">
        <v>853</v>
      </c>
      <c r="B121" s="9" t="s">
        <v>853</v>
      </c>
      <c r="C121" s="9" t="s">
        <v>854</v>
      </c>
      <c r="D121" s="9" t="s">
        <v>855</v>
      </c>
      <c r="E121" s="9" t="s">
        <v>36</v>
      </c>
      <c r="F121" s="9" t="s">
        <v>37</v>
      </c>
      <c r="G121" s="9" t="s">
        <v>38</v>
      </c>
      <c r="H121" s="9"/>
      <c r="I121" s="9"/>
      <c r="J121" s="9" t="s">
        <v>72</v>
      </c>
      <c r="K121" s="9" t="s">
        <v>856</v>
      </c>
      <c r="L121" s="9" t="s">
        <v>857</v>
      </c>
      <c r="M121" s="9" t="s">
        <v>858</v>
      </c>
      <c r="N121" s="9" t="s">
        <v>36</v>
      </c>
      <c r="O121" s="9">
        <v>1</v>
      </c>
      <c r="P121" s="9" t="s">
        <v>43</v>
      </c>
      <c r="Q121" s="9">
        <v>7.97</v>
      </c>
      <c r="R121" s="9"/>
      <c r="S121" s="9">
        <v>2.29</v>
      </c>
      <c r="T121" s="9"/>
      <c r="U121" s="9"/>
      <c r="V121" s="9"/>
      <c r="W121" s="9"/>
      <c r="X121" s="9">
        <v>2.29</v>
      </c>
      <c r="Y121" s="9" t="s">
        <v>859</v>
      </c>
      <c r="Z121" s="9" t="s">
        <v>55</v>
      </c>
      <c r="AA121" s="9" t="s">
        <v>860</v>
      </c>
      <c r="AB121" s="9" t="s">
        <v>47</v>
      </c>
      <c r="AC121" s="9" t="s">
        <v>79</v>
      </c>
      <c r="AD121" s="9" t="b">
        <v>0</v>
      </c>
      <c r="AE121" s="9"/>
      <c r="AF121" s="9"/>
      <c r="AG121" s="12">
        <f t="shared" si="1"/>
        <v>43277</v>
      </c>
    </row>
    <row r="122" spans="1:33">
      <c r="A122" s="9" t="s">
        <v>861</v>
      </c>
      <c r="B122" s="9" t="s">
        <v>861</v>
      </c>
      <c r="C122" s="9" t="s">
        <v>862</v>
      </c>
      <c r="D122" s="9" t="s">
        <v>863</v>
      </c>
      <c r="E122" s="9" t="s">
        <v>36</v>
      </c>
      <c r="F122" s="9" t="s">
        <v>37</v>
      </c>
      <c r="G122" s="9" t="s">
        <v>38</v>
      </c>
      <c r="H122" s="9"/>
      <c r="I122" s="9"/>
      <c r="J122" s="9" t="s">
        <v>39</v>
      </c>
      <c r="K122" s="9" t="s">
        <v>839</v>
      </c>
      <c r="L122" s="9" t="s">
        <v>840</v>
      </c>
      <c r="M122" s="9" t="s">
        <v>841</v>
      </c>
      <c r="N122" s="9" t="s">
        <v>36</v>
      </c>
      <c r="O122" s="9">
        <v>1</v>
      </c>
      <c r="P122" s="9" t="s">
        <v>43</v>
      </c>
      <c r="Q122" s="9">
        <v>36.76</v>
      </c>
      <c r="R122" s="9"/>
      <c r="S122" s="9"/>
      <c r="T122" s="9"/>
      <c r="U122" s="9"/>
      <c r="V122" s="9"/>
      <c r="W122" s="9"/>
      <c r="X122" s="9"/>
      <c r="Y122" s="9" t="s">
        <v>864</v>
      </c>
      <c r="Z122" s="9" t="s">
        <v>224</v>
      </c>
      <c r="AA122" s="9" t="s">
        <v>865</v>
      </c>
      <c r="AB122" s="9" t="s">
        <v>47</v>
      </c>
      <c r="AC122" s="9"/>
      <c r="AD122" s="9" t="b">
        <v>0</v>
      </c>
      <c r="AE122" s="9"/>
      <c r="AF122" s="9"/>
      <c r="AG122" s="12">
        <f t="shared" si="1"/>
        <v>43277</v>
      </c>
    </row>
    <row r="123" spans="1:33">
      <c r="A123" s="9" t="s">
        <v>866</v>
      </c>
      <c r="B123" s="9" t="s">
        <v>866</v>
      </c>
      <c r="C123" s="9" t="s">
        <v>867</v>
      </c>
      <c r="D123" s="9" t="s">
        <v>868</v>
      </c>
      <c r="E123" s="9" t="s">
        <v>36</v>
      </c>
      <c r="F123" s="9" t="s">
        <v>37</v>
      </c>
      <c r="G123" s="9" t="s">
        <v>38</v>
      </c>
      <c r="H123" s="9"/>
      <c r="I123" s="9"/>
      <c r="J123" s="9" t="s">
        <v>39</v>
      </c>
      <c r="K123" s="9" t="s">
        <v>869</v>
      </c>
      <c r="L123" s="9" t="s">
        <v>870</v>
      </c>
      <c r="M123" s="9" t="s">
        <v>871</v>
      </c>
      <c r="N123" s="9" t="s">
        <v>36</v>
      </c>
      <c r="O123" s="9">
        <v>1</v>
      </c>
      <c r="P123" s="9" t="s">
        <v>43</v>
      </c>
      <c r="Q123" s="9">
        <v>8.79</v>
      </c>
      <c r="R123" s="9"/>
      <c r="S123" s="9"/>
      <c r="T123" s="9"/>
      <c r="U123" s="9"/>
      <c r="V123" s="9"/>
      <c r="W123" s="9"/>
      <c r="X123" s="9"/>
      <c r="Y123" s="9" t="s">
        <v>872</v>
      </c>
      <c r="Z123" s="9" t="s">
        <v>160</v>
      </c>
      <c r="AA123" s="9" t="s">
        <v>873</v>
      </c>
      <c r="AB123" s="9" t="s">
        <v>47</v>
      </c>
      <c r="AC123" s="9"/>
      <c r="AD123" s="9" t="b">
        <v>0</v>
      </c>
      <c r="AE123" s="9"/>
      <c r="AF123" s="9"/>
      <c r="AG123" s="12">
        <f t="shared" si="1"/>
        <v>43277</v>
      </c>
    </row>
    <row r="124" spans="1:33">
      <c r="A124" s="9" t="s">
        <v>874</v>
      </c>
      <c r="B124" s="9" t="s">
        <v>874</v>
      </c>
      <c r="C124" s="9" t="s">
        <v>875</v>
      </c>
      <c r="D124" s="9" t="s">
        <v>876</v>
      </c>
      <c r="E124" s="9" t="s">
        <v>36</v>
      </c>
      <c r="F124" s="9" t="s">
        <v>37</v>
      </c>
      <c r="G124" s="9" t="s">
        <v>38</v>
      </c>
      <c r="H124" s="9"/>
      <c r="I124" s="9"/>
      <c r="J124" s="9" t="s">
        <v>39</v>
      </c>
      <c r="K124" s="9" t="s">
        <v>220</v>
      </c>
      <c r="L124" s="9" t="s">
        <v>221</v>
      </c>
      <c r="M124" s="9" t="s">
        <v>222</v>
      </c>
      <c r="N124" s="9" t="s">
        <v>36</v>
      </c>
      <c r="O124" s="9">
        <v>1</v>
      </c>
      <c r="P124" s="9" t="s">
        <v>43</v>
      </c>
      <c r="Q124" s="9">
        <v>7.89</v>
      </c>
      <c r="R124" s="9"/>
      <c r="S124" s="9"/>
      <c r="T124" s="9"/>
      <c r="U124" s="9"/>
      <c r="V124" s="9"/>
      <c r="W124" s="9"/>
      <c r="X124" s="9"/>
      <c r="Y124" s="9" t="s">
        <v>877</v>
      </c>
      <c r="Z124" s="9" t="s">
        <v>160</v>
      </c>
      <c r="AA124" s="9" t="s">
        <v>878</v>
      </c>
      <c r="AB124" s="9" t="s">
        <v>47</v>
      </c>
      <c r="AC124" s="9"/>
      <c r="AD124" s="9" t="b">
        <v>0</v>
      </c>
      <c r="AE124" s="9"/>
      <c r="AF124" s="9"/>
      <c r="AG124" s="12">
        <f t="shared" si="1"/>
        <v>43277</v>
      </c>
    </row>
    <row r="125" spans="1:33">
      <c r="A125" s="9" t="s">
        <v>879</v>
      </c>
      <c r="B125" s="9" t="s">
        <v>879</v>
      </c>
      <c r="C125" s="9" t="s">
        <v>880</v>
      </c>
      <c r="D125" s="9" t="s">
        <v>881</v>
      </c>
      <c r="E125" s="9" t="s">
        <v>36</v>
      </c>
      <c r="F125" s="9" t="s">
        <v>37</v>
      </c>
      <c r="G125" s="9" t="s">
        <v>38</v>
      </c>
      <c r="H125" s="9"/>
      <c r="I125" s="9"/>
      <c r="J125" s="9" t="s">
        <v>39</v>
      </c>
      <c r="K125" s="9" t="s">
        <v>478</v>
      </c>
      <c r="L125" s="9" t="s">
        <v>479</v>
      </c>
      <c r="M125" s="9" t="s">
        <v>480</v>
      </c>
      <c r="N125" s="9" t="s">
        <v>36</v>
      </c>
      <c r="O125" s="9">
        <v>1</v>
      </c>
      <c r="P125" s="9" t="s">
        <v>43</v>
      </c>
      <c r="Q125" s="9">
        <v>16.99</v>
      </c>
      <c r="R125" s="9"/>
      <c r="S125" s="9"/>
      <c r="T125" s="9"/>
      <c r="U125" s="9"/>
      <c r="V125" s="9"/>
      <c r="W125" s="9"/>
      <c r="X125" s="9"/>
      <c r="Y125" s="9" t="s">
        <v>882</v>
      </c>
      <c r="Z125" s="9" t="s">
        <v>64</v>
      </c>
      <c r="AA125" s="9" t="s">
        <v>883</v>
      </c>
      <c r="AB125" s="9" t="s">
        <v>47</v>
      </c>
      <c r="AC125" s="9"/>
      <c r="AD125" s="9" t="b">
        <v>0</v>
      </c>
      <c r="AE125" s="9"/>
      <c r="AF125" s="9"/>
      <c r="AG125" s="12">
        <f t="shared" si="1"/>
        <v>43277</v>
      </c>
    </row>
    <row r="126" spans="1:33">
      <c r="A126" s="9" t="s">
        <v>884</v>
      </c>
      <c r="B126" s="9" t="s">
        <v>884</v>
      </c>
      <c r="C126" s="9" t="s">
        <v>885</v>
      </c>
      <c r="D126" s="9" t="s">
        <v>886</v>
      </c>
      <c r="E126" s="9" t="s">
        <v>36</v>
      </c>
      <c r="F126" s="9" t="s">
        <v>37</v>
      </c>
      <c r="G126" s="9" t="s">
        <v>38</v>
      </c>
      <c r="H126" s="9"/>
      <c r="I126" s="9"/>
      <c r="J126" s="9" t="s">
        <v>39</v>
      </c>
      <c r="K126" s="9" t="s">
        <v>447</v>
      </c>
      <c r="L126" s="9" t="s">
        <v>448</v>
      </c>
      <c r="M126" s="9" t="s">
        <v>449</v>
      </c>
      <c r="N126" s="9" t="s">
        <v>36</v>
      </c>
      <c r="O126" s="9">
        <v>1</v>
      </c>
      <c r="P126" s="9" t="s">
        <v>43</v>
      </c>
      <c r="Q126" s="9">
        <v>13.9</v>
      </c>
      <c r="R126" s="9">
        <v>1.38</v>
      </c>
      <c r="S126" s="9"/>
      <c r="T126" s="9"/>
      <c r="U126" s="9"/>
      <c r="V126" s="9"/>
      <c r="W126" s="9"/>
      <c r="X126" s="9"/>
      <c r="Y126" s="9" t="s">
        <v>887</v>
      </c>
      <c r="Z126" s="9" t="s">
        <v>236</v>
      </c>
      <c r="AA126" s="9" t="s">
        <v>888</v>
      </c>
      <c r="AB126" s="9" t="s">
        <v>47</v>
      </c>
      <c r="AC126" s="9"/>
      <c r="AD126" s="9" t="b">
        <v>0</v>
      </c>
      <c r="AE126" s="9"/>
      <c r="AF126" s="9"/>
      <c r="AG126" s="12">
        <f t="shared" si="1"/>
        <v>43277</v>
      </c>
    </row>
    <row r="127" spans="1:33">
      <c r="A127" s="9" t="s">
        <v>889</v>
      </c>
      <c r="B127" s="9" t="s">
        <v>889</v>
      </c>
      <c r="C127" s="9" t="s">
        <v>890</v>
      </c>
      <c r="D127" s="9" t="s">
        <v>891</v>
      </c>
      <c r="E127" s="9" t="s">
        <v>36</v>
      </c>
      <c r="F127" s="9" t="s">
        <v>37</v>
      </c>
      <c r="G127" s="9" t="s">
        <v>38</v>
      </c>
      <c r="H127" s="9"/>
      <c r="I127" s="9"/>
      <c r="J127" s="9" t="s">
        <v>39</v>
      </c>
      <c r="K127" s="9" t="s">
        <v>207</v>
      </c>
      <c r="L127" s="9" t="s">
        <v>208</v>
      </c>
      <c r="M127" s="9" t="s">
        <v>209</v>
      </c>
      <c r="N127" s="9" t="s">
        <v>36</v>
      </c>
      <c r="O127" s="9">
        <v>1</v>
      </c>
      <c r="P127" s="9" t="s">
        <v>43</v>
      </c>
      <c r="Q127" s="9">
        <v>16.99</v>
      </c>
      <c r="R127" s="9"/>
      <c r="S127" s="9"/>
      <c r="T127" s="9"/>
      <c r="U127" s="9"/>
      <c r="V127" s="9"/>
      <c r="W127" s="9"/>
      <c r="X127" s="9"/>
      <c r="Y127" s="9" t="s">
        <v>892</v>
      </c>
      <c r="Z127" s="9" t="s">
        <v>528</v>
      </c>
      <c r="AA127" s="9" t="s">
        <v>893</v>
      </c>
      <c r="AB127" s="9" t="s">
        <v>47</v>
      </c>
      <c r="AC127" s="9"/>
      <c r="AD127" s="9" t="b">
        <v>0</v>
      </c>
      <c r="AE127" s="9"/>
      <c r="AF127" s="9"/>
      <c r="AG127" s="12">
        <f t="shared" si="1"/>
        <v>43277</v>
      </c>
    </row>
    <row r="128" spans="1:33">
      <c r="A128" s="9" t="s">
        <v>894</v>
      </c>
      <c r="B128" s="9" t="s">
        <v>894</v>
      </c>
      <c r="C128" s="9" t="s">
        <v>895</v>
      </c>
      <c r="D128" s="9" t="s">
        <v>896</v>
      </c>
      <c r="E128" s="9" t="s">
        <v>36</v>
      </c>
      <c r="F128" s="9" t="s">
        <v>37</v>
      </c>
      <c r="G128" s="9" t="s">
        <v>38</v>
      </c>
      <c r="H128" s="9"/>
      <c r="I128" s="9"/>
      <c r="J128" s="9" t="s">
        <v>39</v>
      </c>
      <c r="K128" s="9" t="s">
        <v>456</v>
      </c>
      <c r="L128" s="9" t="s">
        <v>289</v>
      </c>
      <c r="M128" s="9" t="s">
        <v>290</v>
      </c>
      <c r="N128" s="9" t="s">
        <v>36</v>
      </c>
      <c r="O128" s="9">
        <v>1</v>
      </c>
      <c r="P128" s="9" t="s">
        <v>43</v>
      </c>
      <c r="Q128" s="9">
        <v>9.99</v>
      </c>
      <c r="R128" s="9"/>
      <c r="S128" s="9"/>
      <c r="T128" s="9"/>
      <c r="U128" s="9"/>
      <c r="V128" s="9"/>
      <c r="W128" s="9"/>
      <c r="X128" s="9"/>
      <c r="Y128" s="9" t="s">
        <v>897</v>
      </c>
      <c r="Z128" s="9" t="s">
        <v>898</v>
      </c>
      <c r="AA128" s="9">
        <v>77355</v>
      </c>
      <c r="AB128" s="9" t="s">
        <v>47</v>
      </c>
      <c r="AC128" s="9"/>
      <c r="AD128" s="9" t="b">
        <v>0</v>
      </c>
      <c r="AE128" s="9"/>
      <c r="AF128" s="9"/>
      <c r="AG128" s="12">
        <f t="shared" si="1"/>
        <v>43278</v>
      </c>
    </row>
    <row r="129" spans="1:33">
      <c r="A129" s="9" t="s">
        <v>899</v>
      </c>
      <c r="B129" s="9" t="s">
        <v>899</v>
      </c>
      <c r="C129" s="9" t="s">
        <v>900</v>
      </c>
      <c r="D129" s="9" t="s">
        <v>901</v>
      </c>
      <c r="E129" s="9" t="s">
        <v>36</v>
      </c>
      <c r="F129" s="9" t="s">
        <v>37</v>
      </c>
      <c r="G129" s="9" t="s">
        <v>38</v>
      </c>
      <c r="H129" s="9"/>
      <c r="I129" s="9"/>
      <c r="J129" s="9" t="s">
        <v>39</v>
      </c>
      <c r="K129" s="9" t="s">
        <v>902</v>
      </c>
      <c r="L129" s="9" t="s">
        <v>762</v>
      </c>
      <c r="M129" s="9" t="s">
        <v>763</v>
      </c>
      <c r="N129" s="9" t="s">
        <v>36</v>
      </c>
      <c r="O129" s="9">
        <v>1</v>
      </c>
      <c r="P129" s="9" t="s">
        <v>43</v>
      </c>
      <c r="Q129" s="9">
        <v>7.68</v>
      </c>
      <c r="R129" s="9"/>
      <c r="S129" s="9"/>
      <c r="T129" s="9"/>
      <c r="U129" s="9"/>
      <c r="V129" s="9"/>
      <c r="W129" s="9"/>
      <c r="X129" s="9"/>
      <c r="Y129" s="9" t="s">
        <v>903</v>
      </c>
      <c r="Z129" s="9" t="s">
        <v>354</v>
      </c>
      <c r="AA129" s="9" t="s">
        <v>904</v>
      </c>
      <c r="AB129" s="9" t="s">
        <v>47</v>
      </c>
      <c r="AC129" s="9"/>
      <c r="AD129" s="9" t="b">
        <v>0</v>
      </c>
      <c r="AE129" s="9"/>
      <c r="AF129" s="9"/>
      <c r="AG129" s="12">
        <f t="shared" si="1"/>
        <v>43278</v>
      </c>
    </row>
    <row r="130" spans="1:33">
      <c r="A130" s="9" t="s">
        <v>899</v>
      </c>
      <c r="B130" s="9" t="s">
        <v>899</v>
      </c>
      <c r="C130" s="9" t="s">
        <v>900</v>
      </c>
      <c r="D130" s="9" t="s">
        <v>901</v>
      </c>
      <c r="E130" s="9" t="s">
        <v>36</v>
      </c>
      <c r="F130" s="9" t="s">
        <v>37</v>
      </c>
      <c r="G130" s="9" t="s">
        <v>38</v>
      </c>
      <c r="H130" s="9"/>
      <c r="I130" s="9"/>
      <c r="J130" s="9" t="s">
        <v>39</v>
      </c>
      <c r="K130" s="9" t="s">
        <v>905</v>
      </c>
      <c r="L130" s="9" t="s">
        <v>906</v>
      </c>
      <c r="M130" s="9" t="s">
        <v>907</v>
      </c>
      <c r="N130" s="9" t="s">
        <v>36</v>
      </c>
      <c r="O130" s="9">
        <v>1</v>
      </c>
      <c r="P130" s="9" t="s">
        <v>43</v>
      </c>
      <c r="Q130" s="9">
        <v>7.99</v>
      </c>
      <c r="R130" s="9"/>
      <c r="S130" s="9"/>
      <c r="T130" s="9"/>
      <c r="U130" s="9"/>
      <c r="V130" s="9"/>
      <c r="W130" s="9"/>
      <c r="X130" s="9"/>
      <c r="Y130" s="9" t="s">
        <v>903</v>
      </c>
      <c r="Z130" s="9" t="s">
        <v>354</v>
      </c>
      <c r="AA130" s="9" t="s">
        <v>904</v>
      </c>
      <c r="AB130" s="9" t="s">
        <v>47</v>
      </c>
      <c r="AC130" s="9"/>
      <c r="AD130" s="9" t="b">
        <v>0</v>
      </c>
      <c r="AE130" s="9"/>
      <c r="AF130" s="9"/>
      <c r="AG130" s="12">
        <f t="shared" ref="AG130:AG170" si="2">DATEVALUE(LEFT(C130,10))</f>
        <v>43278</v>
      </c>
    </row>
    <row r="131" spans="1:33">
      <c r="A131" s="9" t="s">
        <v>908</v>
      </c>
      <c r="B131" s="9" t="s">
        <v>908</v>
      </c>
      <c r="C131" s="9" t="s">
        <v>909</v>
      </c>
      <c r="D131" s="9" t="s">
        <v>910</v>
      </c>
      <c r="E131" s="9" t="s">
        <v>36</v>
      </c>
      <c r="F131" s="9" t="s">
        <v>37</v>
      </c>
      <c r="G131" s="9" t="s">
        <v>38</v>
      </c>
      <c r="H131" s="9"/>
      <c r="I131" s="9"/>
      <c r="J131" s="9" t="s">
        <v>39</v>
      </c>
      <c r="K131" s="9" t="s">
        <v>839</v>
      </c>
      <c r="L131" s="9" t="s">
        <v>840</v>
      </c>
      <c r="M131" s="9" t="s">
        <v>841</v>
      </c>
      <c r="N131" s="9" t="s">
        <v>36</v>
      </c>
      <c r="O131" s="9">
        <v>1</v>
      </c>
      <c r="P131" s="9" t="s">
        <v>43</v>
      </c>
      <c r="Q131" s="9">
        <v>36.76</v>
      </c>
      <c r="R131" s="9"/>
      <c r="S131" s="9"/>
      <c r="T131" s="9"/>
      <c r="U131" s="9"/>
      <c r="V131" s="9"/>
      <c r="W131" s="9"/>
      <c r="X131" s="9"/>
      <c r="Y131" s="9" t="s">
        <v>780</v>
      </c>
      <c r="Z131" s="9" t="s">
        <v>417</v>
      </c>
      <c r="AA131" s="9" t="s">
        <v>781</v>
      </c>
      <c r="AB131" s="9" t="s">
        <v>47</v>
      </c>
      <c r="AC131" s="9"/>
      <c r="AD131" s="9" t="b">
        <v>0</v>
      </c>
      <c r="AE131" s="9"/>
      <c r="AF131" s="9"/>
      <c r="AG131" s="12">
        <f t="shared" si="2"/>
        <v>43278</v>
      </c>
    </row>
    <row r="132" spans="1:33">
      <c r="A132" s="9" t="s">
        <v>911</v>
      </c>
      <c r="B132" s="9" t="s">
        <v>911</v>
      </c>
      <c r="C132" s="9" t="s">
        <v>912</v>
      </c>
      <c r="D132" s="9" t="s">
        <v>913</v>
      </c>
      <c r="E132" s="9" t="s">
        <v>36</v>
      </c>
      <c r="F132" s="9" t="s">
        <v>37</v>
      </c>
      <c r="G132" s="9" t="s">
        <v>38</v>
      </c>
      <c r="H132" s="9"/>
      <c r="I132" s="9"/>
      <c r="J132" s="9" t="s">
        <v>39</v>
      </c>
      <c r="K132" s="9" t="s">
        <v>914</v>
      </c>
      <c r="L132" s="9" t="s">
        <v>915</v>
      </c>
      <c r="M132" s="9" t="s">
        <v>916</v>
      </c>
      <c r="N132" s="9" t="s">
        <v>36</v>
      </c>
      <c r="O132" s="9">
        <v>1</v>
      </c>
      <c r="P132" s="9" t="s">
        <v>43</v>
      </c>
      <c r="Q132" s="9">
        <v>22.99</v>
      </c>
      <c r="R132" s="9"/>
      <c r="S132" s="9"/>
      <c r="T132" s="9"/>
      <c r="U132" s="9"/>
      <c r="V132" s="9"/>
      <c r="W132" s="9"/>
      <c r="X132" s="9"/>
      <c r="Y132" s="9" t="s">
        <v>917</v>
      </c>
      <c r="Z132" s="9" t="s">
        <v>918</v>
      </c>
      <c r="AA132" s="9" t="s">
        <v>919</v>
      </c>
      <c r="AB132" s="9" t="s">
        <v>47</v>
      </c>
      <c r="AC132" s="9"/>
      <c r="AD132" s="9" t="b">
        <v>0</v>
      </c>
      <c r="AE132" s="9"/>
      <c r="AF132" s="9"/>
      <c r="AG132" s="12">
        <f t="shared" si="2"/>
        <v>43278</v>
      </c>
    </row>
    <row r="133" spans="1:33">
      <c r="A133" s="9" t="s">
        <v>920</v>
      </c>
      <c r="B133" s="9" t="s">
        <v>920</v>
      </c>
      <c r="C133" s="9" t="s">
        <v>921</v>
      </c>
      <c r="D133" s="9" t="s">
        <v>922</v>
      </c>
      <c r="E133" s="9" t="s">
        <v>36</v>
      </c>
      <c r="F133" s="9" t="s">
        <v>37</v>
      </c>
      <c r="G133" s="9" t="s">
        <v>38</v>
      </c>
      <c r="H133" s="9"/>
      <c r="I133" s="9"/>
      <c r="J133" s="9" t="s">
        <v>39</v>
      </c>
      <c r="K133" s="9" t="s">
        <v>923</v>
      </c>
      <c r="L133" s="9" t="s">
        <v>924</v>
      </c>
      <c r="M133" s="9" t="s">
        <v>925</v>
      </c>
      <c r="N133" s="9" t="s">
        <v>36</v>
      </c>
      <c r="O133" s="9">
        <v>1</v>
      </c>
      <c r="P133" s="9" t="s">
        <v>43</v>
      </c>
      <c r="Q133" s="9">
        <v>13.9</v>
      </c>
      <c r="R133" s="9"/>
      <c r="S133" s="9"/>
      <c r="T133" s="9"/>
      <c r="U133" s="9"/>
      <c r="V133" s="9"/>
      <c r="W133" s="9"/>
      <c r="X133" s="9"/>
      <c r="Y133" s="9" t="s">
        <v>926</v>
      </c>
      <c r="Z133" s="9" t="s">
        <v>160</v>
      </c>
      <c r="AA133" s="9" t="s">
        <v>927</v>
      </c>
      <c r="AB133" s="9" t="s">
        <v>47</v>
      </c>
      <c r="AC133" s="9"/>
      <c r="AD133" s="9" t="b">
        <v>0</v>
      </c>
      <c r="AE133" s="9"/>
      <c r="AF133" s="9"/>
      <c r="AG133" s="12">
        <f t="shared" si="2"/>
        <v>43278</v>
      </c>
    </row>
    <row r="134" spans="1:33">
      <c r="A134" s="9" t="s">
        <v>928</v>
      </c>
      <c r="B134" s="9" t="s">
        <v>928</v>
      </c>
      <c r="C134" s="9" t="s">
        <v>929</v>
      </c>
      <c r="D134" s="9" t="s">
        <v>930</v>
      </c>
      <c r="E134" s="9" t="s">
        <v>36</v>
      </c>
      <c r="F134" s="9" t="s">
        <v>37</v>
      </c>
      <c r="G134" s="9" t="s">
        <v>38</v>
      </c>
      <c r="H134" s="9"/>
      <c r="I134" s="9"/>
      <c r="J134" s="9" t="s">
        <v>72</v>
      </c>
      <c r="K134" s="9" t="s">
        <v>839</v>
      </c>
      <c r="L134" s="9" t="s">
        <v>840</v>
      </c>
      <c r="M134" s="9" t="s">
        <v>841</v>
      </c>
      <c r="N134" s="9" t="s">
        <v>36</v>
      </c>
      <c r="O134" s="9">
        <v>1</v>
      </c>
      <c r="P134" s="9" t="s">
        <v>43</v>
      </c>
      <c r="Q134" s="9">
        <v>36.76</v>
      </c>
      <c r="R134" s="9"/>
      <c r="S134" s="9"/>
      <c r="T134" s="9"/>
      <c r="U134" s="9"/>
      <c r="V134" s="9"/>
      <c r="W134" s="9"/>
      <c r="X134" s="9"/>
      <c r="Y134" s="9" t="s">
        <v>931</v>
      </c>
      <c r="Z134" s="9" t="s">
        <v>160</v>
      </c>
      <c r="AA134" s="9" t="s">
        <v>932</v>
      </c>
      <c r="AB134" s="9" t="s">
        <v>47</v>
      </c>
      <c r="AC134" s="9"/>
      <c r="AD134" s="9" t="b">
        <v>0</v>
      </c>
      <c r="AE134" s="9"/>
      <c r="AF134" s="9"/>
      <c r="AG134" s="12">
        <f t="shared" si="2"/>
        <v>43278</v>
      </c>
    </row>
    <row r="135" spans="1:33">
      <c r="A135" s="9" t="s">
        <v>933</v>
      </c>
      <c r="B135" s="9" t="s">
        <v>933</v>
      </c>
      <c r="C135" s="9" t="s">
        <v>934</v>
      </c>
      <c r="D135" s="9" t="s">
        <v>935</v>
      </c>
      <c r="E135" s="9" t="s">
        <v>36</v>
      </c>
      <c r="F135" s="9" t="s">
        <v>37</v>
      </c>
      <c r="G135" s="9" t="s">
        <v>38</v>
      </c>
      <c r="H135" s="9"/>
      <c r="I135" s="9"/>
      <c r="J135" s="9" t="s">
        <v>39</v>
      </c>
      <c r="K135" s="9" t="s">
        <v>777</v>
      </c>
      <c r="L135" s="9" t="s">
        <v>778</v>
      </c>
      <c r="M135" s="9" t="s">
        <v>779</v>
      </c>
      <c r="N135" s="9" t="s">
        <v>36</v>
      </c>
      <c r="O135" s="9">
        <v>1</v>
      </c>
      <c r="P135" s="9" t="s">
        <v>43</v>
      </c>
      <c r="Q135" s="9">
        <v>12.99</v>
      </c>
      <c r="R135" s="9"/>
      <c r="S135" s="9"/>
      <c r="T135" s="9"/>
      <c r="U135" s="9"/>
      <c r="V135" s="9"/>
      <c r="W135" s="9"/>
      <c r="X135" s="9"/>
      <c r="Y135" s="9" t="s">
        <v>936</v>
      </c>
      <c r="Z135" s="9" t="s">
        <v>45</v>
      </c>
      <c r="AA135" s="9" t="s">
        <v>937</v>
      </c>
      <c r="AB135" s="9" t="s">
        <v>47</v>
      </c>
      <c r="AC135" s="9"/>
      <c r="AD135" s="9" t="b">
        <v>0</v>
      </c>
      <c r="AE135" s="9"/>
      <c r="AF135" s="9"/>
      <c r="AG135" s="12">
        <f t="shared" si="2"/>
        <v>43278</v>
      </c>
    </row>
    <row r="136" spans="1:33">
      <c r="A136" s="9" t="s">
        <v>938</v>
      </c>
      <c r="B136" s="9" t="s">
        <v>938</v>
      </c>
      <c r="C136" s="9" t="s">
        <v>939</v>
      </c>
      <c r="D136" s="9" t="s">
        <v>940</v>
      </c>
      <c r="E136" s="9" t="s">
        <v>36</v>
      </c>
      <c r="F136" s="9" t="s">
        <v>37</v>
      </c>
      <c r="G136" s="9" t="s">
        <v>38</v>
      </c>
      <c r="H136" s="9"/>
      <c r="I136" s="9"/>
      <c r="J136" s="9" t="s">
        <v>72</v>
      </c>
      <c r="K136" s="9" t="s">
        <v>518</v>
      </c>
      <c r="L136" s="9" t="s">
        <v>519</v>
      </c>
      <c r="M136" s="9" t="s">
        <v>520</v>
      </c>
      <c r="N136" s="9" t="s">
        <v>36</v>
      </c>
      <c r="O136" s="9">
        <v>1</v>
      </c>
      <c r="P136" s="9" t="s">
        <v>43</v>
      </c>
      <c r="Q136" s="9">
        <v>15.99</v>
      </c>
      <c r="R136" s="9"/>
      <c r="S136" s="9"/>
      <c r="T136" s="9"/>
      <c r="U136" s="9"/>
      <c r="V136" s="9"/>
      <c r="W136" s="9"/>
      <c r="X136" s="9"/>
      <c r="Y136" s="9" t="s">
        <v>941</v>
      </c>
      <c r="Z136" s="9" t="s">
        <v>327</v>
      </c>
      <c r="AA136" s="9" t="s">
        <v>942</v>
      </c>
      <c r="AB136" s="9" t="s">
        <v>47</v>
      </c>
      <c r="AC136" s="9"/>
      <c r="AD136" s="9" t="b">
        <v>0</v>
      </c>
      <c r="AE136" s="9"/>
      <c r="AF136" s="9"/>
      <c r="AG136" s="12">
        <f t="shared" si="2"/>
        <v>43278</v>
      </c>
    </row>
    <row r="137" spans="1:33">
      <c r="A137" s="9" t="s">
        <v>943</v>
      </c>
      <c r="B137" s="9" t="s">
        <v>943</v>
      </c>
      <c r="C137" s="9" t="s">
        <v>944</v>
      </c>
      <c r="D137" s="9" t="s">
        <v>945</v>
      </c>
      <c r="E137" s="9" t="s">
        <v>36</v>
      </c>
      <c r="F137" s="9" t="s">
        <v>37</v>
      </c>
      <c r="G137" s="9" t="s">
        <v>38</v>
      </c>
      <c r="H137" s="9"/>
      <c r="I137" s="9"/>
      <c r="J137" s="9" t="s">
        <v>39</v>
      </c>
      <c r="K137" s="9" t="s">
        <v>946</v>
      </c>
      <c r="L137" s="9" t="s">
        <v>591</v>
      </c>
      <c r="M137" s="9" t="s">
        <v>592</v>
      </c>
      <c r="N137" s="9" t="s">
        <v>36</v>
      </c>
      <c r="O137" s="9">
        <v>1</v>
      </c>
      <c r="P137" s="9" t="s">
        <v>43</v>
      </c>
      <c r="Q137" s="9">
        <v>5.41</v>
      </c>
      <c r="R137" s="9"/>
      <c r="S137" s="9"/>
      <c r="T137" s="9"/>
      <c r="U137" s="9"/>
      <c r="V137" s="9"/>
      <c r="W137" s="9"/>
      <c r="X137" s="9"/>
      <c r="Y137" s="9" t="s">
        <v>947</v>
      </c>
      <c r="Z137" s="9" t="s">
        <v>451</v>
      </c>
      <c r="AA137" s="9" t="s">
        <v>948</v>
      </c>
      <c r="AB137" s="9" t="s">
        <v>47</v>
      </c>
      <c r="AC137" s="9"/>
      <c r="AD137" s="9" t="b">
        <v>0</v>
      </c>
      <c r="AE137" s="9"/>
      <c r="AF137" s="9"/>
      <c r="AG137" s="12">
        <f t="shared" si="2"/>
        <v>43278</v>
      </c>
    </row>
    <row r="138" spans="1:33">
      <c r="A138" s="9" t="s">
        <v>949</v>
      </c>
      <c r="B138" s="9" t="s">
        <v>949</v>
      </c>
      <c r="C138" s="9" t="s">
        <v>950</v>
      </c>
      <c r="D138" s="9" t="s">
        <v>951</v>
      </c>
      <c r="E138" s="9" t="s">
        <v>36</v>
      </c>
      <c r="F138" s="9" t="s">
        <v>37</v>
      </c>
      <c r="G138" s="9" t="s">
        <v>38</v>
      </c>
      <c r="H138" s="9"/>
      <c r="I138" s="9"/>
      <c r="J138" s="9" t="s">
        <v>39</v>
      </c>
      <c r="K138" s="9" t="s">
        <v>952</v>
      </c>
      <c r="L138" s="9" t="s">
        <v>953</v>
      </c>
      <c r="M138" s="9" t="s">
        <v>954</v>
      </c>
      <c r="N138" s="9" t="s">
        <v>36</v>
      </c>
      <c r="O138" s="9">
        <v>1</v>
      </c>
      <c r="P138" s="9" t="s">
        <v>43</v>
      </c>
      <c r="Q138" s="9">
        <v>22.9</v>
      </c>
      <c r="R138" s="9"/>
      <c r="S138" s="9"/>
      <c r="T138" s="9"/>
      <c r="U138" s="9"/>
      <c r="V138" s="9"/>
      <c r="W138" s="9"/>
      <c r="X138" s="9"/>
      <c r="Y138" s="9" t="s">
        <v>627</v>
      </c>
      <c r="Z138" s="9" t="s">
        <v>168</v>
      </c>
      <c r="AA138" s="9" t="s">
        <v>955</v>
      </c>
      <c r="AB138" s="9" t="s">
        <v>47</v>
      </c>
      <c r="AC138" s="9"/>
      <c r="AD138" s="9" t="b">
        <v>0</v>
      </c>
      <c r="AE138" s="9"/>
      <c r="AF138" s="9"/>
      <c r="AG138" s="12">
        <f t="shared" si="2"/>
        <v>43278</v>
      </c>
    </row>
    <row r="139" spans="1:33">
      <c r="A139" s="9" t="s">
        <v>956</v>
      </c>
      <c r="B139" s="9" t="s">
        <v>956</v>
      </c>
      <c r="C139" s="9" t="s">
        <v>957</v>
      </c>
      <c r="D139" s="9" t="s">
        <v>958</v>
      </c>
      <c r="E139" s="9" t="s">
        <v>36</v>
      </c>
      <c r="F139" s="9" t="s">
        <v>37</v>
      </c>
      <c r="G139" s="9" t="s">
        <v>38</v>
      </c>
      <c r="H139" s="9"/>
      <c r="I139" s="9"/>
      <c r="J139" s="9" t="s">
        <v>39</v>
      </c>
      <c r="K139" s="9" t="s">
        <v>777</v>
      </c>
      <c r="L139" s="9" t="s">
        <v>778</v>
      </c>
      <c r="M139" s="9" t="s">
        <v>779</v>
      </c>
      <c r="N139" s="9" t="s">
        <v>36</v>
      </c>
      <c r="O139" s="9">
        <v>1</v>
      </c>
      <c r="P139" s="9" t="s">
        <v>43</v>
      </c>
      <c r="Q139" s="9">
        <v>12.99</v>
      </c>
      <c r="R139" s="9"/>
      <c r="S139" s="9"/>
      <c r="T139" s="9"/>
      <c r="U139" s="9"/>
      <c r="V139" s="9"/>
      <c r="W139" s="9"/>
      <c r="X139" s="9"/>
      <c r="Y139" s="9" t="s">
        <v>959</v>
      </c>
      <c r="Z139" s="9" t="s">
        <v>960</v>
      </c>
      <c r="AA139" s="9" t="s">
        <v>961</v>
      </c>
      <c r="AB139" s="9" t="s">
        <v>47</v>
      </c>
      <c r="AC139" s="9"/>
      <c r="AD139" s="9" t="b">
        <v>0</v>
      </c>
      <c r="AE139" s="9"/>
      <c r="AF139" s="9"/>
      <c r="AG139" s="12">
        <f t="shared" si="2"/>
        <v>43278</v>
      </c>
    </row>
    <row r="140" spans="1:33">
      <c r="A140" s="9" t="s">
        <v>962</v>
      </c>
      <c r="B140" s="9" t="s">
        <v>962</v>
      </c>
      <c r="C140" s="9" t="s">
        <v>963</v>
      </c>
      <c r="D140" s="9" t="s">
        <v>964</v>
      </c>
      <c r="E140" s="9" t="s">
        <v>36</v>
      </c>
      <c r="F140" s="9" t="s">
        <v>37</v>
      </c>
      <c r="G140" s="9" t="s">
        <v>38</v>
      </c>
      <c r="H140" s="9"/>
      <c r="I140" s="9"/>
      <c r="J140" s="9" t="s">
        <v>72</v>
      </c>
      <c r="K140" s="9" t="s">
        <v>745</v>
      </c>
      <c r="L140" s="9" t="s">
        <v>746</v>
      </c>
      <c r="M140" s="9" t="s">
        <v>747</v>
      </c>
      <c r="N140" s="9" t="s">
        <v>36</v>
      </c>
      <c r="O140" s="9">
        <v>1</v>
      </c>
      <c r="P140" s="9" t="s">
        <v>43</v>
      </c>
      <c r="Q140" s="9">
        <v>13.9</v>
      </c>
      <c r="R140" s="9"/>
      <c r="S140" s="9"/>
      <c r="T140" s="9"/>
      <c r="U140" s="9"/>
      <c r="V140" s="9"/>
      <c r="W140" s="9"/>
      <c r="X140" s="9"/>
      <c r="Y140" s="9" t="s">
        <v>965</v>
      </c>
      <c r="Z140" s="9" t="s">
        <v>966</v>
      </c>
      <c r="AA140" s="9">
        <v>39441</v>
      </c>
      <c r="AB140" s="9" t="s">
        <v>47</v>
      </c>
      <c r="AC140" s="9"/>
      <c r="AD140" s="9" t="b">
        <v>0</v>
      </c>
      <c r="AE140" s="9"/>
      <c r="AF140" s="9"/>
      <c r="AG140" s="12">
        <f t="shared" si="2"/>
        <v>43278</v>
      </c>
    </row>
    <row r="141" spans="1:33">
      <c r="A141" s="9" t="s">
        <v>967</v>
      </c>
      <c r="B141" s="9" t="s">
        <v>967</v>
      </c>
      <c r="C141" s="9" t="s">
        <v>968</v>
      </c>
      <c r="D141" s="9" t="s">
        <v>969</v>
      </c>
      <c r="E141" s="9" t="s">
        <v>36</v>
      </c>
      <c r="F141" s="9" t="s">
        <v>37</v>
      </c>
      <c r="G141" s="9" t="s">
        <v>38</v>
      </c>
      <c r="H141" s="9"/>
      <c r="I141" s="9"/>
      <c r="J141" s="9" t="s">
        <v>72</v>
      </c>
      <c r="K141" s="9" t="s">
        <v>970</v>
      </c>
      <c r="L141" s="9" t="s">
        <v>971</v>
      </c>
      <c r="M141" s="9" t="s">
        <v>972</v>
      </c>
      <c r="N141" s="9" t="s">
        <v>36</v>
      </c>
      <c r="O141" s="9">
        <v>1</v>
      </c>
      <c r="P141" s="9" t="s">
        <v>43</v>
      </c>
      <c r="Q141" s="9">
        <v>11.45</v>
      </c>
      <c r="R141" s="9"/>
      <c r="S141" s="9"/>
      <c r="T141" s="9"/>
      <c r="U141" s="9"/>
      <c r="V141" s="9"/>
      <c r="W141" s="9"/>
      <c r="X141" s="9"/>
      <c r="Y141" s="9" t="s">
        <v>973</v>
      </c>
      <c r="Z141" s="9" t="s">
        <v>974</v>
      </c>
      <c r="AA141" s="9">
        <v>66062</v>
      </c>
      <c r="AB141" s="9" t="s">
        <v>47</v>
      </c>
      <c r="AC141" s="9"/>
      <c r="AD141" s="9" t="b">
        <v>0</v>
      </c>
      <c r="AE141" s="9"/>
      <c r="AF141" s="9"/>
      <c r="AG141" s="12">
        <f t="shared" si="2"/>
        <v>43278</v>
      </c>
    </row>
    <row r="142" spans="1:33">
      <c r="A142" s="9" t="s">
        <v>975</v>
      </c>
      <c r="B142" s="9" t="s">
        <v>975</v>
      </c>
      <c r="C142" s="9" t="s">
        <v>976</v>
      </c>
      <c r="D142" s="9" t="s">
        <v>977</v>
      </c>
      <c r="E142" s="9" t="s">
        <v>36</v>
      </c>
      <c r="F142" s="9" t="s">
        <v>37</v>
      </c>
      <c r="G142" s="9" t="s">
        <v>38</v>
      </c>
      <c r="H142" s="9"/>
      <c r="I142" s="9"/>
      <c r="J142" s="9" t="s">
        <v>39</v>
      </c>
      <c r="K142" s="9" t="s">
        <v>970</v>
      </c>
      <c r="L142" s="9" t="s">
        <v>971</v>
      </c>
      <c r="M142" s="9" t="s">
        <v>972</v>
      </c>
      <c r="N142" s="9" t="s">
        <v>36</v>
      </c>
      <c r="O142" s="9">
        <v>1</v>
      </c>
      <c r="P142" s="9" t="s">
        <v>43</v>
      </c>
      <c r="Q142" s="9">
        <v>11.45</v>
      </c>
      <c r="R142" s="9"/>
      <c r="S142" s="9"/>
      <c r="T142" s="9"/>
      <c r="U142" s="9"/>
      <c r="V142" s="9"/>
      <c r="W142" s="9"/>
      <c r="X142" s="9"/>
      <c r="Y142" s="9" t="s">
        <v>978</v>
      </c>
      <c r="Z142" s="9" t="s">
        <v>160</v>
      </c>
      <c r="AA142" s="9" t="s">
        <v>979</v>
      </c>
      <c r="AB142" s="9" t="s">
        <v>47</v>
      </c>
      <c r="AC142" s="9"/>
      <c r="AD142" s="9" t="b">
        <v>0</v>
      </c>
      <c r="AE142" s="9"/>
      <c r="AF142" s="9"/>
      <c r="AG142" s="12">
        <f t="shared" si="2"/>
        <v>43278</v>
      </c>
    </row>
    <row r="143" spans="1:33">
      <c r="A143" s="9" t="s">
        <v>980</v>
      </c>
      <c r="B143" s="9" t="s">
        <v>980</v>
      </c>
      <c r="C143" s="9" t="s">
        <v>981</v>
      </c>
      <c r="D143" s="9" t="s">
        <v>982</v>
      </c>
      <c r="E143" s="9" t="s">
        <v>36</v>
      </c>
      <c r="F143" s="9" t="s">
        <v>37</v>
      </c>
      <c r="G143" s="9" t="s">
        <v>38</v>
      </c>
      <c r="H143" s="9"/>
      <c r="I143" s="9"/>
      <c r="J143" s="9" t="s">
        <v>39</v>
      </c>
      <c r="K143" s="9" t="s">
        <v>983</v>
      </c>
      <c r="L143" s="9" t="s">
        <v>984</v>
      </c>
      <c r="M143" s="9" t="s">
        <v>985</v>
      </c>
      <c r="N143" s="9" t="s">
        <v>36</v>
      </c>
      <c r="O143" s="9">
        <v>1</v>
      </c>
      <c r="P143" s="9" t="s">
        <v>43</v>
      </c>
      <c r="Q143" s="9">
        <v>20.9</v>
      </c>
      <c r="R143" s="9"/>
      <c r="S143" s="9"/>
      <c r="T143" s="9"/>
      <c r="U143" s="9"/>
      <c r="V143" s="9"/>
      <c r="W143" s="9"/>
      <c r="X143" s="9"/>
      <c r="Y143" s="9" t="s">
        <v>986</v>
      </c>
      <c r="Z143" s="9" t="s">
        <v>64</v>
      </c>
      <c r="AA143" s="9" t="s">
        <v>987</v>
      </c>
      <c r="AB143" s="9" t="s">
        <v>47</v>
      </c>
      <c r="AC143" s="9"/>
      <c r="AD143" s="9" t="b">
        <v>0</v>
      </c>
      <c r="AE143" s="9"/>
      <c r="AF143" s="9"/>
      <c r="AG143" s="12">
        <f t="shared" si="2"/>
        <v>43278</v>
      </c>
    </row>
    <row r="144" spans="1:33">
      <c r="A144" s="9" t="s">
        <v>988</v>
      </c>
      <c r="B144" s="9" t="s">
        <v>988</v>
      </c>
      <c r="C144" s="9" t="s">
        <v>989</v>
      </c>
      <c r="D144" s="9" t="s">
        <v>990</v>
      </c>
      <c r="E144" s="9" t="s">
        <v>36</v>
      </c>
      <c r="F144" s="9" t="s">
        <v>37</v>
      </c>
      <c r="G144" s="9" t="s">
        <v>38</v>
      </c>
      <c r="H144" s="9"/>
      <c r="I144" s="9"/>
      <c r="J144" s="9" t="s">
        <v>39</v>
      </c>
      <c r="K144" s="9" t="s">
        <v>952</v>
      </c>
      <c r="L144" s="9" t="s">
        <v>953</v>
      </c>
      <c r="M144" s="9" t="s">
        <v>954</v>
      </c>
      <c r="N144" s="9" t="s">
        <v>36</v>
      </c>
      <c r="O144" s="9">
        <v>2</v>
      </c>
      <c r="P144" s="9" t="s">
        <v>43</v>
      </c>
      <c r="Q144" s="9">
        <v>45.8</v>
      </c>
      <c r="R144" s="9"/>
      <c r="S144" s="9"/>
      <c r="T144" s="9"/>
      <c r="U144" s="9"/>
      <c r="V144" s="9"/>
      <c r="W144" s="9"/>
      <c r="X144" s="9"/>
      <c r="Y144" s="9" t="s">
        <v>991</v>
      </c>
      <c r="Z144" s="9" t="s">
        <v>451</v>
      </c>
      <c r="AA144" s="9" t="s">
        <v>992</v>
      </c>
      <c r="AB144" s="9" t="s">
        <v>47</v>
      </c>
      <c r="AC144" s="9"/>
      <c r="AD144" s="9" t="b">
        <v>0</v>
      </c>
      <c r="AE144" s="9"/>
      <c r="AF144" s="9"/>
      <c r="AG144" s="12">
        <f t="shared" si="2"/>
        <v>43279</v>
      </c>
    </row>
    <row r="145" spans="1:33">
      <c r="A145" s="9" t="s">
        <v>993</v>
      </c>
      <c r="B145" s="9" t="s">
        <v>993</v>
      </c>
      <c r="C145" s="9" t="s">
        <v>994</v>
      </c>
      <c r="D145" s="9" t="s">
        <v>995</v>
      </c>
      <c r="E145" s="9" t="s">
        <v>36</v>
      </c>
      <c r="F145" s="9" t="s">
        <v>37</v>
      </c>
      <c r="G145" s="9" t="s">
        <v>38</v>
      </c>
      <c r="H145" s="9"/>
      <c r="I145" s="9"/>
      <c r="J145" s="9" t="s">
        <v>39</v>
      </c>
      <c r="K145" s="9" t="s">
        <v>310</v>
      </c>
      <c r="L145" s="9" t="s">
        <v>311</v>
      </c>
      <c r="M145" s="9" t="s">
        <v>312</v>
      </c>
      <c r="N145" s="9" t="s">
        <v>36</v>
      </c>
      <c r="O145" s="9">
        <v>1</v>
      </c>
      <c r="P145" s="9" t="s">
        <v>43</v>
      </c>
      <c r="Q145" s="9">
        <v>42.99</v>
      </c>
      <c r="R145" s="9"/>
      <c r="S145" s="9"/>
      <c r="T145" s="9"/>
      <c r="U145" s="9"/>
      <c r="V145" s="9"/>
      <c r="W145" s="9"/>
      <c r="X145" s="9"/>
      <c r="Y145" s="9" t="s">
        <v>996</v>
      </c>
      <c r="Z145" s="9" t="s">
        <v>827</v>
      </c>
      <c r="AA145" s="9">
        <v>92708</v>
      </c>
      <c r="AB145" s="9" t="s">
        <v>47</v>
      </c>
      <c r="AC145" s="9"/>
      <c r="AD145" s="9" t="b">
        <v>0</v>
      </c>
      <c r="AE145" s="9"/>
      <c r="AF145" s="9"/>
      <c r="AG145" s="12">
        <f t="shared" si="2"/>
        <v>43279</v>
      </c>
    </row>
    <row r="146" spans="1:33">
      <c r="A146" s="9" t="s">
        <v>997</v>
      </c>
      <c r="B146" s="9" t="s">
        <v>997</v>
      </c>
      <c r="C146" s="9" t="s">
        <v>998</v>
      </c>
      <c r="D146" s="9" t="s">
        <v>999</v>
      </c>
      <c r="E146" s="9" t="s">
        <v>36</v>
      </c>
      <c r="F146" s="9" t="s">
        <v>37</v>
      </c>
      <c r="G146" s="9" t="s">
        <v>38</v>
      </c>
      <c r="H146" s="9"/>
      <c r="I146" s="9"/>
      <c r="J146" s="9" t="s">
        <v>39</v>
      </c>
      <c r="K146" s="9" t="s">
        <v>914</v>
      </c>
      <c r="L146" s="9" t="s">
        <v>915</v>
      </c>
      <c r="M146" s="9" t="s">
        <v>916</v>
      </c>
      <c r="N146" s="9" t="s">
        <v>36</v>
      </c>
      <c r="O146" s="9">
        <v>1</v>
      </c>
      <c r="P146" s="9" t="s">
        <v>43</v>
      </c>
      <c r="Q146" s="9">
        <v>22.99</v>
      </c>
      <c r="R146" s="9"/>
      <c r="S146" s="9"/>
      <c r="T146" s="9"/>
      <c r="U146" s="9"/>
      <c r="V146" s="9"/>
      <c r="W146" s="9"/>
      <c r="X146" s="9"/>
      <c r="Y146" s="9" t="s">
        <v>1000</v>
      </c>
      <c r="Z146" s="9" t="s">
        <v>160</v>
      </c>
      <c r="AA146" s="9" t="s">
        <v>1001</v>
      </c>
      <c r="AB146" s="9" t="s">
        <v>47</v>
      </c>
      <c r="AC146" s="9"/>
      <c r="AD146" s="9" t="b">
        <v>0</v>
      </c>
      <c r="AE146" s="9"/>
      <c r="AF146" s="9"/>
      <c r="AG146" s="12">
        <f t="shared" si="2"/>
        <v>43279</v>
      </c>
    </row>
    <row r="147" spans="1:33">
      <c r="A147" s="9" t="s">
        <v>1002</v>
      </c>
      <c r="B147" s="9" t="s">
        <v>1002</v>
      </c>
      <c r="C147" s="9" t="s">
        <v>1003</v>
      </c>
      <c r="D147" s="9" t="s">
        <v>1004</v>
      </c>
      <c r="E147" s="9" t="s">
        <v>36</v>
      </c>
      <c r="F147" s="9" t="s">
        <v>37</v>
      </c>
      <c r="G147" s="9" t="s">
        <v>38</v>
      </c>
      <c r="H147" s="9"/>
      <c r="I147" s="9"/>
      <c r="J147" s="9" t="s">
        <v>72</v>
      </c>
      <c r="K147" s="9" t="s">
        <v>1005</v>
      </c>
      <c r="L147" s="9" t="s">
        <v>1006</v>
      </c>
      <c r="M147" s="9" t="s">
        <v>1007</v>
      </c>
      <c r="N147" s="9" t="s">
        <v>36</v>
      </c>
      <c r="O147" s="9">
        <v>2</v>
      </c>
      <c r="P147" s="9" t="s">
        <v>43</v>
      </c>
      <c r="Q147" s="9">
        <v>13.98</v>
      </c>
      <c r="R147" s="9"/>
      <c r="S147" s="9">
        <v>5.99</v>
      </c>
      <c r="T147" s="9"/>
      <c r="U147" s="9"/>
      <c r="V147" s="9"/>
      <c r="W147" s="9"/>
      <c r="X147" s="9"/>
      <c r="Y147" s="9" t="s">
        <v>1008</v>
      </c>
      <c r="Z147" s="9" t="s">
        <v>77</v>
      </c>
      <c r="AA147" s="9" t="s">
        <v>1009</v>
      </c>
      <c r="AB147" s="9" t="s">
        <v>47</v>
      </c>
      <c r="AC147" s="9"/>
      <c r="AD147" s="9" t="b">
        <v>0</v>
      </c>
      <c r="AE147" s="9"/>
      <c r="AF147" s="9"/>
      <c r="AG147" s="12">
        <f t="shared" si="2"/>
        <v>43279</v>
      </c>
    </row>
    <row r="148" spans="1:33">
      <c r="A148" s="9" t="s">
        <v>1010</v>
      </c>
      <c r="B148" s="9" t="s">
        <v>1010</v>
      </c>
      <c r="C148" s="9" t="s">
        <v>1011</v>
      </c>
      <c r="D148" s="9" t="s">
        <v>1012</v>
      </c>
      <c r="E148" s="9" t="s">
        <v>36</v>
      </c>
      <c r="F148" s="9" t="s">
        <v>37</v>
      </c>
      <c r="G148" s="9" t="s">
        <v>38</v>
      </c>
      <c r="H148" s="9"/>
      <c r="I148" s="9"/>
      <c r="J148" s="9" t="s">
        <v>39</v>
      </c>
      <c r="K148" s="9" t="s">
        <v>1013</v>
      </c>
      <c r="L148" s="9" t="s">
        <v>1014</v>
      </c>
      <c r="M148" s="9" t="s">
        <v>1015</v>
      </c>
      <c r="N148" s="9" t="s">
        <v>36</v>
      </c>
      <c r="O148" s="9">
        <v>1</v>
      </c>
      <c r="P148" s="9" t="s">
        <v>43</v>
      </c>
      <c r="Q148" s="9">
        <v>13.9</v>
      </c>
      <c r="R148" s="9"/>
      <c r="S148" s="9"/>
      <c r="T148" s="9"/>
      <c r="U148" s="9"/>
      <c r="V148" s="9"/>
      <c r="W148" s="9"/>
      <c r="X148" s="9"/>
      <c r="Y148" s="9" t="s">
        <v>1016</v>
      </c>
      <c r="Z148" s="9" t="s">
        <v>77</v>
      </c>
      <c r="AA148" s="9" t="s">
        <v>1017</v>
      </c>
      <c r="AB148" s="9" t="s">
        <v>47</v>
      </c>
      <c r="AC148" s="9"/>
      <c r="AD148" s="9" t="b">
        <v>0</v>
      </c>
      <c r="AE148" s="9"/>
      <c r="AF148" s="9"/>
      <c r="AG148" s="12">
        <f t="shared" si="2"/>
        <v>43279</v>
      </c>
    </row>
    <row r="149" spans="1:33">
      <c r="A149" s="9" t="s">
        <v>1010</v>
      </c>
      <c r="B149" s="9" t="s">
        <v>1010</v>
      </c>
      <c r="C149" s="9" t="s">
        <v>1011</v>
      </c>
      <c r="D149" s="9" t="s">
        <v>1012</v>
      </c>
      <c r="E149" s="9" t="s">
        <v>36</v>
      </c>
      <c r="F149" s="9" t="s">
        <v>37</v>
      </c>
      <c r="G149" s="9" t="s">
        <v>38</v>
      </c>
      <c r="H149" s="9"/>
      <c r="I149" s="9"/>
      <c r="J149" s="9" t="s">
        <v>39</v>
      </c>
      <c r="K149" s="9" t="s">
        <v>715</v>
      </c>
      <c r="L149" s="9" t="s">
        <v>716</v>
      </c>
      <c r="M149" s="9" t="s">
        <v>717</v>
      </c>
      <c r="N149" s="9" t="s">
        <v>36</v>
      </c>
      <c r="O149" s="9">
        <v>1</v>
      </c>
      <c r="P149" s="9" t="s">
        <v>43</v>
      </c>
      <c r="Q149" s="9">
        <v>13.9</v>
      </c>
      <c r="R149" s="9"/>
      <c r="S149" s="9"/>
      <c r="T149" s="9"/>
      <c r="U149" s="9"/>
      <c r="V149" s="9"/>
      <c r="W149" s="9"/>
      <c r="X149" s="9"/>
      <c r="Y149" s="9" t="s">
        <v>1016</v>
      </c>
      <c r="Z149" s="9" t="s">
        <v>77</v>
      </c>
      <c r="AA149" s="9" t="s">
        <v>1017</v>
      </c>
      <c r="AB149" s="9" t="s">
        <v>47</v>
      </c>
      <c r="AC149" s="9"/>
      <c r="AD149" s="9" t="b">
        <v>0</v>
      </c>
      <c r="AE149" s="9"/>
      <c r="AF149" s="9"/>
      <c r="AG149" s="12">
        <f t="shared" si="2"/>
        <v>43279</v>
      </c>
    </row>
    <row r="150" spans="1:33">
      <c r="A150" s="9" t="s">
        <v>1018</v>
      </c>
      <c r="B150" s="9" t="s">
        <v>1018</v>
      </c>
      <c r="C150" s="9" t="s">
        <v>1019</v>
      </c>
      <c r="D150" s="9" t="s">
        <v>1020</v>
      </c>
      <c r="E150" s="9" t="s">
        <v>36</v>
      </c>
      <c r="F150" s="9" t="s">
        <v>37</v>
      </c>
      <c r="G150" s="9" t="s">
        <v>38</v>
      </c>
      <c r="H150" s="9"/>
      <c r="I150" s="9"/>
      <c r="J150" s="9" t="s">
        <v>72</v>
      </c>
      <c r="K150" s="9" t="s">
        <v>777</v>
      </c>
      <c r="L150" s="9" t="s">
        <v>778</v>
      </c>
      <c r="M150" s="9" t="s">
        <v>779</v>
      </c>
      <c r="N150" s="9" t="s">
        <v>36</v>
      </c>
      <c r="O150" s="9">
        <v>1</v>
      </c>
      <c r="P150" s="9" t="s">
        <v>43</v>
      </c>
      <c r="Q150" s="9">
        <v>12.99</v>
      </c>
      <c r="R150" s="9"/>
      <c r="S150" s="9"/>
      <c r="T150" s="9"/>
      <c r="U150" s="9"/>
      <c r="V150" s="9"/>
      <c r="W150" s="9"/>
      <c r="X150" s="9"/>
      <c r="Y150" s="9" t="s">
        <v>941</v>
      </c>
      <c r="Z150" s="9" t="s">
        <v>327</v>
      </c>
      <c r="AA150" s="9" t="s">
        <v>942</v>
      </c>
      <c r="AB150" s="9" t="s">
        <v>47</v>
      </c>
      <c r="AC150" s="9"/>
      <c r="AD150" s="9" t="b">
        <v>0</v>
      </c>
      <c r="AE150" s="9"/>
      <c r="AF150" s="9"/>
      <c r="AG150" s="12">
        <f t="shared" si="2"/>
        <v>43279</v>
      </c>
    </row>
    <row r="151" spans="1:33">
      <c r="A151" s="9" t="s">
        <v>1021</v>
      </c>
      <c r="B151" s="9" t="s">
        <v>1021</v>
      </c>
      <c r="C151" s="9" t="s">
        <v>1022</v>
      </c>
      <c r="D151" s="9" t="s">
        <v>1023</v>
      </c>
      <c r="E151" s="9" t="s">
        <v>36</v>
      </c>
      <c r="F151" s="9" t="s">
        <v>37</v>
      </c>
      <c r="G151" s="9" t="s">
        <v>38</v>
      </c>
      <c r="H151" s="9"/>
      <c r="I151" s="9"/>
      <c r="J151" s="9" t="s">
        <v>103</v>
      </c>
      <c r="K151" s="9" t="s">
        <v>850</v>
      </c>
      <c r="L151" s="9" t="s">
        <v>190</v>
      </c>
      <c r="M151" s="9" t="s">
        <v>191</v>
      </c>
      <c r="N151" s="9" t="s">
        <v>36</v>
      </c>
      <c r="O151" s="9">
        <v>1</v>
      </c>
      <c r="P151" s="9" t="s">
        <v>43</v>
      </c>
      <c r="Q151" s="9">
        <v>9.99</v>
      </c>
      <c r="R151" s="9"/>
      <c r="S151" s="9">
        <v>3.99</v>
      </c>
      <c r="T151" s="9"/>
      <c r="U151" s="9"/>
      <c r="V151" s="9"/>
      <c r="W151" s="9"/>
      <c r="X151" s="9"/>
      <c r="Y151" s="9" t="s">
        <v>1024</v>
      </c>
      <c r="Z151" s="9" t="s">
        <v>64</v>
      </c>
      <c r="AA151" s="9">
        <v>32068</v>
      </c>
      <c r="AB151" s="9" t="s">
        <v>47</v>
      </c>
      <c r="AC151" s="9"/>
      <c r="AD151" s="9" t="b">
        <v>0</v>
      </c>
      <c r="AE151" s="9"/>
      <c r="AF151" s="9"/>
      <c r="AG151" s="12">
        <f t="shared" si="2"/>
        <v>43279</v>
      </c>
    </row>
    <row r="152" spans="1:33">
      <c r="A152" s="9" t="s">
        <v>1025</v>
      </c>
      <c r="B152" s="9" t="s">
        <v>1025</v>
      </c>
      <c r="C152" s="9" t="s">
        <v>1026</v>
      </c>
      <c r="D152" s="9" t="s">
        <v>1027</v>
      </c>
      <c r="E152" s="9" t="s">
        <v>36</v>
      </c>
      <c r="F152" s="9" t="s">
        <v>37</v>
      </c>
      <c r="G152" s="9" t="s">
        <v>38</v>
      </c>
      <c r="H152" s="9"/>
      <c r="I152" s="9"/>
      <c r="J152" s="9" t="s">
        <v>39</v>
      </c>
      <c r="K152" s="9" t="s">
        <v>148</v>
      </c>
      <c r="L152" s="9" t="s">
        <v>149</v>
      </c>
      <c r="M152" s="9" t="s">
        <v>150</v>
      </c>
      <c r="N152" s="9" t="s">
        <v>36</v>
      </c>
      <c r="O152" s="9">
        <v>1</v>
      </c>
      <c r="P152" s="9" t="s">
        <v>43</v>
      </c>
      <c r="Q152" s="9">
        <v>18.99</v>
      </c>
      <c r="R152" s="9"/>
      <c r="S152" s="9"/>
      <c r="T152" s="9"/>
      <c r="U152" s="9"/>
      <c r="V152" s="9"/>
      <c r="W152" s="9"/>
      <c r="X152" s="9"/>
      <c r="Y152" s="9" t="s">
        <v>1028</v>
      </c>
      <c r="Z152" s="9" t="s">
        <v>327</v>
      </c>
      <c r="AA152" s="9" t="s">
        <v>1029</v>
      </c>
      <c r="AB152" s="9" t="s">
        <v>47</v>
      </c>
      <c r="AC152" s="9"/>
      <c r="AD152" s="9" t="b">
        <v>0</v>
      </c>
      <c r="AE152" s="9"/>
      <c r="AF152" s="9"/>
      <c r="AG152" s="12">
        <f t="shared" si="2"/>
        <v>43279</v>
      </c>
    </row>
    <row r="153" spans="1:33">
      <c r="A153" s="9" t="s">
        <v>1030</v>
      </c>
      <c r="B153" s="9" t="s">
        <v>1030</v>
      </c>
      <c r="C153" s="9" t="s">
        <v>1031</v>
      </c>
      <c r="D153" s="9" t="s">
        <v>1032</v>
      </c>
      <c r="E153" s="9" t="s">
        <v>36</v>
      </c>
      <c r="F153" s="9" t="s">
        <v>37</v>
      </c>
      <c r="G153" s="9" t="s">
        <v>38</v>
      </c>
      <c r="H153" s="9"/>
      <c r="I153" s="9"/>
      <c r="J153" s="9" t="s">
        <v>39</v>
      </c>
      <c r="K153" s="9" t="s">
        <v>1033</v>
      </c>
      <c r="L153" s="9" t="s">
        <v>1034</v>
      </c>
      <c r="M153" s="9" t="s">
        <v>1035</v>
      </c>
      <c r="N153" s="9" t="s">
        <v>36</v>
      </c>
      <c r="O153" s="9">
        <v>1</v>
      </c>
      <c r="P153" s="9" t="s">
        <v>43</v>
      </c>
      <c r="Q153" s="9">
        <v>5.27</v>
      </c>
      <c r="R153" s="9"/>
      <c r="S153" s="9"/>
      <c r="T153" s="9"/>
      <c r="U153" s="9"/>
      <c r="V153" s="9"/>
      <c r="W153" s="9"/>
      <c r="X153" s="9"/>
      <c r="Y153" s="9" t="s">
        <v>1036</v>
      </c>
      <c r="Z153" s="9" t="s">
        <v>327</v>
      </c>
      <c r="AA153" s="9" t="s">
        <v>1037</v>
      </c>
      <c r="AB153" s="9" t="s">
        <v>47</v>
      </c>
      <c r="AC153" s="9"/>
      <c r="AD153" s="9" t="b">
        <v>0</v>
      </c>
      <c r="AE153" s="9"/>
      <c r="AF153" s="9"/>
      <c r="AG153" s="12">
        <f t="shared" si="2"/>
        <v>43280</v>
      </c>
    </row>
    <row r="154" spans="1:33">
      <c r="A154" s="9" t="s">
        <v>1038</v>
      </c>
      <c r="B154" s="9" t="s">
        <v>1038</v>
      </c>
      <c r="C154" s="9" t="s">
        <v>1039</v>
      </c>
      <c r="D154" s="9" t="s">
        <v>1040</v>
      </c>
      <c r="E154" s="9" t="s">
        <v>36</v>
      </c>
      <c r="F154" s="9" t="s">
        <v>37</v>
      </c>
      <c r="G154" s="9" t="s">
        <v>38</v>
      </c>
      <c r="H154" s="9"/>
      <c r="I154" s="9"/>
      <c r="J154" s="9" t="s">
        <v>39</v>
      </c>
      <c r="K154" s="9" t="s">
        <v>850</v>
      </c>
      <c r="L154" s="9" t="s">
        <v>190</v>
      </c>
      <c r="M154" s="9" t="s">
        <v>191</v>
      </c>
      <c r="N154" s="9" t="s">
        <v>36</v>
      </c>
      <c r="O154" s="9">
        <v>1</v>
      </c>
      <c r="P154" s="9" t="s">
        <v>43</v>
      </c>
      <c r="Q154" s="9">
        <v>9.99</v>
      </c>
      <c r="R154" s="9"/>
      <c r="S154" s="9"/>
      <c r="T154" s="9"/>
      <c r="U154" s="9"/>
      <c r="V154" s="9"/>
      <c r="W154" s="9"/>
      <c r="X154" s="9"/>
      <c r="Y154" s="9" t="s">
        <v>1041</v>
      </c>
      <c r="Z154" s="9" t="s">
        <v>368</v>
      </c>
      <c r="AA154" s="9" t="s">
        <v>1042</v>
      </c>
      <c r="AB154" s="9" t="s">
        <v>47</v>
      </c>
      <c r="AC154" s="9"/>
      <c r="AD154" s="9" t="b">
        <v>0</v>
      </c>
      <c r="AE154" s="9"/>
      <c r="AF154" s="9"/>
      <c r="AG154" s="12">
        <f t="shared" si="2"/>
        <v>43280</v>
      </c>
    </row>
    <row r="155" spans="1:33">
      <c r="A155" s="9" t="s">
        <v>1043</v>
      </c>
      <c r="B155" s="9" t="s">
        <v>1043</v>
      </c>
      <c r="C155" s="9" t="s">
        <v>1044</v>
      </c>
      <c r="D155" s="9" t="s">
        <v>1045</v>
      </c>
      <c r="E155" s="9" t="s">
        <v>36</v>
      </c>
      <c r="F155" s="9" t="s">
        <v>37</v>
      </c>
      <c r="G155" s="9" t="s">
        <v>38</v>
      </c>
      <c r="H155" s="9"/>
      <c r="I155" s="9"/>
      <c r="J155" s="9" t="s">
        <v>39</v>
      </c>
      <c r="K155" s="9" t="s">
        <v>699</v>
      </c>
      <c r="L155" s="9" t="s">
        <v>318</v>
      </c>
      <c r="M155" s="9" t="s">
        <v>319</v>
      </c>
      <c r="N155" s="9" t="s">
        <v>36</v>
      </c>
      <c r="O155" s="9">
        <v>1</v>
      </c>
      <c r="P155" s="9" t="s">
        <v>43</v>
      </c>
      <c r="Q155" s="9">
        <v>22.99</v>
      </c>
      <c r="R155" s="9"/>
      <c r="S155" s="9"/>
      <c r="T155" s="9"/>
      <c r="U155" s="9"/>
      <c r="V155" s="9"/>
      <c r="W155" s="9"/>
      <c r="X155" s="9"/>
      <c r="Y155" s="9" t="s">
        <v>1046</v>
      </c>
      <c r="Z155" s="9" t="s">
        <v>528</v>
      </c>
      <c r="AA155" s="9" t="s">
        <v>1047</v>
      </c>
      <c r="AB155" s="9" t="s">
        <v>47</v>
      </c>
      <c r="AC155" s="9"/>
      <c r="AD155" s="9" t="b">
        <v>0</v>
      </c>
      <c r="AE155" s="9"/>
      <c r="AF155" s="9"/>
      <c r="AG155" s="12">
        <f t="shared" si="2"/>
        <v>43280</v>
      </c>
    </row>
    <row r="156" spans="1:33">
      <c r="A156" s="9" t="s">
        <v>1048</v>
      </c>
      <c r="B156" s="9" t="s">
        <v>1048</v>
      </c>
      <c r="C156" s="9" t="s">
        <v>1049</v>
      </c>
      <c r="D156" s="9" t="s">
        <v>1050</v>
      </c>
      <c r="E156" s="9" t="s">
        <v>36</v>
      </c>
      <c r="F156" s="9" t="s">
        <v>37</v>
      </c>
      <c r="G156" s="9" t="s">
        <v>38</v>
      </c>
      <c r="H156" s="9"/>
      <c r="I156" s="9"/>
      <c r="J156" s="9" t="s">
        <v>39</v>
      </c>
      <c r="K156" s="9" t="s">
        <v>1051</v>
      </c>
      <c r="L156" s="9" t="s">
        <v>1052</v>
      </c>
      <c r="M156" s="9" t="s">
        <v>1053</v>
      </c>
      <c r="N156" s="9" t="s">
        <v>36</v>
      </c>
      <c r="O156" s="9">
        <v>1</v>
      </c>
      <c r="P156" s="9" t="s">
        <v>43</v>
      </c>
      <c r="Q156" s="9">
        <v>6.99</v>
      </c>
      <c r="R156" s="9"/>
      <c r="S156" s="9"/>
      <c r="T156" s="9"/>
      <c r="U156" s="9"/>
      <c r="V156" s="9"/>
      <c r="W156" s="9"/>
      <c r="X156" s="9"/>
      <c r="Y156" s="9" t="s">
        <v>1054</v>
      </c>
      <c r="Z156" s="9" t="s">
        <v>1055</v>
      </c>
      <c r="AA156" s="9" t="s">
        <v>1056</v>
      </c>
      <c r="AB156" s="9" t="s">
        <v>47</v>
      </c>
      <c r="AC156" s="9"/>
      <c r="AD156" s="9" t="b">
        <v>0</v>
      </c>
      <c r="AE156" s="9"/>
      <c r="AF156" s="9"/>
      <c r="AG156" s="12">
        <f t="shared" si="2"/>
        <v>43280</v>
      </c>
    </row>
    <row r="157" spans="1:33">
      <c r="A157" s="9" t="s">
        <v>1057</v>
      </c>
      <c r="B157" s="9" t="s">
        <v>1057</v>
      </c>
      <c r="C157" s="9" t="s">
        <v>1058</v>
      </c>
      <c r="D157" s="9" t="s">
        <v>1059</v>
      </c>
      <c r="E157" s="9" t="s">
        <v>36</v>
      </c>
      <c r="F157" s="9" t="s">
        <v>37</v>
      </c>
      <c r="G157" s="9" t="s">
        <v>38</v>
      </c>
      <c r="H157" s="9"/>
      <c r="I157" s="9"/>
      <c r="J157" s="9" t="s">
        <v>39</v>
      </c>
      <c r="K157" s="9" t="s">
        <v>240</v>
      </c>
      <c r="L157" s="9" t="s">
        <v>241</v>
      </c>
      <c r="M157" s="9" t="s">
        <v>242</v>
      </c>
      <c r="N157" s="9" t="s">
        <v>36</v>
      </c>
      <c r="O157" s="9">
        <v>1</v>
      </c>
      <c r="P157" s="9" t="s">
        <v>43</v>
      </c>
      <c r="Q157" s="9">
        <v>18.99</v>
      </c>
      <c r="R157" s="9"/>
      <c r="S157" s="9"/>
      <c r="T157" s="9"/>
      <c r="U157" s="9"/>
      <c r="V157" s="9"/>
      <c r="W157" s="9"/>
      <c r="X157" s="9"/>
      <c r="Y157" s="9" t="s">
        <v>1060</v>
      </c>
      <c r="Z157" s="9" t="s">
        <v>693</v>
      </c>
      <c r="AA157" s="9" t="s">
        <v>1061</v>
      </c>
      <c r="AB157" s="9" t="s">
        <v>47</v>
      </c>
      <c r="AC157" s="9"/>
      <c r="AD157" s="9" t="b">
        <v>0</v>
      </c>
      <c r="AE157" s="9"/>
      <c r="AF157" s="9"/>
      <c r="AG157" s="12">
        <f t="shared" si="2"/>
        <v>43280</v>
      </c>
    </row>
    <row r="158" spans="1:33">
      <c r="A158" s="9" t="s">
        <v>1062</v>
      </c>
      <c r="B158" s="9" t="s">
        <v>1062</v>
      </c>
      <c r="C158" s="9" t="s">
        <v>1063</v>
      </c>
      <c r="D158" s="9" t="s">
        <v>1064</v>
      </c>
      <c r="E158" s="9" t="s">
        <v>36</v>
      </c>
      <c r="F158" s="9" t="s">
        <v>37</v>
      </c>
      <c r="G158" s="9" t="s">
        <v>38</v>
      </c>
      <c r="H158" s="9"/>
      <c r="I158" s="9"/>
      <c r="J158" s="9" t="s">
        <v>39</v>
      </c>
      <c r="K158" s="9" t="s">
        <v>1065</v>
      </c>
      <c r="L158" s="9" t="s">
        <v>1066</v>
      </c>
      <c r="M158" s="9" t="s">
        <v>1067</v>
      </c>
      <c r="N158" s="9" t="s">
        <v>36</v>
      </c>
      <c r="O158" s="9">
        <v>1</v>
      </c>
      <c r="P158" s="9" t="s">
        <v>43</v>
      </c>
      <c r="Q158" s="9">
        <v>7.99</v>
      </c>
      <c r="R158" s="9"/>
      <c r="S158" s="9"/>
      <c r="T158" s="9"/>
      <c r="U158" s="9"/>
      <c r="V158" s="9"/>
      <c r="W158" s="9"/>
      <c r="X158" s="9"/>
      <c r="Y158" s="9" t="s">
        <v>1068</v>
      </c>
      <c r="Z158" s="9" t="s">
        <v>1069</v>
      </c>
      <c r="AA158" s="9">
        <v>46902</v>
      </c>
      <c r="AB158" s="9" t="s">
        <v>47</v>
      </c>
      <c r="AC158" s="9"/>
      <c r="AD158" s="9" t="b">
        <v>0</v>
      </c>
      <c r="AE158" s="9"/>
      <c r="AF158" s="9"/>
      <c r="AG158" s="12">
        <f t="shared" si="2"/>
        <v>43280</v>
      </c>
    </row>
    <row r="159" spans="1:33">
      <c r="A159" s="9" t="s">
        <v>1070</v>
      </c>
      <c r="B159" s="9" t="s">
        <v>1070</v>
      </c>
      <c r="C159" s="9" t="s">
        <v>1071</v>
      </c>
      <c r="D159" s="9" t="s">
        <v>1072</v>
      </c>
      <c r="E159" s="9" t="s">
        <v>36</v>
      </c>
      <c r="F159" s="9" t="s">
        <v>37</v>
      </c>
      <c r="G159" s="9" t="s">
        <v>38</v>
      </c>
      <c r="H159" s="9"/>
      <c r="I159" s="9"/>
      <c r="J159" s="9" t="s">
        <v>39</v>
      </c>
      <c r="K159" s="9" t="s">
        <v>1073</v>
      </c>
      <c r="L159" s="9" t="s">
        <v>571</v>
      </c>
      <c r="M159" s="9" t="s">
        <v>572</v>
      </c>
      <c r="N159" s="9" t="s">
        <v>36</v>
      </c>
      <c r="O159" s="9">
        <v>1</v>
      </c>
      <c r="P159" s="9" t="s">
        <v>43</v>
      </c>
      <c r="Q159" s="9">
        <v>8.86</v>
      </c>
      <c r="R159" s="9"/>
      <c r="S159" s="9"/>
      <c r="T159" s="9"/>
      <c r="U159" s="9"/>
      <c r="V159" s="9"/>
      <c r="W159" s="9"/>
      <c r="X159" s="9"/>
      <c r="Y159" s="9" t="s">
        <v>1074</v>
      </c>
      <c r="Z159" s="9" t="s">
        <v>252</v>
      </c>
      <c r="AA159" s="9" t="s">
        <v>1075</v>
      </c>
      <c r="AB159" s="9" t="s">
        <v>47</v>
      </c>
      <c r="AC159" s="9"/>
      <c r="AD159" s="9" t="b">
        <v>0</v>
      </c>
      <c r="AE159" s="9"/>
      <c r="AF159" s="9"/>
      <c r="AG159" s="12">
        <f t="shared" si="2"/>
        <v>43280</v>
      </c>
    </row>
    <row r="160" spans="1:33">
      <c r="A160" s="9" t="s">
        <v>1076</v>
      </c>
      <c r="B160" s="9" t="s">
        <v>1076</v>
      </c>
      <c r="C160" s="9" t="s">
        <v>1077</v>
      </c>
      <c r="D160" s="9" t="s">
        <v>1078</v>
      </c>
      <c r="E160" s="9" t="s">
        <v>36</v>
      </c>
      <c r="F160" s="9" t="s">
        <v>37</v>
      </c>
      <c r="G160" s="9" t="s">
        <v>38</v>
      </c>
      <c r="H160" s="9"/>
      <c r="I160" s="9"/>
      <c r="J160" s="9" t="s">
        <v>540</v>
      </c>
      <c r="K160" s="9" t="s">
        <v>1079</v>
      </c>
      <c r="L160" s="9" t="s">
        <v>74</v>
      </c>
      <c r="M160" s="9" t="s">
        <v>75</v>
      </c>
      <c r="N160" s="9" t="s">
        <v>36</v>
      </c>
      <c r="O160" s="9">
        <v>1</v>
      </c>
      <c r="P160" s="9" t="s">
        <v>43</v>
      </c>
      <c r="Q160" s="9">
        <v>9.99</v>
      </c>
      <c r="R160" s="9"/>
      <c r="S160" s="9"/>
      <c r="T160" s="9"/>
      <c r="U160" s="9"/>
      <c r="V160" s="9"/>
      <c r="W160" s="9"/>
      <c r="X160" s="9"/>
      <c r="Y160" s="9" t="s">
        <v>1080</v>
      </c>
      <c r="Z160" s="9" t="s">
        <v>45</v>
      </c>
      <c r="AA160" s="9" t="s">
        <v>1081</v>
      </c>
      <c r="AB160" s="9" t="s">
        <v>47</v>
      </c>
      <c r="AC160" s="9"/>
      <c r="AD160" s="9" t="b">
        <v>0</v>
      </c>
      <c r="AE160" s="9"/>
      <c r="AF160" s="9"/>
      <c r="AG160" s="12">
        <f t="shared" si="2"/>
        <v>43281</v>
      </c>
    </row>
    <row r="161" spans="1:33">
      <c r="A161" s="9" t="s">
        <v>1076</v>
      </c>
      <c r="B161" s="9" t="s">
        <v>1076</v>
      </c>
      <c r="C161" s="9" t="s">
        <v>1077</v>
      </c>
      <c r="D161" s="9" t="s">
        <v>1078</v>
      </c>
      <c r="E161" s="9" t="s">
        <v>36</v>
      </c>
      <c r="F161" s="9" t="s">
        <v>37</v>
      </c>
      <c r="G161" s="9" t="s">
        <v>38</v>
      </c>
      <c r="H161" s="9"/>
      <c r="I161" s="9"/>
      <c r="J161" s="9" t="s">
        <v>540</v>
      </c>
      <c r="K161" s="9" t="s">
        <v>1082</v>
      </c>
      <c r="L161" s="9" t="s">
        <v>67</v>
      </c>
      <c r="M161" s="9" t="s">
        <v>68</v>
      </c>
      <c r="N161" s="9" t="s">
        <v>36</v>
      </c>
      <c r="O161" s="9">
        <v>1</v>
      </c>
      <c r="P161" s="9" t="s">
        <v>43</v>
      </c>
      <c r="Q161" s="9">
        <v>7.8</v>
      </c>
      <c r="R161" s="9"/>
      <c r="S161" s="9"/>
      <c r="T161" s="9"/>
      <c r="U161" s="9"/>
      <c r="V161" s="9"/>
      <c r="W161" s="9"/>
      <c r="X161" s="9"/>
      <c r="Y161" s="9" t="s">
        <v>1080</v>
      </c>
      <c r="Z161" s="9" t="s">
        <v>45</v>
      </c>
      <c r="AA161" s="9" t="s">
        <v>1081</v>
      </c>
      <c r="AB161" s="9" t="s">
        <v>47</v>
      </c>
      <c r="AC161" s="9"/>
      <c r="AD161" s="9" t="b">
        <v>0</v>
      </c>
      <c r="AE161" s="9"/>
      <c r="AF161" s="9"/>
      <c r="AG161" s="12">
        <f t="shared" si="2"/>
        <v>43281</v>
      </c>
    </row>
    <row r="162" spans="1:33">
      <c r="A162" s="9" t="s">
        <v>1083</v>
      </c>
      <c r="B162" s="9" t="s">
        <v>1083</v>
      </c>
      <c r="C162" s="9" t="s">
        <v>1084</v>
      </c>
      <c r="D162" s="9" t="s">
        <v>1085</v>
      </c>
      <c r="E162" s="9" t="s">
        <v>36</v>
      </c>
      <c r="F162" s="9" t="s">
        <v>37</v>
      </c>
      <c r="G162" s="9" t="s">
        <v>38</v>
      </c>
      <c r="H162" s="9"/>
      <c r="I162" s="9"/>
      <c r="J162" s="9" t="s">
        <v>39</v>
      </c>
      <c r="K162" s="9" t="s">
        <v>1086</v>
      </c>
      <c r="L162" s="9" t="s">
        <v>549</v>
      </c>
      <c r="M162" s="9" t="s">
        <v>550</v>
      </c>
      <c r="N162" s="9" t="s">
        <v>36</v>
      </c>
      <c r="O162" s="9">
        <v>1</v>
      </c>
      <c r="P162" s="9" t="s">
        <v>43</v>
      </c>
      <c r="Q162" s="9">
        <v>7.99</v>
      </c>
      <c r="R162" s="9"/>
      <c r="S162" s="9"/>
      <c r="T162" s="9"/>
      <c r="U162" s="9"/>
      <c r="V162" s="9"/>
      <c r="W162" s="9"/>
      <c r="X162" s="9"/>
      <c r="Y162" s="9" t="s">
        <v>1087</v>
      </c>
      <c r="Z162" s="9" t="s">
        <v>528</v>
      </c>
      <c r="AA162" s="9" t="s">
        <v>1088</v>
      </c>
      <c r="AB162" s="9" t="s">
        <v>47</v>
      </c>
      <c r="AC162" s="9"/>
      <c r="AD162" s="9" t="b">
        <v>0</v>
      </c>
      <c r="AE162" s="9"/>
      <c r="AF162" s="9"/>
      <c r="AG162" s="12">
        <f t="shared" si="2"/>
        <v>43281</v>
      </c>
    </row>
    <row r="163" spans="1:33">
      <c r="A163" s="9" t="s">
        <v>1089</v>
      </c>
      <c r="B163" s="9" t="s">
        <v>1089</v>
      </c>
      <c r="C163" s="9" t="s">
        <v>1090</v>
      </c>
      <c r="D163" s="9" t="s">
        <v>1091</v>
      </c>
      <c r="E163" s="9" t="s">
        <v>36</v>
      </c>
      <c r="F163" s="9" t="s">
        <v>37</v>
      </c>
      <c r="G163" s="9" t="s">
        <v>38</v>
      </c>
      <c r="H163" s="9"/>
      <c r="I163" s="9"/>
      <c r="J163" s="9" t="s">
        <v>540</v>
      </c>
      <c r="K163" s="9" t="s">
        <v>1092</v>
      </c>
      <c r="L163" s="9" t="s">
        <v>1093</v>
      </c>
      <c r="M163" s="9" t="s">
        <v>1094</v>
      </c>
      <c r="N163" s="9" t="s">
        <v>36</v>
      </c>
      <c r="O163" s="9">
        <v>1</v>
      </c>
      <c r="P163" s="9" t="s">
        <v>43</v>
      </c>
      <c r="Q163" s="9">
        <v>9.99</v>
      </c>
      <c r="R163" s="9"/>
      <c r="S163" s="9">
        <v>1.2</v>
      </c>
      <c r="T163" s="9"/>
      <c r="U163" s="9"/>
      <c r="V163" s="9"/>
      <c r="W163" s="9"/>
      <c r="X163" s="9">
        <v>1.2</v>
      </c>
      <c r="Y163" s="9" t="s">
        <v>1095</v>
      </c>
      <c r="Z163" s="9" t="s">
        <v>1096</v>
      </c>
      <c r="AA163" s="9">
        <v>85379</v>
      </c>
      <c r="AB163" s="9" t="s">
        <v>47</v>
      </c>
      <c r="AC163" s="9"/>
      <c r="AD163" s="9" t="b">
        <v>0</v>
      </c>
      <c r="AE163" s="9"/>
      <c r="AF163" s="9"/>
      <c r="AG163" s="12">
        <f t="shared" si="2"/>
        <v>43281</v>
      </c>
    </row>
    <row r="164" spans="1:33">
      <c r="A164" s="9" t="s">
        <v>1097</v>
      </c>
      <c r="B164" s="9" t="s">
        <v>1097</v>
      </c>
      <c r="C164" s="9" t="s">
        <v>1098</v>
      </c>
      <c r="D164" s="9" t="s">
        <v>1099</v>
      </c>
      <c r="E164" s="9" t="s">
        <v>36</v>
      </c>
      <c r="F164" s="9" t="s">
        <v>37</v>
      </c>
      <c r="G164" s="9" t="s">
        <v>38</v>
      </c>
      <c r="H164" s="9"/>
      <c r="I164" s="9"/>
      <c r="J164" s="9" t="s">
        <v>39</v>
      </c>
      <c r="K164" s="9" t="s">
        <v>699</v>
      </c>
      <c r="L164" s="9" t="s">
        <v>318</v>
      </c>
      <c r="M164" s="9" t="s">
        <v>319</v>
      </c>
      <c r="N164" s="9" t="s">
        <v>36</v>
      </c>
      <c r="O164" s="9">
        <v>1</v>
      </c>
      <c r="P164" s="9" t="s">
        <v>43</v>
      </c>
      <c r="Q164" s="9">
        <v>22.99</v>
      </c>
      <c r="R164" s="9"/>
      <c r="S164" s="9"/>
      <c r="T164" s="9"/>
      <c r="U164" s="9"/>
      <c r="V164" s="9"/>
      <c r="W164" s="9"/>
      <c r="X164" s="9"/>
      <c r="Y164" s="9" t="s">
        <v>1100</v>
      </c>
      <c r="Z164" s="9" t="s">
        <v>1101</v>
      </c>
      <c r="AA164" s="9" t="s">
        <v>1102</v>
      </c>
      <c r="AB164" s="9" t="s">
        <v>47</v>
      </c>
      <c r="AC164" s="9"/>
      <c r="AD164" s="9" t="b">
        <v>0</v>
      </c>
      <c r="AE164" s="9"/>
      <c r="AF164" s="9"/>
      <c r="AG164" s="12">
        <f t="shared" si="2"/>
        <v>43281</v>
      </c>
    </row>
    <row r="165" spans="1:33">
      <c r="A165" s="9" t="s">
        <v>1103</v>
      </c>
      <c r="B165" s="9" t="s">
        <v>1103</v>
      </c>
      <c r="C165" s="9" t="s">
        <v>1104</v>
      </c>
      <c r="D165" s="9" t="s">
        <v>1105</v>
      </c>
      <c r="E165" s="9" t="s">
        <v>36</v>
      </c>
      <c r="F165" s="9" t="s">
        <v>37</v>
      </c>
      <c r="G165" s="9" t="s">
        <v>38</v>
      </c>
      <c r="H165" s="9"/>
      <c r="I165" s="9"/>
      <c r="J165" s="9" t="s">
        <v>39</v>
      </c>
      <c r="K165" s="9" t="s">
        <v>699</v>
      </c>
      <c r="L165" s="9" t="s">
        <v>318</v>
      </c>
      <c r="M165" s="9" t="s">
        <v>319</v>
      </c>
      <c r="N165" s="9" t="s">
        <v>36</v>
      </c>
      <c r="O165" s="9">
        <v>1</v>
      </c>
      <c r="P165" s="9" t="s">
        <v>43</v>
      </c>
      <c r="Q165" s="9">
        <v>22.99</v>
      </c>
      <c r="R165" s="9"/>
      <c r="S165" s="9"/>
      <c r="T165" s="9"/>
      <c r="U165" s="9"/>
      <c r="V165" s="9"/>
      <c r="W165" s="9"/>
      <c r="X165" s="9"/>
      <c r="Y165" s="9" t="s">
        <v>1106</v>
      </c>
      <c r="Z165" s="9" t="s">
        <v>368</v>
      </c>
      <c r="AA165" s="9">
        <v>6776</v>
      </c>
      <c r="AB165" s="9" t="s">
        <v>47</v>
      </c>
      <c r="AC165" s="9"/>
      <c r="AD165" s="9" t="b">
        <v>0</v>
      </c>
      <c r="AE165" s="9"/>
      <c r="AF165" s="9"/>
      <c r="AG165" s="12">
        <f t="shared" si="2"/>
        <v>43281</v>
      </c>
    </row>
    <row r="166" spans="1:33">
      <c r="A166" s="9" t="s">
        <v>1107</v>
      </c>
      <c r="B166" s="9" t="s">
        <v>1107</v>
      </c>
      <c r="C166" s="9" t="s">
        <v>1108</v>
      </c>
      <c r="D166" s="9" t="s">
        <v>1109</v>
      </c>
      <c r="E166" s="9" t="s">
        <v>36</v>
      </c>
      <c r="F166" s="9" t="s">
        <v>37</v>
      </c>
      <c r="G166" s="9" t="s">
        <v>38</v>
      </c>
      <c r="H166" s="9"/>
      <c r="I166" s="9"/>
      <c r="J166" s="9" t="s">
        <v>72</v>
      </c>
      <c r="K166" s="9" t="s">
        <v>952</v>
      </c>
      <c r="L166" s="9" t="s">
        <v>953</v>
      </c>
      <c r="M166" s="9" t="s">
        <v>954</v>
      </c>
      <c r="N166" s="9" t="s">
        <v>36</v>
      </c>
      <c r="O166" s="9">
        <v>1</v>
      </c>
      <c r="P166" s="9" t="s">
        <v>43</v>
      </c>
      <c r="Q166" s="9">
        <v>22.9</v>
      </c>
      <c r="R166" s="9"/>
      <c r="S166" s="9">
        <v>3.49</v>
      </c>
      <c r="T166" s="9"/>
      <c r="U166" s="9"/>
      <c r="V166" s="9"/>
      <c r="W166" s="9"/>
      <c r="X166" s="9">
        <v>3.49</v>
      </c>
      <c r="Y166" s="9" t="s">
        <v>1110</v>
      </c>
      <c r="Z166" s="9" t="s">
        <v>160</v>
      </c>
      <c r="AA166" s="9" t="s">
        <v>1111</v>
      </c>
      <c r="AB166" s="9" t="s">
        <v>47</v>
      </c>
      <c r="AC166" s="9" t="s">
        <v>79</v>
      </c>
      <c r="AD166" s="9" t="b">
        <v>0</v>
      </c>
      <c r="AE166" s="9"/>
      <c r="AF166" s="9"/>
      <c r="AG166" s="12">
        <f t="shared" si="2"/>
        <v>43281</v>
      </c>
    </row>
    <row r="167" spans="1:33">
      <c r="A167" s="9" t="s">
        <v>1112</v>
      </c>
      <c r="B167" s="9" t="s">
        <v>1112</v>
      </c>
      <c r="C167" s="9" t="s">
        <v>1113</v>
      </c>
      <c r="D167" s="9" t="s">
        <v>1114</v>
      </c>
      <c r="E167" s="9" t="s">
        <v>36</v>
      </c>
      <c r="F167" s="9" t="s">
        <v>37</v>
      </c>
      <c r="G167" s="9" t="s">
        <v>38</v>
      </c>
      <c r="H167" s="9"/>
      <c r="I167" s="9"/>
      <c r="J167" s="9" t="s">
        <v>39</v>
      </c>
      <c r="K167" s="9" t="s">
        <v>248</v>
      </c>
      <c r="L167" s="9" t="s">
        <v>249</v>
      </c>
      <c r="M167" s="9" t="s">
        <v>250</v>
      </c>
      <c r="N167" s="9" t="s">
        <v>36</v>
      </c>
      <c r="O167" s="9">
        <v>1</v>
      </c>
      <c r="P167" s="9" t="s">
        <v>43</v>
      </c>
      <c r="Q167" s="9">
        <v>9.99</v>
      </c>
      <c r="R167" s="9"/>
      <c r="S167" s="9"/>
      <c r="T167" s="9"/>
      <c r="U167" s="9"/>
      <c r="V167" s="9"/>
      <c r="W167" s="9"/>
      <c r="X167" s="9"/>
      <c r="Y167" s="9" t="s">
        <v>395</v>
      </c>
      <c r="Z167" s="9" t="s">
        <v>176</v>
      </c>
      <c r="AA167" s="9" t="s">
        <v>1115</v>
      </c>
      <c r="AB167" s="9" t="s">
        <v>47</v>
      </c>
      <c r="AC167" s="9"/>
      <c r="AD167" s="9" t="b">
        <v>0</v>
      </c>
      <c r="AE167" s="9"/>
      <c r="AF167" s="9"/>
      <c r="AG167" s="12">
        <f t="shared" si="2"/>
        <v>43281</v>
      </c>
    </row>
    <row r="168" spans="1:33">
      <c r="A168" s="9" t="s">
        <v>1116</v>
      </c>
      <c r="B168" s="9" t="s">
        <v>1116</v>
      </c>
      <c r="C168" s="9" t="s">
        <v>1117</v>
      </c>
      <c r="D168" s="9" t="s">
        <v>1118</v>
      </c>
      <c r="E168" s="9" t="s">
        <v>1119</v>
      </c>
      <c r="F168" s="9" t="s">
        <v>37</v>
      </c>
      <c r="G168" s="9" t="s">
        <v>38</v>
      </c>
      <c r="H168" s="9"/>
      <c r="I168" s="9"/>
      <c r="J168" s="9" t="s">
        <v>39</v>
      </c>
      <c r="K168" s="9" t="s">
        <v>946</v>
      </c>
      <c r="L168" s="9" t="s">
        <v>591</v>
      </c>
      <c r="M168" s="9" t="s">
        <v>592</v>
      </c>
      <c r="N168" s="9" t="s">
        <v>117</v>
      </c>
      <c r="O168" s="9">
        <v>1</v>
      </c>
      <c r="P168" s="9" t="s">
        <v>43</v>
      </c>
      <c r="Q168" s="9">
        <v>5.41</v>
      </c>
      <c r="R168" s="9"/>
      <c r="S168" s="9"/>
      <c r="T168" s="9"/>
      <c r="U168" s="9"/>
      <c r="V168" s="9"/>
      <c r="W168" s="9"/>
      <c r="X168" s="9"/>
      <c r="Y168" s="9" t="s">
        <v>1120</v>
      </c>
      <c r="Z168" s="9" t="s">
        <v>64</v>
      </c>
      <c r="AA168" s="9" t="s">
        <v>1121</v>
      </c>
      <c r="AB168" s="9" t="s">
        <v>47</v>
      </c>
      <c r="AC168" s="9"/>
      <c r="AD168" s="9" t="b">
        <v>0</v>
      </c>
      <c r="AE168" s="9"/>
      <c r="AF168" s="9"/>
      <c r="AG168" s="12">
        <f t="shared" si="2"/>
        <v>43282</v>
      </c>
    </row>
    <row r="169" spans="1:33">
      <c r="A169" s="9" t="s">
        <v>1122</v>
      </c>
      <c r="B169" s="9" t="s">
        <v>1122</v>
      </c>
      <c r="C169" s="9" t="s">
        <v>1123</v>
      </c>
      <c r="D169" s="9" t="s">
        <v>1124</v>
      </c>
      <c r="E169" s="9" t="s">
        <v>36</v>
      </c>
      <c r="F169" s="9" t="s">
        <v>37</v>
      </c>
      <c r="G169" s="9" t="s">
        <v>38</v>
      </c>
      <c r="H169" s="9"/>
      <c r="I169" s="9"/>
      <c r="J169" s="9" t="s">
        <v>39</v>
      </c>
      <c r="K169" s="9" t="s">
        <v>624</v>
      </c>
      <c r="L169" s="9" t="s">
        <v>625</v>
      </c>
      <c r="M169" s="9" t="s">
        <v>626</v>
      </c>
      <c r="N169" s="9" t="s">
        <v>36</v>
      </c>
      <c r="O169" s="9">
        <v>1</v>
      </c>
      <c r="P169" s="9" t="s">
        <v>43</v>
      </c>
      <c r="Q169" s="9">
        <v>16.99</v>
      </c>
      <c r="R169" s="9"/>
      <c r="S169" s="9"/>
      <c r="T169" s="9"/>
      <c r="U169" s="9"/>
      <c r="V169" s="9"/>
      <c r="W169" s="9"/>
      <c r="X169" s="9"/>
      <c r="Y169" s="9" t="s">
        <v>1125</v>
      </c>
      <c r="Z169" s="9" t="s">
        <v>77</v>
      </c>
      <c r="AA169" s="9">
        <v>20171</v>
      </c>
      <c r="AB169" s="9" t="s">
        <v>47</v>
      </c>
      <c r="AC169" s="9"/>
      <c r="AD169" s="9" t="b">
        <v>0</v>
      </c>
      <c r="AE169" s="9"/>
      <c r="AF169" s="9"/>
      <c r="AG169" s="12">
        <f t="shared" si="2"/>
        <v>43282</v>
      </c>
    </row>
    <row r="170" spans="1:33">
      <c r="A170" s="9" t="s">
        <v>1126</v>
      </c>
      <c r="B170" s="9" t="s">
        <v>1126</v>
      </c>
      <c r="C170" s="9" t="s">
        <v>1127</v>
      </c>
      <c r="D170" s="9" t="s">
        <v>1128</v>
      </c>
      <c r="E170" s="9" t="s">
        <v>36</v>
      </c>
      <c r="F170" s="9" t="s">
        <v>37</v>
      </c>
      <c r="G170" s="9" t="s">
        <v>38</v>
      </c>
      <c r="H170" s="9"/>
      <c r="I170" s="9"/>
      <c r="J170" s="9" t="s">
        <v>39</v>
      </c>
      <c r="K170" s="9" t="s">
        <v>148</v>
      </c>
      <c r="L170" s="9" t="s">
        <v>149</v>
      </c>
      <c r="M170" s="9" t="s">
        <v>150</v>
      </c>
      <c r="N170" s="9" t="s">
        <v>36</v>
      </c>
      <c r="O170" s="9">
        <v>1</v>
      </c>
      <c r="P170" s="9" t="s">
        <v>43</v>
      </c>
      <c r="Q170" s="9">
        <v>18.99</v>
      </c>
      <c r="R170" s="9"/>
      <c r="S170" s="9"/>
      <c r="T170" s="9"/>
      <c r="U170" s="9"/>
      <c r="V170" s="9"/>
      <c r="W170" s="9"/>
      <c r="X170" s="9"/>
      <c r="Y170" s="9" t="s">
        <v>1129</v>
      </c>
      <c r="Z170" s="9" t="s">
        <v>160</v>
      </c>
      <c r="AA170" s="9" t="s">
        <v>1130</v>
      </c>
      <c r="AB170" s="9" t="s">
        <v>47</v>
      </c>
      <c r="AC170" s="9"/>
      <c r="AD170" s="9" t="b">
        <v>0</v>
      </c>
      <c r="AE170" s="9"/>
      <c r="AF170" s="9"/>
      <c r="AG170" s="12">
        <f t="shared" si="2"/>
        <v>43282</v>
      </c>
    </row>
    <row r="171" spans="1:33">
      <c r="A171" s="10"/>
      <c r="B171" s="10"/>
      <c r="C171" s="10"/>
      <c r="D171" s="10"/>
      <c r="E171" s="10"/>
      <c r="F171" s="10"/>
      <c r="G171" s="10"/>
      <c r="H171" s="10"/>
      <c r="I171" s="10"/>
      <c r="J171" s="10"/>
      <c r="K171" s="10"/>
      <c r="L171" s="10"/>
      <c r="M171" s="10"/>
      <c r="N171" s="10"/>
      <c r="O171" s="10"/>
      <c r="P171" s="10"/>
      <c r="Q171" s="10"/>
      <c r="R171" s="10"/>
      <c r="S171" s="10"/>
      <c r="T171" s="10"/>
      <c r="U171" s="10"/>
      <c r="V171" s="10"/>
      <c r="W171" s="10"/>
      <c r="X171" s="10"/>
      <c r="Y171" s="10"/>
      <c r="Z171" s="10"/>
      <c r="AA171" s="10"/>
      <c r="AB171" s="10"/>
      <c r="AC171" s="10"/>
      <c r="AD171" s="10"/>
      <c r="AE171" s="10"/>
      <c r="AF171" s="10"/>
      <c r="AG171" s="14"/>
    </row>
    <row r="172" spans="1:33">
      <c r="A172" s="10"/>
      <c r="B172" s="10"/>
      <c r="C172" s="10"/>
      <c r="D172" s="10"/>
      <c r="E172" s="10"/>
      <c r="F172" s="10"/>
      <c r="G172" s="10"/>
      <c r="H172" s="10"/>
      <c r="I172" s="10"/>
      <c r="J172" s="10"/>
      <c r="K172" s="10"/>
      <c r="L172" s="10"/>
      <c r="M172" s="10"/>
      <c r="N172" s="10"/>
      <c r="O172" s="10"/>
      <c r="P172" s="10"/>
      <c r="Q172" s="10"/>
      <c r="R172" s="10"/>
      <c r="S172" s="10"/>
      <c r="T172" s="10"/>
      <c r="U172" s="10"/>
      <c r="V172" s="10"/>
      <c r="W172" s="10"/>
      <c r="X172" s="10"/>
      <c r="Y172" s="10"/>
      <c r="Z172" s="10"/>
      <c r="AA172" s="10"/>
      <c r="AB172" s="10"/>
      <c r="AC172" s="10"/>
      <c r="AD172" s="10"/>
      <c r="AE172" s="10"/>
      <c r="AF172" s="10"/>
      <c r="AG172" s="14"/>
    </row>
    <row r="173" spans="1:33">
      <c r="A173" s="10"/>
      <c r="B173" s="10"/>
      <c r="C173" s="10"/>
      <c r="D173" s="10"/>
      <c r="E173" s="10"/>
      <c r="F173" s="10"/>
      <c r="G173" s="10"/>
      <c r="H173" s="10"/>
      <c r="I173" s="10"/>
      <c r="J173" s="10"/>
      <c r="K173" s="10"/>
      <c r="L173" s="10"/>
      <c r="M173" s="10"/>
      <c r="N173" s="10"/>
      <c r="O173" s="10"/>
      <c r="P173" s="10"/>
      <c r="Q173" s="10"/>
      <c r="R173" s="10"/>
      <c r="S173" s="10"/>
      <c r="T173" s="10"/>
      <c r="U173" s="10"/>
      <c r="V173" s="10"/>
      <c r="W173" s="10"/>
      <c r="X173" s="10"/>
      <c r="Y173" s="10"/>
      <c r="Z173" s="10"/>
      <c r="AA173" s="10"/>
      <c r="AB173" s="10"/>
      <c r="AC173" s="10"/>
      <c r="AD173" s="10"/>
      <c r="AE173" s="10"/>
      <c r="AF173" s="10"/>
      <c r="AG173" s="14"/>
    </row>
    <row r="174" s="10" customFormat="1" spans="1:33">
      <c r="A174" s="13"/>
      <c r="AG174" s="14"/>
    </row>
    <row r="175" s="10" customFormat="1" spans="1:33">
      <c r="A175" s="13"/>
      <c r="AG175" s="14"/>
    </row>
    <row r="176" s="10" customFormat="1" spans="1:33">
      <c r="A176" s="13"/>
      <c r="AG176" s="14"/>
    </row>
    <row r="177" s="10" customFormat="1" spans="1:33">
      <c r="A177" s="13"/>
      <c r="AG177" s="14"/>
    </row>
    <row r="178" s="10" customFormat="1" spans="1:33">
      <c r="A178" s="13"/>
      <c r="AG178" s="14"/>
    </row>
    <row r="179" s="10" customFormat="1" spans="1:33">
      <c r="A179" s="13"/>
      <c r="AG179" s="14"/>
    </row>
    <row r="180" s="10" customFormat="1" spans="1:33">
      <c r="A180" s="13"/>
      <c r="AG180" s="14"/>
    </row>
    <row r="181" s="10" customFormat="1" spans="1:33">
      <c r="A181" s="13"/>
      <c r="AG181" s="14"/>
    </row>
    <row r="182" s="10" customFormat="1" spans="1:33">
      <c r="A182" s="13"/>
      <c r="AG182" s="14"/>
    </row>
    <row r="183" s="10" customFormat="1" spans="1:33">
      <c r="A183" s="13"/>
      <c r="AG183" s="14"/>
    </row>
    <row r="184" s="10" customFormat="1" spans="1:33">
      <c r="A184" s="13"/>
      <c r="AG184" s="14"/>
    </row>
    <row r="185" s="10" customFormat="1" spans="1:33">
      <c r="A185" s="13"/>
      <c r="AG185" s="14"/>
    </row>
    <row r="186" s="10" customFormat="1" spans="1:33">
      <c r="A186" s="13"/>
      <c r="AG186" s="14"/>
    </row>
    <row r="187" s="10" customFormat="1" spans="1:33">
      <c r="A187" s="13"/>
      <c r="AG187" s="14"/>
    </row>
    <row r="188" s="10" customFormat="1" spans="1:33">
      <c r="A188" s="13"/>
      <c r="AG188" s="14"/>
    </row>
    <row r="189" s="10" customFormat="1" spans="1:33">
      <c r="A189" s="13"/>
      <c r="AG189" s="14"/>
    </row>
    <row r="190" s="10" customFormat="1" spans="1:33">
      <c r="A190" s="13"/>
      <c r="AG190" s="14"/>
    </row>
    <row r="191" s="10" customFormat="1" spans="1:33">
      <c r="A191" s="13"/>
      <c r="AG191" s="14"/>
    </row>
    <row r="192" s="10" customFormat="1" spans="1:33">
      <c r="A192" s="13"/>
      <c r="AG192" s="14"/>
    </row>
    <row r="193" s="10" customFormat="1" spans="1:33">
      <c r="A193" s="13"/>
      <c r="AG193" s="14"/>
    </row>
    <row r="194" s="10" customFormat="1" spans="1:33">
      <c r="A194" s="13"/>
      <c r="AG194" s="14"/>
    </row>
    <row r="195" s="10" customFormat="1" spans="1:33">
      <c r="A195" s="13"/>
      <c r="AG195" s="14"/>
    </row>
    <row r="196" s="10" customFormat="1" spans="1:33">
      <c r="A196" s="13"/>
      <c r="AG196" s="14"/>
    </row>
    <row r="197" s="10" customFormat="1" spans="1:33">
      <c r="A197" s="13"/>
      <c r="AG197" s="14"/>
    </row>
    <row r="198" s="10" customFormat="1" spans="1:33">
      <c r="A198" s="13"/>
      <c r="AG198" s="14"/>
    </row>
    <row r="199" s="10" customFormat="1" spans="1:33">
      <c r="A199" s="13"/>
      <c r="AG199" s="14"/>
    </row>
    <row r="200" s="10" customFormat="1" spans="1:33">
      <c r="A200" s="13"/>
      <c r="AG200" s="14"/>
    </row>
    <row r="201" s="10" customFormat="1" spans="1:33">
      <c r="A201" s="13"/>
      <c r="AG201" s="14"/>
    </row>
    <row r="202" s="10" customFormat="1" spans="1:33">
      <c r="A202" s="13"/>
      <c r="AG202" s="14"/>
    </row>
    <row r="203" s="10" customFormat="1" spans="1:33">
      <c r="A203" s="13"/>
      <c r="AG203" s="14"/>
    </row>
    <row r="204" s="10" customFormat="1" spans="1:33">
      <c r="A204" s="13"/>
      <c r="AG204" s="14"/>
    </row>
    <row r="205" s="10" customFormat="1" spans="1:33">
      <c r="A205" s="13"/>
      <c r="AG205" s="14"/>
    </row>
    <row r="206" s="10" customFormat="1" spans="1:33">
      <c r="A206" s="13"/>
      <c r="AG206" s="14"/>
    </row>
    <row r="207" s="10" customFormat="1" spans="1:33">
      <c r="A207" s="13"/>
      <c r="AG207" s="14"/>
    </row>
    <row r="208" s="10" customFormat="1" spans="1:33">
      <c r="A208" s="13"/>
      <c r="AG208" s="14"/>
    </row>
    <row r="209" s="10" customFormat="1" spans="1:33">
      <c r="A209" s="13"/>
      <c r="AG209" s="14"/>
    </row>
    <row r="210" s="10" customFormat="1" spans="1:33">
      <c r="A210" s="13"/>
      <c r="AG210" s="14"/>
    </row>
    <row r="211" s="10" customFormat="1" spans="1:33">
      <c r="A211" s="13"/>
      <c r="AG211" s="14"/>
    </row>
    <row r="212" s="10" customFormat="1" spans="1:33">
      <c r="A212" s="13"/>
      <c r="AG212" s="14"/>
    </row>
    <row r="213" s="10" customFormat="1" spans="1:33">
      <c r="A213" s="13"/>
      <c r="AG213" s="14"/>
    </row>
    <row r="214" s="10" customFormat="1" spans="1:33">
      <c r="A214" s="13"/>
      <c r="AG214" s="14"/>
    </row>
    <row r="215" s="10" customFormat="1" spans="1:33">
      <c r="A215" s="13"/>
      <c r="AG215" s="14"/>
    </row>
    <row r="216" s="10" customFormat="1" spans="1:33">
      <c r="A216" s="13"/>
      <c r="AG216" s="14"/>
    </row>
    <row r="217" s="10" customFormat="1" spans="1:33">
      <c r="A217" s="13"/>
      <c r="AG217" s="14"/>
    </row>
    <row r="218" s="10" customFormat="1" spans="1:33">
      <c r="A218" s="13"/>
      <c r="AG218" s="14"/>
    </row>
    <row r="219" s="10" customFormat="1" spans="1:33">
      <c r="A219" s="13"/>
      <c r="AG219" s="14"/>
    </row>
    <row r="220" s="10" customFormat="1" spans="1:33">
      <c r="A220" s="13"/>
      <c r="AG220" s="14"/>
    </row>
    <row r="221" s="10" customFormat="1" spans="1:33">
      <c r="A221" s="13"/>
      <c r="AG221" s="14"/>
    </row>
    <row r="222" s="10" customFormat="1" spans="1:33">
      <c r="A222" s="13"/>
      <c r="AG222" s="14"/>
    </row>
    <row r="223" s="10" customFormat="1" spans="1:33">
      <c r="A223" s="13"/>
      <c r="AG223" s="14"/>
    </row>
    <row r="224" s="10" customFormat="1" spans="1:33">
      <c r="A224" s="13"/>
      <c r="AG224" s="14"/>
    </row>
    <row r="225" s="10" customFormat="1" spans="1:33">
      <c r="A225" s="13"/>
      <c r="AG225" s="14"/>
    </row>
    <row r="226" s="10" customFormat="1" spans="1:33">
      <c r="A226" s="13"/>
      <c r="AG226" s="14"/>
    </row>
    <row r="227" s="10" customFormat="1" spans="1:33">
      <c r="A227" s="13"/>
      <c r="AG227" s="14"/>
    </row>
    <row r="228" s="10" customFormat="1" spans="1:33">
      <c r="A228" s="13"/>
      <c r="AG228" s="14"/>
    </row>
    <row r="229" s="10" customFormat="1" spans="1:33">
      <c r="A229" s="13"/>
      <c r="AG229" s="14"/>
    </row>
    <row r="230" s="10" customFormat="1" spans="33:33">
      <c r="AG230" s="14"/>
    </row>
    <row r="231" s="10" customFormat="1" spans="33:33">
      <c r="AG231" s="14"/>
    </row>
    <row r="232" s="10" customFormat="1" spans="33:33">
      <c r="AG232" s="14"/>
    </row>
    <row r="233" s="10" customFormat="1" spans="33:33">
      <c r="AG233" s="14"/>
    </row>
    <row r="234" s="10" customFormat="1" spans="33:33">
      <c r="AG234" s="14"/>
    </row>
    <row r="235" s="10" customFormat="1" spans="33:33">
      <c r="AG235" s="14"/>
    </row>
    <row r="236" s="10" customFormat="1" spans="33:33">
      <c r="AG236" s="14"/>
    </row>
    <row r="237" s="10" customFormat="1" spans="33:33">
      <c r="AG237" s="14"/>
    </row>
    <row r="238" s="10" customFormat="1" spans="33:33">
      <c r="AG238" s="14"/>
    </row>
    <row r="239" s="10" customFormat="1" spans="33:33">
      <c r="AG239" s="14"/>
    </row>
    <row r="240" s="10" customFormat="1" spans="33:33">
      <c r="AG240" s="14"/>
    </row>
    <row r="241" s="10" customFormat="1" spans="33:33">
      <c r="AG241" s="14"/>
    </row>
    <row r="242" s="10" customFormat="1" spans="33:33">
      <c r="AG242" s="14"/>
    </row>
    <row r="243" s="10" customFormat="1" spans="33:33">
      <c r="AG243" s="14"/>
    </row>
    <row r="244" s="10" customFormat="1" spans="33:33">
      <c r="AG244" s="14"/>
    </row>
    <row r="245" s="10" customFormat="1" spans="33:33">
      <c r="AG245" s="14"/>
    </row>
    <row r="246" s="10" customFormat="1" spans="33:33">
      <c r="AG246" s="14"/>
    </row>
    <row r="247" s="10" customFormat="1" spans="33:33">
      <c r="AG247" s="14"/>
    </row>
    <row r="248" s="10" customFormat="1" spans="33:33">
      <c r="AG248" s="14"/>
    </row>
    <row r="249" s="10" customFormat="1" spans="33:33">
      <c r="AG249" s="14"/>
    </row>
    <row r="250" s="10" customFormat="1" spans="33:33">
      <c r="AG250" s="14"/>
    </row>
    <row r="251" s="10" customFormat="1" spans="33:33">
      <c r="AG251" s="14"/>
    </row>
    <row r="252" s="10" customFormat="1" spans="33:33">
      <c r="AG252" s="14"/>
    </row>
    <row r="253" s="10" customFormat="1" spans="33:33">
      <c r="AG253" s="14"/>
    </row>
    <row r="254" s="10" customFormat="1" spans="33:33">
      <c r="AG254" s="14"/>
    </row>
    <row r="255" s="10" customFormat="1" spans="33:33">
      <c r="AG255" s="14"/>
    </row>
    <row r="256" s="10" customFormat="1" spans="33:33">
      <c r="AG256" s="14"/>
    </row>
    <row r="257" s="10" customFormat="1" spans="33:33">
      <c r="AG257" s="14"/>
    </row>
    <row r="258" s="10" customFormat="1" spans="33:33">
      <c r="AG258" s="14"/>
    </row>
    <row r="259" s="10" customFormat="1" spans="33:33">
      <c r="AG259" s="14"/>
    </row>
    <row r="260" s="10" customFormat="1" spans="33:33">
      <c r="AG260" s="14"/>
    </row>
    <row r="261" s="10" customFormat="1" spans="33:33">
      <c r="AG261" s="14"/>
    </row>
    <row r="262" s="10" customFormat="1" spans="33:33">
      <c r="AG262" s="14"/>
    </row>
    <row r="263" s="10" customFormat="1" spans="33:33">
      <c r="AG263" s="14"/>
    </row>
    <row r="264" s="10" customFormat="1" spans="33:33">
      <c r="AG264" s="14"/>
    </row>
    <row r="265" s="10" customFormat="1" spans="33:33">
      <c r="AG265" s="14"/>
    </row>
    <row r="266" s="10" customFormat="1" spans="33:33">
      <c r="AG266" s="14"/>
    </row>
    <row r="267" s="10" customFormat="1" spans="33:33">
      <c r="AG267" s="14"/>
    </row>
    <row r="268" s="10" customFormat="1" spans="33:33">
      <c r="AG268" s="14"/>
    </row>
    <row r="269" s="10" customFormat="1" spans="33:33">
      <c r="AG269" s="14"/>
    </row>
    <row r="270" s="10" customFormat="1" spans="33:33">
      <c r="AG270" s="14"/>
    </row>
    <row r="271" s="10" customFormat="1" spans="33:33">
      <c r="AG271" s="14"/>
    </row>
    <row r="272" s="10" customFormat="1" spans="33:33">
      <c r="AG272" s="14"/>
    </row>
    <row r="273" s="10" customFormat="1" spans="33:33">
      <c r="AG273" s="14"/>
    </row>
    <row r="274" s="10" customFormat="1" spans="33:33">
      <c r="AG274" s="14"/>
    </row>
    <row r="275" s="10" customFormat="1" spans="33:33">
      <c r="AG275" s="14"/>
    </row>
    <row r="276" s="10" customFormat="1" spans="33:33">
      <c r="AG276" s="14"/>
    </row>
    <row r="277" s="10" customFormat="1" spans="33:33">
      <c r="AG277" s="14"/>
    </row>
    <row r="278" s="10" customFormat="1" spans="33:33">
      <c r="AG278" s="14"/>
    </row>
    <row r="279" s="10" customFormat="1" spans="33:33">
      <c r="AG279" s="14"/>
    </row>
    <row r="280" s="10" customFormat="1" spans="33:33">
      <c r="AG280" s="14"/>
    </row>
    <row r="281" s="10" customFormat="1" spans="33:33">
      <c r="AG281" s="14"/>
    </row>
    <row r="282" s="10" customFormat="1" spans="33:33">
      <c r="AG282" s="14"/>
    </row>
    <row r="283" s="10" customFormat="1" spans="33:33">
      <c r="AG283" s="14"/>
    </row>
    <row r="284" s="10" customFormat="1" spans="33:33">
      <c r="AG284" s="14"/>
    </row>
    <row r="285" s="10" customFormat="1" spans="33:33">
      <c r="AG285" s="14"/>
    </row>
    <row r="286" s="10" customFormat="1" spans="1:33">
      <c r="A286" s="13"/>
      <c r="AG286" s="14"/>
    </row>
    <row r="287" s="10" customFormat="1" spans="1:33">
      <c r="A287" s="13"/>
      <c r="AG287" s="14"/>
    </row>
    <row r="288" s="10" customFormat="1" spans="1:33">
      <c r="A288" s="13"/>
      <c r="AG288" s="14"/>
    </row>
    <row r="289" s="10" customFormat="1" spans="1:33">
      <c r="A289" s="13"/>
      <c r="AG289" s="14"/>
    </row>
    <row r="290" s="10" customFormat="1" spans="1:33">
      <c r="A290" s="13"/>
      <c r="AG290" s="14"/>
    </row>
    <row r="291" s="10" customFormat="1" spans="1:33">
      <c r="A291" s="13"/>
      <c r="AG291" s="14"/>
    </row>
    <row r="292" s="10" customFormat="1" spans="1:33">
      <c r="A292" s="13"/>
      <c r="AG292" s="14"/>
    </row>
    <row r="293" s="10" customFormat="1" spans="1:33">
      <c r="A293" s="13"/>
      <c r="AG293" s="14"/>
    </row>
    <row r="294" s="10" customFormat="1" spans="1:33">
      <c r="A294" s="13"/>
      <c r="AG294" s="14"/>
    </row>
    <row r="295" s="10" customFormat="1" spans="1:33">
      <c r="A295" s="13"/>
      <c r="AG295" s="14"/>
    </row>
    <row r="296" s="10" customFormat="1" spans="1:33">
      <c r="A296" s="13"/>
      <c r="AG296" s="14"/>
    </row>
    <row r="297" s="10" customFormat="1" spans="1:33">
      <c r="A297" s="13"/>
      <c r="AG297" s="14"/>
    </row>
    <row r="298" s="10" customFormat="1" spans="1:33">
      <c r="A298" s="13"/>
      <c r="AG298" s="14"/>
    </row>
    <row r="299" s="10" customFormat="1" spans="1:33">
      <c r="A299" s="13"/>
      <c r="AG299" s="14"/>
    </row>
    <row r="300" s="10" customFormat="1" spans="1:33">
      <c r="A300" s="13"/>
      <c r="AG300" s="14"/>
    </row>
    <row r="301" s="10" customFormat="1" spans="1:33">
      <c r="A301" s="13"/>
      <c r="AG301" s="14"/>
    </row>
    <row r="302" s="10" customFormat="1" spans="1:33">
      <c r="A302" s="13"/>
      <c r="AG302" s="14"/>
    </row>
    <row r="303" s="10" customFormat="1" spans="1:33">
      <c r="A303" s="13"/>
      <c r="AG303" s="14"/>
    </row>
    <row r="304" s="10" customFormat="1" spans="1:33">
      <c r="A304" s="13"/>
      <c r="AG304" s="14"/>
    </row>
    <row r="305" s="10" customFormat="1" spans="1:33">
      <c r="A305" s="13"/>
      <c r="AG305" s="14"/>
    </row>
    <row r="306" s="10" customFormat="1" spans="1:33">
      <c r="A306" s="13"/>
      <c r="AG306" s="14"/>
    </row>
    <row r="307" s="10" customFormat="1" spans="1:33">
      <c r="A307" s="13"/>
      <c r="AG307" s="14"/>
    </row>
    <row r="308" s="10" customFormat="1" spans="1:33">
      <c r="A308" s="13"/>
      <c r="AG308" s="14"/>
    </row>
    <row r="309" s="10" customFormat="1" spans="1:33">
      <c r="A309" s="13"/>
      <c r="AG309" s="14"/>
    </row>
    <row r="310" s="10" customFormat="1" spans="1:33">
      <c r="A310" s="13"/>
      <c r="AG310" s="14"/>
    </row>
    <row r="311" s="10" customFormat="1" spans="1:33">
      <c r="A311" s="13"/>
      <c r="AG311" s="14"/>
    </row>
    <row r="312" s="10" customFormat="1" spans="1:33">
      <c r="A312" s="13"/>
      <c r="AG312" s="14"/>
    </row>
    <row r="313" s="10" customFormat="1" spans="1:33">
      <c r="A313" s="13"/>
      <c r="AG313" s="14"/>
    </row>
    <row r="314" s="10" customFormat="1" spans="1:33">
      <c r="A314" s="13"/>
      <c r="AG314" s="14"/>
    </row>
    <row r="315" s="10" customFormat="1" spans="1:33">
      <c r="A315" s="13"/>
      <c r="AG315" s="14"/>
    </row>
    <row r="316" s="10" customFormat="1" spans="1:33">
      <c r="A316" s="13"/>
      <c r="AG316" s="14"/>
    </row>
    <row r="317" s="10" customFormat="1" spans="1:33">
      <c r="A317" s="13"/>
      <c r="AG317" s="14"/>
    </row>
    <row r="318" s="10" customFormat="1" spans="1:33">
      <c r="A318" s="13"/>
      <c r="AG318" s="14"/>
    </row>
    <row r="319" s="10" customFormat="1" spans="1:33">
      <c r="A319" s="13"/>
      <c r="AG319" s="14"/>
    </row>
    <row r="320" s="10" customFormat="1" spans="1:33">
      <c r="A320" s="13"/>
      <c r="AG320" s="14"/>
    </row>
    <row r="321" s="10" customFormat="1" spans="1:33">
      <c r="A321" s="13"/>
      <c r="AG321" s="14"/>
    </row>
    <row r="322" s="10" customFormat="1" spans="1:33">
      <c r="A322" s="13"/>
      <c r="AG322" s="14"/>
    </row>
    <row r="323" s="10" customFormat="1" spans="1:33">
      <c r="A323" s="13"/>
      <c r="AG323" s="14"/>
    </row>
    <row r="324" s="10" customFormat="1" spans="1:33">
      <c r="A324" s="13"/>
      <c r="AG324" s="14"/>
    </row>
    <row r="325" s="10" customFormat="1" spans="1:33">
      <c r="A325" s="13"/>
      <c r="AG325" s="14"/>
    </row>
    <row r="326" s="10" customFormat="1" spans="1:33">
      <c r="A326" s="13"/>
      <c r="AG326" s="14"/>
    </row>
    <row r="327" s="10" customFormat="1" spans="1:33">
      <c r="A327" s="13"/>
      <c r="AG327" s="14"/>
    </row>
    <row r="328" s="10" customFormat="1" spans="1:33">
      <c r="A328" s="13"/>
      <c r="AG328" s="14"/>
    </row>
    <row r="329" s="10" customFormat="1" spans="1:33">
      <c r="A329" s="13"/>
      <c r="AG329" s="14"/>
    </row>
    <row r="330" s="10" customFormat="1" spans="1:33">
      <c r="A330" s="13"/>
      <c r="AG330" s="14"/>
    </row>
    <row r="331" s="10" customFormat="1" spans="1:33">
      <c r="A331" s="13"/>
      <c r="AG331" s="14"/>
    </row>
    <row r="332" s="10" customFormat="1" spans="1:33">
      <c r="A332" s="13"/>
      <c r="D332" s="15"/>
      <c r="F332" s="15"/>
      <c r="G332" s="16"/>
      <c r="J332" s="15"/>
      <c r="K332" s="15"/>
      <c r="L332" s="17"/>
      <c r="M332" s="17"/>
      <c r="AG332" s="14"/>
    </row>
    <row r="333" s="10" customFormat="1" spans="1:33">
      <c r="A333" s="13"/>
      <c r="D333" s="15"/>
      <c r="F333" s="15"/>
      <c r="G333" s="16"/>
      <c r="J333" s="15"/>
      <c r="K333" s="15"/>
      <c r="L333" s="17"/>
      <c r="M333" s="17"/>
      <c r="AG333" s="14"/>
    </row>
    <row r="334" s="10" customFormat="1" spans="1:33">
      <c r="A334" s="13"/>
      <c r="D334" s="15"/>
      <c r="F334" s="15"/>
      <c r="G334" s="16"/>
      <c r="J334" s="15"/>
      <c r="K334" s="15"/>
      <c r="L334" s="17"/>
      <c r="M334" s="17"/>
      <c r="AG334" s="14"/>
    </row>
    <row r="335" s="10" customFormat="1" spans="1:33">
      <c r="A335" s="13"/>
      <c r="D335" s="15"/>
      <c r="F335" s="15"/>
      <c r="G335" s="16"/>
      <c r="J335" s="15"/>
      <c r="K335" s="15"/>
      <c r="L335" s="17"/>
      <c r="M335" s="17"/>
      <c r="AG335" s="14"/>
    </row>
    <row r="336" s="10" customFormat="1" spans="1:33">
      <c r="A336" s="13"/>
      <c r="D336" s="15"/>
      <c r="F336" s="15"/>
      <c r="G336" s="16"/>
      <c r="J336" s="15"/>
      <c r="K336" s="15"/>
      <c r="L336" s="17"/>
      <c r="M336" s="17"/>
      <c r="AG336" s="14"/>
    </row>
    <row r="337" s="10" customFormat="1" spans="1:33">
      <c r="A337" s="13"/>
      <c r="D337" s="15"/>
      <c r="F337" s="15"/>
      <c r="G337" s="16"/>
      <c r="J337" s="15"/>
      <c r="K337" s="15"/>
      <c r="L337" s="17"/>
      <c r="M337" s="17"/>
      <c r="AG337" s="14"/>
    </row>
    <row r="338" s="10" customFormat="1" spans="1:33">
      <c r="A338" s="13"/>
      <c r="D338" s="15"/>
      <c r="F338" s="15"/>
      <c r="G338" s="16"/>
      <c r="J338" s="15"/>
      <c r="K338" s="15"/>
      <c r="L338" s="17"/>
      <c r="M338" s="17"/>
      <c r="AG338" s="14"/>
    </row>
    <row r="339" s="10" customFormat="1" spans="1:33">
      <c r="A339" s="13"/>
      <c r="D339" s="15"/>
      <c r="F339" s="15"/>
      <c r="G339" s="16"/>
      <c r="J339" s="15"/>
      <c r="K339" s="15"/>
      <c r="L339" s="17"/>
      <c r="M339" s="17"/>
      <c r="AG339" s="14"/>
    </row>
    <row r="340" s="10" customFormat="1" spans="1:33">
      <c r="A340" s="13"/>
      <c r="D340" s="15"/>
      <c r="F340" s="15"/>
      <c r="G340" s="16"/>
      <c r="J340" s="15"/>
      <c r="K340" s="15"/>
      <c r="L340" s="17"/>
      <c r="M340" s="17"/>
      <c r="AG340" s="14"/>
    </row>
    <row r="341" s="10" customFormat="1" spans="1:33">
      <c r="A341" s="13"/>
      <c r="D341" s="15"/>
      <c r="F341" s="15"/>
      <c r="G341" s="16"/>
      <c r="J341" s="15"/>
      <c r="K341" s="15"/>
      <c r="L341" s="17"/>
      <c r="M341" s="17"/>
      <c r="AG341" s="14"/>
    </row>
    <row r="342" s="10" customFormat="1" spans="1:33">
      <c r="A342" s="13"/>
      <c r="D342" s="15"/>
      <c r="F342" s="15"/>
      <c r="G342" s="16"/>
      <c r="J342" s="15"/>
      <c r="K342" s="15"/>
      <c r="L342" s="17"/>
      <c r="M342" s="17"/>
      <c r="AG342" s="14"/>
    </row>
    <row r="343" s="10" customFormat="1" spans="1:33">
      <c r="A343" s="13"/>
      <c r="D343" s="15"/>
      <c r="F343" s="15"/>
      <c r="G343" s="16"/>
      <c r="J343" s="15"/>
      <c r="K343" s="15"/>
      <c r="L343" s="17"/>
      <c r="M343" s="17"/>
      <c r="AG343" s="14"/>
    </row>
    <row r="344" s="10" customFormat="1" spans="1:33">
      <c r="A344" s="13"/>
      <c r="D344" s="15"/>
      <c r="F344" s="15"/>
      <c r="G344" s="16"/>
      <c r="J344" s="15"/>
      <c r="K344" s="15"/>
      <c r="L344" s="17"/>
      <c r="M344" s="17"/>
      <c r="AG344" s="14"/>
    </row>
    <row r="345" s="10" customFormat="1" spans="1:33">
      <c r="A345" s="13"/>
      <c r="D345" s="15"/>
      <c r="F345" s="15"/>
      <c r="G345" s="16"/>
      <c r="J345" s="15"/>
      <c r="K345" s="15"/>
      <c r="L345" s="17"/>
      <c r="M345" s="17"/>
      <c r="AG345" s="14"/>
    </row>
    <row r="346" s="10" customFormat="1" spans="1:33">
      <c r="A346" s="13"/>
      <c r="D346" s="15"/>
      <c r="F346" s="15"/>
      <c r="G346" s="16"/>
      <c r="J346" s="15"/>
      <c r="K346" s="15"/>
      <c r="L346" s="17"/>
      <c r="M346" s="17"/>
      <c r="AG346" s="14"/>
    </row>
    <row r="347" s="10" customFormat="1" spans="1:33">
      <c r="A347" s="13"/>
      <c r="D347" s="15"/>
      <c r="F347" s="15"/>
      <c r="G347" s="16"/>
      <c r="J347" s="15"/>
      <c r="K347" s="15"/>
      <c r="L347" s="17"/>
      <c r="M347" s="17"/>
      <c r="AG347" s="14"/>
    </row>
    <row r="348" s="10" customFormat="1" spans="1:33">
      <c r="A348" s="13"/>
      <c r="D348" s="15"/>
      <c r="F348" s="15"/>
      <c r="G348" s="16"/>
      <c r="J348" s="15"/>
      <c r="K348" s="15"/>
      <c r="L348" s="17"/>
      <c r="M348" s="17"/>
      <c r="AG348" s="14"/>
    </row>
    <row r="349" s="10" customFormat="1" spans="1:33">
      <c r="A349" s="13"/>
      <c r="D349" s="15"/>
      <c r="F349" s="15"/>
      <c r="G349" s="16"/>
      <c r="J349" s="15"/>
      <c r="K349" s="15"/>
      <c r="L349" s="17"/>
      <c r="M349" s="17"/>
      <c r="AG349" s="14"/>
    </row>
    <row r="350" s="10" customFormat="1" spans="1:33">
      <c r="A350" s="13"/>
      <c r="D350" s="15"/>
      <c r="F350" s="15"/>
      <c r="G350" s="16"/>
      <c r="J350" s="15"/>
      <c r="K350" s="15"/>
      <c r="L350" s="17"/>
      <c r="M350" s="17"/>
      <c r="AG350" s="14"/>
    </row>
    <row r="351" s="10" customFormat="1" spans="1:33">
      <c r="A351" s="13"/>
      <c r="D351" s="15"/>
      <c r="F351" s="15"/>
      <c r="G351" s="16"/>
      <c r="J351" s="15"/>
      <c r="K351" s="15"/>
      <c r="L351" s="17"/>
      <c r="M351" s="17"/>
      <c r="AG351" s="14"/>
    </row>
    <row r="352" s="10" customFormat="1" spans="1:33">
      <c r="A352" s="13"/>
      <c r="D352" s="15"/>
      <c r="F352" s="15"/>
      <c r="G352" s="16"/>
      <c r="J352" s="15"/>
      <c r="K352" s="15"/>
      <c r="L352" s="17"/>
      <c r="M352" s="17"/>
      <c r="AG352" s="14"/>
    </row>
    <row r="353" s="10" customFormat="1" spans="1:33">
      <c r="A353" s="13"/>
      <c r="D353" s="15"/>
      <c r="F353" s="15"/>
      <c r="G353" s="16"/>
      <c r="J353" s="15"/>
      <c r="K353" s="15"/>
      <c r="L353" s="17"/>
      <c r="M353" s="17"/>
      <c r="AG353" s="14"/>
    </row>
    <row r="354" s="10" customFormat="1" spans="1:33">
      <c r="A354" s="13"/>
      <c r="D354" s="15"/>
      <c r="F354" s="15"/>
      <c r="G354" s="16"/>
      <c r="J354" s="15"/>
      <c r="K354" s="15"/>
      <c r="L354" s="17"/>
      <c r="M354" s="17"/>
      <c r="AG354" s="14"/>
    </row>
    <row r="355" s="10" customFormat="1" spans="1:33">
      <c r="A355" s="13"/>
      <c r="D355" s="15"/>
      <c r="F355" s="15"/>
      <c r="G355" s="16"/>
      <c r="J355" s="15"/>
      <c r="K355" s="15"/>
      <c r="L355" s="17"/>
      <c r="M355" s="17"/>
      <c r="AG355" s="14"/>
    </row>
    <row r="356" s="10" customFormat="1" spans="1:33">
      <c r="A356" s="13"/>
      <c r="D356" s="15"/>
      <c r="F356" s="15"/>
      <c r="G356" s="16"/>
      <c r="J356" s="15"/>
      <c r="K356" s="15"/>
      <c r="L356" s="17"/>
      <c r="M356" s="17"/>
      <c r="AG356" s="14"/>
    </row>
    <row r="357" s="10" customFormat="1" spans="1:33">
      <c r="A357" s="13"/>
      <c r="D357" s="15"/>
      <c r="F357" s="15"/>
      <c r="G357" s="16"/>
      <c r="J357" s="15"/>
      <c r="K357" s="15"/>
      <c r="L357" s="17"/>
      <c r="M357" s="17"/>
      <c r="AG357" s="14"/>
    </row>
    <row r="358" s="10" customFormat="1" spans="1:33">
      <c r="A358" s="13"/>
      <c r="D358" s="15"/>
      <c r="F358" s="15"/>
      <c r="G358" s="16"/>
      <c r="J358" s="15"/>
      <c r="K358" s="15"/>
      <c r="L358" s="17"/>
      <c r="M358" s="17"/>
      <c r="AG358" s="14"/>
    </row>
    <row r="359" s="10" customFormat="1" spans="1:33">
      <c r="A359" s="13"/>
      <c r="D359" s="15"/>
      <c r="F359" s="15"/>
      <c r="G359" s="16"/>
      <c r="J359" s="15"/>
      <c r="K359" s="15"/>
      <c r="L359" s="17"/>
      <c r="M359" s="17"/>
      <c r="AG359" s="14"/>
    </row>
    <row r="360" s="10" customFormat="1" spans="1:33">
      <c r="A360" s="13"/>
      <c r="D360" s="15"/>
      <c r="F360" s="15"/>
      <c r="G360" s="16"/>
      <c r="J360" s="15"/>
      <c r="K360" s="15"/>
      <c r="L360" s="17"/>
      <c r="M360" s="17"/>
      <c r="AG360" s="14"/>
    </row>
    <row r="361" s="10" customFormat="1" spans="1:33">
      <c r="A361" s="13"/>
      <c r="D361" s="15"/>
      <c r="F361" s="15"/>
      <c r="G361" s="16"/>
      <c r="J361" s="15"/>
      <c r="K361" s="15"/>
      <c r="L361" s="17"/>
      <c r="M361" s="17"/>
      <c r="AG361" s="14"/>
    </row>
    <row r="362" s="10" customFormat="1" spans="1:33">
      <c r="A362" s="13"/>
      <c r="D362" s="15"/>
      <c r="F362" s="15"/>
      <c r="G362" s="16"/>
      <c r="J362" s="15"/>
      <c r="K362" s="15"/>
      <c r="L362" s="17"/>
      <c r="M362" s="17"/>
      <c r="AG362" s="14"/>
    </row>
    <row r="363" s="10" customFormat="1" spans="1:33">
      <c r="A363" s="13"/>
      <c r="D363" s="15"/>
      <c r="F363" s="15"/>
      <c r="G363" s="16"/>
      <c r="J363" s="15"/>
      <c r="K363" s="15"/>
      <c r="L363" s="17"/>
      <c r="M363" s="17"/>
      <c r="AG363" s="14"/>
    </row>
    <row r="364" s="10" customFormat="1" spans="1:33">
      <c r="A364" s="13"/>
      <c r="D364" s="15"/>
      <c r="F364" s="15"/>
      <c r="G364" s="16"/>
      <c r="J364" s="15"/>
      <c r="K364" s="15"/>
      <c r="L364" s="17"/>
      <c r="M364" s="17"/>
      <c r="AG364" s="14"/>
    </row>
    <row r="365" s="10" customFormat="1" spans="1:33">
      <c r="A365" s="13"/>
      <c r="D365" s="15"/>
      <c r="F365" s="15"/>
      <c r="G365" s="16"/>
      <c r="J365" s="15"/>
      <c r="K365" s="15"/>
      <c r="L365" s="17"/>
      <c r="M365" s="17"/>
      <c r="AG365" s="14"/>
    </row>
    <row r="366" s="10" customFormat="1" spans="1:33">
      <c r="A366" s="13"/>
      <c r="D366" s="15"/>
      <c r="F366" s="15"/>
      <c r="G366" s="16"/>
      <c r="J366" s="15"/>
      <c r="K366" s="15"/>
      <c r="L366" s="17"/>
      <c r="M366" s="17"/>
      <c r="AG366" s="14"/>
    </row>
    <row r="367" s="10" customFormat="1" spans="1:33">
      <c r="A367" s="13"/>
      <c r="D367" s="15"/>
      <c r="F367" s="15"/>
      <c r="G367" s="16"/>
      <c r="J367" s="15"/>
      <c r="K367" s="15"/>
      <c r="L367" s="17"/>
      <c r="M367" s="17"/>
      <c r="AG367" s="14"/>
    </row>
    <row r="368" s="10" customFormat="1" spans="1:33">
      <c r="A368" s="13"/>
      <c r="D368" s="15"/>
      <c r="F368" s="15"/>
      <c r="G368" s="16"/>
      <c r="J368" s="15"/>
      <c r="K368" s="15"/>
      <c r="L368" s="17"/>
      <c r="M368" s="17"/>
      <c r="AG368" s="14"/>
    </row>
    <row r="369" s="10" customFormat="1" spans="1:33">
      <c r="A369" s="13"/>
      <c r="D369" s="15"/>
      <c r="F369" s="15"/>
      <c r="G369" s="16"/>
      <c r="J369" s="15"/>
      <c r="K369" s="15"/>
      <c r="L369" s="17"/>
      <c r="M369" s="17"/>
      <c r="AG369" s="14"/>
    </row>
    <row r="370" s="10" customFormat="1" spans="1:33">
      <c r="A370" s="13"/>
      <c r="D370" s="15"/>
      <c r="F370" s="15"/>
      <c r="G370" s="16"/>
      <c r="J370" s="15"/>
      <c r="K370" s="15"/>
      <c r="L370" s="17"/>
      <c r="M370" s="17"/>
      <c r="AG370" s="14"/>
    </row>
    <row r="371" s="10" customFormat="1" spans="1:33">
      <c r="A371" s="13"/>
      <c r="D371" s="15"/>
      <c r="F371" s="15"/>
      <c r="G371" s="16"/>
      <c r="J371" s="15"/>
      <c r="K371" s="15"/>
      <c r="L371" s="17"/>
      <c r="M371" s="17"/>
      <c r="AG371" s="14"/>
    </row>
    <row r="372" s="10" customFormat="1" spans="1:33">
      <c r="A372" s="13"/>
      <c r="D372" s="15"/>
      <c r="F372" s="15"/>
      <c r="G372" s="16"/>
      <c r="J372" s="15"/>
      <c r="K372" s="15"/>
      <c r="L372" s="17"/>
      <c r="M372" s="17"/>
      <c r="AG372" s="14"/>
    </row>
    <row r="373" s="10" customFormat="1" spans="1:33">
      <c r="A373" s="13"/>
      <c r="D373" s="15"/>
      <c r="F373" s="15"/>
      <c r="G373" s="16"/>
      <c r="J373" s="15"/>
      <c r="K373" s="15"/>
      <c r="L373" s="17"/>
      <c r="M373" s="17"/>
      <c r="AG373" s="14"/>
    </row>
    <row r="374" s="10" customFormat="1" spans="1:33">
      <c r="A374" s="13"/>
      <c r="D374" s="15"/>
      <c r="F374" s="15"/>
      <c r="G374" s="16"/>
      <c r="J374" s="15"/>
      <c r="K374" s="15"/>
      <c r="L374" s="17"/>
      <c r="M374" s="17"/>
      <c r="AG374" s="14"/>
    </row>
    <row r="375" s="10" customFormat="1" spans="1:33">
      <c r="A375" s="13"/>
      <c r="D375" s="15"/>
      <c r="F375" s="15"/>
      <c r="G375" s="16"/>
      <c r="J375" s="15"/>
      <c r="K375" s="15"/>
      <c r="L375" s="17"/>
      <c r="M375" s="17"/>
      <c r="AG375" s="14"/>
    </row>
    <row r="376" s="10" customFormat="1" spans="1:33">
      <c r="A376" s="13"/>
      <c r="D376" s="15"/>
      <c r="F376" s="15"/>
      <c r="G376" s="16"/>
      <c r="J376" s="15"/>
      <c r="K376" s="15"/>
      <c r="L376" s="17"/>
      <c r="M376" s="17"/>
      <c r="AG376" s="14"/>
    </row>
    <row r="377" s="10" customFormat="1" spans="1:33">
      <c r="A377" s="13"/>
      <c r="D377" s="15"/>
      <c r="F377" s="15"/>
      <c r="G377" s="16"/>
      <c r="J377" s="15"/>
      <c r="K377" s="15"/>
      <c r="L377" s="17"/>
      <c r="M377" s="17"/>
      <c r="AG377" s="14"/>
    </row>
    <row r="378" s="10" customFormat="1" spans="1:33">
      <c r="A378" s="13"/>
      <c r="D378" s="15"/>
      <c r="F378" s="15"/>
      <c r="G378" s="16"/>
      <c r="J378" s="15"/>
      <c r="K378" s="15"/>
      <c r="L378" s="17"/>
      <c r="M378" s="17"/>
      <c r="AG378" s="14"/>
    </row>
    <row r="379" s="10" customFormat="1" spans="1:33">
      <c r="A379" s="13"/>
      <c r="D379" s="15"/>
      <c r="F379" s="15"/>
      <c r="G379" s="16"/>
      <c r="J379" s="15"/>
      <c r="K379" s="15"/>
      <c r="L379" s="17"/>
      <c r="M379" s="17"/>
      <c r="AG379" s="14"/>
    </row>
    <row r="380" s="10" customFormat="1" spans="1:33">
      <c r="A380" s="13"/>
      <c r="D380" s="15"/>
      <c r="F380" s="15"/>
      <c r="G380" s="16"/>
      <c r="J380" s="15"/>
      <c r="K380" s="15"/>
      <c r="L380" s="17"/>
      <c r="M380" s="17"/>
      <c r="AG380" s="14"/>
    </row>
    <row r="381" s="10" customFormat="1" spans="4:33">
      <c r="D381" s="15"/>
      <c r="F381" s="15"/>
      <c r="G381" s="16"/>
      <c r="J381" s="15"/>
      <c r="K381" s="15"/>
      <c r="L381" s="17"/>
      <c r="M381" s="17"/>
      <c r="AG381" s="14"/>
    </row>
    <row r="382" s="10" customFormat="1" spans="4:33">
      <c r="D382" s="15"/>
      <c r="F382" s="15"/>
      <c r="G382" s="16"/>
      <c r="J382" s="15"/>
      <c r="K382" s="15"/>
      <c r="L382" s="17"/>
      <c r="M382" s="17"/>
      <c r="AG382" s="14"/>
    </row>
    <row r="383" s="10" customFormat="1" spans="4:33">
      <c r="D383" s="15"/>
      <c r="F383" s="15"/>
      <c r="G383" s="16"/>
      <c r="J383" s="15"/>
      <c r="K383" s="15"/>
      <c r="L383" s="17"/>
      <c r="M383" s="17"/>
      <c r="AG383" s="14"/>
    </row>
    <row r="384" s="10" customFormat="1" spans="4:33">
      <c r="D384" s="15"/>
      <c r="F384" s="15"/>
      <c r="G384" s="16"/>
      <c r="J384" s="15"/>
      <c r="K384" s="15"/>
      <c r="L384" s="17"/>
      <c r="M384" s="17"/>
      <c r="AG384" s="14"/>
    </row>
    <row r="385" s="10" customFormat="1" spans="4:33">
      <c r="D385" s="15"/>
      <c r="F385" s="15"/>
      <c r="G385" s="16"/>
      <c r="J385" s="15"/>
      <c r="K385" s="15"/>
      <c r="L385" s="17"/>
      <c r="M385" s="17"/>
      <c r="AG385" s="14"/>
    </row>
    <row r="386" s="10" customFormat="1" spans="4:33">
      <c r="D386" s="15"/>
      <c r="F386" s="15"/>
      <c r="G386" s="16"/>
      <c r="J386" s="15"/>
      <c r="K386" s="15"/>
      <c r="L386" s="17"/>
      <c r="M386" s="17"/>
      <c r="AG386" s="14"/>
    </row>
    <row r="387" s="10" customFormat="1" spans="4:33">
      <c r="D387" s="15"/>
      <c r="F387" s="15"/>
      <c r="G387" s="16"/>
      <c r="J387" s="15"/>
      <c r="K387" s="15"/>
      <c r="L387" s="17"/>
      <c r="M387" s="17"/>
      <c r="AG387" s="14"/>
    </row>
    <row r="388" s="10" customFormat="1" spans="4:33">
      <c r="D388" s="15"/>
      <c r="F388" s="15"/>
      <c r="G388" s="16"/>
      <c r="J388" s="15"/>
      <c r="K388" s="15"/>
      <c r="L388" s="17"/>
      <c r="M388" s="17"/>
      <c r="AG388" s="14"/>
    </row>
    <row r="389" s="10" customFormat="1" spans="4:33">
      <c r="D389" s="15"/>
      <c r="F389" s="15"/>
      <c r="G389" s="16"/>
      <c r="J389" s="15"/>
      <c r="K389" s="15"/>
      <c r="L389" s="17"/>
      <c r="M389" s="17"/>
      <c r="AG389" s="14"/>
    </row>
    <row r="390" s="10" customFormat="1" spans="4:33">
      <c r="D390" s="15"/>
      <c r="F390" s="15"/>
      <c r="G390" s="16"/>
      <c r="J390" s="15"/>
      <c r="K390" s="15"/>
      <c r="L390" s="17"/>
      <c r="M390" s="17"/>
      <c r="AG390" s="14"/>
    </row>
    <row r="391" s="10" customFormat="1" spans="4:33">
      <c r="D391" s="15"/>
      <c r="F391" s="15"/>
      <c r="G391" s="16"/>
      <c r="J391" s="15"/>
      <c r="K391" s="15"/>
      <c r="L391" s="17"/>
      <c r="M391" s="17"/>
      <c r="AG391" s="14"/>
    </row>
    <row r="392" s="10" customFormat="1" spans="4:33">
      <c r="D392" s="15"/>
      <c r="F392" s="15"/>
      <c r="G392" s="16"/>
      <c r="J392" s="15"/>
      <c r="K392" s="15"/>
      <c r="L392" s="17"/>
      <c r="M392" s="17"/>
      <c r="AG392" s="14"/>
    </row>
    <row r="393" s="10" customFormat="1" spans="4:33">
      <c r="D393" s="15"/>
      <c r="F393" s="15"/>
      <c r="G393" s="16"/>
      <c r="J393" s="15"/>
      <c r="K393" s="15"/>
      <c r="L393" s="17"/>
      <c r="M393" s="17"/>
      <c r="AG393" s="14"/>
    </row>
    <row r="394" s="10" customFormat="1" spans="4:33">
      <c r="D394" s="15"/>
      <c r="F394" s="15"/>
      <c r="G394" s="16"/>
      <c r="J394" s="15"/>
      <c r="K394" s="15"/>
      <c r="L394" s="17"/>
      <c r="M394" s="17"/>
      <c r="AG394" s="14"/>
    </row>
    <row r="395" s="10" customFormat="1" spans="4:33">
      <c r="D395" s="15"/>
      <c r="F395" s="15"/>
      <c r="G395" s="16"/>
      <c r="J395" s="15"/>
      <c r="K395" s="15"/>
      <c r="L395" s="17"/>
      <c r="M395" s="17"/>
      <c r="AG395" s="14"/>
    </row>
    <row r="396" s="10" customFormat="1" spans="4:33">
      <c r="D396" s="15"/>
      <c r="F396" s="15"/>
      <c r="G396" s="16"/>
      <c r="J396" s="15"/>
      <c r="K396" s="15"/>
      <c r="L396" s="17"/>
      <c r="M396" s="17"/>
      <c r="AG396" s="14"/>
    </row>
    <row r="397" s="10" customFormat="1" spans="4:33">
      <c r="D397" s="15"/>
      <c r="F397" s="15"/>
      <c r="G397" s="16"/>
      <c r="J397" s="15"/>
      <c r="K397" s="15"/>
      <c r="L397" s="17"/>
      <c r="M397" s="17"/>
      <c r="AG397" s="14"/>
    </row>
    <row r="398" s="10" customFormat="1" spans="4:33">
      <c r="D398" s="15"/>
      <c r="F398" s="15"/>
      <c r="G398" s="16"/>
      <c r="J398" s="15"/>
      <c r="K398" s="15"/>
      <c r="L398" s="17"/>
      <c r="M398" s="17"/>
      <c r="AG398" s="14"/>
    </row>
    <row r="399" s="10" customFormat="1" spans="4:33">
      <c r="D399" s="15"/>
      <c r="F399" s="15"/>
      <c r="G399" s="16"/>
      <c r="J399" s="15"/>
      <c r="K399" s="15"/>
      <c r="L399" s="17"/>
      <c r="M399" s="17"/>
      <c r="AG399" s="14"/>
    </row>
    <row r="400" s="10" customFormat="1" spans="4:33">
      <c r="D400" s="15"/>
      <c r="F400" s="15"/>
      <c r="G400" s="16"/>
      <c r="J400" s="15"/>
      <c r="K400" s="15"/>
      <c r="L400" s="17"/>
      <c r="M400" s="17"/>
      <c r="AG400" s="14"/>
    </row>
    <row r="401" s="10" customFormat="1" spans="4:33">
      <c r="D401" s="15"/>
      <c r="F401" s="15"/>
      <c r="G401" s="16"/>
      <c r="J401" s="15"/>
      <c r="K401" s="15"/>
      <c r="L401" s="17"/>
      <c r="M401" s="17"/>
      <c r="AG401" s="14"/>
    </row>
    <row r="402" s="10" customFormat="1" spans="4:33">
      <c r="D402" s="15"/>
      <c r="F402" s="15"/>
      <c r="G402" s="16"/>
      <c r="J402" s="15"/>
      <c r="K402" s="15"/>
      <c r="L402" s="17"/>
      <c r="M402" s="17"/>
      <c r="AG402" s="14"/>
    </row>
    <row r="403" s="10" customFormat="1" spans="4:33">
      <c r="D403" s="15"/>
      <c r="F403" s="15"/>
      <c r="G403" s="16"/>
      <c r="J403" s="15"/>
      <c r="K403" s="15"/>
      <c r="L403" s="17"/>
      <c r="M403" s="17"/>
      <c r="AG403" s="14"/>
    </row>
    <row r="404" s="10" customFormat="1" spans="4:33">
      <c r="D404" s="15"/>
      <c r="F404" s="15"/>
      <c r="G404" s="16"/>
      <c r="J404" s="15"/>
      <c r="K404" s="15"/>
      <c r="L404" s="17"/>
      <c r="M404" s="17"/>
      <c r="AG404" s="14"/>
    </row>
    <row r="405" s="10" customFormat="1" spans="4:33">
      <c r="D405" s="15"/>
      <c r="F405" s="15"/>
      <c r="G405" s="16"/>
      <c r="J405" s="15"/>
      <c r="K405" s="15"/>
      <c r="L405" s="17"/>
      <c r="M405" s="17"/>
      <c r="AG405" s="14"/>
    </row>
    <row r="406" s="10" customFormat="1" spans="4:33">
      <c r="D406" s="15"/>
      <c r="F406" s="15"/>
      <c r="G406" s="16"/>
      <c r="J406" s="15"/>
      <c r="K406" s="15"/>
      <c r="L406" s="17"/>
      <c r="M406" s="17"/>
      <c r="AG406" s="14"/>
    </row>
    <row r="407" s="10" customFormat="1" spans="4:33">
      <c r="D407" s="15"/>
      <c r="F407" s="15"/>
      <c r="G407" s="16"/>
      <c r="J407" s="15"/>
      <c r="K407" s="15"/>
      <c r="L407" s="17"/>
      <c r="M407" s="17"/>
      <c r="AG407" s="14"/>
    </row>
    <row r="408" s="10" customFormat="1" spans="4:33">
      <c r="D408" s="15"/>
      <c r="F408" s="15"/>
      <c r="G408" s="16"/>
      <c r="J408" s="15"/>
      <c r="K408" s="15"/>
      <c r="L408" s="17"/>
      <c r="M408" s="17"/>
      <c r="AG408" s="14"/>
    </row>
    <row r="409" s="10" customFormat="1" spans="4:33">
      <c r="D409" s="15"/>
      <c r="F409" s="15"/>
      <c r="G409" s="16"/>
      <c r="J409" s="15"/>
      <c r="K409" s="15"/>
      <c r="L409" s="17"/>
      <c r="M409" s="17"/>
      <c r="AG409" s="14"/>
    </row>
    <row r="410" s="10" customFormat="1" spans="4:33">
      <c r="D410" s="15"/>
      <c r="F410" s="15"/>
      <c r="G410" s="16"/>
      <c r="J410" s="15"/>
      <c r="K410" s="15"/>
      <c r="L410" s="17"/>
      <c r="M410" s="17"/>
      <c r="AG410" s="14"/>
    </row>
    <row r="411" s="10" customFormat="1" spans="4:33">
      <c r="D411" s="15"/>
      <c r="F411" s="15"/>
      <c r="G411" s="16"/>
      <c r="J411" s="15"/>
      <c r="K411" s="15"/>
      <c r="L411" s="17"/>
      <c r="M411" s="17"/>
      <c r="AG411" s="14"/>
    </row>
    <row r="412" s="10" customFormat="1" spans="4:33">
      <c r="D412" s="15"/>
      <c r="F412" s="15"/>
      <c r="G412" s="16"/>
      <c r="J412" s="15"/>
      <c r="K412" s="15"/>
      <c r="L412" s="17"/>
      <c r="M412" s="17"/>
      <c r="AG412" s="14"/>
    </row>
    <row r="413" s="10" customFormat="1" spans="4:33">
      <c r="D413" s="15"/>
      <c r="F413" s="15"/>
      <c r="G413" s="16"/>
      <c r="J413" s="15"/>
      <c r="K413" s="15"/>
      <c r="L413" s="17"/>
      <c r="M413" s="17"/>
      <c r="AG413" s="14"/>
    </row>
    <row r="414" s="10" customFormat="1" spans="4:33">
      <c r="D414" s="15"/>
      <c r="F414" s="15"/>
      <c r="G414" s="16"/>
      <c r="J414" s="15"/>
      <c r="K414" s="15"/>
      <c r="L414" s="17"/>
      <c r="M414" s="17"/>
      <c r="AG414" s="14"/>
    </row>
    <row r="415" s="10" customFormat="1" spans="4:33">
      <c r="D415" s="15"/>
      <c r="F415" s="15"/>
      <c r="G415" s="16"/>
      <c r="J415" s="15"/>
      <c r="K415" s="15"/>
      <c r="L415" s="17"/>
      <c r="M415" s="17"/>
      <c r="AG415" s="14"/>
    </row>
    <row r="416" s="10" customFormat="1" spans="4:33">
      <c r="D416" s="15"/>
      <c r="F416" s="15"/>
      <c r="G416" s="16"/>
      <c r="J416" s="15"/>
      <c r="K416" s="15"/>
      <c r="L416" s="17"/>
      <c r="M416" s="17"/>
      <c r="AG416" s="14"/>
    </row>
    <row r="417" s="10" customFormat="1" spans="4:33">
      <c r="D417" s="15"/>
      <c r="F417" s="15"/>
      <c r="G417" s="16"/>
      <c r="J417" s="15"/>
      <c r="K417" s="15"/>
      <c r="L417" s="17"/>
      <c r="M417" s="17"/>
      <c r="AG417" s="14"/>
    </row>
    <row r="418" s="10" customFormat="1" spans="4:33">
      <c r="D418" s="15"/>
      <c r="F418" s="15"/>
      <c r="G418" s="16"/>
      <c r="J418" s="15"/>
      <c r="K418" s="15"/>
      <c r="L418" s="17"/>
      <c r="M418" s="17"/>
      <c r="AG418" s="14"/>
    </row>
    <row r="419" s="10" customFormat="1" spans="4:33">
      <c r="D419" s="15"/>
      <c r="F419" s="15"/>
      <c r="G419" s="16"/>
      <c r="J419" s="15"/>
      <c r="K419" s="15"/>
      <c r="L419" s="17"/>
      <c r="M419" s="17"/>
      <c r="AG419" s="14"/>
    </row>
    <row r="420" s="10" customFormat="1" spans="4:33">
      <c r="D420" s="15"/>
      <c r="F420" s="15"/>
      <c r="G420" s="16"/>
      <c r="J420" s="15"/>
      <c r="K420" s="15"/>
      <c r="L420" s="17"/>
      <c r="M420" s="17"/>
      <c r="AG420" s="14"/>
    </row>
    <row r="421" s="10" customFormat="1" spans="4:33">
      <c r="D421" s="15"/>
      <c r="F421" s="15"/>
      <c r="G421" s="16"/>
      <c r="J421" s="15"/>
      <c r="K421" s="15"/>
      <c r="L421" s="17"/>
      <c r="M421" s="17"/>
      <c r="AG421" s="14"/>
    </row>
    <row r="422" s="10" customFormat="1" spans="4:33">
      <c r="D422" s="15"/>
      <c r="F422" s="15"/>
      <c r="G422" s="16"/>
      <c r="J422" s="15"/>
      <c r="K422" s="15"/>
      <c r="L422" s="17"/>
      <c r="M422" s="17"/>
      <c r="AG422" s="14"/>
    </row>
    <row r="423" s="10" customFormat="1" spans="4:33">
      <c r="D423" s="15"/>
      <c r="F423" s="15"/>
      <c r="G423" s="16"/>
      <c r="J423" s="15"/>
      <c r="K423" s="15"/>
      <c r="L423" s="17"/>
      <c r="M423" s="17"/>
      <c r="AG423" s="14"/>
    </row>
    <row r="424" s="10" customFormat="1" spans="4:33">
      <c r="D424" s="15"/>
      <c r="F424" s="15"/>
      <c r="G424" s="16"/>
      <c r="J424" s="15"/>
      <c r="K424" s="15"/>
      <c r="L424" s="17"/>
      <c r="M424" s="17"/>
      <c r="AG424" s="14"/>
    </row>
    <row r="425" s="10" customFormat="1" spans="4:33">
      <c r="D425" s="15"/>
      <c r="F425" s="15"/>
      <c r="G425" s="16"/>
      <c r="J425" s="15"/>
      <c r="K425" s="15"/>
      <c r="L425" s="17"/>
      <c r="M425" s="17"/>
      <c r="AG425" s="14"/>
    </row>
    <row r="426" s="10" customFormat="1" spans="4:33">
      <c r="D426" s="15"/>
      <c r="F426" s="15"/>
      <c r="G426" s="16"/>
      <c r="J426" s="15"/>
      <c r="K426" s="15"/>
      <c r="L426" s="17"/>
      <c r="M426" s="17"/>
      <c r="AG426" s="14"/>
    </row>
    <row r="427" s="10" customFormat="1" spans="4:33">
      <c r="D427" s="15"/>
      <c r="F427" s="15"/>
      <c r="G427" s="16"/>
      <c r="J427" s="15"/>
      <c r="K427" s="15"/>
      <c r="L427" s="17"/>
      <c r="M427" s="17"/>
      <c r="AG427" s="14"/>
    </row>
    <row r="428" s="10" customFormat="1" spans="4:33">
      <c r="D428" s="15"/>
      <c r="F428" s="15"/>
      <c r="G428" s="16"/>
      <c r="J428" s="15"/>
      <c r="K428" s="15"/>
      <c r="L428" s="17"/>
      <c r="M428" s="17"/>
      <c r="AG428" s="14"/>
    </row>
    <row r="429" s="10" customFormat="1" spans="4:33">
      <c r="D429" s="15"/>
      <c r="F429" s="15"/>
      <c r="G429" s="16"/>
      <c r="J429" s="15"/>
      <c r="K429" s="15"/>
      <c r="L429" s="17"/>
      <c r="M429" s="17"/>
      <c r="AG429" s="14"/>
    </row>
    <row r="430" s="10" customFormat="1" spans="4:33">
      <c r="D430" s="15"/>
      <c r="F430" s="15"/>
      <c r="G430" s="16"/>
      <c r="J430" s="15"/>
      <c r="K430" s="15"/>
      <c r="L430" s="17"/>
      <c r="M430" s="17"/>
      <c r="AG430" s="14"/>
    </row>
    <row r="431" s="10" customFormat="1" spans="4:33">
      <c r="D431" s="15"/>
      <c r="F431" s="15"/>
      <c r="G431" s="16"/>
      <c r="J431" s="15"/>
      <c r="K431" s="15"/>
      <c r="L431" s="17"/>
      <c r="M431" s="17"/>
      <c r="AG431" s="14"/>
    </row>
    <row r="432" s="10" customFormat="1" spans="4:33">
      <c r="D432" s="15"/>
      <c r="F432" s="15"/>
      <c r="G432" s="16"/>
      <c r="J432" s="15"/>
      <c r="K432" s="15"/>
      <c r="L432" s="17"/>
      <c r="M432" s="17"/>
      <c r="AG432" s="14"/>
    </row>
    <row r="433" s="10" customFormat="1" spans="4:33">
      <c r="D433" s="15"/>
      <c r="F433" s="15"/>
      <c r="G433" s="16"/>
      <c r="J433" s="15"/>
      <c r="K433" s="15"/>
      <c r="L433" s="17"/>
      <c r="M433" s="17"/>
      <c r="AG433" s="14"/>
    </row>
    <row r="434" s="10" customFormat="1" spans="4:33">
      <c r="D434" s="15"/>
      <c r="F434" s="15"/>
      <c r="G434" s="16"/>
      <c r="J434" s="15"/>
      <c r="K434" s="15"/>
      <c r="L434" s="17"/>
      <c r="M434" s="17"/>
      <c r="AG434" s="14"/>
    </row>
    <row r="435" s="10" customFormat="1" spans="4:33">
      <c r="D435" s="15"/>
      <c r="F435" s="15"/>
      <c r="G435" s="16"/>
      <c r="J435" s="15"/>
      <c r="K435" s="15"/>
      <c r="L435" s="17"/>
      <c r="M435" s="17"/>
      <c r="AG435" s="14"/>
    </row>
    <row r="436" s="10" customFormat="1" spans="4:33">
      <c r="D436" s="15"/>
      <c r="F436" s="15"/>
      <c r="G436" s="16"/>
      <c r="J436" s="15"/>
      <c r="K436" s="15"/>
      <c r="L436" s="17"/>
      <c r="M436" s="17"/>
      <c r="AG436" s="14"/>
    </row>
    <row r="437" s="10" customFormat="1" spans="4:33">
      <c r="D437" s="15"/>
      <c r="F437" s="15"/>
      <c r="G437" s="16"/>
      <c r="J437" s="15"/>
      <c r="K437" s="15"/>
      <c r="L437" s="17"/>
      <c r="M437" s="17"/>
      <c r="AG437" s="14"/>
    </row>
    <row r="438" s="10" customFormat="1" spans="4:33">
      <c r="D438" s="15"/>
      <c r="F438" s="15"/>
      <c r="G438" s="16"/>
      <c r="J438" s="15"/>
      <c r="K438" s="15"/>
      <c r="L438" s="17"/>
      <c r="M438" s="17"/>
      <c r="AG438" s="14"/>
    </row>
    <row r="439" s="10" customFormat="1" spans="4:33">
      <c r="D439" s="15"/>
      <c r="F439" s="15"/>
      <c r="G439" s="16"/>
      <c r="J439" s="15"/>
      <c r="K439" s="15"/>
      <c r="L439" s="17"/>
      <c r="M439" s="17"/>
      <c r="AG439" s="14"/>
    </row>
    <row r="440" s="10" customFormat="1" spans="4:33">
      <c r="D440" s="15"/>
      <c r="F440" s="15"/>
      <c r="G440" s="16"/>
      <c r="J440" s="15"/>
      <c r="K440" s="15"/>
      <c r="L440" s="17"/>
      <c r="M440" s="17"/>
      <c r="AG440" s="14"/>
    </row>
    <row r="441" s="10" customFormat="1" spans="4:33">
      <c r="D441" s="15"/>
      <c r="F441" s="15"/>
      <c r="G441" s="16"/>
      <c r="J441" s="15"/>
      <c r="K441" s="15"/>
      <c r="L441" s="17"/>
      <c r="M441" s="17"/>
      <c r="AG441" s="14"/>
    </row>
    <row r="442" s="10" customFormat="1" spans="4:33">
      <c r="D442" s="15"/>
      <c r="F442" s="15"/>
      <c r="G442" s="16"/>
      <c r="J442" s="15"/>
      <c r="K442" s="15"/>
      <c r="L442" s="17"/>
      <c r="M442" s="17"/>
      <c r="AG442" s="14"/>
    </row>
    <row r="443" s="10" customFormat="1" spans="4:33">
      <c r="D443" s="15"/>
      <c r="F443" s="15"/>
      <c r="G443" s="16"/>
      <c r="J443" s="15"/>
      <c r="K443" s="15"/>
      <c r="L443" s="17"/>
      <c r="M443" s="17"/>
      <c r="AG443" s="14"/>
    </row>
    <row r="444" s="10" customFormat="1" spans="4:33">
      <c r="D444" s="15"/>
      <c r="F444" s="15"/>
      <c r="G444" s="16"/>
      <c r="J444" s="15"/>
      <c r="K444" s="15"/>
      <c r="L444" s="17"/>
      <c r="M444" s="17"/>
      <c r="AG444" s="14"/>
    </row>
    <row r="445" s="10" customFormat="1" spans="4:33">
      <c r="D445" s="15"/>
      <c r="F445" s="15"/>
      <c r="G445" s="16"/>
      <c r="J445" s="15"/>
      <c r="K445" s="15"/>
      <c r="L445" s="17"/>
      <c r="M445" s="17"/>
      <c r="AG445" s="14"/>
    </row>
    <row r="446" s="10" customFormat="1" spans="4:33">
      <c r="D446" s="15"/>
      <c r="F446" s="15"/>
      <c r="G446" s="16"/>
      <c r="J446" s="15"/>
      <c r="K446" s="15"/>
      <c r="L446" s="17"/>
      <c r="M446" s="17"/>
      <c r="AG446" s="14"/>
    </row>
    <row r="447" s="10" customFormat="1" spans="33:33">
      <c r="AG447" s="14"/>
    </row>
    <row r="448" s="10" customFormat="1" spans="33:33">
      <c r="AG448" s="14"/>
    </row>
    <row r="449" s="10" customFormat="1" spans="33:33">
      <c r="AG449" s="14"/>
    </row>
    <row r="450" s="10" customFormat="1" spans="33:33">
      <c r="AG450" s="14"/>
    </row>
    <row r="451" s="10" customFormat="1" spans="33:33">
      <c r="AG451" s="14"/>
    </row>
    <row r="452" s="10" customFormat="1" spans="33:33">
      <c r="AG452" s="14"/>
    </row>
    <row r="453" s="10" customFormat="1" spans="33:33">
      <c r="AG453" s="14"/>
    </row>
    <row r="454" s="10" customFormat="1" spans="33:33">
      <c r="AG454" s="14"/>
    </row>
    <row r="455" s="10" customFormat="1" spans="33:33">
      <c r="AG455" s="14"/>
    </row>
    <row r="456" s="10" customFormat="1" spans="33:33">
      <c r="AG456" s="14"/>
    </row>
    <row r="457" s="10" customFormat="1" spans="33:33">
      <c r="AG457" s="14"/>
    </row>
    <row r="458" s="10" customFormat="1" spans="33:33">
      <c r="AG458" s="14"/>
    </row>
    <row r="459" s="10" customFormat="1" spans="33:33">
      <c r="AG459" s="14"/>
    </row>
    <row r="460" s="10" customFormat="1" spans="33:33">
      <c r="AG460" s="14"/>
    </row>
    <row r="461" s="10" customFormat="1" spans="33:33">
      <c r="AG461" s="14"/>
    </row>
    <row r="462" s="10" customFormat="1" spans="33:33">
      <c r="AG462" s="14"/>
    </row>
    <row r="463" s="10" customFormat="1" spans="33:33">
      <c r="AG463" s="14"/>
    </row>
    <row r="464" s="10" customFormat="1" spans="33:33">
      <c r="AG464" s="14"/>
    </row>
    <row r="465" s="10" customFormat="1" spans="33:33">
      <c r="AG465" s="14"/>
    </row>
    <row r="466" s="10" customFormat="1" spans="33:33">
      <c r="AG466" s="14"/>
    </row>
    <row r="467" s="10" customFormat="1" spans="33:33">
      <c r="AG467" s="14"/>
    </row>
    <row r="468" s="10" customFormat="1" spans="33:33">
      <c r="AG468" s="14"/>
    </row>
    <row r="469" s="10" customFormat="1" spans="33:33">
      <c r="AG469" s="14"/>
    </row>
    <row r="470" s="10" customFormat="1" spans="33:33">
      <c r="AG470" s="14"/>
    </row>
    <row r="471" s="10" customFormat="1" spans="33:33">
      <c r="AG471" s="14"/>
    </row>
    <row r="472" s="10" customFormat="1" spans="33:33">
      <c r="AG472" s="14"/>
    </row>
    <row r="473" s="10" customFormat="1" spans="33:33">
      <c r="AG473" s="14"/>
    </row>
    <row r="474" s="10" customFormat="1" spans="33:33">
      <c r="AG474" s="14"/>
    </row>
    <row r="475" s="10" customFormat="1" spans="33:33">
      <c r="AG475" s="14"/>
    </row>
    <row r="476" s="10" customFormat="1" spans="33:33">
      <c r="AG476" s="14"/>
    </row>
    <row r="477" s="10" customFormat="1" spans="33:33">
      <c r="AG477" s="14"/>
    </row>
    <row r="478" s="10" customFormat="1" spans="33:33">
      <c r="AG478" s="14"/>
    </row>
    <row r="479" s="10" customFormat="1" spans="33:33">
      <c r="AG479" s="14"/>
    </row>
    <row r="480" s="10" customFormat="1" spans="33:33">
      <c r="AG480" s="14"/>
    </row>
    <row r="481" s="10" customFormat="1" spans="33:33">
      <c r="AG481" s="14"/>
    </row>
    <row r="482" s="10" customFormat="1" spans="33:33">
      <c r="AG482" s="14"/>
    </row>
    <row r="483" s="10" customFormat="1" spans="33:33">
      <c r="AG483" s="14"/>
    </row>
    <row r="484" s="10" customFormat="1" spans="33:33">
      <c r="AG484" s="14"/>
    </row>
    <row r="485" s="10" customFormat="1" spans="33:33">
      <c r="AG485" s="14"/>
    </row>
    <row r="486" s="10" customFormat="1" spans="33:33">
      <c r="AG486" s="14"/>
    </row>
    <row r="487" s="10" customFormat="1" spans="33:33">
      <c r="AG487" s="14"/>
    </row>
    <row r="488" s="10" customFormat="1" spans="33:33">
      <c r="AG488" s="14"/>
    </row>
    <row r="489" s="10" customFormat="1" spans="33:33">
      <c r="AG489" s="14"/>
    </row>
    <row r="490" s="10" customFormat="1" spans="33:33">
      <c r="AG490" s="14"/>
    </row>
    <row r="491" s="10" customFormat="1" spans="33:33">
      <c r="AG491" s="14"/>
    </row>
    <row r="492" s="10" customFormat="1" spans="33:33">
      <c r="AG492" s="14"/>
    </row>
    <row r="493" s="10" customFormat="1" spans="33:33">
      <c r="AG493" s="14"/>
    </row>
    <row r="494" s="10" customFormat="1" spans="33:33">
      <c r="AG494" s="14"/>
    </row>
    <row r="495" s="10" customFormat="1" spans="33:33">
      <c r="AG495" s="14"/>
    </row>
    <row r="496" s="10" customFormat="1" spans="33:33">
      <c r="AG496" s="14"/>
    </row>
    <row r="497" s="10" customFormat="1" spans="33:33">
      <c r="AG497" s="14"/>
    </row>
    <row r="498" s="10" customFormat="1" spans="33:33">
      <c r="AG498" s="14"/>
    </row>
    <row r="499" s="10" customFormat="1" spans="33:33">
      <c r="AG499" s="14"/>
    </row>
    <row r="500" s="10" customFormat="1" spans="33:33">
      <c r="AG500" s="14"/>
    </row>
    <row r="501" s="10" customFormat="1" spans="33:33">
      <c r="AG501" s="14"/>
    </row>
    <row r="502" s="10" customFormat="1" spans="33:33">
      <c r="AG502" s="14"/>
    </row>
    <row r="503" s="10" customFormat="1" spans="33:33">
      <c r="AG503" s="14"/>
    </row>
    <row r="504" s="10" customFormat="1" spans="33:33">
      <c r="AG504" s="14"/>
    </row>
    <row r="505" s="10" customFormat="1" spans="33:33">
      <c r="AG505" s="14"/>
    </row>
    <row r="506" s="10" customFormat="1" spans="33:33">
      <c r="AG506" s="14"/>
    </row>
    <row r="507" s="10" customFormat="1" spans="33:33">
      <c r="AG507" s="14"/>
    </row>
    <row r="508" s="10" customFormat="1" spans="33:33">
      <c r="AG508" s="14"/>
    </row>
    <row r="509" s="10" customFormat="1" spans="33:33">
      <c r="AG509" s="14"/>
    </row>
    <row r="510" s="10" customFormat="1" spans="33:33">
      <c r="AG510" s="14"/>
    </row>
    <row r="511" s="10" customFormat="1" spans="33:33">
      <c r="AG511" s="14"/>
    </row>
    <row r="512" s="10" customFormat="1" spans="33:33">
      <c r="AG512" s="14"/>
    </row>
    <row r="513" s="10" customFormat="1" spans="33:33">
      <c r="AG513" s="14"/>
    </row>
    <row r="514" s="10" customFormat="1" spans="33:33">
      <c r="AG514" s="14"/>
    </row>
    <row r="515" s="10" customFormat="1" spans="33:33">
      <c r="AG515" s="14"/>
    </row>
    <row r="516" s="10" customFormat="1" spans="33:33">
      <c r="AG516" s="14"/>
    </row>
    <row r="517" s="10" customFormat="1" spans="33:33">
      <c r="AG517" s="14"/>
    </row>
    <row r="518" s="10" customFormat="1" spans="33:33">
      <c r="AG518" s="14"/>
    </row>
    <row r="519" s="10" customFormat="1" spans="33:33">
      <c r="AG519" s="14"/>
    </row>
    <row r="520" s="10" customFormat="1" spans="33:33">
      <c r="AG520" s="14"/>
    </row>
    <row r="521" s="10" customFormat="1" spans="1:33">
      <c r="A521" s="13"/>
      <c r="D521" s="15"/>
      <c r="F521" s="15"/>
      <c r="G521" s="16"/>
      <c r="J521" s="15"/>
      <c r="K521" s="15"/>
      <c r="L521" s="17"/>
      <c r="M521" s="17"/>
      <c r="AG521" s="14"/>
    </row>
    <row r="522" s="10" customFormat="1" spans="1:33">
      <c r="A522" s="13"/>
      <c r="D522" s="15"/>
      <c r="F522" s="15"/>
      <c r="G522" s="16"/>
      <c r="J522" s="15"/>
      <c r="K522" s="15"/>
      <c r="L522" s="17"/>
      <c r="M522" s="17"/>
      <c r="AG522" s="14"/>
    </row>
    <row r="523" s="10" customFormat="1" spans="1:33">
      <c r="A523" s="13"/>
      <c r="D523" s="15"/>
      <c r="F523" s="15"/>
      <c r="G523" s="16"/>
      <c r="J523" s="15"/>
      <c r="K523" s="15"/>
      <c r="L523" s="17"/>
      <c r="M523" s="17"/>
      <c r="AG523" s="14"/>
    </row>
    <row r="524" s="10" customFormat="1" spans="1:33">
      <c r="A524" s="13"/>
      <c r="D524" s="15"/>
      <c r="F524" s="15"/>
      <c r="G524" s="16"/>
      <c r="J524" s="15"/>
      <c r="K524" s="15"/>
      <c r="L524" s="17"/>
      <c r="M524" s="17"/>
      <c r="AG524" s="14"/>
    </row>
    <row r="525" s="10" customFormat="1" spans="1:33">
      <c r="A525" s="13"/>
      <c r="D525" s="15"/>
      <c r="F525" s="15"/>
      <c r="G525" s="16"/>
      <c r="J525" s="15"/>
      <c r="K525" s="15"/>
      <c r="L525" s="17"/>
      <c r="M525" s="17"/>
      <c r="AG525" s="14"/>
    </row>
    <row r="526" s="10" customFormat="1" spans="1:33">
      <c r="A526" s="13"/>
      <c r="D526" s="15"/>
      <c r="F526" s="15"/>
      <c r="G526" s="16"/>
      <c r="J526" s="15"/>
      <c r="K526" s="15"/>
      <c r="L526" s="17"/>
      <c r="M526" s="17"/>
      <c r="AG526" s="14"/>
    </row>
    <row r="527" s="10" customFormat="1" spans="1:33">
      <c r="A527" s="13"/>
      <c r="D527" s="15"/>
      <c r="F527" s="15"/>
      <c r="G527" s="16"/>
      <c r="J527" s="15"/>
      <c r="K527" s="15"/>
      <c r="L527" s="17"/>
      <c r="M527" s="17"/>
      <c r="AG527" s="14"/>
    </row>
    <row r="528" s="10" customFormat="1" spans="1:33">
      <c r="A528" s="13"/>
      <c r="D528" s="15"/>
      <c r="F528" s="15"/>
      <c r="G528" s="16"/>
      <c r="J528" s="15"/>
      <c r="K528" s="15"/>
      <c r="L528" s="17"/>
      <c r="M528" s="17"/>
      <c r="AG528" s="14"/>
    </row>
    <row r="529" s="10" customFormat="1" spans="1:33">
      <c r="A529" s="13"/>
      <c r="D529" s="15"/>
      <c r="F529" s="15"/>
      <c r="G529" s="16"/>
      <c r="J529" s="15"/>
      <c r="K529" s="15"/>
      <c r="L529" s="17"/>
      <c r="M529" s="17"/>
      <c r="AG529" s="14"/>
    </row>
    <row r="530" s="10" customFormat="1" spans="1:33">
      <c r="A530" s="13"/>
      <c r="D530" s="15"/>
      <c r="F530" s="15"/>
      <c r="G530" s="16"/>
      <c r="J530" s="15"/>
      <c r="K530" s="15"/>
      <c r="L530" s="17"/>
      <c r="M530" s="17"/>
      <c r="AG530" s="14"/>
    </row>
    <row r="531" s="10" customFormat="1" spans="1:33">
      <c r="A531" s="13"/>
      <c r="D531" s="15"/>
      <c r="F531" s="15"/>
      <c r="G531" s="16"/>
      <c r="J531" s="15"/>
      <c r="K531" s="15"/>
      <c r="L531" s="17"/>
      <c r="M531" s="17"/>
      <c r="AG531" s="14"/>
    </row>
    <row r="532" s="10" customFormat="1" spans="1:33">
      <c r="A532" s="13"/>
      <c r="D532" s="15"/>
      <c r="F532" s="15"/>
      <c r="G532" s="16"/>
      <c r="J532" s="15"/>
      <c r="K532" s="15"/>
      <c r="L532" s="17"/>
      <c r="M532" s="17"/>
      <c r="AG532" s="14"/>
    </row>
    <row r="533" s="10" customFormat="1" spans="1:33">
      <c r="A533" s="13"/>
      <c r="D533" s="15"/>
      <c r="F533" s="15"/>
      <c r="G533" s="16"/>
      <c r="J533" s="15"/>
      <c r="K533" s="15"/>
      <c r="L533" s="17"/>
      <c r="M533" s="17"/>
      <c r="AG533" s="14"/>
    </row>
    <row r="534" s="10" customFormat="1" spans="1:33">
      <c r="A534" s="13"/>
      <c r="D534" s="15"/>
      <c r="F534" s="15"/>
      <c r="G534" s="16"/>
      <c r="J534" s="15"/>
      <c r="K534" s="15"/>
      <c r="L534" s="17"/>
      <c r="M534" s="17"/>
      <c r="AG534" s="14"/>
    </row>
    <row r="535" s="10" customFormat="1" spans="1:33">
      <c r="A535" s="13"/>
      <c r="D535" s="15"/>
      <c r="F535" s="15"/>
      <c r="G535" s="16"/>
      <c r="J535" s="15"/>
      <c r="K535" s="15"/>
      <c r="L535" s="17"/>
      <c r="M535" s="17"/>
      <c r="AG535" s="14"/>
    </row>
    <row r="536" s="10" customFormat="1" spans="1:33">
      <c r="A536" s="13"/>
      <c r="D536" s="15"/>
      <c r="F536" s="15"/>
      <c r="G536" s="16"/>
      <c r="J536" s="15"/>
      <c r="K536" s="15"/>
      <c r="L536" s="17"/>
      <c r="M536" s="17"/>
      <c r="AG536" s="14"/>
    </row>
    <row r="537" s="10" customFormat="1" spans="1:33">
      <c r="A537" s="13"/>
      <c r="D537" s="15"/>
      <c r="F537" s="15"/>
      <c r="G537" s="16"/>
      <c r="J537" s="15"/>
      <c r="K537" s="15"/>
      <c r="L537" s="17"/>
      <c r="M537" s="17"/>
      <c r="AG537" s="14"/>
    </row>
    <row r="538" s="10" customFormat="1" spans="1:33">
      <c r="A538" s="13"/>
      <c r="D538" s="15"/>
      <c r="F538" s="15"/>
      <c r="G538" s="16"/>
      <c r="J538" s="15"/>
      <c r="K538" s="15"/>
      <c r="L538" s="17"/>
      <c r="M538" s="17"/>
      <c r="AG538" s="14"/>
    </row>
    <row r="539" s="10" customFormat="1" spans="1:33">
      <c r="A539" s="13"/>
      <c r="D539" s="15"/>
      <c r="F539" s="15"/>
      <c r="G539" s="16"/>
      <c r="J539" s="15"/>
      <c r="K539" s="15"/>
      <c r="L539" s="17"/>
      <c r="M539" s="17"/>
      <c r="AG539" s="14"/>
    </row>
    <row r="540" s="10" customFormat="1" spans="1:33">
      <c r="A540" s="13"/>
      <c r="D540" s="15"/>
      <c r="F540" s="15"/>
      <c r="G540" s="16"/>
      <c r="J540" s="15"/>
      <c r="K540" s="15"/>
      <c r="L540" s="17"/>
      <c r="M540" s="17"/>
      <c r="AG540" s="14"/>
    </row>
    <row r="541" s="10" customFormat="1" spans="1:33">
      <c r="A541" s="13"/>
      <c r="D541" s="15"/>
      <c r="F541" s="15"/>
      <c r="G541" s="16"/>
      <c r="J541" s="15"/>
      <c r="K541" s="15"/>
      <c r="L541" s="17"/>
      <c r="M541" s="17"/>
      <c r="AG541" s="14"/>
    </row>
    <row r="542" s="10" customFormat="1" spans="1:33">
      <c r="A542" s="13"/>
      <c r="D542" s="15"/>
      <c r="F542" s="15"/>
      <c r="G542" s="16"/>
      <c r="J542" s="15"/>
      <c r="K542" s="15"/>
      <c r="L542" s="17"/>
      <c r="M542" s="17"/>
      <c r="AG542" s="14"/>
    </row>
    <row r="543" s="10" customFormat="1" spans="1:33">
      <c r="A543" s="13"/>
      <c r="D543" s="15"/>
      <c r="F543" s="15"/>
      <c r="G543" s="16"/>
      <c r="J543" s="15"/>
      <c r="K543" s="15"/>
      <c r="L543" s="17"/>
      <c r="M543" s="17"/>
      <c r="AG543" s="14"/>
    </row>
    <row r="544" s="10" customFormat="1" spans="1:33">
      <c r="A544" s="13"/>
      <c r="D544" s="15"/>
      <c r="F544" s="15"/>
      <c r="G544" s="16"/>
      <c r="J544" s="15"/>
      <c r="K544" s="15"/>
      <c r="L544" s="17"/>
      <c r="M544" s="17"/>
      <c r="AG544" s="14"/>
    </row>
    <row r="545" s="10" customFormat="1" spans="1:33">
      <c r="A545" s="13"/>
      <c r="D545" s="15"/>
      <c r="F545" s="15"/>
      <c r="G545" s="16"/>
      <c r="J545" s="15"/>
      <c r="K545" s="15"/>
      <c r="L545" s="17"/>
      <c r="M545" s="17"/>
      <c r="AG545" s="14"/>
    </row>
    <row r="546" s="10" customFormat="1" spans="1:33">
      <c r="A546" s="13"/>
      <c r="D546" s="15"/>
      <c r="F546" s="15"/>
      <c r="G546" s="16"/>
      <c r="J546" s="15"/>
      <c r="K546" s="15"/>
      <c r="L546" s="17"/>
      <c r="M546" s="17"/>
      <c r="AG546" s="14"/>
    </row>
    <row r="547" s="10" customFormat="1" spans="1:33">
      <c r="A547" s="13"/>
      <c r="D547" s="15"/>
      <c r="F547" s="15"/>
      <c r="G547" s="16"/>
      <c r="J547" s="15"/>
      <c r="K547" s="15"/>
      <c r="L547" s="17"/>
      <c r="M547" s="17"/>
      <c r="AG547" s="14"/>
    </row>
    <row r="548" s="10" customFormat="1" spans="1:33">
      <c r="A548" s="13"/>
      <c r="D548" s="15"/>
      <c r="F548" s="15"/>
      <c r="G548" s="16"/>
      <c r="J548" s="15"/>
      <c r="K548" s="15"/>
      <c r="L548" s="17"/>
      <c r="M548" s="17"/>
      <c r="AG548" s="14"/>
    </row>
    <row r="549" s="10" customFormat="1" spans="1:33">
      <c r="A549" s="13"/>
      <c r="D549" s="15"/>
      <c r="F549" s="15"/>
      <c r="G549" s="16"/>
      <c r="J549" s="15"/>
      <c r="K549" s="15"/>
      <c r="L549" s="17"/>
      <c r="M549" s="17"/>
      <c r="AG549" s="14"/>
    </row>
    <row r="550" s="10" customFormat="1" spans="1:33">
      <c r="A550" s="13"/>
      <c r="D550" s="15"/>
      <c r="F550" s="15"/>
      <c r="G550" s="16"/>
      <c r="J550" s="15"/>
      <c r="K550" s="15"/>
      <c r="L550" s="17"/>
      <c r="M550" s="17"/>
      <c r="AG550" s="14"/>
    </row>
    <row r="551" s="10" customFormat="1" spans="1:33">
      <c r="A551" s="13"/>
      <c r="D551" s="15"/>
      <c r="F551" s="15"/>
      <c r="G551" s="16"/>
      <c r="J551" s="15"/>
      <c r="K551" s="15"/>
      <c r="L551" s="17"/>
      <c r="M551" s="17"/>
      <c r="AG551" s="14"/>
    </row>
    <row r="552" s="10" customFormat="1" spans="1:33">
      <c r="A552" s="13"/>
      <c r="D552" s="15"/>
      <c r="F552" s="15"/>
      <c r="G552" s="16"/>
      <c r="J552" s="15"/>
      <c r="K552" s="15"/>
      <c r="L552" s="17"/>
      <c r="M552" s="17"/>
      <c r="AG552" s="14"/>
    </row>
    <row r="553" s="10" customFormat="1" spans="1:33">
      <c r="A553" s="13"/>
      <c r="D553" s="15"/>
      <c r="F553" s="15"/>
      <c r="G553" s="16"/>
      <c r="J553" s="15"/>
      <c r="K553" s="15"/>
      <c r="L553" s="17"/>
      <c r="M553" s="17"/>
      <c r="AG553" s="14"/>
    </row>
    <row r="554" s="10" customFormat="1" spans="1:33">
      <c r="A554" s="13"/>
      <c r="D554" s="15"/>
      <c r="F554" s="15"/>
      <c r="G554" s="16"/>
      <c r="J554" s="15"/>
      <c r="K554" s="15"/>
      <c r="L554" s="17"/>
      <c r="M554" s="17"/>
      <c r="AG554" s="14"/>
    </row>
    <row r="555" s="10" customFormat="1" spans="1:33">
      <c r="A555" s="13"/>
      <c r="D555" s="15"/>
      <c r="F555" s="15"/>
      <c r="G555" s="16"/>
      <c r="J555" s="15"/>
      <c r="K555" s="15"/>
      <c r="L555" s="17"/>
      <c r="M555" s="17"/>
      <c r="AG555" s="14"/>
    </row>
    <row r="556" s="10" customFormat="1" spans="1:33">
      <c r="A556" s="13"/>
      <c r="D556" s="15"/>
      <c r="F556" s="15"/>
      <c r="G556" s="16"/>
      <c r="J556" s="15"/>
      <c r="K556" s="15"/>
      <c r="L556" s="17"/>
      <c r="M556" s="17"/>
      <c r="AG556" s="14"/>
    </row>
    <row r="557" s="10" customFormat="1" spans="1:33">
      <c r="A557" s="13"/>
      <c r="D557" s="15"/>
      <c r="F557" s="15"/>
      <c r="G557" s="16"/>
      <c r="J557" s="15"/>
      <c r="K557" s="15"/>
      <c r="L557" s="17"/>
      <c r="M557" s="17"/>
      <c r="AG557" s="14"/>
    </row>
    <row r="558" s="10" customFormat="1" spans="1:33">
      <c r="A558" s="13"/>
      <c r="D558" s="15"/>
      <c r="F558" s="15"/>
      <c r="G558" s="16"/>
      <c r="J558" s="15"/>
      <c r="K558" s="15"/>
      <c r="L558" s="17"/>
      <c r="M558" s="17"/>
      <c r="AG558" s="14"/>
    </row>
    <row r="559" s="10" customFormat="1" spans="1:33">
      <c r="A559" s="13"/>
      <c r="D559" s="15"/>
      <c r="F559" s="15"/>
      <c r="G559" s="16"/>
      <c r="J559" s="15"/>
      <c r="K559" s="15"/>
      <c r="L559" s="17"/>
      <c r="M559" s="17"/>
      <c r="AG559" s="14"/>
    </row>
    <row r="560" s="10" customFormat="1" spans="1:33">
      <c r="A560" s="13"/>
      <c r="D560" s="15"/>
      <c r="F560" s="15"/>
      <c r="G560" s="16"/>
      <c r="J560" s="15"/>
      <c r="K560" s="15"/>
      <c r="L560" s="17"/>
      <c r="M560" s="17"/>
      <c r="AG560" s="14"/>
    </row>
    <row r="561" s="10" customFormat="1" spans="1:33">
      <c r="A561" s="13"/>
      <c r="D561" s="15"/>
      <c r="F561" s="15"/>
      <c r="G561" s="16"/>
      <c r="J561" s="15"/>
      <c r="K561" s="15"/>
      <c r="L561" s="17"/>
      <c r="M561" s="17"/>
      <c r="AG561" s="14"/>
    </row>
    <row r="562" s="10" customFormat="1" spans="1:33">
      <c r="A562" s="13"/>
      <c r="D562" s="15"/>
      <c r="F562" s="15"/>
      <c r="G562" s="16"/>
      <c r="J562" s="15"/>
      <c r="K562" s="15"/>
      <c r="L562" s="17"/>
      <c r="M562" s="17"/>
      <c r="AG562" s="14"/>
    </row>
    <row r="563" s="10" customFormat="1" spans="1:33">
      <c r="A563" s="13"/>
      <c r="D563" s="15"/>
      <c r="F563" s="15"/>
      <c r="G563" s="16"/>
      <c r="J563" s="15"/>
      <c r="K563" s="15"/>
      <c r="L563" s="17"/>
      <c r="M563" s="17"/>
      <c r="AG563" s="14"/>
    </row>
    <row r="564" s="10" customFormat="1" spans="1:33">
      <c r="A564" s="13"/>
      <c r="D564" s="15"/>
      <c r="F564" s="15"/>
      <c r="G564" s="16"/>
      <c r="J564" s="15"/>
      <c r="K564" s="15"/>
      <c r="L564" s="17"/>
      <c r="M564" s="17"/>
      <c r="AG564" s="14"/>
    </row>
    <row r="565" s="10" customFormat="1" spans="1:33">
      <c r="A565" s="13"/>
      <c r="D565" s="15"/>
      <c r="F565" s="15"/>
      <c r="G565" s="16"/>
      <c r="J565" s="15"/>
      <c r="K565" s="15"/>
      <c r="L565" s="17"/>
      <c r="M565" s="17"/>
      <c r="AG565" s="14"/>
    </row>
    <row r="566" s="10" customFormat="1" spans="1:33">
      <c r="A566" s="13"/>
      <c r="D566" s="15"/>
      <c r="F566" s="15"/>
      <c r="G566" s="16"/>
      <c r="J566" s="15"/>
      <c r="K566" s="15"/>
      <c r="L566" s="17"/>
      <c r="M566" s="17"/>
      <c r="AG566" s="14"/>
    </row>
    <row r="567" s="10" customFormat="1" spans="1:33">
      <c r="A567" s="13"/>
      <c r="D567" s="15"/>
      <c r="F567" s="15"/>
      <c r="G567" s="16"/>
      <c r="J567" s="15"/>
      <c r="K567" s="15"/>
      <c r="L567" s="17"/>
      <c r="M567" s="17"/>
      <c r="AG567" s="14"/>
    </row>
    <row r="568" s="10" customFormat="1" spans="1:33">
      <c r="A568" s="13"/>
      <c r="AG568" s="14"/>
    </row>
    <row r="569" s="10" customFormat="1" spans="1:33">
      <c r="A569" s="13"/>
      <c r="AG569" s="14"/>
    </row>
    <row r="570" s="10" customFormat="1" spans="1:33">
      <c r="A570" s="13"/>
      <c r="AG570" s="14"/>
    </row>
    <row r="571" s="10" customFormat="1" spans="1:33">
      <c r="A571" s="13"/>
      <c r="AG571" s="14"/>
    </row>
    <row r="572" s="10" customFormat="1" spans="1:33">
      <c r="A572" s="13"/>
      <c r="AG572" s="14"/>
    </row>
    <row r="573" s="10" customFormat="1" spans="1:33">
      <c r="A573" s="13"/>
      <c r="D573" s="15"/>
      <c r="F573" s="15"/>
      <c r="G573" s="16"/>
      <c r="J573" s="15"/>
      <c r="K573" s="15"/>
      <c r="L573" s="17"/>
      <c r="M573" s="17"/>
      <c r="AG573" s="14"/>
    </row>
    <row r="574" s="10" customFormat="1" spans="1:33">
      <c r="A574" s="13"/>
      <c r="D574" s="15"/>
      <c r="F574" s="15"/>
      <c r="G574" s="16"/>
      <c r="J574" s="15"/>
      <c r="K574" s="15"/>
      <c r="L574" s="17"/>
      <c r="M574" s="17"/>
      <c r="AG574" s="14"/>
    </row>
    <row r="575" s="10" customFormat="1" spans="1:33">
      <c r="A575" s="13"/>
      <c r="D575" s="15"/>
      <c r="F575" s="15"/>
      <c r="G575" s="16"/>
      <c r="J575" s="15"/>
      <c r="K575" s="15"/>
      <c r="L575" s="17"/>
      <c r="M575" s="17"/>
      <c r="AG575" s="14"/>
    </row>
    <row r="576" s="10" customFormat="1" spans="1:33">
      <c r="A576" s="13"/>
      <c r="D576" s="15"/>
      <c r="F576" s="15"/>
      <c r="G576" s="16"/>
      <c r="J576" s="15"/>
      <c r="K576" s="15"/>
      <c r="L576" s="17"/>
      <c r="M576" s="17"/>
      <c r="AG576" s="14"/>
    </row>
    <row r="577" s="10" customFormat="1" spans="1:33">
      <c r="A577" s="13"/>
      <c r="D577" s="15"/>
      <c r="F577" s="15"/>
      <c r="G577" s="16"/>
      <c r="J577" s="15"/>
      <c r="K577" s="15"/>
      <c r="L577" s="17"/>
      <c r="M577" s="17"/>
      <c r="AG577" s="14"/>
    </row>
    <row r="578" s="10" customFormat="1" spans="1:33">
      <c r="A578" s="13"/>
      <c r="D578" s="15"/>
      <c r="F578" s="15"/>
      <c r="G578" s="16"/>
      <c r="J578" s="15"/>
      <c r="K578" s="15"/>
      <c r="L578" s="17"/>
      <c r="M578" s="17"/>
      <c r="AG578" s="14"/>
    </row>
    <row r="579" s="10" customFormat="1" spans="1:33">
      <c r="A579" s="13"/>
      <c r="D579" s="15"/>
      <c r="F579" s="15"/>
      <c r="G579" s="16"/>
      <c r="J579" s="15"/>
      <c r="K579" s="15"/>
      <c r="L579" s="17"/>
      <c r="M579" s="17"/>
      <c r="AG579" s="14"/>
    </row>
    <row r="580" s="10" customFormat="1" spans="1:33">
      <c r="A580" s="13"/>
      <c r="D580" s="15"/>
      <c r="F580" s="15"/>
      <c r="G580" s="16"/>
      <c r="J580" s="15"/>
      <c r="K580" s="15"/>
      <c r="L580" s="17"/>
      <c r="M580" s="17"/>
      <c r="AG580" s="14"/>
    </row>
    <row r="581" s="10" customFormat="1" spans="1:33">
      <c r="A581" s="13"/>
      <c r="D581" s="15"/>
      <c r="F581" s="15"/>
      <c r="G581" s="16"/>
      <c r="J581" s="15"/>
      <c r="K581" s="15"/>
      <c r="L581" s="17"/>
      <c r="M581" s="17"/>
      <c r="AG581" s="14"/>
    </row>
    <row r="582" s="10" customFormat="1" spans="1:33">
      <c r="A582" s="13"/>
      <c r="D582" s="15"/>
      <c r="F582" s="15"/>
      <c r="G582" s="16"/>
      <c r="J582" s="15"/>
      <c r="K582" s="15"/>
      <c r="L582" s="17"/>
      <c r="M582" s="17"/>
      <c r="AG582" s="14"/>
    </row>
    <row r="583" s="10" customFormat="1" spans="1:33">
      <c r="A583" s="13"/>
      <c r="D583" s="15"/>
      <c r="F583" s="15"/>
      <c r="G583" s="16"/>
      <c r="J583" s="15"/>
      <c r="K583" s="15"/>
      <c r="L583" s="17"/>
      <c r="M583" s="17"/>
      <c r="AG583" s="14"/>
    </row>
    <row r="584" s="10" customFormat="1" spans="1:33">
      <c r="A584" s="13"/>
      <c r="D584" s="15"/>
      <c r="F584" s="15"/>
      <c r="G584" s="16"/>
      <c r="J584" s="15"/>
      <c r="K584" s="15"/>
      <c r="L584" s="17"/>
      <c r="M584" s="17"/>
      <c r="AG584" s="14"/>
    </row>
    <row r="585" s="10" customFormat="1" spans="1:33">
      <c r="A585" s="13"/>
      <c r="D585" s="15"/>
      <c r="F585" s="15"/>
      <c r="G585" s="16"/>
      <c r="J585" s="15"/>
      <c r="K585" s="15"/>
      <c r="L585" s="17"/>
      <c r="M585" s="17"/>
      <c r="AG585" s="14"/>
    </row>
    <row r="586" s="10" customFormat="1" spans="1:33">
      <c r="A586" s="13"/>
      <c r="D586" s="15"/>
      <c r="F586" s="15"/>
      <c r="G586" s="16"/>
      <c r="J586" s="15"/>
      <c r="K586" s="15"/>
      <c r="L586" s="17"/>
      <c r="M586" s="17"/>
      <c r="AG586" s="14"/>
    </row>
    <row r="587" s="10" customFormat="1" spans="1:33">
      <c r="A587" s="13"/>
      <c r="D587" s="15"/>
      <c r="F587" s="15"/>
      <c r="G587" s="16"/>
      <c r="J587" s="15"/>
      <c r="K587" s="15"/>
      <c r="L587" s="17"/>
      <c r="M587" s="17"/>
      <c r="AG587" s="14"/>
    </row>
    <row r="588" s="10" customFormat="1" spans="1:33">
      <c r="A588" s="13"/>
      <c r="D588" s="15"/>
      <c r="F588" s="15"/>
      <c r="G588" s="16"/>
      <c r="J588" s="15"/>
      <c r="K588" s="15"/>
      <c r="L588" s="17"/>
      <c r="M588" s="17"/>
      <c r="AG588" s="14"/>
    </row>
    <row r="589" s="10" customFormat="1" spans="1:33">
      <c r="A589" s="13"/>
      <c r="D589" s="15"/>
      <c r="F589" s="15"/>
      <c r="G589" s="16"/>
      <c r="J589" s="15"/>
      <c r="K589" s="15"/>
      <c r="L589" s="17"/>
      <c r="M589" s="17"/>
      <c r="AG589" s="14"/>
    </row>
    <row r="590" s="10" customFormat="1" spans="1:33">
      <c r="A590" s="13"/>
      <c r="D590" s="15"/>
      <c r="F590" s="15"/>
      <c r="G590" s="16"/>
      <c r="J590" s="15"/>
      <c r="K590" s="15"/>
      <c r="L590" s="17"/>
      <c r="M590" s="17"/>
      <c r="AG590" s="14"/>
    </row>
    <row r="591" s="10" customFormat="1" spans="1:33">
      <c r="A591" s="13"/>
      <c r="D591" s="15"/>
      <c r="F591" s="15"/>
      <c r="G591" s="16"/>
      <c r="J591" s="15"/>
      <c r="K591" s="15"/>
      <c r="L591" s="17"/>
      <c r="M591" s="17"/>
      <c r="AG591" s="14"/>
    </row>
    <row r="592" s="10" customFormat="1" spans="1:33">
      <c r="A592" s="13"/>
      <c r="D592" s="15"/>
      <c r="F592" s="15"/>
      <c r="G592" s="16"/>
      <c r="J592" s="15"/>
      <c r="K592" s="15"/>
      <c r="L592" s="17"/>
      <c r="M592" s="17"/>
      <c r="AG592" s="14"/>
    </row>
    <row r="593" s="10" customFormat="1" spans="1:33">
      <c r="A593" s="13"/>
      <c r="D593" s="15"/>
      <c r="F593" s="15"/>
      <c r="G593" s="16"/>
      <c r="J593" s="15"/>
      <c r="K593" s="15"/>
      <c r="L593" s="17"/>
      <c r="M593" s="17"/>
      <c r="AG593" s="14"/>
    </row>
    <row r="594" s="10" customFormat="1" spans="1:33">
      <c r="A594" s="13"/>
      <c r="D594" s="15"/>
      <c r="F594" s="15"/>
      <c r="G594" s="16"/>
      <c r="J594" s="15"/>
      <c r="K594" s="15"/>
      <c r="L594" s="17"/>
      <c r="M594" s="17"/>
      <c r="AG594" s="14"/>
    </row>
    <row r="595" s="10" customFormat="1" spans="1:33">
      <c r="A595" s="13"/>
      <c r="D595" s="15"/>
      <c r="F595" s="15"/>
      <c r="G595" s="16"/>
      <c r="J595" s="15"/>
      <c r="K595" s="15"/>
      <c r="L595" s="17"/>
      <c r="M595" s="17"/>
      <c r="AG595" s="14"/>
    </row>
    <row r="596" s="10" customFormat="1" spans="1:33">
      <c r="A596" s="13"/>
      <c r="D596" s="15"/>
      <c r="F596" s="15"/>
      <c r="G596" s="16"/>
      <c r="J596" s="15"/>
      <c r="K596" s="15"/>
      <c r="L596" s="17"/>
      <c r="M596" s="17"/>
      <c r="AG596" s="14"/>
    </row>
    <row r="597" s="10" customFormat="1" spans="1:33">
      <c r="A597" s="13"/>
      <c r="D597" s="15"/>
      <c r="F597" s="15"/>
      <c r="G597" s="16"/>
      <c r="J597" s="15"/>
      <c r="K597" s="15"/>
      <c r="L597" s="17"/>
      <c r="M597" s="17"/>
      <c r="AG597" s="14"/>
    </row>
    <row r="598" s="10" customFormat="1" spans="1:33">
      <c r="A598" s="13"/>
      <c r="D598" s="15"/>
      <c r="F598" s="15"/>
      <c r="G598" s="16"/>
      <c r="J598" s="15"/>
      <c r="K598" s="15"/>
      <c r="L598" s="17"/>
      <c r="M598" s="17"/>
      <c r="AG598" s="14"/>
    </row>
    <row r="599" s="10" customFormat="1" spans="1:33">
      <c r="A599" s="13"/>
      <c r="D599" s="15"/>
      <c r="F599" s="15"/>
      <c r="G599" s="16"/>
      <c r="J599" s="15"/>
      <c r="K599" s="15"/>
      <c r="L599" s="17"/>
      <c r="M599" s="17"/>
      <c r="AG599" s="14"/>
    </row>
    <row r="600" s="10" customFormat="1" spans="1:33">
      <c r="A600" s="13"/>
      <c r="D600" s="15"/>
      <c r="F600" s="15"/>
      <c r="G600" s="16"/>
      <c r="J600" s="15"/>
      <c r="K600" s="15"/>
      <c r="L600" s="17"/>
      <c r="M600" s="17"/>
      <c r="AG600" s="14"/>
    </row>
    <row r="601" s="10" customFormat="1" spans="1:33">
      <c r="A601" s="13"/>
      <c r="D601" s="15"/>
      <c r="F601" s="15"/>
      <c r="G601" s="16"/>
      <c r="J601" s="15"/>
      <c r="K601" s="15"/>
      <c r="L601" s="17"/>
      <c r="M601" s="17"/>
      <c r="AG601" s="14"/>
    </row>
    <row r="602" s="10" customFormat="1" spans="1:33">
      <c r="A602" s="13"/>
      <c r="D602" s="15"/>
      <c r="F602" s="15"/>
      <c r="G602" s="16"/>
      <c r="J602" s="15"/>
      <c r="K602" s="15"/>
      <c r="L602" s="17"/>
      <c r="M602" s="17"/>
      <c r="AG602" s="14"/>
    </row>
    <row r="603" s="10" customFormat="1" spans="1:33">
      <c r="A603" s="13"/>
      <c r="D603" s="15"/>
      <c r="F603" s="15"/>
      <c r="G603" s="16"/>
      <c r="J603" s="15"/>
      <c r="K603" s="15"/>
      <c r="L603" s="17"/>
      <c r="M603" s="17"/>
      <c r="AG603" s="14"/>
    </row>
    <row r="604" s="10" customFormat="1" spans="1:33">
      <c r="A604" s="13"/>
      <c r="D604" s="15"/>
      <c r="F604" s="15"/>
      <c r="G604" s="16"/>
      <c r="J604" s="15"/>
      <c r="K604" s="15"/>
      <c r="L604" s="17"/>
      <c r="M604" s="17"/>
      <c r="AG604" s="14"/>
    </row>
    <row r="605" s="10" customFormat="1" spans="1:33">
      <c r="A605" s="13"/>
      <c r="D605" s="15"/>
      <c r="F605" s="15"/>
      <c r="G605" s="16"/>
      <c r="J605" s="15"/>
      <c r="K605" s="15"/>
      <c r="L605" s="17"/>
      <c r="M605" s="17"/>
      <c r="AG605" s="14"/>
    </row>
    <row r="606" s="10" customFormat="1" spans="1:33">
      <c r="A606" s="13"/>
      <c r="D606" s="15"/>
      <c r="F606" s="15"/>
      <c r="G606" s="16"/>
      <c r="J606" s="15"/>
      <c r="K606" s="15"/>
      <c r="L606" s="17"/>
      <c r="M606" s="17"/>
      <c r="AG606" s="14"/>
    </row>
    <row r="607" s="10" customFormat="1" spans="1:33">
      <c r="A607" s="13"/>
      <c r="D607" s="15"/>
      <c r="F607" s="15"/>
      <c r="G607" s="16"/>
      <c r="J607" s="15"/>
      <c r="K607" s="15"/>
      <c r="L607" s="17"/>
      <c r="M607" s="17"/>
      <c r="AG607" s="14"/>
    </row>
    <row r="608" s="10" customFormat="1" spans="1:33">
      <c r="A608" s="13"/>
      <c r="D608" s="15"/>
      <c r="F608" s="15"/>
      <c r="G608" s="16"/>
      <c r="J608" s="15"/>
      <c r="K608" s="15"/>
      <c r="L608" s="17"/>
      <c r="M608" s="17"/>
      <c r="AG608" s="14"/>
    </row>
    <row r="609" s="10" customFormat="1" spans="1:33">
      <c r="A609" s="13"/>
      <c r="D609" s="15"/>
      <c r="F609" s="15"/>
      <c r="G609" s="16"/>
      <c r="J609" s="15"/>
      <c r="K609" s="15"/>
      <c r="L609" s="17"/>
      <c r="M609" s="17"/>
      <c r="AG609" s="14"/>
    </row>
    <row r="610" s="10" customFormat="1" spans="1:33">
      <c r="A610" s="13"/>
      <c r="D610" s="15"/>
      <c r="F610" s="15"/>
      <c r="G610" s="16"/>
      <c r="J610" s="15"/>
      <c r="K610" s="15"/>
      <c r="L610" s="17"/>
      <c r="M610" s="17"/>
      <c r="AG610" s="14"/>
    </row>
    <row r="611" s="10" customFormat="1" spans="1:33">
      <c r="A611" s="13"/>
      <c r="D611" s="15"/>
      <c r="F611" s="15"/>
      <c r="G611" s="16"/>
      <c r="J611" s="15"/>
      <c r="K611" s="15"/>
      <c r="L611" s="17"/>
      <c r="M611" s="17"/>
      <c r="AG611" s="14"/>
    </row>
    <row r="612" s="10" customFormat="1" spans="1:33">
      <c r="A612" s="13"/>
      <c r="D612" s="15"/>
      <c r="F612" s="15"/>
      <c r="G612" s="16"/>
      <c r="J612" s="15"/>
      <c r="K612" s="15"/>
      <c r="L612" s="17"/>
      <c r="M612" s="17"/>
      <c r="AG612" s="14"/>
    </row>
    <row r="613" s="10" customFormat="1" spans="1:33">
      <c r="A613" s="13"/>
      <c r="D613" s="15"/>
      <c r="F613" s="15"/>
      <c r="G613" s="16"/>
      <c r="J613" s="15"/>
      <c r="K613" s="15"/>
      <c r="L613" s="17"/>
      <c r="M613" s="17"/>
      <c r="AG613" s="14"/>
    </row>
    <row r="614" s="10" customFormat="1" spans="1:33">
      <c r="A614" s="13"/>
      <c r="D614" s="15"/>
      <c r="F614" s="15"/>
      <c r="G614" s="16"/>
      <c r="J614" s="15"/>
      <c r="K614" s="15"/>
      <c r="L614" s="17"/>
      <c r="M614" s="17"/>
      <c r="AG614" s="14"/>
    </row>
    <row r="615" s="10" customFormat="1" spans="1:33">
      <c r="A615" s="13"/>
      <c r="D615" s="15"/>
      <c r="F615" s="15"/>
      <c r="G615" s="16"/>
      <c r="J615" s="15"/>
      <c r="K615" s="15"/>
      <c r="L615" s="17"/>
      <c r="M615" s="17"/>
      <c r="AG615" s="14"/>
    </row>
    <row r="616" s="10" customFormat="1" spans="1:33">
      <c r="A616" s="13"/>
      <c r="D616" s="15"/>
      <c r="F616" s="15"/>
      <c r="G616" s="16"/>
      <c r="J616" s="15"/>
      <c r="K616" s="15"/>
      <c r="L616" s="17"/>
      <c r="M616" s="17"/>
      <c r="AG616" s="14"/>
    </row>
    <row r="617" s="10" customFormat="1" spans="1:33">
      <c r="A617" s="13"/>
      <c r="D617" s="15"/>
      <c r="F617" s="15"/>
      <c r="G617" s="16"/>
      <c r="J617" s="15"/>
      <c r="K617" s="15"/>
      <c r="L617" s="17"/>
      <c r="M617" s="17"/>
      <c r="AG617" s="14"/>
    </row>
    <row r="618" s="10" customFormat="1" spans="1:33">
      <c r="A618" s="13"/>
      <c r="D618" s="15"/>
      <c r="F618" s="15"/>
      <c r="G618" s="16"/>
      <c r="J618" s="15"/>
      <c r="K618" s="15"/>
      <c r="L618" s="17"/>
      <c r="M618" s="17"/>
      <c r="AG618" s="14"/>
    </row>
    <row r="619" s="10" customFormat="1" spans="1:33">
      <c r="A619" s="13"/>
      <c r="D619" s="15"/>
      <c r="F619" s="15"/>
      <c r="G619" s="16"/>
      <c r="J619" s="15"/>
      <c r="K619" s="15"/>
      <c r="L619" s="17"/>
      <c r="M619" s="17"/>
      <c r="AG619" s="14"/>
    </row>
    <row r="620" s="10" customFormat="1" spans="1:33">
      <c r="A620" s="13"/>
      <c r="D620" s="15"/>
      <c r="F620" s="15"/>
      <c r="G620" s="16"/>
      <c r="J620" s="15"/>
      <c r="K620" s="15"/>
      <c r="L620" s="17"/>
      <c r="M620" s="17"/>
      <c r="AG620" s="14"/>
    </row>
    <row r="621" s="10" customFormat="1" spans="1:33">
      <c r="A621" s="13"/>
      <c r="D621" s="15"/>
      <c r="F621" s="15"/>
      <c r="G621" s="16"/>
      <c r="J621" s="15"/>
      <c r="K621" s="15"/>
      <c r="L621" s="17"/>
      <c r="M621" s="17"/>
      <c r="AG621" s="14"/>
    </row>
    <row r="622" s="10" customFormat="1" spans="1:33">
      <c r="A622" s="13"/>
      <c r="D622" s="15"/>
      <c r="F622" s="15"/>
      <c r="G622" s="16"/>
      <c r="J622" s="15"/>
      <c r="K622" s="15"/>
      <c r="L622" s="17"/>
      <c r="M622" s="17"/>
      <c r="AG622" s="14"/>
    </row>
    <row r="623" s="10" customFormat="1" spans="1:33">
      <c r="A623" s="13"/>
      <c r="D623" s="15"/>
      <c r="F623" s="15"/>
      <c r="G623" s="16"/>
      <c r="J623" s="15"/>
      <c r="K623" s="15"/>
      <c r="L623" s="17"/>
      <c r="M623" s="17"/>
      <c r="AG623" s="14"/>
    </row>
    <row r="624" s="10" customFormat="1" spans="1:33">
      <c r="A624" s="13"/>
      <c r="D624" s="15"/>
      <c r="F624" s="15"/>
      <c r="G624" s="16"/>
      <c r="J624" s="15"/>
      <c r="K624" s="15"/>
      <c r="L624" s="17"/>
      <c r="M624" s="17"/>
      <c r="AG624" s="14"/>
    </row>
    <row r="625" s="10" customFormat="1" spans="1:33">
      <c r="A625" s="13"/>
      <c r="D625" s="15"/>
      <c r="F625" s="15"/>
      <c r="G625" s="16"/>
      <c r="J625" s="15"/>
      <c r="K625" s="15"/>
      <c r="L625" s="17"/>
      <c r="M625" s="17"/>
      <c r="AG625" s="14"/>
    </row>
    <row r="626" s="10" customFormat="1" spans="1:33">
      <c r="A626" s="13"/>
      <c r="D626" s="15"/>
      <c r="F626" s="15"/>
      <c r="G626" s="16"/>
      <c r="J626" s="15"/>
      <c r="K626" s="15"/>
      <c r="L626" s="17"/>
      <c r="M626" s="17"/>
      <c r="AG626" s="14"/>
    </row>
    <row r="627" s="10" customFormat="1" spans="1:33">
      <c r="A627" s="13"/>
      <c r="D627" s="15"/>
      <c r="F627" s="15"/>
      <c r="G627" s="16"/>
      <c r="J627" s="15"/>
      <c r="K627" s="15"/>
      <c r="L627" s="17"/>
      <c r="M627" s="17"/>
      <c r="AG627" s="14"/>
    </row>
    <row r="628" s="10" customFormat="1" spans="1:33">
      <c r="A628" s="13"/>
      <c r="D628" s="15"/>
      <c r="F628" s="15"/>
      <c r="G628" s="16"/>
      <c r="J628" s="15"/>
      <c r="K628" s="15"/>
      <c r="L628" s="17"/>
      <c r="M628" s="17"/>
      <c r="AG628" s="14"/>
    </row>
    <row r="629" s="10" customFormat="1" spans="1:33">
      <c r="A629" s="13"/>
      <c r="D629" s="15"/>
      <c r="F629" s="15"/>
      <c r="G629" s="16"/>
      <c r="J629" s="15"/>
      <c r="K629" s="15"/>
      <c r="L629" s="17"/>
      <c r="M629" s="17"/>
      <c r="AG629" s="14"/>
    </row>
    <row r="630" s="10" customFormat="1" spans="1:33">
      <c r="A630" s="13"/>
      <c r="D630" s="15"/>
      <c r="F630" s="15"/>
      <c r="G630" s="16"/>
      <c r="J630" s="15"/>
      <c r="K630" s="15"/>
      <c r="L630" s="17"/>
      <c r="M630" s="17"/>
      <c r="AG630" s="14"/>
    </row>
    <row r="631" s="10" customFormat="1" spans="1:33">
      <c r="A631" s="13"/>
      <c r="D631" s="15"/>
      <c r="F631" s="15"/>
      <c r="G631" s="16"/>
      <c r="J631" s="15"/>
      <c r="K631" s="15"/>
      <c r="L631" s="17"/>
      <c r="M631" s="17"/>
      <c r="AG631" s="14"/>
    </row>
    <row r="632" s="10" customFormat="1" spans="1:33">
      <c r="A632" s="13"/>
      <c r="AG632" s="14"/>
    </row>
    <row r="633" s="10" customFormat="1" spans="1:33">
      <c r="A633" s="13"/>
      <c r="AG633" s="14"/>
    </row>
    <row r="634" s="10" customFormat="1" spans="1:33">
      <c r="A634" s="13"/>
      <c r="AG634" s="14"/>
    </row>
    <row r="635" s="10" customFormat="1" spans="1:33">
      <c r="A635" s="13"/>
      <c r="AG635" s="14"/>
    </row>
    <row r="636" s="10" customFormat="1" spans="1:33">
      <c r="A636" s="13"/>
      <c r="AG636" s="14"/>
    </row>
    <row r="637" s="10" customFormat="1" spans="1:33">
      <c r="A637" s="13"/>
      <c r="AG637" s="14"/>
    </row>
    <row r="638" s="10" customFormat="1" spans="1:33">
      <c r="A638" s="13"/>
      <c r="AG638" s="14"/>
    </row>
    <row r="639" s="10" customFormat="1" spans="1:33">
      <c r="A639" s="13"/>
      <c r="AG639" s="14"/>
    </row>
    <row r="640" s="10" customFormat="1" spans="1:33">
      <c r="A640" s="13"/>
      <c r="AG640" s="14"/>
    </row>
    <row r="641" s="10" customFormat="1" spans="1:33">
      <c r="A641" s="13"/>
      <c r="AG641" s="14"/>
    </row>
    <row r="642" s="10" customFormat="1" spans="1:33">
      <c r="A642" s="13"/>
      <c r="AG642" s="14"/>
    </row>
    <row r="643" s="10" customFormat="1" spans="1:33">
      <c r="A643" s="13"/>
      <c r="AG643" s="14"/>
    </row>
    <row r="644" s="10" customFormat="1" spans="1:33">
      <c r="A644" s="13"/>
      <c r="AG644" s="14"/>
    </row>
    <row r="645" s="10" customFormat="1" spans="1:33">
      <c r="A645" s="18"/>
      <c r="B645" s="19"/>
      <c r="C645" s="19"/>
      <c r="D645" s="20"/>
      <c r="E645" s="19"/>
      <c r="F645" s="20"/>
      <c r="G645" s="21"/>
      <c r="H645" s="19"/>
      <c r="I645" s="19"/>
      <c r="J645" s="20"/>
      <c r="K645" s="20"/>
      <c r="L645" s="22"/>
      <c r="M645" s="22"/>
      <c r="N645" s="19"/>
      <c r="O645" s="19"/>
      <c r="AG645" s="14"/>
    </row>
    <row r="646" s="10" customFormat="1" spans="1:33">
      <c r="A646" s="18"/>
      <c r="B646" s="19"/>
      <c r="C646" s="19"/>
      <c r="D646" s="20"/>
      <c r="E646" s="19"/>
      <c r="F646" s="20"/>
      <c r="G646" s="21"/>
      <c r="H646" s="19"/>
      <c r="I646" s="19"/>
      <c r="J646" s="20"/>
      <c r="K646" s="20"/>
      <c r="L646" s="22"/>
      <c r="M646" s="22"/>
      <c r="N646" s="19"/>
      <c r="O646" s="19"/>
      <c r="AG646" s="14"/>
    </row>
    <row r="647" s="10" customFormat="1" spans="1:33">
      <c r="A647" s="18"/>
      <c r="B647" s="19"/>
      <c r="C647" s="19"/>
      <c r="D647" s="20"/>
      <c r="E647" s="19"/>
      <c r="F647" s="20"/>
      <c r="G647" s="21"/>
      <c r="H647" s="19"/>
      <c r="I647" s="19"/>
      <c r="J647" s="20"/>
      <c r="K647" s="20"/>
      <c r="L647" s="22"/>
      <c r="M647" s="22"/>
      <c r="N647" s="19"/>
      <c r="O647" s="19"/>
      <c r="AG647" s="14"/>
    </row>
    <row r="648" s="10" customFormat="1" spans="1:33">
      <c r="A648" s="18"/>
      <c r="B648" s="19"/>
      <c r="C648" s="19"/>
      <c r="D648" s="20"/>
      <c r="E648" s="19"/>
      <c r="F648" s="20"/>
      <c r="G648" s="21"/>
      <c r="H648" s="19"/>
      <c r="I648" s="19"/>
      <c r="J648" s="20"/>
      <c r="K648" s="20"/>
      <c r="L648" s="22"/>
      <c r="M648" s="22"/>
      <c r="N648" s="19"/>
      <c r="O648" s="19"/>
      <c r="AG648" s="14"/>
    </row>
    <row r="649" s="10" customFormat="1" spans="1:33">
      <c r="A649" s="18"/>
      <c r="B649" s="19"/>
      <c r="C649" s="19"/>
      <c r="D649" s="20"/>
      <c r="E649" s="19"/>
      <c r="F649" s="20"/>
      <c r="G649" s="21"/>
      <c r="H649" s="19"/>
      <c r="I649" s="19"/>
      <c r="J649" s="20"/>
      <c r="K649" s="20"/>
      <c r="L649" s="22"/>
      <c r="M649" s="22"/>
      <c r="N649" s="19"/>
      <c r="O649" s="19"/>
      <c r="AG649" s="14"/>
    </row>
    <row r="650" s="10" customFormat="1" spans="1:33">
      <c r="A650" s="18"/>
      <c r="B650" s="19"/>
      <c r="C650" s="19"/>
      <c r="D650" s="20"/>
      <c r="E650" s="19"/>
      <c r="F650" s="20"/>
      <c r="G650" s="21"/>
      <c r="H650" s="19"/>
      <c r="I650" s="19"/>
      <c r="J650" s="20"/>
      <c r="K650" s="20"/>
      <c r="L650" s="22"/>
      <c r="M650" s="22"/>
      <c r="N650" s="19"/>
      <c r="O650" s="19"/>
      <c r="AG650" s="14"/>
    </row>
    <row r="651" s="10" customFormat="1" spans="1:33">
      <c r="A651" s="18"/>
      <c r="B651" s="19"/>
      <c r="C651" s="19"/>
      <c r="D651" s="20"/>
      <c r="E651" s="19"/>
      <c r="F651" s="20"/>
      <c r="G651" s="21"/>
      <c r="H651" s="19"/>
      <c r="I651" s="19"/>
      <c r="J651" s="20"/>
      <c r="K651" s="20"/>
      <c r="L651" s="22"/>
      <c r="M651" s="22"/>
      <c r="N651" s="19"/>
      <c r="O651" s="19"/>
      <c r="AG651" s="14"/>
    </row>
    <row r="652" s="10" customFormat="1" spans="1:33">
      <c r="A652" s="18"/>
      <c r="B652" s="19"/>
      <c r="C652" s="19"/>
      <c r="D652" s="20"/>
      <c r="E652" s="19"/>
      <c r="F652" s="20"/>
      <c r="G652" s="21"/>
      <c r="H652" s="19"/>
      <c r="I652" s="19"/>
      <c r="J652" s="20"/>
      <c r="K652" s="20"/>
      <c r="L652" s="22"/>
      <c r="M652" s="22"/>
      <c r="N652" s="19"/>
      <c r="O652" s="19"/>
      <c r="AG652" s="14"/>
    </row>
    <row r="653" s="10" customFormat="1" spans="1:33">
      <c r="A653" s="18"/>
      <c r="B653" s="19"/>
      <c r="C653" s="19"/>
      <c r="D653" s="20"/>
      <c r="E653" s="19"/>
      <c r="F653" s="20"/>
      <c r="G653" s="21"/>
      <c r="H653" s="19"/>
      <c r="I653" s="19"/>
      <c r="J653" s="20"/>
      <c r="K653" s="20"/>
      <c r="L653" s="22"/>
      <c r="M653" s="22"/>
      <c r="N653" s="19"/>
      <c r="O653" s="19"/>
      <c r="AG653" s="14"/>
    </row>
    <row r="654" s="10" customFormat="1" spans="1:33">
      <c r="A654" s="18"/>
      <c r="B654" s="19"/>
      <c r="C654" s="19"/>
      <c r="D654" s="20"/>
      <c r="E654" s="19"/>
      <c r="F654" s="20"/>
      <c r="G654" s="21"/>
      <c r="H654" s="19"/>
      <c r="I654" s="19"/>
      <c r="J654" s="20"/>
      <c r="K654" s="20"/>
      <c r="L654" s="22"/>
      <c r="M654" s="22"/>
      <c r="N654" s="19"/>
      <c r="O654" s="19"/>
      <c r="AG654" s="14"/>
    </row>
    <row r="655" s="10" customFormat="1" spans="1:33">
      <c r="A655" s="18"/>
      <c r="B655" s="19"/>
      <c r="C655" s="19"/>
      <c r="D655" s="20"/>
      <c r="E655" s="19"/>
      <c r="F655" s="20"/>
      <c r="G655" s="21"/>
      <c r="H655" s="19"/>
      <c r="I655" s="19"/>
      <c r="J655" s="20"/>
      <c r="K655" s="20"/>
      <c r="L655" s="22"/>
      <c r="M655" s="22"/>
      <c r="N655" s="19"/>
      <c r="O655" s="19"/>
      <c r="AG655" s="14"/>
    </row>
    <row r="656" s="10" customFormat="1" spans="1:33">
      <c r="A656" s="18"/>
      <c r="B656" s="19"/>
      <c r="C656" s="19"/>
      <c r="D656" s="20"/>
      <c r="E656" s="19"/>
      <c r="F656" s="20"/>
      <c r="G656" s="21"/>
      <c r="H656" s="19"/>
      <c r="I656" s="19"/>
      <c r="J656" s="20"/>
      <c r="K656" s="20"/>
      <c r="L656" s="22"/>
      <c r="M656" s="22"/>
      <c r="N656" s="19"/>
      <c r="O656" s="19"/>
      <c r="AG656" s="14"/>
    </row>
    <row r="657" s="10" customFormat="1" spans="1:33">
      <c r="A657" s="18"/>
      <c r="B657" s="19"/>
      <c r="C657" s="19"/>
      <c r="D657" s="20"/>
      <c r="E657" s="19"/>
      <c r="F657" s="20"/>
      <c r="G657" s="21"/>
      <c r="H657" s="19"/>
      <c r="I657" s="19"/>
      <c r="J657" s="20"/>
      <c r="K657" s="20"/>
      <c r="L657" s="22"/>
      <c r="M657" s="22"/>
      <c r="N657" s="19"/>
      <c r="O657" s="19"/>
      <c r="AG657" s="14"/>
    </row>
    <row r="658" s="10" customFormat="1" spans="1:33">
      <c r="A658" s="18"/>
      <c r="B658" s="19"/>
      <c r="C658" s="19"/>
      <c r="D658" s="20"/>
      <c r="E658" s="19"/>
      <c r="F658" s="20"/>
      <c r="G658" s="21"/>
      <c r="H658" s="19"/>
      <c r="I658" s="19"/>
      <c r="J658" s="20"/>
      <c r="K658" s="20"/>
      <c r="L658" s="22"/>
      <c r="M658" s="22"/>
      <c r="N658" s="19"/>
      <c r="O658" s="19"/>
      <c r="AG658" s="14"/>
    </row>
    <row r="659" s="10" customFormat="1" spans="1:33">
      <c r="A659" s="18"/>
      <c r="B659" s="19"/>
      <c r="C659" s="19"/>
      <c r="D659" s="20"/>
      <c r="E659" s="19"/>
      <c r="F659" s="20"/>
      <c r="G659" s="21"/>
      <c r="H659" s="19"/>
      <c r="I659" s="19"/>
      <c r="J659" s="20"/>
      <c r="K659" s="20"/>
      <c r="L659" s="22"/>
      <c r="M659" s="22"/>
      <c r="N659" s="19"/>
      <c r="O659" s="19"/>
      <c r="AG659" s="14"/>
    </row>
    <row r="660" s="10" customFormat="1" spans="1:33">
      <c r="A660" s="18"/>
      <c r="B660" s="19"/>
      <c r="C660" s="19"/>
      <c r="D660" s="20"/>
      <c r="E660" s="19"/>
      <c r="F660" s="20"/>
      <c r="G660" s="21"/>
      <c r="H660" s="19"/>
      <c r="I660" s="19"/>
      <c r="J660" s="20"/>
      <c r="K660" s="20"/>
      <c r="L660" s="22"/>
      <c r="M660" s="22"/>
      <c r="N660" s="19"/>
      <c r="O660" s="19"/>
      <c r="AG660" s="14"/>
    </row>
    <row r="661" s="10" customFormat="1" spans="1:33">
      <c r="A661" s="18"/>
      <c r="B661" s="19"/>
      <c r="C661" s="19"/>
      <c r="D661" s="20"/>
      <c r="E661" s="19"/>
      <c r="F661" s="20"/>
      <c r="G661" s="21"/>
      <c r="H661" s="19"/>
      <c r="I661" s="19"/>
      <c r="J661" s="20"/>
      <c r="K661" s="20"/>
      <c r="L661" s="22"/>
      <c r="M661" s="22"/>
      <c r="N661" s="19"/>
      <c r="O661" s="19"/>
      <c r="AG661" s="14"/>
    </row>
    <row r="662" s="10" customFormat="1" spans="1:33">
      <c r="A662" s="18"/>
      <c r="B662" s="19"/>
      <c r="C662" s="19"/>
      <c r="D662" s="20"/>
      <c r="E662" s="19"/>
      <c r="F662" s="20"/>
      <c r="G662" s="21"/>
      <c r="H662" s="19"/>
      <c r="I662" s="19"/>
      <c r="J662" s="20"/>
      <c r="K662" s="20"/>
      <c r="L662" s="22"/>
      <c r="M662" s="22"/>
      <c r="N662" s="19"/>
      <c r="O662" s="19"/>
      <c r="AG662" s="14"/>
    </row>
    <row r="663" s="10" customFormat="1" spans="1:33">
      <c r="A663" s="18"/>
      <c r="B663" s="19"/>
      <c r="C663" s="19"/>
      <c r="D663" s="20"/>
      <c r="E663" s="19"/>
      <c r="F663" s="20"/>
      <c r="G663" s="21"/>
      <c r="H663" s="19"/>
      <c r="I663" s="19"/>
      <c r="J663" s="20"/>
      <c r="K663" s="20"/>
      <c r="L663" s="22"/>
      <c r="M663" s="22"/>
      <c r="N663" s="19"/>
      <c r="O663" s="19"/>
      <c r="AG663" s="14"/>
    </row>
    <row r="664" s="10" customFormat="1" spans="1:33">
      <c r="A664" s="18"/>
      <c r="B664" s="19"/>
      <c r="C664" s="19"/>
      <c r="D664" s="20"/>
      <c r="E664" s="19"/>
      <c r="F664" s="20"/>
      <c r="G664" s="21"/>
      <c r="H664" s="19"/>
      <c r="I664" s="19"/>
      <c r="J664" s="20"/>
      <c r="K664" s="20"/>
      <c r="L664" s="22"/>
      <c r="M664" s="22"/>
      <c r="N664" s="19"/>
      <c r="O664" s="19"/>
      <c r="AG664" s="14"/>
    </row>
    <row r="665" s="10" customFormat="1" spans="1:33">
      <c r="A665" s="18"/>
      <c r="B665" s="19"/>
      <c r="C665" s="19"/>
      <c r="D665" s="20"/>
      <c r="E665" s="19"/>
      <c r="F665" s="20"/>
      <c r="G665" s="21"/>
      <c r="H665" s="19"/>
      <c r="I665" s="19"/>
      <c r="J665" s="20"/>
      <c r="K665" s="20"/>
      <c r="L665" s="22"/>
      <c r="M665" s="22"/>
      <c r="N665" s="19"/>
      <c r="O665" s="19"/>
      <c r="AG665" s="14"/>
    </row>
    <row r="666" s="10" customFormat="1" spans="1:33">
      <c r="A666" s="18"/>
      <c r="B666" s="19"/>
      <c r="C666" s="19"/>
      <c r="D666" s="20"/>
      <c r="E666" s="19"/>
      <c r="F666" s="20"/>
      <c r="G666" s="21"/>
      <c r="H666" s="19"/>
      <c r="I666" s="19"/>
      <c r="J666" s="20"/>
      <c r="K666" s="20"/>
      <c r="L666" s="22"/>
      <c r="M666" s="22"/>
      <c r="N666" s="19"/>
      <c r="O666" s="19"/>
      <c r="AG666" s="14"/>
    </row>
    <row r="667" s="10" customFormat="1" spans="1:33">
      <c r="A667" s="18"/>
      <c r="B667" s="19"/>
      <c r="C667" s="19"/>
      <c r="D667" s="20"/>
      <c r="E667" s="19"/>
      <c r="F667" s="20"/>
      <c r="G667" s="21"/>
      <c r="H667" s="19"/>
      <c r="I667" s="19"/>
      <c r="J667" s="20"/>
      <c r="K667" s="20"/>
      <c r="L667" s="22"/>
      <c r="M667" s="22"/>
      <c r="N667" s="19"/>
      <c r="O667" s="19"/>
      <c r="AG667" s="14"/>
    </row>
    <row r="668" s="10" customFormat="1" spans="1:33">
      <c r="A668" s="18"/>
      <c r="B668" s="19"/>
      <c r="C668" s="19"/>
      <c r="D668" s="20"/>
      <c r="E668" s="19"/>
      <c r="F668" s="20"/>
      <c r="G668" s="21"/>
      <c r="H668" s="19"/>
      <c r="I668" s="19"/>
      <c r="J668" s="20"/>
      <c r="K668" s="20"/>
      <c r="L668" s="22"/>
      <c r="M668" s="22"/>
      <c r="N668" s="19"/>
      <c r="O668" s="19"/>
      <c r="AG668" s="14"/>
    </row>
    <row r="669" s="10" customFormat="1" spans="1:33">
      <c r="A669" s="18"/>
      <c r="B669" s="19"/>
      <c r="C669" s="19"/>
      <c r="D669" s="20"/>
      <c r="E669" s="19"/>
      <c r="F669" s="20"/>
      <c r="G669" s="21"/>
      <c r="H669" s="19"/>
      <c r="I669" s="19"/>
      <c r="J669" s="20"/>
      <c r="K669" s="20"/>
      <c r="L669" s="22"/>
      <c r="M669" s="22"/>
      <c r="N669" s="19"/>
      <c r="O669" s="19"/>
      <c r="AG669" s="14"/>
    </row>
    <row r="670" s="10" customFormat="1" spans="1:33">
      <c r="A670" s="18"/>
      <c r="B670" s="19"/>
      <c r="C670" s="19"/>
      <c r="D670" s="20"/>
      <c r="E670" s="19"/>
      <c r="F670" s="20"/>
      <c r="G670" s="21"/>
      <c r="H670" s="19"/>
      <c r="I670" s="19"/>
      <c r="J670" s="20"/>
      <c r="K670" s="20"/>
      <c r="L670" s="22"/>
      <c r="M670" s="22"/>
      <c r="N670" s="19"/>
      <c r="O670" s="19"/>
      <c r="AG670" s="14"/>
    </row>
    <row r="671" s="10" customFormat="1" spans="1:33">
      <c r="A671" s="18"/>
      <c r="B671" s="19"/>
      <c r="C671" s="19"/>
      <c r="D671" s="20"/>
      <c r="E671" s="19"/>
      <c r="F671" s="20"/>
      <c r="G671" s="21"/>
      <c r="H671" s="19"/>
      <c r="I671" s="19"/>
      <c r="J671" s="20"/>
      <c r="K671" s="20"/>
      <c r="L671" s="22"/>
      <c r="M671" s="22"/>
      <c r="N671" s="19"/>
      <c r="O671" s="19"/>
      <c r="AG671" s="14"/>
    </row>
    <row r="672" s="10" customFormat="1" spans="1:33">
      <c r="A672" s="18"/>
      <c r="B672" s="19"/>
      <c r="C672" s="19"/>
      <c r="D672" s="20"/>
      <c r="E672" s="19"/>
      <c r="F672" s="20"/>
      <c r="G672" s="21"/>
      <c r="H672" s="19"/>
      <c r="I672" s="19"/>
      <c r="J672" s="20"/>
      <c r="K672" s="20"/>
      <c r="L672" s="22"/>
      <c r="M672" s="22"/>
      <c r="N672" s="19"/>
      <c r="O672" s="19"/>
      <c r="AG672" s="14"/>
    </row>
    <row r="673" s="10" customFormat="1" spans="1:33">
      <c r="A673" s="18"/>
      <c r="B673" s="19"/>
      <c r="C673" s="19"/>
      <c r="D673" s="20"/>
      <c r="E673" s="19"/>
      <c r="F673" s="20"/>
      <c r="G673" s="21"/>
      <c r="H673" s="19"/>
      <c r="I673" s="19"/>
      <c r="J673" s="20"/>
      <c r="K673" s="20"/>
      <c r="L673" s="22"/>
      <c r="M673" s="22"/>
      <c r="N673" s="19"/>
      <c r="O673" s="19"/>
      <c r="AG673" s="14"/>
    </row>
    <row r="674" s="10" customFormat="1" spans="1:33">
      <c r="A674" s="18"/>
      <c r="B674" s="19"/>
      <c r="C674" s="19"/>
      <c r="D674" s="20"/>
      <c r="E674" s="19"/>
      <c r="F674" s="20"/>
      <c r="G674" s="21"/>
      <c r="H674" s="19"/>
      <c r="I674" s="19"/>
      <c r="J674" s="20"/>
      <c r="K674" s="20"/>
      <c r="L674" s="22"/>
      <c r="M674" s="22"/>
      <c r="N674" s="19"/>
      <c r="O674" s="19"/>
      <c r="AG674" s="14"/>
    </row>
    <row r="675" s="10" customFormat="1" spans="1:33">
      <c r="A675" s="18"/>
      <c r="B675" s="19"/>
      <c r="C675" s="19"/>
      <c r="D675" s="20"/>
      <c r="E675" s="19"/>
      <c r="F675" s="20"/>
      <c r="G675" s="21"/>
      <c r="H675" s="19"/>
      <c r="I675" s="19"/>
      <c r="J675" s="20"/>
      <c r="K675" s="20"/>
      <c r="L675" s="22"/>
      <c r="M675" s="22"/>
      <c r="N675" s="19"/>
      <c r="O675" s="19"/>
      <c r="AG675" s="14"/>
    </row>
    <row r="676" s="10" customFormat="1" spans="1:33">
      <c r="A676" s="18"/>
      <c r="B676" s="19"/>
      <c r="C676" s="19"/>
      <c r="D676" s="20"/>
      <c r="E676" s="19"/>
      <c r="F676" s="20"/>
      <c r="G676" s="21"/>
      <c r="H676" s="19"/>
      <c r="I676" s="19"/>
      <c r="J676" s="20"/>
      <c r="K676" s="20"/>
      <c r="L676" s="22"/>
      <c r="M676" s="22"/>
      <c r="N676" s="19"/>
      <c r="O676" s="19"/>
      <c r="AG676" s="14"/>
    </row>
    <row r="677" s="10" customFormat="1" spans="1:33">
      <c r="A677" s="18"/>
      <c r="B677" s="19"/>
      <c r="C677" s="19"/>
      <c r="D677" s="20"/>
      <c r="E677" s="19"/>
      <c r="F677" s="20"/>
      <c r="G677" s="21"/>
      <c r="H677" s="19"/>
      <c r="I677" s="19"/>
      <c r="J677" s="20"/>
      <c r="K677" s="20"/>
      <c r="L677" s="22"/>
      <c r="M677" s="22"/>
      <c r="N677" s="19"/>
      <c r="O677" s="19"/>
      <c r="AG677" s="14"/>
    </row>
    <row r="678" s="10" customFormat="1" spans="1:33">
      <c r="A678" s="18"/>
      <c r="B678" s="19"/>
      <c r="C678" s="19"/>
      <c r="D678" s="20"/>
      <c r="E678" s="19"/>
      <c r="F678" s="20"/>
      <c r="G678" s="21"/>
      <c r="H678" s="19"/>
      <c r="I678" s="19"/>
      <c r="J678" s="20"/>
      <c r="K678" s="20"/>
      <c r="L678" s="22"/>
      <c r="M678" s="22"/>
      <c r="N678" s="19"/>
      <c r="O678" s="19"/>
      <c r="AG678" s="14"/>
    </row>
    <row r="679" s="10" customFormat="1" spans="1:33">
      <c r="A679" s="18"/>
      <c r="B679" s="19"/>
      <c r="C679" s="19"/>
      <c r="D679" s="20"/>
      <c r="E679" s="19"/>
      <c r="F679" s="20"/>
      <c r="G679" s="21"/>
      <c r="H679" s="19"/>
      <c r="I679" s="19"/>
      <c r="J679" s="20"/>
      <c r="K679" s="20"/>
      <c r="L679" s="22"/>
      <c r="M679" s="22"/>
      <c r="N679" s="19"/>
      <c r="O679" s="19"/>
      <c r="AG679" s="14"/>
    </row>
    <row r="680" s="10" customFormat="1" spans="1:33">
      <c r="A680" s="18"/>
      <c r="B680" s="19"/>
      <c r="C680" s="19"/>
      <c r="D680" s="20"/>
      <c r="E680" s="19"/>
      <c r="F680" s="20"/>
      <c r="G680" s="21"/>
      <c r="H680" s="19"/>
      <c r="I680" s="19"/>
      <c r="J680" s="20"/>
      <c r="K680" s="20"/>
      <c r="L680" s="22"/>
      <c r="M680" s="22"/>
      <c r="N680" s="19"/>
      <c r="O680" s="19"/>
      <c r="AG680" s="14"/>
    </row>
    <row r="681" s="10" customFormat="1" spans="1:33">
      <c r="A681" s="18"/>
      <c r="B681" s="19"/>
      <c r="C681" s="19"/>
      <c r="D681" s="20"/>
      <c r="E681" s="19"/>
      <c r="F681" s="20"/>
      <c r="G681" s="21"/>
      <c r="H681" s="19"/>
      <c r="I681" s="19"/>
      <c r="J681" s="20"/>
      <c r="K681" s="20"/>
      <c r="L681" s="22"/>
      <c r="M681" s="22"/>
      <c r="N681" s="19"/>
      <c r="O681" s="19"/>
      <c r="AG681" s="14"/>
    </row>
    <row r="682" s="10" customFormat="1" spans="1:33">
      <c r="A682" s="18"/>
      <c r="B682" s="19"/>
      <c r="C682" s="19"/>
      <c r="D682" s="20"/>
      <c r="E682" s="19"/>
      <c r="F682" s="20"/>
      <c r="G682" s="21"/>
      <c r="H682" s="19"/>
      <c r="I682" s="19"/>
      <c r="J682" s="20"/>
      <c r="K682" s="20"/>
      <c r="L682" s="22"/>
      <c r="M682" s="22"/>
      <c r="N682" s="19"/>
      <c r="O682" s="19"/>
      <c r="AG682" s="14"/>
    </row>
    <row r="683" s="10" customFormat="1" spans="1:33">
      <c r="A683" s="18"/>
      <c r="B683" s="19"/>
      <c r="C683" s="19"/>
      <c r="D683" s="20"/>
      <c r="E683" s="19"/>
      <c r="F683" s="20"/>
      <c r="G683" s="21"/>
      <c r="H683" s="19"/>
      <c r="I683" s="19"/>
      <c r="J683" s="20"/>
      <c r="K683" s="20"/>
      <c r="L683" s="22"/>
      <c r="M683" s="22"/>
      <c r="N683" s="19"/>
      <c r="O683" s="19"/>
      <c r="AG683" s="14"/>
    </row>
    <row r="684" s="10" customFormat="1" spans="1:33">
      <c r="A684" s="18"/>
      <c r="B684" s="19"/>
      <c r="C684" s="19"/>
      <c r="D684" s="20"/>
      <c r="E684" s="19"/>
      <c r="F684" s="20"/>
      <c r="G684" s="21"/>
      <c r="H684" s="19"/>
      <c r="I684" s="19"/>
      <c r="J684" s="20"/>
      <c r="K684" s="20"/>
      <c r="L684" s="22"/>
      <c r="M684" s="22"/>
      <c r="N684" s="19"/>
      <c r="O684" s="19"/>
      <c r="AG684" s="14"/>
    </row>
    <row r="685" s="10" customFormat="1" spans="1:33">
      <c r="A685" s="18"/>
      <c r="B685" s="19"/>
      <c r="C685" s="19"/>
      <c r="D685" s="20"/>
      <c r="E685" s="19"/>
      <c r="F685" s="20"/>
      <c r="G685" s="21"/>
      <c r="H685" s="19"/>
      <c r="I685" s="19"/>
      <c r="J685" s="20"/>
      <c r="K685" s="20"/>
      <c r="L685" s="22"/>
      <c r="M685" s="22"/>
      <c r="N685" s="19"/>
      <c r="O685" s="19"/>
      <c r="AG685" s="14"/>
    </row>
    <row r="686" s="10" customFormat="1" spans="1:33">
      <c r="A686" s="18"/>
      <c r="B686" s="19"/>
      <c r="C686" s="19"/>
      <c r="D686" s="20"/>
      <c r="E686" s="19"/>
      <c r="F686" s="20"/>
      <c r="G686" s="21"/>
      <c r="H686" s="19"/>
      <c r="I686" s="19"/>
      <c r="J686" s="20"/>
      <c r="K686" s="20"/>
      <c r="L686" s="22"/>
      <c r="M686" s="22"/>
      <c r="N686" s="19"/>
      <c r="O686" s="19"/>
      <c r="AG686" s="14"/>
    </row>
    <row r="687" s="10" customFormat="1" spans="1:33">
      <c r="A687" s="18"/>
      <c r="B687" s="19"/>
      <c r="C687" s="19"/>
      <c r="D687" s="20"/>
      <c r="E687" s="19"/>
      <c r="F687" s="20"/>
      <c r="G687" s="21"/>
      <c r="H687" s="19"/>
      <c r="I687" s="19"/>
      <c r="J687" s="20"/>
      <c r="K687" s="20"/>
      <c r="L687" s="22"/>
      <c r="M687" s="22"/>
      <c r="N687" s="19"/>
      <c r="O687" s="19"/>
      <c r="AG687" s="14"/>
    </row>
    <row r="688" s="10" customFormat="1" spans="1:33">
      <c r="A688" s="18"/>
      <c r="B688" s="19"/>
      <c r="C688" s="19"/>
      <c r="D688" s="20"/>
      <c r="E688" s="19"/>
      <c r="F688" s="20"/>
      <c r="G688" s="21"/>
      <c r="H688" s="19"/>
      <c r="I688" s="19"/>
      <c r="J688" s="20"/>
      <c r="K688" s="20"/>
      <c r="L688" s="22"/>
      <c r="M688" s="22"/>
      <c r="N688" s="19"/>
      <c r="O688" s="19"/>
      <c r="AG688" s="14"/>
    </row>
    <row r="689" s="10" customFormat="1" spans="1:33">
      <c r="A689" s="18"/>
      <c r="B689" s="19"/>
      <c r="C689" s="19"/>
      <c r="D689" s="20"/>
      <c r="E689" s="19"/>
      <c r="F689" s="20"/>
      <c r="G689" s="21"/>
      <c r="H689" s="19"/>
      <c r="I689" s="19"/>
      <c r="J689" s="20"/>
      <c r="K689" s="20"/>
      <c r="L689" s="22"/>
      <c r="M689" s="22"/>
      <c r="N689" s="19"/>
      <c r="O689" s="19"/>
      <c r="AG689" s="14"/>
    </row>
    <row r="690" s="10" customFormat="1" spans="1:33">
      <c r="A690" s="18"/>
      <c r="B690" s="19"/>
      <c r="C690" s="19"/>
      <c r="D690" s="20"/>
      <c r="E690" s="19"/>
      <c r="F690" s="20"/>
      <c r="G690" s="21"/>
      <c r="H690" s="19"/>
      <c r="I690" s="19"/>
      <c r="J690" s="20"/>
      <c r="K690" s="20"/>
      <c r="L690" s="22"/>
      <c r="M690" s="22"/>
      <c r="N690" s="19"/>
      <c r="O690" s="19"/>
      <c r="AG690" s="14"/>
    </row>
    <row r="691" s="10" customFormat="1" spans="1:33">
      <c r="A691" s="18"/>
      <c r="B691" s="19"/>
      <c r="C691" s="19"/>
      <c r="D691" s="20"/>
      <c r="E691" s="19"/>
      <c r="F691" s="20"/>
      <c r="G691" s="21"/>
      <c r="H691" s="19"/>
      <c r="I691" s="19"/>
      <c r="J691" s="20"/>
      <c r="K691" s="20"/>
      <c r="L691" s="22"/>
      <c r="M691" s="22"/>
      <c r="N691" s="19"/>
      <c r="O691" s="19"/>
      <c r="AG691" s="14"/>
    </row>
    <row r="692" s="10" customFormat="1" spans="1:33">
      <c r="A692" s="18"/>
      <c r="B692" s="19"/>
      <c r="C692" s="19"/>
      <c r="D692" s="20"/>
      <c r="E692" s="19"/>
      <c r="F692" s="20"/>
      <c r="G692" s="21"/>
      <c r="H692" s="19"/>
      <c r="I692" s="19"/>
      <c r="J692" s="20"/>
      <c r="K692" s="20"/>
      <c r="L692" s="22"/>
      <c r="M692" s="22"/>
      <c r="N692" s="19"/>
      <c r="O692" s="19"/>
      <c r="AG692" s="14"/>
    </row>
    <row r="693" s="10" customFormat="1" spans="1:33">
      <c r="A693" s="18"/>
      <c r="B693" s="19"/>
      <c r="C693" s="19"/>
      <c r="D693" s="20"/>
      <c r="E693" s="19"/>
      <c r="F693" s="20"/>
      <c r="G693" s="21"/>
      <c r="H693" s="19"/>
      <c r="I693" s="19"/>
      <c r="J693" s="20"/>
      <c r="K693" s="20"/>
      <c r="L693" s="22"/>
      <c r="M693" s="22"/>
      <c r="N693" s="19"/>
      <c r="O693" s="19"/>
      <c r="AG693" s="14"/>
    </row>
    <row r="694" s="10" customFormat="1" spans="1:33">
      <c r="A694" s="18"/>
      <c r="B694" s="19"/>
      <c r="C694" s="19"/>
      <c r="D694" s="20"/>
      <c r="E694" s="19"/>
      <c r="F694" s="20"/>
      <c r="G694" s="21"/>
      <c r="H694" s="19"/>
      <c r="I694" s="19"/>
      <c r="J694" s="20"/>
      <c r="K694" s="20"/>
      <c r="L694" s="22"/>
      <c r="M694" s="22"/>
      <c r="N694" s="19"/>
      <c r="O694" s="19"/>
      <c r="AG694" s="14"/>
    </row>
    <row r="695" s="10" customFormat="1" spans="33:33">
      <c r="AG695" s="14"/>
    </row>
    <row r="696" s="10" customFormat="1" spans="33:33">
      <c r="AG696" s="14"/>
    </row>
    <row r="697" s="10" customFormat="1" spans="33:33">
      <c r="AG697" s="14"/>
    </row>
    <row r="698" s="10" customFormat="1" spans="33:33">
      <c r="AG698" s="14"/>
    </row>
    <row r="699" s="10" customFormat="1" spans="33:33">
      <c r="AG699" s="14"/>
    </row>
    <row r="700" s="10" customFormat="1" spans="33:33">
      <c r="AG700" s="14"/>
    </row>
    <row r="701" s="10" customFormat="1" spans="33:33">
      <c r="AG701" s="14"/>
    </row>
    <row r="702" s="10" customFormat="1" spans="33:33">
      <c r="AG702" s="14"/>
    </row>
    <row r="703" s="10" customFormat="1" spans="33:33">
      <c r="AG703" s="14"/>
    </row>
    <row r="704" s="10" customFormat="1" spans="33:33">
      <c r="AG704" s="14"/>
    </row>
    <row r="705" s="10" customFormat="1" spans="33:33">
      <c r="AG705" s="14"/>
    </row>
    <row r="706" s="10" customFormat="1" spans="33:33">
      <c r="AG706" s="14"/>
    </row>
    <row r="707" s="10" customFormat="1" spans="33:33">
      <c r="AG707" s="14"/>
    </row>
    <row r="708" s="10" customFormat="1" spans="33:33">
      <c r="AG708" s="14"/>
    </row>
    <row r="709" s="10" customFormat="1" spans="33:33">
      <c r="AG709" s="14"/>
    </row>
    <row r="710" s="10" customFormat="1" spans="33:33">
      <c r="AG710" s="14"/>
    </row>
    <row r="711" s="10" customFormat="1" spans="33:33">
      <c r="AG711" s="14"/>
    </row>
    <row r="712" s="10" customFormat="1" spans="33:33">
      <c r="AG712" s="14"/>
    </row>
    <row r="713" s="10" customFormat="1" spans="33:33">
      <c r="AG713" s="14"/>
    </row>
    <row r="714" s="10" customFormat="1" spans="33:33">
      <c r="AG714" s="14"/>
    </row>
    <row r="715" s="10" customFormat="1" spans="33:33">
      <c r="AG715" s="14"/>
    </row>
    <row r="716" s="10" customFormat="1" spans="33:33">
      <c r="AG716" s="14"/>
    </row>
    <row r="717" s="10" customFormat="1" spans="33:33">
      <c r="AG717" s="14"/>
    </row>
    <row r="718" s="10" customFormat="1" spans="33:33">
      <c r="AG718" s="14"/>
    </row>
    <row r="719" s="10" customFormat="1" spans="33:33">
      <c r="AG719" s="14"/>
    </row>
    <row r="720" s="10" customFormat="1" spans="33:33">
      <c r="AG720" s="14"/>
    </row>
    <row r="721" s="10" customFormat="1" spans="33:33">
      <c r="AG721" s="14"/>
    </row>
    <row r="722" s="10" customFormat="1" spans="33:33">
      <c r="AG722" s="14"/>
    </row>
    <row r="723" s="10" customFormat="1" spans="33:33">
      <c r="AG723" s="14"/>
    </row>
    <row r="724" s="10" customFormat="1" spans="33:33">
      <c r="AG724" s="14"/>
    </row>
    <row r="725" s="10" customFormat="1" spans="33:33">
      <c r="AG725" s="14"/>
    </row>
    <row r="726" s="10" customFormat="1" spans="33:33">
      <c r="AG726" s="14"/>
    </row>
    <row r="727" s="10" customFormat="1" spans="33:33">
      <c r="AG727" s="14"/>
    </row>
    <row r="728" s="10" customFormat="1" spans="33:33">
      <c r="AG728" s="14"/>
    </row>
    <row r="729" s="10" customFormat="1" spans="33:33">
      <c r="AG729" s="14"/>
    </row>
    <row r="730" s="10" customFormat="1" spans="33:33">
      <c r="AG730" s="14"/>
    </row>
    <row r="731" s="10" customFormat="1" spans="33:33">
      <c r="AG731" s="14"/>
    </row>
    <row r="732" s="10" customFormat="1" spans="33:33">
      <c r="AG732" s="14"/>
    </row>
    <row r="733" s="10" customFormat="1" spans="33:33">
      <c r="AG733" s="14"/>
    </row>
    <row r="734" s="10" customFormat="1" spans="33:33">
      <c r="AG734" s="14"/>
    </row>
    <row r="735" s="10" customFormat="1" spans="33:33">
      <c r="AG735" s="14"/>
    </row>
    <row r="736" s="10" customFormat="1" spans="33:33">
      <c r="AG736" s="14"/>
    </row>
    <row r="737" s="10" customFormat="1" spans="33:33">
      <c r="AG737" s="14"/>
    </row>
    <row r="738" s="10" customFormat="1" spans="33:33">
      <c r="AG738" s="14"/>
    </row>
    <row r="739" s="10" customFormat="1" spans="33:33">
      <c r="AG739" s="14"/>
    </row>
    <row r="740" s="10" customFormat="1" spans="33:33">
      <c r="AG740" s="14"/>
    </row>
    <row r="741" s="10" customFormat="1" spans="33:33">
      <c r="AG741" s="14"/>
    </row>
    <row r="742" s="10" customFormat="1" spans="33:33">
      <c r="AG742" s="14"/>
    </row>
    <row r="743" s="10" customFormat="1" spans="33:33">
      <c r="AG743" s="14"/>
    </row>
    <row r="744" s="10" customFormat="1" spans="33:33">
      <c r="AG744" s="14"/>
    </row>
    <row r="745" s="10" customFormat="1" spans="33:33">
      <c r="AG745" s="14"/>
    </row>
    <row r="746" s="10" customFormat="1" spans="33:33">
      <c r="AG746" s="14"/>
    </row>
    <row r="747" s="10" customFormat="1" spans="33:33">
      <c r="AG747" s="14"/>
    </row>
    <row r="748" s="10" customFormat="1" spans="33:33">
      <c r="AG748" s="14"/>
    </row>
    <row r="749" s="10" customFormat="1" spans="33:33">
      <c r="AG749" s="14"/>
    </row>
    <row r="750" s="10" customFormat="1" spans="33:33">
      <c r="AG750" s="14"/>
    </row>
    <row r="751" s="10" customFormat="1" spans="33:33">
      <c r="AG751" s="14"/>
    </row>
    <row r="752" s="10" customFormat="1" spans="33:33">
      <c r="AG752" s="14"/>
    </row>
    <row r="753" s="10" customFormat="1" spans="33:33">
      <c r="AG753" s="14"/>
    </row>
    <row r="754" s="10" customFormat="1" spans="33:33">
      <c r="AG754" s="14"/>
    </row>
    <row r="755" s="10" customFormat="1" spans="33:33">
      <c r="AG755" s="14"/>
    </row>
    <row r="756" s="10" customFormat="1" spans="33:33">
      <c r="AG756" s="14"/>
    </row>
    <row r="757" s="10" customFormat="1" spans="33:33">
      <c r="AG757" s="14"/>
    </row>
    <row r="758" s="10" customFormat="1" spans="33:33">
      <c r="AG758" s="14"/>
    </row>
    <row r="759" s="10" customFormat="1" spans="33:33">
      <c r="AG759" s="14"/>
    </row>
    <row r="760" s="10" customFormat="1" spans="33:33">
      <c r="AG760" s="14"/>
    </row>
    <row r="761" s="10" customFormat="1" spans="33:33">
      <c r="AG761" s="14"/>
    </row>
    <row r="762" s="10" customFormat="1" spans="33:33">
      <c r="AG762" s="14"/>
    </row>
    <row r="763" s="10" customFormat="1" spans="33:33">
      <c r="AG763" s="14"/>
    </row>
    <row r="764" s="10" customFormat="1" spans="33:33">
      <c r="AG764" s="14"/>
    </row>
    <row r="765" spans="1:33">
      <c r="A765" s="10"/>
      <c r="B765" s="10"/>
      <c r="C765" s="10"/>
      <c r="D765" s="10"/>
      <c r="E765" s="10"/>
      <c r="F765" s="10"/>
      <c r="G765" s="10"/>
      <c r="H765" s="10"/>
      <c r="I765" s="10"/>
      <c r="J765" s="10"/>
      <c r="K765" s="10"/>
      <c r="L765" s="10"/>
      <c r="M765" s="10"/>
      <c r="N765" s="10"/>
      <c r="O765" s="10"/>
      <c r="P765" s="10"/>
      <c r="Q765" s="10"/>
      <c r="R765" s="10"/>
      <c r="S765" s="10"/>
      <c r="T765" s="10"/>
      <c r="U765" s="10"/>
      <c r="V765" s="10"/>
      <c r="W765" s="10"/>
      <c r="X765" s="10"/>
      <c r="Y765" s="10"/>
      <c r="Z765" s="10"/>
      <c r="AA765" s="10"/>
      <c r="AB765" s="10"/>
      <c r="AC765" s="10"/>
      <c r="AD765" s="10"/>
      <c r="AE765" s="10"/>
      <c r="AF765" s="10"/>
      <c r="AG765" s="14"/>
    </row>
    <row r="766" spans="1:33">
      <c r="A766" s="10"/>
      <c r="B766" s="10"/>
      <c r="C766" s="10"/>
      <c r="D766" s="10"/>
      <c r="E766" s="10"/>
      <c r="F766" s="10"/>
      <c r="G766" s="10"/>
      <c r="H766" s="10"/>
      <c r="I766" s="10"/>
      <c r="J766" s="10"/>
      <c r="K766" s="10"/>
      <c r="L766" s="10"/>
      <c r="M766" s="10"/>
      <c r="N766" s="10"/>
      <c r="O766" s="10"/>
      <c r="P766" s="10"/>
      <c r="Q766" s="10"/>
      <c r="R766" s="10"/>
      <c r="S766" s="10"/>
      <c r="T766" s="10"/>
      <c r="U766" s="10"/>
      <c r="V766" s="10"/>
      <c r="W766" s="10"/>
      <c r="X766" s="10"/>
      <c r="Y766" s="10"/>
      <c r="Z766" s="10"/>
      <c r="AA766" s="10"/>
      <c r="AB766" s="10"/>
      <c r="AC766" s="10"/>
      <c r="AD766" s="10"/>
      <c r="AE766" s="10"/>
      <c r="AF766" s="10"/>
      <c r="AG766" s="14"/>
    </row>
    <row r="767" spans="1:33">
      <c r="A767" s="10"/>
      <c r="B767" s="10"/>
      <c r="C767" s="10"/>
      <c r="D767" s="10"/>
      <c r="E767" s="10"/>
      <c r="F767" s="10"/>
      <c r="G767" s="10"/>
      <c r="H767" s="10"/>
      <c r="I767" s="10"/>
      <c r="J767" s="10"/>
      <c r="K767" s="10"/>
      <c r="L767" s="10"/>
      <c r="M767" s="10"/>
      <c r="N767" s="10"/>
      <c r="O767" s="10"/>
      <c r="P767" s="10"/>
      <c r="Q767" s="10"/>
      <c r="R767" s="10"/>
      <c r="S767" s="10"/>
      <c r="T767" s="10"/>
      <c r="U767" s="10"/>
      <c r="V767" s="10"/>
      <c r="W767" s="10"/>
      <c r="X767" s="10"/>
      <c r="Y767" s="10"/>
      <c r="Z767" s="10"/>
      <c r="AA767" s="10"/>
      <c r="AB767" s="10"/>
      <c r="AC767" s="10"/>
      <c r="AD767" s="10"/>
      <c r="AE767" s="10"/>
      <c r="AF767" s="10"/>
      <c r="AG767" s="14"/>
    </row>
    <row r="768" spans="1:33">
      <c r="A768" s="10"/>
      <c r="B768" s="10"/>
      <c r="C768" s="10"/>
      <c r="D768" s="10"/>
      <c r="E768" s="10"/>
      <c r="F768" s="10"/>
      <c r="G768" s="10"/>
      <c r="H768" s="10"/>
      <c r="I768" s="10"/>
      <c r="J768" s="10"/>
      <c r="K768" s="10"/>
      <c r="L768" s="10"/>
      <c r="M768" s="10"/>
      <c r="N768" s="10"/>
      <c r="O768" s="10"/>
      <c r="P768" s="10"/>
      <c r="Q768" s="10"/>
      <c r="R768" s="10"/>
      <c r="S768" s="10"/>
      <c r="T768" s="10"/>
      <c r="U768" s="10"/>
      <c r="V768" s="10"/>
      <c r="W768" s="10"/>
      <c r="X768" s="10"/>
      <c r="Y768" s="10"/>
      <c r="Z768" s="10"/>
      <c r="AA768" s="10"/>
      <c r="AB768" s="10"/>
      <c r="AC768" s="10"/>
      <c r="AD768" s="10"/>
      <c r="AE768" s="10"/>
      <c r="AF768" s="10"/>
      <c r="AG768" s="14"/>
    </row>
    <row r="769" spans="1:33">
      <c r="A769" s="10"/>
      <c r="B769" s="10"/>
      <c r="C769" s="10"/>
      <c r="D769" s="10"/>
      <c r="E769" s="10"/>
      <c r="F769" s="10"/>
      <c r="G769" s="10"/>
      <c r="H769" s="10"/>
      <c r="I769" s="10"/>
      <c r="J769" s="10"/>
      <c r="K769" s="10"/>
      <c r="L769" s="10"/>
      <c r="M769" s="10"/>
      <c r="N769" s="10"/>
      <c r="O769" s="10"/>
      <c r="P769" s="10"/>
      <c r="Q769" s="10"/>
      <c r="R769" s="10"/>
      <c r="S769" s="10"/>
      <c r="T769" s="10"/>
      <c r="U769" s="10"/>
      <c r="V769" s="10"/>
      <c r="W769" s="10"/>
      <c r="X769" s="10"/>
      <c r="Y769" s="10"/>
      <c r="Z769" s="10"/>
      <c r="AA769" s="10"/>
      <c r="AB769" s="10"/>
      <c r="AC769" s="10"/>
      <c r="AD769" s="10"/>
      <c r="AE769" s="10"/>
      <c r="AF769" s="10"/>
      <c r="AG769" s="14"/>
    </row>
    <row r="770" spans="1:33">
      <c r="A770" s="10"/>
      <c r="B770" s="10"/>
      <c r="C770" s="10"/>
      <c r="D770" s="10"/>
      <c r="E770" s="10"/>
      <c r="F770" s="10"/>
      <c r="G770" s="10"/>
      <c r="H770" s="10"/>
      <c r="I770" s="10"/>
      <c r="J770" s="10"/>
      <c r="K770" s="10"/>
      <c r="L770" s="10"/>
      <c r="M770" s="10"/>
      <c r="N770" s="10"/>
      <c r="O770" s="10"/>
      <c r="P770" s="10"/>
      <c r="Q770" s="10"/>
      <c r="R770" s="10"/>
      <c r="S770" s="10"/>
      <c r="T770" s="10"/>
      <c r="U770" s="10"/>
      <c r="V770" s="10"/>
      <c r="W770" s="10"/>
      <c r="X770" s="10"/>
      <c r="Y770" s="10"/>
      <c r="Z770" s="10"/>
      <c r="AA770" s="10"/>
      <c r="AB770" s="10"/>
      <c r="AC770" s="10"/>
      <c r="AD770" s="10"/>
      <c r="AE770" s="10"/>
      <c r="AF770" s="10"/>
      <c r="AG770" s="14"/>
    </row>
    <row r="771" spans="1:33">
      <c r="A771" s="10"/>
      <c r="B771" s="10"/>
      <c r="C771" s="10"/>
      <c r="D771" s="10"/>
      <c r="E771" s="10"/>
      <c r="F771" s="10"/>
      <c r="G771" s="10"/>
      <c r="H771" s="10"/>
      <c r="I771" s="10"/>
      <c r="J771" s="10"/>
      <c r="K771" s="10"/>
      <c r="L771" s="10"/>
      <c r="M771" s="10"/>
      <c r="N771" s="10"/>
      <c r="O771" s="10"/>
      <c r="P771" s="10"/>
      <c r="Q771" s="10"/>
      <c r="R771" s="10"/>
      <c r="S771" s="10"/>
      <c r="T771" s="10"/>
      <c r="U771" s="10"/>
      <c r="V771" s="10"/>
      <c r="W771" s="10"/>
      <c r="X771" s="10"/>
      <c r="Y771" s="10"/>
      <c r="Z771" s="10"/>
      <c r="AA771" s="10"/>
      <c r="AB771" s="10"/>
      <c r="AC771" s="10"/>
      <c r="AD771" s="10"/>
      <c r="AE771" s="10"/>
      <c r="AF771" s="10"/>
      <c r="AG771" s="14"/>
    </row>
    <row r="772" spans="1:33">
      <c r="A772" s="10"/>
      <c r="B772" s="10"/>
      <c r="C772" s="10"/>
      <c r="D772" s="10"/>
      <c r="E772" s="10"/>
      <c r="F772" s="10"/>
      <c r="G772" s="10"/>
      <c r="H772" s="10"/>
      <c r="I772" s="10"/>
      <c r="J772" s="10"/>
      <c r="K772" s="10"/>
      <c r="L772" s="10"/>
      <c r="M772" s="10"/>
      <c r="N772" s="10"/>
      <c r="O772" s="10"/>
      <c r="P772" s="10"/>
      <c r="Q772" s="10"/>
      <c r="R772" s="10"/>
      <c r="S772" s="10"/>
      <c r="T772" s="10"/>
      <c r="U772" s="10"/>
      <c r="V772" s="10"/>
      <c r="W772" s="10"/>
      <c r="X772" s="10"/>
      <c r="Y772" s="10"/>
      <c r="Z772" s="10"/>
      <c r="AA772" s="10"/>
      <c r="AB772" s="10"/>
      <c r="AC772" s="10"/>
      <c r="AD772" s="10"/>
      <c r="AE772" s="10"/>
      <c r="AF772" s="10"/>
      <c r="AG772" s="14"/>
    </row>
    <row r="773" spans="1:33">
      <c r="A773" s="10"/>
      <c r="B773" s="10"/>
      <c r="C773" s="10"/>
      <c r="D773" s="10"/>
      <c r="E773" s="10"/>
      <c r="F773" s="10"/>
      <c r="G773" s="10"/>
      <c r="H773" s="10"/>
      <c r="I773" s="10"/>
      <c r="J773" s="10"/>
      <c r="K773" s="10"/>
      <c r="L773" s="10"/>
      <c r="M773" s="10"/>
      <c r="N773" s="10"/>
      <c r="O773" s="10"/>
      <c r="P773" s="10"/>
      <c r="Q773" s="10"/>
      <c r="R773" s="10"/>
      <c r="S773" s="10"/>
      <c r="T773" s="10"/>
      <c r="U773" s="10"/>
      <c r="V773" s="10"/>
      <c r="W773" s="10"/>
      <c r="X773" s="10"/>
      <c r="Y773" s="10"/>
      <c r="Z773" s="10"/>
      <c r="AA773" s="10"/>
      <c r="AB773" s="10"/>
      <c r="AC773" s="10"/>
      <c r="AD773" s="10"/>
      <c r="AE773" s="10"/>
      <c r="AF773" s="10"/>
      <c r="AG773" s="14"/>
    </row>
    <row r="774" spans="1:33">
      <c r="A774" s="10"/>
      <c r="B774" s="10"/>
      <c r="C774" s="10"/>
      <c r="D774" s="10"/>
      <c r="E774" s="10"/>
      <c r="F774" s="10"/>
      <c r="G774" s="10"/>
      <c r="H774" s="10"/>
      <c r="I774" s="10"/>
      <c r="J774" s="10"/>
      <c r="K774" s="10"/>
      <c r="L774" s="10"/>
      <c r="M774" s="10"/>
      <c r="N774" s="10"/>
      <c r="O774" s="10"/>
      <c r="P774" s="10"/>
      <c r="Q774" s="10"/>
      <c r="R774" s="10"/>
      <c r="S774" s="10"/>
      <c r="T774" s="10"/>
      <c r="U774" s="10"/>
      <c r="V774" s="10"/>
      <c r="W774" s="10"/>
      <c r="X774" s="10"/>
      <c r="Y774" s="10"/>
      <c r="Z774" s="10"/>
      <c r="AA774" s="10"/>
      <c r="AB774" s="10"/>
      <c r="AC774" s="10"/>
      <c r="AD774" s="10"/>
      <c r="AE774" s="10"/>
      <c r="AF774" s="10"/>
      <c r="AG774" s="14"/>
    </row>
    <row r="775" spans="1:33">
      <c r="A775" s="10"/>
      <c r="B775" s="10"/>
      <c r="C775" s="10"/>
      <c r="D775" s="10"/>
      <c r="E775" s="10"/>
      <c r="F775" s="10"/>
      <c r="G775" s="10"/>
      <c r="H775" s="10"/>
      <c r="I775" s="10"/>
      <c r="J775" s="10"/>
      <c r="K775" s="10"/>
      <c r="L775" s="10"/>
      <c r="M775" s="10"/>
      <c r="N775" s="10"/>
      <c r="O775" s="10"/>
      <c r="P775" s="10"/>
      <c r="Q775" s="10"/>
      <c r="R775" s="10"/>
      <c r="S775" s="10"/>
      <c r="T775" s="10"/>
      <c r="U775" s="10"/>
      <c r="V775" s="10"/>
      <c r="W775" s="10"/>
      <c r="X775" s="10"/>
      <c r="Y775" s="10"/>
      <c r="Z775" s="10"/>
      <c r="AA775" s="10"/>
      <c r="AB775" s="10"/>
      <c r="AC775" s="10"/>
      <c r="AD775" s="10"/>
      <c r="AE775" s="10"/>
      <c r="AF775" s="10"/>
      <c r="AG775" s="14"/>
    </row>
    <row r="776" spans="1:33">
      <c r="A776" s="10"/>
      <c r="B776" s="10"/>
      <c r="C776" s="10"/>
      <c r="D776" s="10"/>
      <c r="E776" s="10"/>
      <c r="F776" s="10"/>
      <c r="G776" s="10"/>
      <c r="H776" s="10"/>
      <c r="I776" s="10"/>
      <c r="J776" s="10"/>
      <c r="K776" s="10"/>
      <c r="L776" s="10"/>
      <c r="M776" s="10"/>
      <c r="N776" s="10"/>
      <c r="O776" s="10"/>
      <c r="P776" s="10"/>
      <c r="Q776" s="10"/>
      <c r="R776" s="10"/>
      <c r="S776" s="10"/>
      <c r="T776" s="10"/>
      <c r="U776" s="10"/>
      <c r="V776" s="10"/>
      <c r="W776" s="10"/>
      <c r="X776" s="10"/>
      <c r="Y776" s="10"/>
      <c r="Z776" s="10"/>
      <c r="AA776" s="10"/>
      <c r="AB776" s="10"/>
      <c r="AC776" s="10"/>
      <c r="AD776" s="10"/>
      <c r="AE776" s="10"/>
      <c r="AF776" s="10"/>
      <c r="AG776" s="14"/>
    </row>
    <row r="777" spans="1:33">
      <c r="A777" s="10"/>
      <c r="B777" s="10"/>
      <c r="C777" s="10"/>
      <c r="D777" s="10"/>
      <c r="E777" s="10"/>
      <c r="F777" s="10"/>
      <c r="G777" s="10"/>
      <c r="H777" s="10"/>
      <c r="I777" s="10"/>
      <c r="J777" s="10"/>
      <c r="K777" s="10"/>
      <c r="L777" s="10"/>
      <c r="M777" s="10"/>
      <c r="N777" s="10"/>
      <c r="O777" s="10"/>
      <c r="P777" s="10"/>
      <c r="Q777" s="10"/>
      <c r="R777" s="10"/>
      <c r="S777" s="10"/>
      <c r="T777" s="10"/>
      <c r="U777" s="10"/>
      <c r="V777" s="10"/>
      <c r="W777" s="10"/>
      <c r="X777" s="10"/>
      <c r="Y777" s="10"/>
      <c r="Z777" s="10"/>
      <c r="AA777" s="10"/>
      <c r="AB777" s="10"/>
      <c r="AC777" s="10"/>
      <c r="AD777" s="10"/>
      <c r="AE777" s="10"/>
      <c r="AF777" s="10"/>
      <c r="AG777" s="14"/>
    </row>
    <row r="778" spans="1:33">
      <c r="A778" s="10"/>
      <c r="B778" s="10"/>
      <c r="C778" s="10"/>
      <c r="D778" s="10"/>
      <c r="E778" s="10"/>
      <c r="F778" s="10"/>
      <c r="G778" s="10"/>
      <c r="H778" s="10"/>
      <c r="I778" s="10"/>
      <c r="J778" s="10"/>
      <c r="K778" s="10"/>
      <c r="L778" s="10"/>
      <c r="M778" s="10"/>
      <c r="N778" s="10"/>
      <c r="O778" s="10"/>
      <c r="P778" s="10"/>
      <c r="Q778" s="10"/>
      <c r="R778" s="10"/>
      <c r="S778" s="10"/>
      <c r="T778" s="10"/>
      <c r="U778" s="10"/>
      <c r="V778" s="10"/>
      <c r="W778" s="10"/>
      <c r="X778" s="10"/>
      <c r="Y778" s="10"/>
      <c r="Z778" s="10"/>
      <c r="AA778" s="10"/>
      <c r="AB778" s="10"/>
      <c r="AC778" s="10"/>
      <c r="AD778" s="10"/>
      <c r="AE778" s="10"/>
      <c r="AF778" s="10"/>
      <c r="AG778" s="14"/>
    </row>
    <row r="779" spans="1:33">
      <c r="A779" s="10"/>
      <c r="B779" s="10"/>
      <c r="C779" s="10"/>
      <c r="D779" s="10"/>
      <c r="E779" s="10"/>
      <c r="F779" s="10"/>
      <c r="G779" s="10"/>
      <c r="H779" s="10"/>
      <c r="I779" s="10"/>
      <c r="J779" s="10"/>
      <c r="K779" s="10"/>
      <c r="L779" s="10"/>
      <c r="M779" s="10"/>
      <c r="N779" s="10"/>
      <c r="O779" s="10"/>
      <c r="P779" s="10"/>
      <c r="Q779" s="10"/>
      <c r="R779" s="10"/>
      <c r="S779" s="10"/>
      <c r="T779" s="10"/>
      <c r="U779" s="10"/>
      <c r="V779" s="10"/>
      <c r="W779" s="10"/>
      <c r="X779" s="10"/>
      <c r="Y779" s="10"/>
      <c r="Z779" s="10"/>
      <c r="AA779" s="10"/>
      <c r="AB779" s="10"/>
      <c r="AC779" s="10"/>
      <c r="AD779" s="10"/>
      <c r="AE779" s="10"/>
      <c r="AF779" s="10"/>
      <c r="AG779" s="14"/>
    </row>
    <row r="780" spans="1:33">
      <c r="A780" s="10"/>
      <c r="B780" s="10"/>
      <c r="C780" s="10"/>
      <c r="D780" s="10"/>
      <c r="E780" s="10"/>
      <c r="F780" s="10"/>
      <c r="G780" s="10"/>
      <c r="H780" s="10"/>
      <c r="I780" s="10"/>
      <c r="J780" s="10"/>
      <c r="K780" s="10"/>
      <c r="L780" s="10"/>
      <c r="M780" s="10"/>
      <c r="N780" s="10"/>
      <c r="O780" s="10"/>
      <c r="P780" s="10"/>
      <c r="Q780" s="10"/>
      <c r="R780" s="10"/>
      <c r="S780" s="10"/>
      <c r="T780" s="10"/>
      <c r="U780" s="10"/>
      <c r="V780" s="10"/>
      <c r="W780" s="10"/>
      <c r="X780" s="10"/>
      <c r="Y780" s="10"/>
      <c r="Z780" s="10"/>
      <c r="AA780" s="10"/>
      <c r="AB780" s="10"/>
      <c r="AC780" s="10"/>
      <c r="AD780" s="10"/>
      <c r="AE780" s="10"/>
      <c r="AF780" s="10"/>
      <c r="AG780" s="14"/>
    </row>
    <row r="781" spans="1:33">
      <c r="A781" s="10"/>
      <c r="B781" s="10"/>
      <c r="C781" s="10"/>
      <c r="D781" s="10"/>
      <c r="E781" s="10"/>
      <c r="F781" s="10"/>
      <c r="G781" s="10"/>
      <c r="H781" s="10"/>
      <c r="I781" s="10"/>
      <c r="J781" s="10"/>
      <c r="K781" s="10"/>
      <c r="L781" s="10"/>
      <c r="M781" s="10"/>
      <c r="N781" s="10"/>
      <c r="O781" s="10"/>
      <c r="P781" s="10"/>
      <c r="Q781" s="10"/>
      <c r="R781" s="10"/>
      <c r="S781" s="10"/>
      <c r="T781" s="10"/>
      <c r="U781" s="10"/>
      <c r="V781" s="10"/>
      <c r="W781" s="10"/>
      <c r="X781" s="10"/>
      <c r="Y781" s="10"/>
      <c r="Z781" s="10"/>
      <c r="AA781" s="10"/>
      <c r="AB781" s="10"/>
      <c r="AC781" s="10"/>
      <c r="AD781" s="10"/>
      <c r="AE781" s="10"/>
      <c r="AF781" s="10"/>
      <c r="AG781" s="14"/>
    </row>
    <row r="782" spans="1:33">
      <c r="A782" s="10"/>
      <c r="B782" s="10"/>
      <c r="C782" s="10"/>
      <c r="D782" s="10"/>
      <c r="E782" s="10"/>
      <c r="F782" s="10"/>
      <c r="G782" s="10"/>
      <c r="H782" s="10"/>
      <c r="I782" s="10"/>
      <c r="J782" s="10"/>
      <c r="K782" s="10"/>
      <c r="L782" s="10"/>
      <c r="M782" s="10"/>
      <c r="N782" s="10"/>
      <c r="O782" s="10"/>
      <c r="P782" s="10"/>
      <c r="Q782" s="10"/>
      <c r="R782" s="10"/>
      <c r="S782" s="10"/>
      <c r="T782" s="10"/>
      <c r="U782" s="10"/>
      <c r="V782" s="10"/>
      <c r="W782" s="10"/>
      <c r="X782" s="10"/>
      <c r="Y782" s="10"/>
      <c r="Z782" s="10"/>
      <c r="AA782" s="10"/>
      <c r="AB782" s="10"/>
      <c r="AC782" s="10"/>
      <c r="AD782" s="10"/>
      <c r="AE782" s="10"/>
      <c r="AF782" s="10"/>
      <c r="AG782" s="14"/>
    </row>
    <row r="783" spans="1:33">
      <c r="A783" s="10"/>
      <c r="B783" s="10"/>
      <c r="C783" s="10"/>
      <c r="D783" s="10"/>
      <c r="E783" s="10"/>
      <c r="F783" s="10"/>
      <c r="G783" s="10"/>
      <c r="H783" s="10"/>
      <c r="I783" s="10"/>
      <c r="J783" s="10"/>
      <c r="K783" s="10"/>
      <c r="L783" s="10"/>
      <c r="M783" s="10"/>
      <c r="N783" s="10"/>
      <c r="O783" s="10"/>
      <c r="P783" s="10"/>
      <c r="Q783" s="10"/>
      <c r="R783" s="10"/>
      <c r="S783" s="10"/>
      <c r="T783" s="10"/>
      <c r="U783" s="10"/>
      <c r="V783" s="10"/>
      <c r="W783" s="10"/>
      <c r="X783" s="10"/>
      <c r="Y783" s="10"/>
      <c r="Z783" s="10"/>
      <c r="AA783" s="10"/>
      <c r="AB783" s="10"/>
      <c r="AC783" s="10"/>
      <c r="AD783" s="10"/>
      <c r="AE783" s="10"/>
      <c r="AF783" s="10"/>
      <c r="AG783" s="14"/>
    </row>
    <row r="784" spans="1:33">
      <c r="A784" s="10"/>
      <c r="B784" s="10"/>
      <c r="C784" s="10"/>
      <c r="D784" s="10"/>
      <c r="E784" s="10"/>
      <c r="F784" s="10"/>
      <c r="G784" s="10"/>
      <c r="H784" s="10"/>
      <c r="I784" s="10"/>
      <c r="J784" s="10"/>
      <c r="K784" s="10"/>
      <c r="L784" s="10"/>
      <c r="M784" s="10"/>
      <c r="N784" s="10"/>
      <c r="O784" s="10"/>
      <c r="P784" s="10"/>
      <c r="Q784" s="10"/>
      <c r="R784" s="10"/>
      <c r="S784" s="10"/>
      <c r="T784" s="10"/>
      <c r="U784" s="10"/>
      <c r="V784" s="10"/>
      <c r="W784" s="10"/>
      <c r="X784" s="10"/>
      <c r="Y784" s="10"/>
      <c r="Z784" s="10"/>
      <c r="AA784" s="10"/>
      <c r="AB784" s="10"/>
      <c r="AC784" s="10"/>
      <c r="AD784" s="10"/>
      <c r="AE784" s="10"/>
      <c r="AF784" s="10"/>
      <c r="AG784" s="14"/>
    </row>
    <row r="785" spans="1:33">
      <c r="A785" s="10"/>
      <c r="B785" s="10"/>
      <c r="C785" s="10"/>
      <c r="D785" s="10"/>
      <c r="E785" s="10"/>
      <c r="F785" s="10"/>
      <c r="G785" s="10"/>
      <c r="H785" s="10"/>
      <c r="I785" s="10"/>
      <c r="J785" s="10"/>
      <c r="K785" s="10"/>
      <c r="L785" s="10"/>
      <c r="M785" s="10"/>
      <c r="N785" s="10"/>
      <c r="O785" s="10"/>
      <c r="P785" s="10"/>
      <c r="Q785" s="10"/>
      <c r="R785" s="10"/>
      <c r="S785" s="10"/>
      <c r="T785" s="10"/>
      <c r="U785" s="10"/>
      <c r="V785" s="10"/>
      <c r="W785" s="10"/>
      <c r="X785" s="10"/>
      <c r="Y785" s="10"/>
      <c r="Z785" s="10"/>
      <c r="AA785" s="10"/>
      <c r="AB785" s="10"/>
      <c r="AC785" s="10"/>
      <c r="AD785" s="10"/>
      <c r="AE785" s="10"/>
      <c r="AF785" s="10"/>
      <c r="AG785" s="14"/>
    </row>
    <row r="786" spans="1:33">
      <c r="A786" s="10"/>
      <c r="B786" s="10"/>
      <c r="C786" s="10"/>
      <c r="D786" s="10"/>
      <c r="E786" s="10"/>
      <c r="F786" s="10"/>
      <c r="G786" s="10"/>
      <c r="H786" s="10"/>
      <c r="I786" s="10"/>
      <c r="J786" s="10"/>
      <c r="K786" s="10"/>
      <c r="L786" s="10"/>
      <c r="M786" s="10"/>
      <c r="N786" s="10"/>
      <c r="O786" s="10"/>
      <c r="P786" s="10"/>
      <c r="Q786" s="10"/>
      <c r="R786" s="10"/>
      <c r="S786" s="10"/>
      <c r="T786" s="10"/>
      <c r="U786" s="10"/>
      <c r="V786" s="10"/>
      <c r="W786" s="10"/>
      <c r="X786" s="10"/>
      <c r="Y786" s="10"/>
      <c r="Z786" s="10"/>
      <c r="AA786" s="10"/>
      <c r="AB786" s="10"/>
      <c r="AC786" s="10"/>
      <c r="AD786" s="10"/>
      <c r="AE786" s="10"/>
      <c r="AF786" s="10"/>
      <c r="AG786" s="14"/>
    </row>
    <row r="787" spans="1:33">
      <c r="A787" s="10"/>
      <c r="B787" s="10"/>
      <c r="C787" s="10"/>
      <c r="D787" s="10"/>
      <c r="E787" s="10"/>
      <c r="F787" s="10"/>
      <c r="G787" s="10"/>
      <c r="H787" s="10"/>
      <c r="I787" s="10"/>
      <c r="J787" s="10"/>
      <c r="K787" s="10"/>
      <c r="L787" s="10"/>
      <c r="M787" s="10"/>
      <c r="N787" s="10"/>
      <c r="O787" s="10"/>
      <c r="P787" s="10"/>
      <c r="Q787" s="10"/>
      <c r="R787" s="10"/>
      <c r="S787" s="10"/>
      <c r="T787" s="10"/>
      <c r="U787" s="10"/>
      <c r="V787" s="10"/>
      <c r="W787" s="10"/>
      <c r="X787" s="10"/>
      <c r="Y787" s="10"/>
      <c r="Z787" s="10"/>
      <c r="AA787" s="10"/>
      <c r="AB787" s="10"/>
      <c r="AC787" s="10"/>
      <c r="AD787" s="10"/>
      <c r="AE787" s="10"/>
      <c r="AF787" s="10"/>
      <c r="AG787" s="14"/>
    </row>
    <row r="788" spans="1:33">
      <c r="A788" s="10"/>
      <c r="B788" s="10"/>
      <c r="C788" s="10"/>
      <c r="D788" s="10"/>
      <c r="E788" s="10"/>
      <c r="F788" s="10"/>
      <c r="G788" s="10"/>
      <c r="H788" s="10"/>
      <c r="I788" s="10"/>
      <c r="J788" s="10"/>
      <c r="K788" s="10"/>
      <c r="L788" s="10"/>
      <c r="M788" s="10"/>
      <c r="N788" s="10"/>
      <c r="O788" s="10"/>
      <c r="P788" s="10"/>
      <c r="Q788" s="10"/>
      <c r="R788" s="10"/>
      <c r="S788" s="10"/>
      <c r="T788" s="10"/>
      <c r="U788" s="10"/>
      <c r="V788" s="10"/>
      <c r="W788" s="10"/>
      <c r="X788" s="10"/>
      <c r="Y788" s="10"/>
      <c r="Z788" s="10"/>
      <c r="AA788" s="10"/>
      <c r="AB788" s="10"/>
      <c r="AC788" s="10"/>
      <c r="AD788" s="10"/>
      <c r="AE788" s="10"/>
      <c r="AF788" s="10"/>
      <c r="AG788" s="14"/>
    </row>
    <row r="789" spans="1:33">
      <c r="A789" s="10"/>
      <c r="B789" s="10"/>
      <c r="C789" s="10"/>
      <c r="D789" s="10"/>
      <c r="E789" s="10"/>
      <c r="F789" s="10"/>
      <c r="G789" s="10"/>
      <c r="H789" s="10"/>
      <c r="I789" s="10"/>
      <c r="J789" s="10"/>
      <c r="K789" s="10"/>
      <c r="L789" s="10"/>
      <c r="M789" s="10"/>
      <c r="N789" s="10"/>
      <c r="O789" s="10"/>
      <c r="P789" s="10"/>
      <c r="Q789" s="10"/>
      <c r="R789" s="10"/>
      <c r="S789" s="10"/>
      <c r="T789" s="10"/>
      <c r="U789" s="10"/>
      <c r="V789" s="10"/>
      <c r="W789" s="10"/>
      <c r="X789" s="10"/>
      <c r="Y789" s="10"/>
      <c r="Z789" s="10"/>
      <c r="AA789" s="10"/>
      <c r="AB789" s="10"/>
      <c r="AC789" s="10"/>
      <c r="AD789" s="10"/>
      <c r="AE789" s="10"/>
      <c r="AF789" s="10"/>
      <c r="AG789" s="14"/>
    </row>
    <row r="790" spans="1:33">
      <c r="A790" s="10"/>
      <c r="B790" s="10"/>
      <c r="C790" s="10"/>
      <c r="D790" s="10"/>
      <c r="E790" s="10"/>
      <c r="F790" s="10"/>
      <c r="G790" s="10"/>
      <c r="H790" s="10"/>
      <c r="I790" s="10"/>
      <c r="J790" s="10"/>
      <c r="K790" s="10"/>
      <c r="L790" s="10"/>
      <c r="M790" s="10"/>
      <c r="N790" s="10"/>
      <c r="O790" s="10"/>
      <c r="P790" s="10"/>
      <c r="Q790" s="10"/>
      <c r="R790" s="10"/>
      <c r="S790" s="10"/>
      <c r="T790" s="10"/>
      <c r="U790" s="10"/>
      <c r="V790" s="10"/>
      <c r="W790" s="10"/>
      <c r="X790" s="10"/>
      <c r="Y790" s="10"/>
      <c r="Z790" s="10"/>
      <c r="AA790" s="10"/>
      <c r="AB790" s="10"/>
      <c r="AC790" s="10"/>
      <c r="AD790" s="10"/>
      <c r="AE790" s="10"/>
      <c r="AF790" s="10"/>
      <c r="AG790" s="14"/>
    </row>
    <row r="791" spans="1:33">
      <c r="A791" s="10"/>
      <c r="B791" s="10"/>
      <c r="C791" s="10"/>
      <c r="D791" s="10"/>
      <c r="E791" s="10"/>
      <c r="F791" s="10"/>
      <c r="G791" s="10"/>
      <c r="H791" s="10"/>
      <c r="I791" s="10"/>
      <c r="J791" s="10"/>
      <c r="K791" s="10"/>
      <c r="L791" s="10"/>
      <c r="M791" s="10"/>
      <c r="N791" s="10"/>
      <c r="O791" s="10"/>
      <c r="P791" s="10"/>
      <c r="Q791" s="10"/>
      <c r="R791" s="10"/>
      <c r="S791" s="10"/>
      <c r="T791" s="10"/>
      <c r="U791" s="10"/>
      <c r="V791" s="10"/>
      <c r="W791" s="10"/>
      <c r="X791" s="10"/>
      <c r="Y791" s="10"/>
      <c r="Z791" s="10"/>
      <c r="AA791" s="10"/>
      <c r="AB791" s="10"/>
      <c r="AC791" s="10"/>
      <c r="AD791" s="10"/>
      <c r="AE791" s="10"/>
      <c r="AF791" s="10"/>
      <c r="AG791" s="14"/>
    </row>
    <row r="792" spans="1:33">
      <c r="A792" s="10"/>
      <c r="B792" s="10"/>
      <c r="C792" s="10"/>
      <c r="D792" s="10"/>
      <c r="E792" s="10"/>
      <c r="F792" s="10"/>
      <c r="G792" s="10"/>
      <c r="H792" s="10"/>
      <c r="I792" s="10"/>
      <c r="J792" s="10"/>
      <c r="K792" s="10"/>
      <c r="L792" s="10"/>
      <c r="M792" s="10"/>
      <c r="N792" s="10"/>
      <c r="O792" s="10"/>
      <c r="P792" s="10"/>
      <c r="Q792" s="10"/>
      <c r="R792" s="10"/>
      <c r="S792" s="10"/>
      <c r="T792" s="10"/>
      <c r="U792" s="10"/>
      <c r="V792" s="10"/>
      <c r="W792" s="10"/>
      <c r="X792" s="10"/>
      <c r="Y792" s="10"/>
      <c r="Z792" s="10"/>
      <c r="AA792" s="10"/>
      <c r="AB792" s="10"/>
      <c r="AC792" s="10"/>
      <c r="AD792" s="10"/>
      <c r="AE792" s="10"/>
      <c r="AF792" s="10"/>
      <c r="AG792" s="14"/>
    </row>
    <row r="793" spans="1:33">
      <c r="A793" s="10"/>
      <c r="B793" s="10"/>
      <c r="C793" s="10"/>
      <c r="D793" s="10"/>
      <c r="E793" s="10"/>
      <c r="F793" s="10"/>
      <c r="G793" s="10"/>
      <c r="H793" s="10"/>
      <c r="I793" s="10"/>
      <c r="J793" s="10"/>
      <c r="K793" s="10"/>
      <c r="L793" s="10"/>
      <c r="M793" s="10"/>
      <c r="N793" s="10"/>
      <c r="O793" s="10"/>
      <c r="P793" s="10"/>
      <c r="Q793" s="10"/>
      <c r="R793" s="10"/>
      <c r="S793" s="10"/>
      <c r="T793" s="10"/>
      <c r="U793" s="10"/>
      <c r="V793" s="10"/>
      <c r="W793" s="10"/>
      <c r="X793" s="10"/>
      <c r="Y793" s="10"/>
      <c r="Z793" s="10"/>
      <c r="AA793" s="10"/>
      <c r="AB793" s="10"/>
      <c r="AC793" s="10"/>
      <c r="AD793" s="10"/>
      <c r="AE793" s="10"/>
      <c r="AF793" s="10"/>
      <c r="AG793" s="14"/>
    </row>
    <row r="794" spans="1:33">
      <c r="A794" s="10"/>
      <c r="B794" s="10"/>
      <c r="C794" s="10"/>
      <c r="D794" s="10"/>
      <c r="E794" s="10"/>
      <c r="F794" s="10"/>
      <c r="G794" s="10"/>
      <c r="H794" s="10"/>
      <c r="I794" s="10"/>
      <c r="J794" s="10"/>
      <c r="K794" s="10"/>
      <c r="L794" s="10"/>
      <c r="M794" s="10"/>
      <c r="N794" s="10"/>
      <c r="O794" s="10"/>
      <c r="P794" s="10"/>
      <c r="Q794" s="10"/>
      <c r="R794" s="10"/>
      <c r="S794" s="10"/>
      <c r="T794" s="10"/>
      <c r="U794" s="10"/>
      <c r="V794" s="10"/>
      <c r="W794" s="10"/>
      <c r="X794" s="10"/>
      <c r="Y794" s="10"/>
      <c r="Z794" s="10"/>
      <c r="AA794" s="10"/>
      <c r="AB794" s="10"/>
      <c r="AC794" s="10"/>
      <c r="AD794" s="10"/>
      <c r="AE794" s="10"/>
      <c r="AF794" s="10"/>
      <c r="AG794" s="14"/>
    </row>
    <row r="795" spans="1:33">
      <c r="A795" s="10"/>
      <c r="B795" s="10"/>
      <c r="C795" s="10"/>
      <c r="D795" s="10"/>
      <c r="E795" s="10"/>
      <c r="F795" s="10"/>
      <c r="G795" s="10"/>
      <c r="H795" s="10"/>
      <c r="I795" s="10"/>
      <c r="J795" s="10"/>
      <c r="K795" s="10"/>
      <c r="L795" s="10"/>
      <c r="M795" s="10"/>
      <c r="N795" s="10"/>
      <c r="O795" s="10"/>
      <c r="P795" s="10"/>
      <c r="Q795" s="10"/>
      <c r="R795" s="10"/>
      <c r="S795" s="10"/>
      <c r="T795" s="10"/>
      <c r="U795" s="10"/>
      <c r="V795" s="10"/>
      <c r="W795" s="10"/>
      <c r="X795" s="10"/>
      <c r="Y795" s="10"/>
      <c r="Z795" s="10"/>
      <c r="AA795" s="10"/>
      <c r="AB795" s="10"/>
      <c r="AC795" s="10"/>
      <c r="AD795" s="10"/>
      <c r="AE795" s="10"/>
      <c r="AF795" s="10"/>
      <c r="AG795" s="14"/>
    </row>
    <row r="796" spans="1:33">
      <c r="A796" s="10"/>
      <c r="B796" s="10"/>
      <c r="C796" s="10"/>
      <c r="D796" s="10"/>
      <c r="E796" s="10"/>
      <c r="F796" s="10"/>
      <c r="G796" s="10"/>
      <c r="H796" s="10"/>
      <c r="I796" s="10"/>
      <c r="J796" s="10"/>
      <c r="K796" s="10"/>
      <c r="L796" s="10"/>
      <c r="M796" s="10"/>
      <c r="N796" s="10"/>
      <c r="O796" s="10"/>
      <c r="P796" s="10"/>
      <c r="Q796" s="10"/>
      <c r="R796" s="10"/>
      <c r="S796" s="10"/>
      <c r="T796" s="10"/>
      <c r="U796" s="10"/>
      <c r="V796" s="10"/>
      <c r="W796" s="10"/>
      <c r="X796" s="10"/>
      <c r="Y796" s="10"/>
      <c r="Z796" s="10"/>
      <c r="AA796" s="10"/>
      <c r="AB796" s="10"/>
      <c r="AC796" s="10"/>
      <c r="AD796" s="10"/>
      <c r="AE796" s="10"/>
      <c r="AF796" s="10"/>
      <c r="AG796" s="14"/>
    </row>
    <row r="797" spans="1:33">
      <c r="A797" s="10"/>
      <c r="B797" s="10"/>
      <c r="C797" s="10"/>
      <c r="D797" s="10"/>
      <c r="E797" s="10"/>
      <c r="F797" s="10"/>
      <c r="G797" s="10"/>
      <c r="H797" s="10"/>
      <c r="I797" s="10"/>
      <c r="J797" s="10"/>
      <c r="K797" s="10"/>
      <c r="L797" s="10"/>
      <c r="M797" s="10"/>
      <c r="N797" s="10"/>
      <c r="O797" s="10"/>
      <c r="P797" s="10"/>
      <c r="Q797" s="10"/>
      <c r="R797" s="10"/>
      <c r="S797" s="10"/>
      <c r="T797" s="10"/>
      <c r="U797" s="10"/>
      <c r="V797" s="10"/>
      <c r="W797" s="10"/>
      <c r="X797" s="10"/>
      <c r="Y797" s="10"/>
      <c r="Z797" s="10"/>
      <c r="AA797" s="10"/>
      <c r="AB797" s="10"/>
      <c r="AC797" s="10"/>
      <c r="AD797" s="10"/>
      <c r="AE797" s="10"/>
      <c r="AF797" s="10"/>
      <c r="AG797" s="14"/>
    </row>
    <row r="798" spans="1:33">
      <c r="A798" s="10"/>
      <c r="B798" s="10"/>
      <c r="C798" s="10"/>
      <c r="D798" s="10"/>
      <c r="E798" s="10"/>
      <c r="F798" s="10"/>
      <c r="G798" s="10"/>
      <c r="H798" s="10"/>
      <c r="I798" s="10"/>
      <c r="J798" s="10"/>
      <c r="K798" s="10"/>
      <c r="L798" s="10"/>
      <c r="M798" s="10"/>
      <c r="N798" s="10"/>
      <c r="O798" s="10"/>
      <c r="P798" s="10"/>
      <c r="Q798" s="10"/>
      <c r="R798" s="10"/>
      <c r="S798" s="10"/>
      <c r="T798" s="10"/>
      <c r="U798" s="10"/>
      <c r="V798" s="10"/>
      <c r="W798" s="10"/>
      <c r="X798" s="10"/>
      <c r="Y798" s="10"/>
      <c r="Z798" s="10"/>
      <c r="AA798" s="10"/>
      <c r="AB798" s="10"/>
      <c r="AC798" s="10"/>
      <c r="AD798" s="10"/>
      <c r="AE798" s="10"/>
      <c r="AF798" s="10"/>
      <c r="AG798" s="14"/>
    </row>
    <row r="799" spans="1:33">
      <c r="A799" s="10"/>
      <c r="B799" s="10"/>
      <c r="C799" s="10"/>
      <c r="D799" s="10"/>
      <c r="E799" s="10"/>
      <c r="F799" s="10"/>
      <c r="G799" s="10"/>
      <c r="H799" s="10"/>
      <c r="I799" s="10"/>
      <c r="J799" s="10"/>
      <c r="K799" s="10"/>
      <c r="L799" s="10"/>
      <c r="M799" s="10"/>
      <c r="N799" s="10"/>
      <c r="O799" s="10"/>
      <c r="P799" s="10"/>
      <c r="Q799" s="10"/>
      <c r="R799" s="10"/>
      <c r="S799" s="10"/>
      <c r="T799" s="10"/>
      <c r="U799" s="10"/>
      <c r="V799" s="10"/>
      <c r="W799" s="10"/>
      <c r="X799" s="10"/>
      <c r="Y799" s="10"/>
      <c r="Z799" s="10"/>
      <c r="AA799" s="10"/>
      <c r="AB799" s="10"/>
      <c r="AC799" s="10"/>
      <c r="AD799" s="10"/>
      <c r="AE799" s="10"/>
      <c r="AF799" s="10"/>
      <c r="AG799" s="14"/>
    </row>
    <row r="800" spans="1:33">
      <c r="A800" s="10"/>
      <c r="B800" s="10"/>
      <c r="C800" s="10"/>
      <c r="D800" s="10"/>
      <c r="E800" s="10"/>
      <c r="F800" s="10"/>
      <c r="G800" s="10"/>
      <c r="H800" s="10"/>
      <c r="I800" s="10"/>
      <c r="J800" s="10"/>
      <c r="K800" s="10"/>
      <c r="L800" s="10"/>
      <c r="M800" s="10"/>
      <c r="N800" s="10"/>
      <c r="O800" s="10"/>
      <c r="P800" s="10"/>
      <c r="Q800" s="10"/>
      <c r="R800" s="10"/>
      <c r="S800" s="10"/>
      <c r="T800" s="10"/>
      <c r="U800" s="10"/>
      <c r="V800" s="10"/>
      <c r="W800" s="10"/>
      <c r="X800" s="10"/>
      <c r="Y800" s="10"/>
      <c r="Z800" s="10"/>
      <c r="AA800" s="10"/>
      <c r="AB800" s="10"/>
      <c r="AC800" s="10"/>
      <c r="AD800" s="10"/>
      <c r="AE800" s="10"/>
      <c r="AF800" s="10"/>
      <c r="AG800" s="14"/>
    </row>
    <row r="801" spans="1:33">
      <c r="A801" s="10"/>
      <c r="B801" s="10"/>
      <c r="C801" s="10"/>
      <c r="D801" s="10"/>
      <c r="E801" s="10"/>
      <c r="F801" s="10"/>
      <c r="G801" s="10"/>
      <c r="H801" s="10"/>
      <c r="I801" s="10"/>
      <c r="J801" s="10"/>
      <c r="K801" s="10"/>
      <c r="L801" s="10"/>
      <c r="M801" s="10"/>
      <c r="N801" s="10"/>
      <c r="O801" s="10"/>
      <c r="P801" s="10"/>
      <c r="Q801" s="10"/>
      <c r="R801" s="10"/>
      <c r="S801" s="10"/>
      <c r="T801" s="10"/>
      <c r="U801" s="10"/>
      <c r="V801" s="10"/>
      <c r="W801" s="10"/>
      <c r="X801" s="10"/>
      <c r="Y801" s="10"/>
      <c r="Z801" s="10"/>
      <c r="AA801" s="10"/>
      <c r="AB801" s="10"/>
      <c r="AC801" s="10"/>
      <c r="AD801" s="10"/>
      <c r="AE801" s="10"/>
      <c r="AF801" s="10"/>
      <c r="AG801" s="14"/>
    </row>
    <row r="802" spans="1:33">
      <c r="A802" s="10"/>
      <c r="B802" s="10"/>
      <c r="C802" s="10"/>
      <c r="D802" s="10"/>
      <c r="E802" s="10"/>
      <c r="F802" s="10"/>
      <c r="G802" s="10"/>
      <c r="H802" s="10"/>
      <c r="I802" s="10"/>
      <c r="J802" s="10"/>
      <c r="K802" s="10"/>
      <c r="L802" s="10"/>
      <c r="M802" s="10"/>
      <c r="N802" s="10"/>
      <c r="O802" s="10"/>
      <c r="P802" s="10"/>
      <c r="Q802" s="10"/>
      <c r="R802" s="10"/>
      <c r="S802" s="10"/>
      <c r="T802" s="10"/>
      <c r="U802" s="10"/>
      <c r="V802" s="10"/>
      <c r="W802" s="10"/>
      <c r="X802" s="10"/>
      <c r="Y802" s="10"/>
      <c r="Z802" s="10"/>
      <c r="AA802" s="10"/>
      <c r="AB802" s="10"/>
      <c r="AC802" s="10"/>
      <c r="AD802" s="10"/>
      <c r="AE802" s="10"/>
      <c r="AF802" s="10"/>
      <c r="AG802" s="14"/>
    </row>
    <row r="803" spans="1:33">
      <c r="A803" s="10"/>
      <c r="B803" s="10"/>
      <c r="C803" s="10"/>
      <c r="D803" s="10"/>
      <c r="E803" s="10"/>
      <c r="F803" s="10"/>
      <c r="G803" s="10"/>
      <c r="H803" s="10"/>
      <c r="I803" s="10"/>
      <c r="J803" s="10"/>
      <c r="K803" s="10"/>
      <c r="L803" s="10"/>
      <c r="M803" s="10"/>
      <c r="N803" s="10"/>
      <c r="O803" s="10"/>
      <c r="P803" s="10"/>
      <c r="Q803" s="10"/>
      <c r="R803" s="10"/>
      <c r="S803" s="10"/>
      <c r="T803" s="10"/>
      <c r="U803" s="10"/>
      <c r="V803" s="10"/>
      <c r="W803" s="10"/>
      <c r="X803" s="10"/>
      <c r="Y803" s="10"/>
      <c r="Z803" s="10"/>
      <c r="AA803" s="10"/>
      <c r="AB803" s="10"/>
      <c r="AC803" s="10"/>
      <c r="AD803" s="10"/>
      <c r="AE803" s="10"/>
      <c r="AF803" s="10"/>
      <c r="AG803" s="14"/>
    </row>
    <row r="804" spans="1:33">
      <c r="A804" s="10"/>
      <c r="B804" s="10"/>
      <c r="C804" s="10"/>
      <c r="D804" s="10"/>
      <c r="E804" s="10"/>
      <c r="F804" s="10"/>
      <c r="G804" s="10"/>
      <c r="H804" s="10"/>
      <c r="I804" s="10"/>
      <c r="J804" s="10"/>
      <c r="K804" s="10"/>
      <c r="L804" s="10"/>
      <c r="M804" s="10"/>
      <c r="N804" s="10"/>
      <c r="O804" s="10"/>
      <c r="P804" s="10"/>
      <c r="Q804" s="10"/>
      <c r="R804" s="10"/>
      <c r="S804" s="10"/>
      <c r="T804" s="10"/>
      <c r="U804" s="10"/>
      <c r="V804" s="10"/>
      <c r="W804" s="10"/>
      <c r="X804" s="10"/>
      <c r="Y804" s="10"/>
      <c r="Z804" s="10"/>
      <c r="AA804" s="10"/>
      <c r="AB804" s="10"/>
      <c r="AC804" s="10"/>
      <c r="AD804" s="10"/>
      <c r="AE804" s="10"/>
      <c r="AF804" s="10"/>
      <c r="AG804" s="14"/>
    </row>
    <row r="805" spans="1:33">
      <c r="A805" s="10"/>
      <c r="B805" s="10"/>
      <c r="C805" s="10"/>
      <c r="D805" s="10"/>
      <c r="E805" s="10"/>
      <c r="F805" s="10"/>
      <c r="G805" s="10"/>
      <c r="H805" s="10"/>
      <c r="I805" s="10"/>
      <c r="J805" s="10"/>
      <c r="K805" s="10"/>
      <c r="L805" s="10"/>
      <c r="M805" s="10"/>
      <c r="N805" s="10"/>
      <c r="O805" s="10"/>
      <c r="P805" s="10"/>
      <c r="Q805" s="10"/>
      <c r="R805" s="10"/>
      <c r="S805" s="10"/>
      <c r="T805" s="10"/>
      <c r="U805" s="10"/>
      <c r="V805" s="10"/>
      <c r="W805" s="10"/>
      <c r="X805" s="10"/>
      <c r="Y805" s="10"/>
      <c r="Z805" s="10"/>
      <c r="AA805" s="10"/>
      <c r="AB805" s="10"/>
      <c r="AC805" s="10"/>
      <c r="AD805" s="10"/>
      <c r="AE805" s="10"/>
      <c r="AF805" s="10"/>
      <c r="AG805" s="14"/>
    </row>
    <row r="806" spans="1:33">
      <c r="A806" s="10"/>
      <c r="B806" s="10"/>
      <c r="C806" s="10"/>
      <c r="D806" s="10"/>
      <c r="E806" s="10"/>
      <c r="F806" s="10"/>
      <c r="G806" s="10"/>
      <c r="H806" s="10"/>
      <c r="I806" s="10"/>
      <c r="J806" s="10"/>
      <c r="K806" s="10"/>
      <c r="L806" s="10"/>
      <c r="M806" s="10"/>
      <c r="N806" s="10"/>
      <c r="O806" s="10"/>
      <c r="P806" s="10"/>
      <c r="Q806" s="10"/>
      <c r="R806" s="10"/>
      <c r="S806" s="10"/>
      <c r="T806" s="10"/>
      <c r="U806" s="10"/>
      <c r="V806" s="10"/>
      <c r="W806" s="10"/>
      <c r="X806" s="10"/>
      <c r="Y806" s="10"/>
      <c r="Z806" s="10"/>
      <c r="AA806" s="10"/>
      <c r="AB806" s="10"/>
      <c r="AC806" s="10"/>
      <c r="AD806" s="10"/>
      <c r="AE806" s="10"/>
      <c r="AF806" s="10"/>
      <c r="AG806" s="14"/>
    </row>
    <row r="807" spans="1:33">
      <c r="A807" s="10"/>
      <c r="B807" s="10"/>
      <c r="C807" s="10"/>
      <c r="D807" s="10"/>
      <c r="E807" s="10"/>
      <c r="F807" s="10"/>
      <c r="G807" s="10"/>
      <c r="H807" s="10"/>
      <c r="I807" s="10"/>
      <c r="J807" s="10"/>
      <c r="K807" s="10"/>
      <c r="L807" s="10"/>
      <c r="M807" s="10"/>
      <c r="N807" s="10"/>
      <c r="O807" s="10"/>
      <c r="P807" s="10"/>
      <c r="Q807" s="10"/>
      <c r="R807" s="10"/>
      <c r="S807" s="10"/>
      <c r="T807" s="10"/>
      <c r="U807" s="10"/>
      <c r="V807" s="10"/>
      <c r="W807" s="10"/>
      <c r="X807" s="10"/>
      <c r="Y807" s="10"/>
      <c r="Z807" s="10"/>
      <c r="AA807" s="10"/>
      <c r="AB807" s="10"/>
      <c r="AC807" s="10"/>
      <c r="AD807" s="10"/>
      <c r="AE807" s="10"/>
      <c r="AF807" s="10"/>
      <c r="AG807" s="14"/>
    </row>
    <row r="808" spans="1:33">
      <c r="A808" s="10"/>
      <c r="B808" s="10"/>
      <c r="C808" s="10"/>
      <c r="D808" s="10"/>
      <c r="E808" s="10"/>
      <c r="F808" s="10"/>
      <c r="G808" s="10"/>
      <c r="H808" s="10"/>
      <c r="I808" s="10"/>
      <c r="J808" s="10"/>
      <c r="K808" s="10"/>
      <c r="L808" s="10"/>
      <c r="M808" s="10"/>
      <c r="N808" s="10"/>
      <c r="O808" s="10"/>
      <c r="P808" s="10"/>
      <c r="Q808" s="10"/>
      <c r="R808" s="10"/>
      <c r="S808" s="10"/>
      <c r="T808" s="10"/>
      <c r="U808" s="10"/>
      <c r="V808" s="10"/>
      <c r="W808" s="10"/>
      <c r="X808" s="10"/>
      <c r="Y808" s="10"/>
      <c r="Z808" s="10"/>
      <c r="AA808" s="10"/>
      <c r="AB808" s="10"/>
      <c r="AC808" s="10"/>
      <c r="AD808" s="10"/>
      <c r="AE808" s="10"/>
      <c r="AF808" s="10"/>
      <c r="AG808" s="14"/>
    </row>
    <row r="809" spans="1:33">
      <c r="A809" s="10"/>
      <c r="B809" s="10"/>
      <c r="C809" s="10"/>
      <c r="D809" s="10"/>
      <c r="E809" s="10"/>
      <c r="F809" s="10"/>
      <c r="G809" s="10"/>
      <c r="H809" s="10"/>
      <c r="I809" s="10"/>
      <c r="J809" s="10"/>
      <c r="K809" s="10"/>
      <c r="L809" s="10"/>
      <c r="M809" s="10"/>
      <c r="N809" s="10"/>
      <c r="O809" s="10"/>
      <c r="P809" s="10"/>
      <c r="Q809" s="10"/>
      <c r="R809" s="10"/>
      <c r="S809" s="10"/>
      <c r="T809" s="10"/>
      <c r="U809" s="10"/>
      <c r="V809" s="10"/>
      <c r="W809" s="10"/>
      <c r="X809" s="10"/>
      <c r="Y809" s="10"/>
      <c r="Z809" s="10"/>
      <c r="AA809" s="10"/>
      <c r="AB809" s="10"/>
      <c r="AC809" s="10"/>
      <c r="AD809" s="10"/>
      <c r="AE809" s="10"/>
      <c r="AF809" s="10"/>
      <c r="AG809" s="14"/>
    </row>
    <row r="810" spans="1:33">
      <c r="A810" s="10"/>
      <c r="B810" s="10"/>
      <c r="C810" s="10"/>
      <c r="D810" s="10"/>
      <c r="E810" s="10"/>
      <c r="F810" s="10"/>
      <c r="G810" s="10"/>
      <c r="H810" s="10"/>
      <c r="I810" s="10"/>
      <c r="J810" s="10"/>
      <c r="K810" s="10"/>
      <c r="L810" s="10"/>
      <c r="M810" s="10"/>
      <c r="N810" s="10"/>
      <c r="O810" s="10"/>
      <c r="P810" s="10"/>
      <c r="Q810" s="10"/>
      <c r="R810" s="10"/>
      <c r="S810" s="10"/>
      <c r="T810" s="10"/>
      <c r="U810" s="10"/>
      <c r="V810" s="10"/>
      <c r="W810" s="10"/>
      <c r="X810" s="10"/>
      <c r="Y810" s="10"/>
      <c r="Z810" s="10"/>
      <c r="AA810" s="10"/>
      <c r="AB810" s="10"/>
      <c r="AC810" s="10"/>
      <c r="AD810" s="10"/>
      <c r="AE810" s="10"/>
      <c r="AF810" s="10"/>
      <c r="AG810" s="14"/>
    </row>
    <row r="811" spans="1:33">
      <c r="A811" s="10"/>
      <c r="B811" s="10"/>
      <c r="C811" s="10"/>
      <c r="D811" s="10"/>
      <c r="E811" s="10"/>
      <c r="F811" s="10"/>
      <c r="G811" s="10"/>
      <c r="H811" s="10"/>
      <c r="I811" s="10"/>
      <c r="J811" s="10"/>
      <c r="K811" s="10"/>
      <c r="L811" s="10"/>
      <c r="M811" s="10"/>
      <c r="N811" s="10"/>
      <c r="O811" s="10"/>
      <c r="P811" s="10"/>
      <c r="Q811" s="10"/>
      <c r="R811" s="10"/>
      <c r="S811" s="10"/>
      <c r="T811" s="10"/>
      <c r="U811" s="10"/>
      <c r="V811" s="10"/>
      <c r="W811" s="10"/>
      <c r="X811" s="10"/>
      <c r="Y811" s="10"/>
      <c r="Z811" s="10"/>
      <c r="AA811" s="10"/>
      <c r="AB811" s="10"/>
      <c r="AC811" s="10"/>
      <c r="AD811" s="10"/>
      <c r="AE811" s="10"/>
      <c r="AF811" s="10"/>
      <c r="AG811" s="14"/>
    </row>
    <row r="812" spans="1:33">
      <c r="A812" s="10"/>
      <c r="B812" s="10"/>
      <c r="C812" s="10"/>
      <c r="D812" s="10"/>
      <c r="E812" s="10"/>
      <c r="F812" s="10"/>
      <c r="G812" s="10"/>
      <c r="H812" s="10"/>
      <c r="I812" s="10"/>
      <c r="J812" s="10"/>
      <c r="K812" s="10"/>
      <c r="L812" s="10"/>
      <c r="M812" s="10"/>
      <c r="N812" s="10"/>
      <c r="O812" s="10"/>
      <c r="P812" s="10"/>
      <c r="Q812" s="10"/>
      <c r="R812" s="10"/>
      <c r="S812" s="10"/>
      <c r="T812" s="10"/>
      <c r="U812" s="10"/>
      <c r="V812" s="10"/>
      <c r="W812" s="10"/>
      <c r="X812" s="10"/>
      <c r="Y812" s="10"/>
      <c r="Z812" s="10"/>
      <c r="AA812" s="10"/>
      <c r="AB812" s="10"/>
      <c r="AC812" s="10"/>
      <c r="AD812" s="10"/>
      <c r="AE812" s="10"/>
      <c r="AF812" s="10"/>
      <c r="AG812" s="14"/>
    </row>
    <row r="813" spans="1:33">
      <c r="A813" s="10"/>
      <c r="B813" s="10"/>
      <c r="C813" s="10"/>
      <c r="D813" s="10"/>
      <c r="E813" s="10"/>
      <c r="F813" s="10"/>
      <c r="G813" s="10"/>
      <c r="H813" s="10"/>
      <c r="I813" s="10"/>
      <c r="J813" s="10"/>
      <c r="K813" s="10"/>
      <c r="L813" s="10"/>
      <c r="M813" s="10"/>
      <c r="N813" s="10"/>
      <c r="O813" s="10"/>
      <c r="P813" s="10"/>
      <c r="Q813" s="10"/>
      <c r="R813" s="10"/>
      <c r="S813" s="10"/>
      <c r="T813" s="10"/>
      <c r="U813" s="10"/>
      <c r="V813" s="10"/>
      <c r="W813" s="10"/>
      <c r="X813" s="10"/>
      <c r="Y813" s="10"/>
      <c r="Z813" s="10"/>
      <c r="AA813" s="10"/>
      <c r="AB813" s="10"/>
      <c r="AC813" s="10"/>
      <c r="AD813" s="10"/>
      <c r="AE813" s="10"/>
      <c r="AF813" s="10"/>
      <c r="AG813" s="14"/>
    </row>
    <row r="814" spans="1:33">
      <c r="A814" s="10"/>
      <c r="B814" s="10"/>
      <c r="C814" s="10"/>
      <c r="D814" s="10"/>
      <c r="E814" s="10"/>
      <c r="F814" s="10"/>
      <c r="G814" s="10"/>
      <c r="H814" s="10"/>
      <c r="I814" s="10"/>
      <c r="J814" s="10"/>
      <c r="K814" s="10"/>
      <c r="L814" s="10"/>
      <c r="M814" s="10"/>
      <c r="N814" s="10"/>
      <c r="O814" s="10"/>
      <c r="P814" s="10"/>
      <c r="Q814" s="10"/>
      <c r="R814" s="10"/>
      <c r="S814" s="10"/>
      <c r="T814" s="10"/>
      <c r="U814" s="10"/>
      <c r="V814" s="10"/>
      <c r="W814" s="10"/>
      <c r="X814" s="10"/>
      <c r="Y814" s="10"/>
      <c r="Z814" s="10"/>
      <c r="AA814" s="10"/>
      <c r="AB814" s="10"/>
      <c r="AC814" s="10"/>
      <c r="AD814" s="10"/>
      <c r="AE814" s="10"/>
      <c r="AF814" s="10"/>
      <c r="AG814" s="14"/>
    </row>
    <row r="815" spans="1:33">
      <c r="A815" s="10"/>
      <c r="B815" s="10"/>
      <c r="C815" s="10"/>
      <c r="D815" s="10"/>
      <c r="E815" s="10"/>
      <c r="F815" s="10"/>
      <c r="G815" s="10"/>
      <c r="H815" s="10"/>
      <c r="I815" s="10"/>
      <c r="J815" s="10"/>
      <c r="K815" s="10"/>
      <c r="L815" s="10"/>
      <c r="M815" s="10"/>
      <c r="N815" s="10"/>
      <c r="O815" s="10"/>
      <c r="P815" s="10"/>
      <c r="Q815" s="10"/>
      <c r="R815" s="10"/>
      <c r="S815" s="10"/>
      <c r="T815" s="10"/>
      <c r="U815" s="10"/>
      <c r="V815" s="10"/>
      <c r="W815" s="10"/>
      <c r="X815" s="10"/>
      <c r="Y815" s="10"/>
      <c r="Z815" s="10"/>
      <c r="AA815" s="10"/>
      <c r="AB815" s="10"/>
      <c r="AC815" s="10"/>
      <c r="AD815" s="10"/>
      <c r="AE815" s="10"/>
      <c r="AF815" s="10"/>
      <c r="AG815" s="14"/>
    </row>
    <row r="816" spans="1:33">
      <c r="A816" s="10"/>
      <c r="B816" s="10"/>
      <c r="C816" s="10"/>
      <c r="D816" s="10"/>
      <c r="E816" s="10"/>
      <c r="F816" s="10"/>
      <c r="G816" s="10"/>
      <c r="H816" s="10"/>
      <c r="I816" s="10"/>
      <c r="J816" s="10"/>
      <c r="K816" s="10"/>
      <c r="L816" s="10"/>
      <c r="M816" s="10"/>
      <c r="N816" s="10"/>
      <c r="O816" s="10"/>
      <c r="P816" s="10"/>
      <c r="Q816" s="10"/>
      <c r="R816" s="10"/>
      <c r="S816" s="10"/>
      <c r="T816" s="10"/>
      <c r="U816" s="10"/>
      <c r="V816" s="10"/>
      <c r="W816" s="10"/>
      <c r="X816" s="10"/>
      <c r="Y816" s="10"/>
      <c r="Z816" s="10"/>
      <c r="AA816" s="10"/>
      <c r="AB816" s="10"/>
      <c r="AC816" s="10"/>
      <c r="AD816" s="10"/>
      <c r="AE816" s="10"/>
      <c r="AF816" s="10"/>
      <c r="AG816" s="14"/>
    </row>
    <row r="817" spans="1:33">
      <c r="A817" s="10"/>
      <c r="B817" s="10"/>
      <c r="C817" s="10"/>
      <c r="D817" s="10"/>
      <c r="E817" s="10"/>
      <c r="F817" s="10"/>
      <c r="G817" s="10"/>
      <c r="H817" s="10"/>
      <c r="I817" s="10"/>
      <c r="J817" s="10"/>
      <c r="K817" s="10"/>
      <c r="L817" s="10"/>
      <c r="M817" s="10"/>
      <c r="N817" s="10"/>
      <c r="O817" s="10"/>
      <c r="P817" s="10"/>
      <c r="Q817" s="10"/>
      <c r="R817" s="10"/>
      <c r="S817" s="10"/>
      <c r="T817" s="10"/>
      <c r="U817" s="10"/>
      <c r="V817" s="10"/>
      <c r="W817" s="10"/>
      <c r="X817" s="10"/>
      <c r="Y817" s="10"/>
      <c r="Z817" s="10"/>
      <c r="AA817" s="10"/>
      <c r="AB817" s="10"/>
      <c r="AC817" s="10"/>
      <c r="AD817" s="10"/>
      <c r="AE817" s="10"/>
      <c r="AF817" s="10"/>
      <c r="AG817" s="14"/>
    </row>
    <row r="818" spans="1:33">
      <c r="A818" s="10"/>
      <c r="B818" s="10"/>
      <c r="C818" s="10"/>
      <c r="D818" s="10"/>
      <c r="E818" s="10"/>
      <c r="F818" s="10"/>
      <c r="G818" s="10"/>
      <c r="H818" s="10"/>
      <c r="I818" s="10"/>
      <c r="J818" s="10"/>
      <c r="K818" s="10"/>
      <c r="L818" s="10"/>
      <c r="M818" s="10"/>
      <c r="N818" s="10"/>
      <c r="O818" s="10"/>
      <c r="P818" s="10"/>
      <c r="Q818" s="10"/>
      <c r="R818" s="10"/>
      <c r="S818" s="10"/>
      <c r="T818" s="10"/>
      <c r="U818" s="10"/>
      <c r="V818" s="10"/>
      <c r="W818" s="10"/>
      <c r="X818" s="10"/>
      <c r="Y818" s="10"/>
      <c r="Z818" s="10"/>
      <c r="AA818" s="10"/>
      <c r="AB818" s="10"/>
      <c r="AC818" s="10"/>
      <c r="AD818" s="10"/>
      <c r="AE818" s="10"/>
      <c r="AF818" s="10"/>
      <c r="AG818" s="14"/>
    </row>
    <row r="819" spans="1:33">
      <c r="A819" s="10"/>
      <c r="B819" s="10"/>
      <c r="C819" s="10"/>
      <c r="D819" s="10"/>
      <c r="E819" s="10"/>
      <c r="F819" s="10"/>
      <c r="G819" s="10"/>
      <c r="H819" s="10"/>
      <c r="I819" s="10"/>
      <c r="J819" s="10"/>
      <c r="K819" s="10"/>
      <c r="L819" s="10"/>
      <c r="M819" s="10"/>
      <c r="N819" s="10"/>
      <c r="O819" s="10"/>
      <c r="P819" s="10"/>
      <c r="Q819" s="10"/>
      <c r="R819" s="10"/>
      <c r="S819" s="10"/>
      <c r="T819" s="10"/>
      <c r="U819" s="10"/>
      <c r="V819" s="10"/>
      <c r="W819" s="10"/>
      <c r="X819" s="10"/>
      <c r="Y819" s="10"/>
      <c r="Z819" s="10"/>
      <c r="AA819" s="10"/>
      <c r="AB819" s="10"/>
      <c r="AC819" s="10"/>
      <c r="AD819" s="10"/>
      <c r="AE819" s="10"/>
      <c r="AF819" s="10"/>
      <c r="AG819" s="14"/>
    </row>
    <row r="820" spans="1:33">
      <c r="A820" s="10"/>
      <c r="B820" s="10"/>
      <c r="C820" s="10"/>
      <c r="D820" s="10"/>
      <c r="E820" s="10"/>
      <c r="F820" s="10"/>
      <c r="G820" s="10"/>
      <c r="H820" s="10"/>
      <c r="I820" s="10"/>
      <c r="J820" s="10"/>
      <c r="K820" s="10"/>
      <c r="L820" s="10"/>
      <c r="M820" s="10"/>
      <c r="N820" s="10"/>
      <c r="O820" s="10"/>
      <c r="P820" s="10"/>
      <c r="Q820" s="10"/>
      <c r="R820" s="10"/>
      <c r="S820" s="10"/>
      <c r="T820" s="10"/>
      <c r="U820" s="10"/>
      <c r="V820" s="10"/>
      <c r="W820" s="10"/>
      <c r="X820" s="10"/>
      <c r="Y820" s="10"/>
      <c r="Z820" s="10"/>
      <c r="AA820" s="10"/>
      <c r="AB820" s="10"/>
      <c r="AC820" s="10"/>
      <c r="AD820" s="10"/>
      <c r="AE820" s="10"/>
      <c r="AF820" s="10"/>
      <c r="AG820" s="14"/>
    </row>
    <row r="821" spans="1:33">
      <c r="A821" s="10"/>
      <c r="B821" s="10"/>
      <c r="C821" s="10"/>
      <c r="D821" s="10"/>
      <c r="E821" s="10"/>
      <c r="F821" s="10"/>
      <c r="G821" s="10"/>
      <c r="H821" s="10"/>
      <c r="I821" s="10"/>
      <c r="J821" s="10"/>
      <c r="K821" s="10"/>
      <c r="L821" s="10"/>
      <c r="M821" s="10"/>
      <c r="N821" s="10"/>
      <c r="O821" s="10"/>
      <c r="P821" s="10"/>
      <c r="Q821" s="10"/>
      <c r="R821" s="10"/>
      <c r="S821" s="10"/>
      <c r="T821" s="10"/>
      <c r="U821" s="10"/>
      <c r="V821" s="10"/>
      <c r="W821" s="10"/>
      <c r="X821" s="10"/>
      <c r="Y821" s="10"/>
      <c r="Z821" s="10"/>
      <c r="AA821" s="10"/>
      <c r="AB821" s="10"/>
      <c r="AC821" s="10"/>
      <c r="AD821" s="10"/>
      <c r="AE821" s="10"/>
      <c r="AF821" s="10"/>
      <c r="AG821" s="14"/>
    </row>
    <row r="822" spans="1:33">
      <c r="A822" s="10"/>
      <c r="B822" s="10"/>
      <c r="C822" s="10"/>
      <c r="D822" s="10"/>
      <c r="E822" s="10"/>
      <c r="F822" s="10"/>
      <c r="G822" s="10"/>
      <c r="H822" s="10"/>
      <c r="I822" s="10"/>
      <c r="J822" s="10"/>
      <c r="K822" s="10"/>
      <c r="L822" s="10"/>
      <c r="M822" s="10"/>
      <c r="N822" s="10"/>
      <c r="O822" s="10"/>
      <c r="P822" s="10"/>
      <c r="Q822" s="10"/>
      <c r="R822" s="10"/>
      <c r="S822" s="10"/>
      <c r="T822" s="10"/>
      <c r="U822" s="10"/>
      <c r="V822" s="10"/>
      <c r="W822" s="10"/>
      <c r="X822" s="10"/>
      <c r="Y822" s="10"/>
      <c r="Z822" s="10"/>
      <c r="AA822" s="10"/>
      <c r="AB822" s="10"/>
      <c r="AC822" s="10"/>
      <c r="AD822" s="10"/>
      <c r="AE822" s="10"/>
      <c r="AF822" s="10"/>
      <c r="AG822" s="14"/>
    </row>
    <row r="823" spans="1:33">
      <c r="A823" s="10"/>
      <c r="B823" s="10"/>
      <c r="C823" s="10"/>
      <c r="D823" s="10"/>
      <c r="E823" s="10"/>
      <c r="F823" s="10"/>
      <c r="G823" s="10"/>
      <c r="H823" s="10"/>
      <c r="I823" s="10"/>
      <c r="J823" s="10"/>
      <c r="K823" s="10"/>
      <c r="L823" s="10"/>
      <c r="M823" s="10"/>
      <c r="N823" s="10"/>
      <c r="O823" s="10"/>
      <c r="P823" s="10"/>
      <c r="Q823" s="10"/>
      <c r="R823" s="10"/>
      <c r="S823" s="10"/>
      <c r="T823" s="10"/>
      <c r="U823" s="10"/>
      <c r="V823" s="10"/>
      <c r="W823" s="10"/>
      <c r="X823" s="10"/>
      <c r="Y823" s="10"/>
      <c r="Z823" s="10"/>
      <c r="AA823" s="10"/>
      <c r="AB823" s="10"/>
      <c r="AC823" s="10"/>
      <c r="AD823" s="10"/>
      <c r="AE823" s="10"/>
      <c r="AF823" s="10"/>
      <c r="AG823" s="14"/>
    </row>
    <row r="824" spans="1:33">
      <c r="A824" s="10"/>
      <c r="B824" s="10"/>
      <c r="C824" s="10"/>
      <c r="D824" s="10"/>
      <c r="E824" s="10"/>
      <c r="F824" s="10"/>
      <c r="G824" s="10"/>
      <c r="H824" s="10"/>
      <c r="I824" s="10"/>
      <c r="J824" s="10"/>
      <c r="K824" s="10"/>
      <c r="L824" s="10"/>
      <c r="M824" s="10"/>
      <c r="N824" s="10"/>
      <c r="O824" s="10"/>
      <c r="P824" s="10"/>
      <c r="Q824" s="10"/>
      <c r="R824" s="10"/>
      <c r="S824" s="10"/>
      <c r="T824" s="10"/>
      <c r="U824" s="10"/>
      <c r="V824" s="10"/>
      <c r="W824" s="10"/>
      <c r="X824" s="10"/>
      <c r="Y824" s="10"/>
      <c r="Z824" s="10"/>
      <c r="AA824" s="10"/>
      <c r="AB824" s="10"/>
      <c r="AC824" s="10"/>
      <c r="AD824" s="10"/>
      <c r="AE824" s="10"/>
      <c r="AF824" s="10"/>
      <c r="AG824" s="14"/>
    </row>
    <row r="825" spans="1:33">
      <c r="A825" s="10"/>
      <c r="B825" s="10"/>
      <c r="C825" s="10"/>
      <c r="D825" s="10"/>
      <c r="E825" s="10"/>
      <c r="F825" s="10"/>
      <c r="G825" s="10"/>
      <c r="H825" s="10"/>
      <c r="I825" s="10"/>
      <c r="J825" s="10"/>
      <c r="K825" s="10"/>
      <c r="L825" s="10"/>
      <c r="M825" s="10"/>
      <c r="N825" s="10"/>
      <c r="O825" s="10"/>
      <c r="P825" s="10"/>
      <c r="Q825" s="10"/>
      <c r="R825" s="10"/>
      <c r="S825" s="10"/>
      <c r="T825" s="10"/>
      <c r="U825" s="10"/>
      <c r="V825" s="10"/>
      <c r="W825" s="10"/>
      <c r="X825" s="10"/>
      <c r="Y825" s="10"/>
      <c r="Z825" s="10"/>
      <c r="AA825" s="10"/>
      <c r="AB825" s="10"/>
      <c r="AC825" s="10"/>
      <c r="AD825" s="10"/>
      <c r="AE825" s="10"/>
      <c r="AF825" s="10"/>
      <c r="AG825" s="14"/>
    </row>
    <row r="826" spans="1:33">
      <c r="A826" s="10"/>
      <c r="B826" s="10"/>
      <c r="C826" s="10"/>
      <c r="D826" s="10"/>
      <c r="E826" s="10"/>
      <c r="F826" s="10"/>
      <c r="G826" s="10"/>
      <c r="H826" s="10"/>
      <c r="I826" s="10"/>
      <c r="J826" s="10"/>
      <c r="K826" s="10"/>
      <c r="L826" s="10"/>
      <c r="M826" s="10"/>
      <c r="N826" s="10"/>
      <c r="O826" s="10"/>
      <c r="P826" s="10"/>
      <c r="Q826" s="10"/>
      <c r="R826" s="10"/>
      <c r="S826" s="10"/>
      <c r="T826" s="10"/>
      <c r="U826" s="10"/>
      <c r="V826" s="10"/>
      <c r="W826" s="10"/>
      <c r="X826" s="10"/>
      <c r="Y826" s="10"/>
      <c r="Z826" s="10"/>
      <c r="AA826" s="10"/>
      <c r="AB826" s="10"/>
      <c r="AC826" s="10"/>
      <c r="AD826" s="10"/>
      <c r="AE826" s="10"/>
      <c r="AF826" s="10"/>
      <c r="AG826" s="14"/>
    </row>
    <row r="827" spans="1:33">
      <c r="A827" s="10"/>
      <c r="B827" s="10"/>
      <c r="C827" s="10"/>
      <c r="D827" s="10"/>
      <c r="E827" s="10"/>
      <c r="F827" s="10"/>
      <c r="G827" s="10"/>
      <c r="H827" s="10"/>
      <c r="I827" s="10"/>
      <c r="J827" s="10"/>
      <c r="K827" s="10"/>
      <c r="L827" s="10"/>
      <c r="M827" s="10"/>
      <c r="N827" s="10"/>
      <c r="O827" s="10"/>
      <c r="P827" s="10"/>
      <c r="Q827" s="10"/>
      <c r="R827" s="10"/>
      <c r="S827" s="10"/>
      <c r="T827" s="10"/>
      <c r="U827" s="10"/>
      <c r="V827" s="10"/>
      <c r="W827" s="10"/>
      <c r="X827" s="10"/>
      <c r="Y827" s="10"/>
      <c r="Z827" s="10"/>
      <c r="AA827" s="10"/>
      <c r="AB827" s="10"/>
      <c r="AC827" s="10"/>
      <c r="AD827" s="10"/>
      <c r="AE827" s="10"/>
      <c r="AF827" s="10"/>
      <c r="AG827" s="14"/>
    </row>
    <row r="828" spans="1:33">
      <c r="A828" s="10"/>
      <c r="B828" s="10"/>
      <c r="C828" s="10"/>
      <c r="D828" s="10"/>
      <c r="E828" s="10"/>
      <c r="F828" s="10"/>
      <c r="G828" s="10"/>
      <c r="H828" s="10"/>
      <c r="I828" s="10"/>
      <c r="J828" s="10"/>
      <c r="K828" s="10"/>
      <c r="L828" s="10"/>
      <c r="M828" s="10"/>
      <c r="N828" s="10"/>
      <c r="O828" s="10"/>
      <c r="P828" s="10"/>
      <c r="Q828" s="10"/>
      <c r="R828" s="10"/>
      <c r="S828" s="10"/>
      <c r="T828" s="10"/>
      <c r="U828" s="10"/>
      <c r="V828" s="10"/>
      <c r="W828" s="10"/>
      <c r="X828" s="10"/>
      <c r="Y828" s="10"/>
      <c r="Z828" s="10"/>
      <c r="AA828" s="10"/>
      <c r="AB828" s="10"/>
      <c r="AC828" s="10"/>
      <c r="AD828" s="10"/>
      <c r="AE828" s="10"/>
      <c r="AF828" s="10"/>
      <c r="AG828" s="14"/>
    </row>
    <row r="829" spans="1:33">
      <c r="A829" s="10"/>
      <c r="B829" s="10"/>
      <c r="C829" s="10"/>
      <c r="D829" s="10"/>
      <c r="E829" s="10"/>
      <c r="F829" s="10"/>
      <c r="G829" s="10"/>
      <c r="H829" s="10"/>
      <c r="I829" s="10"/>
      <c r="J829" s="10"/>
      <c r="K829" s="10"/>
      <c r="L829" s="10"/>
      <c r="M829" s="10"/>
      <c r="N829" s="10"/>
      <c r="O829" s="10"/>
      <c r="P829" s="10"/>
      <c r="Q829" s="10"/>
      <c r="R829" s="10"/>
      <c r="S829" s="10"/>
      <c r="T829" s="10"/>
      <c r="U829" s="10"/>
      <c r="V829" s="10"/>
      <c r="W829" s="10"/>
      <c r="X829" s="10"/>
      <c r="Y829" s="10"/>
      <c r="Z829" s="10"/>
      <c r="AA829" s="10"/>
      <c r="AB829" s="10"/>
      <c r="AC829" s="10"/>
      <c r="AD829" s="10"/>
      <c r="AE829" s="10"/>
      <c r="AF829" s="10"/>
      <c r="AG829" s="14"/>
    </row>
    <row r="830" spans="1:33">
      <c r="A830" s="10"/>
      <c r="B830" s="10"/>
      <c r="C830" s="10"/>
      <c r="D830" s="10"/>
      <c r="E830" s="10"/>
      <c r="F830" s="10"/>
      <c r="G830" s="10"/>
      <c r="H830" s="10"/>
      <c r="I830" s="10"/>
      <c r="J830" s="10"/>
      <c r="K830" s="10"/>
      <c r="L830" s="10"/>
      <c r="M830" s="10"/>
      <c r="N830" s="10"/>
      <c r="O830" s="10"/>
      <c r="P830" s="10"/>
      <c r="Q830" s="10"/>
      <c r="R830" s="10"/>
      <c r="S830" s="10"/>
      <c r="T830" s="10"/>
      <c r="U830" s="10"/>
      <c r="V830" s="10"/>
      <c r="W830" s="10"/>
      <c r="X830" s="10"/>
      <c r="Y830" s="10"/>
      <c r="Z830" s="10"/>
      <c r="AA830" s="10"/>
      <c r="AB830" s="10"/>
      <c r="AC830" s="10"/>
      <c r="AD830" s="10"/>
      <c r="AE830" s="10"/>
      <c r="AF830" s="10"/>
      <c r="AG830" s="14"/>
    </row>
    <row r="831" spans="1:33">
      <c r="A831" s="10"/>
      <c r="B831" s="10"/>
      <c r="C831" s="10"/>
      <c r="D831" s="10"/>
      <c r="E831" s="10"/>
      <c r="F831" s="10"/>
      <c r="G831" s="10"/>
      <c r="H831" s="10"/>
      <c r="I831" s="10"/>
      <c r="J831" s="10"/>
      <c r="K831" s="10"/>
      <c r="L831" s="10"/>
      <c r="M831" s="10"/>
      <c r="N831" s="10"/>
      <c r="O831" s="10"/>
      <c r="P831" s="10"/>
      <c r="Q831" s="10"/>
      <c r="R831" s="10"/>
      <c r="S831" s="10"/>
      <c r="T831" s="10"/>
      <c r="U831" s="10"/>
      <c r="V831" s="10"/>
      <c r="W831" s="10"/>
      <c r="X831" s="10"/>
      <c r="Y831" s="10"/>
      <c r="Z831" s="10"/>
      <c r="AA831" s="10"/>
      <c r="AB831" s="10"/>
      <c r="AC831" s="10"/>
      <c r="AD831" s="10"/>
      <c r="AE831" s="10"/>
      <c r="AF831" s="10"/>
      <c r="AG831" s="14"/>
    </row>
    <row r="832" spans="1:33">
      <c r="A832" s="10"/>
      <c r="B832" s="10"/>
      <c r="C832" s="10"/>
      <c r="D832" s="10"/>
      <c r="E832" s="10"/>
      <c r="F832" s="10"/>
      <c r="G832" s="10"/>
      <c r="H832" s="10"/>
      <c r="I832" s="10"/>
      <c r="J832" s="10"/>
      <c r="K832" s="10"/>
      <c r="L832" s="10"/>
      <c r="M832" s="10"/>
      <c r="N832" s="10"/>
      <c r="O832" s="10"/>
      <c r="P832" s="10"/>
      <c r="Q832" s="10"/>
      <c r="R832" s="10"/>
      <c r="S832" s="10"/>
      <c r="T832" s="10"/>
      <c r="U832" s="10"/>
      <c r="V832" s="10"/>
      <c r="W832" s="10"/>
      <c r="X832" s="10"/>
      <c r="Y832" s="10"/>
      <c r="Z832" s="10"/>
      <c r="AA832" s="10"/>
      <c r="AB832" s="10"/>
      <c r="AC832" s="10"/>
      <c r="AD832" s="10"/>
      <c r="AE832" s="10"/>
      <c r="AF832" s="10"/>
      <c r="AG832" s="14"/>
    </row>
    <row r="833" spans="1:33">
      <c r="A833" s="10"/>
      <c r="B833" s="10"/>
      <c r="C833" s="10"/>
      <c r="D833" s="10"/>
      <c r="E833" s="10"/>
      <c r="F833" s="10"/>
      <c r="G833" s="10"/>
      <c r="H833" s="10"/>
      <c r="I833" s="10"/>
      <c r="J833" s="10"/>
      <c r="K833" s="10"/>
      <c r="L833" s="10"/>
      <c r="M833" s="10"/>
      <c r="N833" s="10"/>
      <c r="O833" s="10"/>
      <c r="P833" s="10"/>
      <c r="Q833" s="10"/>
      <c r="R833" s="10"/>
      <c r="S833" s="10"/>
      <c r="T833" s="10"/>
      <c r="U833" s="10"/>
      <c r="V833" s="10"/>
      <c r="W833" s="10"/>
      <c r="X833" s="10"/>
      <c r="Y833" s="10"/>
      <c r="Z833" s="10"/>
      <c r="AA833" s="10"/>
      <c r="AB833" s="10"/>
      <c r="AC833" s="10"/>
      <c r="AD833" s="10"/>
      <c r="AE833" s="10"/>
      <c r="AF833" s="10"/>
      <c r="AG833" s="14"/>
    </row>
    <row r="834" spans="1:33">
      <c r="A834" s="10"/>
      <c r="B834" s="10"/>
      <c r="C834" s="10"/>
      <c r="D834" s="10"/>
      <c r="E834" s="10"/>
      <c r="F834" s="10"/>
      <c r="G834" s="10"/>
      <c r="H834" s="10"/>
      <c r="I834" s="10"/>
      <c r="J834" s="10"/>
      <c r="K834" s="10"/>
      <c r="L834" s="10"/>
      <c r="M834" s="10"/>
      <c r="N834" s="10"/>
      <c r="O834" s="10"/>
      <c r="P834" s="10"/>
      <c r="Q834" s="10"/>
      <c r="R834" s="10"/>
      <c r="S834" s="10"/>
      <c r="T834" s="10"/>
      <c r="U834" s="10"/>
      <c r="V834" s="10"/>
      <c r="W834" s="10"/>
      <c r="X834" s="10"/>
      <c r="Y834" s="10"/>
      <c r="Z834" s="10"/>
      <c r="AA834" s="10"/>
      <c r="AB834" s="10"/>
      <c r="AC834" s="10"/>
      <c r="AD834" s="10"/>
      <c r="AE834" s="10"/>
      <c r="AF834" s="10"/>
      <c r="AG834" s="14"/>
    </row>
    <row r="835" spans="1:33">
      <c r="A835" s="10"/>
      <c r="B835" s="10"/>
      <c r="C835" s="10"/>
      <c r="D835" s="10"/>
      <c r="E835" s="10"/>
      <c r="F835" s="10"/>
      <c r="G835" s="10"/>
      <c r="H835" s="10"/>
      <c r="I835" s="10"/>
      <c r="J835" s="10"/>
      <c r="K835" s="10"/>
      <c r="L835" s="10"/>
      <c r="M835" s="10"/>
      <c r="N835" s="10"/>
      <c r="O835" s="10"/>
      <c r="P835" s="10"/>
      <c r="Q835" s="10"/>
      <c r="R835" s="10"/>
      <c r="S835" s="10"/>
      <c r="T835" s="10"/>
      <c r="U835" s="10"/>
      <c r="V835" s="10"/>
      <c r="W835" s="10"/>
      <c r="X835" s="10"/>
      <c r="Y835" s="10"/>
      <c r="Z835" s="10"/>
      <c r="AA835" s="10"/>
      <c r="AB835" s="10"/>
      <c r="AC835" s="10"/>
      <c r="AD835" s="10"/>
      <c r="AE835" s="10"/>
      <c r="AF835" s="10"/>
      <c r="AG835" s="14"/>
    </row>
    <row r="836" spans="1:33">
      <c r="A836" s="10"/>
      <c r="B836" s="10"/>
      <c r="C836" s="10"/>
      <c r="D836" s="10"/>
      <c r="E836" s="10"/>
      <c r="F836" s="10"/>
      <c r="G836" s="10"/>
      <c r="H836" s="10"/>
      <c r="I836" s="10"/>
      <c r="J836" s="10"/>
      <c r="K836" s="10"/>
      <c r="L836" s="10"/>
      <c r="M836" s="10"/>
      <c r="N836" s="10"/>
      <c r="O836" s="10"/>
      <c r="P836" s="10"/>
      <c r="Q836" s="10"/>
      <c r="R836" s="10"/>
      <c r="S836" s="10"/>
      <c r="T836" s="10"/>
      <c r="U836" s="10"/>
      <c r="V836" s="10"/>
      <c r="W836" s="10"/>
      <c r="X836" s="10"/>
      <c r="Y836" s="10"/>
      <c r="Z836" s="10"/>
      <c r="AA836" s="10"/>
      <c r="AB836" s="10"/>
      <c r="AC836" s="10"/>
      <c r="AD836" s="10"/>
      <c r="AE836" s="10"/>
      <c r="AF836" s="10"/>
      <c r="AG836" s="14"/>
    </row>
    <row r="837" spans="1:33">
      <c r="A837" s="10"/>
      <c r="B837" s="10"/>
      <c r="C837" s="10"/>
      <c r="D837" s="10"/>
      <c r="E837" s="10"/>
      <c r="F837" s="10"/>
      <c r="G837" s="10"/>
      <c r="H837" s="10"/>
      <c r="I837" s="10"/>
      <c r="J837" s="10"/>
      <c r="K837" s="10"/>
      <c r="L837" s="10"/>
      <c r="M837" s="10"/>
      <c r="N837" s="10"/>
      <c r="O837" s="10"/>
      <c r="P837" s="10"/>
      <c r="Q837" s="10"/>
      <c r="R837" s="10"/>
      <c r="S837" s="10"/>
      <c r="T837" s="10"/>
      <c r="U837" s="10"/>
      <c r="V837" s="10"/>
      <c r="W837" s="10"/>
      <c r="X837" s="10"/>
      <c r="Y837" s="10"/>
      <c r="Z837" s="10"/>
      <c r="AA837" s="10"/>
      <c r="AB837" s="10"/>
      <c r="AC837" s="10"/>
      <c r="AD837" s="10"/>
      <c r="AE837" s="10"/>
      <c r="AF837" s="10"/>
      <c r="AG837" s="14"/>
    </row>
    <row r="838" spans="1:33">
      <c r="A838" s="10"/>
      <c r="B838" s="10"/>
      <c r="C838" s="10"/>
      <c r="D838" s="10"/>
      <c r="E838" s="10"/>
      <c r="F838" s="10"/>
      <c r="G838" s="10"/>
      <c r="H838" s="10"/>
      <c r="I838" s="10"/>
      <c r="J838" s="10"/>
      <c r="K838" s="10"/>
      <c r="L838" s="10"/>
      <c r="M838" s="10"/>
      <c r="N838" s="10"/>
      <c r="O838" s="10"/>
      <c r="P838" s="10"/>
      <c r="Q838" s="10"/>
      <c r="R838" s="10"/>
      <c r="S838" s="10"/>
      <c r="T838" s="10"/>
      <c r="U838" s="10"/>
      <c r="V838" s="10"/>
      <c r="W838" s="10"/>
      <c r="X838" s="10"/>
      <c r="Y838" s="10"/>
      <c r="Z838" s="10"/>
      <c r="AA838" s="10"/>
      <c r="AB838" s="10"/>
      <c r="AC838" s="10"/>
      <c r="AD838" s="10"/>
      <c r="AE838" s="10"/>
      <c r="AF838" s="10"/>
      <c r="AG838" s="14"/>
    </row>
    <row r="839" spans="1:33">
      <c r="A839" s="10"/>
      <c r="B839" s="10"/>
      <c r="C839" s="10"/>
      <c r="D839" s="10"/>
      <c r="E839" s="10"/>
      <c r="F839" s="10"/>
      <c r="G839" s="10"/>
      <c r="H839" s="10"/>
      <c r="I839" s="10"/>
      <c r="J839" s="10"/>
      <c r="K839" s="10"/>
      <c r="L839" s="10"/>
      <c r="M839" s="10"/>
      <c r="N839" s="10"/>
      <c r="O839" s="10"/>
      <c r="P839" s="10"/>
      <c r="Q839" s="10"/>
      <c r="R839" s="10"/>
      <c r="S839" s="10"/>
      <c r="T839" s="10"/>
      <c r="U839" s="10"/>
      <c r="V839" s="10"/>
      <c r="W839" s="10"/>
      <c r="X839" s="10"/>
      <c r="Y839" s="10"/>
      <c r="Z839" s="10"/>
      <c r="AA839" s="10"/>
      <c r="AB839" s="10"/>
      <c r="AC839" s="10"/>
      <c r="AD839" s="10"/>
      <c r="AE839" s="10"/>
      <c r="AF839" s="10"/>
      <c r="AG839" s="14"/>
    </row>
    <row r="840" spans="1:33">
      <c r="A840" s="10"/>
      <c r="B840" s="10"/>
      <c r="C840" s="10"/>
      <c r="D840" s="10"/>
      <c r="E840" s="10"/>
      <c r="F840" s="10"/>
      <c r="G840" s="10"/>
      <c r="H840" s="10"/>
      <c r="I840" s="10"/>
      <c r="J840" s="10"/>
      <c r="K840" s="10"/>
      <c r="L840" s="10"/>
      <c r="M840" s="10"/>
      <c r="N840" s="10"/>
      <c r="O840" s="10"/>
      <c r="P840" s="10"/>
      <c r="Q840" s="10"/>
      <c r="R840" s="10"/>
      <c r="S840" s="10"/>
      <c r="T840" s="10"/>
      <c r="U840" s="10"/>
      <c r="V840" s="10"/>
      <c r="W840" s="10"/>
      <c r="X840" s="10"/>
      <c r="Y840" s="10"/>
      <c r="Z840" s="10"/>
      <c r="AA840" s="10"/>
      <c r="AB840" s="10"/>
      <c r="AC840" s="10"/>
      <c r="AD840" s="10"/>
      <c r="AE840" s="10"/>
      <c r="AF840" s="10"/>
      <c r="AG840" s="14"/>
    </row>
    <row r="841" spans="1:33">
      <c r="A841" s="10"/>
      <c r="B841" s="10"/>
      <c r="C841" s="10"/>
      <c r="D841" s="10"/>
      <c r="E841" s="10"/>
      <c r="F841" s="10"/>
      <c r="G841" s="10"/>
      <c r="H841" s="10"/>
      <c r="I841" s="10"/>
      <c r="J841" s="10"/>
      <c r="K841" s="10"/>
      <c r="L841" s="10"/>
      <c r="M841" s="10"/>
      <c r="N841" s="10"/>
      <c r="O841" s="10"/>
      <c r="P841" s="10"/>
      <c r="Q841" s="10"/>
      <c r="R841" s="10"/>
      <c r="S841" s="10"/>
      <c r="T841" s="10"/>
      <c r="U841" s="10"/>
      <c r="V841" s="10"/>
      <c r="W841" s="10"/>
      <c r="X841" s="10"/>
      <c r="Y841" s="10"/>
      <c r="Z841" s="10"/>
      <c r="AA841" s="10"/>
      <c r="AB841" s="10"/>
      <c r="AC841" s="10"/>
      <c r="AD841" s="10"/>
      <c r="AE841" s="10"/>
      <c r="AF841" s="10"/>
      <c r="AG841" s="14"/>
    </row>
    <row r="842" spans="1:33">
      <c r="A842" s="10"/>
      <c r="B842" s="10"/>
      <c r="C842" s="10"/>
      <c r="D842" s="10"/>
      <c r="E842" s="10"/>
      <c r="F842" s="10"/>
      <c r="G842" s="10"/>
      <c r="H842" s="10"/>
      <c r="I842" s="10"/>
      <c r="J842" s="10"/>
      <c r="K842" s="10"/>
      <c r="L842" s="10"/>
      <c r="M842" s="10"/>
      <c r="N842" s="10"/>
      <c r="O842" s="10"/>
      <c r="P842" s="10"/>
      <c r="Q842" s="10"/>
      <c r="R842" s="10"/>
      <c r="S842" s="10"/>
      <c r="T842" s="10"/>
      <c r="U842" s="10"/>
      <c r="V842" s="10"/>
      <c r="W842" s="10"/>
      <c r="X842" s="10"/>
      <c r="Y842" s="10"/>
      <c r="Z842" s="10"/>
      <c r="AA842" s="10"/>
      <c r="AB842" s="10"/>
      <c r="AC842" s="10"/>
      <c r="AD842" s="10"/>
      <c r="AE842" s="10"/>
      <c r="AF842" s="10"/>
      <c r="AG842" s="14"/>
    </row>
    <row r="843" spans="1:33">
      <c r="A843" s="10"/>
      <c r="B843" s="10"/>
      <c r="C843" s="10"/>
      <c r="D843" s="10"/>
      <c r="E843" s="10"/>
      <c r="F843" s="10"/>
      <c r="G843" s="10"/>
      <c r="H843" s="10"/>
      <c r="I843" s="10"/>
      <c r="J843" s="10"/>
      <c r="K843" s="10"/>
      <c r="L843" s="10"/>
      <c r="M843" s="10"/>
      <c r="N843" s="10"/>
      <c r="O843" s="10"/>
      <c r="P843" s="10"/>
      <c r="Q843" s="10"/>
      <c r="R843" s="10"/>
      <c r="S843" s="10"/>
      <c r="T843" s="10"/>
      <c r="U843" s="10"/>
      <c r="V843" s="10"/>
      <c r="W843" s="10"/>
      <c r="X843" s="10"/>
      <c r="Y843" s="10"/>
      <c r="Z843" s="10"/>
      <c r="AA843" s="10"/>
      <c r="AB843" s="10"/>
      <c r="AC843" s="10"/>
      <c r="AD843" s="10"/>
      <c r="AE843" s="10"/>
      <c r="AF843" s="10"/>
      <c r="AG843" s="14"/>
    </row>
    <row r="844" spans="1:33">
      <c r="A844" s="10"/>
      <c r="B844" s="10"/>
      <c r="C844" s="10"/>
      <c r="D844" s="10"/>
      <c r="E844" s="10"/>
      <c r="F844" s="10"/>
      <c r="G844" s="10"/>
      <c r="H844" s="10"/>
      <c r="I844" s="10"/>
      <c r="J844" s="10"/>
      <c r="K844" s="10"/>
      <c r="L844" s="10"/>
      <c r="M844" s="10"/>
      <c r="N844" s="10"/>
      <c r="O844" s="10"/>
      <c r="P844" s="10"/>
      <c r="Q844" s="10"/>
      <c r="R844" s="10"/>
      <c r="S844" s="10"/>
      <c r="T844" s="10"/>
      <c r="U844" s="10"/>
      <c r="V844" s="10"/>
      <c r="W844" s="10"/>
      <c r="X844" s="10"/>
      <c r="Y844" s="10"/>
      <c r="Z844" s="10"/>
      <c r="AA844" s="10"/>
      <c r="AB844" s="10"/>
      <c r="AC844" s="10"/>
      <c r="AD844" s="10"/>
      <c r="AE844" s="10"/>
      <c r="AF844" s="10"/>
      <c r="AG844" s="14"/>
    </row>
    <row r="845" spans="1:33">
      <c r="A845" s="10"/>
      <c r="B845" s="10"/>
      <c r="C845" s="10"/>
      <c r="D845" s="10"/>
      <c r="E845" s="10"/>
      <c r="F845" s="10"/>
      <c r="G845" s="10"/>
      <c r="H845" s="10"/>
      <c r="I845" s="10"/>
      <c r="J845" s="10"/>
      <c r="K845" s="10"/>
      <c r="L845" s="10"/>
      <c r="M845" s="10"/>
      <c r="N845" s="10"/>
      <c r="O845" s="10"/>
      <c r="P845" s="10"/>
      <c r="Q845" s="10"/>
      <c r="R845" s="10"/>
      <c r="S845" s="10"/>
      <c r="T845" s="10"/>
      <c r="U845" s="10"/>
      <c r="V845" s="10"/>
      <c r="W845" s="10"/>
      <c r="X845" s="10"/>
      <c r="Y845" s="10"/>
      <c r="Z845" s="10"/>
      <c r="AA845" s="10"/>
      <c r="AB845" s="10"/>
      <c r="AC845" s="10"/>
      <c r="AD845" s="10"/>
      <c r="AE845" s="10"/>
      <c r="AF845" s="10"/>
      <c r="AG845" s="14"/>
    </row>
    <row r="846" spans="1:33">
      <c r="A846" s="10"/>
      <c r="B846" s="10"/>
      <c r="C846" s="10"/>
      <c r="D846" s="10"/>
      <c r="E846" s="10"/>
      <c r="F846" s="10"/>
      <c r="G846" s="10"/>
      <c r="H846" s="10"/>
      <c r="I846" s="10"/>
      <c r="J846" s="10"/>
      <c r="K846" s="10"/>
      <c r="L846" s="10"/>
      <c r="M846" s="10"/>
      <c r="N846" s="10"/>
      <c r="O846" s="10"/>
      <c r="P846" s="10"/>
      <c r="Q846" s="10"/>
      <c r="R846" s="10"/>
      <c r="S846" s="10"/>
      <c r="T846" s="10"/>
      <c r="U846" s="10"/>
      <c r="V846" s="10"/>
      <c r="W846" s="10"/>
      <c r="X846" s="10"/>
      <c r="Y846" s="10"/>
      <c r="Z846" s="10"/>
      <c r="AA846" s="10"/>
      <c r="AB846" s="10"/>
      <c r="AC846" s="10"/>
      <c r="AD846" s="10"/>
      <c r="AE846" s="10"/>
      <c r="AF846" s="10"/>
      <c r="AG846" s="14"/>
    </row>
    <row r="847" spans="1:33">
      <c r="A847" s="10"/>
      <c r="B847" s="10"/>
      <c r="C847" s="10"/>
      <c r="D847" s="10"/>
      <c r="E847" s="10"/>
      <c r="F847" s="10"/>
      <c r="G847" s="10"/>
      <c r="H847" s="10"/>
      <c r="I847" s="10"/>
      <c r="J847" s="10"/>
      <c r="K847" s="10"/>
      <c r="L847" s="10"/>
      <c r="M847" s="10"/>
      <c r="N847" s="10"/>
      <c r="O847" s="10"/>
      <c r="P847" s="10"/>
      <c r="Q847" s="10"/>
      <c r="R847" s="10"/>
      <c r="S847" s="10"/>
      <c r="T847" s="10"/>
      <c r="U847" s="10"/>
      <c r="V847" s="10"/>
      <c r="W847" s="10"/>
      <c r="X847" s="10"/>
      <c r="Y847" s="10"/>
      <c r="Z847" s="10"/>
      <c r="AA847" s="10"/>
      <c r="AB847" s="10"/>
      <c r="AC847" s="10"/>
      <c r="AD847" s="10"/>
      <c r="AE847" s="10"/>
      <c r="AF847" s="10"/>
      <c r="AG847" s="14"/>
    </row>
    <row r="848" spans="1:33">
      <c r="A848" s="10"/>
      <c r="B848" s="10"/>
      <c r="C848" s="10"/>
      <c r="D848" s="10"/>
      <c r="E848" s="10"/>
      <c r="F848" s="10"/>
      <c r="G848" s="10"/>
      <c r="H848" s="10"/>
      <c r="I848" s="10"/>
      <c r="J848" s="10"/>
      <c r="K848" s="10"/>
      <c r="L848" s="10"/>
      <c r="M848" s="10"/>
      <c r="N848" s="10"/>
      <c r="O848" s="10"/>
      <c r="P848" s="10"/>
      <c r="Q848" s="10"/>
      <c r="R848" s="10"/>
      <c r="S848" s="10"/>
      <c r="T848" s="10"/>
      <c r="U848" s="10"/>
      <c r="V848" s="10"/>
      <c r="W848" s="10"/>
      <c r="X848" s="10"/>
      <c r="Y848" s="10"/>
      <c r="Z848" s="10"/>
      <c r="AA848" s="10"/>
      <c r="AB848" s="10"/>
      <c r="AC848" s="10"/>
      <c r="AD848" s="10"/>
      <c r="AE848" s="10"/>
      <c r="AF848" s="10"/>
      <c r="AG848" s="14"/>
    </row>
    <row r="849" spans="1:33">
      <c r="A849" s="10"/>
      <c r="B849" s="10"/>
      <c r="C849" s="10"/>
      <c r="D849" s="10"/>
      <c r="E849" s="10"/>
      <c r="F849" s="10"/>
      <c r="G849" s="10"/>
      <c r="H849" s="10"/>
      <c r="I849" s="10"/>
      <c r="J849" s="10"/>
      <c r="K849" s="10"/>
      <c r="L849" s="10"/>
      <c r="M849" s="10"/>
      <c r="N849" s="10"/>
      <c r="O849" s="10"/>
      <c r="P849" s="10"/>
      <c r="Q849" s="10"/>
      <c r="R849" s="10"/>
      <c r="S849" s="10"/>
      <c r="T849" s="10"/>
      <c r="U849" s="10"/>
      <c r="V849" s="10"/>
      <c r="W849" s="10"/>
      <c r="X849" s="10"/>
      <c r="Y849" s="10"/>
      <c r="Z849" s="10"/>
      <c r="AA849" s="10"/>
      <c r="AB849" s="10"/>
      <c r="AC849" s="10"/>
      <c r="AD849" s="10"/>
      <c r="AE849" s="10"/>
      <c r="AF849" s="10"/>
      <c r="AG849" s="14"/>
    </row>
    <row r="850" spans="1:33">
      <c r="A850" s="10"/>
      <c r="B850" s="10"/>
      <c r="C850" s="10"/>
      <c r="D850" s="10"/>
      <c r="E850" s="10"/>
      <c r="F850" s="10"/>
      <c r="G850" s="10"/>
      <c r="H850" s="10"/>
      <c r="I850" s="10"/>
      <c r="J850" s="10"/>
      <c r="K850" s="10"/>
      <c r="L850" s="10"/>
      <c r="M850" s="10"/>
      <c r="N850" s="10"/>
      <c r="O850" s="10"/>
      <c r="P850" s="10"/>
      <c r="Q850" s="10"/>
      <c r="R850" s="10"/>
      <c r="S850" s="10"/>
      <c r="T850" s="10"/>
      <c r="U850" s="10"/>
      <c r="V850" s="10"/>
      <c r="W850" s="10"/>
      <c r="X850" s="10"/>
      <c r="Y850" s="10"/>
      <c r="Z850" s="10"/>
      <c r="AA850" s="10"/>
      <c r="AB850" s="10"/>
      <c r="AC850" s="10"/>
      <c r="AD850" s="10"/>
      <c r="AE850" s="10"/>
      <c r="AF850" s="10"/>
      <c r="AG850" s="14"/>
    </row>
    <row r="851" spans="1:33">
      <c r="A851" s="10"/>
      <c r="B851" s="10"/>
      <c r="C851" s="10"/>
      <c r="D851" s="10"/>
      <c r="E851" s="10"/>
      <c r="F851" s="10"/>
      <c r="G851" s="10"/>
      <c r="H851" s="10"/>
      <c r="I851" s="10"/>
      <c r="J851" s="10"/>
      <c r="K851" s="10"/>
      <c r="L851" s="10"/>
      <c r="M851" s="10"/>
      <c r="N851" s="10"/>
      <c r="O851" s="10"/>
      <c r="P851" s="10"/>
      <c r="Q851" s="10"/>
      <c r="R851" s="10"/>
      <c r="S851" s="10"/>
      <c r="T851" s="10"/>
      <c r="U851" s="10"/>
      <c r="V851" s="10"/>
      <c r="W851" s="10"/>
      <c r="X851" s="10"/>
      <c r="Y851" s="10"/>
      <c r="Z851" s="10"/>
      <c r="AA851" s="10"/>
      <c r="AB851" s="10"/>
      <c r="AC851" s="10"/>
      <c r="AD851" s="10"/>
      <c r="AE851" s="10"/>
      <c r="AF851" s="10"/>
      <c r="AG851" s="14"/>
    </row>
    <row r="852" spans="1:33">
      <c r="A852" s="10"/>
      <c r="B852" s="10"/>
      <c r="C852" s="10"/>
      <c r="D852" s="10"/>
      <c r="E852" s="10"/>
      <c r="F852" s="10"/>
      <c r="G852" s="10"/>
      <c r="H852" s="10"/>
      <c r="I852" s="10"/>
      <c r="J852" s="10"/>
      <c r="K852" s="10"/>
      <c r="L852" s="10"/>
      <c r="M852" s="10"/>
      <c r="N852" s="10"/>
      <c r="O852" s="10"/>
      <c r="P852" s="10"/>
      <c r="Q852" s="10"/>
      <c r="R852" s="10"/>
      <c r="S852" s="10"/>
      <c r="T852" s="10"/>
      <c r="U852" s="10"/>
      <c r="V852" s="10"/>
      <c r="W852" s="10"/>
      <c r="X852" s="10"/>
      <c r="Y852" s="10"/>
      <c r="Z852" s="10"/>
      <c r="AA852" s="10"/>
      <c r="AB852" s="10"/>
      <c r="AC852" s="10"/>
      <c r="AD852" s="10"/>
      <c r="AE852" s="10"/>
      <c r="AF852" s="10"/>
      <c r="AG852" s="14"/>
    </row>
    <row r="853" spans="1:33">
      <c r="A853" s="10"/>
      <c r="B853" s="10"/>
      <c r="C853" s="10"/>
      <c r="D853" s="10"/>
      <c r="E853" s="10"/>
      <c r="F853" s="10"/>
      <c r="G853" s="10"/>
      <c r="H853" s="10"/>
      <c r="I853" s="10"/>
      <c r="J853" s="10"/>
      <c r="K853" s="10"/>
      <c r="L853" s="10"/>
      <c r="M853" s="10"/>
      <c r="N853" s="10"/>
      <c r="O853" s="10"/>
      <c r="P853" s="10"/>
      <c r="Q853" s="10"/>
      <c r="R853" s="10"/>
      <c r="S853" s="10"/>
      <c r="T853" s="10"/>
      <c r="U853" s="10"/>
      <c r="V853" s="10"/>
      <c r="W853" s="10"/>
      <c r="X853" s="10"/>
      <c r="Y853" s="10"/>
      <c r="Z853" s="10"/>
      <c r="AA853" s="10"/>
      <c r="AB853" s="10"/>
      <c r="AC853" s="10"/>
      <c r="AD853" s="10"/>
      <c r="AE853" s="10"/>
      <c r="AF853" s="10"/>
      <c r="AG853" s="14"/>
    </row>
    <row r="854" spans="1:33">
      <c r="A854" s="10"/>
      <c r="B854" s="10"/>
      <c r="C854" s="10"/>
      <c r="D854" s="10"/>
      <c r="E854" s="10"/>
      <c r="F854" s="10"/>
      <c r="G854" s="10"/>
      <c r="H854" s="10"/>
      <c r="I854" s="10"/>
      <c r="J854" s="10"/>
      <c r="K854" s="10"/>
      <c r="L854" s="10"/>
      <c r="M854" s="10"/>
      <c r="N854" s="10"/>
      <c r="O854" s="10"/>
      <c r="P854" s="10"/>
      <c r="Q854" s="10"/>
      <c r="R854" s="10"/>
      <c r="S854" s="10"/>
      <c r="T854" s="10"/>
      <c r="U854" s="10"/>
      <c r="V854" s="10"/>
      <c r="W854" s="10"/>
      <c r="X854" s="10"/>
      <c r="Y854" s="10"/>
      <c r="Z854" s="10"/>
      <c r="AA854" s="10"/>
      <c r="AB854" s="10"/>
      <c r="AC854" s="10"/>
      <c r="AD854" s="10"/>
      <c r="AE854" s="10"/>
      <c r="AF854" s="10"/>
      <c r="AG854" s="14"/>
    </row>
    <row r="855" spans="1:33">
      <c r="A855" s="10"/>
      <c r="B855" s="10"/>
      <c r="C855" s="10"/>
      <c r="D855" s="10"/>
      <c r="E855" s="10"/>
      <c r="F855" s="10"/>
      <c r="G855" s="10"/>
      <c r="H855" s="10"/>
      <c r="I855" s="10"/>
      <c r="J855" s="10"/>
      <c r="K855" s="10"/>
      <c r="L855" s="10"/>
      <c r="M855" s="10"/>
      <c r="N855" s="10"/>
      <c r="O855" s="10"/>
      <c r="P855" s="10"/>
      <c r="Q855" s="10"/>
      <c r="R855" s="10"/>
      <c r="S855" s="10"/>
      <c r="T855" s="10"/>
      <c r="U855" s="10"/>
      <c r="V855" s="10"/>
      <c r="W855" s="10"/>
      <c r="X855" s="10"/>
      <c r="Y855" s="10"/>
      <c r="Z855" s="10"/>
      <c r="AA855" s="10"/>
      <c r="AB855" s="10"/>
      <c r="AC855" s="10"/>
      <c r="AD855" s="10"/>
      <c r="AE855" s="10"/>
      <c r="AF855" s="10"/>
      <c r="AG855" s="14"/>
    </row>
    <row r="856" spans="1:33">
      <c r="A856" s="10"/>
      <c r="B856" s="10"/>
      <c r="C856" s="10"/>
      <c r="D856" s="10"/>
      <c r="E856" s="10"/>
      <c r="F856" s="10"/>
      <c r="G856" s="10"/>
      <c r="H856" s="10"/>
      <c r="I856" s="10"/>
      <c r="J856" s="10"/>
      <c r="K856" s="10"/>
      <c r="L856" s="10"/>
      <c r="M856" s="10"/>
      <c r="N856" s="10"/>
      <c r="O856" s="10"/>
      <c r="P856" s="10"/>
      <c r="Q856" s="10"/>
      <c r="R856" s="10"/>
      <c r="S856" s="10"/>
      <c r="T856" s="10"/>
      <c r="U856" s="10"/>
      <c r="V856" s="10"/>
      <c r="W856" s="10"/>
      <c r="X856" s="10"/>
      <c r="Y856" s="10"/>
      <c r="Z856" s="10"/>
      <c r="AA856" s="10"/>
      <c r="AB856" s="10"/>
      <c r="AC856" s="10"/>
      <c r="AD856" s="10"/>
      <c r="AE856" s="10"/>
      <c r="AF856" s="10"/>
      <c r="AG856" s="14"/>
    </row>
    <row r="857" spans="1:33">
      <c r="A857" s="10"/>
      <c r="B857" s="10"/>
      <c r="C857" s="10"/>
      <c r="D857" s="10"/>
      <c r="E857" s="10"/>
      <c r="F857" s="10"/>
      <c r="G857" s="10"/>
      <c r="H857" s="10"/>
      <c r="I857" s="10"/>
      <c r="J857" s="10"/>
      <c r="K857" s="10"/>
      <c r="L857" s="10"/>
      <c r="M857" s="10"/>
      <c r="N857" s="10"/>
      <c r="O857" s="10"/>
      <c r="P857" s="10"/>
      <c r="Q857" s="10"/>
      <c r="R857" s="10"/>
      <c r="S857" s="10"/>
      <c r="T857" s="10"/>
      <c r="U857" s="10"/>
      <c r="V857" s="10"/>
      <c r="W857" s="10"/>
      <c r="X857" s="10"/>
      <c r="Y857" s="10"/>
      <c r="Z857" s="10"/>
      <c r="AA857" s="10"/>
      <c r="AB857" s="10"/>
      <c r="AC857" s="10"/>
      <c r="AD857" s="10"/>
      <c r="AE857" s="10"/>
      <c r="AF857" s="10"/>
      <c r="AG857" s="14"/>
    </row>
    <row r="858" spans="1:33">
      <c r="A858" s="10"/>
      <c r="B858" s="10"/>
      <c r="C858" s="10"/>
      <c r="D858" s="10"/>
      <c r="E858" s="10"/>
      <c r="F858" s="10"/>
      <c r="G858" s="10"/>
      <c r="H858" s="10"/>
      <c r="I858" s="10"/>
      <c r="J858" s="10"/>
      <c r="K858" s="10"/>
      <c r="L858" s="10"/>
      <c r="M858" s="10"/>
      <c r="N858" s="10"/>
      <c r="O858" s="10"/>
      <c r="P858" s="10"/>
      <c r="Q858" s="10"/>
      <c r="R858" s="10"/>
      <c r="S858" s="10"/>
      <c r="T858" s="10"/>
      <c r="U858" s="10"/>
      <c r="V858" s="10"/>
      <c r="W858" s="10"/>
      <c r="X858" s="10"/>
      <c r="Y858" s="10"/>
      <c r="Z858" s="10"/>
      <c r="AA858" s="10"/>
      <c r="AB858" s="10"/>
      <c r="AC858" s="10"/>
      <c r="AD858" s="10"/>
      <c r="AE858" s="10"/>
      <c r="AF858" s="10"/>
      <c r="AG858" s="14"/>
    </row>
    <row r="859" spans="1:33">
      <c r="A859" s="10"/>
      <c r="B859" s="10"/>
      <c r="C859" s="10"/>
      <c r="D859" s="10"/>
      <c r="E859" s="10"/>
      <c r="F859" s="10"/>
      <c r="G859" s="10"/>
      <c r="H859" s="10"/>
      <c r="I859" s="10"/>
      <c r="J859" s="10"/>
      <c r="K859" s="10"/>
      <c r="L859" s="10"/>
      <c r="M859" s="10"/>
      <c r="N859" s="10"/>
      <c r="O859" s="10"/>
      <c r="P859" s="10"/>
      <c r="Q859" s="10"/>
      <c r="R859" s="10"/>
      <c r="S859" s="10"/>
      <c r="T859" s="10"/>
      <c r="U859" s="10"/>
      <c r="V859" s="10"/>
      <c r="W859" s="10"/>
      <c r="X859" s="10"/>
      <c r="Y859" s="10"/>
      <c r="Z859" s="10"/>
      <c r="AA859" s="10"/>
      <c r="AB859" s="10"/>
      <c r="AC859" s="10"/>
      <c r="AD859" s="10"/>
      <c r="AE859" s="10"/>
      <c r="AF859" s="10"/>
      <c r="AG859" s="14"/>
    </row>
    <row r="860" spans="1:33">
      <c r="A860" s="10"/>
      <c r="B860" s="10"/>
      <c r="C860" s="10"/>
      <c r="D860" s="10"/>
      <c r="E860" s="10"/>
      <c r="F860" s="10"/>
      <c r="G860" s="10"/>
      <c r="H860" s="10"/>
      <c r="I860" s="10"/>
      <c r="J860" s="10"/>
      <c r="K860" s="10"/>
      <c r="L860" s="10"/>
      <c r="M860" s="10"/>
      <c r="N860" s="10"/>
      <c r="O860" s="10"/>
      <c r="P860" s="10"/>
      <c r="Q860" s="10"/>
      <c r="R860" s="10"/>
      <c r="S860" s="10"/>
      <c r="T860" s="10"/>
      <c r="U860" s="10"/>
      <c r="V860" s="10"/>
      <c r="W860" s="10"/>
      <c r="X860" s="10"/>
      <c r="Y860" s="10"/>
      <c r="Z860" s="10"/>
      <c r="AA860" s="10"/>
      <c r="AB860" s="10"/>
      <c r="AC860" s="10"/>
      <c r="AD860" s="10"/>
      <c r="AE860" s="10"/>
      <c r="AF860" s="10"/>
      <c r="AG860" s="14"/>
    </row>
    <row r="861" spans="1:33">
      <c r="A861" s="10"/>
      <c r="B861" s="10"/>
      <c r="C861" s="10"/>
      <c r="D861" s="10"/>
      <c r="E861" s="10"/>
      <c r="F861" s="10"/>
      <c r="G861" s="10"/>
      <c r="H861" s="10"/>
      <c r="I861" s="10"/>
      <c r="J861" s="10"/>
      <c r="K861" s="10"/>
      <c r="L861" s="10"/>
      <c r="M861" s="10"/>
      <c r="N861" s="10"/>
      <c r="O861" s="10"/>
      <c r="P861" s="10"/>
      <c r="Q861" s="10"/>
      <c r="R861" s="10"/>
      <c r="S861" s="10"/>
      <c r="T861" s="10"/>
      <c r="U861" s="10"/>
      <c r="V861" s="10"/>
      <c r="W861" s="10"/>
      <c r="X861" s="10"/>
      <c r="Y861" s="10"/>
      <c r="Z861" s="10"/>
      <c r="AA861" s="10"/>
      <c r="AB861" s="10"/>
      <c r="AC861" s="10"/>
      <c r="AD861" s="10"/>
      <c r="AE861" s="10"/>
      <c r="AF861" s="10"/>
      <c r="AG861" s="14"/>
    </row>
    <row r="862" spans="1:33">
      <c r="A862" s="10"/>
      <c r="B862" s="10"/>
      <c r="C862" s="10"/>
      <c r="D862" s="10"/>
      <c r="E862" s="10"/>
      <c r="F862" s="10"/>
      <c r="G862" s="10"/>
      <c r="H862" s="10"/>
      <c r="I862" s="10"/>
      <c r="J862" s="10"/>
      <c r="K862" s="10"/>
      <c r="L862" s="10"/>
      <c r="M862" s="10"/>
      <c r="N862" s="10"/>
      <c r="O862" s="10"/>
      <c r="P862" s="10"/>
      <c r="Q862" s="10"/>
      <c r="R862" s="10"/>
      <c r="S862" s="10"/>
      <c r="T862" s="10"/>
      <c r="U862" s="10"/>
      <c r="V862" s="10"/>
      <c r="W862" s="10"/>
      <c r="X862" s="10"/>
      <c r="Y862" s="10"/>
      <c r="Z862" s="10"/>
      <c r="AA862" s="10"/>
      <c r="AB862" s="10"/>
      <c r="AC862" s="10"/>
      <c r="AD862" s="10"/>
      <c r="AE862" s="10"/>
      <c r="AF862" s="10"/>
      <c r="AG862" s="14"/>
    </row>
    <row r="863" spans="1:33">
      <c r="A863" s="10"/>
      <c r="B863" s="10"/>
      <c r="C863" s="10"/>
      <c r="D863" s="10"/>
      <c r="E863" s="10"/>
      <c r="F863" s="10"/>
      <c r="G863" s="10"/>
      <c r="H863" s="10"/>
      <c r="I863" s="10"/>
      <c r="J863" s="10"/>
      <c r="K863" s="10"/>
      <c r="L863" s="10"/>
      <c r="M863" s="10"/>
      <c r="N863" s="10"/>
      <c r="O863" s="10"/>
      <c r="P863" s="10"/>
      <c r="Q863" s="10"/>
      <c r="R863" s="10"/>
      <c r="S863" s="10"/>
      <c r="T863" s="10"/>
      <c r="U863" s="10"/>
      <c r="V863" s="10"/>
      <c r="W863" s="10"/>
      <c r="X863" s="10"/>
      <c r="Y863" s="10"/>
      <c r="Z863" s="10"/>
      <c r="AA863" s="10"/>
      <c r="AB863" s="10"/>
      <c r="AC863" s="10"/>
      <c r="AD863" s="10"/>
      <c r="AE863" s="10"/>
      <c r="AF863" s="10"/>
      <c r="AG863" s="14"/>
    </row>
    <row r="864" spans="1:33">
      <c r="A864" s="10"/>
      <c r="B864" s="10"/>
      <c r="C864" s="10"/>
      <c r="D864" s="10"/>
      <c r="E864" s="10"/>
      <c r="F864" s="10"/>
      <c r="G864" s="10"/>
      <c r="H864" s="10"/>
      <c r="I864" s="10"/>
      <c r="J864" s="10"/>
      <c r="K864" s="10"/>
      <c r="L864" s="10"/>
      <c r="M864" s="10"/>
      <c r="N864" s="10"/>
      <c r="O864" s="10"/>
      <c r="P864" s="10"/>
      <c r="Q864" s="10"/>
      <c r="R864" s="10"/>
      <c r="S864" s="10"/>
      <c r="T864" s="10"/>
      <c r="U864" s="10"/>
      <c r="V864" s="10"/>
      <c r="W864" s="10"/>
      <c r="X864" s="10"/>
      <c r="Y864" s="10"/>
      <c r="Z864" s="10"/>
      <c r="AA864" s="10"/>
      <c r="AB864" s="10"/>
      <c r="AC864" s="10"/>
      <c r="AD864" s="10"/>
      <c r="AE864" s="10"/>
      <c r="AF864" s="10"/>
      <c r="AG864" s="14"/>
    </row>
    <row r="865" spans="1:33">
      <c r="A865" s="10"/>
      <c r="B865" s="10"/>
      <c r="C865" s="10"/>
      <c r="D865" s="10"/>
      <c r="E865" s="10"/>
      <c r="F865" s="10"/>
      <c r="G865" s="10"/>
      <c r="H865" s="10"/>
      <c r="I865" s="10"/>
      <c r="J865" s="10"/>
      <c r="K865" s="10"/>
      <c r="L865" s="10"/>
      <c r="M865" s="10"/>
      <c r="N865" s="10"/>
      <c r="O865" s="10"/>
      <c r="P865" s="10"/>
      <c r="Q865" s="10"/>
      <c r="R865" s="10"/>
      <c r="S865" s="10"/>
      <c r="T865" s="10"/>
      <c r="U865" s="10"/>
      <c r="V865" s="10"/>
      <c r="W865" s="10"/>
      <c r="X865" s="10"/>
      <c r="Y865" s="10"/>
      <c r="Z865" s="10"/>
      <c r="AA865" s="10"/>
      <c r="AB865" s="10"/>
      <c r="AC865" s="10"/>
      <c r="AD865" s="10"/>
      <c r="AE865" s="10"/>
      <c r="AF865" s="10"/>
      <c r="AG865" s="14"/>
    </row>
    <row r="866" spans="1:33">
      <c r="A866" s="10"/>
      <c r="B866" s="10"/>
      <c r="C866" s="10"/>
      <c r="D866" s="10"/>
      <c r="E866" s="10"/>
      <c r="F866" s="10"/>
      <c r="G866" s="10"/>
      <c r="H866" s="10"/>
      <c r="I866" s="10"/>
      <c r="J866" s="10"/>
      <c r="K866" s="10"/>
      <c r="L866" s="10"/>
      <c r="M866" s="10"/>
      <c r="N866" s="10"/>
      <c r="O866" s="10"/>
      <c r="P866" s="10"/>
      <c r="Q866" s="10"/>
      <c r="R866" s="10"/>
      <c r="S866" s="10"/>
      <c r="T866" s="10"/>
      <c r="U866" s="10"/>
      <c r="V866" s="10"/>
      <c r="W866" s="10"/>
      <c r="X866" s="10"/>
      <c r="Y866" s="10"/>
      <c r="Z866" s="10"/>
      <c r="AA866" s="10"/>
      <c r="AB866" s="10"/>
      <c r="AC866" s="10"/>
      <c r="AD866" s="10"/>
      <c r="AE866" s="10"/>
      <c r="AF866" s="10"/>
      <c r="AG866" s="14"/>
    </row>
    <row r="867" spans="1:33">
      <c r="A867" s="10"/>
      <c r="B867" s="10"/>
      <c r="C867" s="10"/>
      <c r="D867" s="10"/>
      <c r="E867" s="10"/>
      <c r="F867" s="10"/>
      <c r="G867" s="10"/>
      <c r="H867" s="10"/>
      <c r="I867" s="10"/>
      <c r="J867" s="10"/>
      <c r="K867" s="10"/>
      <c r="L867" s="10"/>
      <c r="M867" s="10"/>
      <c r="N867" s="10"/>
      <c r="O867" s="10"/>
      <c r="P867" s="10"/>
      <c r="Q867" s="10"/>
      <c r="R867" s="10"/>
      <c r="S867" s="10"/>
      <c r="T867" s="10"/>
      <c r="U867" s="10"/>
      <c r="V867" s="10"/>
      <c r="W867" s="10"/>
      <c r="X867" s="10"/>
      <c r="Y867" s="10"/>
      <c r="Z867" s="10"/>
      <c r="AA867" s="10"/>
      <c r="AB867" s="10"/>
      <c r="AC867" s="10"/>
      <c r="AD867" s="10"/>
      <c r="AE867" s="10"/>
      <c r="AF867" s="10"/>
      <c r="AG867" s="14"/>
    </row>
    <row r="868" spans="1:33">
      <c r="A868" s="10"/>
      <c r="B868" s="10"/>
      <c r="C868" s="10"/>
      <c r="D868" s="10"/>
      <c r="E868" s="10"/>
      <c r="F868" s="10"/>
      <c r="G868" s="10"/>
      <c r="H868" s="10"/>
      <c r="I868" s="10"/>
      <c r="J868" s="10"/>
      <c r="K868" s="10"/>
      <c r="L868" s="10"/>
      <c r="M868" s="10"/>
      <c r="N868" s="10"/>
      <c r="O868" s="10"/>
      <c r="P868" s="10"/>
      <c r="Q868" s="10"/>
      <c r="R868" s="10"/>
      <c r="S868" s="10"/>
      <c r="T868" s="10"/>
      <c r="U868" s="10"/>
      <c r="V868" s="10"/>
      <c r="W868" s="10"/>
      <c r="X868" s="10"/>
      <c r="Y868" s="10"/>
      <c r="Z868" s="10"/>
      <c r="AA868" s="10"/>
      <c r="AB868" s="10"/>
      <c r="AC868" s="10"/>
      <c r="AD868" s="10"/>
      <c r="AE868" s="10"/>
      <c r="AF868" s="10"/>
      <c r="AG868" s="14"/>
    </row>
    <row r="869" spans="1:33">
      <c r="A869" s="10"/>
      <c r="B869" s="10"/>
      <c r="C869" s="10"/>
      <c r="D869" s="10"/>
      <c r="E869" s="10"/>
      <c r="F869" s="10"/>
      <c r="G869" s="10"/>
      <c r="H869" s="10"/>
      <c r="I869" s="10"/>
      <c r="J869" s="10"/>
      <c r="K869" s="10"/>
      <c r="L869" s="10"/>
      <c r="M869" s="10"/>
      <c r="N869" s="10"/>
      <c r="O869" s="10"/>
      <c r="P869" s="10"/>
      <c r="Q869" s="10"/>
      <c r="R869" s="10"/>
      <c r="S869" s="10"/>
      <c r="T869" s="10"/>
      <c r="U869" s="10"/>
      <c r="V869" s="10"/>
      <c r="W869" s="10"/>
      <c r="X869" s="10"/>
      <c r="Y869" s="10"/>
      <c r="Z869" s="10"/>
      <c r="AA869" s="10"/>
      <c r="AB869" s="10"/>
      <c r="AC869" s="10"/>
      <c r="AD869" s="10"/>
      <c r="AE869" s="10"/>
      <c r="AF869" s="10"/>
      <c r="AG869" s="14"/>
    </row>
    <row r="870" spans="1:33">
      <c r="A870" s="10"/>
      <c r="B870" s="10"/>
      <c r="C870" s="10"/>
      <c r="D870" s="10"/>
      <c r="E870" s="10"/>
      <c r="F870" s="10"/>
      <c r="G870" s="10"/>
      <c r="H870" s="10"/>
      <c r="I870" s="10"/>
      <c r="J870" s="10"/>
      <c r="K870" s="10"/>
      <c r="L870" s="10"/>
      <c r="M870" s="10"/>
      <c r="N870" s="10"/>
      <c r="O870" s="10"/>
      <c r="P870" s="10"/>
      <c r="Q870" s="10"/>
      <c r="R870" s="10"/>
      <c r="S870" s="10"/>
      <c r="T870" s="10"/>
      <c r="U870" s="10"/>
      <c r="V870" s="10"/>
      <c r="W870" s="10"/>
      <c r="X870" s="10"/>
      <c r="Y870" s="10"/>
      <c r="Z870" s="10"/>
      <c r="AA870" s="10"/>
      <c r="AB870" s="10"/>
      <c r="AC870" s="10"/>
      <c r="AD870" s="10"/>
      <c r="AE870" s="10"/>
      <c r="AF870" s="10"/>
      <c r="AG870" s="14"/>
    </row>
    <row r="871" spans="1:33">
      <c r="A871" s="10"/>
      <c r="B871" s="10"/>
      <c r="C871" s="10"/>
      <c r="D871" s="10"/>
      <c r="E871" s="10"/>
      <c r="F871" s="10"/>
      <c r="G871" s="10"/>
      <c r="H871" s="10"/>
      <c r="I871" s="10"/>
      <c r="J871" s="10"/>
      <c r="K871" s="10"/>
      <c r="L871" s="10"/>
      <c r="M871" s="10"/>
      <c r="N871" s="10"/>
      <c r="O871" s="10"/>
      <c r="P871" s="10"/>
      <c r="Q871" s="10"/>
      <c r="R871" s="10"/>
      <c r="S871" s="10"/>
      <c r="T871" s="10"/>
      <c r="U871" s="10"/>
      <c r="V871" s="10"/>
      <c r="W871" s="10"/>
      <c r="X871" s="10"/>
      <c r="Y871" s="10"/>
      <c r="Z871" s="10"/>
      <c r="AA871" s="10"/>
      <c r="AB871" s="10"/>
      <c r="AC871" s="10"/>
      <c r="AD871" s="10"/>
      <c r="AE871" s="10"/>
      <c r="AF871" s="10"/>
      <c r="AG871" s="14"/>
    </row>
    <row r="872" spans="1:33">
      <c r="A872" s="10"/>
      <c r="B872" s="10"/>
      <c r="C872" s="10"/>
      <c r="D872" s="10"/>
      <c r="E872" s="10"/>
      <c r="F872" s="10"/>
      <c r="G872" s="10"/>
      <c r="H872" s="10"/>
      <c r="I872" s="10"/>
      <c r="J872" s="10"/>
      <c r="K872" s="10"/>
      <c r="L872" s="10"/>
      <c r="M872" s="10"/>
      <c r="N872" s="10"/>
      <c r="O872" s="10"/>
      <c r="P872" s="10"/>
      <c r="Q872" s="10"/>
      <c r="R872" s="10"/>
      <c r="S872" s="10"/>
      <c r="T872" s="10"/>
      <c r="U872" s="10"/>
      <c r="V872" s="10"/>
      <c r="W872" s="10"/>
      <c r="X872" s="10"/>
      <c r="Y872" s="10"/>
      <c r="Z872" s="10"/>
      <c r="AA872" s="10"/>
      <c r="AB872" s="10"/>
      <c r="AC872" s="10"/>
      <c r="AD872" s="10"/>
      <c r="AE872" s="10"/>
      <c r="AF872" s="10"/>
      <c r="AG872" s="14"/>
    </row>
    <row r="873" spans="1:33">
      <c r="A873" s="10"/>
      <c r="B873" s="10"/>
      <c r="C873" s="10"/>
      <c r="D873" s="10"/>
      <c r="E873" s="10"/>
      <c r="F873" s="10"/>
      <c r="G873" s="10"/>
      <c r="H873" s="10"/>
      <c r="I873" s="10"/>
      <c r="J873" s="10"/>
      <c r="K873" s="10"/>
      <c r="L873" s="10"/>
      <c r="M873" s="10"/>
      <c r="N873" s="10"/>
      <c r="O873" s="10"/>
      <c r="P873" s="10"/>
      <c r="Q873" s="10"/>
      <c r="R873" s="10"/>
      <c r="S873" s="10"/>
      <c r="T873" s="10"/>
      <c r="U873" s="10"/>
      <c r="V873" s="10"/>
      <c r="W873" s="10"/>
      <c r="X873" s="10"/>
      <c r="Y873" s="10"/>
      <c r="Z873" s="10"/>
      <c r="AA873" s="10"/>
      <c r="AB873" s="10"/>
      <c r="AC873" s="10"/>
      <c r="AD873" s="10"/>
      <c r="AE873" s="10"/>
      <c r="AF873" s="10"/>
      <c r="AG873" s="14"/>
    </row>
    <row r="874" spans="1:33">
      <c r="A874" s="10"/>
      <c r="B874" s="10"/>
      <c r="C874" s="10"/>
      <c r="D874" s="10"/>
      <c r="E874" s="10"/>
      <c r="F874" s="10"/>
      <c r="G874" s="10"/>
      <c r="H874" s="10"/>
      <c r="I874" s="10"/>
      <c r="J874" s="10"/>
      <c r="K874" s="10"/>
      <c r="L874" s="10"/>
      <c r="M874" s="10"/>
      <c r="N874" s="10"/>
      <c r="O874" s="10"/>
      <c r="P874" s="10"/>
      <c r="Q874" s="10"/>
      <c r="R874" s="10"/>
      <c r="S874" s="10"/>
      <c r="T874" s="10"/>
      <c r="U874" s="10"/>
      <c r="V874" s="10"/>
      <c r="W874" s="10"/>
      <c r="X874" s="10"/>
      <c r="Y874" s="10"/>
      <c r="Z874" s="10"/>
      <c r="AA874" s="10"/>
      <c r="AB874" s="10"/>
      <c r="AC874" s="10"/>
      <c r="AD874" s="10"/>
      <c r="AE874" s="10"/>
      <c r="AF874" s="10"/>
      <c r="AG874" s="14"/>
    </row>
    <row r="875" spans="1:33">
      <c r="A875" s="10"/>
      <c r="B875" s="10"/>
      <c r="C875" s="10"/>
      <c r="D875" s="10"/>
      <c r="E875" s="10"/>
      <c r="F875" s="10"/>
      <c r="G875" s="10"/>
      <c r="H875" s="10"/>
      <c r="I875" s="10"/>
      <c r="J875" s="10"/>
      <c r="K875" s="10"/>
      <c r="L875" s="10"/>
      <c r="M875" s="10"/>
      <c r="N875" s="10"/>
      <c r="O875" s="10"/>
      <c r="P875" s="10"/>
      <c r="Q875" s="10"/>
      <c r="R875" s="10"/>
      <c r="S875" s="10"/>
      <c r="T875" s="10"/>
      <c r="U875" s="10"/>
      <c r="V875" s="10"/>
      <c r="W875" s="10"/>
      <c r="X875" s="10"/>
      <c r="Y875" s="10"/>
      <c r="Z875" s="10"/>
      <c r="AA875" s="10"/>
      <c r="AB875" s="10"/>
      <c r="AC875" s="10"/>
      <c r="AD875" s="10"/>
      <c r="AE875" s="10"/>
      <c r="AF875" s="10"/>
      <c r="AG875" s="14"/>
    </row>
    <row r="876" spans="1:33">
      <c r="A876" s="10"/>
      <c r="B876" s="10"/>
      <c r="C876" s="10"/>
      <c r="D876" s="10"/>
      <c r="E876" s="10"/>
      <c r="F876" s="10"/>
      <c r="G876" s="10"/>
      <c r="H876" s="10"/>
      <c r="I876" s="10"/>
      <c r="J876" s="10"/>
      <c r="K876" s="10"/>
      <c r="L876" s="10"/>
      <c r="M876" s="10"/>
      <c r="N876" s="10"/>
      <c r="O876" s="10"/>
      <c r="P876" s="10"/>
      <c r="Q876" s="10"/>
      <c r="R876" s="10"/>
      <c r="S876" s="10"/>
      <c r="T876" s="10"/>
      <c r="U876" s="10"/>
      <c r="V876" s="10"/>
      <c r="W876" s="10"/>
      <c r="X876" s="10"/>
      <c r="Y876" s="10"/>
      <c r="Z876" s="10"/>
      <c r="AA876" s="10"/>
      <c r="AB876" s="10"/>
      <c r="AC876" s="10"/>
      <c r="AD876" s="10"/>
      <c r="AE876" s="10"/>
      <c r="AF876" s="10"/>
      <c r="AG876" s="14"/>
    </row>
    <row r="877" spans="1:33">
      <c r="A877" s="10"/>
      <c r="B877" s="10"/>
      <c r="C877" s="10"/>
      <c r="D877" s="10"/>
      <c r="E877" s="10"/>
      <c r="F877" s="10"/>
      <c r="G877" s="10"/>
      <c r="H877" s="10"/>
      <c r="I877" s="10"/>
      <c r="J877" s="10"/>
      <c r="K877" s="10"/>
      <c r="L877" s="10"/>
      <c r="M877" s="10"/>
      <c r="N877" s="10"/>
      <c r="O877" s="10"/>
      <c r="P877" s="10"/>
      <c r="Q877" s="10"/>
      <c r="R877" s="10"/>
      <c r="S877" s="10"/>
      <c r="T877" s="10"/>
      <c r="U877" s="10"/>
      <c r="V877" s="10"/>
      <c r="W877" s="10"/>
      <c r="X877" s="10"/>
      <c r="Y877" s="10"/>
      <c r="Z877" s="10"/>
      <c r="AA877" s="10"/>
      <c r="AB877" s="10"/>
      <c r="AC877" s="10"/>
      <c r="AD877" s="10"/>
      <c r="AE877" s="10"/>
      <c r="AF877" s="10"/>
      <c r="AG877" s="14"/>
    </row>
    <row r="878" spans="1:33">
      <c r="A878" s="10"/>
      <c r="B878" s="10"/>
      <c r="C878" s="10"/>
      <c r="D878" s="10"/>
      <c r="E878" s="10"/>
      <c r="F878" s="10"/>
      <c r="G878" s="10"/>
      <c r="H878" s="10"/>
      <c r="I878" s="10"/>
      <c r="J878" s="10"/>
      <c r="K878" s="10"/>
      <c r="L878" s="10"/>
      <c r="M878" s="10"/>
      <c r="N878" s="10"/>
      <c r="O878" s="10"/>
      <c r="P878" s="10"/>
      <c r="Q878" s="10"/>
      <c r="R878" s="10"/>
      <c r="S878" s="10"/>
      <c r="T878" s="10"/>
      <c r="U878" s="10"/>
      <c r="V878" s="10"/>
      <c r="W878" s="10"/>
      <c r="X878" s="10"/>
      <c r="Y878" s="10"/>
      <c r="Z878" s="10"/>
      <c r="AA878" s="10"/>
      <c r="AB878" s="10"/>
      <c r="AC878" s="10"/>
      <c r="AD878" s="10"/>
      <c r="AE878" s="10"/>
      <c r="AF878" s="10"/>
      <c r="AG878" s="14"/>
    </row>
    <row r="879" spans="1:33">
      <c r="A879" s="10"/>
      <c r="B879" s="10"/>
      <c r="C879" s="10"/>
      <c r="D879" s="10"/>
      <c r="E879" s="10"/>
      <c r="F879" s="10"/>
      <c r="G879" s="10"/>
      <c r="H879" s="10"/>
      <c r="I879" s="10"/>
      <c r="J879" s="10"/>
      <c r="K879" s="10"/>
      <c r="L879" s="10"/>
      <c r="M879" s="10"/>
      <c r="N879" s="10"/>
      <c r="O879" s="10"/>
      <c r="P879" s="10"/>
      <c r="Q879" s="10"/>
      <c r="R879" s="10"/>
      <c r="S879" s="10"/>
      <c r="T879" s="10"/>
      <c r="U879" s="10"/>
      <c r="V879" s="10"/>
      <c r="W879" s="10"/>
      <c r="X879" s="10"/>
      <c r="Y879" s="10"/>
      <c r="Z879" s="10"/>
      <c r="AA879" s="10"/>
      <c r="AB879" s="10"/>
      <c r="AC879" s="10"/>
      <c r="AD879" s="10"/>
      <c r="AE879" s="10"/>
      <c r="AF879" s="10"/>
      <c r="AG879" s="14"/>
    </row>
    <row r="880" spans="1:33">
      <c r="A880" s="10"/>
      <c r="B880" s="10"/>
      <c r="C880" s="10"/>
      <c r="D880" s="10"/>
      <c r="E880" s="10"/>
      <c r="F880" s="10"/>
      <c r="G880" s="10"/>
      <c r="H880" s="10"/>
      <c r="I880" s="10"/>
      <c r="J880" s="10"/>
      <c r="K880" s="10"/>
      <c r="L880" s="10"/>
      <c r="M880" s="10"/>
      <c r="N880" s="10"/>
      <c r="O880" s="10"/>
      <c r="P880" s="10"/>
      <c r="Q880" s="10"/>
      <c r="R880" s="10"/>
      <c r="S880" s="10"/>
      <c r="T880" s="10"/>
      <c r="U880" s="10"/>
      <c r="V880" s="10"/>
      <c r="W880" s="10"/>
      <c r="X880" s="10"/>
      <c r="Y880" s="10"/>
      <c r="Z880" s="10"/>
      <c r="AA880" s="10"/>
      <c r="AB880" s="10"/>
      <c r="AC880" s="10"/>
      <c r="AD880" s="10"/>
      <c r="AE880" s="10"/>
      <c r="AF880" s="10"/>
      <c r="AG880" s="14"/>
    </row>
    <row r="881" spans="1:33">
      <c r="A881" s="10"/>
      <c r="B881" s="10"/>
      <c r="C881" s="10"/>
      <c r="D881" s="10"/>
      <c r="E881" s="10"/>
      <c r="F881" s="10"/>
      <c r="G881" s="10"/>
      <c r="H881" s="10"/>
      <c r="I881" s="10"/>
      <c r="J881" s="10"/>
      <c r="K881" s="10"/>
      <c r="L881" s="10"/>
      <c r="M881" s="10"/>
      <c r="N881" s="10"/>
      <c r="O881" s="10"/>
      <c r="P881" s="10"/>
      <c r="Q881" s="10"/>
      <c r="R881" s="10"/>
      <c r="S881" s="10"/>
      <c r="T881" s="10"/>
      <c r="U881" s="10"/>
      <c r="V881" s="10"/>
      <c r="W881" s="10"/>
      <c r="X881" s="10"/>
      <c r="Y881" s="10"/>
      <c r="Z881" s="10"/>
      <c r="AA881" s="10"/>
      <c r="AB881" s="10"/>
      <c r="AC881" s="10"/>
      <c r="AD881" s="10"/>
      <c r="AE881" s="10"/>
      <c r="AF881" s="10"/>
      <c r="AG881" s="14"/>
    </row>
    <row r="882" spans="1:33">
      <c r="A882" s="10"/>
      <c r="B882" s="10"/>
      <c r="C882" s="10"/>
      <c r="D882" s="10"/>
      <c r="E882" s="10"/>
      <c r="F882" s="10"/>
      <c r="G882" s="10"/>
      <c r="H882" s="10"/>
      <c r="I882" s="10"/>
      <c r="J882" s="10"/>
      <c r="K882" s="10"/>
      <c r="L882" s="10"/>
      <c r="M882" s="10"/>
      <c r="N882" s="10"/>
      <c r="O882" s="10"/>
      <c r="P882" s="10"/>
      <c r="Q882" s="10"/>
      <c r="R882" s="10"/>
      <c r="S882" s="10"/>
      <c r="T882" s="10"/>
      <c r="U882" s="10"/>
      <c r="V882" s="10"/>
      <c r="W882" s="10"/>
      <c r="X882" s="10"/>
      <c r="Y882" s="10"/>
      <c r="Z882" s="10"/>
      <c r="AA882" s="10"/>
      <c r="AB882" s="10"/>
      <c r="AC882" s="10"/>
      <c r="AD882" s="10"/>
      <c r="AE882" s="10"/>
      <c r="AF882" s="10"/>
      <c r="AG882" s="14"/>
    </row>
    <row r="883" spans="1:33">
      <c r="A883" s="10"/>
      <c r="B883" s="10"/>
      <c r="C883" s="10"/>
      <c r="D883" s="10"/>
      <c r="E883" s="10"/>
      <c r="F883" s="10"/>
      <c r="G883" s="10"/>
      <c r="H883" s="10"/>
      <c r="I883" s="10"/>
      <c r="J883" s="10"/>
      <c r="K883" s="10"/>
      <c r="L883" s="10"/>
      <c r="M883" s="10"/>
      <c r="N883" s="10"/>
      <c r="O883" s="10"/>
      <c r="P883" s="10"/>
      <c r="Q883" s="10"/>
      <c r="R883" s="10"/>
      <c r="S883" s="10"/>
      <c r="T883" s="10"/>
      <c r="U883" s="10"/>
      <c r="V883" s="10"/>
      <c r="W883" s="10"/>
      <c r="X883" s="10"/>
      <c r="Y883" s="10"/>
      <c r="Z883" s="10"/>
      <c r="AA883" s="10"/>
      <c r="AB883" s="10"/>
      <c r="AC883" s="10"/>
      <c r="AD883" s="10"/>
      <c r="AE883" s="10"/>
      <c r="AF883" s="10"/>
      <c r="AG883" s="14"/>
    </row>
    <row r="884" spans="1:33">
      <c r="A884" s="10"/>
      <c r="B884" s="10"/>
      <c r="C884" s="10"/>
      <c r="D884" s="10"/>
      <c r="E884" s="10"/>
      <c r="F884" s="10"/>
      <c r="G884" s="10"/>
      <c r="H884" s="10"/>
      <c r="I884" s="10"/>
      <c r="J884" s="10"/>
      <c r="K884" s="10"/>
      <c r="L884" s="10"/>
      <c r="M884" s="10"/>
      <c r="N884" s="10"/>
      <c r="O884" s="10"/>
      <c r="P884" s="10"/>
      <c r="Q884" s="10"/>
      <c r="R884" s="10"/>
      <c r="S884" s="10"/>
      <c r="T884" s="10"/>
      <c r="U884" s="10"/>
      <c r="V884" s="10"/>
      <c r="W884" s="10"/>
      <c r="X884" s="10"/>
      <c r="Y884" s="10"/>
      <c r="Z884" s="10"/>
      <c r="AA884" s="10"/>
      <c r="AB884" s="10"/>
      <c r="AC884" s="10"/>
      <c r="AD884" s="10"/>
      <c r="AE884" s="10"/>
      <c r="AF884" s="10"/>
      <c r="AG884" s="14"/>
    </row>
    <row r="885" spans="1:33">
      <c r="A885" s="10"/>
      <c r="B885" s="10"/>
      <c r="C885" s="10"/>
      <c r="D885" s="10"/>
      <c r="E885" s="10"/>
      <c r="F885" s="10"/>
      <c r="G885" s="10"/>
      <c r="H885" s="10"/>
      <c r="I885" s="10"/>
      <c r="J885" s="10"/>
      <c r="K885" s="10"/>
      <c r="L885" s="10"/>
      <c r="M885" s="10"/>
      <c r="N885" s="10"/>
      <c r="O885" s="10"/>
      <c r="P885" s="10"/>
      <c r="Q885" s="10"/>
      <c r="R885" s="10"/>
      <c r="S885" s="10"/>
      <c r="T885" s="10"/>
      <c r="U885" s="10"/>
      <c r="V885" s="10"/>
      <c r="W885" s="10"/>
      <c r="X885" s="10"/>
      <c r="Y885" s="10"/>
      <c r="Z885" s="10"/>
      <c r="AA885" s="10"/>
      <c r="AB885" s="10"/>
      <c r="AC885" s="10"/>
      <c r="AD885" s="10"/>
      <c r="AE885" s="10"/>
      <c r="AF885" s="10"/>
      <c r="AG885" s="14"/>
    </row>
    <row r="886" spans="1:33">
      <c r="A886" s="10"/>
      <c r="B886" s="10"/>
      <c r="C886" s="10"/>
      <c r="D886" s="10"/>
      <c r="E886" s="10"/>
      <c r="F886" s="10"/>
      <c r="G886" s="10"/>
      <c r="H886" s="10"/>
      <c r="I886" s="10"/>
      <c r="J886" s="10"/>
      <c r="K886" s="10"/>
      <c r="L886" s="10"/>
      <c r="M886" s="10"/>
      <c r="N886" s="10"/>
      <c r="O886" s="10"/>
      <c r="P886" s="10"/>
      <c r="Q886" s="10"/>
      <c r="R886" s="10"/>
      <c r="S886" s="10"/>
      <c r="T886" s="10"/>
      <c r="U886" s="10"/>
      <c r="V886" s="10"/>
      <c r="W886" s="10"/>
      <c r="X886" s="10"/>
      <c r="Y886" s="10"/>
      <c r="Z886" s="10"/>
      <c r="AA886" s="10"/>
      <c r="AB886" s="10"/>
      <c r="AC886" s="10"/>
      <c r="AD886" s="10"/>
      <c r="AE886" s="10"/>
      <c r="AF886" s="10"/>
      <c r="AG886" s="14"/>
    </row>
    <row r="887" spans="1:33">
      <c r="A887" s="10"/>
      <c r="B887" s="10"/>
      <c r="C887" s="10"/>
      <c r="D887" s="10"/>
      <c r="E887" s="10"/>
      <c r="F887" s="10"/>
      <c r="G887" s="10"/>
      <c r="H887" s="10"/>
      <c r="I887" s="10"/>
      <c r="J887" s="10"/>
      <c r="K887" s="10"/>
      <c r="L887" s="10"/>
      <c r="M887" s="10"/>
      <c r="N887" s="10"/>
      <c r="O887" s="10"/>
      <c r="P887" s="10"/>
      <c r="Q887" s="10"/>
      <c r="R887" s="10"/>
      <c r="S887" s="10"/>
      <c r="T887" s="10"/>
      <c r="U887" s="10"/>
      <c r="V887" s="10"/>
      <c r="W887" s="10"/>
      <c r="X887" s="10"/>
      <c r="Y887" s="10"/>
      <c r="Z887" s="10"/>
      <c r="AA887" s="10"/>
      <c r="AB887" s="10"/>
      <c r="AC887" s="10"/>
      <c r="AD887" s="10"/>
      <c r="AE887" s="10"/>
      <c r="AF887" s="10"/>
      <c r="AG887" s="14"/>
    </row>
    <row r="888" spans="1:33">
      <c r="A888" s="10"/>
      <c r="B888" s="10"/>
      <c r="C888" s="10"/>
      <c r="D888" s="10"/>
      <c r="E888" s="10"/>
      <c r="F888" s="10"/>
      <c r="G888" s="10"/>
      <c r="H888" s="10"/>
      <c r="I888" s="10"/>
      <c r="J888" s="10"/>
      <c r="K888" s="10"/>
      <c r="L888" s="10"/>
      <c r="M888" s="10"/>
      <c r="N888" s="10"/>
      <c r="O888" s="10"/>
      <c r="P888" s="10"/>
      <c r="Q888" s="10"/>
      <c r="R888" s="10"/>
      <c r="S888" s="10"/>
      <c r="T888" s="10"/>
      <c r="U888" s="10"/>
      <c r="V888" s="10"/>
      <c r="W888" s="10"/>
      <c r="X888" s="10"/>
      <c r="Y888" s="10"/>
      <c r="Z888" s="10"/>
      <c r="AA888" s="10"/>
      <c r="AB888" s="10"/>
      <c r="AC888" s="10"/>
      <c r="AD888" s="10"/>
      <c r="AE888" s="10"/>
      <c r="AF888" s="10"/>
      <c r="AG888" s="14"/>
    </row>
    <row r="889" spans="1:33">
      <c r="A889" s="10"/>
      <c r="B889" s="10"/>
      <c r="C889" s="10"/>
      <c r="D889" s="10"/>
      <c r="E889" s="10"/>
      <c r="F889" s="10"/>
      <c r="G889" s="10"/>
      <c r="H889" s="10"/>
      <c r="I889" s="10"/>
      <c r="J889" s="10"/>
      <c r="K889" s="10"/>
      <c r="L889" s="10"/>
      <c r="M889" s="10"/>
      <c r="N889" s="10"/>
      <c r="O889" s="10"/>
      <c r="P889" s="10"/>
      <c r="Q889" s="10"/>
      <c r="R889" s="10"/>
      <c r="S889" s="10"/>
      <c r="T889" s="10"/>
      <c r="U889" s="10"/>
      <c r="V889" s="10"/>
      <c r="W889" s="10"/>
      <c r="X889" s="10"/>
      <c r="Y889" s="10"/>
      <c r="Z889" s="10"/>
      <c r="AA889" s="10"/>
      <c r="AB889" s="10"/>
      <c r="AC889" s="10"/>
      <c r="AD889" s="10"/>
      <c r="AE889" s="10"/>
      <c r="AF889" s="10"/>
      <c r="AG889" s="14"/>
    </row>
    <row r="890" spans="1:33">
      <c r="A890" s="10"/>
      <c r="B890" s="10"/>
      <c r="C890" s="10"/>
      <c r="D890" s="10"/>
      <c r="E890" s="10"/>
      <c r="F890" s="10"/>
      <c r="G890" s="10"/>
      <c r="H890" s="10"/>
      <c r="I890" s="10"/>
      <c r="J890" s="10"/>
      <c r="K890" s="10"/>
      <c r="L890" s="10"/>
      <c r="M890" s="10"/>
      <c r="N890" s="10"/>
      <c r="O890" s="10"/>
      <c r="P890" s="10"/>
      <c r="Q890" s="10"/>
      <c r="R890" s="10"/>
      <c r="S890" s="10"/>
      <c r="T890" s="10"/>
      <c r="U890" s="10"/>
      <c r="V890" s="10"/>
      <c r="W890" s="10"/>
      <c r="X890" s="10"/>
      <c r="Y890" s="10"/>
      <c r="Z890" s="10"/>
      <c r="AA890" s="10"/>
      <c r="AB890" s="10"/>
      <c r="AC890" s="10"/>
      <c r="AD890" s="10"/>
      <c r="AE890" s="10"/>
      <c r="AF890" s="10"/>
      <c r="AG890" s="14"/>
    </row>
    <row r="891" spans="1:33">
      <c r="A891" s="10"/>
      <c r="B891" s="10"/>
      <c r="C891" s="10"/>
      <c r="D891" s="10"/>
      <c r="E891" s="10"/>
      <c r="F891" s="10"/>
      <c r="G891" s="10"/>
      <c r="H891" s="10"/>
      <c r="I891" s="10"/>
      <c r="J891" s="10"/>
      <c r="K891" s="10"/>
      <c r="L891" s="10"/>
      <c r="M891" s="10"/>
      <c r="N891" s="10"/>
      <c r="O891" s="10"/>
      <c r="P891" s="10"/>
      <c r="Q891" s="10"/>
      <c r="R891" s="10"/>
      <c r="S891" s="10"/>
      <c r="T891" s="10"/>
      <c r="U891" s="10"/>
      <c r="V891" s="10"/>
      <c r="W891" s="10"/>
      <c r="X891" s="10"/>
      <c r="Y891" s="10"/>
      <c r="Z891" s="10"/>
      <c r="AA891" s="10"/>
      <c r="AB891" s="10"/>
      <c r="AC891" s="10"/>
      <c r="AD891" s="10"/>
      <c r="AE891" s="10"/>
      <c r="AF891" s="10"/>
      <c r="AG891" s="14"/>
    </row>
    <row r="892" spans="1:33">
      <c r="A892" s="10"/>
      <c r="B892" s="10"/>
      <c r="C892" s="10"/>
      <c r="D892" s="10"/>
      <c r="E892" s="10"/>
      <c r="F892" s="10"/>
      <c r="G892" s="10"/>
      <c r="H892" s="10"/>
      <c r="I892" s="10"/>
      <c r="J892" s="10"/>
      <c r="K892" s="10"/>
      <c r="L892" s="10"/>
      <c r="M892" s="10"/>
      <c r="N892" s="10"/>
      <c r="O892" s="10"/>
      <c r="P892" s="10"/>
      <c r="Q892" s="10"/>
      <c r="R892" s="10"/>
      <c r="S892" s="10"/>
      <c r="T892" s="10"/>
      <c r="U892" s="10"/>
      <c r="V892" s="10"/>
      <c r="W892" s="10"/>
      <c r="X892" s="10"/>
      <c r="Y892" s="10"/>
      <c r="Z892" s="10"/>
      <c r="AA892" s="10"/>
      <c r="AB892" s="10"/>
      <c r="AC892" s="10"/>
      <c r="AD892" s="10"/>
      <c r="AE892" s="10"/>
      <c r="AF892" s="10"/>
      <c r="AG892" s="14"/>
    </row>
    <row r="893" spans="1:33">
      <c r="A893" s="10"/>
      <c r="B893" s="10"/>
      <c r="C893" s="10"/>
      <c r="D893" s="10"/>
      <c r="E893" s="10"/>
      <c r="F893" s="10"/>
      <c r="G893" s="10"/>
      <c r="H893" s="10"/>
      <c r="I893" s="10"/>
      <c r="J893" s="10"/>
      <c r="K893" s="10"/>
      <c r="L893" s="10"/>
      <c r="M893" s="10"/>
      <c r="N893" s="10"/>
      <c r="O893" s="10"/>
      <c r="P893" s="10"/>
      <c r="Q893" s="10"/>
      <c r="R893" s="10"/>
      <c r="S893" s="10"/>
      <c r="T893" s="10"/>
      <c r="U893" s="10"/>
      <c r="V893" s="10"/>
      <c r="W893" s="10"/>
      <c r="X893" s="10"/>
      <c r="Y893" s="10"/>
      <c r="Z893" s="10"/>
      <c r="AA893" s="10"/>
      <c r="AB893" s="10"/>
      <c r="AC893" s="10"/>
      <c r="AD893" s="10"/>
      <c r="AE893" s="10"/>
      <c r="AF893" s="10"/>
      <c r="AG893" s="14"/>
    </row>
    <row r="894" spans="1:33">
      <c r="A894" s="10"/>
      <c r="B894" s="10"/>
      <c r="C894" s="10"/>
      <c r="D894" s="10"/>
      <c r="E894" s="10"/>
      <c r="F894" s="10"/>
      <c r="G894" s="10"/>
      <c r="H894" s="10"/>
      <c r="I894" s="10"/>
      <c r="J894" s="10"/>
      <c r="K894" s="10"/>
      <c r="L894" s="10"/>
      <c r="M894" s="10"/>
      <c r="N894" s="10"/>
      <c r="O894" s="10"/>
      <c r="P894" s="10"/>
      <c r="Q894" s="10"/>
      <c r="R894" s="10"/>
      <c r="S894" s="10"/>
      <c r="T894" s="10"/>
      <c r="U894" s="10"/>
      <c r="V894" s="10"/>
      <c r="W894" s="10"/>
      <c r="X894" s="10"/>
      <c r="Y894" s="10"/>
      <c r="Z894" s="10"/>
      <c r="AA894" s="10"/>
      <c r="AB894" s="10"/>
      <c r="AC894" s="10"/>
      <c r="AD894" s="10"/>
      <c r="AE894" s="10"/>
      <c r="AF894" s="10"/>
      <c r="AG894" s="14"/>
    </row>
    <row r="895" spans="1:33">
      <c r="A895" s="10"/>
      <c r="B895" s="10"/>
      <c r="C895" s="10"/>
      <c r="D895" s="10"/>
      <c r="E895" s="10"/>
      <c r="F895" s="10"/>
      <c r="G895" s="10"/>
      <c r="H895" s="10"/>
      <c r="I895" s="10"/>
      <c r="J895" s="10"/>
      <c r="K895" s="10"/>
      <c r="L895" s="10"/>
      <c r="M895" s="10"/>
      <c r="N895" s="10"/>
      <c r="O895" s="10"/>
      <c r="P895" s="10"/>
      <c r="Q895" s="10"/>
      <c r="R895" s="10"/>
      <c r="S895" s="10"/>
      <c r="T895" s="10"/>
      <c r="U895" s="10"/>
      <c r="V895" s="10"/>
      <c r="W895" s="10"/>
      <c r="X895" s="10"/>
      <c r="Y895" s="10"/>
      <c r="Z895" s="10"/>
      <c r="AA895" s="10"/>
      <c r="AB895" s="10"/>
      <c r="AC895" s="10"/>
      <c r="AD895" s="10"/>
      <c r="AE895" s="10"/>
      <c r="AF895" s="10"/>
      <c r="AG895" s="14"/>
    </row>
    <row r="896" spans="1:33">
      <c r="A896" s="10"/>
      <c r="B896" s="10"/>
      <c r="C896" s="10"/>
      <c r="D896" s="10"/>
      <c r="E896" s="10"/>
      <c r="F896" s="10"/>
      <c r="G896" s="10"/>
      <c r="H896" s="10"/>
      <c r="I896" s="10"/>
      <c r="J896" s="10"/>
      <c r="K896" s="10"/>
      <c r="L896" s="10"/>
      <c r="M896" s="10"/>
      <c r="N896" s="10"/>
      <c r="O896" s="10"/>
      <c r="P896" s="10"/>
      <c r="Q896" s="10"/>
      <c r="R896" s="10"/>
      <c r="S896" s="10"/>
      <c r="T896" s="10"/>
      <c r="U896" s="10"/>
      <c r="V896" s="10"/>
      <c r="W896" s="10"/>
      <c r="X896" s="10"/>
      <c r="Y896" s="10"/>
      <c r="Z896" s="10"/>
      <c r="AA896" s="10"/>
      <c r="AB896" s="10"/>
      <c r="AC896" s="10"/>
      <c r="AD896" s="10"/>
      <c r="AE896" s="10"/>
      <c r="AF896" s="10"/>
      <c r="AG896" s="14"/>
    </row>
    <row r="897" spans="1:33">
      <c r="A897" s="10"/>
      <c r="B897" s="10"/>
      <c r="C897" s="10"/>
      <c r="D897" s="10"/>
      <c r="E897" s="10"/>
      <c r="F897" s="10"/>
      <c r="G897" s="10"/>
      <c r="H897" s="10"/>
      <c r="I897" s="10"/>
      <c r="J897" s="10"/>
      <c r="K897" s="10"/>
      <c r="L897" s="10"/>
      <c r="M897" s="10"/>
      <c r="N897" s="10"/>
      <c r="O897" s="10"/>
      <c r="P897" s="10"/>
      <c r="Q897" s="10"/>
      <c r="R897" s="10"/>
      <c r="S897" s="10"/>
      <c r="T897" s="10"/>
      <c r="U897" s="10"/>
      <c r="V897" s="10"/>
      <c r="W897" s="10"/>
      <c r="X897" s="10"/>
      <c r="Y897" s="10"/>
      <c r="Z897" s="10"/>
      <c r="AA897" s="10"/>
      <c r="AB897" s="10"/>
      <c r="AC897" s="10"/>
      <c r="AD897" s="10"/>
      <c r="AE897" s="10"/>
      <c r="AF897" s="10"/>
      <c r="AG897" s="14"/>
    </row>
    <row r="898" spans="1:33">
      <c r="A898" s="10"/>
      <c r="B898" s="10"/>
      <c r="C898" s="10"/>
      <c r="D898" s="10"/>
      <c r="E898" s="10"/>
      <c r="F898" s="10"/>
      <c r="G898" s="10"/>
      <c r="H898" s="10"/>
      <c r="I898" s="10"/>
      <c r="J898" s="10"/>
      <c r="K898" s="10"/>
      <c r="L898" s="10"/>
      <c r="M898" s="10"/>
      <c r="N898" s="10"/>
      <c r="O898" s="10"/>
      <c r="P898" s="10"/>
      <c r="Q898" s="10"/>
      <c r="R898" s="10"/>
      <c r="S898" s="10"/>
      <c r="T898" s="10"/>
      <c r="U898" s="10"/>
      <c r="V898" s="10"/>
      <c r="W898" s="10"/>
      <c r="X898" s="10"/>
      <c r="Y898" s="10"/>
      <c r="Z898" s="10"/>
      <c r="AA898" s="10"/>
      <c r="AB898" s="10"/>
      <c r="AC898" s="10"/>
      <c r="AD898" s="10"/>
      <c r="AE898" s="10"/>
      <c r="AF898" s="10"/>
      <c r="AG898" s="14"/>
    </row>
    <row r="899" spans="1:33">
      <c r="A899" s="10"/>
      <c r="B899" s="10"/>
      <c r="C899" s="10"/>
      <c r="D899" s="10"/>
      <c r="E899" s="10"/>
      <c r="F899" s="10"/>
      <c r="G899" s="10"/>
      <c r="H899" s="10"/>
      <c r="I899" s="10"/>
      <c r="J899" s="10"/>
      <c r="K899" s="10"/>
      <c r="L899" s="10"/>
      <c r="M899" s="10"/>
      <c r="N899" s="10"/>
      <c r="O899" s="10"/>
      <c r="P899" s="10"/>
      <c r="Q899" s="10"/>
      <c r="R899" s="10"/>
      <c r="S899" s="10"/>
      <c r="T899" s="10"/>
      <c r="U899" s="10"/>
      <c r="V899" s="10"/>
      <c r="W899" s="10"/>
      <c r="X899" s="10"/>
      <c r="Y899" s="10"/>
      <c r="Z899" s="10"/>
      <c r="AA899" s="10"/>
      <c r="AB899" s="10"/>
      <c r="AC899" s="10"/>
      <c r="AD899" s="10"/>
      <c r="AE899" s="10"/>
      <c r="AF899" s="10"/>
      <c r="AG899" s="14"/>
    </row>
    <row r="900" spans="1:33">
      <c r="A900" s="10"/>
      <c r="B900" s="10"/>
      <c r="C900" s="10"/>
      <c r="D900" s="10"/>
      <c r="E900" s="10"/>
      <c r="F900" s="10"/>
      <c r="G900" s="10"/>
      <c r="H900" s="10"/>
      <c r="I900" s="10"/>
      <c r="J900" s="10"/>
      <c r="K900" s="10"/>
      <c r="L900" s="10"/>
      <c r="M900" s="10"/>
      <c r="N900" s="10"/>
      <c r="O900" s="10"/>
      <c r="P900" s="10"/>
      <c r="Q900" s="10"/>
      <c r="R900" s="10"/>
      <c r="S900" s="10"/>
      <c r="T900" s="10"/>
      <c r="U900" s="10"/>
      <c r="V900" s="10"/>
      <c r="W900" s="10"/>
      <c r="X900" s="10"/>
      <c r="Y900" s="10"/>
      <c r="Z900" s="10"/>
      <c r="AA900" s="10"/>
      <c r="AB900" s="10"/>
      <c r="AC900" s="10"/>
      <c r="AD900" s="10"/>
      <c r="AE900" s="10"/>
      <c r="AF900" s="10"/>
      <c r="AG900" s="14"/>
    </row>
    <row r="901" spans="1:33">
      <c r="A901" s="10"/>
      <c r="B901" s="10"/>
      <c r="C901" s="10"/>
      <c r="D901" s="10"/>
      <c r="E901" s="10"/>
      <c r="F901" s="10"/>
      <c r="G901" s="10"/>
      <c r="H901" s="10"/>
      <c r="I901" s="10"/>
      <c r="J901" s="10"/>
      <c r="K901" s="10"/>
      <c r="L901" s="10"/>
      <c r="M901" s="10"/>
      <c r="N901" s="10"/>
      <c r="O901" s="10"/>
      <c r="P901" s="10"/>
      <c r="Q901" s="10"/>
      <c r="R901" s="10"/>
      <c r="S901" s="10"/>
      <c r="T901" s="10"/>
      <c r="U901" s="10"/>
      <c r="V901" s="10"/>
      <c r="W901" s="10"/>
      <c r="X901" s="10"/>
      <c r="Y901" s="10"/>
      <c r="Z901" s="10"/>
      <c r="AA901" s="10"/>
      <c r="AB901" s="10"/>
      <c r="AC901" s="10"/>
      <c r="AD901" s="10"/>
      <c r="AE901" s="10"/>
      <c r="AF901" s="10"/>
      <c r="AG901" s="14"/>
    </row>
    <row r="902" spans="1:33">
      <c r="A902" s="10"/>
      <c r="B902" s="10"/>
      <c r="C902" s="10"/>
      <c r="D902" s="10"/>
      <c r="E902" s="10"/>
      <c r="F902" s="10"/>
      <c r="G902" s="10"/>
      <c r="H902" s="10"/>
      <c r="I902" s="10"/>
      <c r="J902" s="10"/>
      <c r="K902" s="10"/>
      <c r="L902" s="10"/>
      <c r="M902" s="10"/>
      <c r="N902" s="10"/>
      <c r="O902" s="10"/>
      <c r="P902" s="10"/>
      <c r="Q902" s="10"/>
      <c r="R902" s="10"/>
      <c r="S902" s="10"/>
      <c r="T902" s="10"/>
      <c r="U902" s="10"/>
      <c r="V902" s="10"/>
      <c r="W902" s="10"/>
      <c r="X902" s="10"/>
      <c r="Y902" s="10"/>
      <c r="Z902" s="10"/>
      <c r="AA902" s="10"/>
      <c r="AB902" s="10"/>
      <c r="AC902" s="10"/>
      <c r="AD902" s="10"/>
      <c r="AE902" s="10"/>
      <c r="AF902" s="10"/>
      <c r="AG902" s="14"/>
    </row>
    <row r="903" spans="1:33">
      <c r="A903" s="10"/>
      <c r="B903" s="10"/>
      <c r="C903" s="10"/>
      <c r="D903" s="10"/>
      <c r="E903" s="10"/>
      <c r="F903" s="10"/>
      <c r="G903" s="10"/>
      <c r="H903" s="10"/>
      <c r="I903" s="10"/>
      <c r="J903" s="10"/>
      <c r="K903" s="10"/>
      <c r="L903" s="10"/>
      <c r="M903" s="10"/>
      <c r="N903" s="10"/>
      <c r="O903" s="10"/>
      <c r="P903" s="10"/>
      <c r="Q903" s="10"/>
      <c r="R903" s="10"/>
      <c r="S903" s="10"/>
      <c r="T903" s="10"/>
      <c r="U903" s="10"/>
      <c r="V903" s="10"/>
      <c r="W903" s="10"/>
      <c r="X903" s="10"/>
      <c r="Y903" s="10"/>
      <c r="Z903" s="10"/>
      <c r="AA903" s="10"/>
      <c r="AB903" s="10"/>
      <c r="AC903" s="10"/>
      <c r="AD903" s="10"/>
      <c r="AE903" s="10"/>
      <c r="AF903" s="10"/>
      <c r="AG903" s="14"/>
    </row>
    <row r="904" spans="1:33">
      <c r="A904" s="10"/>
      <c r="B904" s="10"/>
      <c r="C904" s="10"/>
      <c r="D904" s="10"/>
      <c r="E904" s="10"/>
      <c r="F904" s="10"/>
      <c r="G904" s="10"/>
      <c r="H904" s="10"/>
      <c r="I904" s="10"/>
      <c r="J904" s="10"/>
      <c r="K904" s="10"/>
      <c r="L904" s="10"/>
      <c r="M904" s="10"/>
      <c r="N904" s="10"/>
      <c r="O904" s="10"/>
      <c r="P904" s="10"/>
      <c r="Q904" s="10"/>
      <c r="R904" s="10"/>
      <c r="S904" s="10"/>
      <c r="T904" s="10"/>
      <c r="U904" s="10"/>
      <c r="V904" s="10"/>
      <c r="W904" s="10"/>
      <c r="X904" s="10"/>
      <c r="Y904" s="10"/>
      <c r="Z904" s="10"/>
      <c r="AA904" s="10"/>
      <c r="AB904" s="10"/>
      <c r="AC904" s="10"/>
      <c r="AD904" s="10"/>
      <c r="AE904" s="10"/>
      <c r="AF904" s="10"/>
      <c r="AG904" s="14"/>
    </row>
    <row r="905" spans="1:33">
      <c r="A905" s="10"/>
      <c r="B905" s="10"/>
      <c r="C905" s="10"/>
      <c r="D905" s="10"/>
      <c r="E905" s="10"/>
      <c r="F905" s="10"/>
      <c r="G905" s="10"/>
      <c r="H905" s="10"/>
      <c r="I905" s="10"/>
      <c r="J905" s="10"/>
      <c r="K905" s="10"/>
      <c r="L905" s="10"/>
      <c r="M905" s="10"/>
      <c r="N905" s="10"/>
      <c r="O905" s="10"/>
      <c r="P905" s="10"/>
      <c r="Q905" s="10"/>
      <c r="R905" s="10"/>
      <c r="S905" s="10"/>
      <c r="T905" s="10"/>
      <c r="U905" s="10"/>
      <c r="V905" s="10"/>
      <c r="W905" s="10"/>
      <c r="X905" s="10"/>
      <c r="Y905" s="10"/>
      <c r="Z905" s="10"/>
      <c r="AA905" s="10"/>
      <c r="AB905" s="10"/>
      <c r="AC905" s="10"/>
      <c r="AD905" s="10"/>
      <c r="AE905" s="10"/>
      <c r="AF905" s="10"/>
      <c r="AG905" s="14"/>
    </row>
    <row r="906" spans="1:33">
      <c r="A906" s="10"/>
      <c r="B906" s="10"/>
      <c r="C906" s="10"/>
      <c r="D906" s="10"/>
      <c r="E906" s="10"/>
      <c r="F906" s="10"/>
      <c r="G906" s="10"/>
      <c r="H906" s="10"/>
      <c r="I906" s="10"/>
      <c r="J906" s="10"/>
      <c r="K906" s="10"/>
      <c r="L906" s="10"/>
      <c r="M906" s="10"/>
      <c r="N906" s="10"/>
      <c r="O906" s="10"/>
      <c r="P906" s="10"/>
      <c r="Q906" s="10"/>
      <c r="R906" s="10"/>
      <c r="S906" s="10"/>
      <c r="T906" s="10"/>
      <c r="U906" s="10"/>
      <c r="V906" s="10"/>
      <c r="W906" s="10"/>
      <c r="X906" s="10"/>
      <c r="Y906" s="10"/>
      <c r="Z906" s="10"/>
      <c r="AA906" s="10"/>
      <c r="AB906" s="10"/>
      <c r="AC906" s="10"/>
      <c r="AD906" s="10"/>
      <c r="AE906" s="10"/>
      <c r="AF906" s="10"/>
      <c r="AG906" s="14"/>
    </row>
    <row r="907" spans="1:33">
      <c r="A907" s="10"/>
      <c r="B907" s="10"/>
      <c r="C907" s="10"/>
      <c r="D907" s="10"/>
      <c r="E907" s="10"/>
      <c r="F907" s="10"/>
      <c r="G907" s="10"/>
      <c r="H907" s="10"/>
      <c r="I907" s="10"/>
      <c r="J907" s="10"/>
      <c r="K907" s="10"/>
      <c r="L907" s="10"/>
      <c r="M907" s="10"/>
      <c r="N907" s="10"/>
      <c r="O907" s="10"/>
      <c r="P907" s="10"/>
      <c r="Q907" s="10"/>
      <c r="R907" s="10"/>
      <c r="S907" s="10"/>
      <c r="T907" s="10"/>
      <c r="U907" s="10"/>
      <c r="V907" s="10"/>
      <c r="W907" s="10"/>
      <c r="X907" s="10"/>
      <c r="Y907" s="10"/>
      <c r="Z907" s="10"/>
      <c r="AA907" s="10"/>
      <c r="AB907" s="10"/>
      <c r="AC907" s="10"/>
      <c r="AD907" s="10"/>
      <c r="AE907" s="10"/>
      <c r="AF907" s="10"/>
      <c r="AG907" s="14"/>
    </row>
    <row r="908" spans="1:33">
      <c r="A908" s="10"/>
      <c r="B908" s="10"/>
      <c r="C908" s="10"/>
      <c r="D908" s="10"/>
      <c r="E908" s="10"/>
      <c r="F908" s="10"/>
      <c r="G908" s="10"/>
      <c r="H908" s="10"/>
      <c r="I908" s="10"/>
      <c r="J908" s="10"/>
      <c r="K908" s="10"/>
      <c r="L908" s="10"/>
      <c r="M908" s="10"/>
      <c r="N908" s="10"/>
      <c r="O908" s="10"/>
      <c r="P908" s="10"/>
      <c r="Q908" s="10"/>
      <c r="R908" s="10"/>
      <c r="S908" s="10"/>
      <c r="T908" s="10"/>
      <c r="U908" s="10"/>
      <c r="V908" s="10"/>
      <c r="W908" s="10"/>
      <c r="X908" s="10"/>
      <c r="Y908" s="10"/>
      <c r="Z908" s="10"/>
      <c r="AA908" s="10"/>
      <c r="AB908" s="10"/>
      <c r="AC908" s="10"/>
      <c r="AD908" s="10"/>
      <c r="AE908" s="10"/>
      <c r="AF908" s="10"/>
      <c r="AG908" s="14"/>
    </row>
    <row r="909" spans="1:33">
      <c r="A909" s="10"/>
      <c r="B909" s="10"/>
      <c r="C909" s="10"/>
      <c r="D909" s="10"/>
      <c r="E909" s="10"/>
      <c r="F909" s="10"/>
      <c r="G909" s="10"/>
      <c r="H909" s="10"/>
      <c r="I909" s="10"/>
      <c r="J909" s="10"/>
      <c r="K909" s="10"/>
      <c r="L909" s="10"/>
      <c r="M909" s="10"/>
      <c r="N909" s="10"/>
      <c r="O909" s="10"/>
      <c r="P909" s="10"/>
      <c r="Q909" s="10"/>
      <c r="R909" s="10"/>
      <c r="S909" s="10"/>
      <c r="T909" s="10"/>
      <c r="U909" s="10"/>
      <c r="V909" s="10"/>
      <c r="W909" s="10"/>
      <c r="X909" s="10"/>
      <c r="Y909" s="10"/>
      <c r="Z909" s="10"/>
      <c r="AA909" s="10"/>
      <c r="AB909" s="10"/>
      <c r="AC909" s="10"/>
      <c r="AD909" s="10"/>
      <c r="AE909" s="10"/>
      <c r="AF909" s="10"/>
      <c r="AG909" s="14"/>
    </row>
    <row r="910" spans="1:33">
      <c r="A910" s="10"/>
      <c r="B910" s="10"/>
      <c r="C910" s="10"/>
      <c r="D910" s="10"/>
      <c r="E910" s="10"/>
      <c r="F910" s="10"/>
      <c r="G910" s="10"/>
      <c r="H910" s="10"/>
      <c r="I910" s="10"/>
      <c r="J910" s="10"/>
      <c r="K910" s="10"/>
      <c r="L910" s="10"/>
      <c r="M910" s="10"/>
      <c r="N910" s="10"/>
      <c r="O910" s="10"/>
      <c r="P910" s="10"/>
      <c r="Q910" s="10"/>
      <c r="R910" s="10"/>
      <c r="S910" s="10"/>
      <c r="T910" s="10"/>
      <c r="U910" s="10"/>
      <c r="V910" s="10"/>
      <c r="W910" s="10"/>
      <c r="X910" s="10"/>
      <c r="Y910" s="10"/>
      <c r="Z910" s="10"/>
      <c r="AA910" s="10"/>
      <c r="AB910" s="10"/>
      <c r="AC910" s="10"/>
      <c r="AD910" s="10"/>
      <c r="AE910" s="10"/>
      <c r="AF910" s="10"/>
      <c r="AG910" s="14"/>
    </row>
    <row r="911" spans="1:33">
      <c r="A911" s="10"/>
      <c r="B911" s="10"/>
      <c r="C911" s="10"/>
      <c r="D911" s="10"/>
      <c r="E911" s="10"/>
      <c r="F911" s="10"/>
      <c r="G911" s="10"/>
      <c r="H911" s="10"/>
      <c r="I911" s="10"/>
      <c r="J911" s="10"/>
      <c r="K911" s="10"/>
      <c r="L911" s="10"/>
      <c r="M911" s="10"/>
      <c r="N911" s="10"/>
      <c r="O911" s="10"/>
      <c r="P911" s="10"/>
      <c r="Q911" s="10"/>
      <c r="R911" s="10"/>
      <c r="S911" s="10"/>
      <c r="T911" s="10"/>
      <c r="U911" s="10"/>
      <c r="V911" s="10"/>
      <c r="W911" s="10"/>
      <c r="X911" s="10"/>
      <c r="Y911" s="10"/>
      <c r="Z911" s="10"/>
      <c r="AA911" s="10"/>
      <c r="AB911" s="10"/>
      <c r="AC911" s="10"/>
      <c r="AD911" s="10"/>
      <c r="AE911" s="10"/>
      <c r="AF911" s="10"/>
      <c r="AG911" s="14"/>
    </row>
    <row r="912" spans="1:33">
      <c r="A912" s="10"/>
      <c r="B912" s="10"/>
      <c r="C912" s="10"/>
      <c r="D912" s="10"/>
      <c r="E912" s="10"/>
      <c r="F912" s="10"/>
      <c r="G912" s="10"/>
      <c r="H912" s="10"/>
      <c r="I912" s="10"/>
      <c r="J912" s="10"/>
      <c r="K912" s="10"/>
      <c r="L912" s="10"/>
      <c r="M912" s="10"/>
      <c r="N912" s="10"/>
      <c r="O912" s="10"/>
      <c r="P912" s="10"/>
      <c r="Q912" s="10"/>
      <c r="R912" s="10"/>
      <c r="S912" s="10"/>
      <c r="T912" s="10"/>
      <c r="U912" s="10"/>
      <c r="V912" s="10"/>
      <c r="W912" s="10"/>
      <c r="X912" s="10"/>
      <c r="Y912" s="10"/>
      <c r="Z912" s="10"/>
      <c r="AA912" s="10"/>
      <c r="AB912" s="10"/>
      <c r="AC912" s="10"/>
      <c r="AD912" s="10"/>
      <c r="AE912" s="10"/>
      <c r="AF912" s="10"/>
      <c r="AG912" s="14"/>
    </row>
    <row r="913" spans="1:33">
      <c r="A913" s="10"/>
      <c r="B913" s="10"/>
      <c r="C913" s="10"/>
      <c r="D913" s="10"/>
      <c r="E913" s="10"/>
      <c r="F913" s="10"/>
      <c r="G913" s="10"/>
      <c r="H913" s="10"/>
      <c r="I913" s="10"/>
      <c r="J913" s="10"/>
      <c r="K913" s="10"/>
      <c r="L913" s="10"/>
      <c r="M913" s="10"/>
      <c r="N913" s="10"/>
      <c r="O913" s="10"/>
      <c r="P913" s="10"/>
      <c r="Q913" s="10"/>
      <c r="R913" s="10"/>
      <c r="S913" s="10"/>
      <c r="T913" s="10"/>
      <c r="U913" s="10"/>
      <c r="V913" s="10"/>
      <c r="W913" s="10"/>
      <c r="X913" s="10"/>
      <c r="Y913" s="10"/>
      <c r="Z913" s="10"/>
      <c r="AA913" s="10"/>
      <c r="AB913" s="10"/>
      <c r="AC913" s="10"/>
      <c r="AD913" s="10"/>
      <c r="AE913" s="10"/>
      <c r="AF913" s="10"/>
      <c r="AG913" s="14"/>
    </row>
    <row r="914" spans="1:33">
      <c r="A914" s="10"/>
      <c r="B914" s="10"/>
      <c r="C914" s="10"/>
      <c r="D914" s="10"/>
      <c r="E914" s="10"/>
      <c r="F914" s="10"/>
      <c r="G914" s="10"/>
      <c r="H914" s="10"/>
      <c r="I914" s="10"/>
      <c r="J914" s="10"/>
      <c r="K914" s="10"/>
      <c r="L914" s="10"/>
      <c r="M914" s="10"/>
      <c r="N914" s="10"/>
      <c r="O914" s="10"/>
      <c r="P914" s="10"/>
      <c r="Q914" s="10"/>
      <c r="R914" s="10"/>
      <c r="S914" s="10"/>
      <c r="T914" s="10"/>
      <c r="U914" s="10"/>
      <c r="V914" s="10"/>
      <c r="W914" s="10"/>
      <c r="X914" s="10"/>
      <c r="Y914" s="10"/>
      <c r="Z914" s="10"/>
      <c r="AA914" s="10"/>
      <c r="AB914" s="10"/>
      <c r="AC914" s="10"/>
      <c r="AD914" s="10"/>
      <c r="AE914" s="10"/>
      <c r="AF914" s="10"/>
      <c r="AG914" s="14"/>
    </row>
    <row r="915" spans="1:33">
      <c r="A915" s="10"/>
      <c r="B915" s="10"/>
      <c r="C915" s="10"/>
      <c r="D915" s="10"/>
      <c r="E915" s="10"/>
      <c r="F915" s="10"/>
      <c r="G915" s="10"/>
      <c r="H915" s="10"/>
      <c r="I915" s="10"/>
      <c r="J915" s="10"/>
      <c r="K915" s="10"/>
      <c r="L915" s="10"/>
      <c r="M915" s="10"/>
      <c r="N915" s="10"/>
      <c r="O915" s="10"/>
      <c r="P915" s="10"/>
      <c r="Q915" s="10"/>
      <c r="R915" s="10"/>
      <c r="S915" s="10"/>
      <c r="T915" s="10"/>
      <c r="U915" s="10"/>
      <c r="V915" s="10"/>
      <c r="W915" s="10"/>
      <c r="X915" s="10"/>
      <c r="Y915" s="10"/>
      <c r="Z915" s="10"/>
      <c r="AA915" s="10"/>
      <c r="AB915" s="10"/>
      <c r="AC915" s="10"/>
      <c r="AD915" s="10"/>
      <c r="AE915" s="10"/>
      <c r="AF915" s="10"/>
      <c r="AG915" s="14"/>
    </row>
    <row r="916" spans="1:33">
      <c r="A916" s="10"/>
      <c r="B916" s="10"/>
      <c r="C916" s="10"/>
      <c r="D916" s="10"/>
      <c r="E916" s="10"/>
      <c r="F916" s="10"/>
      <c r="G916" s="10"/>
      <c r="H916" s="10"/>
      <c r="I916" s="10"/>
      <c r="J916" s="10"/>
      <c r="K916" s="10"/>
      <c r="L916" s="10"/>
      <c r="M916" s="10"/>
      <c r="N916" s="10"/>
      <c r="O916" s="10"/>
      <c r="P916" s="10"/>
      <c r="Q916" s="10"/>
      <c r="R916" s="10"/>
      <c r="S916" s="10"/>
      <c r="T916" s="10"/>
      <c r="U916" s="10"/>
      <c r="V916" s="10"/>
      <c r="W916" s="10"/>
      <c r="X916" s="10"/>
      <c r="Y916" s="10"/>
      <c r="Z916" s="10"/>
      <c r="AA916" s="10"/>
      <c r="AB916" s="10"/>
      <c r="AC916" s="10"/>
      <c r="AD916" s="10"/>
      <c r="AE916" s="10"/>
      <c r="AF916" s="10"/>
      <c r="AG916" s="14"/>
    </row>
    <row r="917" spans="1:33">
      <c r="A917" s="10"/>
      <c r="B917" s="10"/>
      <c r="C917" s="10"/>
      <c r="D917" s="10"/>
      <c r="E917" s="10"/>
      <c r="F917" s="10"/>
      <c r="G917" s="10"/>
      <c r="H917" s="10"/>
      <c r="I917" s="10"/>
      <c r="J917" s="10"/>
      <c r="K917" s="10"/>
      <c r="L917" s="10"/>
      <c r="M917" s="10"/>
      <c r="N917" s="10"/>
      <c r="O917" s="10"/>
      <c r="P917" s="10"/>
      <c r="Q917" s="10"/>
      <c r="R917" s="10"/>
      <c r="S917" s="10"/>
      <c r="T917" s="10"/>
      <c r="U917" s="10"/>
      <c r="V917" s="10"/>
      <c r="W917" s="10"/>
      <c r="X917" s="10"/>
      <c r="Y917" s="10"/>
      <c r="Z917" s="10"/>
      <c r="AA917" s="10"/>
      <c r="AB917" s="10"/>
      <c r="AC917" s="10"/>
      <c r="AD917" s="10"/>
      <c r="AE917" s="10"/>
      <c r="AF917" s="10"/>
      <c r="AG917" s="14"/>
    </row>
    <row r="918" spans="1:33">
      <c r="A918" s="10"/>
      <c r="B918" s="10"/>
      <c r="C918" s="10"/>
      <c r="D918" s="10"/>
      <c r="E918" s="10"/>
      <c r="F918" s="10"/>
      <c r="G918" s="10"/>
      <c r="H918" s="10"/>
      <c r="I918" s="10"/>
      <c r="J918" s="10"/>
      <c r="K918" s="10"/>
      <c r="L918" s="10"/>
      <c r="M918" s="10"/>
      <c r="N918" s="10"/>
      <c r="O918" s="10"/>
      <c r="P918" s="10"/>
      <c r="Q918" s="10"/>
      <c r="R918" s="10"/>
      <c r="S918" s="10"/>
      <c r="T918" s="10"/>
      <c r="U918" s="10"/>
      <c r="V918" s="10"/>
      <c r="W918" s="10"/>
      <c r="X918" s="10"/>
      <c r="Y918" s="10"/>
      <c r="Z918" s="10"/>
      <c r="AA918" s="10"/>
      <c r="AB918" s="10"/>
      <c r="AC918" s="10"/>
      <c r="AD918" s="10"/>
      <c r="AE918" s="10"/>
      <c r="AF918" s="10"/>
      <c r="AG918" s="14"/>
    </row>
    <row r="919" spans="1:33">
      <c r="A919" s="10"/>
      <c r="B919" s="10"/>
      <c r="C919" s="10"/>
      <c r="D919" s="10"/>
      <c r="E919" s="10"/>
      <c r="F919" s="10"/>
      <c r="G919" s="10"/>
      <c r="H919" s="10"/>
      <c r="I919" s="10"/>
      <c r="J919" s="10"/>
      <c r="K919" s="10"/>
      <c r="L919" s="10"/>
      <c r="M919" s="10"/>
      <c r="N919" s="10"/>
      <c r="O919" s="10"/>
      <c r="P919" s="10"/>
      <c r="Q919" s="10"/>
      <c r="R919" s="10"/>
      <c r="S919" s="10"/>
      <c r="T919" s="10"/>
      <c r="U919" s="10"/>
      <c r="V919" s="10"/>
      <c r="W919" s="10"/>
      <c r="X919" s="10"/>
      <c r="Y919" s="10"/>
      <c r="Z919" s="10"/>
      <c r="AA919" s="10"/>
      <c r="AB919" s="10"/>
      <c r="AC919" s="10"/>
      <c r="AD919" s="10"/>
      <c r="AE919" s="10"/>
      <c r="AF919" s="10"/>
      <c r="AG919" s="14"/>
    </row>
    <row r="920" spans="1:33">
      <c r="A920" s="10"/>
      <c r="B920" s="10"/>
      <c r="C920" s="10"/>
      <c r="D920" s="10"/>
      <c r="E920" s="10"/>
      <c r="F920" s="10"/>
      <c r="G920" s="10"/>
      <c r="H920" s="10"/>
      <c r="I920" s="10"/>
      <c r="J920" s="10"/>
      <c r="K920" s="10"/>
      <c r="L920" s="10"/>
      <c r="M920" s="10"/>
      <c r="N920" s="10"/>
      <c r="O920" s="10"/>
      <c r="P920" s="10"/>
      <c r="Q920" s="10"/>
      <c r="R920" s="10"/>
      <c r="S920" s="10"/>
      <c r="T920" s="10"/>
      <c r="U920" s="10"/>
      <c r="V920" s="10"/>
      <c r="W920" s="10"/>
      <c r="X920" s="10"/>
      <c r="Y920" s="10"/>
      <c r="Z920" s="10"/>
      <c r="AA920" s="10"/>
      <c r="AB920" s="10"/>
      <c r="AC920" s="10"/>
      <c r="AD920" s="10"/>
      <c r="AE920" s="10"/>
      <c r="AF920" s="10"/>
      <c r="AG920" s="14"/>
    </row>
    <row r="921" spans="1:33">
      <c r="A921" s="10"/>
      <c r="B921" s="10"/>
      <c r="C921" s="10"/>
      <c r="D921" s="10"/>
      <c r="E921" s="10"/>
      <c r="F921" s="10"/>
      <c r="G921" s="10"/>
      <c r="H921" s="10"/>
      <c r="I921" s="10"/>
      <c r="J921" s="10"/>
      <c r="K921" s="10"/>
      <c r="L921" s="10"/>
      <c r="M921" s="10"/>
      <c r="N921" s="10"/>
      <c r="O921" s="10"/>
      <c r="P921" s="10"/>
      <c r="Q921" s="10"/>
      <c r="R921" s="10"/>
      <c r="S921" s="10"/>
      <c r="T921" s="10"/>
      <c r="U921" s="10"/>
      <c r="V921" s="10"/>
      <c r="W921" s="10"/>
      <c r="X921" s="10"/>
      <c r="Y921" s="10"/>
      <c r="Z921" s="10"/>
      <c r="AA921" s="10"/>
      <c r="AB921" s="10"/>
      <c r="AC921" s="10"/>
      <c r="AD921" s="10"/>
      <c r="AE921" s="10"/>
      <c r="AF921" s="10"/>
      <c r="AG921" s="14"/>
    </row>
    <row r="922" spans="1:33">
      <c r="A922" s="10"/>
      <c r="B922" s="10"/>
      <c r="C922" s="10"/>
      <c r="D922" s="10"/>
      <c r="E922" s="10"/>
      <c r="F922" s="10"/>
      <c r="G922" s="10"/>
      <c r="H922" s="10"/>
      <c r="I922" s="10"/>
      <c r="J922" s="10"/>
      <c r="K922" s="10"/>
      <c r="L922" s="10"/>
      <c r="M922" s="10"/>
      <c r="N922" s="10"/>
      <c r="O922" s="10"/>
      <c r="P922" s="10"/>
      <c r="Q922" s="10"/>
      <c r="R922" s="10"/>
      <c r="S922" s="10"/>
      <c r="T922" s="10"/>
      <c r="U922" s="10"/>
      <c r="V922" s="10"/>
      <c r="W922" s="10"/>
      <c r="X922" s="10"/>
      <c r="Y922" s="10"/>
      <c r="Z922" s="10"/>
      <c r="AA922" s="10"/>
      <c r="AB922" s="10"/>
      <c r="AC922" s="10"/>
      <c r="AD922" s="10"/>
      <c r="AE922" s="10"/>
      <c r="AF922" s="10"/>
      <c r="AG922" s="14"/>
    </row>
    <row r="923" spans="1:33">
      <c r="A923" s="10"/>
      <c r="B923" s="10"/>
      <c r="C923" s="10"/>
      <c r="D923" s="10"/>
      <c r="E923" s="10"/>
      <c r="F923" s="10"/>
      <c r="G923" s="10"/>
      <c r="H923" s="10"/>
      <c r="I923" s="10"/>
      <c r="J923" s="10"/>
      <c r="K923" s="10"/>
      <c r="L923" s="10"/>
      <c r="M923" s="10"/>
      <c r="N923" s="10"/>
      <c r="O923" s="10"/>
      <c r="P923" s="10"/>
      <c r="Q923" s="10"/>
      <c r="R923" s="10"/>
      <c r="S923" s="10"/>
      <c r="T923" s="10"/>
      <c r="U923" s="10"/>
      <c r="V923" s="10"/>
      <c r="W923" s="10"/>
      <c r="X923" s="10"/>
      <c r="Y923" s="10"/>
      <c r="Z923" s="10"/>
      <c r="AA923" s="10"/>
      <c r="AB923" s="10"/>
      <c r="AC923" s="10"/>
      <c r="AD923" s="10"/>
      <c r="AE923" s="10"/>
      <c r="AF923" s="10"/>
      <c r="AG923" s="14"/>
    </row>
    <row r="924" spans="1:33">
      <c r="A924" s="10"/>
      <c r="B924" s="10"/>
      <c r="C924" s="10"/>
      <c r="D924" s="10"/>
      <c r="E924" s="10"/>
      <c r="F924" s="10"/>
      <c r="G924" s="10"/>
      <c r="H924" s="10"/>
      <c r="I924" s="10"/>
      <c r="J924" s="10"/>
      <c r="K924" s="10"/>
      <c r="L924" s="10"/>
      <c r="M924" s="10"/>
      <c r="N924" s="10"/>
      <c r="O924" s="10"/>
      <c r="P924" s="10"/>
      <c r="Q924" s="10"/>
      <c r="R924" s="10"/>
      <c r="S924" s="10"/>
      <c r="T924" s="10"/>
      <c r="U924" s="10"/>
      <c r="V924" s="10"/>
      <c r="W924" s="10"/>
      <c r="X924" s="10"/>
      <c r="Y924" s="10"/>
      <c r="Z924" s="10"/>
      <c r="AA924" s="10"/>
      <c r="AB924" s="10"/>
      <c r="AC924" s="10"/>
      <c r="AD924" s="10"/>
      <c r="AE924" s="10"/>
      <c r="AF924" s="10"/>
      <c r="AG924" s="14"/>
    </row>
    <row r="925" spans="1:33">
      <c r="A925" s="10"/>
      <c r="B925" s="10"/>
      <c r="C925" s="10"/>
      <c r="D925" s="10"/>
      <c r="E925" s="10"/>
      <c r="F925" s="10"/>
      <c r="G925" s="10"/>
      <c r="H925" s="10"/>
      <c r="I925" s="10"/>
      <c r="J925" s="10"/>
      <c r="K925" s="10"/>
      <c r="L925" s="10"/>
      <c r="M925" s="10"/>
      <c r="N925" s="10"/>
      <c r="O925" s="10"/>
      <c r="P925" s="10"/>
      <c r="Q925" s="10"/>
      <c r="R925" s="10"/>
      <c r="S925" s="10"/>
      <c r="T925" s="10"/>
      <c r="U925" s="10"/>
      <c r="V925" s="10"/>
      <c r="W925" s="10"/>
      <c r="X925" s="10"/>
      <c r="Y925" s="10"/>
      <c r="Z925" s="10"/>
      <c r="AA925" s="10"/>
      <c r="AB925" s="10"/>
      <c r="AC925" s="10"/>
      <c r="AD925" s="10"/>
      <c r="AE925" s="10"/>
      <c r="AF925" s="10"/>
      <c r="AG925" s="14"/>
    </row>
    <row r="926" spans="1:33">
      <c r="A926" s="10"/>
      <c r="B926" s="10"/>
      <c r="C926" s="10"/>
      <c r="D926" s="10"/>
      <c r="E926" s="10"/>
      <c r="F926" s="10"/>
      <c r="G926" s="10"/>
      <c r="H926" s="10"/>
      <c r="I926" s="10"/>
      <c r="J926" s="10"/>
      <c r="K926" s="10"/>
      <c r="L926" s="10"/>
      <c r="M926" s="10"/>
      <c r="N926" s="10"/>
      <c r="O926" s="10"/>
      <c r="P926" s="10"/>
      <c r="Q926" s="10"/>
      <c r="R926" s="10"/>
      <c r="S926" s="10"/>
      <c r="T926" s="10"/>
      <c r="U926" s="10"/>
      <c r="V926" s="10"/>
      <c r="W926" s="10"/>
      <c r="X926" s="10"/>
      <c r="Y926" s="10"/>
      <c r="Z926" s="10"/>
      <c r="AA926" s="10"/>
      <c r="AB926" s="10"/>
      <c r="AC926" s="10"/>
      <c r="AD926" s="10"/>
      <c r="AE926" s="10"/>
      <c r="AF926" s="10"/>
      <c r="AG926" s="14"/>
    </row>
    <row r="927" spans="1:33">
      <c r="A927" s="10"/>
      <c r="B927" s="10"/>
      <c r="C927" s="10"/>
      <c r="D927" s="10"/>
      <c r="E927" s="10"/>
      <c r="F927" s="10"/>
      <c r="G927" s="10"/>
      <c r="H927" s="10"/>
      <c r="I927" s="10"/>
      <c r="J927" s="10"/>
      <c r="K927" s="10"/>
      <c r="L927" s="10"/>
      <c r="M927" s="10"/>
      <c r="N927" s="10"/>
      <c r="O927" s="10"/>
      <c r="P927" s="10"/>
      <c r="Q927" s="10"/>
      <c r="R927" s="10"/>
      <c r="S927" s="10"/>
      <c r="T927" s="10"/>
      <c r="U927" s="10"/>
      <c r="V927" s="10"/>
      <c r="W927" s="10"/>
      <c r="X927" s="10"/>
      <c r="Y927" s="10"/>
      <c r="Z927" s="10"/>
      <c r="AA927" s="10"/>
      <c r="AB927" s="10"/>
      <c r="AC927" s="10"/>
      <c r="AD927" s="10"/>
      <c r="AE927" s="10"/>
      <c r="AF927" s="10"/>
      <c r="AG927" s="14"/>
    </row>
    <row r="928" spans="1:33">
      <c r="A928" s="10"/>
      <c r="B928" s="10"/>
      <c r="C928" s="10"/>
      <c r="D928" s="10"/>
      <c r="E928" s="10"/>
      <c r="F928" s="10"/>
      <c r="G928" s="10"/>
      <c r="H928" s="10"/>
      <c r="I928" s="10"/>
      <c r="J928" s="10"/>
      <c r="K928" s="10"/>
      <c r="L928" s="10"/>
      <c r="M928" s="10"/>
      <c r="N928" s="10"/>
      <c r="O928" s="10"/>
      <c r="P928" s="10"/>
      <c r="Q928" s="10"/>
      <c r="R928" s="10"/>
      <c r="S928" s="10"/>
      <c r="T928" s="10"/>
      <c r="U928" s="10"/>
      <c r="V928" s="10"/>
      <c r="W928" s="10"/>
      <c r="X928" s="10"/>
      <c r="Y928" s="10"/>
      <c r="Z928" s="10"/>
      <c r="AA928" s="10"/>
      <c r="AB928" s="10"/>
      <c r="AC928" s="10"/>
      <c r="AD928" s="10"/>
      <c r="AE928" s="10"/>
      <c r="AF928" s="10"/>
      <c r="AG928" s="14"/>
    </row>
    <row r="929" spans="1:33">
      <c r="A929" s="10"/>
      <c r="B929" s="10"/>
      <c r="C929" s="10"/>
      <c r="D929" s="10"/>
      <c r="E929" s="10"/>
      <c r="F929" s="10"/>
      <c r="G929" s="10"/>
      <c r="H929" s="10"/>
      <c r="I929" s="10"/>
      <c r="J929" s="10"/>
      <c r="K929" s="10"/>
      <c r="L929" s="10"/>
      <c r="M929" s="10"/>
      <c r="N929" s="10"/>
      <c r="O929" s="10"/>
      <c r="P929" s="10"/>
      <c r="Q929" s="10"/>
      <c r="R929" s="10"/>
      <c r="S929" s="10"/>
      <c r="T929" s="10"/>
      <c r="U929" s="10"/>
      <c r="V929" s="10"/>
      <c r="W929" s="10"/>
      <c r="X929" s="10"/>
      <c r="Y929" s="10"/>
      <c r="Z929" s="10"/>
      <c r="AA929" s="10"/>
      <c r="AB929" s="10"/>
      <c r="AC929" s="10"/>
      <c r="AD929" s="10"/>
      <c r="AE929" s="10"/>
      <c r="AF929" s="10"/>
      <c r="AG929" s="14"/>
    </row>
    <row r="930" spans="1:33">
      <c r="A930" s="10"/>
      <c r="B930" s="10"/>
      <c r="C930" s="10"/>
      <c r="D930" s="10"/>
      <c r="E930" s="10"/>
      <c r="F930" s="10"/>
      <c r="G930" s="10"/>
      <c r="H930" s="10"/>
      <c r="I930" s="10"/>
      <c r="J930" s="10"/>
      <c r="K930" s="10"/>
      <c r="L930" s="10"/>
      <c r="M930" s="10"/>
      <c r="N930" s="10"/>
      <c r="O930" s="10"/>
      <c r="P930" s="10"/>
      <c r="Q930" s="10"/>
      <c r="R930" s="10"/>
      <c r="S930" s="10"/>
      <c r="T930" s="10"/>
      <c r="U930" s="10"/>
      <c r="V930" s="10"/>
      <c r="W930" s="10"/>
      <c r="X930" s="10"/>
      <c r="Y930" s="10"/>
      <c r="Z930" s="10"/>
      <c r="AA930" s="10"/>
      <c r="AB930" s="10"/>
      <c r="AC930" s="10"/>
      <c r="AD930" s="10"/>
      <c r="AE930" s="10"/>
      <c r="AF930" s="10"/>
      <c r="AG930" s="14"/>
    </row>
    <row r="931" spans="1:33">
      <c r="A931" s="10"/>
      <c r="B931" s="10"/>
      <c r="C931" s="10"/>
      <c r="D931" s="10"/>
      <c r="E931" s="10"/>
      <c r="F931" s="10"/>
      <c r="G931" s="10"/>
      <c r="H931" s="10"/>
      <c r="I931" s="10"/>
      <c r="J931" s="10"/>
      <c r="K931" s="10"/>
      <c r="L931" s="10"/>
      <c r="M931" s="10"/>
      <c r="N931" s="10"/>
      <c r="O931" s="10"/>
      <c r="P931" s="10"/>
      <c r="Q931" s="10"/>
      <c r="R931" s="10"/>
      <c r="S931" s="10"/>
      <c r="T931" s="10"/>
      <c r="U931" s="10"/>
      <c r="V931" s="10"/>
      <c r="W931" s="10"/>
      <c r="X931" s="10"/>
      <c r="Y931" s="10"/>
      <c r="Z931" s="10"/>
      <c r="AA931" s="10"/>
      <c r="AB931" s="10"/>
      <c r="AC931" s="10"/>
      <c r="AD931" s="10"/>
      <c r="AE931" s="10"/>
      <c r="AF931" s="10"/>
      <c r="AG931" s="14"/>
    </row>
    <row r="932" spans="1:33">
      <c r="A932" s="10"/>
      <c r="B932" s="10"/>
      <c r="C932" s="10"/>
      <c r="D932" s="10"/>
      <c r="E932" s="10"/>
      <c r="F932" s="10"/>
      <c r="G932" s="10"/>
      <c r="H932" s="10"/>
      <c r="I932" s="10"/>
      <c r="J932" s="10"/>
      <c r="K932" s="10"/>
      <c r="L932" s="10"/>
      <c r="M932" s="10"/>
      <c r="N932" s="10"/>
      <c r="O932" s="10"/>
      <c r="P932" s="10"/>
      <c r="Q932" s="10"/>
      <c r="R932" s="10"/>
      <c r="S932" s="10"/>
      <c r="T932" s="10"/>
      <c r="U932" s="10"/>
      <c r="V932" s="10"/>
      <c r="W932" s="10"/>
      <c r="X932" s="10"/>
      <c r="Y932" s="10"/>
      <c r="Z932" s="10"/>
      <c r="AA932" s="10"/>
      <c r="AB932" s="10"/>
      <c r="AC932" s="10"/>
      <c r="AD932" s="10"/>
      <c r="AE932" s="10"/>
      <c r="AF932" s="10"/>
      <c r="AG932" s="14"/>
    </row>
    <row r="933" spans="1:33">
      <c r="A933" s="10"/>
      <c r="B933" s="10"/>
      <c r="C933" s="10"/>
      <c r="D933" s="10"/>
      <c r="E933" s="10"/>
      <c r="F933" s="10"/>
      <c r="G933" s="10"/>
      <c r="H933" s="10"/>
      <c r="I933" s="10"/>
      <c r="J933" s="10"/>
      <c r="K933" s="10"/>
      <c r="L933" s="10"/>
      <c r="M933" s="10"/>
      <c r="N933" s="10"/>
      <c r="O933" s="10"/>
      <c r="P933" s="10"/>
      <c r="Q933" s="10"/>
      <c r="R933" s="10"/>
      <c r="S933" s="10"/>
      <c r="T933" s="10"/>
      <c r="U933" s="10"/>
      <c r="V933" s="10"/>
      <c r="W933" s="10"/>
      <c r="X933" s="10"/>
      <c r="Y933" s="10"/>
      <c r="Z933" s="10"/>
      <c r="AA933" s="10"/>
      <c r="AB933" s="10"/>
      <c r="AC933" s="10"/>
      <c r="AD933" s="10"/>
      <c r="AE933" s="10"/>
      <c r="AF933" s="10"/>
      <c r="AG933" s="14"/>
    </row>
    <row r="934" spans="1:33">
      <c r="A934" s="10"/>
      <c r="B934" s="10"/>
      <c r="C934" s="10"/>
      <c r="D934" s="10"/>
      <c r="E934" s="10"/>
      <c r="F934" s="10"/>
      <c r="G934" s="10"/>
      <c r="H934" s="10"/>
      <c r="I934" s="10"/>
      <c r="J934" s="10"/>
      <c r="K934" s="10"/>
      <c r="L934" s="10"/>
      <c r="M934" s="10"/>
      <c r="N934" s="10"/>
      <c r="O934" s="10"/>
      <c r="P934" s="10"/>
      <c r="Q934" s="10"/>
      <c r="R934" s="10"/>
      <c r="S934" s="10"/>
      <c r="T934" s="10"/>
      <c r="U934" s="10"/>
      <c r="V934" s="10"/>
      <c r="W934" s="10"/>
      <c r="X934" s="10"/>
      <c r="Y934" s="10"/>
      <c r="Z934" s="10"/>
      <c r="AA934" s="10"/>
      <c r="AB934" s="10"/>
      <c r="AC934" s="10"/>
      <c r="AD934" s="10"/>
      <c r="AE934" s="10"/>
      <c r="AF934" s="10"/>
      <c r="AG934" s="14"/>
    </row>
    <row r="935" spans="1:33">
      <c r="A935" s="10"/>
      <c r="B935" s="10"/>
      <c r="C935" s="10"/>
      <c r="D935" s="10"/>
      <c r="E935" s="10"/>
      <c r="F935" s="10"/>
      <c r="G935" s="10"/>
      <c r="H935" s="10"/>
      <c r="I935" s="10"/>
      <c r="J935" s="10"/>
      <c r="K935" s="10"/>
      <c r="L935" s="10"/>
      <c r="M935" s="10"/>
      <c r="N935" s="10"/>
      <c r="O935" s="10"/>
      <c r="P935" s="10"/>
      <c r="Q935" s="10"/>
      <c r="R935" s="10"/>
      <c r="S935" s="10"/>
      <c r="T935" s="10"/>
      <c r="U935" s="10"/>
      <c r="V935" s="10"/>
      <c r="W935" s="10"/>
      <c r="X935" s="10"/>
      <c r="Y935" s="10"/>
      <c r="Z935" s="10"/>
      <c r="AA935" s="10"/>
      <c r="AB935" s="10"/>
      <c r="AC935" s="10"/>
      <c r="AD935" s="10"/>
      <c r="AE935" s="10"/>
      <c r="AF935" s="10"/>
      <c r="AG935" s="14"/>
    </row>
    <row r="936" spans="1:33">
      <c r="A936" s="10"/>
      <c r="B936" s="10"/>
      <c r="C936" s="10"/>
      <c r="D936" s="10"/>
      <c r="E936" s="10"/>
      <c r="F936" s="10"/>
      <c r="G936" s="10"/>
      <c r="H936" s="10"/>
      <c r="I936" s="10"/>
      <c r="J936" s="10"/>
      <c r="K936" s="10"/>
      <c r="L936" s="10"/>
      <c r="M936" s="10"/>
      <c r="N936" s="10"/>
      <c r="O936" s="10"/>
      <c r="P936" s="10"/>
      <c r="Q936" s="10"/>
      <c r="R936" s="10"/>
      <c r="S936" s="10"/>
      <c r="T936" s="10"/>
      <c r="U936" s="10"/>
      <c r="V936" s="10"/>
      <c r="W936" s="10"/>
      <c r="X936" s="10"/>
      <c r="Y936" s="10"/>
      <c r="Z936" s="10"/>
      <c r="AA936" s="10"/>
      <c r="AB936" s="10"/>
      <c r="AC936" s="10"/>
      <c r="AD936" s="10"/>
      <c r="AE936" s="10"/>
      <c r="AF936" s="10"/>
      <c r="AG936" s="14"/>
    </row>
    <row r="937" spans="1:33">
      <c r="A937" s="10"/>
      <c r="B937" s="10"/>
      <c r="C937" s="10"/>
      <c r="D937" s="10"/>
      <c r="E937" s="10"/>
      <c r="F937" s="10"/>
      <c r="G937" s="10"/>
      <c r="H937" s="10"/>
      <c r="I937" s="10"/>
      <c r="J937" s="10"/>
      <c r="K937" s="10"/>
      <c r="L937" s="10"/>
      <c r="M937" s="10"/>
      <c r="N937" s="10"/>
      <c r="O937" s="10"/>
      <c r="P937" s="10"/>
      <c r="Q937" s="10"/>
      <c r="R937" s="10"/>
      <c r="S937" s="10"/>
      <c r="T937" s="10"/>
      <c r="U937" s="10"/>
      <c r="V937" s="10"/>
      <c r="W937" s="10"/>
      <c r="X937" s="10"/>
      <c r="Y937" s="10"/>
      <c r="Z937" s="10"/>
      <c r="AA937" s="10"/>
      <c r="AB937" s="10"/>
      <c r="AC937" s="10"/>
      <c r="AD937" s="10"/>
      <c r="AE937" s="10"/>
      <c r="AF937" s="10"/>
      <c r="AG937" s="14"/>
    </row>
    <row r="938" spans="1:33">
      <c r="A938" s="10"/>
      <c r="B938" s="10"/>
      <c r="C938" s="10"/>
      <c r="D938" s="10"/>
      <c r="E938" s="10"/>
      <c r="F938" s="10"/>
      <c r="G938" s="10"/>
      <c r="H938" s="10"/>
      <c r="I938" s="10"/>
      <c r="J938" s="10"/>
      <c r="K938" s="10"/>
      <c r="L938" s="10"/>
      <c r="M938" s="10"/>
      <c r="N938" s="10"/>
      <c r="O938" s="10"/>
      <c r="P938" s="10"/>
      <c r="Q938" s="10"/>
      <c r="R938" s="10"/>
      <c r="S938" s="10"/>
      <c r="T938" s="10"/>
      <c r="U938" s="10"/>
      <c r="V938" s="10"/>
      <c r="W938" s="10"/>
      <c r="X938" s="10"/>
      <c r="Y938" s="10"/>
      <c r="Z938" s="10"/>
      <c r="AA938" s="10"/>
      <c r="AB938" s="10"/>
      <c r="AC938" s="10"/>
      <c r="AD938" s="10"/>
      <c r="AE938" s="10"/>
      <c r="AF938" s="10"/>
      <c r="AG938" s="14"/>
    </row>
    <row r="939" spans="1:33">
      <c r="A939" s="10"/>
      <c r="B939" s="10"/>
      <c r="C939" s="10"/>
      <c r="D939" s="10"/>
      <c r="E939" s="10"/>
      <c r="F939" s="10"/>
      <c r="G939" s="10"/>
      <c r="H939" s="10"/>
      <c r="I939" s="10"/>
      <c r="J939" s="10"/>
      <c r="K939" s="10"/>
      <c r="L939" s="10"/>
      <c r="M939" s="10"/>
      <c r="N939" s="10"/>
      <c r="O939" s="10"/>
      <c r="P939" s="10"/>
      <c r="Q939" s="10"/>
      <c r="R939" s="10"/>
      <c r="S939" s="10"/>
      <c r="T939" s="10"/>
      <c r="U939" s="10"/>
      <c r="V939" s="10"/>
      <c r="W939" s="10"/>
      <c r="X939" s="10"/>
      <c r="Y939" s="10"/>
      <c r="Z939" s="10"/>
      <c r="AA939" s="10"/>
      <c r="AB939" s="10"/>
      <c r="AC939" s="10"/>
      <c r="AD939" s="10"/>
      <c r="AE939" s="10"/>
      <c r="AF939" s="10"/>
      <c r="AG939" s="14"/>
    </row>
    <row r="940" spans="1:33">
      <c r="A940" s="10"/>
      <c r="B940" s="10"/>
      <c r="C940" s="10"/>
      <c r="D940" s="10"/>
      <c r="E940" s="10"/>
      <c r="F940" s="10"/>
      <c r="G940" s="10"/>
      <c r="H940" s="10"/>
      <c r="I940" s="10"/>
      <c r="J940" s="10"/>
      <c r="K940" s="10"/>
      <c r="L940" s="10"/>
      <c r="M940" s="10"/>
      <c r="N940" s="10"/>
      <c r="O940" s="10"/>
      <c r="P940" s="10"/>
      <c r="Q940" s="10"/>
      <c r="R940" s="10"/>
      <c r="S940" s="10"/>
      <c r="T940" s="10"/>
      <c r="U940" s="10"/>
      <c r="V940" s="10"/>
      <c r="W940" s="10"/>
      <c r="X940" s="10"/>
      <c r="Y940" s="10"/>
      <c r="Z940" s="10"/>
      <c r="AA940" s="10"/>
      <c r="AB940" s="10"/>
      <c r="AC940" s="10"/>
      <c r="AD940" s="10"/>
      <c r="AE940" s="10"/>
      <c r="AF940" s="10"/>
      <c r="AG940" s="14"/>
    </row>
    <row r="941" spans="1:33">
      <c r="A941" s="10"/>
      <c r="B941" s="10"/>
      <c r="C941" s="10"/>
      <c r="D941" s="10"/>
      <c r="E941" s="10"/>
      <c r="F941" s="10"/>
      <c r="G941" s="10"/>
      <c r="H941" s="10"/>
      <c r="I941" s="10"/>
      <c r="J941" s="10"/>
      <c r="K941" s="10"/>
      <c r="L941" s="10"/>
      <c r="M941" s="10"/>
      <c r="N941" s="10"/>
      <c r="O941" s="10"/>
      <c r="P941" s="10"/>
      <c r="Q941" s="10"/>
      <c r="R941" s="10"/>
      <c r="S941" s="10"/>
      <c r="T941" s="10"/>
      <c r="U941" s="10"/>
      <c r="V941" s="10"/>
      <c r="W941" s="10"/>
      <c r="X941" s="10"/>
      <c r="Y941" s="10"/>
      <c r="Z941" s="10"/>
      <c r="AA941" s="10"/>
      <c r="AB941" s="10"/>
      <c r="AC941" s="10"/>
      <c r="AD941" s="10"/>
      <c r="AE941" s="10"/>
      <c r="AF941" s="10"/>
      <c r="AG941" s="14"/>
    </row>
    <row r="942" spans="1:33">
      <c r="A942" s="10"/>
      <c r="B942" s="10"/>
      <c r="C942" s="10"/>
      <c r="D942" s="10"/>
      <c r="E942" s="10"/>
      <c r="F942" s="10"/>
      <c r="G942" s="10"/>
      <c r="H942" s="10"/>
      <c r="I942" s="10"/>
      <c r="J942" s="10"/>
      <c r="K942" s="10"/>
      <c r="L942" s="10"/>
      <c r="M942" s="10"/>
      <c r="N942" s="10"/>
      <c r="O942" s="10"/>
      <c r="P942" s="10"/>
      <c r="Q942" s="10"/>
      <c r="R942" s="10"/>
      <c r="S942" s="10"/>
      <c r="T942" s="10"/>
      <c r="U942" s="10"/>
      <c r="V942" s="10"/>
      <c r="W942" s="10"/>
      <c r="X942" s="10"/>
      <c r="Y942" s="10"/>
      <c r="Z942" s="10"/>
      <c r="AA942" s="10"/>
      <c r="AB942" s="10"/>
      <c r="AC942" s="10"/>
      <c r="AD942" s="10"/>
      <c r="AE942" s="10"/>
      <c r="AF942" s="10"/>
      <c r="AG942" s="14"/>
    </row>
    <row r="943" spans="1:33">
      <c r="A943" s="10"/>
      <c r="B943" s="10"/>
      <c r="C943" s="10"/>
      <c r="D943" s="10"/>
      <c r="E943" s="10"/>
      <c r="F943" s="10"/>
      <c r="G943" s="10"/>
      <c r="H943" s="10"/>
      <c r="I943" s="10"/>
      <c r="J943" s="10"/>
      <c r="K943" s="10"/>
      <c r="L943" s="10"/>
      <c r="M943" s="10"/>
      <c r="N943" s="10"/>
      <c r="O943" s="10"/>
      <c r="P943" s="10"/>
      <c r="Q943" s="10"/>
      <c r="R943" s="10"/>
      <c r="S943" s="10"/>
      <c r="T943" s="10"/>
      <c r="U943" s="10"/>
      <c r="V943" s="10"/>
      <c r="W943" s="10"/>
      <c r="X943" s="10"/>
      <c r="Y943" s="10"/>
      <c r="Z943" s="10"/>
      <c r="AA943" s="10"/>
      <c r="AB943" s="10"/>
      <c r="AC943" s="10"/>
      <c r="AD943" s="10"/>
      <c r="AE943" s="10"/>
      <c r="AF943" s="10"/>
      <c r="AG943" s="14"/>
    </row>
    <row r="944" spans="1:33">
      <c r="A944" s="10"/>
      <c r="B944" s="10"/>
      <c r="C944" s="10"/>
      <c r="D944" s="10"/>
      <c r="E944" s="10"/>
      <c r="F944" s="10"/>
      <c r="G944" s="10"/>
      <c r="H944" s="10"/>
      <c r="I944" s="10"/>
      <c r="J944" s="10"/>
      <c r="K944" s="10"/>
      <c r="L944" s="10"/>
      <c r="M944" s="10"/>
      <c r="N944" s="10"/>
      <c r="O944" s="10"/>
      <c r="P944" s="10"/>
      <c r="Q944" s="10"/>
      <c r="R944" s="10"/>
      <c r="S944" s="10"/>
      <c r="T944" s="10"/>
      <c r="U944" s="10"/>
      <c r="V944" s="10"/>
      <c r="W944" s="10"/>
      <c r="X944" s="10"/>
      <c r="Y944" s="10"/>
      <c r="Z944" s="10"/>
      <c r="AA944" s="10"/>
      <c r="AB944" s="10"/>
      <c r="AC944" s="10"/>
      <c r="AD944" s="10"/>
      <c r="AE944" s="10"/>
      <c r="AF944" s="10"/>
      <c r="AG944" s="14"/>
    </row>
    <row r="945" spans="1:33">
      <c r="A945" s="10"/>
      <c r="B945" s="10"/>
      <c r="C945" s="10"/>
      <c r="D945" s="10"/>
      <c r="E945" s="10"/>
      <c r="F945" s="10"/>
      <c r="G945" s="10"/>
      <c r="H945" s="10"/>
      <c r="I945" s="10"/>
      <c r="J945" s="10"/>
      <c r="K945" s="10"/>
      <c r="L945" s="10"/>
      <c r="M945" s="10"/>
      <c r="N945" s="10"/>
      <c r="O945" s="10"/>
      <c r="P945" s="10"/>
      <c r="Q945" s="10"/>
      <c r="R945" s="10"/>
      <c r="S945" s="10"/>
      <c r="T945" s="10"/>
      <c r="U945" s="10"/>
      <c r="V945" s="10"/>
      <c r="W945" s="10"/>
      <c r="X945" s="10"/>
      <c r="Y945" s="10"/>
      <c r="Z945" s="10"/>
      <c r="AA945" s="10"/>
      <c r="AB945" s="10"/>
      <c r="AC945" s="10"/>
      <c r="AD945" s="10"/>
      <c r="AE945" s="10"/>
      <c r="AF945" s="10"/>
      <c r="AG945" s="14"/>
    </row>
    <row r="946" spans="1:33">
      <c r="A946" s="10"/>
      <c r="B946" s="10"/>
      <c r="C946" s="10"/>
      <c r="D946" s="10"/>
      <c r="E946" s="10"/>
      <c r="F946" s="10"/>
      <c r="G946" s="10"/>
      <c r="H946" s="10"/>
      <c r="I946" s="10"/>
      <c r="J946" s="10"/>
      <c r="K946" s="10"/>
      <c r="L946" s="10"/>
      <c r="M946" s="10"/>
      <c r="N946" s="10"/>
      <c r="O946" s="10"/>
      <c r="P946" s="10"/>
      <c r="Q946" s="10"/>
      <c r="R946" s="10"/>
      <c r="S946" s="10"/>
      <c r="T946" s="10"/>
      <c r="U946" s="10"/>
      <c r="V946" s="10"/>
      <c r="W946" s="10"/>
      <c r="X946" s="10"/>
      <c r="Y946" s="10"/>
      <c r="Z946" s="10"/>
      <c r="AA946" s="10"/>
      <c r="AB946" s="10"/>
      <c r="AC946" s="10"/>
      <c r="AD946" s="10"/>
      <c r="AE946" s="10"/>
      <c r="AF946" s="10"/>
      <c r="AG946" s="14"/>
    </row>
    <row r="947" spans="1:33">
      <c r="A947" s="10"/>
      <c r="B947" s="10"/>
      <c r="C947" s="10"/>
      <c r="D947" s="10"/>
      <c r="E947" s="10"/>
      <c r="F947" s="10"/>
      <c r="G947" s="10"/>
      <c r="H947" s="10"/>
      <c r="I947" s="10"/>
      <c r="J947" s="10"/>
      <c r="K947" s="10"/>
      <c r="L947" s="10"/>
      <c r="M947" s="10"/>
      <c r="N947" s="10"/>
      <c r="O947" s="10"/>
      <c r="P947" s="10"/>
      <c r="Q947" s="10"/>
      <c r="R947" s="10"/>
      <c r="S947" s="10"/>
      <c r="T947" s="10"/>
      <c r="U947" s="10"/>
      <c r="V947" s="10"/>
      <c r="W947" s="10"/>
      <c r="X947" s="10"/>
      <c r="Y947" s="10"/>
      <c r="Z947" s="10"/>
      <c r="AA947" s="10"/>
      <c r="AB947" s="10"/>
      <c r="AC947" s="10"/>
      <c r="AD947" s="10"/>
      <c r="AE947" s="10"/>
      <c r="AF947" s="10"/>
      <c r="AG947" s="14"/>
    </row>
    <row r="948" spans="1:33">
      <c r="A948" s="10"/>
      <c r="B948" s="10"/>
      <c r="C948" s="10"/>
      <c r="D948" s="10"/>
      <c r="E948" s="10"/>
      <c r="F948" s="10"/>
      <c r="G948" s="10"/>
      <c r="H948" s="10"/>
      <c r="I948" s="10"/>
      <c r="J948" s="10"/>
      <c r="K948" s="10"/>
      <c r="L948" s="10"/>
      <c r="M948" s="10"/>
      <c r="N948" s="10"/>
      <c r="O948" s="10"/>
      <c r="P948" s="10"/>
      <c r="Q948" s="10"/>
      <c r="R948" s="10"/>
      <c r="S948" s="10"/>
      <c r="T948" s="10"/>
      <c r="U948" s="10"/>
      <c r="V948" s="10"/>
      <c r="W948" s="10"/>
      <c r="X948" s="10"/>
      <c r="Y948" s="10"/>
      <c r="Z948" s="10"/>
      <c r="AA948" s="10"/>
      <c r="AB948" s="10"/>
      <c r="AC948" s="10"/>
      <c r="AD948" s="10"/>
      <c r="AE948" s="10"/>
      <c r="AF948" s="10"/>
      <c r="AG948" s="14"/>
    </row>
    <row r="949" spans="1:33">
      <c r="A949" s="10"/>
      <c r="B949" s="10"/>
      <c r="C949" s="10"/>
      <c r="D949" s="10"/>
      <c r="E949" s="10"/>
      <c r="F949" s="10"/>
      <c r="G949" s="10"/>
      <c r="H949" s="10"/>
      <c r="I949" s="10"/>
      <c r="J949" s="10"/>
      <c r="K949" s="10"/>
      <c r="L949" s="10"/>
      <c r="M949" s="10"/>
      <c r="N949" s="10"/>
      <c r="O949" s="10"/>
      <c r="P949" s="10"/>
      <c r="Q949" s="10"/>
      <c r="R949" s="10"/>
      <c r="S949" s="10"/>
      <c r="T949" s="10"/>
      <c r="U949" s="10"/>
      <c r="V949" s="10"/>
      <c r="W949" s="10"/>
      <c r="X949" s="10"/>
      <c r="Y949" s="10"/>
      <c r="Z949" s="10"/>
      <c r="AA949" s="10"/>
      <c r="AB949" s="10"/>
      <c r="AC949" s="10"/>
      <c r="AD949" s="10"/>
      <c r="AE949" s="10"/>
      <c r="AF949" s="10"/>
      <c r="AG949" s="14"/>
    </row>
    <row r="950" spans="1:33">
      <c r="A950" s="10"/>
      <c r="B950" s="10"/>
      <c r="C950" s="10"/>
      <c r="D950" s="10"/>
      <c r="E950" s="10"/>
      <c r="F950" s="10"/>
      <c r="G950" s="10"/>
      <c r="H950" s="10"/>
      <c r="I950" s="10"/>
      <c r="J950" s="10"/>
      <c r="K950" s="10"/>
      <c r="L950" s="10"/>
      <c r="M950" s="10"/>
      <c r="N950" s="10"/>
      <c r="O950" s="10"/>
      <c r="P950" s="10"/>
      <c r="Q950" s="10"/>
      <c r="R950" s="10"/>
      <c r="S950" s="10"/>
      <c r="T950" s="10"/>
      <c r="U950" s="10"/>
      <c r="V950" s="10"/>
      <c r="W950" s="10"/>
      <c r="X950" s="10"/>
      <c r="Y950" s="10"/>
      <c r="Z950" s="10"/>
      <c r="AA950" s="10"/>
      <c r="AB950" s="10"/>
      <c r="AC950" s="10"/>
      <c r="AD950" s="10"/>
      <c r="AE950" s="10"/>
      <c r="AF950" s="10"/>
      <c r="AG950" s="14"/>
    </row>
    <row r="951" spans="1:33">
      <c r="A951" s="10"/>
      <c r="B951" s="10"/>
      <c r="C951" s="10"/>
      <c r="D951" s="10"/>
      <c r="E951" s="10"/>
      <c r="F951" s="10"/>
      <c r="G951" s="10"/>
      <c r="H951" s="10"/>
      <c r="I951" s="10"/>
      <c r="J951" s="10"/>
      <c r="K951" s="10"/>
      <c r="L951" s="10"/>
      <c r="M951" s="10"/>
      <c r="N951" s="10"/>
      <c r="O951" s="10"/>
      <c r="P951" s="10"/>
      <c r="Q951" s="10"/>
      <c r="R951" s="10"/>
      <c r="S951" s="10"/>
      <c r="T951" s="10"/>
      <c r="U951" s="10"/>
      <c r="V951" s="10"/>
      <c r="W951" s="10"/>
      <c r="X951" s="10"/>
      <c r="Y951" s="10"/>
      <c r="Z951" s="10"/>
      <c r="AA951" s="10"/>
      <c r="AB951" s="10"/>
      <c r="AC951" s="10"/>
      <c r="AD951" s="10"/>
      <c r="AE951" s="10"/>
      <c r="AF951" s="10"/>
      <c r="AG951" s="14"/>
    </row>
    <row r="952" spans="1:33">
      <c r="A952" s="10"/>
      <c r="B952" s="10"/>
      <c r="C952" s="10"/>
      <c r="D952" s="10"/>
      <c r="E952" s="10"/>
      <c r="F952" s="10"/>
      <c r="G952" s="10"/>
      <c r="H952" s="10"/>
      <c r="I952" s="10"/>
      <c r="J952" s="10"/>
      <c r="K952" s="10"/>
      <c r="L952" s="10"/>
      <c r="M952" s="10"/>
      <c r="N952" s="10"/>
      <c r="O952" s="10"/>
      <c r="P952" s="10"/>
      <c r="Q952" s="10"/>
      <c r="R952" s="10"/>
      <c r="S952" s="10"/>
      <c r="T952" s="10"/>
      <c r="U952" s="10"/>
      <c r="V952" s="10"/>
      <c r="W952" s="10"/>
      <c r="X952" s="10"/>
      <c r="Y952" s="10"/>
      <c r="Z952" s="10"/>
      <c r="AA952" s="10"/>
      <c r="AB952" s="10"/>
      <c r="AC952" s="10"/>
      <c r="AD952" s="10"/>
      <c r="AE952" s="10"/>
      <c r="AF952" s="10"/>
      <c r="AG952" s="14"/>
    </row>
    <row r="953" spans="1:33">
      <c r="A953" s="10"/>
      <c r="B953" s="10"/>
      <c r="C953" s="10"/>
      <c r="D953" s="10"/>
      <c r="E953" s="10"/>
      <c r="F953" s="10"/>
      <c r="G953" s="10"/>
      <c r="H953" s="10"/>
      <c r="I953" s="10"/>
      <c r="J953" s="10"/>
      <c r="K953" s="10"/>
      <c r="L953" s="10"/>
      <c r="M953" s="10"/>
      <c r="N953" s="10"/>
      <c r="O953" s="10"/>
      <c r="P953" s="10"/>
      <c r="Q953" s="10"/>
      <c r="R953" s="10"/>
      <c r="S953" s="10"/>
      <c r="T953" s="10"/>
      <c r="U953" s="10"/>
      <c r="V953" s="10"/>
      <c r="W953" s="10"/>
      <c r="X953" s="10"/>
      <c r="Y953" s="10"/>
      <c r="Z953" s="10"/>
      <c r="AA953" s="10"/>
      <c r="AB953" s="10"/>
      <c r="AC953" s="10"/>
      <c r="AD953" s="10"/>
      <c r="AE953" s="10"/>
      <c r="AF953" s="10"/>
      <c r="AG953" s="14"/>
    </row>
    <row r="954" spans="1:33">
      <c r="A954" s="10"/>
      <c r="B954" s="10"/>
      <c r="C954" s="10"/>
      <c r="D954" s="10"/>
      <c r="E954" s="10"/>
      <c r="F954" s="10"/>
      <c r="G954" s="10"/>
      <c r="H954" s="10"/>
      <c r="I954" s="10"/>
      <c r="J954" s="10"/>
      <c r="K954" s="10"/>
      <c r="L954" s="10"/>
      <c r="M954" s="10"/>
      <c r="N954" s="10"/>
      <c r="O954" s="10"/>
      <c r="P954" s="10"/>
      <c r="Q954" s="10"/>
      <c r="R954" s="10"/>
      <c r="S954" s="10"/>
      <c r="T954" s="10"/>
      <c r="U954" s="10"/>
      <c r="V954" s="10"/>
      <c r="W954" s="10"/>
      <c r="X954" s="10"/>
      <c r="Y954" s="10"/>
      <c r="Z954" s="10"/>
      <c r="AA954" s="10"/>
      <c r="AB954" s="10"/>
      <c r="AC954" s="10"/>
      <c r="AD954" s="10"/>
      <c r="AE954" s="10"/>
      <c r="AF954" s="10"/>
      <c r="AG954" s="14"/>
    </row>
    <row r="955" spans="1:33">
      <c r="A955" s="10"/>
      <c r="B955" s="10"/>
      <c r="C955" s="10"/>
      <c r="D955" s="10"/>
      <c r="E955" s="10"/>
      <c r="F955" s="10"/>
      <c r="G955" s="10"/>
      <c r="H955" s="10"/>
      <c r="I955" s="10"/>
      <c r="J955" s="10"/>
      <c r="K955" s="10"/>
      <c r="L955" s="10"/>
      <c r="M955" s="10"/>
      <c r="N955" s="10"/>
      <c r="O955" s="10"/>
      <c r="P955" s="10"/>
      <c r="Q955" s="10"/>
      <c r="R955" s="10"/>
      <c r="S955" s="10"/>
      <c r="T955" s="10"/>
      <c r="U955" s="10"/>
      <c r="V955" s="10"/>
      <c r="W955" s="10"/>
      <c r="X955" s="10"/>
      <c r="Y955" s="10"/>
      <c r="Z955" s="10"/>
      <c r="AA955" s="10"/>
      <c r="AB955" s="10"/>
      <c r="AC955" s="10"/>
      <c r="AD955" s="10"/>
      <c r="AE955" s="10"/>
      <c r="AF955" s="10"/>
      <c r="AG955" s="14"/>
    </row>
    <row r="956" spans="1:33">
      <c r="A956" s="10"/>
      <c r="B956" s="10"/>
      <c r="C956" s="10"/>
      <c r="D956" s="10"/>
      <c r="E956" s="10"/>
      <c r="F956" s="10"/>
      <c r="G956" s="10"/>
      <c r="H956" s="10"/>
      <c r="I956" s="10"/>
      <c r="J956" s="10"/>
      <c r="K956" s="10"/>
      <c r="L956" s="10"/>
      <c r="M956" s="10"/>
      <c r="N956" s="10"/>
      <c r="O956" s="10"/>
      <c r="P956" s="10"/>
      <c r="Q956" s="10"/>
      <c r="R956" s="10"/>
      <c r="S956" s="10"/>
      <c r="T956" s="10"/>
      <c r="U956" s="10"/>
      <c r="V956" s="10"/>
      <c r="W956" s="10"/>
      <c r="X956" s="10"/>
      <c r="Y956" s="10"/>
      <c r="Z956" s="10"/>
      <c r="AA956" s="10"/>
      <c r="AB956" s="10"/>
      <c r="AC956" s="10"/>
      <c r="AD956" s="10"/>
      <c r="AE956" s="10"/>
      <c r="AF956" s="10"/>
      <c r="AG956" s="14"/>
    </row>
    <row r="957" spans="1:33">
      <c r="A957" s="10"/>
      <c r="B957" s="10"/>
      <c r="C957" s="10"/>
      <c r="D957" s="10"/>
      <c r="E957" s="10"/>
      <c r="F957" s="10"/>
      <c r="G957" s="10"/>
      <c r="H957" s="10"/>
      <c r="I957" s="10"/>
      <c r="J957" s="10"/>
      <c r="K957" s="10"/>
      <c r="L957" s="10"/>
      <c r="M957" s="10"/>
      <c r="N957" s="10"/>
      <c r="O957" s="10"/>
      <c r="P957" s="10"/>
      <c r="Q957" s="10"/>
      <c r="R957" s="10"/>
      <c r="S957" s="10"/>
      <c r="T957" s="10"/>
      <c r="U957" s="10"/>
      <c r="V957" s="10"/>
      <c r="W957" s="10"/>
      <c r="X957" s="10"/>
      <c r="Y957" s="10"/>
      <c r="Z957" s="10"/>
      <c r="AA957" s="10"/>
      <c r="AB957" s="10"/>
      <c r="AC957" s="10"/>
      <c r="AD957" s="10"/>
      <c r="AE957" s="10"/>
      <c r="AF957" s="10"/>
      <c r="AG957" s="14"/>
    </row>
    <row r="958" spans="1:33">
      <c r="A958" s="10"/>
      <c r="B958" s="10"/>
      <c r="C958" s="10"/>
      <c r="D958" s="10"/>
      <c r="E958" s="10"/>
      <c r="F958" s="10"/>
      <c r="G958" s="10"/>
      <c r="H958" s="10"/>
      <c r="I958" s="10"/>
      <c r="J958" s="10"/>
      <c r="K958" s="10"/>
      <c r="L958" s="10"/>
      <c r="M958" s="10"/>
      <c r="N958" s="10"/>
      <c r="O958" s="10"/>
      <c r="P958" s="10"/>
      <c r="Q958" s="10"/>
      <c r="R958" s="10"/>
      <c r="S958" s="10"/>
      <c r="T958" s="10"/>
      <c r="U958" s="10"/>
      <c r="V958" s="10"/>
      <c r="W958" s="10"/>
      <c r="X958" s="10"/>
      <c r="Y958" s="10"/>
      <c r="Z958" s="10"/>
      <c r="AA958" s="10"/>
      <c r="AB958" s="10"/>
      <c r="AC958" s="10"/>
      <c r="AD958" s="10"/>
      <c r="AE958" s="10"/>
      <c r="AF958" s="10"/>
      <c r="AG958" s="14"/>
    </row>
    <row r="959" spans="1:33">
      <c r="A959" s="10"/>
      <c r="B959" s="10"/>
      <c r="C959" s="10"/>
      <c r="D959" s="10"/>
      <c r="E959" s="10"/>
      <c r="F959" s="10"/>
      <c r="G959" s="10"/>
      <c r="H959" s="10"/>
      <c r="I959" s="10"/>
      <c r="J959" s="10"/>
      <c r="K959" s="10"/>
      <c r="L959" s="10"/>
      <c r="M959" s="10"/>
      <c r="N959" s="10"/>
      <c r="O959" s="10"/>
      <c r="P959" s="10"/>
      <c r="Q959" s="10"/>
      <c r="R959" s="10"/>
      <c r="S959" s="10"/>
      <c r="T959" s="10"/>
      <c r="U959" s="10"/>
      <c r="V959" s="10"/>
      <c r="W959" s="10"/>
      <c r="X959" s="10"/>
      <c r="Y959" s="10"/>
      <c r="Z959" s="10"/>
      <c r="AA959" s="10"/>
      <c r="AB959" s="10"/>
      <c r="AC959" s="10"/>
      <c r="AD959" s="10"/>
      <c r="AE959" s="10"/>
      <c r="AF959" s="10"/>
      <c r="AG959" s="14"/>
    </row>
    <row r="960" spans="1:33">
      <c r="A960" s="10"/>
      <c r="B960" s="10"/>
      <c r="C960" s="10"/>
      <c r="D960" s="10"/>
      <c r="E960" s="10"/>
      <c r="F960" s="10"/>
      <c r="G960" s="10"/>
      <c r="H960" s="10"/>
      <c r="I960" s="10"/>
      <c r="J960" s="10"/>
      <c r="K960" s="10"/>
      <c r="L960" s="10"/>
      <c r="M960" s="10"/>
      <c r="N960" s="10"/>
      <c r="O960" s="10"/>
      <c r="P960" s="10"/>
      <c r="Q960" s="10"/>
      <c r="R960" s="10"/>
      <c r="S960" s="10"/>
      <c r="T960" s="10"/>
      <c r="U960" s="10"/>
      <c r="V960" s="10"/>
      <c r="W960" s="10"/>
      <c r="X960" s="10"/>
      <c r="Y960" s="10"/>
      <c r="Z960" s="10"/>
      <c r="AA960" s="10"/>
      <c r="AB960" s="10"/>
      <c r="AC960" s="10"/>
      <c r="AD960" s="10"/>
      <c r="AE960" s="10"/>
      <c r="AF960" s="10"/>
      <c r="AG960" s="14"/>
    </row>
    <row r="961" spans="1:33">
      <c r="A961" s="10"/>
      <c r="B961" s="10"/>
      <c r="C961" s="10"/>
      <c r="D961" s="10"/>
      <c r="E961" s="10"/>
      <c r="F961" s="10"/>
      <c r="G961" s="10"/>
      <c r="H961" s="10"/>
      <c r="I961" s="10"/>
      <c r="J961" s="10"/>
      <c r="K961" s="10"/>
      <c r="L961" s="10"/>
      <c r="M961" s="10"/>
      <c r="N961" s="10"/>
      <c r="O961" s="10"/>
      <c r="P961" s="10"/>
      <c r="Q961" s="10"/>
      <c r="R961" s="10"/>
      <c r="S961" s="10"/>
      <c r="T961" s="10"/>
      <c r="U961" s="10"/>
      <c r="V961" s="10"/>
      <c r="W961" s="10"/>
      <c r="X961" s="10"/>
      <c r="Y961" s="10"/>
      <c r="Z961" s="10"/>
      <c r="AA961" s="10"/>
      <c r="AB961" s="10"/>
      <c r="AC961" s="10"/>
      <c r="AD961" s="10"/>
      <c r="AE961" s="10"/>
      <c r="AF961" s="10"/>
      <c r="AG961" s="14"/>
    </row>
    <row r="962" spans="1:33">
      <c r="A962" s="10"/>
      <c r="B962" s="10"/>
      <c r="C962" s="10"/>
      <c r="D962" s="10"/>
      <c r="E962" s="10"/>
      <c r="F962" s="10"/>
      <c r="G962" s="10"/>
      <c r="H962" s="10"/>
      <c r="I962" s="10"/>
      <c r="J962" s="10"/>
      <c r="K962" s="10"/>
      <c r="L962" s="10"/>
      <c r="M962" s="10"/>
      <c r="N962" s="10"/>
      <c r="O962" s="10"/>
      <c r="P962" s="10"/>
      <c r="Q962" s="10"/>
      <c r="R962" s="10"/>
      <c r="S962" s="10"/>
      <c r="T962" s="10"/>
      <c r="U962" s="10"/>
      <c r="V962" s="10"/>
      <c r="W962" s="10"/>
      <c r="X962" s="10"/>
      <c r="Y962" s="10"/>
      <c r="Z962" s="10"/>
      <c r="AA962" s="10"/>
      <c r="AB962" s="10"/>
      <c r="AC962" s="10"/>
      <c r="AD962" s="10"/>
      <c r="AE962" s="10"/>
      <c r="AF962" s="10"/>
      <c r="AG962" s="14"/>
    </row>
    <row r="963" spans="1:33">
      <c r="A963" s="10"/>
      <c r="B963" s="10"/>
      <c r="C963" s="10"/>
      <c r="D963" s="10"/>
      <c r="E963" s="10"/>
      <c r="F963" s="10"/>
      <c r="G963" s="10"/>
      <c r="H963" s="10"/>
      <c r="I963" s="10"/>
      <c r="J963" s="10"/>
      <c r="K963" s="10"/>
      <c r="L963" s="10"/>
      <c r="M963" s="10"/>
      <c r="N963" s="10"/>
      <c r="O963" s="10"/>
      <c r="P963" s="10"/>
      <c r="Q963" s="10"/>
      <c r="R963" s="10"/>
      <c r="S963" s="10"/>
      <c r="T963" s="10"/>
      <c r="U963" s="10"/>
      <c r="V963" s="10"/>
      <c r="W963" s="10"/>
      <c r="X963" s="10"/>
      <c r="Y963" s="10"/>
      <c r="Z963" s="10"/>
      <c r="AA963" s="10"/>
      <c r="AB963" s="10"/>
      <c r="AC963" s="10"/>
      <c r="AD963" s="10"/>
      <c r="AE963" s="10"/>
      <c r="AF963" s="10"/>
      <c r="AG963" s="14"/>
    </row>
    <row r="964" spans="1:33">
      <c r="A964" s="10"/>
      <c r="B964" s="10"/>
      <c r="C964" s="10"/>
      <c r="D964" s="10"/>
      <c r="E964" s="10"/>
      <c r="F964" s="10"/>
      <c r="G964" s="10"/>
      <c r="H964" s="10"/>
      <c r="I964" s="10"/>
      <c r="J964" s="10"/>
      <c r="K964" s="10"/>
      <c r="L964" s="10"/>
      <c r="M964" s="10"/>
      <c r="N964" s="10"/>
      <c r="O964" s="10"/>
      <c r="P964" s="10"/>
      <c r="Q964" s="10"/>
      <c r="R964" s="10"/>
      <c r="S964" s="10"/>
      <c r="T964" s="10"/>
      <c r="U964" s="10"/>
      <c r="V964" s="10"/>
      <c r="W964" s="10"/>
      <c r="X964" s="10"/>
      <c r="Y964" s="10"/>
      <c r="Z964" s="10"/>
      <c r="AA964" s="10"/>
      <c r="AB964" s="10"/>
      <c r="AC964" s="10"/>
      <c r="AD964" s="10"/>
      <c r="AE964" s="10"/>
      <c r="AF964" s="10"/>
      <c r="AG964" s="14"/>
    </row>
    <row r="965" spans="1:33">
      <c r="A965" s="10"/>
      <c r="B965" s="10"/>
      <c r="C965" s="10"/>
      <c r="D965" s="10"/>
      <c r="E965" s="10"/>
      <c r="F965" s="10"/>
      <c r="G965" s="10"/>
      <c r="H965" s="10"/>
      <c r="I965" s="10"/>
      <c r="J965" s="10"/>
      <c r="K965" s="10"/>
      <c r="L965" s="10"/>
      <c r="M965" s="10"/>
      <c r="N965" s="10"/>
      <c r="O965" s="10"/>
      <c r="P965" s="10"/>
      <c r="Q965" s="10"/>
      <c r="R965" s="10"/>
      <c r="S965" s="10"/>
      <c r="T965" s="10"/>
      <c r="U965" s="10"/>
      <c r="V965" s="10"/>
      <c r="W965" s="10"/>
      <c r="X965" s="10"/>
      <c r="Y965" s="10"/>
      <c r="Z965" s="10"/>
      <c r="AA965" s="10"/>
      <c r="AB965" s="10"/>
      <c r="AC965" s="10"/>
      <c r="AD965" s="10"/>
      <c r="AE965" s="10"/>
      <c r="AF965" s="10"/>
      <c r="AG965" s="14"/>
    </row>
    <row r="966" spans="1:33">
      <c r="A966" s="10"/>
      <c r="B966" s="10"/>
      <c r="C966" s="10"/>
      <c r="D966" s="10"/>
      <c r="E966" s="10"/>
      <c r="F966" s="10"/>
      <c r="G966" s="10"/>
      <c r="H966" s="10"/>
      <c r="I966" s="10"/>
      <c r="J966" s="10"/>
      <c r="K966" s="10"/>
      <c r="L966" s="10"/>
      <c r="M966" s="10"/>
      <c r="N966" s="10"/>
      <c r="O966" s="10"/>
      <c r="P966" s="10"/>
      <c r="Q966" s="10"/>
      <c r="R966" s="10"/>
      <c r="S966" s="10"/>
      <c r="T966" s="10"/>
      <c r="U966" s="10"/>
      <c r="V966" s="10"/>
      <c r="W966" s="10"/>
      <c r="X966" s="10"/>
      <c r="Y966" s="10"/>
      <c r="Z966" s="10"/>
      <c r="AA966" s="10"/>
      <c r="AB966" s="10"/>
      <c r="AC966" s="10"/>
      <c r="AD966" s="10"/>
      <c r="AE966" s="10"/>
      <c r="AF966" s="10"/>
      <c r="AG966" s="14"/>
    </row>
    <row r="967" spans="1:33">
      <c r="A967" s="10"/>
      <c r="B967" s="10"/>
      <c r="C967" s="10"/>
      <c r="D967" s="10"/>
      <c r="E967" s="10"/>
      <c r="F967" s="10"/>
      <c r="G967" s="10"/>
      <c r="H967" s="10"/>
      <c r="I967" s="10"/>
      <c r="J967" s="10"/>
      <c r="K967" s="10"/>
      <c r="L967" s="10"/>
      <c r="M967" s="10"/>
      <c r="N967" s="10"/>
      <c r="O967" s="10"/>
      <c r="P967" s="10"/>
      <c r="Q967" s="10"/>
      <c r="R967" s="10"/>
      <c r="S967" s="10"/>
      <c r="T967" s="10"/>
      <c r="U967" s="10"/>
      <c r="V967" s="10"/>
      <c r="W967" s="10"/>
      <c r="X967" s="10"/>
      <c r="Y967" s="10"/>
      <c r="Z967" s="10"/>
      <c r="AA967" s="10"/>
      <c r="AB967" s="10"/>
      <c r="AC967" s="10"/>
      <c r="AD967" s="10"/>
      <c r="AE967" s="10"/>
      <c r="AF967" s="10"/>
      <c r="AG967" s="14"/>
    </row>
    <row r="968" spans="1:33">
      <c r="A968" s="10"/>
      <c r="B968" s="10"/>
      <c r="C968" s="10"/>
      <c r="D968" s="10"/>
      <c r="E968" s="10"/>
      <c r="F968" s="10"/>
      <c r="G968" s="10"/>
      <c r="H968" s="10"/>
      <c r="I968" s="10"/>
      <c r="J968" s="10"/>
      <c r="K968" s="10"/>
      <c r="L968" s="10"/>
      <c r="M968" s="10"/>
      <c r="N968" s="10"/>
      <c r="O968" s="10"/>
      <c r="P968" s="10"/>
      <c r="Q968" s="10"/>
      <c r="R968" s="10"/>
      <c r="S968" s="10"/>
      <c r="T968" s="10"/>
      <c r="U968" s="10"/>
      <c r="V968" s="10"/>
      <c r="W968" s="10"/>
      <c r="X968" s="10"/>
      <c r="Y968" s="10"/>
      <c r="Z968" s="10"/>
      <c r="AA968" s="10"/>
      <c r="AB968" s="10"/>
      <c r="AC968" s="10"/>
      <c r="AD968" s="10"/>
      <c r="AE968" s="10"/>
      <c r="AF968" s="10"/>
      <c r="AG968" s="14"/>
    </row>
    <row r="969" spans="1:33">
      <c r="A969" s="10"/>
      <c r="B969" s="10"/>
      <c r="C969" s="10"/>
      <c r="D969" s="10"/>
      <c r="E969" s="10"/>
      <c r="F969" s="10"/>
      <c r="G969" s="10"/>
      <c r="H969" s="10"/>
      <c r="I969" s="10"/>
      <c r="J969" s="10"/>
      <c r="K969" s="10"/>
      <c r="L969" s="10"/>
      <c r="M969" s="10"/>
      <c r="N969" s="10"/>
      <c r="O969" s="10"/>
      <c r="P969" s="10"/>
      <c r="Q969" s="10"/>
      <c r="R969" s="10"/>
      <c r="S969" s="10"/>
      <c r="T969" s="10"/>
      <c r="U969" s="10"/>
      <c r="V969" s="10"/>
      <c r="W969" s="10"/>
      <c r="X969" s="10"/>
      <c r="Y969" s="10"/>
      <c r="Z969" s="10"/>
      <c r="AA969" s="10"/>
      <c r="AB969" s="10"/>
      <c r="AC969" s="10"/>
      <c r="AD969" s="10"/>
      <c r="AE969" s="10"/>
      <c r="AF969" s="10"/>
      <c r="AG969" s="14"/>
    </row>
    <row r="970" spans="1:33">
      <c r="A970" s="10"/>
      <c r="B970" s="10"/>
      <c r="C970" s="10"/>
      <c r="D970" s="10"/>
      <c r="E970" s="10"/>
      <c r="F970" s="10"/>
      <c r="G970" s="10"/>
      <c r="H970" s="10"/>
      <c r="I970" s="10"/>
      <c r="J970" s="10"/>
      <c r="K970" s="10"/>
      <c r="L970" s="10"/>
      <c r="M970" s="10"/>
      <c r="N970" s="10"/>
      <c r="O970" s="10"/>
      <c r="P970" s="10"/>
      <c r="Q970" s="10"/>
      <c r="R970" s="10"/>
      <c r="S970" s="10"/>
      <c r="T970" s="10"/>
      <c r="U970" s="10"/>
      <c r="V970" s="10"/>
      <c r="W970" s="10"/>
      <c r="X970" s="10"/>
      <c r="Y970" s="10"/>
      <c r="Z970" s="10"/>
      <c r="AA970" s="10"/>
      <c r="AB970" s="10"/>
      <c r="AC970" s="10"/>
      <c r="AD970" s="10"/>
      <c r="AE970" s="10"/>
      <c r="AF970" s="10"/>
      <c r="AG970" s="14"/>
    </row>
    <row r="971" spans="1:33">
      <c r="A971" s="10"/>
      <c r="B971" s="10"/>
      <c r="C971" s="10"/>
      <c r="D971" s="10"/>
      <c r="E971" s="10"/>
      <c r="F971" s="10"/>
      <c r="G971" s="10"/>
      <c r="H971" s="10"/>
      <c r="I971" s="10"/>
      <c r="J971" s="10"/>
      <c r="K971" s="10"/>
      <c r="L971" s="10"/>
      <c r="M971" s="10"/>
      <c r="N971" s="10"/>
      <c r="O971" s="10"/>
      <c r="P971" s="10"/>
      <c r="Q971" s="10"/>
      <c r="R971" s="10"/>
      <c r="S971" s="10"/>
      <c r="T971" s="10"/>
      <c r="U971" s="10"/>
      <c r="V971" s="10"/>
      <c r="W971" s="10"/>
      <c r="X971" s="10"/>
      <c r="Y971" s="10"/>
      <c r="Z971" s="10"/>
      <c r="AA971" s="10"/>
      <c r="AB971" s="10"/>
      <c r="AC971" s="10"/>
      <c r="AD971" s="10"/>
      <c r="AE971" s="10"/>
      <c r="AF971" s="10"/>
      <c r="AG971" s="14"/>
    </row>
    <row r="972" spans="1:33">
      <c r="A972" s="10"/>
      <c r="B972" s="10"/>
      <c r="C972" s="10"/>
      <c r="D972" s="10"/>
      <c r="E972" s="10"/>
      <c r="F972" s="10"/>
      <c r="G972" s="10"/>
      <c r="H972" s="10"/>
      <c r="I972" s="10"/>
      <c r="J972" s="10"/>
      <c r="K972" s="10"/>
      <c r="L972" s="10"/>
      <c r="M972" s="10"/>
      <c r="N972" s="10"/>
      <c r="O972" s="10"/>
      <c r="P972" s="10"/>
      <c r="Q972" s="10"/>
      <c r="R972" s="10"/>
      <c r="S972" s="10"/>
      <c r="T972" s="10"/>
      <c r="U972" s="10"/>
      <c r="V972" s="10"/>
      <c r="W972" s="10"/>
      <c r="X972" s="10"/>
      <c r="Y972" s="10"/>
      <c r="Z972" s="10"/>
      <c r="AA972" s="10"/>
      <c r="AB972" s="10"/>
      <c r="AC972" s="10"/>
      <c r="AD972" s="10"/>
      <c r="AE972" s="10"/>
      <c r="AF972" s="10"/>
      <c r="AG972" s="14"/>
    </row>
    <row r="973" spans="1:33">
      <c r="A973" s="10"/>
      <c r="B973" s="10"/>
      <c r="C973" s="10"/>
      <c r="D973" s="10"/>
      <c r="E973" s="10"/>
      <c r="F973" s="10"/>
      <c r="G973" s="10"/>
      <c r="H973" s="10"/>
      <c r="I973" s="10"/>
      <c r="J973" s="10"/>
      <c r="K973" s="10"/>
      <c r="L973" s="10"/>
      <c r="M973" s="10"/>
      <c r="N973" s="10"/>
      <c r="O973" s="10"/>
      <c r="P973" s="10"/>
      <c r="Q973" s="10"/>
      <c r="R973" s="10"/>
      <c r="S973" s="10"/>
      <c r="T973" s="10"/>
      <c r="U973" s="10"/>
      <c r="V973" s="10"/>
      <c r="W973" s="10"/>
      <c r="X973" s="10"/>
      <c r="Y973" s="10"/>
      <c r="Z973" s="10"/>
      <c r="AA973" s="10"/>
      <c r="AB973" s="10"/>
      <c r="AC973" s="10"/>
      <c r="AD973" s="10"/>
      <c r="AE973" s="10"/>
      <c r="AF973" s="10"/>
      <c r="AG973" s="14"/>
    </row>
    <row r="974" spans="1:33">
      <c r="A974" s="10"/>
      <c r="B974" s="10"/>
      <c r="C974" s="10"/>
      <c r="D974" s="10"/>
      <c r="E974" s="10"/>
      <c r="F974" s="10"/>
      <c r="G974" s="10"/>
      <c r="H974" s="10"/>
      <c r="I974" s="10"/>
      <c r="J974" s="10"/>
      <c r="K974" s="10"/>
      <c r="L974" s="10"/>
      <c r="M974" s="10"/>
      <c r="N974" s="10"/>
      <c r="O974" s="10"/>
      <c r="P974" s="10"/>
      <c r="Q974" s="10"/>
      <c r="R974" s="10"/>
      <c r="S974" s="10"/>
      <c r="T974" s="10"/>
      <c r="U974" s="10"/>
      <c r="V974" s="10"/>
      <c r="W974" s="10"/>
      <c r="X974" s="10"/>
      <c r="Y974" s="10"/>
      <c r="Z974" s="10"/>
      <c r="AA974" s="10"/>
      <c r="AB974" s="10"/>
      <c r="AC974" s="10"/>
      <c r="AD974" s="10"/>
      <c r="AE974" s="10"/>
      <c r="AF974" s="10"/>
      <c r="AG974" s="14"/>
    </row>
    <row r="975" spans="1:33">
      <c r="A975" s="10"/>
      <c r="B975" s="10"/>
      <c r="C975" s="10"/>
      <c r="D975" s="10"/>
      <c r="E975" s="10"/>
      <c r="F975" s="10"/>
      <c r="G975" s="10"/>
      <c r="H975" s="10"/>
      <c r="I975" s="10"/>
      <c r="J975" s="10"/>
      <c r="K975" s="10"/>
      <c r="L975" s="10"/>
      <c r="M975" s="10"/>
      <c r="N975" s="10"/>
      <c r="O975" s="10"/>
      <c r="P975" s="10"/>
      <c r="Q975" s="10"/>
      <c r="R975" s="10"/>
      <c r="S975" s="10"/>
      <c r="T975" s="10"/>
      <c r="U975" s="10"/>
      <c r="V975" s="10"/>
      <c r="W975" s="10"/>
      <c r="X975" s="10"/>
      <c r="Y975" s="10"/>
      <c r="Z975" s="10"/>
      <c r="AA975" s="10"/>
      <c r="AB975" s="10"/>
      <c r="AC975" s="10"/>
      <c r="AD975" s="10"/>
      <c r="AE975" s="10"/>
      <c r="AF975" s="10"/>
      <c r="AG975" s="14"/>
    </row>
    <row r="976" spans="1:33">
      <c r="A976" s="10"/>
      <c r="B976" s="10"/>
      <c r="C976" s="10"/>
      <c r="D976" s="10"/>
      <c r="E976" s="10"/>
      <c r="F976" s="10"/>
      <c r="G976" s="10"/>
      <c r="H976" s="10"/>
      <c r="I976" s="10"/>
      <c r="J976" s="10"/>
      <c r="K976" s="10"/>
      <c r="L976" s="10"/>
      <c r="M976" s="10"/>
      <c r="N976" s="10"/>
      <c r="O976" s="10"/>
      <c r="P976" s="10"/>
      <c r="Q976" s="10"/>
      <c r="R976" s="10"/>
      <c r="S976" s="10"/>
      <c r="T976" s="10"/>
      <c r="U976" s="10"/>
      <c r="V976" s="10"/>
      <c r="W976" s="10"/>
      <c r="X976" s="10"/>
      <c r="Y976" s="10"/>
      <c r="Z976" s="10"/>
      <c r="AA976" s="10"/>
      <c r="AB976" s="10"/>
      <c r="AC976" s="10"/>
      <c r="AD976" s="10"/>
      <c r="AE976" s="10"/>
      <c r="AF976" s="10"/>
      <c r="AG976" s="14"/>
    </row>
    <row r="977" spans="1:33">
      <c r="A977" s="10"/>
      <c r="B977" s="10"/>
      <c r="C977" s="10"/>
      <c r="D977" s="10"/>
      <c r="E977" s="10"/>
      <c r="F977" s="10"/>
      <c r="G977" s="10"/>
      <c r="H977" s="10"/>
      <c r="I977" s="10"/>
      <c r="J977" s="10"/>
      <c r="K977" s="10"/>
      <c r="L977" s="10"/>
      <c r="M977" s="10"/>
      <c r="N977" s="10"/>
      <c r="O977" s="10"/>
      <c r="P977" s="10"/>
      <c r="Q977" s="10"/>
      <c r="R977" s="10"/>
      <c r="S977" s="10"/>
      <c r="T977" s="10"/>
      <c r="U977" s="10"/>
      <c r="V977" s="10"/>
      <c r="W977" s="10"/>
      <c r="X977" s="10"/>
      <c r="Y977" s="10"/>
      <c r="Z977" s="10"/>
      <c r="AA977" s="10"/>
      <c r="AB977" s="10"/>
      <c r="AC977" s="10"/>
      <c r="AD977" s="10"/>
      <c r="AE977" s="10"/>
      <c r="AF977" s="10"/>
      <c r="AG977" s="14"/>
    </row>
    <row r="978" spans="1:33">
      <c r="A978" s="10"/>
      <c r="B978" s="10"/>
      <c r="C978" s="10"/>
      <c r="D978" s="10"/>
      <c r="E978" s="10"/>
      <c r="F978" s="10"/>
      <c r="G978" s="10"/>
      <c r="H978" s="10"/>
      <c r="I978" s="10"/>
      <c r="J978" s="10"/>
      <c r="K978" s="10"/>
      <c r="L978" s="10"/>
      <c r="M978" s="10"/>
      <c r="N978" s="10"/>
      <c r="O978" s="10"/>
      <c r="P978" s="10"/>
      <c r="Q978" s="10"/>
      <c r="R978" s="10"/>
      <c r="S978" s="10"/>
      <c r="T978" s="10"/>
      <c r="U978" s="10"/>
      <c r="V978" s="10"/>
      <c r="W978" s="10"/>
      <c r="X978" s="10"/>
      <c r="Y978" s="10"/>
      <c r="Z978" s="10"/>
      <c r="AA978" s="10"/>
      <c r="AB978" s="10"/>
      <c r="AC978" s="10"/>
      <c r="AD978" s="10"/>
      <c r="AE978" s="10"/>
      <c r="AF978" s="10"/>
      <c r="AG978" s="14"/>
    </row>
    <row r="979" spans="1:33">
      <c r="A979" s="10"/>
      <c r="B979" s="10"/>
      <c r="C979" s="10"/>
      <c r="D979" s="10"/>
      <c r="E979" s="10"/>
      <c r="F979" s="10"/>
      <c r="G979" s="10"/>
      <c r="H979" s="10"/>
      <c r="I979" s="10"/>
      <c r="J979" s="10"/>
      <c r="K979" s="10"/>
      <c r="L979" s="10"/>
      <c r="M979" s="10"/>
      <c r="N979" s="10"/>
      <c r="O979" s="10"/>
      <c r="P979" s="10"/>
      <c r="Q979" s="10"/>
      <c r="R979" s="10"/>
      <c r="S979" s="10"/>
      <c r="T979" s="10"/>
      <c r="U979" s="10"/>
      <c r="V979" s="10"/>
      <c r="W979" s="10"/>
      <c r="X979" s="10"/>
      <c r="Y979" s="10"/>
      <c r="Z979" s="10"/>
      <c r="AA979" s="10"/>
      <c r="AB979" s="10"/>
      <c r="AC979" s="10"/>
      <c r="AD979" s="10"/>
      <c r="AE979" s="10"/>
      <c r="AF979" s="10"/>
      <c r="AG979" s="14"/>
    </row>
    <row r="980" spans="1:33">
      <c r="A980" s="10"/>
      <c r="B980" s="10"/>
      <c r="C980" s="10"/>
      <c r="D980" s="10"/>
      <c r="E980" s="10"/>
      <c r="F980" s="10"/>
      <c r="G980" s="10"/>
      <c r="H980" s="10"/>
      <c r="I980" s="10"/>
      <c r="J980" s="10"/>
      <c r="K980" s="10"/>
      <c r="L980" s="10"/>
      <c r="M980" s="10"/>
      <c r="N980" s="10"/>
      <c r="O980" s="10"/>
      <c r="P980" s="10"/>
      <c r="Q980" s="10"/>
      <c r="R980" s="10"/>
      <c r="S980" s="10"/>
      <c r="T980" s="10"/>
      <c r="U980" s="10"/>
      <c r="V980" s="10"/>
      <c r="W980" s="10"/>
      <c r="X980" s="10"/>
      <c r="Y980" s="10"/>
      <c r="Z980" s="10"/>
      <c r="AA980" s="10"/>
      <c r="AB980" s="10"/>
      <c r="AC980" s="10"/>
      <c r="AD980" s="10"/>
      <c r="AE980" s="10"/>
      <c r="AF980" s="10"/>
      <c r="AG980" s="14"/>
    </row>
    <row r="981" spans="1:33">
      <c r="A981" s="10"/>
      <c r="B981" s="10"/>
      <c r="C981" s="10"/>
      <c r="D981" s="10"/>
      <c r="E981" s="10"/>
      <c r="F981" s="10"/>
      <c r="G981" s="10"/>
      <c r="H981" s="10"/>
      <c r="I981" s="10"/>
      <c r="J981" s="10"/>
      <c r="K981" s="10"/>
      <c r="L981" s="10"/>
      <c r="M981" s="10"/>
      <c r="N981" s="10"/>
      <c r="O981" s="10"/>
      <c r="P981" s="10"/>
      <c r="Q981" s="10"/>
      <c r="R981" s="10"/>
      <c r="S981" s="10"/>
      <c r="T981" s="10"/>
      <c r="U981" s="10"/>
      <c r="V981" s="10"/>
      <c r="W981" s="10"/>
      <c r="X981" s="10"/>
      <c r="Y981" s="10"/>
      <c r="Z981" s="10"/>
      <c r="AA981" s="10"/>
      <c r="AB981" s="10"/>
      <c r="AC981" s="10"/>
      <c r="AD981" s="10"/>
      <c r="AE981" s="10"/>
      <c r="AF981" s="10"/>
      <c r="AG981" s="14"/>
    </row>
    <row r="982" spans="1:33">
      <c r="A982" s="10"/>
      <c r="B982" s="10"/>
      <c r="C982" s="10"/>
      <c r="D982" s="10"/>
      <c r="E982" s="10"/>
      <c r="F982" s="10"/>
      <c r="G982" s="10"/>
      <c r="H982" s="10"/>
      <c r="I982" s="10"/>
      <c r="J982" s="10"/>
      <c r="K982" s="10"/>
      <c r="L982" s="10"/>
      <c r="M982" s="10"/>
      <c r="N982" s="10"/>
      <c r="O982" s="10"/>
      <c r="P982" s="10"/>
      <c r="Q982" s="10"/>
      <c r="R982" s="10"/>
      <c r="S982" s="10"/>
      <c r="T982" s="10"/>
      <c r="U982" s="10"/>
      <c r="V982" s="10"/>
      <c r="W982" s="10"/>
      <c r="X982" s="10"/>
      <c r="Y982" s="10"/>
      <c r="Z982" s="10"/>
      <c r="AA982" s="10"/>
      <c r="AB982" s="10"/>
      <c r="AC982" s="10"/>
      <c r="AD982" s="10"/>
      <c r="AE982" s="10"/>
      <c r="AF982" s="10"/>
      <c r="AG982" s="14"/>
    </row>
    <row r="983" spans="1:33">
      <c r="A983" s="10"/>
      <c r="B983" s="10"/>
      <c r="C983" s="10"/>
      <c r="D983" s="10"/>
      <c r="E983" s="10"/>
      <c r="F983" s="10"/>
      <c r="G983" s="10"/>
      <c r="H983" s="10"/>
      <c r="I983" s="10"/>
      <c r="J983" s="10"/>
      <c r="K983" s="10"/>
      <c r="L983" s="10"/>
      <c r="M983" s="10"/>
      <c r="N983" s="10"/>
      <c r="O983" s="10"/>
      <c r="P983" s="10"/>
      <c r="Q983" s="10"/>
      <c r="R983" s="10"/>
      <c r="S983" s="10"/>
      <c r="T983" s="10"/>
      <c r="U983" s="10"/>
      <c r="V983" s="10"/>
      <c r="W983" s="10"/>
      <c r="X983" s="10"/>
      <c r="Y983" s="10"/>
      <c r="Z983" s="10"/>
      <c r="AA983" s="10"/>
      <c r="AB983" s="10"/>
      <c r="AC983" s="10"/>
      <c r="AD983" s="10"/>
      <c r="AE983" s="10"/>
      <c r="AF983" s="10"/>
      <c r="AG983" s="14"/>
    </row>
    <row r="984" spans="1:33">
      <c r="A984" s="10"/>
      <c r="B984" s="10"/>
      <c r="C984" s="10"/>
      <c r="D984" s="10"/>
      <c r="E984" s="10"/>
      <c r="F984" s="10"/>
      <c r="G984" s="10"/>
      <c r="H984" s="10"/>
      <c r="I984" s="10"/>
      <c r="J984" s="10"/>
      <c r="K984" s="10"/>
      <c r="L984" s="10"/>
      <c r="M984" s="10"/>
      <c r="N984" s="10"/>
      <c r="O984" s="10"/>
      <c r="P984" s="10"/>
      <c r="Q984" s="10"/>
      <c r="R984" s="10"/>
      <c r="S984" s="10"/>
      <c r="T984" s="10"/>
      <c r="U984" s="10"/>
      <c r="V984" s="10"/>
      <c r="W984" s="10"/>
      <c r="X984" s="10"/>
      <c r="Y984" s="10"/>
      <c r="Z984" s="10"/>
      <c r="AA984" s="10"/>
      <c r="AB984" s="10"/>
      <c r="AC984" s="10"/>
      <c r="AD984" s="10"/>
      <c r="AE984" s="10"/>
      <c r="AF984" s="10"/>
      <c r="AG984" s="14"/>
    </row>
    <row r="985" spans="1:33">
      <c r="A985" s="10"/>
      <c r="B985" s="10"/>
      <c r="C985" s="10"/>
      <c r="D985" s="10"/>
      <c r="E985" s="10"/>
      <c r="F985" s="10"/>
      <c r="G985" s="10"/>
      <c r="H985" s="10"/>
      <c r="I985" s="10"/>
      <c r="J985" s="10"/>
      <c r="K985" s="10"/>
      <c r="L985" s="10"/>
      <c r="M985" s="10"/>
      <c r="N985" s="10"/>
      <c r="O985" s="10"/>
      <c r="P985" s="10"/>
      <c r="Q985" s="10"/>
      <c r="R985" s="10"/>
      <c r="S985" s="10"/>
      <c r="T985" s="10"/>
      <c r="U985" s="10"/>
      <c r="V985" s="10"/>
      <c r="W985" s="10"/>
      <c r="X985" s="10"/>
      <c r="Y985" s="10"/>
      <c r="Z985" s="10"/>
      <c r="AA985" s="10"/>
      <c r="AB985" s="10"/>
      <c r="AC985" s="10"/>
      <c r="AD985" s="10"/>
      <c r="AE985" s="10"/>
      <c r="AF985" s="10"/>
      <c r="AG985" s="14"/>
    </row>
    <row r="986" spans="1:33">
      <c r="A986" s="10"/>
      <c r="B986" s="10"/>
      <c r="C986" s="10"/>
      <c r="D986" s="10"/>
      <c r="E986" s="10"/>
      <c r="F986" s="10"/>
      <c r="G986" s="10"/>
      <c r="H986" s="10"/>
      <c r="I986" s="10"/>
      <c r="J986" s="10"/>
      <c r="K986" s="10"/>
      <c r="L986" s="10"/>
      <c r="M986" s="10"/>
      <c r="N986" s="10"/>
      <c r="O986" s="10"/>
      <c r="P986" s="10"/>
      <c r="Q986" s="10"/>
      <c r="R986" s="10"/>
      <c r="S986" s="10"/>
      <c r="T986" s="10"/>
      <c r="U986" s="10"/>
      <c r="V986" s="10"/>
      <c r="W986" s="10"/>
      <c r="X986" s="10"/>
      <c r="Y986" s="10"/>
      <c r="Z986" s="10"/>
      <c r="AA986" s="10"/>
      <c r="AB986" s="10"/>
      <c r="AC986" s="10"/>
      <c r="AD986" s="10"/>
      <c r="AE986" s="10"/>
      <c r="AF986" s="10"/>
      <c r="AG986" s="14"/>
    </row>
    <row r="987" spans="1:33">
      <c r="A987" s="10"/>
      <c r="B987" s="10"/>
      <c r="C987" s="10"/>
      <c r="D987" s="10"/>
      <c r="E987" s="10"/>
      <c r="F987" s="10"/>
      <c r="G987" s="10"/>
      <c r="H987" s="10"/>
      <c r="I987" s="10"/>
      <c r="J987" s="10"/>
      <c r="K987" s="10"/>
      <c r="L987" s="10"/>
      <c r="M987" s="10"/>
      <c r="N987" s="10"/>
      <c r="O987" s="10"/>
      <c r="P987" s="10"/>
      <c r="Q987" s="10"/>
      <c r="R987" s="10"/>
      <c r="S987" s="10"/>
      <c r="T987" s="10"/>
      <c r="U987" s="10"/>
      <c r="V987" s="10"/>
      <c r="W987" s="10"/>
      <c r="X987" s="10"/>
      <c r="Y987" s="10"/>
      <c r="Z987" s="10"/>
      <c r="AA987" s="10"/>
      <c r="AB987" s="10"/>
      <c r="AC987" s="10"/>
      <c r="AD987" s="10"/>
      <c r="AE987" s="10"/>
      <c r="AF987" s="10"/>
      <c r="AG987" s="14"/>
    </row>
    <row r="988" spans="1:33">
      <c r="A988" s="10"/>
      <c r="B988" s="10"/>
      <c r="C988" s="10"/>
      <c r="D988" s="10"/>
      <c r="E988" s="10"/>
      <c r="F988" s="10"/>
      <c r="G988" s="10"/>
      <c r="H988" s="10"/>
      <c r="I988" s="10"/>
      <c r="J988" s="10"/>
      <c r="K988" s="10"/>
      <c r="L988" s="10"/>
      <c r="M988" s="10"/>
      <c r="N988" s="10"/>
      <c r="O988" s="10"/>
      <c r="P988" s="10"/>
      <c r="Q988" s="10"/>
      <c r="R988" s="10"/>
      <c r="S988" s="10"/>
      <c r="T988" s="10"/>
      <c r="U988" s="10"/>
      <c r="V988" s="10"/>
      <c r="W988" s="10"/>
      <c r="X988" s="10"/>
      <c r="Y988" s="10"/>
      <c r="Z988" s="10"/>
      <c r="AA988" s="10"/>
      <c r="AB988" s="10"/>
      <c r="AC988" s="10"/>
      <c r="AD988" s="10"/>
      <c r="AE988" s="10"/>
      <c r="AF988" s="10"/>
      <c r="AG988" s="14"/>
    </row>
    <row r="989" spans="1:33">
      <c r="A989" s="10"/>
      <c r="B989" s="10"/>
      <c r="C989" s="10"/>
      <c r="D989" s="10"/>
      <c r="E989" s="10"/>
      <c r="F989" s="10"/>
      <c r="G989" s="10"/>
      <c r="H989" s="10"/>
      <c r="I989" s="10"/>
      <c r="J989" s="10"/>
      <c r="K989" s="10"/>
      <c r="L989" s="10"/>
      <c r="M989" s="10"/>
      <c r="N989" s="10"/>
      <c r="O989" s="10"/>
      <c r="P989" s="10"/>
      <c r="Q989" s="10"/>
      <c r="R989" s="10"/>
      <c r="S989" s="10"/>
      <c r="T989" s="10"/>
      <c r="U989" s="10"/>
      <c r="V989" s="10"/>
      <c r="W989" s="10"/>
      <c r="X989" s="10"/>
      <c r="Y989" s="10"/>
      <c r="Z989" s="10"/>
      <c r="AA989" s="10"/>
      <c r="AB989" s="10"/>
      <c r="AC989" s="10"/>
      <c r="AD989" s="10"/>
      <c r="AE989" s="10"/>
      <c r="AF989" s="10"/>
      <c r="AG989" s="14"/>
    </row>
    <row r="990" spans="1:33">
      <c r="A990" s="10"/>
      <c r="B990" s="10"/>
      <c r="C990" s="10"/>
      <c r="D990" s="10"/>
      <c r="E990" s="10"/>
      <c r="F990" s="10"/>
      <c r="G990" s="10"/>
      <c r="H990" s="10"/>
      <c r="I990" s="10"/>
      <c r="J990" s="10"/>
      <c r="K990" s="10"/>
      <c r="L990" s="10"/>
      <c r="M990" s="10"/>
      <c r="N990" s="10"/>
      <c r="O990" s="10"/>
      <c r="P990" s="10"/>
      <c r="Q990" s="10"/>
      <c r="R990" s="10"/>
      <c r="S990" s="10"/>
      <c r="T990" s="10"/>
      <c r="U990" s="10"/>
      <c r="V990" s="10"/>
      <c r="W990" s="10"/>
      <c r="X990" s="10"/>
      <c r="Y990" s="10"/>
      <c r="Z990" s="10"/>
      <c r="AA990" s="10"/>
      <c r="AB990" s="10"/>
      <c r="AC990" s="10"/>
      <c r="AD990" s="10"/>
      <c r="AE990" s="10"/>
      <c r="AF990" s="10"/>
      <c r="AG990" s="14"/>
    </row>
    <row r="991" spans="1:33">
      <c r="A991" s="10"/>
      <c r="B991" s="10"/>
      <c r="C991" s="10"/>
      <c r="D991" s="10"/>
      <c r="E991" s="10"/>
      <c r="F991" s="10"/>
      <c r="G991" s="10"/>
      <c r="H991" s="10"/>
      <c r="I991" s="10"/>
      <c r="J991" s="10"/>
      <c r="K991" s="10"/>
      <c r="L991" s="10"/>
      <c r="M991" s="10"/>
      <c r="N991" s="10"/>
      <c r="O991" s="10"/>
      <c r="P991" s="10"/>
      <c r="Q991" s="10"/>
      <c r="R991" s="10"/>
      <c r="S991" s="10"/>
      <c r="T991" s="10"/>
      <c r="U991" s="10"/>
      <c r="V991" s="10"/>
      <c r="W991" s="10"/>
      <c r="X991" s="10"/>
      <c r="Y991" s="10"/>
      <c r="Z991" s="10"/>
      <c r="AA991" s="10"/>
      <c r="AB991" s="10"/>
      <c r="AC991" s="10"/>
      <c r="AD991" s="10"/>
      <c r="AE991" s="10"/>
      <c r="AF991" s="10"/>
      <c r="AG991" s="14"/>
    </row>
    <row r="992" spans="1:33">
      <c r="A992" s="10"/>
      <c r="B992" s="10"/>
      <c r="C992" s="10"/>
      <c r="D992" s="10"/>
      <c r="E992" s="10"/>
      <c r="F992" s="10"/>
      <c r="G992" s="10"/>
      <c r="H992" s="10"/>
      <c r="I992" s="10"/>
      <c r="J992" s="10"/>
      <c r="K992" s="10"/>
      <c r="L992" s="10"/>
      <c r="M992" s="10"/>
      <c r="N992" s="10"/>
      <c r="O992" s="10"/>
      <c r="P992" s="10"/>
      <c r="Q992" s="10"/>
      <c r="R992" s="10"/>
      <c r="S992" s="10"/>
      <c r="T992" s="10"/>
      <c r="U992" s="10"/>
      <c r="V992" s="10"/>
      <c r="W992" s="10"/>
      <c r="X992" s="10"/>
      <c r="Y992" s="10"/>
      <c r="Z992" s="10"/>
      <c r="AA992" s="10"/>
      <c r="AB992" s="10"/>
      <c r="AC992" s="10"/>
      <c r="AD992" s="10"/>
      <c r="AE992" s="10"/>
      <c r="AF992" s="10"/>
      <c r="AG992" s="14"/>
    </row>
    <row r="993" spans="1:33">
      <c r="A993" s="10"/>
      <c r="B993" s="10"/>
      <c r="C993" s="10"/>
      <c r="D993" s="10"/>
      <c r="E993" s="10"/>
      <c r="F993" s="10"/>
      <c r="G993" s="10"/>
      <c r="H993" s="10"/>
      <c r="I993" s="10"/>
      <c r="J993" s="10"/>
      <c r="K993" s="10"/>
      <c r="L993" s="10"/>
      <c r="M993" s="10"/>
      <c r="N993" s="10"/>
      <c r="O993" s="10"/>
      <c r="P993" s="10"/>
      <c r="Q993" s="10"/>
      <c r="R993" s="10"/>
      <c r="S993" s="10"/>
      <c r="T993" s="10"/>
      <c r="U993" s="10"/>
      <c r="V993" s="10"/>
      <c r="W993" s="10"/>
      <c r="X993" s="10"/>
      <c r="Y993" s="10"/>
      <c r="Z993" s="10"/>
      <c r="AA993" s="10"/>
      <c r="AB993" s="10"/>
      <c r="AC993" s="10"/>
      <c r="AD993" s="10"/>
      <c r="AE993" s="10"/>
      <c r="AF993" s="10"/>
      <c r="AG993" s="14"/>
    </row>
    <row r="994" spans="1:33">
      <c r="A994" s="10"/>
      <c r="B994" s="10"/>
      <c r="C994" s="10"/>
      <c r="D994" s="10"/>
      <c r="E994" s="10"/>
      <c r="F994" s="10"/>
      <c r="G994" s="10"/>
      <c r="H994" s="10"/>
      <c r="I994" s="10"/>
      <c r="J994" s="10"/>
      <c r="K994" s="10"/>
      <c r="L994" s="10"/>
      <c r="M994" s="10"/>
      <c r="N994" s="10"/>
      <c r="O994" s="10"/>
      <c r="P994" s="10"/>
      <c r="Q994" s="10"/>
      <c r="R994" s="10"/>
      <c r="S994" s="10"/>
      <c r="T994" s="10"/>
      <c r="U994" s="10"/>
      <c r="V994" s="10"/>
      <c r="W994" s="10"/>
      <c r="X994" s="10"/>
      <c r="Y994" s="10"/>
      <c r="Z994" s="10"/>
      <c r="AA994" s="10"/>
      <c r="AB994" s="10"/>
      <c r="AC994" s="10"/>
      <c r="AD994" s="10"/>
      <c r="AE994" s="10"/>
      <c r="AF994" s="10"/>
      <c r="AG994" s="14"/>
    </row>
    <row r="995" spans="1:33">
      <c r="A995" s="10"/>
      <c r="B995" s="10"/>
      <c r="C995" s="10"/>
      <c r="D995" s="10"/>
      <c r="E995" s="10"/>
      <c r="F995" s="10"/>
      <c r="G995" s="10"/>
      <c r="H995" s="10"/>
      <c r="I995" s="10"/>
      <c r="J995" s="10"/>
      <c r="K995" s="10"/>
      <c r="L995" s="10"/>
      <c r="M995" s="10"/>
      <c r="N995" s="10"/>
      <c r="O995" s="10"/>
      <c r="P995" s="10"/>
      <c r="Q995" s="10"/>
      <c r="R995" s="10"/>
      <c r="S995" s="10"/>
      <c r="T995" s="10"/>
      <c r="U995" s="10"/>
      <c r="V995" s="10"/>
      <c r="W995" s="10"/>
      <c r="X995" s="10"/>
      <c r="Y995" s="10"/>
      <c r="Z995" s="10"/>
      <c r="AA995" s="10"/>
      <c r="AB995" s="10"/>
      <c r="AC995" s="10"/>
      <c r="AD995" s="10"/>
      <c r="AE995" s="10"/>
      <c r="AF995" s="10"/>
      <c r="AG995" s="14"/>
    </row>
    <row r="996" spans="1:33">
      <c r="A996" s="13"/>
      <c r="B996" s="10"/>
      <c r="C996" s="10"/>
      <c r="D996" s="10"/>
      <c r="E996" s="10"/>
      <c r="F996" s="10"/>
      <c r="G996" s="10"/>
      <c r="H996" s="10"/>
      <c r="I996" s="10"/>
      <c r="J996" s="10"/>
      <c r="K996" s="10"/>
      <c r="L996" s="10"/>
      <c r="M996" s="10"/>
      <c r="N996" s="10"/>
      <c r="O996" s="10"/>
      <c r="P996" s="10"/>
      <c r="Q996" s="10"/>
      <c r="R996" s="10"/>
      <c r="S996" s="10"/>
      <c r="T996" s="10"/>
      <c r="U996" s="10"/>
      <c r="V996" s="10"/>
      <c r="W996" s="10"/>
      <c r="X996" s="10"/>
      <c r="Y996" s="10"/>
      <c r="Z996" s="10"/>
      <c r="AA996" s="10"/>
      <c r="AB996" s="10"/>
      <c r="AC996" s="10"/>
      <c r="AD996" s="10"/>
      <c r="AE996" s="10"/>
      <c r="AF996" s="10"/>
      <c r="AG996" s="14"/>
    </row>
    <row r="997" spans="1:33">
      <c r="A997" s="13"/>
      <c r="B997" s="10"/>
      <c r="C997" s="10"/>
      <c r="D997" s="10"/>
      <c r="E997" s="10"/>
      <c r="F997" s="10"/>
      <c r="G997" s="10"/>
      <c r="H997" s="10"/>
      <c r="I997" s="10"/>
      <c r="J997" s="10"/>
      <c r="K997" s="10"/>
      <c r="L997" s="10"/>
      <c r="M997" s="10"/>
      <c r="N997" s="10"/>
      <c r="O997" s="10"/>
      <c r="P997" s="10"/>
      <c r="Q997" s="10"/>
      <c r="R997" s="10"/>
      <c r="S997" s="10"/>
      <c r="T997" s="10"/>
      <c r="U997" s="10"/>
      <c r="V997" s="10"/>
      <c r="W997" s="10"/>
      <c r="X997" s="10"/>
      <c r="Y997" s="10"/>
      <c r="Z997" s="10"/>
      <c r="AA997" s="10"/>
      <c r="AB997" s="10"/>
      <c r="AC997" s="10"/>
      <c r="AD997" s="10"/>
      <c r="AE997" s="10"/>
      <c r="AF997" s="10"/>
      <c r="AG997" s="14"/>
    </row>
    <row r="998" spans="1:33">
      <c r="A998" s="13"/>
      <c r="B998" s="10"/>
      <c r="C998" s="10"/>
      <c r="D998" s="10"/>
      <c r="E998" s="10"/>
      <c r="F998" s="10"/>
      <c r="G998" s="10"/>
      <c r="H998" s="10"/>
      <c r="I998" s="10"/>
      <c r="J998" s="10"/>
      <c r="K998" s="10"/>
      <c r="L998" s="10"/>
      <c r="M998" s="10"/>
      <c r="N998" s="10"/>
      <c r="O998" s="10"/>
      <c r="P998" s="10"/>
      <c r="Q998" s="10"/>
      <c r="R998" s="10"/>
      <c r="S998" s="10"/>
      <c r="T998" s="10"/>
      <c r="U998" s="10"/>
      <c r="V998" s="10"/>
      <c r="W998" s="10"/>
      <c r="X998" s="10"/>
      <c r="Y998" s="10"/>
      <c r="Z998" s="10"/>
      <c r="AA998" s="10"/>
      <c r="AB998" s="10"/>
      <c r="AC998" s="10"/>
      <c r="AD998" s="10"/>
      <c r="AE998" s="10"/>
      <c r="AF998" s="10"/>
      <c r="AG998" s="14"/>
    </row>
    <row r="999" spans="1:33">
      <c r="A999" s="13"/>
      <c r="B999" s="10"/>
      <c r="C999" s="10"/>
      <c r="D999" s="10"/>
      <c r="E999" s="10"/>
      <c r="F999" s="10"/>
      <c r="G999" s="10"/>
      <c r="H999" s="10"/>
      <c r="I999" s="10"/>
      <c r="J999" s="10"/>
      <c r="K999" s="10"/>
      <c r="L999" s="10"/>
      <c r="M999" s="10"/>
      <c r="N999" s="10"/>
      <c r="O999" s="10"/>
      <c r="P999" s="10"/>
      <c r="Q999" s="10"/>
      <c r="R999" s="10"/>
      <c r="S999" s="10"/>
      <c r="T999" s="10"/>
      <c r="U999" s="10"/>
      <c r="V999" s="10"/>
      <c r="W999" s="10"/>
      <c r="X999" s="10"/>
      <c r="Y999" s="10"/>
      <c r="Z999" s="10"/>
      <c r="AA999" s="10"/>
      <c r="AB999" s="10"/>
      <c r="AC999" s="10"/>
      <c r="AD999" s="10"/>
      <c r="AE999" s="10"/>
      <c r="AF999" s="10"/>
      <c r="AG999" s="14"/>
    </row>
    <row r="1000" spans="1:33">
      <c r="A1000" s="13"/>
      <c r="B1000" s="10"/>
      <c r="C1000" s="10"/>
      <c r="D1000" s="10"/>
      <c r="E1000" s="10"/>
      <c r="F1000" s="10"/>
      <c r="G1000" s="10"/>
      <c r="H1000" s="10"/>
      <c r="I1000" s="10"/>
      <c r="J1000" s="10"/>
      <c r="K1000" s="10"/>
      <c r="L1000" s="10"/>
      <c r="M1000" s="10"/>
      <c r="N1000" s="10"/>
      <c r="O1000" s="10"/>
      <c r="P1000" s="10"/>
      <c r="Q1000" s="10"/>
      <c r="R1000" s="10"/>
      <c r="S1000" s="10"/>
      <c r="T1000" s="10"/>
      <c r="U1000" s="10"/>
      <c r="V1000" s="10"/>
      <c r="W1000" s="10"/>
      <c r="X1000" s="10"/>
      <c r="Y1000" s="10"/>
      <c r="Z1000" s="10"/>
      <c r="AA1000" s="10"/>
      <c r="AB1000" s="10"/>
      <c r="AC1000" s="10"/>
      <c r="AD1000" s="10"/>
      <c r="AE1000" s="10"/>
      <c r="AF1000" s="10"/>
      <c r="AG1000" s="14"/>
    </row>
    <row r="1001" spans="1:33">
      <c r="A1001" s="13"/>
      <c r="B1001" s="10"/>
      <c r="C1001" s="10"/>
      <c r="D1001" s="10"/>
      <c r="E1001" s="10"/>
      <c r="F1001" s="10"/>
      <c r="G1001" s="10"/>
      <c r="H1001" s="10"/>
      <c r="I1001" s="10"/>
      <c r="J1001" s="10"/>
      <c r="K1001" s="10"/>
      <c r="L1001" s="10"/>
      <c r="M1001" s="10"/>
      <c r="N1001" s="10"/>
      <c r="O1001" s="10"/>
      <c r="P1001" s="10"/>
      <c r="Q1001" s="10"/>
      <c r="R1001" s="10"/>
      <c r="S1001" s="10"/>
      <c r="T1001" s="10"/>
      <c r="U1001" s="10"/>
      <c r="V1001" s="10"/>
      <c r="W1001" s="10"/>
      <c r="X1001" s="10"/>
      <c r="Y1001" s="10"/>
      <c r="Z1001" s="10"/>
      <c r="AA1001" s="10"/>
      <c r="AB1001" s="10"/>
      <c r="AC1001" s="10"/>
      <c r="AD1001" s="10"/>
      <c r="AE1001" s="10"/>
      <c r="AF1001" s="10"/>
      <c r="AG1001" s="14"/>
    </row>
    <row r="1002" spans="1:33">
      <c r="A1002" s="13"/>
      <c r="B1002" s="10"/>
      <c r="C1002" s="10"/>
      <c r="D1002" s="10"/>
      <c r="E1002" s="10"/>
      <c r="F1002" s="10"/>
      <c r="G1002" s="10"/>
      <c r="H1002" s="10"/>
      <c r="I1002" s="10"/>
      <c r="J1002" s="10"/>
      <c r="K1002" s="10"/>
      <c r="L1002" s="10"/>
      <c r="M1002" s="10"/>
      <c r="N1002" s="10"/>
      <c r="O1002" s="10"/>
      <c r="P1002" s="10"/>
      <c r="Q1002" s="10"/>
      <c r="R1002" s="10"/>
      <c r="S1002" s="10"/>
      <c r="T1002" s="10"/>
      <c r="U1002" s="10"/>
      <c r="V1002" s="10"/>
      <c r="W1002" s="10"/>
      <c r="X1002" s="10"/>
      <c r="Y1002" s="10"/>
      <c r="Z1002" s="10"/>
      <c r="AA1002" s="10"/>
      <c r="AB1002" s="10"/>
      <c r="AC1002" s="10"/>
      <c r="AD1002" s="10"/>
      <c r="AE1002" s="10"/>
      <c r="AF1002" s="10"/>
      <c r="AG1002" s="14"/>
    </row>
    <row r="1003" spans="1:33">
      <c r="A1003" s="13"/>
      <c r="B1003" s="10"/>
      <c r="C1003" s="10"/>
      <c r="D1003" s="10"/>
      <c r="E1003" s="10"/>
      <c r="F1003" s="10"/>
      <c r="G1003" s="10"/>
      <c r="H1003" s="10"/>
      <c r="I1003" s="10"/>
      <c r="J1003" s="10"/>
      <c r="K1003" s="10"/>
      <c r="L1003" s="10"/>
      <c r="M1003" s="10"/>
      <c r="N1003" s="10"/>
      <c r="O1003" s="10"/>
      <c r="P1003" s="10"/>
      <c r="Q1003" s="10"/>
      <c r="R1003" s="10"/>
      <c r="S1003" s="10"/>
      <c r="T1003" s="10"/>
      <c r="U1003" s="10"/>
      <c r="V1003" s="10"/>
      <c r="W1003" s="10"/>
      <c r="X1003" s="10"/>
      <c r="Y1003" s="10"/>
      <c r="Z1003" s="10"/>
      <c r="AA1003" s="10"/>
      <c r="AB1003" s="10"/>
      <c r="AC1003" s="10"/>
      <c r="AD1003" s="10"/>
      <c r="AE1003" s="10"/>
      <c r="AF1003" s="10"/>
      <c r="AG1003" s="14"/>
    </row>
    <row r="1004" spans="1:33">
      <c r="A1004" s="13"/>
      <c r="B1004" s="10"/>
      <c r="C1004" s="10"/>
      <c r="D1004" s="10"/>
      <c r="E1004" s="10"/>
      <c r="F1004" s="10"/>
      <c r="G1004" s="10"/>
      <c r="H1004" s="10"/>
      <c r="I1004" s="10"/>
      <c r="J1004" s="10"/>
      <c r="K1004" s="10"/>
      <c r="L1004" s="10"/>
      <c r="M1004" s="10"/>
      <c r="N1004" s="10"/>
      <c r="O1004" s="10"/>
      <c r="P1004" s="10"/>
      <c r="Q1004" s="10"/>
      <c r="R1004" s="10"/>
      <c r="S1004" s="10"/>
      <c r="T1004" s="10"/>
      <c r="U1004" s="10"/>
      <c r="V1004" s="10"/>
      <c r="W1004" s="10"/>
      <c r="X1004" s="10"/>
      <c r="Y1004" s="10"/>
      <c r="Z1004" s="10"/>
      <c r="AA1004" s="10"/>
      <c r="AB1004" s="10"/>
      <c r="AC1004" s="10"/>
      <c r="AD1004" s="10"/>
      <c r="AE1004" s="10"/>
      <c r="AF1004" s="10"/>
      <c r="AG1004" s="14"/>
    </row>
    <row r="1005" spans="1:33">
      <c r="A1005" s="13"/>
      <c r="B1005" s="10"/>
      <c r="C1005" s="10"/>
      <c r="D1005" s="10"/>
      <c r="E1005" s="10"/>
      <c r="F1005" s="10"/>
      <c r="G1005" s="10"/>
      <c r="H1005" s="10"/>
      <c r="I1005" s="10"/>
      <c r="J1005" s="10"/>
      <c r="K1005" s="10"/>
      <c r="L1005" s="10"/>
      <c r="M1005" s="10"/>
      <c r="N1005" s="10"/>
      <c r="O1005" s="10"/>
      <c r="P1005" s="10"/>
      <c r="Q1005" s="10"/>
      <c r="R1005" s="10"/>
      <c r="S1005" s="10"/>
      <c r="T1005" s="10"/>
      <c r="U1005" s="10"/>
      <c r="V1005" s="10"/>
      <c r="W1005" s="10"/>
      <c r="X1005" s="10"/>
      <c r="Y1005" s="10"/>
      <c r="Z1005" s="10"/>
      <c r="AA1005" s="10"/>
      <c r="AB1005" s="10"/>
      <c r="AC1005" s="10"/>
      <c r="AD1005" s="10"/>
      <c r="AE1005" s="10"/>
      <c r="AF1005" s="10"/>
      <c r="AG1005" s="14"/>
    </row>
    <row r="1006" spans="1:33">
      <c r="A1006" s="13"/>
      <c r="B1006" s="10"/>
      <c r="C1006" s="10"/>
      <c r="D1006" s="10"/>
      <c r="E1006" s="10"/>
      <c r="F1006" s="10"/>
      <c r="G1006" s="10"/>
      <c r="H1006" s="10"/>
      <c r="I1006" s="10"/>
      <c r="J1006" s="10"/>
      <c r="K1006" s="10"/>
      <c r="L1006" s="10"/>
      <c r="M1006" s="10"/>
      <c r="N1006" s="10"/>
      <c r="O1006" s="10"/>
      <c r="P1006" s="10"/>
      <c r="Q1006" s="10"/>
      <c r="R1006" s="10"/>
      <c r="S1006" s="10"/>
      <c r="T1006" s="10"/>
      <c r="U1006" s="10"/>
      <c r="V1006" s="10"/>
      <c r="W1006" s="10"/>
      <c r="X1006" s="10"/>
      <c r="Y1006" s="10"/>
      <c r="Z1006" s="10"/>
      <c r="AA1006" s="10"/>
      <c r="AB1006" s="10"/>
      <c r="AC1006" s="10"/>
      <c r="AD1006" s="10"/>
      <c r="AE1006" s="10"/>
      <c r="AF1006" s="10"/>
      <c r="AG1006" s="14"/>
    </row>
    <row r="1007" spans="1:33">
      <c r="A1007" s="13"/>
      <c r="B1007" s="10"/>
      <c r="C1007" s="10"/>
      <c r="D1007" s="10"/>
      <c r="E1007" s="10"/>
      <c r="F1007" s="10"/>
      <c r="G1007" s="10"/>
      <c r="H1007" s="10"/>
      <c r="I1007" s="10"/>
      <c r="J1007" s="10"/>
      <c r="K1007" s="10"/>
      <c r="L1007" s="10"/>
      <c r="M1007" s="10"/>
      <c r="N1007" s="10"/>
      <c r="O1007" s="10"/>
      <c r="P1007" s="10"/>
      <c r="Q1007" s="10"/>
      <c r="R1007" s="10"/>
      <c r="S1007" s="10"/>
      <c r="T1007" s="10"/>
      <c r="U1007" s="10"/>
      <c r="V1007" s="10"/>
      <c r="W1007" s="10"/>
      <c r="X1007" s="10"/>
      <c r="Y1007" s="10"/>
      <c r="Z1007" s="10"/>
      <c r="AA1007" s="10"/>
      <c r="AB1007" s="10"/>
      <c r="AC1007" s="10"/>
      <c r="AD1007" s="10"/>
      <c r="AE1007" s="10"/>
      <c r="AF1007" s="10"/>
      <c r="AG1007" s="14"/>
    </row>
    <row r="1008" spans="1:33">
      <c r="A1008" s="13"/>
      <c r="B1008" s="10"/>
      <c r="C1008" s="10"/>
      <c r="D1008" s="10"/>
      <c r="E1008" s="10"/>
      <c r="F1008" s="10"/>
      <c r="G1008" s="10"/>
      <c r="H1008" s="10"/>
      <c r="I1008" s="10"/>
      <c r="J1008" s="10"/>
      <c r="K1008" s="10"/>
      <c r="L1008" s="10"/>
      <c r="M1008" s="10"/>
      <c r="N1008" s="10"/>
      <c r="O1008" s="10"/>
      <c r="P1008" s="10"/>
      <c r="Q1008" s="10"/>
      <c r="R1008" s="10"/>
      <c r="S1008" s="10"/>
      <c r="T1008" s="10"/>
      <c r="U1008" s="10"/>
      <c r="V1008" s="10"/>
      <c r="W1008" s="10"/>
      <c r="X1008" s="10"/>
      <c r="Y1008" s="10"/>
      <c r="Z1008" s="10"/>
      <c r="AA1008" s="10"/>
      <c r="AB1008" s="10"/>
      <c r="AC1008" s="10"/>
      <c r="AD1008" s="10"/>
      <c r="AE1008" s="10"/>
      <c r="AF1008" s="10"/>
      <c r="AG1008" s="14"/>
    </row>
    <row r="1009" spans="1:33">
      <c r="A1009" s="13"/>
      <c r="B1009" s="10"/>
      <c r="C1009" s="10"/>
      <c r="D1009" s="10"/>
      <c r="E1009" s="10"/>
      <c r="F1009" s="10"/>
      <c r="G1009" s="10"/>
      <c r="H1009" s="10"/>
      <c r="I1009" s="10"/>
      <c r="J1009" s="10"/>
      <c r="K1009" s="10"/>
      <c r="L1009" s="10"/>
      <c r="M1009" s="10"/>
      <c r="N1009" s="10"/>
      <c r="O1009" s="10"/>
      <c r="P1009" s="10"/>
      <c r="Q1009" s="10"/>
      <c r="R1009" s="10"/>
      <c r="S1009" s="10"/>
      <c r="T1009" s="10"/>
      <c r="U1009" s="10"/>
      <c r="V1009" s="10"/>
      <c r="W1009" s="10"/>
      <c r="X1009" s="10"/>
      <c r="Y1009" s="10"/>
      <c r="Z1009" s="10"/>
      <c r="AA1009" s="10"/>
      <c r="AB1009" s="10"/>
      <c r="AC1009" s="10"/>
      <c r="AD1009" s="10"/>
      <c r="AE1009" s="10"/>
      <c r="AF1009" s="10"/>
      <c r="AG1009" s="14"/>
    </row>
    <row r="1010" spans="1:33">
      <c r="A1010" s="13"/>
      <c r="B1010" s="10"/>
      <c r="C1010" s="10"/>
      <c r="D1010" s="10"/>
      <c r="E1010" s="10"/>
      <c r="F1010" s="10"/>
      <c r="G1010" s="10"/>
      <c r="H1010" s="10"/>
      <c r="I1010" s="10"/>
      <c r="J1010" s="10"/>
      <c r="K1010" s="10"/>
      <c r="L1010" s="10"/>
      <c r="M1010" s="10"/>
      <c r="N1010" s="10"/>
      <c r="O1010" s="10"/>
      <c r="P1010" s="10"/>
      <c r="Q1010" s="10"/>
      <c r="R1010" s="10"/>
      <c r="S1010" s="10"/>
      <c r="T1010" s="10"/>
      <c r="U1010" s="10"/>
      <c r="V1010" s="10"/>
      <c r="W1010" s="10"/>
      <c r="X1010" s="10"/>
      <c r="Y1010" s="10"/>
      <c r="Z1010" s="10"/>
      <c r="AA1010" s="10"/>
      <c r="AB1010" s="10"/>
      <c r="AC1010" s="10"/>
      <c r="AD1010" s="10"/>
      <c r="AE1010" s="10"/>
      <c r="AF1010" s="10"/>
      <c r="AG1010" s="14"/>
    </row>
    <row r="1011" spans="1:33">
      <c r="A1011" s="13"/>
      <c r="B1011" s="10"/>
      <c r="C1011" s="10"/>
      <c r="D1011" s="10"/>
      <c r="E1011" s="10"/>
      <c r="F1011" s="10"/>
      <c r="G1011" s="10"/>
      <c r="H1011" s="10"/>
      <c r="I1011" s="10"/>
      <c r="J1011" s="10"/>
      <c r="K1011" s="10"/>
      <c r="L1011" s="10"/>
      <c r="M1011" s="10"/>
      <c r="N1011" s="10"/>
      <c r="O1011" s="10"/>
      <c r="P1011" s="10"/>
      <c r="Q1011" s="10"/>
      <c r="R1011" s="10"/>
      <c r="S1011" s="10"/>
      <c r="T1011" s="10"/>
      <c r="U1011" s="10"/>
      <c r="V1011" s="10"/>
      <c r="W1011" s="10"/>
      <c r="X1011" s="10"/>
      <c r="Y1011" s="10"/>
      <c r="Z1011" s="10"/>
      <c r="AA1011" s="10"/>
      <c r="AB1011" s="10"/>
      <c r="AC1011" s="10"/>
      <c r="AD1011" s="10"/>
      <c r="AE1011" s="10"/>
      <c r="AF1011" s="10"/>
      <c r="AG1011" s="14"/>
    </row>
    <row r="1012" spans="1:33">
      <c r="A1012" s="13"/>
      <c r="B1012" s="10"/>
      <c r="C1012" s="10"/>
      <c r="D1012" s="10"/>
      <c r="E1012" s="10"/>
      <c r="F1012" s="10"/>
      <c r="G1012" s="10"/>
      <c r="H1012" s="10"/>
      <c r="I1012" s="10"/>
      <c r="J1012" s="10"/>
      <c r="K1012" s="10"/>
      <c r="L1012" s="10"/>
      <c r="M1012" s="10"/>
      <c r="N1012" s="10"/>
      <c r="O1012" s="10"/>
      <c r="P1012" s="10"/>
      <c r="Q1012" s="10"/>
      <c r="R1012" s="10"/>
      <c r="S1012" s="10"/>
      <c r="T1012" s="10"/>
      <c r="U1012" s="10"/>
      <c r="V1012" s="10"/>
      <c r="W1012" s="10"/>
      <c r="X1012" s="10"/>
      <c r="Y1012" s="10"/>
      <c r="Z1012" s="10"/>
      <c r="AA1012" s="10"/>
      <c r="AB1012" s="10"/>
      <c r="AC1012" s="10"/>
      <c r="AD1012" s="10"/>
      <c r="AE1012" s="10"/>
      <c r="AF1012" s="10"/>
      <c r="AG1012" s="14"/>
    </row>
    <row r="1013" spans="1:33">
      <c r="A1013" s="13"/>
      <c r="B1013" s="10"/>
      <c r="C1013" s="10"/>
      <c r="D1013" s="10"/>
      <c r="E1013" s="10"/>
      <c r="F1013" s="10"/>
      <c r="G1013" s="10"/>
      <c r="H1013" s="10"/>
      <c r="I1013" s="10"/>
      <c r="J1013" s="10"/>
      <c r="K1013" s="10"/>
      <c r="L1013" s="10"/>
      <c r="M1013" s="10"/>
      <c r="N1013" s="10"/>
      <c r="O1013" s="10"/>
      <c r="P1013" s="10"/>
      <c r="Q1013" s="10"/>
      <c r="R1013" s="10"/>
      <c r="S1013" s="10"/>
      <c r="T1013" s="10"/>
      <c r="U1013" s="10"/>
      <c r="V1013" s="10"/>
      <c r="W1013" s="10"/>
      <c r="X1013" s="10"/>
      <c r="Y1013" s="10"/>
      <c r="Z1013" s="10"/>
      <c r="AA1013" s="10"/>
      <c r="AB1013" s="10"/>
      <c r="AC1013" s="10"/>
      <c r="AD1013" s="10"/>
      <c r="AE1013" s="10"/>
      <c r="AF1013" s="10"/>
      <c r="AG1013" s="14"/>
    </row>
    <row r="1014" spans="1:33">
      <c r="A1014" s="13"/>
      <c r="B1014" s="10"/>
      <c r="C1014" s="10"/>
      <c r="D1014" s="10"/>
      <c r="E1014" s="10"/>
      <c r="F1014" s="10"/>
      <c r="G1014" s="10"/>
      <c r="H1014" s="10"/>
      <c r="I1014" s="10"/>
      <c r="J1014" s="10"/>
      <c r="K1014" s="10"/>
      <c r="L1014" s="10"/>
      <c r="M1014" s="10"/>
      <c r="N1014" s="10"/>
      <c r="O1014" s="10"/>
      <c r="P1014" s="10"/>
      <c r="Q1014" s="10"/>
      <c r="R1014" s="10"/>
      <c r="S1014" s="10"/>
      <c r="T1014" s="10"/>
      <c r="U1014" s="10"/>
      <c r="V1014" s="10"/>
      <c r="W1014" s="10"/>
      <c r="X1014" s="10"/>
      <c r="Y1014" s="10"/>
      <c r="Z1014" s="10"/>
      <c r="AA1014" s="10"/>
      <c r="AB1014" s="10"/>
      <c r="AC1014" s="10"/>
      <c r="AD1014" s="10"/>
      <c r="AE1014" s="10"/>
      <c r="AF1014" s="10"/>
      <c r="AG1014" s="14"/>
    </row>
    <row r="1015" spans="1:33">
      <c r="A1015" s="13"/>
      <c r="B1015" s="10"/>
      <c r="C1015" s="10"/>
      <c r="D1015" s="10"/>
      <c r="E1015" s="10"/>
      <c r="F1015" s="10"/>
      <c r="G1015" s="10"/>
      <c r="H1015" s="10"/>
      <c r="I1015" s="10"/>
      <c r="J1015" s="10"/>
      <c r="K1015" s="10"/>
      <c r="L1015" s="10"/>
      <c r="M1015" s="10"/>
      <c r="N1015" s="10"/>
      <c r="O1015" s="10"/>
      <c r="P1015" s="10"/>
      <c r="Q1015" s="10"/>
      <c r="R1015" s="10"/>
      <c r="S1015" s="10"/>
      <c r="T1015" s="10"/>
      <c r="U1015" s="10"/>
      <c r="V1015" s="10"/>
      <c r="W1015" s="10"/>
      <c r="X1015" s="10"/>
      <c r="Y1015" s="10"/>
      <c r="Z1015" s="10"/>
      <c r="AA1015" s="10"/>
      <c r="AB1015" s="10"/>
      <c r="AC1015" s="10"/>
      <c r="AD1015" s="10"/>
      <c r="AE1015" s="10"/>
      <c r="AF1015" s="10"/>
      <c r="AG1015" s="14"/>
    </row>
    <row r="1016" spans="1:33">
      <c r="A1016" s="13"/>
      <c r="B1016" s="10"/>
      <c r="C1016" s="10"/>
      <c r="D1016" s="10"/>
      <c r="E1016" s="10"/>
      <c r="F1016" s="10"/>
      <c r="G1016" s="10"/>
      <c r="H1016" s="10"/>
      <c r="I1016" s="10"/>
      <c r="J1016" s="10"/>
      <c r="K1016" s="10"/>
      <c r="L1016" s="10"/>
      <c r="M1016" s="10"/>
      <c r="N1016" s="10"/>
      <c r="O1016" s="10"/>
      <c r="P1016" s="10"/>
      <c r="Q1016" s="10"/>
      <c r="R1016" s="10"/>
      <c r="S1016" s="10"/>
      <c r="T1016" s="10"/>
      <c r="U1016" s="10"/>
      <c r="V1016" s="10"/>
      <c r="W1016" s="10"/>
      <c r="X1016" s="10"/>
      <c r="Y1016" s="10"/>
      <c r="Z1016" s="10"/>
      <c r="AA1016" s="10"/>
      <c r="AB1016" s="10"/>
      <c r="AC1016" s="10"/>
      <c r="AD1016" s="10"/>
      <c r="AE1016" s="10"/>
      <c r="AF1016" s="10"/>
      <c r="AG1016" s="14"/>
    </row>
    <row r="1017" spans="1:33">
      <c r="A1017" s="13"/>
      <c r="B1017" s="10"/>
      <c r="C1017" s="10"/>
      <c r="D1017" s="10"/>
      <c r="E1017" s="10"/>
      <c r="F1017" s="10"/>
      <c r="G1017" s="10"/>
      <c r="H1017" s="10"/>
      <c r="I1017" s="10"/>
      <c r="J1017" s="10"/>
      <c r="K1017" s="10"/>
      <c r="L1017" s="10"/>
      <c r="M1017" s="10"/>
      <c r="N1017" s="10"/>
      <c r="O1017" s="10"/>
      <c r="P1017" s="10"/>
      <c r="Q1017" s="10"/>
      <c r="R1017" s="10"/>
      <c r="S1017" s="10"/>
      <c r="T1017" s="10"/>
      <c r="U1017" s="10"/>
      <c r="V1017" s="10"/>
      <c r="W1017" s="10"/>
      <c r="X1017" s="10"/>
      <c r="Y1017" s="10"/>
      <c r="Z1017" s="10"/>
      <c r="AA1017" s="10"/>
      <c r="AB1017" s="10"/>
      <c r="AC1017" s="10"/>
      <c r="AD1017" s="10"/>
      <c r="AE1017" s="10"/>
      <c r="AF1017" s="10"/>
      <c r="AG1017" s="14"/>
    </row>
    <row r="1018" spans="1:33">
      <c r="A1018" s="13"/>
      <c r="B1018" s="10"/>
      <c r="C1018" s="10"/>
      <c r="D1018" s="10"/>
      <c r="E1018" s="10"/>
      <c r="F1018" s="10"/>
      <c r="G1018" s="10"/>
      <c r="H1018" s="10"/>
      <c r="I1018" s="10"/>
      <c r="J1018" s="10"/>
      <c r="K1018" s="10"/>
      <c r="L1018" s="10"/>
      <c r="M1018" s="10"/>
      <c r="N1018" s="10"/>
      <c r="O1018" s="10"/>
      <c r="P1018" s="10"/>
      <c r="Q1018" s="10"/>
      <c r="R1018" s="10"/>
      <c r="S1018" s="10"/>
      <c r="T1018" s="10"/>
      <c r="U1018" s="10"/>
      <c r="V1018" s="10"/>
      <c r="W1018" s="10"/>
      <c r="X1018" s="10"/>
      <c r="Y1018" s="10"/>
      <c r="Z1018" s="10"/>
      <c r="AA1018" s="10"/>
      <c r="AB1018" s="10"/>
      <c r="AC1018" s="10"/>
      <c r="AD1018" s="10"/>
      <c r="AE1018" s="10"/>
      <c r="AF1018" s="10"/>
      <c r="AG1018" s="14"/>
    </row>
    <row r="1019" spans="1:33">
      <c r="A1019" s="13"/>
      <c r="B1019" s="10"/>
      <c r="C1019" s="10"/>
      <c r="D1019" s="10"/>
      <c r="E1019" s="10"/>
      <c r="F1019" s="10"/>
      <c r="G1019" s="10"/>
      <c r="H1019" s="10"/>
      <c r="I1019" s="10"/>
      <c r="J1019" s="10"/>
      <c r="K1019" s="10"/>
      <c r="L1019" s="10"/>
      <c r="M1019" s="10"/>
      <c r="N1019" s="10"/>
      <c r="O1019" s="10"/>
      <c r="P1019" s="10"/>
      <c r="Q1019" s="10"/>
      <c r="R1019" s="10"/>
      <c r="S1019" s="10"/>
      <c r="T1019" s="10"/>
      <c r="U1019" s="10"/>
      <c r="V1019" s="10"/>
      <c r="W1019" s="10"/>
      <c r="X1019" s="10"/>
      <c r="Y1019" s="10"/>
      <c r="Z1019" s="10"/>
      <c r="AA1019" s="10"/>
      <c r="AB1019" s="10"/>
      <c r="AC1019" s="10"/>
      <c r="AD1019" s="10"/>
      <c r="AE1019" s="10"/>
      <c r="AF1019" s="10"/>
      <c r="AG1019" s="14"/>
    </row>
    <row r="1020" spans="1:33">
      <c r="A1020" s="13"/>
      <c r="B1020" s="10"/>
      <c r="C1020" s="10"/>
      <c r="D1020" s="10"/>
      <c r="E1020" s="10"/>
      <c r="F1020" s="10"/>
      <c r="G1020" s="10"/>
      <c r="H1020" s="10"/>
      <c r="I1020" s="10"/>
      <c r="J1020" s="10"/>
      <c r="K1020" s="10"/>
      <c r="L1020" s="10"/>
      <c r="M1020" s="10"/>
      <c r="N1020" s="10"/>
      <c r="O1020" s="10"/>
      <c r="P1020" s="10"/>
      <c r="Q1020" s="10"/>
      <c r="R1020" s="10"/>
      <c r="S1020" s="10"/>
      <c r="T1020" s="10"/>
      <c r="U1020" s="10"/>
      <c r="V1020" s="10"/>
      <c r="W1020" s="10"/>
      <c r="X1020" s="10"/>
      <c r="Y1020" s="10"/>
      <c r="Z1020" s="10"/>
      <c r="AA1020" s="10"/>
      <c r="AB1020" s="10"/>
      <c r="AC1020" s="10"/>
      <c r="AD1020" s="10"/>
      <c r="AE1020" s="10"/>
      <c r="AF1020" s="10"/>
      <c r="AG1020" s="14"/>
    </row>
    <row r="1021" spans="1:33">
      <c r="A1021" s="13"/>
      <c r="B1021" s="10"/>
      <c r="C1021" s="10"/>
      <c r="D1021" s="10"/>
      <c r="E1021" s="10"/>
      <c r="F1021" s="10"/>
      <c r="G1021" s="10"/>
      <c r="H1021" s="10"/>
      <c r="I1021" s="10"/>
      <c r="J1021" s="10"/>
      <c r="K1021" s="10"/>
      <c r="L1021" s="10"/>
      <c r="M1021" s="10"/>
      <c r="N1021" s="10"/>
      <c r="O1021" s="10"/>
      <c r="P1021" s="10"/>
      <c r="Q1021" s="10"/>
      <c r="R1021" s="10"/>
      <c r="S1021" s="10"/>
      <c r="T1021" s="10"/>
      <c r="U1021" s="10"/>
      <c r="V1021" s="10"/>
      <c r="W1021" s="10"/>
      <c r="X1021" s="10"/>
      <c r="Y1021" s="10"/>
      <c r="Z1021" s="10"/>
      <c r="AA1021" s="10"/>
      <c r="AB1021" s="10"/>
      <c r="AC1021" s="10"/>
      <c r="AD1021" s="10"/>
      <c r="AE1021" s="10"/>
      <c r="AF1021" s="10"/>
      <c r="AG1021" s="14"/>
    </row>
    <row r="1022" spans="1:33">
      <c r="A1022" s="13"/>
      <c r="B1022" s="10"/>
      <c r="C1022" s="10"/>
      <c r="D1022" s="10"/>
      <c r="E1022" s="10"/>
      <c r="F1022" s="10"/>
      <c r="G1022" s="10"/>
      <c r="H1022" s="10"/>
      <c r="I1022" s="10"/>
      <c r="J1022" s="10"/>
      <c r="K1022" s="10"/>
      <c r="L1022" s="10"/>
      <c r="M1022" s="10"/>
      <c r="N1022" s="10"/>
      <c r="O1022" s="10"/>
      <c r="P1022" s="10"/>
      <c r="Q1022" s="10"/>
      <c r="R1022" s="10"/>
      <c r="S1022" s="10"/>
      <c r="T1022" s="10"/>
      <c r="U1022" s="10"/>
      <c r="V1022" s="10"/>
      <c r="W1022" s="10"/>
      <c r="X1022" s="10"/>
      <c r="Y1022" s="10"/>
      <c r="Z1022" s="10"/>
      <c r="AA1022" s="10"/>
      <c r="AB1022" s="10"/>
      <c r="AC1022" s="10"/>
      <c r="AD1022" s="10"/>
      <c r="AE1022" s="10"/>
      <c r="AF1022" s="10"/>
      <c r="AG1022" s="14"/>
    </row>
    <row r="1023" spans="1:33">
      <c r="A1023" s="13"/>
      <c r="B1023" s="10"/>
      <c r="C1023" s="10"/>
      <c r="D1023" s="10"/>
      <c r="E1023" s="10"/>
      <c r="F1023" s="10"/>
      <c r="G1023" s="10"/>
      <c r="H1023" s="10"/>
      <c r="I1023" s="10"/>
      <c r="J1023" s="10"/>
      <c r="K1023" s="10"/>
      <c r="L1023" s="10"/>
      <c r="M1023" s="10"/>
      <c r="N1023" s="10"/>
      <c r="O1023" s="10"/>
      <c r="P1023" s="10"/>
      <c r="Q1023" s="10"/>
      <c r="R1023" s="10"/>
      <c r="S1023" s="10"/>
      <c r="T1023" s="10"/>
      <c r="U1023" s="10"/>
      <c r="V1023" s="10"/>
      <c r="W1023" s="10"/>
      <c r="X1023" s="10"/>
      <c r="Y1023" s="10"/>
      <c r="Z1023" s="10"/>
      <c r="AA1023" s="10"/>
      <c r="AB1023" s="10"/>
      <c r="AC1023" s="10"/>
      <c r="AD1023" s="10"/>
      <c r="AE1023" s="10"/>
      <c r="AF1023" s="10"/>
      <c r="AG1023" s="14"/>
    </row>
    <row r="1024" spans="1:33">
      <c r="A1024" s="13"/>
      <c r="B1024" s="10"/>
      <c r="C1024" s="10"/>
      <c r="D1024" s="10"/>
      <c r="E1024" s="10"/>
      <c r="F1024" s="10"/>
      <c r="G1024" s="10"/>
      <c r="H1024" s="10"/>
      <c r="I1024" s="10"/>
      <c r="J1024" s="10"/>
      <c r="K1024" s="10"/>
      <c r="L1024" s="10"/>
      <c r="M1024" s="10"/>
      <c r="N1024" s="10"/>
      <c r="O1024" s="10"/>
      <c r="P1024" s="10"/>
      <c r="Q1024" s="10"/>
      <c r="R1024" s="10"/>
      <c r="S1024" s="10"/>
      <c r="T1024" s="10"/>
      <c r="U1024" s="10"/>
      <c r="V1024" s="10"/>
      <c r="W1024" s="10"/>
      <c r="X1024" s="10"/>
      <c r="Y1024" s="10"/>
      <c r="Z1024" s="10"/>
      <c r="AA1024" s="10"/>
      <c r="AB1024" s="10"/>
      <c r="AC1024" s="10"/>
      <c r="AD1024" s="10"/>
      <c r="AE1024" s="10"/>
      <c r="AF1024" s="10"/>
      <c r="AG1024" s="14"/>
    </row>
    <row r="1025" spans="1:33">
      <c r="A1025" s="13"/>
      <c r="B1025" s="10"/>
      <c r="C1025" s="10"/>
      <c r="D1025" s="10"/>
      <c r="E1025" s="10"/>
      <c r="F1025" s="10"/>
      <c r="G1025" s="10"/>
      <c r="H1025" s="10"/>
      <c r="I1025" s="10"/>
      <c r="J1025" s="10"/>
      <c r="K1025" s="10"/>
      <c r="L1025" s="10"/>
      <c r="M1025" s="10"/>
      <c r="N1025" s="10"/>
      <c r="O1025" s="10"/>
      <c r="P1025" s="10"/>
      <c r="Q1025" s="10"/>
      <c r="R1025" s="10"/>
      <c r="S1025" s="10"/>
      <c r="T1025" s="10"/>
      <c r="U1025" s="10"/>
      <c r="V1025" s="10"/>
      <c r="W1025" s="10"/>
      <c r="X1025" s="10"/>
      <c r="Y1025" s="10"/>
      <c r="Z1025" s="10"/>
      <c r="AA1025" s="10"/>
      <c r="AB1025" s="10"/>
      <c r="AC1025" s="10"/>
      <c r="AD1025" s="10"/>
      <c r="AE1025" s="10"/>
      <c r="AF1025" s="10"/>
      <c r="AG1025" s="14"/>
    </row>
    <row r="1026" spans="1:33">
      <c r="A1026" s="13"/>
      <c r="B1026" s="10"/>
      <c r="C1026" s="10"/>
      <c r="D1026" s="10"/>
      <c r="E1026" s="10"/>
      <c r="F1026" s="10"/>
      <c r="G1026" s="10"/>
      <c r="H1026" s="10"/>
      <c r="I1026" s="10"/>
      <c r="J1026" s="10"/>
      <c r="K1026" s="10"/>
      <c r="L1026" s="10"/>
      <c r="M1026" s="10"/>
      <c r="N1026" s="10"/>
      <c r="O1026" s="10"/>
      <c r="P1026" s="10"/>
      <c r="Q1026" s="10"/>
      <c r="R1026" s="10"/>
      <c r="S1026" s="10"/>
      <c r="T1026" s="10"/>
      <c r="U1026" s="10"/>
      <c r="V1026" s="10"/>
      <c r="W1026" s="10"/>
      <c r="X1026" s="10"/>
      <c r="Y1026" s="10"/>
      <c r="Z1026" s="10"/>
      <c r="AA1026" s="10"/>
      <c r="AB1026" s="10"/>
      <c r="AC1026" s="10"/>
      <c r="AD1026" s="10"/>
      <c r="AE1026" s="10"/>
      <c r="AF1026" s="10"/>
      <c r="AG1026" s="14"/>
    </row>
    <row r="1027" spans="1:33">
      <c r="A1027" s="13"/>
      <c r="B1027" s="10"/>
      <c r="C1027" s="10"/>
      <c r="D1027" s="10"/>
      <c r="E1027" s="10"/>
      <c r="F1027" s="10"/>
      <c r="G1027" s="10"/>
      <c r="H1027" s="10"/>
      <c r="I1027" s="10"/>
      <c r="J1027" s="10"/>
      <c r="K1027" s="10"/>
      <c r="L1027" s="10"/>
      <c r="M1027" s="10"/>
      <c r="N1027" s="10"/>
      <c r="O1027" s="10"/>
      <c r="P1027" s="10"/>
      <c r="Q1027" s="10"/>
      <c r="R1027" s="10"/>
      <c r="S1027" s="10"/>
      <c r="T1027" s="10"/>
      <c r="U1027" s="10"/>
      <c r="V1027" s="10"/>
      <c r="W1027" s="10"/>
      <c r="X1027" s="10"/>
      <c r="Y1027" s="10"/>
      <c r="Z1027" s="10"/>
      <c r="AA1027" s="10"/>
      <c r="AB1027" s="10"/>
      <c r="AC1027" s="10"/>
      <c r="AD1027" s="10"/>
      <c r="AE1027" s="10"/>
      <c r="AF1027" s="10"/>
      <c r="AG1027" s="14"/>
    </row>
    <row r="1028" spans="1:33">
      <c r="A1028" s="13"/>
      <c r="B1028" s="10"/>
      <c r="C1028" s="10"/>
      <c r="D1028" s="10"/>
      <c r="E1028" s="10"/>
      <c r="F1028" s="10"/>
      <c r="G1028" s="10"/>
      <c r="H1028" s="10"/>
      <c r="I1028" s="10"/>
      <c r="J1028" s="10"/>
      <c r="K1028" s="10"/>
      <c r="L1028" s="10"/>
      <c r="M1028" s="10"/>
      <c r="N1028" s="10"/>
      <c r="O1028" s="10"/>
      <c r="P1028" s="10"/>
      <c r="Q1028" s="10"/>
      <c r="R1028" s="10"/>
      <c r="S1028" s="10"/>
      <c r="T1028" s="10"/>
      <c r="U1028" s="10"/>
      <c r="V1028" s="10"/>
      <c r="W1028" s="10"/>
      <c r="X1028" s="10"/>
      <c r="Y1028" s="10"/>
      <c r="Z1028" s="10"/>
      <c r="AA1028" s="10"/>
      <c r="AB1028" s="10"/>
      <c r="AC1028" s="10"/>
      <c r="AD1028" s="10"/>
      <c r="AE1028" s="10"/>
      <c r="AF1028" s="10"/>
      <c r="AG1028" s="14"/>
    </row>
    <row r="1029" spans="1:33">
      <c r="A1029" s="13"/>
      <c r="B1029" s="10"/>
      <c r="C1029" s="10"/>
      <c r="D1029" s="10"/>
      <c r="E1029" s="10"/>
      <c r="F1029" s="10"/>
      <c r="G1029" s="10"/>
      <c r="H1029" s="10"/>
      <c r="I1029" s="10"/>
      <c r="J1029" s="10"/>
      <c r="K1029" s="10"/>
      <c r="L1029" s="10"/>
      <c r="M1029" s="10"/>
      <c r="N1029" s="10"/>
      <c r="O1029" s="10"/>
      <c r="P1029" s="10"/>
      <c r="Q1029" s="10"/>
      <c r="R1029" s="10"/>
      <c r="S1029" s="10"/>
      <c r="T1029" s="10"/>
      <c r="U1029" s="10"/>
      <c r="V1029" s="10"/>
      <c r="W1029" s="10"/>
      <c r="X1029" s="10"/>
      <c r="Y1029" s="10"/>
      <c r="Z1029" s="10"/>
      <c r="AA1029" s="10"/>
      <c r="AB1029" s="10"/>
      <c r="AC1029" s="10"/>
      <c r="AD1029" s="10"/>
      <c r="AE1029" s="10"/>
      <c r="AF1029" s="10"/>
      <c r="AG1029" s="14"/>
    </row>
    <row r="1030" spans="1:33">
      <c r="A1030" s="13"/>
      <c r="B1030" s="10"/>
      <c r="C1030" s="10"/>
      <c r="D1030" s="10"/>
      <c r="E1030" s="10"/>
      <c r="F1030" s="10"/>
      <c r="G1030" s="10"/>
      <c r="H1030" s="10"/>
      <c r="I1030" s="10"/>
      <c r="J1030" s="10"/>
      <c r="K1030" s="10"/>
      <c r="L1030" s="10"/>
      <c r="M1030" s="10"/>
      <c r="N1030" s="10"/>
      <c r="O1030" s="10"/>
      <c r="P1030" s="10"/>
      <c r="Q1030" s="10"/>
      <c r="R1030" s="10"/>
      <c r="S1030" s="10"/>
      <c r="T1030" s="10"/>
      <c r="U1030" s="10"/>
      <c r="V1030" s="10"/>
      <c r="W1030" s="10"/>
      <c r="X1030" s="10"/>
      <c r="Y1030" s="10"/>
      <c r="Z1030" s="10"/>
      <c r="AA1030" s="10"/>
      <c r="AB1030" s="10"/>
      <c r="AC1030" s="10"/>
      <c r="AD1030" s="10"/>
      <c r="AE1030" s="10"/>
      <c r="AF1030" s="10"/>
      <c r="AG1030" s="14"/>
    </row>
    <row r="1031" spans="1:33">
      <c r="A1031" s="13"/>
      <c r="B1031" s="10"/>
      <c r="C1031" s="10"/>
      <c r="D1031" s="10"/>
      <c r="E1031" s="10"/>
      <c r="F1031" s="10"/>
      <c r="G1031" s="10"/>
      <c r="H1031" s="10"/>
      <c r="I1031" s="10"/>
      <c r="J1031" s="10"/>
      <c r="K1031" s="10"/>
      <c r="L1031" s="10"/>
      <c r="M1031" s="10"/>
      <c r="N1031" s="10"/>
      <c r="O1031" s="10"/>
      <c r="P1031" s="10"/>
      <c r="Q1031" s="10"/>
      <c r="R1031" s="10"/>
      <c r="S1031" s="10"/>
      <c r="T1031" s="10"/>
      <c r="U1031" s="10"/>
      <c r="V1031" s="10"/>
      <c r="W1031" s="10"/>
      <c r="X1031" s="10"/>
      <c r="Y1031" s="10"/>
      <c r="Z1031" s="10"/>
      <c r="AA1031" s="10"/>
      <c r="AB1031" s="10"/>
      <c r="AC1031" s="10"/>
      <c r="AD1031" s="10"/>
      <c r="AE1031" s="10"/>
      <c r="AF1031" s="10"/>
      <c r="AG1031" s="14"/>
    </row>
    <row r="1032" spans="1:33">
      <c r="A1032" s="13"/>
      <c r="B1032" s="10"/>
      <c r="C1032" s="10"/>
      <c r="D1032" s="10"/>
      <c r="E1032" s="10"/>
      <c r="F1032" s="10"/>
      <c r="G1032" s="10"/>
      <c r="H1032" s="10"/>
      <c r="I1032" s="10"/>
      <c r="J1032" s="10"/>
      <c r="K1032" s="10"/>
      <c r="L1032" s="10"/>
      <c r="M1032" s="10"/>
      <c r="N1032" s="10"/>
      <c r="O1032" s="10"/>
      <c r="P1032" s="10"/>
      <c r="Q1032" s="10"/>
      <c r="R1032" s="10"/>
      <c r="S1032" s="10"/>
      <c r="T1032" s="10"/>
      <c r="U1032" s="10"/>
      <c r="V1032" s="10"/>
      <c r="W1032" s="10"/>
      <c r="X1032" s="10"/>
      <c r="Y1032" s="10"/>
      <c r="Z1032" s="10"/>
      <c r="AA1032" s="10"/>
      <c r="AB1032" s="10"/>
      <c r="AC1032" s="10"/>
      <c r="AD1032" s="10"/>
      <c r="AE1032" s="10"/>
      <c r="AF1032" s="10"/>
      <c r="AG1032" s="14"/>
    </row>
    <row r="1033" spans="1:33">
      <c r="A1033" s="13"/>
      <c r="B1033" s="10"/>
      <c r="C1033" s="10"/>
      <c r="D1033" s="10"/>
      <c r="E1033" s="10"/>
      <c r="F1033" s="10"/>
      <c r="G1033" s="10"/>
      <c r="H1033" s="10"/>
      <c r="I1033" s="10"/>
      <c r="J1033" s="10"/>
      <c r="K1033" s="10"/>
      <c r="L1033" s="10"/>
      <c r="M1033" s="10"/>
      <c r="N1033" s="10"/>
      <c r="O1033" s="10"/>
      <c r="P1033" s="10"/>
      <c r="Q1033" s="10"/>
      <c r="R1033" s="10"/>
      <c r="S1033" s="10"/>
      <c r="T1033" s="10"/>
      <c r="U1033" s="10"/>
      <c r="V1033" s="10"/>
      <c r="W1033" s="10"/>
      <c r="X1033" s="10"/>
      <c r="Y1033" s="10"/>
      <c r="Z1033" s="10"/>
      <c r="AA1033" s="10"/>
      <c r="AB1033" s="10"/>
      <c r="AC1033" s="10"/>
      <c r="AD1033" s="10"/>
      <c r="AE1033" s="10"/>
      <c r="AF1033" s="10"/>
      <c r="AG1033" s="14"/>
    </row>
    <row r="1034" spans="1:33">
      <c r="A1034" s="13"/>
      <c r="B1034" s="10"/>
      <c r="C1034" s="10"/>
      <c r="D1034" s="10"/>
      <c r="E1034" s="10"/>
      <c r="F1034" s="10"/>
      <c r="G1034" s="10"/>
      <c r="H1034" s="10"/>
      <c r="I1034" s="10"/>
      <c r="J1034" s="10"/>
      <c r="K1034" s="10"/>
      <c r="L1034" s="10"/>
      <c r="M1034" s="10"/>
      <c r="N1034" s="10"/>
      <c r="O1034" s="10"/>
      <c r="P1034" s="10"/>
      <c r="Q1034" s="10"/>
      <c r="R1034" s="10"/>
      <c r="S1034" s="10"/>
      <c r="T1034" s="10"/>
      <c r="U1034" s="10"/>
      <c r="V1034" s="10"/>
      <c r="W1034" s="10"/>
      <c r="X1034" s="10"/>
      <c r="Y1034" s="10"/>
      <c r="Z1034" s="10"/>
      <c r="AA1034" s="10"/>
      <c r="AB1034" s="10"/>
      <c r="AC1034" s="10"/>
      <c r="AD1034" s="10"/>
      <c r="AE1034" s="10"/>
      <c r="AF1034" s="10"/>
      <c r="AG1034" s="14"/>
    </row>
    <row r="1035" spans="1:33">
      <c r="A1035" s="13"/>
      <c r="B1035" s="10"/>
      <c r="C1035" s="10"/>
      <c r="D1035" s="10"/>
      <c r="E1035" s="10"/>
      <c r="F1035" s="10"/>
      <c r="G1035" s="10"/>
      <c r="H1035" s="10"/>
      <c r="I1035" s="10"/>
      <c r="J1035" s="10"/>
      <c r="K1035" s="10"/>
      <c r="L1035" s="10"/>
      <c r="M1035" s="10"/>
      <c r="N1035" s="10"/>
      <c r="O1035" s="10"/>
      <c r="P1035" s="10"/>
      <c r="Q1035" s="10"/>
      <c r="R1035" s="10"/>
      <c r="S1035" s="10"/>
      <c r="T1035" s="10"/>
      <c r="U1035" s="10"/>
      <c r="V1035" s="10"/>
      <c r="W1035" s="10"/>
      <c r="X1035" s="10"/>
      <c r="Y1035" s="10"/>
      <c r="Z1035" s="10"/>
      <c r="AA1035" s="10"/>
      <c r="AB1035" s="10"/>
      <c r="AC1035" s="10"/>
      <c r="AD1035" s="10"/>
      <c r="AE1035" s="10"/>
      <c r="AF1035" s="10"/>
      <c r="AG1035" s="14"/>
    </row>
    <row r="1036" spans="1:33">
      <c r="A1036" s="13"/>
      <c r="B1036" s="10"/>
      <c r="C1036" s="10"/>
      <c r="D1036" s="10"/>
      <c r="E1036" s="10"/>
      <c r="F1036" s="10"/>
      <c r="G1036" s="10"/>
      <c r="H1036" s="10"/>
      <c r="I1036" s="10"/>
      <c r="J1036" s="10"/>
      <c r="K1036" s="10"/>
      <c r="L1036" s="10"/>
      <c r="M1036" s="10"/>
      <c r="N1036" s="10"/>
      <c r="O1036" s="10"/>
      <c r="P1036" s="10"/>
      <c r="Q1036" s="10"/>
      <c r="R1036" s="10"/>
      <c r="S1036" s="10"/>
      <c r="T1036" s="10"/>
      <c r="U1036" s="10"/>
      <c r="V1036" s="10"/>
      <c r="W1036" s="10"/>
      <c r="X1036" s="10"/>
      <c r="Y1036" s="10"/>
      <c r="Z1036" s="10"/>
      <c r="AA1036" s="10"/>
      <c r="AB1036" s="10"/>
      <c r="AC1036" s="10"/>
      <c r="AD1036" s="10"/>
      <c r="AE1036" s="10"/>
      <c r="AF1036" s="10"/>
      <c r="AG1036" s="14"/>
    </row>
    <row r="1037" spans="1:33">
      <c r="A1037" s="13"/>
      <c r="B1037" s="10"/>
      <c r="C1037" s="10"/>
      <c r="D1037" s="10"/>
      <c r="E1037" s="10"/>
      <c r="F1037" s="10"/>
      <c r="G1037" s="10"/>
      <c r="H1037" s="10"/>
      <c r="I1037" s="10"/>
      <c r="J1037" s="10"/>
      <c r="K1037" s="10"/>
      <c r="L1037" s="10"/>
      <c r="M1037" s="10"/>
      <c r="N1037" s="10"/>
      <c r="O1037" s="10"/>
      <c r="P1037" s="10"/>
      <c r="Q1037" s="10"/>
      <c r="R1037" s="10"/>
      <c r="S1037" s="10"/>
      <c r="T1037" s="10"/>
      <c r="U1037" s="10"/>
      <c r="V1037" s="10"/>
      <c r="W1037" s="10"/>
      <c r="X1037" s="10"/>
      <c r="Y1037" s="10"/>
      <c r="Z1037" s="10"/>
      <c r="AA1037" s="10"/>
      <c r="AB1037" s="10"/>
      <c r="AC1037" s="10"/>
      <c r="AD1037" s="10"/>
      <c r="AE1037" s="10"/>
      <c r="AF1037" s="10"/>
      <c r="AG1037" s="14"/>
    </row>
    <row r="1038" spans="1:33">
      <c r="A1038" s="13"/>
      <c r="B1038" s="10"/>
      <c r="C1038" s="10"/>
      <c r="D1038" s="10"/>
      <c r="E1038" s="10"/>
      <c r="F1038" s="10"/>
      <c r="G1038" s="10"/>
      <c r="H1038" s="10"/>
      <c r="I1038" s="10"/>
      <c r="J1038" s="10"/>
      <c r="K1038" s="10"/>
      <c r="L1038" s="10"/>
      <c r="M1038" s="10"/>
      <c r="N1038" s="10"/>
      <c r="O1038" s="10"/>
      <c r="P1038" s="10"/>
      <c r="Q1038" s="10"/>
      <c r="R1038" s="10"/>
      <c r="S1038" s="10"/>
      <c r="T1038" s="10"/>
      <c r="U1038" s="10"/>
      <c r="V1038" s="10"/>
      <c r="W1038" s="10"/>
      <c r="X1038" s="10"/>
      <c r="Y1038" s="10"/>
      <c r="Z1038" s="10"/>
      <c r="AA1038" s="10"/>
      <c r="AB1038" s="10"/>
      <c r="AC1038" s="10"/>
      <c r="AD1038" s="10"/>
      <c r="AE1038" s="10"/>
      <c r="AF1038" s="10"/>
      <c r="AG1038" s="14"/>
    </row>
    <row r="1039" spans="1:33">
      <c r="A1039" s="13"/>
      <c r="B1039" s="10"/>
      <c r="C1039" s="10"/>
      <c r="D1039" s="10"/>
      <c r="E1039" s="10"/>
      <c r="F1039" s="10"/>
      <c r="G1039" s="10"/>
      <c r="H1039" s="10"/>
      <c r="I1039" s="10"/>
      <c r="J1039" s="10"/>
      <c r="K1039" s="10"/>
      <c r="L1039" s="10"/>
      <c r="M1039" s="10"/>
      <c r="N1039" s="10"/>
      <c r="O1039" s="10"/>
      <c r="P1039" s="10"/>
      <c r="Q1039" s="10"/>
      <c r="R1039" s="10"/>
      <c r="S1039" s="10"/>
      <c r="T1039" s="10"/>
      <c r="U1039" s="10"/>
      <c r="V1039" s="10"/>
      <c r="W1039" s="10"/>
      <c r="X1039" s="10"/>
      <c r="Y1039" s="10"/>
      <c r="Z1039" s="10"/>
      <c r="AA1039" s="10"/>
      <c r="AB1039" s="10"/>
      <c r="AC1039" s="10"/>
      <c r="AD1039" s="10"/>
      <c r="AE1039" s="10"/>
      <c r="AF1039" s="10"/>
      <c r="AG1039" s="14"/>
    </row>
    <row r="1040" spans="1:33">
      <c r="A1040" s="13"/>
      <c r="B1040" s="10"/>
      <c r="C1040" s="10"/>
      <c r="D1040" s="10"/>
      <c r="E1040" s="10"/>
      <c r="F1040" s="10"/>
      <c r="G1040" s="10"/>
      <c r="H1040" s="10"/>
      <c r="I1040" s="10"/>
      <c r="J1040" s="10"/>
      <c r="K1040" s="10"/>
      <c r="L1040" s="10"/>
      <c r="M1040" s="10"/>
      <c r="N1040" s="10"/>
      <c r="O1040" s="10"/>
      <c r="P1040" s="10"/>
      <c r="Q1040" s="10"/>
      <c r="R1040" s="10"/>
      <c r="S1040" s="10"/>
      <c r="T1040" s="10"/>
      <c r="U1040" s="10"/>
      <c r="V1040" s="10"/>
      <c r="W1040" s="10"/>
      <c r="X1040" s="10"/>
      <c r="Y1040" s="10"/>
      <c r="Z1040" s="10"/>
      <c r="AA1040" s="10"/>
      <c r="AB1040" s="10"/>
      <c r="AC1040" s="10"/>
      <c r="AD1040" s="10"/>
      <c r="AE1040" s="10"/>
      <c r="AF1040" s="10"/>
      <c r="AG1040" s="14"/>
    </row>
    <row r="1041" spans="1:33">
      <c r="A1041" s="23"/>
      <c r="B1041" s="9"/>
      <c r="C1041" s="9"/>
      <c r="D1041" s="9"/>
      <c r="E1041" s="9"/>
      <c r="F1041" s="9"/>
      <c r="G1041" s="9"/>
      <c r="H1041" s="9"/>
      <c r="I1041" s="9"/>
      <c r="J1041" s="9"/>
      <c r="K1041" s="9"/>
      <c r="L1041" s="9"/>
      <c r="M1041" s="9"/>
      <c r="N1041" s="9"/>
      <c r="O1041" s="9"/>
      <c r="P1041" s="9"/>
      <c r="Q1041" s="9"/>
      <c r="R1041" s="9"/>
      <c r="S1041" s="9"/>
      <c r="T1041" s="9"/>
      <c r="U1041" s="9"/>
      <c r="V1041" s="9"/>
      <c r="W1041" s="9"/>
      <c r="X1041" s="9"/>
      <c r="Y1041" s="9"/>
      <c r="Z1041" s="9"/>
      <c r="AA1041" s="9"/>
      <c r="AB1041" s="9"/>
      <c r="AC1041" s="9"/>
      <c r="AD1041" s="9"/>
      <c r="AE1041" s="9"/>
      <c r="AF1041" s="9"/>
      <c r="AG1041" s="12"/>
    </row>
    <row r="1042" spans="1:33">
      <c r="A1042" s="23"/>
      <c r="B1042" s="9"/>
      <c r="C1042" s="9"/>
      <c r="D1042" s="9"/>
      <c r="E1042" s="9"/>
      <c r="F1042" s="9"/>
      <c r="G1042" s="9"/>
      <c r="H1042" s="9"/>
      <c r="I1042" s="9"/>
      <c r="J1042" s="9"/>
      <c r="K1042" s="9"/>
      <c r="L1042" s="9"/>
      <c r="M1042" s="9"/>
      <c r="N1042" s="9"/>
      <c r="O1042" s="9"/>
      <c r="P1042" s="9"/>
      <c r="Q1042" s="9"/>
      <c r="R1042" s="9"/>
      <c r="S1042" s="9"/>
      <c r="T1042" s="9"/>
      <c r="U1042" s="9"/>
      <c r="V1042" s="9"/>
      <c r="W1042" s="9"/>
      <c r="X1042" s="9"/>
      <c r="Y1042" s="9"/>
      <c r="Z1042" s="9"/>
      <c r="AA1042" s="9"/>
      <c r="AB1042" s="9"/>
      <c r="AC1042" s="9"/>
      <c r="AD1042" s="9"/>
      <c r="AE1042" s="9"/>
      <c r="AF1042" s="9"/>
      <c r="AG1042" s="12"/>
    </row>
    <row r="1043" spans="1:33">
      <c r="A1043" s="23"/>
      <c r="B1043" s="9"/>
      <c r="C1043" s="9"/>
      <c r="D1043" s="9"/>
      <c r="E1043" s="9"/>
      <c r="F1043" s="9"/>
      <c r="G1043" s="9"/>
      <c r="H1043" s="9"/>
      <c r="I1043" s="9"/>
      <c r="J1043" s="9"/>
      <c r="K1043" s="9"/>
      <c r="L1043" s="9"/>
      <c r="M1043" s="9"/>
      <c r="N1043" s="9"/>
      <c r="O1043" s="9"/>
      <c r="P1043" s="9"/>
      <c r="Q1043" s="9"/>
      <c r="R1043" s="9"/>
      <c r="S1043" s="9"/>
      <c r="T1043" s="9"/>
      <c r="U1043" s="9"/>
      <c r="V1043" s="9"/>
      <c r="W1043" s="9"/>
      <c r="X1043" s="9"/>
      <c r="Y1043" s="9"/>
      <c r="Z1043" s="9"/>
      <c r="AA1043" s="9"/>
      <c r="AB1043" s="9"/>
      <c r="AC1043" s="9"/>
      <c r="AD1043" s="9"/>
      <c r="AE1043" s="9"/>
      <c r="AF1043" s="9"/>
      <c r="AG1043" s="12"/>
    </row>
    <row r="1044" spans="1:33">
      <c r="A1044" s="23"/>
      <c r="B1044" s="9"/>
      <c r="C1044" s="9"/>
      <c r="D1044" s="9"/>
      <c r="E1044" s="9"/>
      <c r="F1044" s="9"/>
      <c r="G1044" s="9"/>
      <c r="H1044" s="9"/>
      <c r="I1044" s="9"/>
      <c r="J1044" s="9"/>
      <c r="K1044" s="9"/>
      <c r="L1044" s="9"/>
      <c r="M1044" s="9"/>
      <c r="N1044" s="9"/>
      <c r="O1044" s="9"/>
      <c r="P1044" s="9"/>
      <c r="Q1044" s="9"/>
      <c r="R1044" s="9"/>
      <c r="S1044" s="9"/>
      <c r="T1044" s="9"/>
      <c r="U1044" s="9"/>
      <c r="V1044" s="9"/>
      <c r="W1044" s="9"/>
      <c r="X1044" s="9"/>
      <c r="Y1044" s="9"/>
      <c r="Z1044" s="9"/>
      <c r="AA1044" s="9"/>
      <c r="AB1044" s="9"/>
      <c r="AC1044" s="9"/>
      <c r="AD1044" s="9"/>
      <c r="AE1044" s="9"/>
      <c r="AF1044" s="9"/>
      <c r="AG1044" s="12"/>
    </row>
    <row r="1045" spans="1:33">
      <c r="A1045" s="23"/>
      <c r="B1045" s="9"/>
      <c r="C1045" s="9"/>
      <c r="D1045" s="9"/>
      <c r="E1045" s="9"/>
      <c r="F1045" s="9"/>
      <c r="G1045" s="9"/>
      <c r="H1045" s="9"/>
      <c r="I1045" s="9"/>
      <c r="J1045" s="9"/>
      <c r="K1045" s="9"/>
      <c r="L1045" s="9"/>
      <c r="M1045" s="9"/>
      <c r="N1045" s="9"/>
      <c r="O1045" s="9"/>
      <c r="P1045" s="9"/>
      <c r="Q1045" s="9"/>
      <c r="R1045" s="9"/>
      <c r="S1045" s="9"/>
      <c r="T1045" s="9"/>
      <c r="U1045" s="9"/>
      <c r="V1045" s="9"/>
      <c r="W1045" s="9"/>
      <c r="X1045" s="9"/>
      <c r="Y1045" s="9"/>
      <c r="Z1045" s="9"/>
      <c r="AA1045" s="9"/>
      <c r="AB1045" s="9"/>
      <c r="AC1045" s="9"/>
      <c r="AD1045" s="9"/>
      <c r="AE1045" s="9"/>
      <c r="AF1045" s="9"/>
      <c r="AG1045" s="12"/>
    </row>
    <row r="1046" spans="1:33">
      <c r="A1046" s="23"/>
      <c r="B1046" s="9"/>
      <c r="C1046" s="9"/>
      <c r="D1046" s="9"/>
      <c r="E1046" s="9"/>
      <c r="F1046" s="9"/>
      <c r="G1046" s="9"/>
      <c r="H1046" s="9"/>
      <c r="I1046" s="9"/>
      <c r="J1046" s="9"/>
      <c r="K1046" s="9"/>
      <c r="L1046" s="9"/>
      <c r="M1046" s="9"/>
      <c r="N1046" s="9"/>
      <c r="O1046" s="9"/>
      <c r="P1046" s="9"/>
      <c r="Q1046" s="9"/>
      <c r="R1046" s="9"/>
      <c r="S1046" s="9"/>
      <c r="T1046" s="9"/>
      <c r="U1046" s="9"/>
      <c r="V1046" s="9"/>
      <c r="W1046" s="9"/>
      <c r="X1046" s="9"/>
      <c r="Y1046" s="9"/>
      <c r="Z1046" s="9"/>
      <c r="AA1046" s="9"/>
      <c r="AB1046" s="9"/>
      <c r="AC1046" s="9"/>
      <c r="AD1046" s="9"/>
      <c r="AE1046" s="9"/>
      <c r="AF1046" s="9"/>
      <c r="AG1046" s="12"/>
    </row>
    <row r="1047" spans="1:33">
      <c r="A1047" s="23"/>
      <c r="B1047" s="9"/>
      <c r="C1047" s="9"/>
      <c r="D1047" s="9"/>
      <c r="E1047" s="9"/>
      <c r="F1047" s="9"/>
      <c r="G1047" s="9"/>
      <c r="H1047" s="9"/>
      <c r="I1047" s="9"/>
      <c r="J1047" s="9"/>
      <c r="K1047" s="9"/>
      <c r="L1047" s="9"/>
      <c r="M1047" s="9"/>
      <c r="N1047" s="9"/>
      <c r="O1047" s="9"/>
      <c r="P1047" s="9"/>
      <c r="Q1047" s="9"/>
      <c r="R1047" s="9"/>
      <c r="S1047" s="9"/>
      <c r="T1047" s="9"/>
      <c r="U1047" s="9"/>
      <c r="V1047" s="9"/>
      <c r="W1047" s="9"/>
      <c r="X1047" s="9"/>
      <c r="Y1047" s="9"/>
      <c r="Z1047" s="9"/>
      <c r="AA1047" s="9"/>
      <c r="AB1047" s="9"/>
      <c r="AC1047" s="9"/>
      <c r="AD1047" s="9"/>
      <c r="AE1047" s="9"/>
      <c r="AF1047" s="9"/>
      <c r="AG1047" s="12"/>
    </row>
    <row r="1048" spans="1:33">
      <c r="A1048" s="23"/>
      <c r="B1048" s="9"/>
      <c r="C1048" s="9"/>
      <c r="D1048" s="9"/>
      <c r="E1048" s="9"/>
      <c r="F1048" s="9"/>
      <c r="G1048" s="9"/>
      <c r="H1048" s="9"/>
      <c r="I1048" s="9"/>
      <c r="J1048" s="9"/>
      <c r="K1048" s="9"/>
      <c r="L1048" s="9"/>
      <c r="M1048" s="9"/>
      <c r="N1048" s="9"/>
      <c r="O1048" s="9"/>
      <c r="P1048" s="9"/>
      <c r="Q1048" s="9"/>
      <c r="R1048" s="9"/>
      <c r="S1048" s="9"/>
      <c r="T1048" s="9"/>
      <c r="U1048" s="9"/>
      <c r="V1048" s="9"/>
      <c r="W1048" s="9"/>
      <c r="X1048" s="9"/>
      <c r="Y1048" s="9"/>
      <c r="Z1048" s="9"/>
      <c r="AA1048" s="9"/>
      <c r="AB1048" s="9"/>
      <c r="AC1048" s="9"/>
      <c r="AD1048" s="9"/>
      <c r="AE1048" s="9"/>
      <c r="AF1048" s="9"/>
      <c r="AG1048" s="12"/>
    </row>
    <row r="1049" spans="1:33">
      <c r="A1049" s="23"/>
      <c r="B1049" s="9"/>
      <c r="C1049" s="9"/>
      <c r="D1049" s="9"/>
      <c r="E1049" s="9"/>
      <c r="F1049" s="9"/>
      <c r="G1049" s="9"/>
      <c r="H1049" s="9"/>
      <c r="I1049" s="9"/>
      <c r="J1049" s="9"/>
      <c r="K1049" s="9"/>
      <c r="L1049" s="9"/>
      <c r="M1049" s="9"/>
      <c r="N1049" s="9"/>
      <c r="O1049" s="9"/>
      <c r="P1049" s="9"/>
      <c r="Q1049" s="9"/>
      <c r="R1049" s="9"/>
      <c r="S1049" s="9"/>
      <c r="T1049" s="9"/>
      <c r="U1049" s="9"/>
      <c r="V1049" s="9"/>
      <c r="W1049" s="9"/>
      <c r="X1049" s="9"/>
      <c r="Y1049" s="9"/>
      <c r="Z1049" s="9"/>
      <c r="AA1049" s="9"/>
      <c r="AB1049" s="9"/>
      <c r="AC1049" s="9"/>
      <c r="AD1049" s="9"/>
      <c r="AE1049" s="9"/>
      <c r="AF1049" s="9"/>
      <c r="AG1049" s="12"/>
    </row>
    <row r="1050" spans="1:33">
      <c r="A1050" s="23"/>
      <c r="B1050" s="9"/>
      <c r="C1050" s="9"/>
      <c r="D1050" s="9"/>
      <c r="E1050" s="9"/>
      <c r="F1050" s="9"/>
      <c r="G1050" s="9"/>
      <c r="H1050" s="9"/>
      <c r="I1050" s="9"/>
      <c r="J1050" s="9"/>
      <c r="K1050" s="9"/>
      <c r="L1050" s="9"/>
      <c r="M1050" s="9"/>
      <c r="N1050" s="9"/>
      <c r="O1050" s="9"/>
      <c r="P1050" s="9"/>
      <c r="Q1050" s="9"/>
      <c r="R1050" s="9"/>
      <c r="S1050" s="9"/>
      <c r="T1050" s="9"/>
      <c r="U1050" s="9"/>
      <c r="V1050" s="9"/>
      <c r="W1050" s="9"/>
      <c r="X1050" s="9"/>
      <c r="Y1050" s="9"/>
      <c r="Z1050" s="9"/>
      <c r="AA1050" s="9"/>
      <c r="AB1050" s="9"/>
      <c r="AC1050" s="9"/>
      <c r="AD1050" s="9"/>
      <c r="AE1050" s="9"/>
      <c r="AF1050" s="9"/>
      <c r="AG1050" s="12"/>
    </row>
    <row r="1051" spans="1:33">
      <c r="A1051" s="23"/>
      <c r="B1051" s="9"/>
      <c r="C1051" s="9"/>
      <c r="D1051" s="9"/>
      <c r="E1051" s="9"/>
      <c r="F1051" s="9"/>
      <c r="G1051" s="9"/>
      <c r="H1051" s="9"/>
      <c r="I1051" s="9"/>
      <c r="J1051" s="9"/>
      <c r="K1051" s="9"/>
      <c r="L1051" s="9"/>
      <c r="M1051" s="9"/>
      <c r="N1051" s="9"/>
      <c r="O1051" s="9"/>
      <c r="P1051" s="9"/>
      <c r="Q1051" s="9"/>
      <c r="R1051" s="9"/>
      <c r="S1051" s="9"/>
      <c r="T1051" s="9"/>
      <c r="U1051" s="9"/>
      <c r="V1051" s="9"/>
      <c r="W1051" s="9"/>
      <c r="X1051" s="9"/>
      <c r="Y1051" s="9"/>
      <c r="Z1051" s="9"/>
      <c r="AA1051" s="9"/>
      <c r="AB1051" s="9"/>
      <c r="AC1051" s="9"/>
      <c r="AD1051" s="9"/>
      <c r="AE1051" s="9"/>
      <c r="AF1051" s="9"/>
      <c r="AG1051" s="12"/>
    </row>
    <row r="1052" spans="1:33">
      <c r="A1052" s="23"/>
      <c r="B1052" s="9"/>
      <c r="C1052" s="9"/>
      <c r="D1052" s="9"/>
      <c r="E1052" s="9"/>
      <c r="F1052" s="9"/>
      <c r="G1052" s="9"/>
      <c r="H1052" s="9"/>
      <c r="I1052" s="9"/>
      <c r="J1052" s="9"/>
      <c r="K1052" s="9"/>
      <c r="L1052" s="9"/>
      <c r="M1052" s="9"/>
      <c r="N1052" s="9"/>
      <c r="O1052" s="9"/>
      <c r="P1052" s="9"/>
      <c r="Q1052" s="9"/>
      <c r="R1052" s="9"/>
      <c r="S1052" s="9"/>
      <c r="T1052" s="9"/>
      <c r="U1052" s="9"/>
      <c r="V1052" s="9"/>
      <c r="W1052" s="9"/>
      <c r="X1052" s="9"/>
      <c r="Y1052" s="9"/>
      <c r="Z1052" s="9"/>
      <c r="AA1052" s="9"/>
      <c r="AB1052" s="9"/>
      <c r="AC1052" s="9"/>
      <c r="AD1052" s="9"/>
      <c r="AE1052" s="9"/>
      <c r="AF1052" s="9"/>
      <c r="AG1052" s="12"/>
    </row>
    <row r="1053" spans="1:33">
      <c r="A1053" s="23"/>
      <c r="B1053" s="9"/>
      <c r="C1053" s="9"/>
      <c r="D1053" s="9"/>
      <c r="E1053" s="9"/>
      <c r="F1053" s="9"/>
      <c r="G1053" s="9"/>
      <c r="H1053" s="9"/>
      <c r="I1053" s="9"/>
      <c r="J1053" s="9"/>
      <c r="K1053" s="9"/>
      <c r="L1053" s="9"/>
      <c r="M1053" s="9"/>
      <c r="N1053" s="9"/>
      <c r="O1053" s="9"/>
      <c r="P1053" s="9"/>
      <c r="Q1053" s="9"/>
      <c r="R1053" s="9"/>
      <c r="S1053" s="9"/>
      <c r="T1053" s="9"/>
      <c r="U1053" s="9"/>
      <c r="V1053" s="9"/>
      <c r="W1053" s="9"/>
      <c r="X1053" s="9"/>
      <c r="Y1053" s="9"/>
      <c r="Z1053" s="9"/>
      <c r="AA1053" s="9"/>
      <c r="AB1053" s="9"/>
      <c r="AC1053" s="9"/>
      <c r="AD1053" s="9"/>
      <c r="AE1053" s="9"/>
      <c r="AF1053" s="9"/>
      <c r="AG1053" s="12"/>
    </row>
    <row r="1054" spans="1:33">
      <c r="A1054" s="23"/>
      <c r="B1054" s="9"/>
      <c r="C1054" s="9"/>
      <c r="D1054" s="9"/>
      <c r="E1054" s="9"/>
      <c r="F1054" s="9"/>
      <c r="G1054" s="9"/>
      <c r="H1054" s="9"/>
      <c r="I1054" s="9"/>
      <c r="J1054" s="9"/>
      <c r="K1054" s="9"/>
      <c r="L1054" s="9"/>
      <c r="M1054" s="9"/>
      <c r="N1054" s="9"/>
      <c r="O1054" s="9"/>
      <c r="P1054" s="9"/>
      <c r="Q1054" s="9"/>
      <c r="R1054" s="9"/>
      <c r="S1054" s="9"/>
      <c r="T1054" s="9"/>
      <c r="U1054" s="9"/>
      <c r="V1054" s="9"/>
      <c r="W1054" s="9"/>
      <c r="X1054" s="9"/>
      <c r="Y1054" s="9"/>
      <c r="Z1054" s="9"/>
      <c r="AA1054" s="9"/>
      <c r="AB1054" s="9"/>
      <c r="AC1054" s="9"/>
      <c r="AD1054" s="9"/>
      <c r="AE1054" s="9"/>
      <c r="AF1054" s="9"/>
      <c r="AG1054" s="12"/>
    </row>
    <row r="1055" spans="1:33">
      <c r="A1055" s="23"/>
      <c r="B1055" s="9"/>
      <c r="C1055" s="9"/>
      <c r="D1055" s="9"/>
      <c r="E1055" s="9"/>
      <c r="F1055" s="9"/>
      <c r="G1055" s="9"/>
      <c r="H1055" s="9"/>
      <c r="I1055" s="9"/>
      <c r="J1055" s="9"/>
      <c r="K1055" s="9"/>
      <c r="L1055" s="9"/>
      <c r="M1055" s="9"/>
      <c r="N1055" s="9"/>
      <c r="O1055" s="9"/>
      <c r="P1055" s="9"/>
      <c r="Q1055" s="9"/>
      <c r="R1055" s="9"/>
      <c r="S1055" s="9"/>
      <c r="T1055" s="9"/>
      <c r="U1055" s="9"/>
      <c r="V1055" s="9"/>
      <c r="W1055" s="9"/>
      <c r="X1055" s="9"/>
      <c r="Y1055" s="9"/>
      <c r="Z1055" s="9"/>
      <c r="AA1055" s="9"/>
      <c r="AB1055" s="9"/>
      <c r="AC1055" s="9"/>
      <c r="AD1055" s="9"/>
      <c r="AE1055" s="9"/>
      <c r="AF1055" s="9"/>
      <c r="AG1055" s="12"/>
    </row>
    <row r="1056" spans="1:33">
      <c r="A1056" s="23"/>
      <c r="B1056" s="9"/>
      <c r="C1056" s="9"/>
      <c r="D1056" s="9"/>
      <c r="E1056" s="9"/>
      <c r="F1056" s="9"/>
      <c r="G1056" s="9"/>
      <c r="H1056" s="9"/>
      <c r="I1056" s="9"/>
      <c r="J1056" s="9"/>
      <c r="K1056" s="9"/>
      <c r="L1056" s="9"/>
      <c r="M1056" s="9"/>
      <c r="N1056" s="9"/>
      <c r="O1056" s="9"/>
      <c r="P1056" s="9"/>
      <c r="Q1056" s="9"/>
      <c r="R1056" s="9"/>
      <c r="S1056" s="9"/>
      <c r="T1056" s="9"/>
      <c r="U1056" s="9"/>
      <c r="V1056" s="9"/>
      <c r="W1056" s="9"/>
      <c r="X1056" s="9"/>
      <c r="Y1056" s="9"/>
      <c r="Z1056" s="9"/>
      <c r="AA1056" s="9"/>
      <c r="AB1056" s="9"/>
      <c r="AC1056" s="9"/>
      <c r="AD1056" s="9"/>
      <c r="AE1056" s="9"/>
      <c r="AF1056" s="9"/>
      <c r="AG1056" s="12"/>
    </row>
    <row r="1057" spans="1:33">
      <c r="A1057" s="23"/>
      <c r="B1057" s="9"/>
      <c r="C1057" s="9"/>
      <c r="D1057" s="9"/>
      <c r="E1057" s="9"/>
      <c r="F1057" s="9"/>
      <c r="G1057" s="9"/>
      <c r="H1057" s="9"/>
      <c r="I1057" s="9"/>
      <c r="J1057" s="9"/>
      <c r="K1057" s="9"/>
      <c r="L1057" s="9"/>
      <c r="M1057" s="9"/>
      <c r="N1057" s="9"/>
      <c r="O1057" s="9"/>
      <c r="P1057" s="9"/>
      <c r="Q1057" s="9"/>
      <c r="R1057" s="9"/>
      <c r="S1057" s="9"/>
      <c r="T1057" s="9"/>
      <c r="U1057" s="9"/>
      <c r="V1057" s="9"/>
      <c r="W1057" s="9"/>
      <c r="X1057" s="9"/>
      <c r="Y1057" s="9"/>
      <c r="Z1057" s="9"/>
      <c r="AA1057" s="9"/>
      <c r="AB1057" s="9"/>
      <c r="AC1057" s="9"/>
      <c r="AD1057" s="9"/>
      <c r="AE1057" s="9"/>
      <c r="AF1057" s="9"/>
      <c r="AG1057" s="12"/>
    </row>
    <row r="1058" spans="1:33">
      <c r="A1058" s="23"/>
      <c r="B1058" s="9"/>
      <c r="C1058" s="9"/>
      <c r="D1058" s="9"/>
      <c r="E1058" s="9"/>
      <c r="F1058" s="9"/>
      <c r="G1058" s="9"/>
      <c r="H1058" s="9"/>
      <c r="I1058" s="9"/>
      <c r="J1058" s="9"/>
      <c r="K1058" s="9"/>
      <c r="L1058" s="9"/>
      <c r="M1058" s="9"/>
      <c r="N1058" s="9"/>
      <c r="O1058" s="9"/>
      <c r="P1058" s="9"/>
      <c r="Q1058" s="9"/>
      <c r="R1058" s="9"/>
      <c r="S1058" s="9"/>
      <c r="T1058" s="9"/>
      <c r="U1058" s="9"/>
      <c r="V1058" s="9"/>
      <c r="W1058" s="9"/>
      <c r="X1058" s="9"/>
      <c r="Y1058" s="9"/>
      <c r="Z1058" s="9"/>
      <c r="AA1058" s="9"/>
      <c r="AB1058" s="9"/>
      <c r="AC1058" s="9"/>
      <c r="AD1058" s="9"/>
      <c r="AE1058" s="9"/>
      <c r="AF1058" s="9"/>
      <c r="AG1058" s="12"/>
    </row>
    <row r="1059" spans="1:33">
      <c r="A1059" s="23"/>
      <c r="B1059" s="9"/>
      <c r="C1059" s="9"/>
      <c r="D1059" s="9"/>
      <c r="E1059" s="9"/>
      <c r="F1059" s="9"/>
      <c r="G1059" s="9"/>
      <c r="H1059" s="9"/>
      <c r="I1059" s="9"/>
      <c r="J1059" s="9"/>
      <c r="K1059" s="9"/>
      <c r="L1059" s="9"/>
      <c r="M1059" s="9"/>
      <c r="N1059" s="9"/>
      <c r="O1059" s="9"/>
      <c r="P1059" s="9"/>
      <c r="Q1059" s="9"/>
      <c r="R1059" s="9"/>
      <c r="S1059" s="9"/>
      <c r="T1059" s="9"/>
      <c r="U1059" s="9"/>
      <c r="V1059" s="9"/>
      <c r="W1059" s="9"/>
      <c r="X1059" s="9"/>
      <c r="Y1059" s="9"/>
      <c r="Z1059" s="9"/>
      <c r="AA1059" s="9"/>
      <c r="AB1059" s="9"/>
      <c r="AC1059" s="9"/>
      <c r="AD1059" s="9"/>
      <c r="AE1059" s="9"/>
      <c r="AF1059" s="9"/>
      <c r="AG1059" s="12"/>
    </row>
    <row r="1060" spans="1:33">
      <c r="A1060" s="23"/>
      <c r="B1060" s="9"/>
      <c r="C1060" s="9"/>
      <c r="D1060" s="9"/>
      <c r="E1060" s="9"/>
      <c r="F1060" s="9"/>
      <c r="G1060" s="9"/>
      <c r="H1060" s="9"/>
      <c r="I1060" s="9"/>
      <c r="J1060" s="9"/>
      <c r="K1060" s="9"/>
      <c r="L1060" s="9"/>
      <c r="M1060" s="9"/>
      <c r="N1060" s="9"/>
      <c r="O1060" s="9"/>
      <c r="P1060" s="9"/>
      <c r="Q1060" s="9"/>
      <c r="R1060" s="9"/>
      <c r="S1060" s="9"/>
      <c r="T1060" s="9"/>
      <c r="U1060" s="9"/>
      <c r="V1060" s="9"/>
      <c r="W1060" s="9"/>
      <c r="X1060" s="9"/>
      <c r="Y1060" s="9"/>
      <c r="Z1060" s="9"/>
      <c r="AA1060" s="9"/>
      <c r="AB1060" s="9"/>
      <c r="AC1060" s="9"/>
      <c r="AD1060" s="9"/>
      <c r="AE1060" s="9"/>
      <c r="AF1060" s="9"/>
      <c r="AG1060" s="12"/>
    </row>
    <row r="1061" spans="1:33">
      <c r="A1061" s="23"/>
      <c r="B1061" s="9"/>
      <c r="C1061" s="9"/>
      <c r="D1061" s="9"/>
      <c r="E1061" s="9"/>
      <c r="F1061" s="9"/>
      <c r="G1061" s="9"/>
      <c r="H1061" s="9"/>
      <c r="I1061" s="9"/>
      <c r="J1061" s="9"/>
      <c r="K1061" s="9"/>
      <c r="L1061" s="9"/>
      <c r="M1061" s="9"/>
      <c r="N1061" s="9"/>
      <c r="O1061" s="9"/>
      <c r="P1061" s="9"/>
      <c r="Q1061" s="9"/>
      <c r="R1061" s="9"/>
      <c r="S1061" s="9"/>
      <c r="T1061" s="9"/>
      <c r="U1061" s="9"/>
      <c r="V1061" s="9"/>
      <c r="W1061" s="9"/>
      <c r="X1061" s="9"/>
      <c r="Y1061" s="9"/>
      <c r="Z1061" s="9"/>
      <c r="AA1061" s="9"/>
      <c r="AB1061" s="9"/>
      <c r="AC1061" s="9"/>
      <c r="AD1061" s="9"/>
      <c r="AE1061" s="9"/>
      <c r="AF1061" s="9"/>
      <c r="AG1061" s="12"/>
    </row>
    <row r="1062" spans="1:33">
      <c r="A1062" s="23"/>
      <c r="B1062" s="9"/>
      <c r="C1062" s="9"/>
      <c r="D1062" s="9"/>
      <c r="E1062" s="9"/>
      <c r="F1062" s="9"/>
      <c r="G1062" s="9"/>
      <c r="H1062" s="9"/>
      <c r="I1062" s="9"/>
      <c r="J1062" s="9"/>
      <c r="K1062" s="9"/>
      <c r="L1062" s="9"/>
      <c r="M1062" s="9"/>
      <c r="N1062" s="9"/>
      <c r="O1062" s="9"/>
      <c r="P1062" s="9"/>
      <c r="Q1062" s="9"/>
      <c r="R1062" s="9"/>
      <c r="S1062" s="9"/>
      <c r="T1062" s="9"/>
      <c r="U1062" s="9"/>
      <c r="V1062" s="9"/>
      <c r="W1062" s="9"/>
      <c r="X1062" s="9"/>
      <c r="Y1062" s="9"/>
      <c r="Z1062" s="9"/>
      <c r="AA1062" s="9"/>
      <c r="AB1062" s="9"/>
      <c r="AC1062" s="9"/>
      <c r="AD1062" s="9"/>
      <c r="AE1062" s="9"/>
      <c r="AF1062" s="9"/>
      <c r="AG1062" s="12"/>
    </row>
    <row r="1063" spans="1:33">
      <c r="A1063" s="23"/>
      <c r="B1063" s="9"/>
      <c r="C1063" s="9"/>
      <c r="D1063" s="9"/>
      <c r="E1063" s="9"/>
      <c r="F1063" s="9"/>
      <c r="G1063" s="9"/>
      <c r="H1063" s="9"/>
      <c r="I1063" s="9"/>
      <c r="J1063" s="9"/>
      <c r="K1063" s="9"/>
      <c r="L1063" s="9"/>
      <c r="M1063" s="9"/>
      <c r="N1063" s="9"/>
      <c r="O1063" s="9"/>
      <c r="P1063" s="9"/>
      <c r="Q1063" s="9"/>
      <c r="R1063" s="9"/>
      <c r="S1063" s="9"/>
      <c r="T1063" s="9"/>
      <c r="U1063" s="9"/>
      <c r="V1063" s="9"/>
      <c r="W1063" s="9"/>
      <c r="X1063" s="9"/>
      <c r="Y1063" s="9"/>
      <c r="Z1063" s="9"/>
      <c r="AA1063" s="9"/>
      <c r="AB1063" s="9"/>
      <c r="AC1063" s="9"/>
      <c r="AD1063" s="9"/>
      <c r="AE1063" s="9"/>
      <c r="AF1063" s="9"/>
      <c r="AG1063" s="12"/>
    </row>
    <row r="1064" spans="1:33">
      <c r="A1064" s="23"/>
      <c r="B1064" s="9"/>
      <c r="C1064" s="9"/>
      <c r="D1064" s="9"/>
      <c r="E1064" s="9"/>
      <c r="F1064" s="9"/>
      <c r="G1064" s="9"/>
      <c r="H1064" s="9"/>
      <c r="I1064" s="9"/>
      <c r="J1064" s="9"/>
      <c r="K1064" s="9"/>
      <c r="L1064" s="9"/>
      <c r="M1064" s="9"/>
      <c r="N1064" s="9"/>
      <c r="O1064" s="9"/>
      <c r="P1064" s="9"/>
      <c r="Q1064" s="9"/>
      <c r="R1064" s="9"/>
      <c r="S1064" s="9"/>
      <c r="T1064" s="9"/>
      <c r="U1064" s="9"/>
      <c r="V1064" s="9"/>
      <c r="W1064" s="9"/>
      <c r="X1064" s="9"/>
      <c r="Y1064" s="9"/>
      <c r="Z1064" s="9"/>
      <c r="AA1064" s="9"/>
      <c r="AB1064" s="9"/>
      <c r="AC1064" s="9"/>
      <c r="AD1064" s="9"/>
      <c r="AE1064" s="9"/>
      <c r="AF1064" s="9"/>
      <c r="AG1064" s="12"/>
    </row>
    <row r="1065" spans="1:33">
      <c r="A1065" s="23"/>
      <c r="B1065" s="9"/>
      <c r="C1065" s="9"/>
      <c r="D1065" s="9"/>
      <c r="E1065" s="9"/>
      <c r="F1065" s="9"/>
      <c r="G1065" s="9"/>
      <c r="H1065" s="9"/>
      <c r="I1065" s="9"/>
      <c r="J1065" s="9"/>
      <c r="K1065" s="9"/>
      <c r="L1065" s="9"/>
      <c r="M1065" s="9"/>
      <c r="N1065" s="9"/>
      <c r="O1065" s="9"/>
      <c r="P1065" s="9"/>
      <c r="Q1065" s="9"/>
      <c r="R1065" s="9"/>
      <c r="S1065" s="9"/>
      <c r="T1065" s="9"/>
      <c r="U1065" s="9"/>
      <c r="V1065" s="9"/>
      <c r="W1065" s="9"/>
      <c r="X1065" s="9"/>
      <c r="Y1065" s="9"/>
      <c r="Z1065" s="9"/>
      <c r="AA1065" s="9"/>
      <c r="AB1065" s="9"/>
      <c r="AC1065" s="9"/>
      <c r="AD1065" s="9"/>
      <c r="AE1065" s="9"/>
      <c r="AF1065" s="9"/>
      <c r="AG1065" s="12"/>
    </row>
    <row r="1066" spans="1:33">
      <c r="A1066" s="23"/>
      <c r="B1066" s="9"/>
      <c r="C1066" s="9"/>
      <c r="D1066" s="9"/>
      <c r="E1066" s="9"/>
      <c r="F1066" s="9"/>
      <c r="G1066" s="9"/>
      <c r="H1066" s="9"/>
      <c r="I1066" s="9"/>
      <c r="J1066" s="9"/>
      <c r="K1066" s="9"/>
      <c r="L1066" s="9"/>
      <c r="M1066" s="9"/>
      <c r="N1066" s="9"/>
      <c r="O1066" s="9"/>
      <c r="P1066" s="9"/>
      <c r="Q1066" s="9"/>
      <c r="R1066" s="9"/>
      <c r="S1066" s="9"/>
      <c r="T1066" s="9"/>
      <c r="U1066" s="9"/>
      <c r="V1066" s="9"/>
      <c r="W1066" s="9"/>
      <c r="X1066" s="9"/>
      <c r="Y1066" s="9"/>
      <c r="Z1066" s="9"/>
      <c r="AA1066" s="9"/>
      <c r="AB1066" s="9"/>
      <c r="AC1066" s="9"/>
      <c r="AD1066" s="9"/>
      <c r="AE1066" s="9"/>
      <c r="AF1066" s="9"/>
      <c r="AG1066" s="12"/>
    </row>
    <row r="1067" spans="1:33">
      <c r="A1067" s="23"/>
      <c r="B1067" s="9"/>
      <c r="C1067" s="9"/>
      <c r="D1067" s="9"/>
      <c r="E1067" s="9"/>
      <c r="F1067" s="9"/>
      <c r="G1067" s="9"/>
      <c r="H1067" s="9"/>
      <c r="I1067" s="9"/>
      <c r="J1067" s="9"/>
      <c r="K1067" s="9"/>
      <c r="L1067" s="9"/>
      <c r="M1067" s="9"/>
      <c r="N1067" s="9"/>
      <c r="O1067" s="9"/>
      <c r="P1067" s="9"/>
      <c r="Q1067" s="9"/>
      <c r="R1067" s="9"/>
      <c r="S1067" s="9"/>
      <c r="T1067" s="9"/>
      <c r="U1067" s="9"/>
      <c r="V1067" s="9"/>
      <c r="W1067" s="9"/>
      <c r="X1067" s="9"/>
      <c r="Y1067" s="9"/>
      <c r="Z1067" s="9"/>
      <c r="AA1067" s="9"/>
      <c r="AB1067" s="9"/>
      <c r="AC1067" s="9"/>
      <c r="AD1067" s="9"/>
      <c r="AE1067" s="9"/>
      <c r="AF1067" s="9"/>
      <c r="AG1067" s="12"/>
    </row>
    <row r="1068" spans="1:33">
      <c r="A1068" s="23"/>
      <c r="B1068" s="9"/>
      <c r="C1068" s="9"/>
      <c r="D1068" s="9"/>
      <c r="E1068" s="9"/>
      <c r="F1068" s="9"/>
      <c r="G1068" s="9"/>
      <c r="H1068" s="9"/>
      <c r="I1068" s="9"/>
      <c r="J1068" s="9"/>
      <c r="K1068" s="9"/>
      <c r="L1068" s="9"/>
      <c r="M1068" s="9"/>
      <c r="N1068" s="9"/>
      <c r="O1068" s="9"/>
      <c r="P1068" s="9"/>
      <c r="Q1068" s="9"/>
      <c r="R1068" s="9"/>
      <c r="S1068" s="9"/>
      <c r="T1068" s="9"/>
      <c r="U1068" s="9"/>
      <c r="V1068" s="9"/>
      <c r="W1068" s="9"/>
      <c r="X1068" s="9"/>
      <c r="Y1068" s="9"/>
      <c r="Z1068" s="9"/>
      <c r="AA1068" s="9"/>
      <c r="AB1068" s="9"/>
      <c r="AC1068" s="9"/>
      <c r="AD1068" s="9"/>
      <c r="AE1068" s="9"/>
      <c r="AF1068" s="9"/>
      <c r="AG1068" s="12"/>
    </row>
    <row r="1069" spans="1:33">
      <c r="A1069" s="23"/>
      <c r="B1069" s="9"/>
      <c r="C1069" s="9"/>
      <c r="D1069" s="9"/>
      <c r="E1069" s="9"/>
      <c r="F1069" s="9"/>
      <c r="G1069" s="9"/>
      <c r="H1069" s="9"/>
      <c r="I1069" s="9"/>
      <c r="J1069" s="9"/>
      <c r="K1069" s="9"/>
      <c r="L1069" s="9"/>
      <c r="M1069" s="9"/>
      <c r="N1069" s="9"/>
      <c r="O1069" s="9"/>
      <c r="P1069" s="9"/>
      <c r="Q1069" s="9"/>
      <c r="R1069" s="9"/>
      <c r="S1069" s="9"/>
      <c r="T1069" s="9"/>
      <c r="U1069" s="9"/>
      <c r="V1069" s="9"/>
      <c r="W1069" s="9"/>
      <c r="X1069" s="9"/>
      <c r="Y1069" s="9"/>
      <c r="Z1069" s="9"/>
      <c r="AA1069" s="9"/>
      <c r="AB1069" s="9"/>
      <c r="AC1069" s="9"/>
      <c r="AD1069" s="9"/>
      <c r="AE1069" s="9"/>
      <c r="AF1069" s="9"/>
      <c r="AG1069" s="12"/>
    </row>
    <row r="1070" spans="1:33">
      <c r="A1070" s="23"/>
      <c r="B1070" s="9"/>
      <c r="C1070" s="9"/>
      <c r="D1070" s="9"/>
      <c r="E1070" s="9"/>
      <c r="F1070" s="9"/>
      <c r="G1070" s="9"/>
      <c r="H1070" s="9"/>
      <c r="I1070" s="9"/>
      <c r="J1070" s="9"/>
      <c r="K1070" s="9"/>
      <c r="L1070" s="9"/>
      <c r="M1070" s="9"/>
      <c r="N1070" s="9"/>
      <c r="O1070" s="9"/>
      <c r="P1070" s="9"/>
      <c r="Q1070" s="9"/>
      <c r="R1070" s="9"/>
      <c r="S1070" s="9"/>
      <c r="T1070" s="9"/>
      <c r="U1070" s="9"/>
      <c r="V1070" s="9"/>
      <c r="W1070" s="9"/>
      <c r="X1070" s="9"/>
      <c r="Y1070" s="9"/>
      <c r="Z1070" s="9"/>
      <c r="AA1070" s="9"/>
      <c r="AB1070" s="9"/>
      <c r="AC1070" s="9"/>
      <c r="AD1070" s="9"/>
      <c r="AE1070" s="9"/>
      <c r="AF1070" s="9"/>
      <c r="AG1070" s="12"/>
    </row>
    <row r="1071" spans="1:33">
      <c r="A1071" s="23"/>
      <c r="B1071" s="9"/>
      <c r="C1071" s="9"/>
      <c r="D1071" s="9"/>
      <c r="E1071" s="9"/>
      <c r="F1071" s="9"/>
      <c r="G1071" s="9"/>
      <c r="H1071" s="9"/>
      <c r="I1071" s="9"/>
      <c r="J1071" s="9"/>
      <c r="K1071" s="9"/>
      <c r="L1071" s="9"/>
      <c r="M1071" s="9"/>
      <c r="N1071" s="9"/>
      <c r="O1071" s="9"/>
      <c r="P1071" s="9"/>
      <c r="Q1071" s="9"/>
      <c r="R1071" s="9"/>
      <c r="S1071" s="9"/>
      <c r="T1071" s="9"/>
      <c r="U1071" s="9"/>
      <c r="V1071" s="9"/>
      <c r="W1071" s="9"/>
      <c r="X1071" s="9"/>
      <c r="Y1071" s="9"/>
      <c r="Z1071" s="9"/>
      <c r="AA1071" s="9"/>
      <c r="AB1071" s="9"/>
      <c r="AC1071" s="9"/>
      <c r="AD1071" s="9"/>
      <c r="AE1071" s="9"/>
      <c r="AF1071" s="9"/>
      <c r="AG1071" s="12"/>
    </row>
    <row r="1072" spans="1:33">
      <c r="A1072" s="23"/>
      <c r="B1072" s="9"/>
      <c r="C1072" s="9"/>
      <c r="D1072" s="9"/>
      <c r="E1072" s="9"/>
      <c r="F1072" s="9"/>
      <c r="G1072" s="9"/>
      <c r="H1072" s="9"/>
      <c r="I1072" s="9"/>
      <c r="J1072" s="9"/>
      <c r="K1072" s="9"/>
      <c r="L1072" s="9"/>
      <c r="M1072" s="9"/>
      <c r="N1072" s="9"/>
      <c r="O1072" s="9"/>
      <c r="P1072" s="9"/>
      <c r="Q1072" s="9"/>
      <c r="R1072" s="9"/>
      <c r="S1072" s="9"/>
      <c r="T1072" s="9"/>
      <c r="U1072" s="9"/>
      <c r="V1072" s="9"/>
      <c r="W1072" s="9"/>
      <c r="X1072" s="9"/>
      <c r="Y1072" s="9"/>
      <c r="Z1072" s="9"/>
      <c r="AA1072" s="9"/>
      <c r="AB1072" s="9"/>
      <c r="AC1072" s="9"/>
      <c r="AD1072" s="9"/>
      <c r="AE1072" s="9"/>
      <c r="AF1072" s="9"/>
      <c r="AG1072" s="12"/>
    </row>
    <row r="1073" spans="1:33">
      <c r="A1073" s="23"/>
      <c r="B1073" s="9"/>
      <c r="C1073" s="9"/>
      <c r="D1073" s="9"/>
      <c r="E1073" s="9"/>
      <c r="F1073" s="9"/>
      <c r="G1073" s="9"/>
      <c r="H1073" s="9"/>
      <c r="I1073" s="9"/>
      <c r="J1073" s="9"/>
      <c r="K1073" s="9"/>
      <c r="L1073" s="9"/>
      <c r="M1073" s="9"/>
      <c r="N1073" s="9"/>
      <c r="O1073" s="9"/>
      <c r="P1073" s="9"/>
      <c r="Q1073" s="9"/>
      <c r="R1073" s="9"/>
      <c r="S1073" s="9"/>
      <c r="T1073" s="9"/>
      <c r="U1073" s="9"/>
      <c r="V1073" s="9"/>
      <c r="W1073" s="9"/>
      <c r="X1073" s="9"/>
      <c r="Y1073" s="9"/>
      <c r="Z1073" s="9"/>
      <c r="AA1073" s="9"/>
      <c r="AB1073" s="9"/>
      <c r="AC1073" s="9"/>
      <c r="AD1073" s="9"/>
      <c r="AE1073" s="9"/>
      <c r="AF1073" s="9"/>
      <c r="AG1073" s="12"/>
    </row>
    <row r="1074" spans="1:33">
      <c r="A1074" s="23"/>
      <c r="B1074" s="9"/>
      <c r="C1074" s="9"/>
      <c r="D1074" s="9"/>
      <c r="E1074" s="9"/>
      <c r="F1074" s="9"/>
      <c r="G1074" s="9"/>
      <c r="H1074" s="9"/>
      <c r="I1074" s="9"/>
      <c r="J1074" s="9"/>
      <c r="K1074" s="9"/>
      <c r="L1074" s="9"/>
      <c r="M1074" s="9"/>
      <c r="N1074" s="9"/>
      <c r="O1074" s="9"/>
      <c r="P1074" s="9"/>
      <c r="Q1074" s="9"/>
      <c r="R1074" s="9"/>
      <c r="S1074" s="9"/>
      <c r="T1074" s="9"/>
      <c r="U1074" s="9"/>
      <c r="V1074" s="9"/>
      <c r="W1074" s="9"/>
      <c r="X1074" s="9"/>
      <c r="Y1074" s="9"/>
      <c r="Z1074" s="9"/>
      <c r="AA1074" s="9"/>
      <c r="AB1074" s="9"/>
      <c r="AC1074" s="9"/>
      <c r="AD1074" s="9"/>
      <c r="AE1074" s="9"/>
      <c r="AF1074" s="9"/>
      <c r="AG1074" s="12"/>
    </row>
    <row r="1075" spans="1:33">
      <c r="A1075" s="23"/>
      <c r="B1075" s="9"/>
      <c r="C1075" s="9"/>
      <c r="D1075" s="9"/>
      <c r="E1075" s="9"/>
      <c r="F1075" s="9"/>
      <c r="G1075" s="9"/>
      <c r="H1075" s="9"/>
      <c r="I1075" s="9"/>
      <c r="J1075" s="9"/>
      <c r="K1075" s="9"/>
      <c r="L1075" s="9"/>
      <c r="M1075" s="9"/>
      <c r="N1075" s="9"/>
      <c r="O1075" s="9"/>
      <c r="P1075" s="9"/>
      <c r="Q1075" s="9"/>
      <c r="R1075" s="9"/>
      <c r="S1075" s="9"/>
      <c r="T1075" s="9"/>
      <c r="U1075" s="9"/>
      <c r="V1075" s="9"/>
      <c r="W1075" s="9"/>
      <c r="X1075" s="9"/>
      <c r="Y1075" s="9"/>
      <c r="Z1075" s="9"/>
      <c r="AA1075" s="9"/>
      <c r="AB1075" s="9"/>
      <c r="AC1075" s="9"/>
      <c r="AD1075" s="9"/>
      <c r="AE1075" s="9"/>
      <c r="AF1075" s="9"/>
      <c r="AG1075" s="12"/>
    </row>
    <row r="1076" spans="1:33">
      <c r="A1076" s="23"/>
      <c r="B1076" s="9"/>
      <c r="C1076" s="9"/>
      <c r="D1076" s="9"/>
      <c r="E1076" s="9"/>
      <c r="F1076" s="9"/>
      <c r="G1076" s="9"/>
      <c r="H1076" s="9"/>
      <c r="I1076" s="9"/>
      <c r="J1076" s="9"/>
      <c r="K1076" s="9"/>
      <c r="L1076" s="9"/>
      <c r="M1076" s="9"/>
      <c r="N1076" s="9"/>
      <c r="O1076" s="9"/>
      <c r="P1076" s="9"/>
      <c r="Q1076" s="9"/>
      <c r="R1076" s="9"/>
      <c r="S1076" s="9"/>
      <c r="T1076" s="9"/>
      <c r="U1076" s="9"/>
      <c r="V1076" s="9"/>
      <c r="W1076" s="9"/>
      <c r="X1076" s="9"/>
      <c r="Y1076" s="9"/>
      <c r="Z1076" s="9"/>
      <c r="AA1076" s="9"/>
      <c r="AB1076" s="9"/>
      <c r="AC1076" s="9"/>
      <c r="AD1076" s="9"/>
      <c r="AE1076" s="9"/>
      <c r="AF1076" s="9"/>
      <c r="AG1076" s="12"/>
    </row>
    <row r="1077" spans="1:33">
      <c r="A1077" s="23"/>
      <c r="B1077" s="9"/>
      <c r="C1077" s="9"/>
      <c r="D1077" s="9"/>
      <c r="E1077" s="9"/>
      <c r="F1077" s="9"/>
      <c r="G1077" s="9"/>
      <c r="H1077" s="9"/>
      <c r="I1077" s="9"/>
      <c r="J1077" s="9"/>
      <c r="K1077" s="9"/>
      <c r="L1077" s="9"/>
      <c r="M1077" s="9"/>
      <c r="N1077" s="9"/>
      <c r="O1077" s="9"/>
      <c r="P1077" s="9"/>
      <c r="Q1077" s="9"/>
      <c r="R1077" s="9"/>
      <c r="S1077" s="9"/>
      <c r="T1077" s="9"/>
      <c r="U1077" s="9"/>
      <c r="V1077" s="9"/>
      <c r="W1077" s="9"/>
      <c r="X1077" s="9"/>
      <c r="Y1077" s="9"/>
      <c r="Z1077" s="9"/>
      <c r="AA1077" s="9"/>
      <c r="AB1077" s="9"/>
      <c r="AC1077" s="9"/>
      <c r="AD1077" s="9"/>
      <c r="AE1077" s="9"/>
      <c r="AF1077" s="9"/>
      <c r="AG1077" s="12"/>
    </row>
    <row r="1078" spans="1:33">
      <c r="A1078" s="23"/>
      <c r="B1078" s="9"/>
      <c r="C1078" s="9"/>
      <c r="D1078" s="9"/>
      <c r="E1078" s="9"/>
      <c r="F1078" s="9"/>
      <c r="G1078" s="9"/>
      <c r="H1078" s="9"/>
      <c r="I1078" s="9"/>
      <c r="J1078" s="9"/>
      <c r="K1078" s="9"/>
      <c r="L1078" s="9"/>
      <c r="M1078" s="9"/>
      <c r="N1078" s="9"/>
      <c r="O1078" s="9"/>
      <c r="P1078" s="9"/>
      <c r="Q1078" s="9"/>
      <c r="R1078" s="9"/>
      <c r="S1078" s="9"/>
      <c r="T1078" s="9"/>
      <c r="U1078" s="9"/>
      <c r="V1078" s="9"/>
      <c r="W1078" s="9"/>
      <c r="X1078" s="9"/>
      <c r="Y1078" s="9"/>
      <c r="Z1078" s="9"/>
      <c r="AA1078" s="9"/>
      <c r="AB1078" s="9"/>
      <c r="AC1078" s="9"/>
      <c r="AD1078" s="9"/>
      <c r="AE1078" s="9"/>
      <c r="AF1078" s="9"/>
      <c r="AG1078" s="12"/>
    </row>
    <row r="1079" spans="1:33">
      <c r="A1079" s="23"/>
      <c r="B1079" s="9"/>
      <c r="C1079" s="9"/>
      <c r="D1079" s="9"/>
      <c r="E1079" s="9"/>
      <c r="F1079" s="9"/>
      <c r="G1079" s="9"/>
      <c r="H1079" s="9"/>
      <c r="I1079" s="9"/>
      <c r="J1079" s="9"/>
      <c r="K1079" s="9"/>
      <c r="L1079" s="9"/>
      <c r="M1079" s="9"/>
      <c r="N1079" s="9"/>
      <c r="O1079" s="9"/>
      <c r="P1079" s="9"/>
      <c r="Q1079" s="9"/>
      <c r="R1079" s="9"/>
      <c r="S1079" s="9"/>
      <c r="T1079" s="9"/>
      <c r="U1079" s="9"/>
      <c r="V1079" s="9"/>
      <c r="W1079" s="9"/>
      <c r="X1079" s="9"/>
      <c r="Y1079" s="9"/>
      <c r="Z1079" s="9"/>
      <c r="AA1079" s="9"/>
      <c r="AB1079" s="9"/>
      <c r="AC1079" s="9"/>
      <c r="AD1079" s="9"/>
      <c r="AE1079" s="9"/>
      <c r="AF1079" s="9"/>
      <c r="AG1079" s="12"/>
    </row>
    <row r="1080" spans="1:33">
      <c r="A1080" s="23"/>
      <c r="B1080" s="9"/>
      <c r="C1080" s="9"/>
      <c r="D1080" s="9"/>
      <c r="E1080" s="9"/>
      <c r="F1080" s="9"/>
      <c r="G1080" s="9"/>
      <c r="H1080" s="9"/>
      <c r="I1080" s="9"/>
      <c r="J1080" s="9"/>
      <c r="K1080" s="9"/>
      <c r="L1080" s="9"/>
      <c r="M1080" s="9"/>
      <c r="N1080" s="9"/>
      <c r="O1080" s="9"/>
      <c r="P1080" s="9"/>
      <c r="Q1080" s="9"/>
      <c r="R1080" s="9"/>
      <c r="S1080" s="9"/>
      <c r="T1080" s="9"/>
      <c r="U1080" s="9"/>
      <c r="V1080" s="9"/>
      <c r="W1080" s="9"/>
      <c r="X1080" s="9"/>
      <c r="Y1080" s="9"/>
      <c r="Z1080" s="9"/>
      <c r="AA1080" s="9"/>
      <c r="AB1080" s="9"/>
      <c r="AC1080" s="9"/>
      <c r="AD1080" s="9"/>
      <c r="AE1080" s="9"/>
      <c r="AF1080" s="9"/>
      <c r="AG1080" s="12"/>
    </row>
    <row r="1081" spans="1:33">
      <c r="A1081" s="23"/>
      <c r="B1081" s="9"/>
      <c r="C1081" s="9"/>
      <c r="D1081" s="9"/>
      <c r="E1081" s="9"/>
      <c r="F1081" s="9"/>
      <c r="G1081" s="9"/>
      <c r="H1081" s="9"/>
      <c r="I1081" s="9"/>
      <c r="J1081" s="9"/>
      <c r="K1081" s="9"/>
      <c r="L1081" s="9"/>
      <c r="M1081" s="9"/>
      <c r="N1081" s="9"/>
      <c r="O1081" s="9"/>
      <c r="P1081" s="9"/>
      <c r="Q1081" s="9"/>
      <c r="R1081" s="9"/>
      <c r="S1081" s="9"/>
      <c r="T1081" s="9"/>
      <c r="U1081" s="9"/>
      <c r="V1081" s="9"/>
      <c r="W1081" s="9"/>
      <c r="X1081" s="9"/>
      <c r="Y1081" s="9"/>
      <c r="Z1081" s="9"/>
      <c r="AA1081" s="9"/>
      <c r="AB1081" s="9"/>
      <c r="AC1081" s="9"/>
      <c r="AD1081" s="9"/>
      <c r="AE1081" s="9"/>
      <c r="AF1081" s="9"/>
      <c r="AG1081" s="12"/>
    </row>
    <row r="1082" spans="1:33">
      <c r="A1082" s="23"/>
      <c r="B1082" s="9"/>
      <c r="C1082" s="9"/>
      <c r="D1082" s="9"/>
      <c r="E1082" s="9"/>
      <c r="F1082" s="9"/>
      <c r="G1082" s="9"/>
      <c r="H1082" s="9"/>
      <c r="I1082" s="9"/>
      <c r="J1082" s="9"/>
      <c r="K1082" s="9"/>
      <c r="L1082" s="9"/>
      <c r="M1082" s="9"/>
      <c r="N1082" s="9"/>
      <c r="O1082" s="9"/>
      <c r="P1082" s="9"/>
      <c r="Q1082" s="9"/>
      <c r="R1082" s="9"/>
      <c r="S1082" s="9"/>
      <c r="T1082" s="9"/>
      <c r="U1082" s="9"/>
      <c r="V1082" s="9"/>
      <c r="W1082" s="9"/>
      <c r="X1082" s="9"/>
      <c r="Y1082" s="9"/>
      <c r="Z1082" s="9"/>
      <c r="AA1082" s="9"/>
      <c r="AB1082" s="9"/>
      <c r="AC1082" s="9"/>
      <c r="AD1082" s="9"/>
      <c r="AE1082" s="9"/>
      <c r="AF1082" s="9"/>
      <c r="AG1082" s="12"/>
    </row>
    <row r="1083" spans="1:33">
      <c r="A1083" s="23"/>
      <c r="B1083" s="9"/>
      <c r="C1083" s="9"/>
      <c r="D1083" s="9"/>
      <c r="E1083" s="9"/>
      <c r="F1083" s="9"/>
      <c r="G1083" s="9"/>
      <c r="H1083" s="9"/>
      <c r="I1083" s="9"/>
      <c r="J1083" s="9"/>
      <c r="K1083" s="9"/>
      <c r="L1083" s="9"/>
      <c r="M1083" s="9"/>
      <c r="N1083" s="9"/>
      <c r="O1083" s="9"/>
      <c r="P1083" s="9"/>
      <c r="Q1083" s="9"/>
      <c r="R1083" s="9"/>
      <c r="S1083" s="9"/>
      <c r="T1083" s="9"/>
      <c r="U1083" s="9"/>
      <c r="V1083" s="9"/>
      <c r="W1083" s="9"/>
      <c r="X1083" s="9"/>
      <c r="Y1083" s="9"/>
      <c r="Z1083" s="9"/>
      <c r="AA1083" s="9"/>
      <c r="AB1083" s="9"/>
      <c r="AC1083" s="9"/>
      <c r="AD1083" s="9"/>
      <c r="AE1083" s="9"/>
      <c r="AF1083" s="9"/>
      <c r="AG1083" s="12"/>
    </row>
    <row r="1084" spans="1:33">
      <c r="A1084" s="23"/>
      <c r="B1084" s="9"/>
      <c r="C1084" s="9"/>
      <c r="D1084" s="9"/>
      <c r="E1084" s="9"/>
      <c r="F1084" s="9"/>
      <c r="G1084" s="9"/>
      <c r="H1084" s="9"/>
      <c r="I1084" s="9"/>
      <c r="J1084" s="9"/>
      <c r="K1084" s="9"/>
      <c r="L1084" s="9"/>
      <c r="M1084" s="9"/>
      <c r="N1084" s="9"/>
      <c r="O1084" s="9"/>
      <c r="P1084" s="9"/>
      <c r="Q1084" s="9"/>
      <c r="R1084" s="9"/>
      <c r="S1084" s="9"/>
      <c r="T1084" s="9"/>
      <c r="U1084" s="9"/>
      <c r="V1084" s="9"/>
      <c r="W1084" s="9"/>
      <c r="X1084" s="9"/>
      <c r="Y1084" s="9"/>
      <c r="Z1084" s="9"/>
      <c r="AA1084" s="9"/>
      <c r="AB1084" s="9"/>
      <c r="AC1084" s="9"/>
      <c r="AD1084" s="9"/>
      <c r="AE1084" s="9"/>
      <c r="AF1084" s="9"/>
      <c r="AG1084" s="12"/>
    </row>
    <row r="1085" spans="1:33">
      <c r="A1085" s="23"/>
      <c r="B1085" s="9"/>
      <c r="C1085" s="9"/>
      <c r="D1085" s="9"/>
      <c r="E1085" s="9"/>
      <c r="F1085" s="9"/>
      <c r="G1085" s="9"/>
      <c r="H1085" s="9"/>
      <c r="I1085" s="9"/>
      <c r="J1085" s="9"/>
      <c r="K1085" s="9"/>
      <c r="L1085" s="9"/>
      <c r="M1085" s="9"/>
      <c r="N1085" s="9"/>
      <c r="O1085" s="9"/>
      <c r="P1085" s="9"/>
      <c r="Q1085" s="9"/>
      <c r="R1085" s="9"/>
      <c r="S1085" s="9"/>
      <c r="T1085" s="9"/>
      <c r="U1085" s="9"/>
      <c r="V1085" s="9"/>
      <c r="W1085" s="9"/>
      <c r="X1085" s="9"/>
      <c r="Y1085" s="9"/>
      <c r="Z1085" s="9"/>
      <c r="AA1085" s="9"/>
      <c r="AB1085" s="9"/>
      <c r="AC1085" s="9"/>
      <c r="AD1085" s="9"/>
      <c r="AE1085" s="9"/>
      <c r="AF1085" s="9"/>
      <c r="AG1085" s="12"/>
    </row>
    <row r="1086" spans="1:33">
      <c r="A1086" s="23"/>
      <c r="B1086" s="9"/>
      <c r="C1086" s="9"/>
      <c r="D1086" s="9"/>
      <c r="E1086" s="9"/>
      <c r="F1086" s="9"/>
      <c r="G1086" s="9"/>
      <c r="H1086" s="9"/>
      <c r="I1086" s="9"/>
      <c r="J1086" s="9"/>
      <c r="K1086" s="9"/>
      <c r="L1086" s="9"/>
      <c r="M1086" s="9"/>
      <c r="N1086" s="9"/>
      <c r="O1086" s="9"/>
      <c r="P1086" s="9"/>
      <c r="Q1086" s="9"/>
      <c r="R1086" s="9"/>
      <c r="S1086" s="9"/>
      <c r="T1086" s="9"/>
      <c r="U1086" s="9"/>
      <c r="V1086" s="9"/>
      <c r="W1086" s="9"/>
      <c r="X1086" s="9"/>
      <c r="Y1086" s="9"/>
      <c r="Z1086" s="9"/>
      <c r="AA1086" s="9"/>
      <c r="AB1086" s="9"/>
      <c r="AC1086" s="9"/>
      <c r="AD1086" s="9"/>
      <c r="AE1086" s="9"/>
      <c r="AF1086" s="9"/>
      <c r="AG1086" s="12"/>
    </row>
    <row r="1087" spans="1:33">
      <c r="A1087" s="23"/>
      <c r="B1087" s="9"/>
      <c r="C1087" s="9"/>
      <c r="D1087" s="9"/>
      <c r="E1087" s="9"/>
      <c r="F1087" s="9"/>
      <c r="G1087" s="9"/>
      <c r="H1087" s="9"/>
      <c r="I1087" s="9"/>
      <c r="J1087" s="9"/>
      <c r="K1087" s="9"/>
      <c r="L1087" s="9"/>
      <c r="M1087" s="9"/>
      <c r="N1087" s="9"/>
      <c r="O1087" s="9"/>
      <c r="P1087" s="9"/>
      <c r="Q1087" s="9"/>
      <c r="R1087" s="9"/>
      <c r="S1087" s="9"/>
      <c r="T1087" s="9"/>
      <c r="U1087" s="9"/>
      <c r="V1087" s="9"/>
      <c r="W1087" s="9"/>
      <c r="X1087" s="9"/>
      <c r="Y1087" s="9"/>
      <c r="Z1087" s="9"/>
      <c r="AA1087" s="9"/>
      <c r="AB1087" s="9"/>
      <c r="AC1087" s="9"/>
      <c r="AD1087" s="9"/>
      <c r="AE1087" s="9"/>
      <c r="AF1087" s="9"/>
      <c r="AG1087" s="12"/>
    </row>
    <row r="1088" spans="1:33">
      <c r="A1088" s="23"/>
      <c r="B1088" s="9"/>
      <c r="C1088" s="9"/>
      <c r="D1088" s="9"/>
      <c r="E1088" s="9"/>
      <c r="F1088" s="9"/>
      <c r="G1088" s="9"/>
      <c r="H1088" s="9"/>
      <c r="I1088" s="9"/>
      <c r="J1088" s="9"/>
      <c r="K1088" s="9"/>
      <c r="L1088" s="9"/>
      <c r="M1088" s="9"/>
      <c r="N1088" s="9"/>
      <c r="O1088" s="9"/>
      <c r="P1088" s="9"/>
      <c r="Q1088" s="9"/>
      <c r="R1088" s="9"/>
      <c r="S1088" s="9"/>
      <c r="T1088" s="9"/>
      <c r="U1088" s="9"/>
      <c r="V1088" s="9"/>
      <c r="W1088" s="9"/>
      <c r="X1088" s="9"/>
      <c r="Y1088" s="9"/>
      <c r="Z1088" s="9"/>
      <c r="AA1088" s="9"/>
      <c r="AB1088" s="9"/>
      <c r="AC1088" s="9"/>
      <c r="AD1088" s="9"/>
      <c r="AE1088" s="9"/>
      <c r="AF1088" s="9"/>
      <c r="AG1088" s="12"/>
    </row>
    <row r="1089" spans="1:33">
      <c r="A1089" s="23"/>
      <c r="B1089" s="9"/>
      <c r="C1089" s="9"/>
      <c r="D1089" s="9"/>
      <c r="E1089" s="9"/>
      <c r="F1089" s="9"/>
      <c r="G1089" s="9"/>
      <c r="H1089" s="9"/>
      <c r="I1089" s="9"/>
      <c r="J1089" s="9"/>
      <c r="K1089" s="9"/>
      <c r="L1089" s="9"/>
      <c r="M1089" s="9"/>
      <c r="N1089" s="9"/>
      <c r="O1089" s="9"/>
      <c r="P1089" s="9"/>
      <c r="Q1089" s="9"/>
      <c r="R1089" s="9"/>
      <c r="S1089" s="9"/>
      <c r="T1089" s="9"/>
      <c r="U1089" s="9"/>
      <c r="V1089" s="9"/>
      <c r="W1089" s="9"/>
      <c r="X1089" s="9"/>
      <c r="Y1089" s="9"/>
      <c r="Z1089" s="9"/>
      <c r="AA1089" s="9"/>
      <c r="AB1089" s="9"/>
      <c r="AC1089" s="9"/>
      <c r="AD1089" s="9"/>
      <c r="AE1089" s="9"/>
      <c r="AF1089" s="9"/>
      <c r="AG1089" s="12"/>
    </row>
    <row r="1090" spans="1:33">
      <c r="A1090" s="23"/>
      <c r="B1090" s="9"/>
      <c r="C1090" s="9"/>
      <c r="D1090" s="9"/>
      <c r="E1090" s="9"/>
      <c r="F1090" s="9"/>
      <c r="G1090" s="9"/>
      <c r="H1090" s="9"/>
      <c r="I1090" s="9"/>
      <c r="J1090" s="9"/>
      <c r="K1090" s="9"/>
      <c r="L1090" s="9"/>
      <c r="M1090" s="9"/>
      <c r="N1090" s="9"/>
      <c r="O1090" s="9"/>
      <c r="P1090" s="9"/>
      <c r="Q1090" s="9"/>
      <c r="R1090" s="9"/>
      <c r="S1090" s="9"/>
      <c r="T1090" s="9"/>
      <c r="U1090" s="9"/>
      <c r="V1090" s="9"/>
      <c r="W1090" s="9"/>
      <c r="X1090" s="9"/>
      <c r="Y1090" s="9"/>
      <c r="Z1090" s="9"/>
      <c r="AA1090" s="9"/>
      <c r="AB1090" s="9"/>
      <c r="AC1090" s="9"/>
      <c r="AD1090" s="9"/>
      <c r="AE1090" s="9"/>
      <c r="AF1090" s="9"/>
      <c r="AG1090" s="12"/>
    </row>
    <row r="1091" spans="1:33">
      <c r="A1091" s="23"/>
      <c r="B1091" s="9"/>
      <c r="C1091" s="9"/>
      <c r="D1091" s="9"/>
      <c r="E1091" s="9"/>
      <c r="F1091" s="9"/>
      <c r="G1091" s="9"/>
      <c r="H1091" s="9"/>
      <c r="I1091" s="9"/>
      <c r="J1091" s="9"/>
      <c r="K1091" s="9"/>
      <c r="L1091" s="9"/>
      <c r="M1091" s="9"/>
      <c r="N1091" s="9"/>
      <c r="O1091" s="9"/>
      <c r="P1091" s="9"/>
      <c r="Q1091" s="9"/>
      <c r="R1091" s="9"/>
      <c r="S1091" s="9"/>
      <c r="T1091" s="9"/>
      <c r="U1091" s="9"/>
      <c r="V1091" s="9"/>
      <c r="W1091" s="9"/>
      <c r="X1091" s="9"/>
      <c r="Y1091" s="9"/>
      <c r="Z1091" s="9"/>
      <c r="AA1091" s="9"/>
      <c r="AB1091" s="9"/>
      <c r="AC1091" s="9"/>
      <c r="AD1091" s="9"/>
      <c r="AE1091" s="9"/>
      <c r="AF1091" s="9"/>
      <c r="AG1091" s="12"/>
    </row>
    <row r="1092" spans="1:33">
      <c r="A1092" s="23"/>
      <c r="B1092" s="9"/>
      <c r="C1092" s="9"/>
      <c r="D1092" s="9"/>
      <c r="E1092" s="9"/>
      <c r="F1092" s="9"/>
      <c r="G1092" s="9"/>
      <c r="H1092" s="9"/>
      <c r="I1092" s="9"/>
      <c r="J1092" s="9"/>
      <c r="K1092" s="9"/>
      <c r="L1092" s="9"/>
      <c r="M1092" s="9"/>
      <c r="N1092" s="9"/>
      <c r="O1092" s="9"/>
      <c r="P1092" s="9"/>
      <c r="Q1092" s="9"/>
      <c r="R1092" s="9"/>
      <c r="S1092" s="9"/>
      <c r="T1092" s="9"/>
      <c r="U1092" s="9"/>
      <c r="V1092" s="9"/>
      <c r="W1092" s="9"/>
      <c r="X1092" s="9"/>
      <c r="Y1092" s="9"/>
      <c r="Z1092" s="9"/>
      <c r="AA1092" s="9"/>
      <c r="AB1092" s="9"/>
      <c r="AC1092" s="9"/>
      <c r="AD1092" s="9"/>
      <c r="AE1092" s="9"/>
      <c r="AF1092" s="9"/>
      <c r="AG1092" s="12"/>
    </row>
    <row r="1093" spans="1:33">
      <c r="A1093" s="23"/>
      <c r="B1093" s="9"/>
      <c r="C1093" s="9"/>
      <c r="D1093" s="9"/>
      <c r="E1093" s="9"/>
      <c r="F1093" s="9"/>
      <c r="G1093" s="9"/>
      <c r="H1093" s="9"/>
      <c r="I1093" s="9"/>
      <c r="J1093" s="9"/>
      <c r="K1093" s="9"/>
      <c r="L1093" s="9"/>
      <c r="M1093" s="9"/>
      <c r="N1093" s="9"/>
      <c r="O1093" s="9"/>
      <c r="P1093" s="9"/>
      <c r="Q1093" s="9"/>
      <c r="R1093" s="9"/>
      <c r="S1093" s="9"/>
      <c r="T1093" s="9"/>
      <c r="U1093" s="9"/>
      <c r="V1093" s="9"/>
      <c r="W1093" s="9"/>
      <c r="X1093" s="9"/>
      <c r="Y1093" s="9"/>
      <c r="Z1093" s="9"/>
      <c r="AA1093" s="9"/>
      <c r="AB1093" s="9"/>
      <c r="AC1093" s="9"/>
      <c r="AD1093" s="9"/>
      <c r="AE1093" s="9"/>
      <c r="AF1093" s="9"/>
      <c r="AG1093" s="12"/>
    </row>
    <row r="1094" spans="1:33">
      <c r="A1094" s="23"/>
      <c r="B1094" s="9"/>
      <c r="C1094" s="9"/>
      <c r="D1094" s="9"/>
      <c r="E1094" s="9"/>
      <c r="F1094" s="9"/>
      <c r="G1094" s="9"/>
      <c r="H1094" s="9"/>
      <c r="I1094" s="9"/>
      <c r="J1094" s="9"/>
      <c r="K1094" s="9"/>
      <c r="L1094" s="9"/>
      <c r="M1094" s="9"/>
      <c r="N1094" s="9"/>
      <c r="O1094" s="9"/>
      <c r="P1094" s="9"/>
      <c r="Q1094" s="9"/>
      <c r="R1094" s="9"/>
      <c r="S1094" s="9"/>
      <c r="T1094" s="9"/>
      <c r="U1094" s="9"/>
      <c r="V1094" s="9"/>
      <c r="W1094" s="9"/>
      <c r="X1094" s="9"/>
      <c r="Y1094" s="9"/>
      <c r="Z1094" s="9"/>
      <c r="AA1094" s="9"/>
      <c r="AB1094" s="9"/>
      <c r="AC1094" s="9"/>
      <c r="AD1094" s="9"/>
      <c r="AE1094" s="9"/>
      <c r="AF1094" s="9"/>
      <c r="AG1094" s="12"/>
    </row>
    <row r="1095" spans="1:33">
      <c r="A1095" s="23"/>
      <c r="B1095" s="9"/>
      <c r="C1095" s="9"/>
      <c r="D1095" s="9"/>
      <c r="E1095" s="9"/>
      <c r="F1095" s="9"/>
      <c r="G1095" s="9"/>
      <c r="H1095" s="9"/>
      <c r="I1095" s="9"/>
      <c r="J1095" s="9"/>
      <c r="K1095" s="9"/>
      <c r="L1095" s="9"/>
      <c r="M1095" s="9"/>
      <c r="N1095" s="9"/>
      <c r="O1095" s="9"/>
      <c r="P1095" s="9"/>
      <c r="Q1095" s="9"/>
      <c r="R1095" s="9"/>
      <c r="S1095" s="9"/>
      <c r="T1095" s="9"/>
      <c r="U1095" s="9"/>
      <c r="V1095" s="9"/>
      <c r="W1095" s="9"/>
      <c r="X1095" s="9"/>
      <c r="Y1095" s="9"/>
      <c r="Z1095" s="9"/>
      <c r="AA1095" s="9"/>
      <c r="AB1095" s="9"/>
      <c r="AC1095" s="9"/>
      <c r="AD1095" s="9"/>
      <c r="AE1095" s="9"/>
      <c r="AF1095" s="9"/>
      <c r="AG1095" s="12"/>
    </row>
    <row r="1096" spans="1:33">
      <c r="A1096" s="23"/>
      <c r="B1096" s="9"/>
      <c r="C1096" s="9"/>
      <c r="D1096" s="9"/>
      <c r="E1096" s="9"/>
      <c r="F1096" s="9"/>
      <c r="G1096" s="9"/>
      <c r="H1096" s="9"/>
      <c r="I1096" s="9"/>
      <c r="J1096" s="9"/>
      <c r="K1096" s="9"/>
      <c r="L1096" s="9"/>
      <c r="M1096" s="9"/>
      <c r="N1096" s="9"/>
      <c r="O1096" s="9"/>
      <c r="P1096" s="9"/>
      <c r="Q1096" s="9"/>
      <c r="R1096" s="9"/>
      <c r="S1096" s="9"/>
      <c r="T1096" s="9"/>
      <c r="U1096" s="9"/>
      <c r="V1096" s="9"/>
      <c r="W1096" s="9"/>
      <c r="X1096" s="9"/>
      <c r="Y1096" s="9"/>
      <c r="Z1096" s="9"/>
      <c r="AA1096" s="9"/>
      <c r="AB1096" s="9"/>
      <c r="AC1096" s="9"/>
      <c r="AD1096" s="9"/>
      <c r="AE1096" s="9"/>
      <c r="AF1096" s="9"/>
      <c r="AG1096" s="12"/>
    </row>
    <row r="1097" spans="1:33">
      <c r="A1097" s="23"/>
      <c r="B1097" s="9"/>
      <c r="C1097" s="9"/>
      <c r="D1097" s="9"/>
      <c r="E1097" s="9"/>
      <c r="F1097" s="9"/>
      <c r="G1097" s="9"/>
      <c r="H1097" s="9"/>
      <c r="I1097" s="9"/>
      <c r="J1097" s="9"/>
      <c r="K1097" s="9"/>
      <c r="L1097" s="9"/>
      <c r="M1097" s="9"/>
      <c r="N1097" s="9"/>
      <c r="O1097" s="9"/>
      <c r="P1097" s="9"/>
      <c r="Q1097" s="9"/>
      <c r="R1097" s="9"/>
      <c r="S1097" s="9"/>
      <c r="T1097" s="9"/>
      <c r="U1097" s="9"/>
      <c r="V1097" s="9"/>
      <c r="W1097" s="9"/>
      <c r="X1097" s="9"/>
      <c r="Y1097" s="9"/>
      <c r="Z1097" s="9"/>
      <c r="AA1097" s="9"/>
      <c r="AB1097" s="9"/>
      <c r="AC1097" s="9"/>
      <c r="AD1097" s="9"/>
      <c r="AE1097" s="9"/>
      <c r="AF1097" s="9"/>
      <c r="AG1097" s="12"/>
    </row>
    <row r="1098" spans="1:33">
      <c r="A1098" s="23"/>
      <c r="B1098" s="9"/>
      <c r="C1098" s="9"/>
      <c r="D1098" s="9"/>
      <c r="E1098" s="9"/>
      <c r="F1098" s="9"/>
      <c r="G1098" s="9"/>
      <c r="H1098" s="9"/>
      <c r="I1098" s="9"/>
      <c r="J1098" s="9"/>
      <c r="K1098" s="9"/>
      <c r="L1098" s="9"/>
      <c r="M1098" s="9"/>
      <c r="N1098" s="9"/>
      <c r="O1098" s="9"/>
      <c r="P1098" s="9"/>
      <c r="Q1098" s="9"/>
      <c r="R1098" s="9"/>
      <c r="S1098" s="9"/>
      <c r="T1098" s="9"/>
      <c r="U1098" s="9"/>
      <c r="V1098" s="9"/>
      <c r="W1098" s="9"/>
      <c r="X1098" s="9"/>
      <c r="Y1098" s="9"/>
      <c r="Z1098" s="9"/>
      <c r="AA1098" s="9"/>
      <c r="AB1098" s="9"/>
      <c r="AC1098" s="9"/>
      <c r="AD1098" s="9"/>
      <c r="AE1098" s="9"/>
      <c r="AF1098" s="9"/>
      <c r="AG1098" s="12"/>
    </row>
    <row r="1099" spans="1:33">
      <c r="A1099" s="23"/>
      <c r="B1099" s="9"/>
      <c r="C1099" s="9"/>
      <c r="D1099" s="9"/>
      <c r="E1099" s="9"/>
      <c r="F1099" s="9"/>
      <c r="G1099" s="9"/>
      <c r="H1099" s="9"/>
      <c r="I1099" s="9"/>
      <c r="J1099" s="9"/>
      <c r="K1099" s="9"/>
      <c r="L1099" s="9"/>
      <c r="M1099" s="9"/>
      <c r="N1099" s="9"/>
      <c r="O1099" s="9"/>
      <c r="P1099" s="9"/>
      <c r="Q1099" s="9"/>
      <c r="R1099" s="9"/>
      <c r="S1099" s="9"/>
      <c r="T1099" s="9"/>
      <c r="U1099" s="9"/>
      <c r="V1099" s="9"/>
      <c r="W1099" s="9"/>
      <c r="X1099" s="9"/>
      <c r="Y1099" s="9"/>
      <c r="Z1099" s="9"/>
      <c r="AA1099" s="9"/>
      <c r="AB1099" s="9"/>
      <c r="AC1099" s="9"/>
      <c r="AD1099" s="9"/>
      <c r="AE1099" s="9"/>
      <c r="AF1099" s="9"/>
      <c r="AG1099" s="12"/>
    </row>
    <row r="1100" spans="1:33">
      <c r="A1100" s="23"/>
      <c r="B1100" s="9"/>
      <c r="C1100" s="9"/>
      <c r="D1100" s="9"/>
      <c r="E1100" s="9"/>
      <c r="F1100" s="9"/>
      <c r="G1100" s="9"/>
      <c r="H1100" s="9"/>
      <c r="I1100" s="9"/>
      <c r="J1100" s="9"/>
      <c r="K1100" s="9"/>
      <c r="L1100" s="9"/>
      <c r="M1100" s="9"/>
      <c r="N1100" s="9"/>
      <c r="O1100" s="9"/>
      <c r="P1100" s="9"/>
      <c r="Q1100" s="9"/>
      <c r="R1100" s="9"/>
      <c r="S1100" s="9"/>
      <c r="T1100" s="9"/>
      <c r="U1100" s="9"/>
      <c r="V1100" s="9"/>
      <c r="W1100" s="9"/>
      <c r="X1100" s="9"/>
      <c r="Y1100" s="9"/>
      <c r="Z1100" s="9"/>
      <c r="AA1100" s="9"/>
      <c r="AB1100" s="9"/>
      <c r="AC1100" s="9"/>
      <c r="AD1100" s="9"/>
      <c r="AE1100" s="9"/>
      <c r="AF1100" s="9"/>
      <c r="AG1100" s="12"/>
    </row>
    <row r="1101" spans="1:33">
      <c r="A1101" s="23"/>
      <c r="B1101" s="9"/>
      <c r="C1101" s="9"/>
      <c r="D1101" s="9"/>
      <c r="E1101" s="9"/>
      <c r="F1101" s="9"/>
      <c r="G1101" s="9"/>
      <c r="H1101" s="9"/>
      <c r="I1101" s="9"/>
      <c r="J1101" s="9"/>
      <c r="K1101" s="9"/>
      <c r="L1101" s="9"/>
      <c r="M1101" s="9"/>
      <c r="N1101" s="9"/>
      <c r="O1101" s="9"/>
      <c r="P1101" s="9"/>
      <c r="Q1101" s="9"/>
      <c r="R1101" s="9"/>
      <c r="S1101" s="9"/>
      <c r="T1101" s="9"/>
      <c r="U1101" s="9"/>
      <c r="V1101" s="9"/>
      <c r="W1101" s="9"/>
      <c r="X1101" s="9"/>
      <c r="Y1101" s="9"/>
      <c r="Z1101" s="9"/>
      <c r="AA1101" s="9"/>
      <c r="AB1101" s="9"/>
      <c r="AC1101" s="9"/>
      <c r="AD1101" s="9"/>
      <c r="AE1101" s="9"/>
      <c r="AF1101" s="9"/>
      <c r="AG1101" s="12"/>
    </row>
    <row r="1102" spans="1:33">
      <c r="A1102" s="23"/>
      <c r="B1102" s="9"/>
      <c r="C1102" s="9"/>
      <c r="D1102" s="9"/>
      <c r="E1102" s="9"/>
      <c r="F1102" s="9"/>
      <c r="G1102" s="9"/>
      <c r="H1102" s="9"/>
      <c r="I1102" s="9"/>
      <c r="J1102" s="9"/>
      <c r="K1102" s="9"/>
      <c r="L1102" s="9"/>
      <c r="M1102" s="9"/>
      <c r="N1102" s="9"/>
      <c r="O1102" s="9"/>
      <c r="P1102" s="9"/>
      <c r="Q1102" s="9"/>
      <c r="R1102" s="9"/>
      <c r="S1102" s="9"/>
      <c r="T1102" s="9"/>
      <c r="U1102" s="9"/>
      <c r="V1102" s="9"/>
      <c r="W1102" s="9"/>
      <c r="X1102" s="9"/>
      <c r="Y1102" s="9"/>
      <c r="Z1102" s="9"/>
      <c r="AA1102" s="9"/>
      <c r="AB1102" s="9"/>
      <c r="AC1102" s="9"/>
      <c r="AD1102" s="9"/>
      <c r="AE1102" s="9"/>
      <c r="AF1102" s="9"/>
      <c r="AG1102" s="12"/>
    </row>
    <row r="1103" spans="1:33">
      <c r="A1103" s="23"/>
      <c r="B1103" s="9"/>
      <c r="C1103" s="9"/>
      <c r="D1103" s="9"/>
      <c r="E1103" s="9"/>
      <c r="F1103" s="9"/>
      <c r="G1103" s="9"/>
      <c r="H1103" s="9"/>
      <c r="I1103" s="9"/>
      <c r="J1103" s="9"/>
      <c r="K1103" s="9"/>
      <c r="L1103" s="9"/>
      <c r="M1103" s="9"/>
      <c r="N1103" s="9"/>
      <c r="O1103" s="9"/>
      <c r="P1103" s="9"/>
      <c r="Q1103" s="9"/>
      <c r="R1103" s="9"/>
      <c r="S1103" s="9"/>
      <c r="T1103" s="9"/>
      <c r="U1103" s="9"/>
      <c r="V1103" s="9"/>
      <c r="W1103" s="9"/>
      <c r="X1103" s="9"/>
      <c r="Y1103" s="9"/>
      <c r="Z1103" s="9"/>
      <c r="AA1103" s="9"/>
      <c r="AB1103" s="9"/>
      <c r="AC1103" s="9"/>
      <c r="AD1103" s="9"/>
      <c r="AE1103" s="9"/>
      <c r="AF1103" s="9"/>
      <c r="AG1103" s="12"/>
    </row>
    <row r="1104" spans="1:33">
      <c r="A1104" s="23"/>
      <c r="B1104" s="9"/>
      <c r="C1104" s="9"/>
      <c r="D1104" s="9"/>
      <c r="E1104" s="9"/>
      <c r="F1104" s="9"/>
      <c r="G1104" s="9"/>
      <c r="H1104" s="9"/>
      <c r="I1104" s="9"/>
      <c r="J1104" s="9"/>
      <c r="K1104" s="9"/>
      <c r="L1104" s="9"/>
      <c r="M1104" s="9"/>
      <c r="N1104" s="9"/>
      <c r="O1104" s="9"/>
      <c r="P1104" s="9"/>
      <c r="Q1104" s="9"/>
      <c r="R1104" s="9"/>
      <c r="S1104" s="9"/>
      <c r="T1104" s="9"/>
      <c r="U1104" s="9"/>
      <c r="V1104" s="9"/>
      <c r="W1104" s="9"/>
      <c r="X1104" s="9"/>
      <c r="Y1104" s="9"/>
      <c r="Z1104" s="9"/>
      <c r="AA1104" s="9"/>
      <c r="AB1104" s="9"/>
      <c r="AC1104" s="9"/>
      <c r="AD1104" s="9"/>
      <c r="AE1104" s="9"/>
      <c r="AF1104" s="9"/>
      <c r="AG1104" s="12"/>
    </row>
    <row r="1105" spans="1:33">
      <c r="A1105" s="23"/>
      <c r="B1105" s="9"/>
      <c r="C1105" s="9"/>
      <c r="D1105" s="9"/>
      <c r="E1105" s="9"/>
      <c r="F1105" s="9"/>
      <c r="G1105" s="9"/>
      <c r="H1105" s="9"/>
      <c r="I1105" s="9"/>
      <c r="J1105" s="9"/>
      <c r="K1105" s="9"/>
      <c r="L1105" s="9"/>
      <c r="M1105" s="9"/>
      <c r="N1105" s="9"/>
      <c r="O1105" s="9"/>
      <c r="P1105" s="9"/>
      <c r="Q1105" s="9"/>
      <c r="R1105" s="9"/>
      <c r="S1105" s="9"/>
      <c r="T1105" s="9"/>
      <c r="U1105" s="9"/>
      <c r="V1105" s="9"/>
      <c r="W1105" s="9"/>
      <c r="X1105" s="9"/>
      <c r="Y1105" s="9"/>
      <c r="Z1105" s="9"/>
      <c r="AA1105" s="9"/>
      <c r="AB1105" s="9"/>
      <c r="AC1105" s="9"/>
      <c r="AD1105" s="9"/>
      <c r="AE1105" s="9"/>
      <c r="AF1105" s="9"/>
      <c r="AG1105" s="12"/>
    </row>
    <row r="1106" spans="1:33">
      <c r="A1106" s="23"/>
      <c r="B1106" s="9"/>
      <c r="C1106" s="9"/>
      <c r="D1106" s="9"/>
      <c r="E1106" s="9"/>
      <c r="F1106" s="9"/>
      <c r="G1106" s="9"/>
      <c r="H1106" s="9"/>
      <c r="I1106" s="9"/>
      <c r="J1106" s="9"/>
      <c r="K1106" s="9"/>
      <c r="L1106" s="9"/>
      <c r="M1106" s="9"/>
      <c r="N1106" s="9"/>
      <c r="O1106" s="9"/>
      <c r="P1106" s="9"/>
      <c r="Q1106" s="9"/>
      <c r="R1106" s="9"/>
      <c r="S1106" s="9"/>
      <c r="T1106" s="9"/>
      <c r="U1106" s="9"/>
      <c r="V1106" s="9"/>
      <c r="W1106" s="9"/>
      <c r="X1106" s="9"/>
      <c r="Y1106" s="9"/>
      <c r="Z1106" s="9"/>
      <c r="AA1106" s="9"/>
      <c r="AB1106" s="9"/>
      <c r="AC1106" s="9"/>
      <c r="AD1106" s="9"/>
      <c r="AE1106" s="9"/>
      <c r="AF1106" s="9"/>
      <c r="AG1106" s="12"/>
    </row>
    <row r="1107" spans="1:33">
      <c r="A1107" s="23"/>
      <c r="B1107" s="9"/>
      <c r="C1107" s="9"/>
      <c r="D1107" s="9"/>
      <c r="E1107" s="9"/>
      <c r="F1107" s="9"/>
      <c r="G1107" s="9"/>
      <c r="H1107" s="9"/>
      <c r="I1107" s="9"/>
      <c r="J1107" s="9"/>
      <c r="K1107" s="9"/>
      <c r="L1107" s="9"/>
      <c r="M1107" s="9"/>
      <c r="N1107" s="9"/>
      <c r="O1107" s="9"/>
      <c r="P1107" s="9"/>
      <c r="Q1107" s="9"/>
      <c r="R1107" s="9"/>
      <c r="S1107" s="9"/>
      <c r="T1107" s="9"/>
      <c r="U1107" s="9"/>
      <c r="V1107" s="9"/>
      <c r="W1107" s="9"/>
      <c r="X1107" s="9"/>
      <c r="Y1107" s="9"/>
      <c r="Z1107" s="9"/>
      <c r="AA1107" s="9"/>
      <c r="AB1107" s="9"/>
      <c r="AC1107" s="9"/>
      <c r="AD1107" s="9"/>
      <c r="AE1107" s="9"/>
      <c r="AF1107" s="9"/>
      <c r="AG1107" s="12"/>
    </row>
    <row r="1108" spans="1:33">
      <c r="A1108" s="23"/>
      <c r="B1108" s="9"/>
      <c r="C1108" s="9"/>
      <c r="D1108" s="9"/>
      <c r="E1108" s="9"/>
      <c r="F1108" s="9"/>
      <c r="G1108" s="9"/>
      <c r="H1108" s="9"/>
      <c r="I1108" s="9"/>
      <c r="J1108" s="9"/>
      <c r="K1108" s="9"/>
      <c r="L1108" s="9"/>
      <c r="M1108" s="9"/>
      <c r="N1108" s="9"/>
      <c r="O1108" s="9"/>
      <c r="P1108" s="9"/>
      <c r="Q1108" s="9"/>
      <c r="R1108" s="9"/>
      <c r="S1108" s="9"/>
      <c r="T1108" s="9"/>
      <c r="U1108" s="9"/>
      <c r="V1108" s="9"/>
      <c r="W1108" s="9"/>
      <c r="X1108" s="9"/>
      <c r="Y1108" s="9"/>
      <c r="Z1108" s="9"/>
      <c r="AA1108" s="9"/>
      <c r="AB1108" s="9"/>
      <c r="AC1108" s="9"/>
      <c r="AD1108" s="9"/>
      <c r="AE1108" s="9"/>
      <c r="AF1108" s="9"/>
      <c r="AG1108" s="12"/>
    </row>
    <row r="1109" spans="1:33">
      <c r="A1109" s="23"/>
      <c r="B1109" s="9"/>
      <c r="C1109" s="9"/>
      <c r="D1109" s="9"/>
      <c r="E1109" s="9"/>
      <c r="F1109" s="9"/>
      <c r="G1109" s="9"/>
      <c r="H1109" s="9"/>
      <c r="I1109" s="9"/>
      <c r="J1109" s="9"/>
      <c r="K1109" s="9"/>
      <c r="L1109" s="9"/>
      <c r="M1109" s="9"/>
      <c r="N1109" s="9"/>
      <c r="O1109" s="9"/>
      <c r="P1109" s="9"/>
      <c r="Q1109" s="9"/>
      <c r="R1109" s="9"/>
      <c r="S1109" s="9"/>
      <c r="T1109" s="9"/>
      <c r="U1109" s="9"/>
      <c r="V1109" s="9"/>
      <c r="W1109" s="9"/>
      <c r="X1109" s="9"/>
      <c r="Y1109" s="9"/>
      <c r="Z1109" s="9"/>
      <c r="AA1109" s="9"/>
      <c r="AB1109" s="9"/>
      <c r="AC1109" s="9"/>
      <c r="AD1109" s="9"/>
      <c r="AE1109" s="9"/>
      <c r="AF1109" s="9"/>
      <c r="AG1109" s="12"/>
    </row>
    <row r="1110" spans="1:33">
      <c r="A1110" s="23"/>
      <c r="B1110" s="9"/>
      <c r="C1110" s="9"/>
      <c r="D1110" s="9"/>
      <c r="E1110" s="9"/>
      <c r="F1110" s="9"/>
      <c r="G1110" s="9"/>
      <c r="H1110" s="9"/>
      <c r="I1110" s="9"/>
      <c r="J1110" s="9"/>
      <c r="K1110" s="9"/>
      <c r="L1110" s="9"/>
      <c r="M1110" s="9"/>
      <c r="N1110" s="9"/>
      <c r="O1110" s="9"/>
      <c r="P1110" s="9"/>
      <c r="Q1110" s="9"/>
      <c r="R1110" s="9"/>
      <c r="S1110" s="9"/>
      <c r="T1110" s="9"/>
      <c r="U1110" s="9"/>
      <c r="V1110" s="9"/>
      <c r="W1110" s="9"/>
      <c r="X1110" s="9"/>
      <c r="Y1110" s="9"/>
      <c r="Z1110" s="9"/>
      <c r="AA1110" s="9"/>
      <c r="AB1110" s="9"/>
      <c r="AC1110" s="9"/>
      <c r="AD1110" s="9"/>
      <c r="AE1110" s="9"/>
      <c r="AF1110" s="9"/>
      <c r="AG1110" s="12"/>
    </row>
    <row r="1111" spans="1:33">
      <c r="A1111" s="23"/>
      <c r="B1111" s="9"/>
      <c r="C1111" s="9"/>
      <c r="D1111" s="9"/>
      <c r="E1111" s="9"/>
      <c r="F1111" s="9"/>
      <c r="G1111" s="9"/>
      <c r="H1111" s="9"/>
      <c r="I1111" s="9"/>
      <c r="J1111" s="9"/>
      <c r="K1111" s="9"/>
      <c r="L1111" s="9"/>
      <c r="M1111" s="9"/>
      <c r="N1111" s="9"/>
      <c r="O1111" s="9"/>
      <c r="P1111" s="9"/>
      <c r="Q1111" s="9"/>
      <c r="R1111" s="9"/>
      <c r="S1111" s="9"/>
      <c r="T1111" s="9"/>
      <c r="U1111" s="9"/>
      <c r="V1111" s="9"/>
      <c r="W1111" s="9"/>
      <c r="X1111" s="9"/>
      <c r="Y1111" s="9"/>
      <c r="Z1111" s="9"/>
      <c r="AA1111" s="9"/>
      <c r="AB1111" s="9"/>
      <c r="AC1111" s="9"/>
      <c r="AD1111" s="9"/>
      <c r="AE1111" s="9"/>
      <c r="AF1111" s="9"/>
      <c r="AG1111" s="12"/>
    </row>
    <row r="1112" spans="1:33">
      <c r="A1112" s="23"/>
      <c r="B1112" s="9"/>
      <c r="C1112" s="9"/>
      <c r="D1112" s="9"/>
      <c r="E1112" s="9"/>
      <c r="F1112" s="9"/>
      <c r="G1112" s="9"/>
      <c r="H1112" s="9"/>
      <c r="I1112" s="9"/>
      <c r="J1112" s="9"/>
      <c r="K1112" s="9"/>
      <c r="L1112" s="9"/>
      <c r="M1112" s="9"/>
      <c r="N1112" s="9"/>
      <c r="O1112" s="9"/>
      <c r="P1112" s="9"/>
      <c r="Q1112" s="9"/>
      <c r="R1112" s="9"/>
      <c r="S1112" s="9"/>
      <c r="T1112" s="9"/>
      <c r="U1112" s="9"/>
      <c r="V1112" s="9"/>
      <c r="W1112" s="9"/>
      <c r="X1112" s="9"/>
      <c r="Y1112" s="9"/>
      <c r="Z1112" s="9"/>
      <c r="AA1112" s="9"/>
      <c r="AB1112" s="9"/>
      <c r="AC1112" s="9"/>
      <c r="AD1112" s="9"/>
      <c r="AE1112" s="9"/>
      <c r="AF1112" s="9"/>
      <c r="AG1112" s="12"/>
    </row>
    <row r="1113" spans="1:33">
      <c r="A1113" s="23"/>
      <c r="B1113" s="9"/>
      <c r="C1113" s="9"/>
      <c r="D1113" s="9"/>
      <c r="E1113" s="9"/>
      <c r="F1113" s="9"/>
      <c r="G1113" s="9"/>
      <c r="H1113" s="9"/>
      <c r="I1113" s="9"/>
      <c r="J1113" s="9"/>
      <c r="K1113" s="9"/>
      <c r="L1113" s="9"/>
      <c r="M1113" s="9"/>
      <c r="N1113" s="9"/>
      <c r="O1113" s="9"/>
      <c r="P1113" s="9"/>
      <c r="Q1113" s="9"/>
      <c r="R1113" s="9"/>
      <c r="S1113" s="9"/>
      <c r="T1113" s="9"/>
      <c r="U1113" s="9"/>
      <c r="V1113" s="9"/>
      <c r="W1113" s="9"/>
      <c r="X1113" s="9"/>
      <c r="Y1113" s="9"/>
      <c r="Z1113" s="9"/>
      <c r="AA1113" s="9"/>
      <c r="AB1113" s="9"/>
      <c r="AC1113" s="9"/>
      <c r="AD1113" s="9"/>
      <c r="AE1113" s="9"/>
      <c r="AF1113" s="9"/>
      <c r="AG1113" s="12"/>
    </row>
    <row r="1114" spans="1:33">
      <c r="A1114" s="23"/>
      <c r="B1114" s="9"/>
      <c r="C1114" s="9"/>
      <c r="D1114" s="9"/>
      <c r="E1114" s="9"/>
      <c r="F1114" s="9"/>
      <c r="G1114" s="9"/>
      <c r="H1114" s="9"/>
      <c r="I1114" s="9"/>
      <c r="J1114" s="9"/>
      <c r="K1114" s="9"/>
      <c r="L1114" s="9"/>
      <c r="M1114" s="9"/>
      <c r="N1114" s="9"/>
      <c r="O1114" s="9"/>
      <c r="P1114" s="9"/>
      <c r="Q1114" s="9"/>
      <c r="R1114" s="9"/>
      <c r="S1114" s="9"/>
      <c r="T1114" s="9"/>
      <c r="U1114" s="9"/>
      <c r="V1114" s="9"/>
      <c r="W1114" s="9"/>
      <c r="X1114" s="9"/>
      <c r="Y1114" s="9"/>
      <c r="Z1114" s="9"/>
      <c r="AA1114" s="9"/>
      <c r="AB1114" s="9"/>
      <c r="AC1114" s="9"/>
      <c r="AD1114" s="9"/>
      <c r="AE1114" s="9"/>
      <c r="AF1114" s="9"/>
      <c r="AG1114" s="12"/>
    </row>
    <row r="1115" spans="1:33">
      <c r="A1115" s="23"/>
      <c r="B1115" s="9"/>
      <c r="C1115" s="9"/>
      <c r="D1115" s="9"/>
      <c r="E1115" s="9"/>
      <c r="F1115" s="9"/>
      <c r="G1115" s="9"/>
      <c r="H1115" s="9"/>
      <c r="I1115" s="9"/>
      <c r="J1115" s="9"/>
      <c r="K1115" s="9"/>
      <c r="L1115" s="9"/>
      <c r="M1115" s="9"/>
      <c r="N1115" s="9"/>
      <c r="O1115" s="9"/>
      <c r="P1115" s="9"/>
      <c r="Q1115" s="9"/>
      <c r="R1115" s="9"/>
      <c r="S1115" s="9"/>
      <c r="T1115" s="9"/>
      <c r="U1115" s="9"/>
      <c r="V1115" s="9"/>
      <c r="W1115" s="9"/>
      <c r="X1115" s="9"/>
      <c r="Y1115" s="9"/>
      <c r="Z1115" s="9"/>
      <c r="AA1115" s="9"/>
      <c r="AB1115" s="9"/>
      <c r="AC1115" s="9"/>
      <c r="AD1115" s="9"/>
      <c r="AE1115" s="9"/>
      <c r="AF1115" s="9"/>
      <c r="AG1115" s="12"/>
    </row>
    <row r="1116" spans="1:33">
      <c r="A1116" s="23"/>
      <c r="B1116" s="9"/>
      <c r="C1116" s="9"/>
      <c r="D1116" s="9"/>
      <c r="E1116" s="9"/>
      <c r="F1116" s="9"/>
      <c r="G1116" s="9"/>
      <c r="H1116" s="9"/>
      <c r="I1116" s="9"/>
      <c r="J1116" s="9"/>
      <c r="K1116" s="9"/>
      <c r="L1116" s="9"/>
      <c r="M1116" s="9"/>
      <c r="N1116" s="9"/>
      <c r="O1116" s="9"/>
      <c r="P1116" s="9"/>
      <c r="Q1116" s="9"/>
      <c r="R1116" s="9"/>
      <c r="S1116" s="9"/>
      <c r="T1116" s="9"/>
      <c r="U1116" s="9"/>
      <c r="V1116" s="9"/>
      <c r="W1116" s="9"/>
      <c r="X1116" s="9"/>
      <c r="Y1116" s="9"/>
      <c r="Z1116" s="9"/>
      <c r="AA1116" s="9"/>
      <c r="AB1116" s="9"/>
      <c r="AC1116" s="9"/>
      <c r="AD1116" s="9"/>
      <c r="AE1116" s="9"/>
      <c r="AF1116" s="9"/>
      <c r="AG1116" s="12"/>
    </row>
    <row r="1117" spans="1:33">
      <c r="A1117" s="23"/>
      <c r="B1117" s="9"/>
      <c r="C1117" s="9"/>
      <c r="D1117" s="9"/>
      <c r="E1117" s="9"/>
      <c r="F1117" s="9"/>
      <c r="G1117" s="9"/>
      <c r="H1117" s="9"/>
      <c r="I1117" s="9"/>
      <c r="J1117" s="9"/>
      <c r="K1117" s="9"/>
      <c r="L1117" s="9"/>
      <c r="M1117" s="9"/>
      <c r="N1117" s="9"/>
      <c r="O1117" s="9"/>
      <c r="P1117" s="9"/>
      <c r="Q1117" s="9"/>
      <c r="R1117" s="9"/>
      <c r="S1117" s="9"/>
      <c r="T1117" s="9"/>
      <c r="U1117" s="9"/>
      <c r="V1117" s="9"/>
      <c r="W1117" s="9"/>
      <c r="X1117" s="9"/>
      <c r="Y1117" s="9"/>
      <c r="Z1117" s="9"/>
      <c r="AA1117" s="9"/>
      <c r="AB1117" s="9"/>
      <c r="AC1117" s="9"/>
      <c r="AD1117" s="9"/>
      <c r="AE1117" s="9"/>
      <c r="AF1117" s="9"/>
      <c r="AG1117" s="12"/>
    </row>
    <row r="1118" spans="1:33">
      <c r="A1118" s="23"/>
      <c r="B1118" s="9"/>
      <c r="C1118" s="9"/>
      <c r="D1118" s="9"/>
      <c r="E1118" s="9"/>
      <c r="F1118" s="9"/>
      <c r="G1118" s="9"/>
      <c r="H1118" s="9"/>
      <c r="I1118" s="9"/>
      <c r="J1118" s="9"/>
      <c r="K1118" s="9"/>
      <c r="L1118" s="9"/>
      <c r="M1118" s="9"/>
      <c r="N1118" s="9"/>
      <c r="O1118" s="9"/>
      <c r="P1118" s="9"/>
      <c r="Q1118" s="9"/>
      <c r="R1118" s="9"/>
      <c r="S1118" s="9"/>
      <c r="T1118" s="9"/>
      <c r="U1118" s="9"/>
      <c r="V1118" s="9"/>
      <c r="W1118" s="9"/>
      <c r="X1118" s="9"/>
      <c r="Y1118" s="9"/>
      <c r="Z1118" s="9"/>
      <c r="AA1118" s="9"/>
      <c r="AB1118" s="9"/>
      <c r="AC1118" s="9"/>
      <c r="AD1118" s="9"/>
      <c r="AE1118" s="9"/>
      <c r="AF1118" s="9"/>
      <c r="AG1118" s="12"/>
    </row>
    <row r="1119" spans="1:33">
      <c r="A1119" s="23"/>
      <c r="B1119" s="9"/>
      <c r="C1119" s="9"/>
      <c r="D1119" s="9"/>
      <c r="E1119" s="9"/>
      <c r="F1119" s="9"/>
      <c r="G1119" s="9"/>
      <c r="H1119" s="9"/>
      <c r="I1119" s="9"/>
      <c r="J1119" s="9"/>
      <c r="K1119" s="9"/>
      <c r="L1119" s="9"/>
      <c r="M1119" s="9"/>
      <c r="N1119" s="9"/>
      <c r="O1119" s="9"/>
      <c r="P1119" s="9"/>
      <c r="Q1119" s="9"/>
      <c r="R1119" s="9"/>
      <c r="S1119" s="9"/>
      <c r="T1119" s="9"/>
      <c r="U1119" s="9"/>
      <c r="V1119" s="9"/>
      <c r="W1119" s="9"/>
      <c r="X1119" s="9"/>
      <c r="Y1119" s="9"/>
      <c r="Z1119" s="9"/>
      <c r="AA1119" s="9"/>
      <c r="AB1119" s="9"/>
      <c r="AC1119" s="9"/>
      <c r="AD1119" s="9"/>
      <c r="AE1119" s="9"/>
      <c r="AF1119" s="9"/>
      <c r="AG1119" s="12"/>
    </row>
    <row r="1120" spans="1:33">
      <c r="A1120" s="23"/>
      <c r="B1120" s="9"/>
      <c r="C1120" s="9"/>
      <c r="D1120" s="9"/>
      <c r="E1120" s="9"/>
      <c r="F1120" s="9"/>
      <c r="G1120" s="9"/>
      <c r="H1120" s="9"/>
      <c r="I1120" s="9"/>
      <c r="J1120" s="9"/>
      <c r="K1120" s="9"/>
      <c r="L1120" s="9"/>
      <c r="M1120" s="9"/>
      <c r="N1120" s="9"/>
      <c r="O1120" s="9"/>
      <c r="P1120" s="9"/>
      <c r="Q1120" s="9"/>
      <c r="R1120" s="9"/>
      <c r="S1120" s="9"/>
      <c r="T1120" s="9"/>
      <c r="U1120" s="9"/>
      <c r="V1120" s="9"/>
      <c r="W1120" s="9"/>
      <c r="X1120" s="9"/>
      <c r="Y1120" s="9"/>
      <c r="Z1120" s="9"/>
      <c r="AA1120" s="9"/>
      <c r="AB1120" s="9"/>
      <c r="AC1120" s="9"/>
      <c r="AD1120" s="9"/>
      <c r="AE1120" s="9"/>
      <c r="AF1120" s="9"/>
      <c r="AG1120" s="12"/>
    </row>
    <row r="1121" spans="1:33">
      <c r="A1121" s="23"/>
      <c r="B1121" s="9"/>
      <c r="C1121" s="9"/>
      <c r="D1121" s="9"/>
      <c r="E1121" s="9"/>
      <c r="F1121" s="9"/>
      <c r="G1121" s="9"/>
      <c r="H1121" s="9"/>
      <c r="I1121" s="9"/>
      <c r="J1121" s="9"/>
      <c r="K1121" s="9"/>
      <c r="L1121" s="9"/>
      <c r="M1121" s="9"/>
      <c r="N1121" s="9"/>
      <c r="O1121" s="9"/>
      <c r="P1121" s="9"/>
      <c r="Q1121" s="9"/>
      <c r="R1121" s="9"/>
      <c r="S1121" s="9"/>
      <c r="T1121" s="9"/>
      <c r="U1121" s="9"/>
      <c r="V1121" s="9"/>
      <c r="W1121" s="9"/>
      <c r="X1121" s="9"/>
      <c r="Y1121" s="9"/>
      <c r="Z1121" s="9"/>
      <c r="AA1121" s="9"/>
      <c r="AB1121" s="9"/>
      <c r="AC1121" s="9"/>
      <c r="AD1121" s="9"/>
      <c r="AE1121" s="9"/>
      <c r="AF1121" s="9"/>
      <c r="AG1121" s="12"/>
    </row>
    <row r="1122" spans="1:33">
      <c r="A1122" s="23"/>
      <c r="B1122" s="9"/>
      <c r="C1122" s="9"/>
      <c r="D1122" s="9"/>
      <c r="E1122" s="9"/>
      <c r="F1122" s="9"/>
      <c r="G1122" s="9"/>
      <c r="H1122" s="9"/>
      <c r="I1122" s="9"/>
      <c r="J1122" s="9"/>
      <c r="K1122" s="9"/>
      <c r="L1122" s="9"/>
      <c r="M1122" s="9"/>
      <c r="N1122" s="9"/>
      <c r="O1122" s="9"/>
      <c r="P1122" s="9"/>
      <c r="Q1122" s="9"/>
      <c r="R1122" s="9"/>
      <c r="S1122" s="9"/>
      <c r="T1122" s="9"/>
      <c r="U1122" s="9"/>
      <c r="V1122" s="9"/>
      <c r="W1122" s="9"/>
      <c r="X1122" s="9"/>
      <c r="Y1122" s="9"/>
      <c r="Z1122" s="9"/>
      <c r="AA1122" s="9"/>
      <c r="AB1122" s="9"/>
      <c r="AC1122" s="9"/>
      <c r="AD1122" s="9"/>
      <c r="AE1122" s="9"/>
      <c r="AF1122" s="9"/>
      <c r="AG1122" s="12"/>
    </row>
    <row r="1123" spans="1:33">
      <c r="A1123" s="23"/>
      <c r="B1123" s="9"/>
      <c r="C1123" s="9"/>
      <c r="D1123" s="9"/>
      <c r="E1123" s="9"/>
      <c r="F1123" s="9"/>
      <c r="G1123" s="9"/>
      <c r="H1123" s="9"/>
      <c r="I1123" s="9"/>
      <c r="J1123" s="9"/>
      <c r="K1123" s="9"/>
      <c r="L1123" s="9"/>
      <c r="M1123" s="9"/>
      <c r="N1123" s="9"/>
      <c r="O1123" s="9"/>
      <c r="P1123" s="9"/>
      <c r="Q1123" s="9"/>
      <c r="R1123" s="9"/>
      <c r="S1123" s="9"/>
      <c r="T1123" s="9"/>
      <c r="U1123" s="9"/>
      <c r="V1123" s="9"/>
      <c r="W1123" s="9"/>
      <c r="X1123" s="9"/>
      <c r="Y1123" s="9"/>
      <c r="Z1123" s="9"/>
      <c r="AA1123" s="9"/>
      <c r="AB1123" s="9"/>
      <c r="AC1123" s="9"/>
      <c r="AD1123" s="9"/>
      <c r="AE1123" s="9"/>
      <c r="AF1123" s="9"/>
      <c r="AG1123" s="12"/>
    </row>
    <row r="1124" spans="1:33">
      <c r="A1124" s="23"/>
      <c r="B1124" s="9"/>
      <c r="C1124" s="9"/>
      <c r="D1124" s="9"/>
      <c r="E1124" s="9"/>
      <c r="F1124" s="9"/>
      <c r="G1124" s="9"/>
      <c r="H1124" s="9"/>
      <c r="I1124" s="9"/>
      <c r="J1124" s="9"/>
      <c r="K1124" s="9"/>
      <c r="L1124" s="9"/>
      <c r="M1124" s="9"/>
      <c r="N1124" s="9"/>
      <c r="O1124" s="9"/>
      <c r="P1124" s="9"/>
      <c r="Q1124" s="9"/>
      <c r="R1124" s="9"/>
      <c r="S1124" s="9"/>
      <c r="T1124" s="9"/>
      <c r="U1124" s="9"/>
      <c r="V1124" s="9"/>
      <c r="W1124" s="9"/>
      <c r="X1124" s="9"/>
      <c r="Y1124" s="9"/>
      <c r="Z1124" s="9"/>
      <c r="AA1124" s="9"/>
      <c r="AB1124" s="9"/>
      <c r="AC1124" s="9"/>
      <c r="AD1124" s="9"/>
      <c r="AE1124" s="9"/>
      <c r="AF1124" s="9"/>
      <c r="AG1124" s="12"/>
    </row>
    <row r="1125" spans="1:33">
      <c r="A1125" s="23"/>
      <c r="B1125" s="9"/>
      <c r="C1125" s="9"/>
      <c r="D1125" s="9"/>
      <c r="E1125" s="9"/>
      <c r="F1125" s="9"/>
      <c r="G1125" s="9"/>
      <c r="H1125" s="9"/>
      <c r="I1125" s="9"/>
      <c r="J1125" s="9"/>
      <c r="K1125" s="9"/>
      <c r="L1125" s="9"/>
      <c r="M1125" s="9"/>
      <c r="N1125" s="9"/>
      <c r="O1125" s="9"/>
      <c r="P1125" s="9"/>
      <c r="Q1125" s="9"/>
      <c r="R1125" s="9"/>
      <c r="S1125" s="9"/>
      <c r="T1125" s="9"/>
      <c r="U1125" s="9"/>
      <c r="V1125" s="9"/>
      <c r="W1125" s="9"/>
      <c r="X1125" s="9"/>
      <c r="Y1125" s="9"/>
      <c r="Z1125" s="9"/>
      <c r="AA1125" s="9"/>
      <c r="AB1125" s="9"/>
      <c r="AC1125" s="9"/>
      <c r="AD1125" s="9"/>
      <c r="AE1125" s="9"/>
      <c r="AF1125" s="9"/>
      <c r="AG1125" s="12"/>
    </row>
    <row r="1126" spans="1:33">
      <c r="A1126" s="23"/>
      <c r="B1126" s="9"/>
      <c r="C1126" s="9"/>
      <c r="D1126" s="9"/>
      <c r="E1126" s="9"/>
      <c r="F1126" s="9"/>
      <c r="G1126" s="9"/>
      <c r="H1126" s="9"/>
      <c r="I1126" s="9"/>
      <c r="J1126" s="9"/>
      <c r="K1126" s="9"/>
      <c r="L1126" s="9"/>
      <c r="M1126" s="9"/>
      <c r="N1126" s="9"/>
      <c r="O1126" s="9"/>
      <c r="P1126" s="9"/>
      <c r="Q1126" s="9"/>
      <c r="R1126" s="9"/>
      <c r="S1126" s="9"/>
      <c r="T1126" s="9"/>
      <c r="U1126" s="9"/>
      <c r="V1126" s="9"/>
      <c r="W1126" s="9"/>
      <c r="X1126" s="9"/>
      <c r="Y1126" s="9"/>
      <c r="Z1126" s="9"/>
      <c r="AA1126" s="9"/>
      <c r="AB1126" s="9"/>
      <c r="AC1126" s="9"/>
      <c r="AD1126" s="9"/>
      <c r="AE1126" s="9"/>
      <c r="AF1126" s="9"/>
      <c r="AG1126" s="12"/>
    </row>
    <row r="1127" spans="1:33">
      <c r="A1127" s="9"/>
      <c r="B1127" s="9"/>
      <c r="C1127" s="9"/>
      <c r="D1127" s="9"/>
      <c r="E1127" s="9"/>
      <c r="F1127" s="9"/>
      <c r="G1127" s="9"/>
      <c r="H1127" s="9"/>
      <c r="I1127" s="9"/>
      <c r="J1127" s="9"/>
      <c r="K1127" s="9"/>
      <c r="L1127" s="9"/>
      <c r="M1127" s="9"/>
      <c r="N1127" s="9"/>
      <c r="O1127" s="9"/>
      <c r="P1127" s="9"/>
      <c r="Q1127" s="9"/>
      <c r="R1127" s="9"/>
      <c r="S1127" s="9"/>
      <c r="T1127" s="9"/>
      <c r="U1127" s="9"/>
      <c r="V1127" s="9"/>
      <c r="W1127" s="9"/>
      <c r="X1127" s="9"/>
      <c r="Y1127" s="9"/>
      <c r="Z1127" s="9"/>
      <c r="AA1127" s="9"/>
      <c r="AB1127" s="9"/>
      <c r="AC1127" s="9"/>
      <c r="AD1127" s="9"/>
      <c r="AE1127" s="9"/>
      <c r="AF1127" s="9"/>
      <c r="AG1127" s="12"/>
    </row>
    <row r="1128" spans="1:33">
      <c r="A1128" s="9"/>
      <c r="B1128" s="9"/>
      <c r="C1128" s="9"/>
      <c r="D1128" s="9"/>
      <c r="E1128" s="9"/>
      <c r="F1128" s="9"/>
      <c r="G1128" s="9"/>
      <c r="H1128" s="9"/>
      <c r="I1128" s="9"/>
      <c r="J1128" s="9"/>
      <c r="K1128" s="9"/>
      <c r="L1128" s="9"/>
      <c r="M1128" s="9"/>
      <c r="N1128" s="9"/>
      <c r="O1128" s="9"/>
      <c r="P1128" s="9"/>
      <c r="Q1128" s="9"/>
      <c r="R1128" s="9"/>
      <c r="S1128" s="9"/>
      <c r="T1128" s="9"/>
      <c r="U1128" s="9"/>
      <c r="V1128" s="9"/>
      <c r="W1128" s="9"/>
      <c r="X1128" s="9"/>
      <c r="Y1128" s="9"/>
      <c r="Z1128" s="9"/>
      <c r="AA1128" s="9"/>
      <c r="AB1128" s="9"/>
      <c r="AC1128" s="9"/>
      <c r="AD1128" s="9"/>
      <c r="AE1128" s="9"/>
      <c r="AF1128" s="9"/>
      <c r="AG1128" s="12"/>
    </row>
    <row r="1129" spans="1:33">
      <c r="A1129" s="9"/>
      <c r="B1129" s="9"/>
      <c r="C1129" s="9"/>
      <c r="D1129" s="9"/>
      <c r="E1129" s="9"/>
      <c r="F1129" s="9"/>
      <c r="G1129" s="9"/>
      <c r="H1129" s="9"/>
      <c r="I1129" s="9"/>
      <c r="J1129" s="9"/>
      <c r="K1129" s="9"/>
      <c r="L1129" s="9"/>
      <c r="M1129" s="9"/>
      <c r="N1129" s="9"/>
      <c r="O1129" s="9"/>
      <c r="P1129" s="9"/>
      <c r="Q1129" s="9"/>
      <c r="R1129" s="9"/>
      <c r="S1129" s="9"/>
      <c r="T1129" s="9"/>
      <c r="U1129" s="9"/>
      <c r="V1129" s="9"/>
      <c r="W1129" s="9"/>
      <c r="X1129" s="9"/>
      <c r="Y1129" s="9"/>
      <c r="Z1129" s="9"/>
      <c r="AA1129" s="9"/>
      <c r="AB1129" s="9"/>
      <c r="AC1129" s="9"/>
      <c r="AD1129" s="9"/>
      <c r="AE1129" s="9"/>
      <c r="AF1129" s="9"/>
      <c r="AG1129" s="12"/>
    </row>
    <row r="1130" spans="1:33">
      <c r="A1130" s="9"/>
      <c r="B1130" s="9"/>
      <c r="C1130" s="9"/>
      <c r="D1130" s="9"/>
      <c r="E1130" s="9"/>
      <c r="F1130" s="9"/>
      <c r="G1130" s="9"/>
      <c r="H1130" s="9"/>
      <c r="I1130" s="9"/>
      <c r="J1130" s="9"/>
      <c r="K1130" s="9"/>
      <c r="L1130" s="9"/>
      <c r="M1130" s="9"/>
      <c r="N1130" s="9"/>
      <c r="O1130" s="9"/>
      <c r="P1130" s="9"/>
      <c r="Q1130" s="9"/>
      <c r="R1130" s="9"/>
      <c r="S1130" s="9"/>
      <c r="T1130" s="9"/>
      <c r="U1130" s="9"/>
      <c r="V1130" s="9"/>
      <c r="W1130" s="9"/>
      <c r="X1130" s="9"/>
      <c r="Y1130" s="9"/>
      <c r="Z1130" s="9"/>
      <c r="AA1130" s="9"/>
      <c r="AB1130" s="9"/>
      <c r="AC1130" s="9"/>
      <c r="AD1130" s="9"/>
      <c r="AE1130" s="9"/>
      <c r="AF1130" s="9"/>
      <c r="AG1130" s="12"/>
    </row>
    <row r="1131" spans="1:33">
      <c r="A1131" s="9"/>
      <c r="B1131" s="9"/>
      <c r="C1131" s="9"/>
      <c r="D1131" s="9"/>
      <c r="E1131" s="9"/>
      <c r="F1131" s="9"/>
      <c r="G1131" s="9"/>
      <c r="H1131" s="9"/>
      <c r="I1131" s="9"/>
      <c r="J1131" s="9"/>
      <c r="K1131" s="9"/>
      <c r="L1131" s="9"/>
      <c r="M1131" s="9"/>
      <c r="N1131" s="9"/>
      <c r="O1131" s="9"/>
      <c r="P1131" s="9"/>
      <c r="Q1131" s="9"/>
      <c r="R1131" s="9"/>
      <c r="S1131" s="9"/>
      <c r="T1131" s="9"/>
      <c r="U1131" s="9"/>
      <c r="V1131" s="9"/>
      <c r="W1131" s="9"/>
      <c r="X1131" s="9"/>
      <c r="Y1131" s="9"/>
      <c r="Z1131" s="9"/>
      <c r="AA1131" s="9"/>
      <c r="AB1131" s="9"/>
      <c r="AC1131" s="9"/>
      <c r="AD1131" s="9"/>
      <c r="AE1131" s="9"/>
      <c r="AF1131" s="9"/>
      <c r="AG1131" s="12"/>
    </row>
    <row r="1132" spans="1:33">
      <c r="A1132" s="9"/>
      <c r="B1132" s="9"/>
      <c r="C1132" s="9"/>
      <c r="D1132" s="9"/>
      <c r="E1132" s="9"/>
      <c r="F1132" s="9"/>
      <c r="G1132" s="9"/>
      <c r="H1132" s="9"/>
      <c r="I1132" s="9"/>
      <c r="J1132" s="9"/>
      <c r="K1132" s="9"/>
      <c r="L1132" s="9"/>
      <c r="M1132" s="9"/>
      <c r="N1132" s="9"/>
      <c r="O1132" s="9"/>
      <c r="P1132" s="9"/>
      <c r="Q1132" s="9"/>
      <c r="R1132" s="9"/>
      <c r="S1132" s="9"/>
      <c r="T1132" s="9"/>
      <c r="U1132" s="9"/>
      <c r="V1132" s="9"/>
      <c r="W1132" s="9"/>
      <c r="X1132" s="9"/>
      <c r="Y1132" s="9"/>
      <c r="Z1132" s="9"/>
      <c r="AA1132" s="9"/>
      <c r="AB1132" s="9"/>
      <c r="AC1132" s="9"/>
      <c r="AD1132" s="9"/>
      <c r="AE1132" s="9"/>
      <c r="AF1132" s="9"/>
      <c r="AG1132" s="12"/>
    </row>
    <row r="1133" spans="1:33">
      <c r="A1133" s="9"/>
      <c r="B1133" s="9"/>
      <c r="C1133" s="9"/>
      <c r="D1133" s="9"/>
      <c r="E1133" s="9"/>
      <c r="F1133" s="9"/>
      <c r="G1133" s="9"/>
      <c r="H1133" s="9"/>
      <c r="I1133" s="9"/>
      <c r="J1133" s="9"/>
      <c r="K1133" s="9"/>
      <c r="L1133" s="9"/>
      <c r="M1133" s="9"/>
      <c r="N1133" s="9"/>
      <c r="O1133" s="9"/>
      <c r="P1133" s="9"/>
      <c r="Q1133" s="9"/>
      <c r="R1133" s="9"/>
      <c r="S1133" s="9"/>
      <c r="T1133" s="9"/>
      <c r="U1133" s="9"/>
      <c r="V1133" s="9"/>
      <c r="W1133" s="9"/>
      <c r="X1133" s="9"/>
      <c r="Y1133" s="9"/>
      <c r="Z1133" s="9"/>
      <c r="AA1133" s="9"/>
      <c r="AB1133" s="9"/>
      <c r="AC1133" s="9"/>
      <c r="AD1133" s="9"/>
      <c r="AE1133" s="9"/>
      <c r="AF1133" s="9"/>
      <c r="AG1133" s="12"/>
    </row>
    <row r="1134" spans="1:33">
      <c r="A1134" s="9"/>
      <c r="B1134" s="9"/>
      <c r="C1134" s="9"/>
      <c r="D1134" s="9"/>
      <c r="E1134" s="9"/>
      <c r="F1134" s="9"/>
      <c r="G1134" s="9"/>
      <c r="H1134" s="9"/>
      <c r="I1134" s="9"/>
      <c r="J1134" s="9"/>
      <c r="K1134" s="9"/>
      <c r="L1134" s="9"/>
      <c r="M1134" s="9"/>
      <c r="N1134" s="9"/>
      <c r="O1134" s="9"/>
      <c r="P1134" s="9"/>
      <c r="Q1134" s="9"/>
      <c r="R1134" s="9"/>
      <c r="S1134" s="9"/>
      <c r="T1134" s="9"/>
      <c r="U1134" s="9"/>
      <c r="V1134" s="9"/>
      <c r="W1134" s="9"/>
      <c r="X1134" s="9"/>
      <c r="Y1134" s="9"/>
      <c r="Z1134" s="9"/>
      <c r="AA1134" s="9"/>
      <c r="AB1134" s="9"/>
      <c r="AC1134" s="9"/>
      <c r="AD1134" s="9"/>
      <c r="AE1134" s="9"/>
      <c r="AF1134" s="9"/>
      <c r="AG1134" s="12"/>
    </row>
    <row r="1135" spans="1:33">
      <c r="A1135" s="9"/>
      <c r="B1135" s="9"/>
      <c r="C1135" s="9"/>
      <c r="D1135" s="9"/>
      <c r="E1135" s="9"/>
      <c r="F1135" s="9"/>
      <c r="G1135" s="9"/>
      <c r="H1135" s="9"/>
      <c r="I1135" s="9"/>
      <c r="J1135" s="9"/>
      <c r="K1135" s="9"/>
      <c r="L1135" s="9"/>
      <c r="M1135" s="9"/>
      <c r="N1135" s="9"/>
      <c r="O1135" s="9"/>
      <c r="P1135" s="9"/>
      <c r="Q1135" s="9"/>
      <c r="R1135" s="9"/>
      <c r="S1135" s="9"/>
      <c r="T1135" s="9"/>
      <c r="U1135" s="9"/>
      <c r="V1135" s="9"/>
      <c r="W1135" s="9"/>
      <c r="X1135" s="9"/>
      <c r="Y1135" s="9"/>
      <c r="Z1135" s="9"/>
      <c r="AA1135" s="9"/>
      <c r="AB1135" s="9"/>
      <c r="AC1135" s="9"/>
      <c r="AD1135" s="9"/>
      <c r="AE1135" s="9"/>
      <c r="AF1135" s="9"/>
      <c r="AG1135" s="12"/>
    </row>
    <row r="1136" spans="1:33">
      <c r="A1136" s="9"/>
      <c r="B1136" s="9"/>
      <c r="C1136" s="9"/>
      <c r="D1136" s="9"/>
      <c r="E1136" s="9"/>
      <c r="F1136" s="9"/>
      <c r="G1136" s="9"/>
      <c r="H1136" s="9"/>
      <c r="I1136" s="9"/>
      <c r="J1136" s="9"/>
      <c r="K1136" s="9"/>
      <c r="L1136" s="9"/>
      <c r="M1136" s="9"/>
      <c r="N1136" s="9"/>
      <c r="O1136" s="9"/>
      <c r="P1136" s="9"/>
      <c r="Q1136" s="9"/>
      <c r="R1136" s="9"/>
      <c r="S1136" s="9"/>
      <c r="T1136" s="9"/>
      <c r="U1136" s="9"/>
      <c r="V1136" s="9"/>
      <c r="W1136" s="9"/>
      <c r="X1136" s="9"/>
      <c r="Y1136" s="9"/>
      <c r="Z1136" s="9"/>
      <c r="AA1136" s="9"/>
      <c r="AB1136" s="9"/>
      <c r="AC1136" s="9"/>
      <c r="AD1136" s="9"/>
      <c r="AE1136" s="9"/>
      <c r="AF1136" s="9"/>
      <c r="AG1136" s="12"/>
    </row>
    <row r="1137" spans="1:33">
      <c r="A1137" s="9"/>
      <c r="B1137" s="9"/>
      <c r="C1137" s="9"/>
      <c r="D1137" s="9"/>
      <c r="E1137" s="9"/>
      <c r="F1137" s="9"/>
      <c r="G1137" s="9"/>
      <c r="H1137" s="9"/>
      <c r="I1137" s="9"/>
      <c r="J1137" s="9"/>
      <c r="K1137" s="9"/>
      <c r="L1137" s="9"/>
      <c r="M1137" s="9"/>
      <c r="N1137" s="9"/>
      <c r="O1137" s="9"/>
      <c r="P1137" s="9"/>
      <c r="Q1137" s="9"/>
      <c r="R1137" s="9"/>
      <c r="S1137" s="9"/>
      <c r="T1137" s="9"/>
      <c r="U1137" s="9"/>
      <c r="V1137" s="9"/>
      <c r="W1137" s="9"/>
      <c r="X1137" s="9"/>
      <c r="Y1137" s="9"/>
      <c r="Z1137" s="9"/>
      <c r="AA1137" s="9"/>
      <c r="AB1137" s="9"/>
      <c r="AC1137" s="9"/>
      <c r="AD1137" s="9"/>
      <c r="AE1137" s="9"/>
      <c r="AF1137" s="9"/>
      <c r="AG1137" s="12"/>
    </row>
    <row r="1138" spans="1:33">
      <c r="A1138" s="9"/>
      <c r="B1138" s="9"/>
      <c r="C1138" s="9"/>
      <c r="D1138" s="9"/>
      <c r="E1138" s="9"/>
      <c r="F1138" s="9"/>
      <c r="G1138" s="9"/>
      <c r="H1138" s="9"/>
      <c r="I1138" s="9"/>
      <c r="J1138" s="9"/>
      <c r="K1138" s="9"/>
      <c r="L1138" s="9"/>
      <c r="M1138" s="9"/>
      <c r="N1138" s="9"/>
      <c r="O1138" s="9"/>
      <c r="P1138" s="9"/>
      <c r="Q1138" s="9"/>
      <c r="R1138" s="9"/>
      <c r="S1138" s="9"/>
      <c r="T1138" s="9"/>
      <c r="U1138" s="9"/>
      <c r="V1138" s="9"/>
      <c r="W1138" s="9"/>
      <c r="X1138" s="9"/>
      <c r="Y1138" s="9"/>
      <c r="Z1138" s="9"/>
      <c r="AA1138" s="9"/>
      <c r="AB1138" s="9"/>
      <c r="AC1138" s="9"/>
      <c r="AD1138" s="9"/>
      <c r="AE1138" s="9"/>
      <c r="AF1138" s="9"/>
      <c r="AG1138" s="12"/>
    </row>
    <row r="1139" spans="1:33">
      <c r="A1139" s="9"/>
      <c r="B1139" s="9"/>
      <c r="C1139" s="9"/>
      <c r="D1139" s="9"/>
      <c r="E1139" s="9"/>
      <c r="F1139" s="9"/>
      <c r="G1139" s="9"/>
      <c r="H1139" s="9"/>
      <c r="I1139" s="9"/>
      <c r="J1139" s="9"/>
      <c r="K1139" s="9"/>
      <c r="L1139" s="9"/>
      <c r="M1139" s="9"/>
      <c r="N1139" s="9"/>
      <c r="O1139" s="9"/>
      <c r="P1139" s="9"/>
      <c r="Q1139" s="9"/>
      <c r="R1139" s="9"/>
      <c r="S1139" s="9"/>
      <c r="T1139" s="9"/>
      <c r="U1139" s="9"/>
      <c r="V1139" s="9"/>
      <c r="W1139" s="9"/>
      <c r="X1139" s="9"/>
      <c r="Y1139" s="9"/>
      <c r="Z1139" s="9"/>
      <c r="AA1139" s="9"/>
      <c r="AB1139" s="9"/>
      <c r="AC1139" s="9"/>
      <c r="AD1139" s="9"/>
      <c r="AE1139" s="9"/>
      <c r="AF1139" s="9"/>
      <c r="AG1139" s="12"/>
    </row>
    <row r="1140" spans="1:33">
      <c r="A1140" s="9"/>
      <c r="B1140" s="9"/>
      <c r="C1140" s="9"/>
      <c r="D1140" s="9"/>
      <c r="E1140" s="9"/>
      <c r="F1140" s="9"/>
      <c r="G1140" s="9"/>
      <c r="H1140" s="9"/>
      <c r="I1140" s="9"/>
      <c r="J1140" s="9"/>
      <c r="K1140" s="9"/>
      <c r="L1140" s="9"/>
      <c r="M1140" s="9"/>
      <c r="N1140" s="9"/>
      <c r="O1140" s="9"/>
      <c r="P1140" s="9"/>
      <c r="Q1140" s="9"/>
      <c r="R1140" s="9"/>
      <c r="S1140" s="9"/>
      <c r="T1140" s="9"/>
      <c r="U1140" s="9"/>
      <c r="V1140" s="9"/>
      <c r="W1140" s="9"/>
      <c r="X1140" s="9"/>
      <c r="Y1140" s="9"/>
      <c r="Z1140" s="9"/>
      <c r="AA1140" s="9"/>
      <c r="AB1140" s="9"/>
      <c r="AC1140" s="9"/>
      <c r="AD1140" s="9"/>
      <c r="AE1140" s="9"/>
      <c r="AF1140" s="9"/>
      <c r="AG1140" s="12"/>
    </row>
    <row r="1141" spans="1:33">
      <c r="A1141" s="9"/>
      <c r="B1141" s="9"/>
      <c r="C1141" s="9"/>
      <c r="D1141" s="9"/>
      <c r="E1141" s="9"/>
      <c r="F1141" s="9"/>
      <c r="G1141" s="9"/>
      <c r="H1141" s="9"/>
      <c r="I1141" s="9"/>
      <c r="J1141" s="9"/>
      <c r="K1141" s="9"/>
      <c r="L1141" s="9"/>
      <c r="M1141" s="9"/>
      <c r="N1141" s="9"/>
      <c r="O1141" s="9"/>
      <c r="P1141" s="9"/>
      <c r="Q1141" s="9"/>
      <c r="R1141" s="9"/>
      <c r="S1141" s="9"/>
      <c r="T1141" s="9"/>
      <c r="U1141" s="9"/>
      <c r="V1141" s="9"/>
      <c r="W1141" s="9"/>
      <c r="X1141" s="9"/>
      <c r="Y1141" s="9"/>
      <c r="Z1141" s="9"/>
      <c r="AA1141" s="9"/>
      <c r="AB1141" s="9"/>
      <c r="AC1141" s="9"/>
      <c r="AD1141" s="9"/>
      <c r="AE1141" s="9"/>
      <c r="AF1141" s="9"/>
      <c r="AG1141" s="12"/>
    </row>
    <row r="1142" spans="1:33">
      <c r="A1142" s="9"/>
      <c r="B1142" s="9"/>
      <c r="C1142" s="9"/>
      <c r="D1142" s="9"/>
      <c r="E1142" s="9"/>
      <c r="F1142" s="9"/>
      <c r="G1142" s="9"/>
      <c r="H1142" s="9"/>
      <c r="I1142" s="9"/>
      <c r="J1142" s="9"/>
      <c r="K1142" s="9"/>
      <c r="L1142" s="9"/>
      <c r="M1142" s="9"/>
      <c r="N1142" s="9"/>
      <c r="O1142" s="9"/>
      <c r="P1142" s="9"/>
      <c r="Q1142" s="9"/>
      <c r="R1142" s="9"/>
      <c r="S1142" s="9"/>
      <c r="T1142" s="9"/>
      <c r="U1142" s="9"/>
      <c r="V1142" s="9"/>
      <c r="W1142" s="9"/>
      <c r="X1142" s="9"/>
      <c r="Y1142" s="9"/>
      <c r="Z1142" s="9"/>
      <c r="AA1142" s="9"/>
      <c r="AB1142" s="9"/>
      <c r="AC1142" s="9"/>
      <c r="AD1142" s="9"/>
      <c r="AE1142" s="9"/>
      <c r="AF1142" s="9"/>
      <c r="AG1142" s="12"/>
    </row>
    <row r="1143" spans="1:33">
      <c r="A1143" s="10"/>
      <c r="B1143" s="10"/>
      <c r="C1143" s="10"/>
      <c r="D1143" s="10"/>
      <c r="E1143" s="10"/>
      <c r="F1143" s="10"/>
      <c r="G1143" s="10"/>
      <c r="H1143" s="10"/>
      <c r="I1143" s="10"/>
      <c r="J1143" s="10"/>
      <c r="K1143" s="10"/>
      <c r="L1143" s="10"/>
      <c r="M1143" s="10"/>
      <c r="N1143" s="10"/>
      <c r="O1143" s="10"/>
      <c r="P1143" s="10"/>
      <c r="Q1143" s="10"/>
      <c r="R1143" s="10"/>
      <c r="S1143" s="10"/>
      <c r="T1143" s="10"/>
      <c r="U1143" s="10"/>
      <c r="V1143" s="10"/>
      <c r="W1143" s="10"/>
      <c r="X1143" s="10"/>
      <c r="Y1143" s="10"/>
      <c r="Z1143" s="10"/>
      <c r="AA1143" s="10"/>
      <c r="AB1143" s="10"/>
      <c r="AC1143" s="10"/>
      <c r="AD1143" s="10"/>
      <c r="AE1143" s="10"/>
      <c r="AF1143" s="10"/>
      <c r="AG1143" s="12"/>
    </row>
    <row r="1144" spans="1:33">
      <c r="A1144" s="9"/>
      <c r="B1144" s="9"/>
      <c r="C1144" s="9"/>
      <c r="D1144" s="9"/>
      <c r="E1144" s="9"/>
      <c r="F1144" s="9"/>
      <c r="G1144" s="9"/>
      <c r="H1144" s="9"/>
      <c r="I1144" s="9"/>
      <c r="J1144" s="9"/>
      <c r="K1144" s="9"/>
      <c r="L1144" s="9"/>
      <c r="M1144" s="9"/>
      <c r="N1144" s="9"/>
      <c r="O1144" s="9"/>
      <c r="P1144" s="9"/>
      <c r="Q1144" s="9"/>
      <c r="R1144" s="9"/>
      <c r="S1144" s="9"/>
      <c r="T1144" s="9"/>
      <c r="U1144" s="9"/>
      <c r="V1144" s="9"/>
      <c r="W1144" s="9"/>
      <c r="X1144" s="9"/>
      <c r="Y1144" s="9"/>
      <c r="Z1144" s="9"/>
      <c r="AA1144" s="9"/>
      <c r="AB1144" s="9"/>
      <c r="AC1144" s="9"/>
      <c r="AD1144" s="9"/>
      <c r="AE1144" s="9"/>
      <c r="AF1144" s="9"/>
      <c r="AG1144" s="12"/>
    </row>
    <row r="1145" spans="1:33">
      <c r="A1145" s="9"/>
      <c r="B1145" s="9"/>
      <c r="C1145" s="9"/>
      <c r="D1145" s="9"/>
      <c r="E1145" s="9"/>
      <c r="F1145" s="9"/>
      <c r="G1145" s="9"/>
      <c r="H1145" s="9"/>
      <c r="I1145" s="9"/>
      <c r="J1145" s="9"/>
      <c r="K1145" s="9"/>
      <c r="L1145" s="9"/>
      <c r="M1145" s="9"/>
      <c r="N1145" s="9"/>
      <c r="O1145" s="9"/>
      <c r="P1145" s="9"/>
      <c r="Q1145" s="9"/>
      <c r="R1145" s="9"/>
      <c r="S1145" s="9"/>
      <c r="T1145" s="9"/>
      <c r="U1145" s="9"/>
      <c r="V1145" s="9"/>
      <c r="W1145" s="9"/>
      <c r="X1145" s="9"/>
      <c r="Y1145" s="9"/>
      <c r="Z1145" s="9"/>
      <c r="AA1145" s="9"/>
      <c r="AB1145" s="9"/>
      <c r="AC1145" s="9"/>
      <c r="AD1145" s="9"/>
      <c r="AE1145" s="9"/>
      <c r="AF1145" s="9"/>
      <c r="AG1145" s="12"/>
    </row>
    <row r="1146" spans="1:33">
      <c r="A1146" s="9"/>
      <c r="B1146" s="9"/>
      <c r="C1146" s="9"/>
      <c r="D1146" s="9"/>
      <c r="E1146" s="9"/>
      <c r="F1146" s="9"/>
      <c r="G1146" s="9"/>
      <c r="H1146" s="9"/>
      <c r="I1146" s="9"/>
      <c r="J1146" s="9"/>
      <c r="K1146" s="9"/>
      <c r="L1146" s="9"/>
      <c r="M1146" s="9"/>
      <c r="N1146" s="9"/>
      <c r="O1146" s="9"/>
      <c r="P1146" s="9"/>
      <c r="Q1146" s="9"/>
      <c r="R1146" s="9"/>
      <c r="S1146" s="9"/>
      <c r="T1146" s="9"/>
      <c r="U1146" s="9"/>
      <c r="V1146" s="9"/>
      <c r="W1146" s="9"/>
      <c r="X1146" s="9"/>
      <c r="Y1146" s="9"/>
      <c r="Z1146" s="9"/>
      <c r="AA1146" s="9"/>
      <c r="AB1146" s="9"/>
      <c r="AC1146" s="9"/>
      <c r="AD1146" s="9"/>
      <c r="AE1146" s="9"/>
      <c r="AF1146" s="9"/>
      <c r="AG1146" s="12"/>
    </row>
    <row r="1147" spans="1:33">
      <c r="A1147" s="9"/>
      <c r="B1147" s="9"/>
      <c r="C1147" s="9"/>
      <c r="D1147" s="9"/>
      <c r="E1147" s="9"/>
      <c r="F1147" s="9"/>
      <c r="G1147" s="9"/>
      <c r="H1147" s="9"/>
      <c r="I1147" s="9"/>
      <c r="J1147" s="9"/>
      <c r="K1147" s="9"/>
      <c r="L1147" s="9"/>
      <c r="M1147" s="9"/>
      <c r="N1147" s="9"/>
      <c r="O1147" s="9"/>
      <c r="P1147" s="9"/>
      <c r="Q1147" s="9"/>
      <c r="R1147" s="9"/>
      <c r="S1147" s="9"/>
      <c r="T1147" s="9"/>
      <c r="U1147" s="9"/>
      <c r="V1147" s="9"/>
      <c r="W1147" s="9"/>
      <c r="X1147" s="9"/>
      <c r="Y1147" s="9"/>
      <c r="Z1147" s="9"/>
      <c r="AA1147" s="9"/>
      <c r="AB1147" s="9"/>
      <c r="AC1147" s="9"/>
      <c r="AD1147" s="9"/>
      <c r="AE1147" s="9"/>
      <c r="AF1147" s="9"/>
      <c r="AG1147" s="12"/>
    </row>
    <row r="1148" spans="1:33">
      <c r="A1148" s="9"/>
      <c r="B1148" s="9"/>
      <c r="C1148" s="9"/>
      <c r="D1148" s="9"/>
      <c r="E1148" s="9"/>
      <c r="F1148" s="9"/>
      <c r="G1148" s="9"/>
      <c r="H1148" s="9"/>
      <c r="I1148" s="9"/>
      <c r="J1148" s="9"/>
      <c r="K1148" s="9"/>
      <c r="L1148" s="9"/>
      <c r="M1148" s="9"/>
      <c r="N1148" s="9"/>
      <c r="O1148" s="9"/>
      <c r="P1148" s="9"/>
      <c r="Q1148" s="9"/>
      <c r="R1148" s="9"/>
      <c r="S1148" s="9"/>
      <c r="T1148" s="9"/>
      <c r="U1148" s="9"/>
      <c r="V1148" s="9"/>
      <c r="W1148" s="9"/>
      <c r="X1148" s="9"/>
      <c r="Y1148" s="9"/>
      <c r="Z1148" s="9"/>
      <c r="AA1148" s="9"/>
      <c r="AB1148" s="9"/>
      <c r="AC1148" s="9"/>
      <c r="AD1148" s="9"/>
      <c r="AE1148" s="9"/>
      <c r="AF1148" s="9"/>
      <c r="AG1148" s="12"/>
    </row>
    <row r="1149" spans="1:33">
      <c r="A1149" s="9"/>
      <c r="B1149" s="9"/>
      <c r="C1149" s="9"/>
      <c r="D1149" s="9"/>
      <c r="E1149" s="9"/>
      <c r="F1149" s="9"/>
      <c r="G1149" s="9"/>
      <c r="H1149" s="9"/>
      <c r="I1149" s="9"/>
      <c r="J1149" s="9"/>
      <c r="K1149" s="9"/>
      <c r="L1149" s="9"/>
      <c r="M1149" s="9"/>
      <c r="N1149" s="9"/>
      <c r="O1149" s="9"/>
      <c r="P1149" s="9"/>
      <c r="Q1149" s="9"/>
      <c r="R1149" s="9"/>
      <c r="S1149" s="9"/>
      <c r="T1149" s="9"/>
      <c r="U1149" s="9"/>
      <c r="V1149" s="9"/>
      <c r="W1149" s="9"/>
      <c r="X1149" s="9"/>
      <c r="Y1149" s="9"/>
      <c r="Z1149" s="9"/>
      <c r="AA1149" s="9"/>
      <c r="AB1149" s="9"/>
      <c r="AC1149" s="9"/>
      <c r="AD1149" s="9"/>
      <c r="AE1149" s="9"/>
      <c r="AF1149" s="9"/>
      <c r="AG1149" s="12"/>
    </row>
    <row r="1150" spans="1:33">
      <c r="A1150" s="9"/>
      <c r="B1150" s="9"/>
      <c r="C1150" s="9"/>
      <c r="D1150" s="9"/>
      <c r="E1150" s="9"/>
      <c r="F1150" s="9"/>
      <c r="G1150" s="9"/>
      <c r="H1150" s="9"/>
      <c r="I1150" s="9"/>
      <c r="J1150" s="9"/>
      <c r="K1150" s="9"/>
      <c r="L1150" s="9"/>
      <c r="M1150" s="9"/>
      <c r="N1150" s="9"/>
      <c r="O1150" s="9"/>
      <c r="P1150" s="9"/>
      <c r="Q1150" s="9"/>
      <c r="R1150" s="9"/>
      <c r="S1150" s="9"/>
      <c r="T1150" s="9"/>
      <c r="U1150" s="9"/>
      <c r="V1150" s="9"/>
      <c r="W1150" s="9"/>
      <c r="X1150" s="9"/>
      <c r="Y1150" s="9"/>
      <c r="Z1150" s="9"/>
      <c r="AA1150" s="9"/>
      <c r="AB1150" s="9"/>
      <c r="AC1150" s="9"/>
      <c r="AD1150" s="9"/>
      <c r="AE1150" s="9"/>
      <c r="AF1150" s="9"/>
      <c r="AG1150" s="12"/>
    </row>
    <row r="1151" spans="1:33">
      <c r="A1151" s="9"/>
      <c r="B1151" s="9"/>
      <c r="C1151" s="9"/>
      <c r="D1151" s="9"/>
      <c r="E1151" s="9"/>
      <c r="F1151" s="9"/>
      <c r="G1151" s="9"/>
      <c r="H1151" s="9"/>
      <c r="I1151" s="9"/>
      <c r="J1151" s="9"/>
      <c r="K1151" s="9"/>
      <c r="L1151" s="9"/>
      <c r="M1151" s="9"/>
      <c r="N1151" s="9"/>
      <c r="O1151" s="9"/>
      <c r="P1151" s="9"/>
      <c r="Q1151" s="9"/>
      <c r="R1151" s="9"/>
      <c r="S1151" s="9"/>
      <c r="T1151" s="9"/>
      <c r="U1151" s="9"/>
      <c r="V1151" s="9"/>
      <c r="W1151" s="9"/>
      <c r="X1151" s="9"/>
      <c r="Y1151" s="9"/>
      <c r="Z1151" s="9"/>
      <c r="AA1151" s="9"/>
      <c r="AB1151" s="9"/>
      <c r="AC1151" s="9"/>
      <c r="AD1151" s="9"/>
      <c r="AE1151" s="9"/>
      <c r="AF1151" s="9"/>
      <c r="AG1151" s="12"/>
    </row>
    <row r="1152" spans="1:33">
      <c r="A1152" s="9"/>
      <c r="B1152" s="9"/>
      <c r="C1152" s="9"/>
      <c r="D1152" s="9"/>
      <c r="E1152" s="9"/>
      <c r="F1152" s="9"/>
      <c r="G1152" s="9"/>
      <c r="H1152" s="9"/>
      <c r="I1152" s="9"/>
      <c r="J1152" s="9"/>
      <c r="K1152" s="9"/>
      <c r="L1152" s="9"/>
      <c r="M1152" s="9"/>
      <c r="N1152" s="9"/>
      <c r="O1152" s="9"/>
      <c r="P1152" s="9"/>
      <c r="Q1152" s="9"/>
      <c r="R1152" s="9"/>
      <c r="S1152" s="9"/>
      <c r="T1152" s="9"/>
      <c r="U1152" s="9"/>
      <c r="V1152" s="9"/>
      <c r="W1152" s="9"/>
      <c r="X1152" s="9"/>
      <c r="Y1152" s="9"/>
      <c r="Z1152" s="9"/>
      <c r="AA1152" s="9"/>
      <c r="AB1152" s="9"/>
      <c r="AC1152" s="9"/>
      <c r="AD1152" s="9"/>
      <c r="AE1152" s="9"/>
      <c r="AF1152" s="9"/>
      <c r="AG1152" s="12"/>
    </row>
    <row r="1153" spans="1:33">
      <c r="A1153" s="9"/>
      <c r="B1153" s="9"/>
      <c r="C1153" s="9"/>
      <c r="D1153" s="9"/>
      <c r="E1153" s="9"/>
      <c r="F1153" s="9"/>
      <c r="G1153" s="9"/>
      <c r="H1153" s="9"/>
      <c r="I1153" s="9"/>
      <c r="J1153" s="9"/>
      <c r="K1153" s="9"/>
      <c r="L1153" s="9"/>
      <c r="M1153" s="9"/>
      <c r="N1153" s="9"/>
      <c r="O1153" s="9"/>
      <c r="P1153" s="9"/>
      <c r="Q1153" s="9"/>
      <c r="R1153" s="9"/>
      <c r="S1153" s="9"/>
      <c r="T1153" s="9"/>
      <c r="U1153" s="9"/>
      <c r="V1153" s="9"/>
      <c r="W1153" s="9"/>
      <c r="X1153" s="9"/>
      <c r="Y1153" s="9"/>
      <c r="Z1153" s="9"/>
      <c r="AA1153" s="9"/>
      <c r="AB1153" s="9"/>
      <c r="AC1153" s="9"/>
      <c r="AD1153" s="9"/>
      <c r="AE1153" s="9"/>
      <c r="AF1153" s="9"/>
      <c r="AG1153" s="12"/>
    </row>
    <row r="1154" spans="1:33">
      <c r="A1154" s="9"/>
      <c r="B1154" s="9"/>
      <c r="C1154" s="9"/>
      <c r="D1154" s="9"/>
      <c r="E1154" s="9"/>
      <c r="F1154" s="9"/>
      <c r="G1154" s="9"/>
      <c r="H1154" s="9"/>
      <c r="I1154" s="9"/>
      <c r="J1154" s="9"/>
      <c r="K1154" s="9"/>
      <c r="L1154" s="9"/>
      <c r="M1154" s="9"/>
      <c r="N1154" s="9"/>
      <c r="O1154" s="9"/>
      <c r="P1154" s="9"/>
      <c r="Q1154" s="9"/>
      <c r="R1154" s="9"/>
      <c r="S1154" s="9"/>
      <c r="T1154" s="9"/>
      <c r="U1154" s="9"/>
      <c r="V1154" s="9"/>
      <c r="W1154" s="9"/>
      <c r="X1154" s="9"/>
      <c r="Y1154" s="9"/>
      <c r="Z1154" s="9"/>
      <c r="AA1154" s="9"/>
      <c r="AB1154" s="9"/>
      <c r="AC1154" s="9"/>
      <c r="AD1154" s="9"/>
      <c r="AE1154" s="9"/>
      <c r="AF1154" s="9"/>
      <c r="AG1154" s="12"/>
    </row>
    <row r="1155" spans="1:33">
      <c r="A1155" s="9"/>
      <c r="B1155" s="9"/>
      <c r="C1155" s="9"/>
      <c r="D1155" s="9"/>
      <c r="E1155" s="9"/>
      <c r="F1155" s="9"/>
      <c r="G1155" s="9"/>
      <c r="H1155" s="9"/>
      <c r="I1155" s="9"/>
      <c r="J1155" s="9"/>
      <c r="K1155" s="9"/>
      <c r="L1155" s="9"/>
      <c r="M1155" s="9"/>
      <c r="N1155" s="9"/>
      <c r="O1155" s="9"/>
      <c r="P1155" s="9"/>
      <c r="Q1155" s="9"/>
      <c r="R1155" s="9"/>
      <c r="S1155" s="9"/>
      <c r="T1155" s="9"/>
      <c r="U1155" s="9"/>
      <c r="V1155" s="9"/>
      <c r="W1155" s="9"/>
      <c r="X1155" s="9"/>
      <c r="Y1155" s="9"/>
      <c r="Z1155" s="9"/>
      <c r="AA1155" s="9"/>
      <c r="AB1155" s="9"/>
      <c r="AC1155" s="9"/>
      <c r="AD1155" s="9"/>
      <c r="AE1155" s="9"/>
      <c r="AF1155" s="9"/>
      <c r="AG1155" s="12"/>
    </row>
    <row r="1156" spans="1:33">
      <c r="A1156" s="9"/>
      <c r="B1156" s="9"/>
      <c r="C1156" s="9"/>
      <c r="D1156" s="9"/>
      <c r="E1156" s="9"/>
      <c r="F1156" s="9"/>
      <c r="G1156" s="9"/>
      <c r="H1156" s="9"/>
      <c r="I1156" s="9"/>
      <c r="J1156" s="9"/>
      <c r="K1156" s="9"/>
      <c r="L1156" s="9"/>
      <c r="M1156" s="9"/>
      <c r="N1156" s="9"/>
      <c r="O1156" s="9"/>
      <c r="P1156" s="9"/>
      <c r="Q1156" s="9"/>
      <c r="R1156" s="9"/>
      <c r="S1156" s="9"/>
      <c r="T1156" s="9"/>
      <c r="U1156" s="9"/>
      <c r="V1156" s="9"/>
      <c r="W1156" s="9"/>
      <c r="X1156" s="9"/>
      <c r="Y1156" s="9"/>
      <c r="Z1156" s="9"/>
      <c r="AA1156" s="9"/>
      <c r="AB1156" s="9"/>
      <c r="AC1156" s="9"/>
      <c r="AD1156" s="9"/>
      <c r="AE1156" s="9"/>
      <c r="AF1156" s="9"/>
      <c r="AG1156" s="12"/>
    </row>
    <row r="1157" spans="1:33">
      <c r="A1157" s="9"/>
      <c r="B1157" s="9"/>
      <c r="C1157" s="9"/>
      <c r="D1157" s="9"/>
      <c r="E1157" s="9"/>
      <c r="F1157" s="9"/>
      <c r="G1157" s="9"/>
      <c r="H1157" s="9"/>
      <c r="I1157" s="9"/>
      <c r="J1157" s="9"/>
      <c r="K1157" s="9"/>
      <c r="L1157" s="9"/>
      <c r="M1157" s="9"/>
      <c r="N1157" s="9"/>
      <c r="O1157" s="9"/>
      <c r="P1157" s="9"/>
      <c r="Q1157" s="9"/>
      <c r="R1157" s="9"/>
      <c r="S1157" s="9"/>
      <c r="T1157" s="9"/>
      <c r="U1157" s="9"/>
      <c r="V1157" s="9"/>
      <c r="W1157" s="9"/>
      <c r="X1157" s="9"/>
      <c r="Y1157" s="9"/>
      <c r="Z1157" s="9"/>
      <c r="AA1157" s="9"/>
      <c r="AB1157" s="9"/>
      <c r="AC1157" s="9"/>
      <c r="AD1157" s="9"/>
      <c r="AE1157" s="9"/>
      <c r="AF1157" s="9"/>
      <c r="AG1157" s="12"/>
    </row>
    <row r="1158" spans="1:33">
      <c r="A1158" s="9"/>
      <c r="B1158" s="9"/>
      <c r="C1158" s="9"/>
      <c r="D1158" s="9"/>
      <c r="E1158" s="9"/>
      <c r="F1158" s="9"/>
      <c r="G1158" s="9"/>
      <c r="H1158" s="9"/>
      <c r="I1158" s="9"/>
      <c r="J1158" s="9"/>
      <c r="K1158" s="9"/>
      <c r="L1158" s="9"/>
      <c r="M1158" s="9"/>
      <c r="N1158" s="9"/>
      <c r="O1158" s="9"/>
      <c r="P1158" s="9"/>
      <c r="Q1158" s="9"/>
      <c r="R1158" s="9"/>
      <c r="S1158" s="9"/>
      <c r="T1158" s="9"/>
      <c r="U1158" s="9"/>
      <c r="V1158" s="9"/>
      <c r="W1158" s="9"/>
      <c r="X1158" s="9"/>
      <c r="Y1158" s="9"/>
      <c r="Z1158" s="9"/>
      <c r="AA1158" s="9"/>
      <c r="AB1158" s="9"/>
      <c r="AC1158" s="9"/>
      <c r="AD1158" s="9"/>
      <c r="AE1158" s="9"/>
      <c r="AF1158" s="9"/>
      <c r="AG1158" s="12"/>
    </row>
    <row r="1159" spans="33:33">
      <c r="AG1159" s="14"/>
    </row>
    <row r="1160" spans="33:33">
      <c r="AG1160" s="14"/>
    </row>
    <row r="1161" spans="33:33">
      <c r="AG1161" s="14"/>
    </row>
    <row r="1162" spans="33:33">
      <c r="AG1162" s="14"/>
    </row>
    <row r="1163" spans="33:33">
      <c r="AG1163" s="14"/>
    </row>
    <row r="1164" spans="33:33">
      <c r="AG1164" s="14"/>
    </row>
    <row r="1165" spans="33:33">
      <c r="AG1165" s="14"/>
    </row>
    <row r="1166" spans="33:33">
      <c r="AG1166" s="14"/>
    </row>
    <row r="1167" spans="33:33">
      <c r="AG1167" s="14"/>
    </row>
    <row r="1168" spans="33:33">
      <c r="AG1168" s="14"/>
    </row>
    <row r="1169" spans="33:33">
      <c r="AG1169" s="14"/>
    </row>
    <row r="1170" spans="33:33">
      <c r="AG1170" s="14"/>
    </row>
    <row r="1171" spans="33:33">
      <c r="AG1171" s="14"/>
    </row>
    <row r="1172" spans="33:33">
      <c r="AG1172" s="14"/>
    </row>
    <row r="1173" spans="33:33">
      <c r="AG1173" s="14"/>
    </row>
    <row r="1174" spans="33:33">
      <c r="AG1174" s="14"/>
    </row>
    <row r="1175" spans="33:33">
      <c r="AG1175" s="14"/>
    </row>
    <row r="1176" spans="33:33">
      <c r="AG1176" s="14"/>
    </row>
    <row r="1177" spans="33:33">
      <c r="AG1177" s="14"/>
    </row>
    <row r="1178" spans="33:33">
      <c r="AG1178" s="14"/>
    </row>
    <row r="1179" spans="33:33">
      <c r="AG1179" s="14"/>
    </row>
    <row r="1180" spans="33:33">
      <c r="AG1180" s="14"/>
    </row>
    <row r="1181" spans="33:33">
      <c r="AG1181" s="14"/>
    </row>
    <row r="1182" spans="33:33">
      <c r="AG1182" s="14"/>
    </row>
    <row r="1183" spans="33:33">
      <c r="AG1183" s="14"/>
    </row>
    <row r="1184" spans="33:33">
      <c r="AG1184" s="14"/>
    </row>
    <row r="1185" spans="33:33">
      <c r="AG1185" s="14"/>
    </row>
    <row r="1186" spans="33:33">
      <c r="AG1186" s="14"/>
    </row>
    <row r="1187" spans="33:33">
      <c r="AG1187" s="14"/>
    </row>
    <row r="1188" spans="33:33">
      <c r="AG1188" s="14"/>
    </row>
    <row r="1189" spans="33:33">
      <c r="AG1189" s="14"/>
    </row>
    <row r="1190" spans="33:33">
      <c r="AG1190" s="14"/>
    </row>
    <row r="1191" spans="33:33">
      <c r="AG1191" s="14"/>
    </row>
    <row r="1192" spans="33:33">
      <c r="AG1192" s="14"/>
    </row>
    <row r="1193" spans="33:33">
      <c r="AG1193" s="14"/>
    </row>
    <row r="1194" spans="33:33">
      <c r="AG1194" s="14"/>
    </row>
    <row r="1195" spans="33:33">
      <c r="AG1195" s="14"/>
    </row>
    <row r="1196" spans="33:33">
      <c r="AG1196" s="14"/>
    </row>
    <row r="1197" spans="33:33">
      <c r="AG1197" s="14"/>
    </row>
    <row r="1198" spans="33:33">
      <c r="AG1198" s="14"/>
    </row>
    <row r="1199" spans="33:33">
      <c r="AG1199" s="14"/>
    </row>
    <row r="1200" spans="33:33">
      <c r="AG1200" s="14"/>
    </row>
    <row r="1201" spans="33:33">
      <c r="AG1201" s="14"/>
    </row>
    <row r="1202" spans="33:33">
      <c r="AG1202" s="14"/>
    </row>
    <row r="1203" spans="33:33">
      <c r="AG1203" s="14"/>
    </row>
    <row r="1204" spans="33:33">
      <c r="AG1204" s="14"/>
    </row>
    <row r="1205" spans="33:33">
      <c r="AG1205" s="14"/>
    </row>
    <row r="1206" spans="33:33">
      <c r="AG1206" s="14"/>
    </row>
    <row r="1207" spans="33:33">
      <c r="AG1207" s="14"/>
    </row>
    <row r="1208" spans="33:33">
      <c r="AG1208" s="14"/>
    </row>
    <row r="1209" spans="33:33">
      <c r="AG1209" s="14"/>
    </row>
    <row r="1210" spans="33:33">
      <c r="AG1210" s="14"/>
    </row>
    <row r="1211" spans="33:33">
      <c r="AG1211" s="14"/>
    </row>
    <row r="1212" spans="33:33">
      <c r="AG1212" s="14"/>
    </row>
    <row r="1213" spans="33:33">
      <c r="AG1213" s="14"/>
    </row>
    <row r="1214" spans="33:33">
      <c r="AG1214" s="14"/>
    </row>
    <row r="1215" spans="33:33">
      <c r="AG1215" s="14"/>
    </row>
    <row r="1216" spans="33:33">
      <c r="AG1216" s="14"/>
    </row>
    <row r="1217" spans="33:33">
      <c r="AG1217" s="14"/>
    </row>
    <row r="1218" spans="33:33">
      <c r="AG1218" s="14"/>
    </row>
    <row r="1219" spans="33:33">
      <c r="AG1219" s="14"/>
    </row>
    <row r="1220" spans="33:33">
      <c r="AG1220" s="14"/>
    </row>
    <row r="1221" spans="33:33">
      <c r="AG1221" s="14"/>
    </row>
    <row r="1222" spans="33:33">
      <c r="AG1222" s="14"/>
    </row>
    <row r="1223" spans="33:33">
      <c r="AG1223" s="14"/>
    </row>
    <row r="1224" spans="33:33">
      <c r="AG1224" s="14"/>
    </row>
    <row r="1225" spans="33:33">
      <c r="AG1225" s="14"/>
    </row>
    <row r="1226" spans="33:33">
      <c r="AG1226" s="14"/>
    </row>
    <row r="1227" spans="33:33">
      <c r="AG1227" s="14"/>
    </row>
    <row r="1228" spans="33:33">
      <c r="AG1228" s="14"/>
    </row>
    <row r="1229" spans="33:33">
      <c r="AG1229" s="14"/>
    </row>
    <row r="1230" spans="33:33">
      <c r="AG1230" s="14"/>
    </row>
    <row r="1231" spans="33:33">
      <c r="AG1231" s="14"/>
    </row>
    <row r="1232" spans="33:33">
      <c r="AG1232" s="14"/>
    </row>
    <row r="1233" spans="33:33">
      <c r="AG1233" s="14"/>
    </row>
    <row r="1234" spans="33:33">
      <c r="AG1234" s="14"/>
    </row>
    <row r="1235" spans="33:33">
      <c r="AG1235" s="14"/>
    </row>
    <row r="1236" spans="33:33">
      <c r="AG1236" s="14"/>
    </row>
    <row r="1237" spans="33:33">
      <c r="AG1237" s="14"/>
    </row>
    <row r="1238" spans="33:33">
      <c r="AG1238" s="14"/>
    </row>
    <row r="1239" spans="33:33">
      <c r="AG1239" s="14"/>
    </row>
    <row r="1240" spans="33:33">
      <c r="AG1240" s="14"/>
    </row>
    <row r="1241" spans="33:33">
      <c r="AG1241" s="14"/>
    </row>
    <row r="1242" spans="33:33">
      <c r="AG1242" s="14"/>
    </row>
    <row r="1243" spans="33:33">
      <c r="AG1243" s="14"/>
    </row>
    <row r="1244" spans="33:33">
      <c r="AG1244" s="14"/>
    </row>
    <row r="1245" spans="33:33">
      <c r="AG1245" s="14"/>
    </row>
    <row r="1246" spans="33:33">
      <c r="AG1246" s="14"/>
    </row>
    <row r="1247" spans="33:33">
      <c r="AG1247" s="14"/>
    </row>
    <row r="1248" spans="33:33">
      <c r="AG1248" s="14"/>
    </row>
    <row r="1249" spans="33:33">
      <c r="AG1249" s="14"/>
    </row>
    <row r="1250" spans="33:33">
      <c r="AG1250" s="14"/>
    </row>
    <row r="1251" spans="33:33">
      <c r="AG1251" s="14"/>
    </row>
    <row r="1252" spans="33:33">
      <c r="AG1252" s="14"/>
    </row>
    <row r="1253" spans="33:33">
      <c r="AG1253" s="14"/>
    </row>
    <row r="1254" spans="33:33">
      <c r="AG1254" s="14"/>
    </row>
    <row r="1255" spans="33:33">
      <c r="AG1255" s="14"/>
    </row>
    <row r="1256" spans="33:33">
      <c r="AG1256" s="14"/>
    </row>
    <row r="1257" spans="33:33">
      <c r="AG1257" s="14"/>
    </row>
    <row r="1258" spans="33:33">
      <c r="AG1258" s="14"/>
    </row>
    <row r="1259" spans="33:33">
      <c r="AG1259" s="14"/>
    </row>
    <row r="1260" spans="33:33">
      <c r="AG1260" s="14"/>
    </row>
    <row r="1261" spans="33:33">
      <c r="AG1261" s="14"/>
    </row>
    <row r="1262" spans="33:33">
      <c r="AG1262" s="14"/>
    </row>
    <row r="1263" spans="33:33">
      <c r="AG1263" s="14"/>
    </row>
    <row r="1264" spans="33:33">
      <c r="AG1264" s="14"/>
    </row>
    <row r="1265" spans="33:33">
      <c r="AG1265" s="14"/>
    </row>
    <row r="1266" spans="33:33">
      <c r="AG1266" s="14"/>
    </row>
    <row r="1267" spans="33:33">
      <c r="AG1267" s="14"/>
    </row>
    <row r="1268" spans="33:33">
      <c r="AG1268" s="14"/>
    </row>
    <row r="1269" spans="33:33">
      <c r="AG1269" s="14"/>
    </row>
    <row r="1270" spans="33:33">
      <c r="AG1270" s="14"/>
    </row>
    <row r="1271" spans="33:33">
      <c r="AG1271" s="14"/>
    </row>
    <row r="1272" spans="33:33">
      <c r="AG1272" s="14"/>
    </row>
    <row r="1273" spans="33:33">
      <c r="AG1273" s="14"/>
    </row>
    <row r="1274" spans="33:33">
      <c r="AG1274" s="14"/>
    </row>
    <row r="1275" spans="33:33">
      <c r="AG1275" s="14"/>
    </row>
    <row r="1276" spans="33:33">
      <c r="AG1276" s="14"/>
    </row>
    <row r="1277" spans="33:33">
      <c r="AG1277" s="14"/>
    </row>
    <row r="1278" spans="33:33">
      <c r="AG1278" s="14"/>
    </row>
    <row r="1279" spans="33:33">
      <c r="AG1279" s="14"/>
    </row>
    <row r="1280" spans="33:33">
      <c r="AG1280" s="14"/>
    </row>
    <row r="1281" spans="33:33">
      <c r="AG1281" s="14"/>
    </row>
    <row r="1282" spans="33:33">
      <c r="AG1282" s="14"/>
    </row>
    <row r="1283" spans="33:33">
      <c r="AG1283" s="14"/>
    </row>
    <row r="1284" spans="33:33">
      <c r="AG1284" s="14"/>
    </row>
    <row r="1285" spans="33:33">
      <c r="AG1285" s="14"/>
    </row>
    <row r="1286" spans="33:33">
      <c r="AG1286" s="14"/>
    </row>
    <row r="1287" spans="33:33">
      <c r="AG1287" s="14"/>
    </row>
    <row r="1288" spans="33:33">
      <c r="AG1288" s="14"/>
    </row>
    <row r="1289" spans="33:33">
      <c r="AG1289" s="14"/>
    </row>
    <row r="1290" spans="33:33">
      <c r="AG1290" s="14"/>
    </row>
    <row r="1291" spans="33:33">
      <c r="AG1291" s="14"/>
    </row>
    <row r="1292" spans="33:33">
      <c r="AG1292" s="14"/>
    </row>
    <row r="1293" spans="33:33">
      <c r="AG1293" s="14"/>
    </row>
    <row r="1294" spans="33:33">
      <c r="AG1294" s="14"/>
    </row>
    <row r="1295" spans="33:33">
      <c r="AG1295" s="14"/>
    </row>
    <row r="1296" spans="33:33">
      <c r="AG1296" s="14"/>
    </row>
    <row r="1297" spans="33:33">
      <c r="AG1297" s="14"/>
    </row>
    <row r="1298" spans="33:33">
      <c r="AG1298" s="14"/>
    </row>
    <row r="1299" spans="33:33">
      <c r="AG1299" s="14"/>
    </row>
    <row r="1300" spans="33:33">
      <c r="AG1300" s="14"/>
    </row>
    <row r="1301" spans="33:33">
      <c r="AG1301" s="14"/>
    </row>
    <row r="1302" spans="33:33">
      <c r="AG1302" s="14"/>
    </row>
    <row r="1303" spans="33:33">
      <c r="AG1303" s="14"/>
    </row>
    <row r="1304" spans="33:33">
      <c r="AG1304" s="14"/>
    </row>
    <row r="1305" spans="33:33">
      <c r="AG1305" s="14"/>
    </row>
    <row r="1306" spans="33:33">
      <c r="AG1306" s="14"/>
    </row>
    <row r="1307" spans="33:33">
      <c r="AG1307" s="14"/>
    </row>
    <row r="1308" spans="33:33">
      <c r="AG1308" s="14"/>
    </row>
    <row r="1309" spans="33:33">
      <c r="AG1309" s="14"/>
    </row>
    <row r="1310" spans="33:33">
      <c r="AG1310" s="14"/>
    </row>
    <row r="1311" spans="33:33">
      <c r="AG1311" s="14"/>
    </row>
    <row r="1312" spans="33:33">
      <c r="AG1312" s="14"/>
    </row>
    <row r="1313" spans="33:33">
      <c r="AG1313" s="14"/>
    </row>
    <row r="1314" spans="33:33">
      <c r="AG1314" s="14"/>
    </row>
    <row r="1315" spans="33:33">
      <c r="AG1315" s="14"/>
    </row>
    <row r="1316" spans="33:33">
      <c r="AG1316" s="14"/>
    </row>
    <row r="1317" spans="33:33">
      <c r="AG1317" s="14"/>
    </row>
    <row r="1318" spans="33:33">
      <c r="AG1318" s="14"/>
    </row>
    <row r="1319" spans="33:33">
      <c r="AG1319" s="14"/>
    </row>
    <row r="1320" spans="33:33">
      <c r="AG1320" s="14"/>
    </row>
    <row r="1321" spans="33:33">
      <c r="AG1321" s="14"/>
    </row>
    <row r="1322" spans="33:33">
      <c r="AG1322" s="14"/>
    </row>
    <row r="1323" spans="33:33">
      <c r="AG1323" s="14"/>
    </row>
    <row r="1324" spans="33:33">
      <c r="AG1324" s="14"/>
    </row>
    <row r="1325" spans="33:33">
      <c r="AG1325" s="14"/>
    </row>
    <row r="1326" spans="33:33">
      <c r="AG1326" s="14"/>
    </row>
    <row r="1327" spans="33:33">
      <c r="AG1327" s="14"/>
    </row>
    <row r="1328" spans="33:33">
      <c r="AG1328" s="14"/>
    </row>
    <row r="1329" spans="33:33">
      <c r="AG1329" s="14"/>
    </row>
    <row r="1330" spans="33:33">
      <c r="AG1330" s="14"/>
    </row>
    <row r="1331" spans="33:33">
      <c r="AG1331" s="14"/>
    </row>
    <row r="1332" spans="33:33">
      <c r="AG1332" s="14"/>
    </row>
    <row r="1333" spans="33:33">
      <c r="AG1333" s="14"/>
    </row>
    <row r="1334" spans="33:33">
      <c r="AG1334" s="14"/>
    </row>
    <row r="1335" spans="33:33">
      <c r="AG1335" s="14"/>
    </row>
    <row r="1336" spans="33:33">
      <c r="AG1336" s="14"/>
    </row>
    <row r="1337" spans="33:33">
      <c r="AG1337" s="14"/>
    </row>
    <row r="1338" spans="33:33">
      <c r="AG1338" s="14"/>
    </row>
    <row r="1339" spans="33:33">
      <c r="AG1339" s="14"/>
    </row>
    <row r="1340" spans="33:33">
      <c r="AG1340" s="14"/>
    </row>
    <row r="1341" spans="33:33">
      <c r="AG1341" s="14"/>
    </row>
    <row r="1342" spans="33:33">
      <c r="AG1342" s="14"/>
    </row>
    <row r="1343" spans="33:33">
      <c r="AG1343" s="14"/>
    </row>
    <row r="1344" spans="33:33">
      <c r="AG1344" s="14"/>
    </row>
    <row r="1345" spans="33:33">
      <c r="AG1345" s="14"/>
    </row>
    <row r="1346" spans="33:33">
      <c r="AG1346" s="14"/>
    </row>
    <row r="1347" spans="33:33">
      <c r="AG1347" s="14"/>
    </row>
    <row r="1348" spans="33:33">
      <c r="AG1348" s="14"/>
    </row>
    <row r="1349" spans="33:33">
      <c r="AG1349" s="14"/>
    </row>
    <row r="1350" spans="33:33">
      <c r="AG1350" s="14"/>
    </row>
    <row r="1351" spans="33:33">
      <c r="AG1351" s="14"/>
    </row>
    <row r="1352" spans="33:33">
      <c r="AG1352" s="14"/>
    </row>
    <row r="1353" spans="33:33">
      <c r="AG1353" s="14"/>
    </row>
    <row r="1354" spans="33:33">
      <c r="AG1354" s="14"/>
    </row>
    <row r="1355" spans="33:33">
      <c r="AG1355" s="14"/>
    </row>
    <row r="1356" spans="33:33">
      <c r="AG1356" s="14"/>
    </row>
    <row r="1357" spans="33:33">
      <c r="AG1357" s="14"/>
    </row>
    <row r="1358" spans="33:33">
      <c r="AG1358" s="14"/>
    </row>
    <row r="1359" spans="33:33">
      <c r="AG1359" s="14"/>
    </row>
    <row r="1360" spans="33:33">
      <c r="AG1360" s="14"/>
    </row>
    <row r="1361" spans="33:33">
      <c r="AG1361" s="14"/>
    </row>
    <row r="1362" spans="33:33">
      <c r="AG1362" s="14"/>
    </row>
    <row r="1363" spans="33:33">
      <c r="AG1363" s="14"/>
    </row>
    <row r="1364" spans="33:33">
      <c r="AG1364" s="14"/>
    </row>
    <row r="1365" spans="33:33">
      <c r="AG1365" s="14"/>
    </row>
    <row r="1366" spans="33:33">
      <c r="AG1366" s="14"/>
    </row>
    <row r="1367" spans="33:33">
      <c r="AG1367" s="14"/>
    </row>
    <row r="1368" spans="33:33">
      <c r="AG1368" s="14"/>
    </row>
    <row r="1369" spans="33:33">
      <c r="AG1369" s="14"/>
    </row>
    <row r="1370" spans="33:33">
      <c r="AG1370" s="14"/>
    </row>
    <row r="1371" spans="33:33">
      <c r="AG1371" s="14"/>
    </row>
    <row r="1372" spans="33:33">
      <c r="AG1372" s="14"/>
    </row>
    <row r="1373" spans="33:33">
      <c r="AG1373" s="14"/>
    </row>
    <row r="1374" spans="33:33">
      <c r="AG1374" s="14"/>
    </row>
    <row r="1375" spans="33:33">
      <c r="AG1375" s="14"/>
    </row>
    <row r="1376" spans="33:33">
      <c r="AG1376" s="14"/>
    </row>
    <row r="1377" spans="33:33">
      <c r="AG1377" s="14"/>
    </row>
    <row r="1378" spans="33:33">
      <c r="AG1378" s="14"/>
    </row>
    <row r="1379" spans="33:33">
      <c r="AG1379" s="14"/>
    </row>
    <row r="1380" spans="33:33">
      <c r="AG1380" s="14"/>
    </row>
    <row r="1381" spans="33:33">
      <c r="AG1381" s="14"/>
    </row>
    <row r="1382" spans="33:33">
      <c r="AG1382" s="14"/>
    </row>
    <row r="1383" spans="33:33">
      <c r="AG1383" s="14"/>
    </row>
    <row r="1384" spans="33:33">
      <c r="AG1384" s="14"/>
    </row>
    <row r="1385" spans="33:33">
      <c r="AG1385" s="14"/>
    </row>
    <row r="1386" spans="33:33">
      <c r="AG1386" s="14"/>
    </row>
    <row r="1387" spans="33:33">
      <c r="AG1387" s="14"/>
    </row>
    <row r="1388" spans="33:33">
      <c r="AG1388" s="14"/>
    </row>
    <row r="1389" spans="33:33">
      <c r="AG1389" s="14"/>
    </row>
    <row r="1390" spans="33:33">
      <c r="AG1390" s="14"/>
    </row>
    <row r="1391" spans="33:33">
      <c r="AG1391" s="14"/>
    </row>
    <row r="1392" spans="33:33">
      <c r="AG1392" s="14"/>
    </row>
    <row r="1393" spans="33:33">
      <c r="AG1393" s="14"/>
    </row>
    <row r="1394" spans="33:33">
      <c r="AG1394" s="14"/>
    </row>
    <row r="1395" spans="33:33">
      <c r="AG1395" s="14"/>
    </row>
    <row r="1396" spans="33:33">
      <c r="AG1396" s="14"/>
    </row>
    <row r="1397" spans="33:33">
      <c r="AG1397" s="14"/>
    </row>
    <row r="1398" spans="33:33">
      <c r="AG1398" s="14"/>
    </row>
    <row r="1399" spans="33:33">
      <c r="AG1399" s="14"/>
    </row>
    <row r="1400" spans="33:33">
      <c r="AG1400" s="14"/>
    </row>
    <row r="1401" spans="33:33">
      <c r="AG1401" s="14"/>
    </row>
    <row r="1402" spans="33:33">
      <c r="AG1402" s="14"/>
    </row>
    <row r="1403" spans="33:33">
      <c r="AG1403" s="14"/>
    </row>
    <row r="1404" spans="33:33">
      <c r="AG1404" s="14"/>
    </row>
    <row r="1405" spans="33:33">
      <c r="AG1405" s="14"/>
    </row>
    <row r="1406" spans="33:33">
      <c r="AG1406" s="14"/>
    </row>
    <row r="1407" spans="33:33">
      <c r="AG1407" s="14"/>
    </row>
    <row r="1408" spans="33:33">
      <c r="AG1408" s="14"/>
    </row>
    <row r="1409" spans="33:33">
      <c r="AG1409" s="14"/>
    </row>
    <row r="1410" spans="33:33">
      <c r="AG1410" s="14"/>
    </row>
    <row r="1411" spans="33:33">
      <c r="AG1411" s="14"/>
    </row>
    <row r="1412" spans="33:33">
      <c r="AG1412" s="14"/>
    </row>
    <row r="1413" spans="33:33">
      <c r="AG1413" s="14"/>
    </row>
    <row r="1414" spans="33:33">
      <c r="AG1414" s="14"/>
    </row>
    <row r="1415" spans="33:33">
      <c r="AG1415" s="14"/>
    </row>
    <row r="1416" spans="33:33">
      <c r="AG1416" s="14"/>
    </row>
    <row r="1417" spans="33:33">
      <c r="AG1417" s="14"/>
    </row>
    <row r="1418" spans="33:33">
      <c r="AG1418" s="14"/>
    </row>
    <row r="1419" spans="33:33">
      <c r="AG1419" s="14"/>
    </row>
    <row r="1420" spans="33:33">
      <c r="AG1420" s="14"/>
    </row>
    <row r="1421" spans="33:33">
      <c r="AG1421" s="14"/>
    </row>
    <row r="1422" spans="33:33">
      <c r="AG1422" s="14"/>
    </row>
    <row r="1423" spans="33:33">
      <c r="AG1423" s="14"/>
    </row>
    <row r="1424" spans="33:33">
      <c r="AG1424" s="14"/>
    </row>
    <row r="1425" spans="33:33">
      <c r="AG1425" s="14"/>
    </row>
    <row r="1426" spans="33:33">
      <c r="AG1426" s="14"/>
    </row>
    <row r="1427" spans="33:33">
      <c r="AG1427" s="14"/>
    </row>
    <row r="1428" spans="33:33">
      <c r="AG1428" s="14"/>
    </row>
    <row r="1429" spans="33:33">
      <c r="AG1429" s="14"/>
    </row>
    <row r="1430" spans="33:33">
      <c r="AG1430" s="14"/>
    </row>
    <row r="1431" spans="33:33">
      <c r="AG1431" s="14"/>
    </row>
    <row r="1432" spans="33:33">
      <c r="AG1432" s="14"/>
    </row>
    <row r="1433" spans="33:33">
      <c r="AG1433" s="14"/>
    </row>
    <row r="1434" spans="33:33">
      <c r="AG1434" s="14"/>
    </row>
    <row r="1435" spans="33:33">
      <c r="AG1435" s="14"/>
    </row>
    <row r="1436" spans="33:33">
      <c r="AG1436" s="14"/>
    </row>
    <row r="1437" spans="33:33">
      <c r="AG1437" s="14"/>
    </row>
    <row r="1438" spans="33:33">
      <c r="AG1438" s="14"/>
    </row>
    <row r="1439" spans="33:33">
      <c r="AG1439" s="14"/>
    </row>
    <row r="1440" spans="33:33">
      <c r="AG1440" s="14"/>
    </row>
    <row r="1441" spans="33:33">
      <c r="AG1441" s="14"/>
    </row>
    <row r="1442" spans="33:33">
      <c r="AG1442" s="14"/>
    </row>
    <row r="1443" spans="33:33">
      <c r="AG1443" s="14"/>
    </row>
    <row r="1444" spans="33:33">
      <c r="AG1444" s="14"/>
    </row>
    <row r="1445" spans="33:33">
      <c r="AG1445" s="14"/>
    </row>
    <row r="1446" spans="33:33">
      <c r="AG1446" s="14"/>
    </row>
    <row r="1447" spans="33:33">
      <c r="AG1447" s="14"/>
    </row>
    <row r="1448" spans="33:33">
      <c r="AG1448" s="14"/>
    </row>
    <row r="1449" spans="33:33">
      <c r="AG1449" s="14"/>
    </row>
    <row r="1450" spans="33:33">
      <c r="AG1450" s="14"/>
    </row>
    <row r="1451" spans="33:33">
      <c r="AG1451" s="14"/>
    </row>
    <row r="1452" spans="33:33">
      <c r="AG1452" s="14"/>
    </row>
    <row r="1453" spans="33:33">
      <c r="AG1453" s="14"/>
    </row>
    <row r="1454" spans="33:33">
      <c r="AG1454" s="14"/>
    </row>
    <row r="1455" spans="33:33">
      <c r="AG1455" s="14"/>
    </row>
    <row r="1456" spans="33:33">
      <c r="AG1456" s="14"/>
    </row>
    <row r="1457" spans="33:33">
      <c r="AG1457" s="14"/>
    </row>
    <row r="1458" spans="33:33">
      <c r="AG1458" s="14"/>
    </row>
    <row r="1459" spans="33:33">
      <c r="AG1459" s="14"/>
    </row>
    <row r="1460" spans="33:33">
      <c r="AG1460" s="14"/>
    </row>
    <row r="1461" spans="33:33">
      <c r="AG1461" s="14"/>
    </row>
    <row r="1462" spans="33:33">
      <c r="AG1462" s="14"/>
    </row>
    <row r="1463" spans="33:33">
      <c r="AG1463" s="14"/>
    </row>
    <row r="1464" spans="33:33">
      <c r="AG1464" s="14"/>
    </row>
    <row r="1465" spans="33:33">
      <c r="AG1465" s="14"/>
    </row>
    <row r="1466" spans="33:33">
      <c r="AG1466" s="14"/>
    </row>
    <row r="1467" spans="33:33">
      <c r="AG1467" s="14"/>
    </row>
    <row r="1468" spans="33:33">
      <c r="AG1468" s="14"/>
    </row>
    <row r="1469" spans="33:33">
      <c r="AG1469" s="14"/>
    </row>
    <row r="1470" spans="33:33">
      <c r="AG1470" s="14"/>
    </row>
    <row r="1471" spans="33:33">
      <c r="AG1471" s="14"/>
    </row>
    <row r="1472" spans="33:33">
      <c r="AG1472" s="14"/>
    </row>
    <row r="1473" spans="33:33">
      <c r="AG1473" s="14"/>
    </row>
    <row r="1474" spans="33:33">
      <c r="AG1474" s="14"/>
    </row>
    <row r="1475" spans="33:33">
      <c r="AG1475" s="14"/>
    </row>
    <row r="1476" spans="33:33">
      <c r="AG1476" s="14"/>
    </row>
    <row r="1477" spans="33:33">
      <c r="AG1477" s="14"/>
    </row>
    <row r="1478" spans="33:33">
      <c r="AG1478" s="14"/>
    </row>
    <row r="1479" spans="33:33">
      <c r="AG1479" s="14"/>
    </row>
    <row r="1480" spans="33:33">
      <c r="AG1480" s="14"/>
    </row>
    <row r="1481" spans="33:33">
      <c r="AG1481" s="14"/>
    </row>
    <row r="1482" spans="33:33">
      <c r="AG1482" s="14"/>
    </row>
    <row r="1483" spans="33:33">
      <c r="AG1483" s="14"/>
    </row>
    <row r="1484" spans="33:33">
      <c r="AG1484" s="14"/>
    </row>
    <row r="1485" spans="33:33">
      <c r="AG1485" s="14"/>
    </row>
    <row r="1486" spans="33:33">
      <c r="AG1486" s="14"/>
    </row>
    <row r="1487" spans="33:33">
      <c r="AG1487" s="14"/>
    </row>
    <row r="1488" spans="33:33">
      <c r="AG1488" s="14"/>
    </row>
    <row r="1489" spans="33:33">
      <c r="AG1489" s="14"/>
    </row>
    <row r="1490" spans="33:33">
      <c r="AG1490" s="14"/>
    </row>
    <row r="1491" spans="33:33">
      <c r="AG1491" s="14"/>
    </row>
    <row r="1492" spans="33:33">
      <c r="AG1492" s="14"/>
    </row>
    <row r="1493" spans="33:33">
      <c r="AG1493" s="14"/>
    </row>
    <row r="1494" spans="33:33">
      <c r="AG1494" s="14"/>
    </row>
    <row r="1495" spans="33:33">
      <c r="AG1495" s="14"/>
    </row>
    <row r="1496" spans="33:33">
      <c r="AG1496" s="14"/>
    </row>
    <row r="1497" spans="33:33">
      <c r="AG1497" s="14"/>
    </row>
    <row r="1498" spans="33:33">
      <c r="AG1498" s="14"/>
    </row>
    <row r="1499" spans="33:33">
      <c r="AG1499" s="14"/>
    </row>
    <row r="1500" spans="33:33">
      <c r="AG1500" s="14"/>
    </row>
    <row r="1501" spans="33:33">
      <c r="AG1501" s="14"/>
    </row>
    <row r="1502" spans="33:33">
      <c r="AG1502" s="14"/>
    </row>
    <row r="1503" spans="33:33">
      <c r="AG1503" s="14"/>
    </row>
    <row r="1504" spans="33:33">
      <c r="AG1504" s="14"/>
    </row>
    <row r="1505" spans="33:33">
      <c r="AG1505" s="14"/>
    </row>
    <row r="1506" spans="33:33">
      <c r="AG1506" s="14"/>
    </row>
    <row r="1507" spans="33:33">
      <c r="AG1507" s="14"/>
    </row>
    <row r="1508" spans="33:33">
      <c r="AG1508" s="14"/>
    </row>
    <row r="1509" spans="33:33">
      <c r="AG1509" s="14"/>
    </row>
    <row r="1510" spans="33:33">
      <c r="AG1510" s="14"/>
    </row>
    <row r="1511" spans="33:33">
      <c r="AG1511" s="14"/>
    </row>
    <row r="1512" spans="33:33">
      <c r="AG1512" s="14"/>
    </row>
    <row r="1513" spans="33:33">
      <c r="AG1513" s="14"/>
    </row>
    <row r="1514" spans="33:33">
      <c r="AG1514" s="14"/>
    </row>
    <row r="1515" spans="33:33">
      <c r="AG1515" s="14"/>
    </row>
    <row r="1516" spans="33:33">
      <c r="AG1516" s="14"/>
    </row>
    <row r="1517" spans="33:33">
      <c r="AG1517" s="14"/>
    </row>
    <row r="1518" spans="33:33">
      <c r="AG1518" s="14"/>
    </row>
    <row r="1519" spans="33:33">
      <c r="AG1519" s="14"/>
    </row>
    <row r="1520" spans="33:33">
      <c r="AG1520" s="14"/>
    </row>
    <row r="1521" spans="33:33">
      <c r="AG1521" s="14"/>
    </row>
    <row r="1522" spans="33:33">
      <c r="AG1522" s="14"/>
    </row>
    <row r="1523" spans="33:33">
      <c r="AG1523" s="14"/>
    </row>
    <row r="1524" spans="33:33">
      <c r="AG1524" s="14"/>
    </row>
    <row r="1525" spans="33:33">
      <c r="AG1525" s="14"/>
    </row>
    <row r="1526" spans="33:33">
      <c r="AG1526" s="14"/>
    </row>
    <row r="1527" spans="33:33">
      <c r="AG1527" s="14"/>
    </row>
    <row r="1528" spans="33:33">
      <c r="AG1528" s="14"/>
    </row>
    <row r="1529" spans="33:33">
      <c r="AG1529" s="14"/>
    </row>
    <row r="1530" spans="33:33">
      <c r="AG1530" s="14"/>
    </row>
    <row r="1531" spans="33:33">
      <c r="AG1531" s="14"/>
    </row>
    <row r="1532" spans="33:33">
      <c r="AG1532" s="14"/>
    </row>
    <row r="1533" spans="33:33">
      <c r="AG1533" s="14"/>
    </row>
    <row r="1534" spans="33:33">
      <c r="AG1534" s="14"/>
    </row>
    <row r="1535" spans="33:33">
      <c r="AG1535" s="14"/>
    </row>
    <row r="1536" spans="33:33">
      <c r="AG1536" s="14"/>
    </row>
    <row r="1537" spans="33:33">
      <c r="AG1537" s="14"/>
    </row>
    <row r="1538" spans="33:33">
      <c r="AG1538" s="14"/>
    </row>
    <row r="1539" spans="33:33">
      <c r="AG1539" s="14"/>
    </row>
    <row r="1540" spans="33:33">
      <c r="AG1540" s="14"/>
    </row>
    <row r="1541" spans="33:33">
      <c r="AG1541" s="14"/>
    </row>
    <row r="1542" spans="33:33">
      <c r="AG1542" s="14"/>
    </row>
    <row r="1543" spans="33:33">
      <c r="AG1543" s="14"/>
    </row>
    <row r="1544" spans="33:33">
      <c r="AG1544" s="14"/>
    </row>
    <row r="1545" spans="33:33">
      <c r="AG1545" s="14"/>
    </row>
    <row r="1546" spans="33:33">
      <c r="AG1546" s="14"/>
    </row>
    <row r="1547" spans="33:33">
      <c r="AG1547" s="14"/>
    </row>
    <row r="1548" spans="33:33">
      <c r="AG1548" s="14"/>
    </row>
    <row r="1549" spans="33:33">
      <c r="AG1549" s="14"/>
    </row>
    <row r="1550" spans="33:33">
      <c r="AG1550" s="14"/>
    </row>
    <row r="1551" spans="33:33">
      <c r="AG1551" s="14"/>
    </row>
    <row r="1552" spans="33:33">
      <c r="AG1552" s="14"/>
    </row>
    <row r="1553" spans="33:33">
      <c r="AG1553" s="14"/>
    </row>
    <row r="1554" spans="33:33">
      <c r="AG1554" s="14"/>
    </row>
    <row r="1555" spans="33:33">
      <c r="AG1555" s="14"/>
    </row>
    <row r="1556" spans="33:33">
      <c r="AG1556" s="14"/>
    </row>
    <row r="1557" spans="33:33">
      <c r="AG1557" s="14"/>
    </row>
    <row r="1558" spans="33:33">
      <c r="AG1558" s="14"/>
    </row>
    <row r="1559" spans="33:33">
      <c r="AG1559" s="14"/>
    </row>
    <row r="1560" spans="33:33">
      <c r="AG1560" s="14"/>
    </row>
    <row r="1561" spans="33:33">
      <c r="AG1561" s="14"/>
    </row>
    <row r="1562" spans="33:33">
      <c r="AG1562" s="14"/>
    </row>
    <row r="1563" spans="33:33">
      <c r="AG1563" s="14"/>
    </row>
    <row r="1564" spans="33:33">
      <c r="AG1564" s="14"/>
    </row>
    <row r="1565" spans="33:33">
      <c r="AG1565" s="14"/>
    </row>
    <row r="1566" spans="33:33">
      <c r="AG1566" s="14"/>
    </row>
    <row r="1567" spans="33:33">
      <c r="AG1567" s="14"/>
    </row>
    <row r="1568" spans="33:33">
      <c r="AG1568" s="14"/>
    </row>
    <row r="1569" spans="33:33">
      <c r="AG1569" s="14"/>
    </row>
    <row r="1570" spans="33:33">
      <c r="AG1570" s="14"/>
    </row>
    <row r="1571" spans="33:33">
      <c r="AG1571" s="14"/>
    </row>
    <row r="1572" spans="33:33">
      <c r="AG1572" s="14"/>
    </row>
    <row r="1573" spans="33:33">
      <c r="AG1573" s="14"/>
    </row>
    <row r="1574" spans="33:33">
      <c r="AG1574" s="14"/>
    </row>
    <row r="1575" spans="33:33">
      <c r="AG1575" s="14"/>
    </row>
    <row r="1576" spans="33:33">
      <c r="AG1576" s="14"/>
    </row>
    <row r="1577" spans="33:33">
      <c r="AG1577" s="14"/>
    </row>
    <row r="1578" spans="33:33">
      <c r="AG1578" s="14"/>
    </row>
    <row r="1579" spans="33:33">
      <c r="AG1579" s="14"/>
    </row>
    <row r="1580" spans="33:33">
      <c r="AG1580" s="14"/>
    </row>
    <row r="1581" spans="33:33">
      <c r="AG1581" s="14"/>
    </row>
    <row r="1582" spans="33:33">
      <c r="AG1582" s="14"/>
    </row>
    <row r="1583" spans="33:33">
      <c r="AG1583" s="14"/>
    </row>
    <row r="1584" spans="33:33">
      <c r="AG1584" s="14"/>
    </row>
    <row r="1585" spans="33:33">
      <c r="AG1585" s="14"/>
    </row>
    <row r="1586" spans="33:33">
      <c r="AG1586" s="14"/>
    </row>
    <row r="1587" spans="33:33">
      <c r="AG1587" s="14"/>
    </row>
    <row r="1588" spans="33:33">
      <c r="AG1588" s="14"/>
    </row>
    <row r="1589" spans="33:33">
      <c r="AG1589" s="14"/>
    </row>
    <row r="1590" spans="33:33">
      <c r="AG1590" s="14"/>
    </row>
    <row r="1591" spans="33:33">
      <c r="AG1591" s="14"/>
    </row>
    <row r="1592" spans="33:33">
      <c r="AG1592" s="14"/>
    </row>
    <row r="1593" spans="33:33">
      <c r="AG1593" s="14"/>
    </row>
    <row r="1594" spans="33:33">
      <c r="AG1594" s="14"/>
    </row>
    <row r="1595" spans="33:33">
      <c r="AG1595" s="14"/>
    </row>
    <row r="1596" spans="33:33">
      <c r="AG1596" s="14"/>
    </row>
    <row r="1597" spans="33:33">
      <c r="AG1597" s="14"/>
    </row>
    <row r="1598" spans="33:33">
      <c r="AG1598" s="14"/>
    </row>
    <row r="1599" spans="33:33">
      <c r="AG1599" s="14"/>
    </row>
    <row r="1600" spans="33:33">
      <c r="AG1600" s="14"/>
    </row>
    <row r="1601" spans="33:33">
      <c r="AG1601" s="14"/>
    </row>
    <row r="1602" spans="33:33">
      <c r="AG1602" s="14"/>
    </row>
    <row r="1603" spans="33:33">
      <c r="AG1603" s="14"/>
    </row>
    <row r="1604" spans="33:33">
      <c r="AG1604" s="14"/>
    </row>
    <row r="1605" spans="33:33">
      <c r="AG1605" s="14"/>
    </row>
    <row r="1606" spans="33:33">
      <c r="AG1606" s="14"/>
    </row>
    <row r="1607" spans="33:33">
      <c r="AG1607" s="14"/>
    </row>
    <row r="1608" spans="33:33">
      <c r="AG1608" s="14"/>
    </row>
    <row r="1609" spans="33:33">
      <c r="AG1609" s="14"/>
    </row>
    <row r="1610" spans="33:33">
      <c r="AG1610" s="14"/>
    </row>
    <row r="1611" spans="33:33">
      <c r="AG1611" s="14"/>
    </row>
    <row r="1612" spans="33:33">
      <c r="AG1612" s="14"/>
    </row>
    <row r="1613" spans="33:33">
      <c r="AG1613" s="14"/>
    </row>
    <row r="1614" spans="33:33">
      <c r="AG1614" s="14"/>
    </row>
    <row r="1615" spans="33:33">
      <c r="AG1615" s="14"/>
    </row>
    <row r="1616" spans="33:33">
      <c r="AG1616" s="14"/>
    </row>
    <row r="1617" spans="33:33">
      <c r="AG1617" s="14"/>
    </row>
    <row r="1618" spans="33:33">
      <c r="AG1618" s="14"/>
    </row>
    <row r="1619" spans="33:33">
      <c r="AG1619" s="14"/>
    </row>
    <row r="1620" spans="33:33">
      <c r="AG1620" s="14"/>
    </row>
    <row r="1621" spans="33:33">
      <c r="AG1621" s="14"/>
    </row>
    <row r="1622" spans="33:33">
      <c r="AG1622" s="14"/>
    </row>
    <row r="1623" spans="33:33">
      <c r="AG1623" s="14"/>
    </row>
    <row r="1624" spans="33:33">
      <c r="AG1624" s="14"/>
    </row>
    <row r="1625" spans="33:33">
      <c r="AG1625" s="14"/>
    </row>
    <row r="1626" spans="33:33">
      <c r="AG1626" s="14"/>
    </row>
    <row r="1627" spans="33:33">
      <c r="AG1627" s="14"/>
    </row>
    <row r="1628" spans="33:33">
      <c r="AG1628" s="14"/>
    </row>
    <row r="1629" spans="33:33">
      <c r="AG1629" s="14"/>
    </row>
    <row r="1630" spans="33:33">
      <c r="AG1630" s="14"/>
    </row>
    <row r="1631" spans="33:33">
      <c r="AG1631" s="14"/>
    </row>
    <row r="1632" spans="33:33">
      <c r="AG1632" s="14"/>
    </row>
    <row r="1633" spans="33:33">
      <c r="AG1633" s="14"/>
    </row>
    <row r="1634" spans="33:33">
      <c r="AG1634" s="14"/>
    </row>
    <row r="1635" spans="33:33">
      <c r="AG1635" s="14"/>
    </row>
    <row r="1636" spans="33:33">
      <c r="AG1636" s="14"/>
    </row>
    <row r="1637" spans="33:33">
      <c r="AG1637" s="14"/>
    </row>
    <row r="1638" spans="33:33">
      <c r="AG1638" s="14"/>
    </row>
    <row r="1639" spans="33:33">
      <c r="AG1639" s="14"/>
    </row>
    <row r="1640" spans="33:33">
      <c r="AG1640" s="14"/>
    </row>
    <row r="1641" spans="33:33">
      <c r="AG1641" s="14"/>
    </row>
    <row r="1642" spans="33:33">
      <c r="AG1642" s="14"/>
    </row>
    <row r="1643" spans="33:33">
      <c r="AG1643" s="14"/>
    </row>
    <row r="1644" spans="33:33">
      <c r="AG1644" s="14"/>
    </row>
    <row r="1645" spans="33:33">
      <c r="AG1645" s="14"/>
    </row>
    <row r="1646" spans="33:33">
      <c r="AG1646" s="14"/>
    </row>
    <row r="1647" spans="33:33">
      <c r="AG1647" s="14"/>
    </row>
    <row r="1648" spans="33:33">
      <c r="AG1648" s="14"/>
    </row>
    <row r="1649" spans="33:33">
      <c r="AG1649" s="14"/>
    </row>
    <row r="1650" spans="33:33">
      <c r="AG1650" s="14"/>
    </row>
    <row r="1651" spans="33:33">
      <c r="AG1651" s="14"/>
    </row>
    <row r="1652" spans="33:33">
      <c r="AG1652" s="14"/>
    </row>
    <row r="1653" spans="33:33">
      <c r="AG1653" s="14"/>
    </row>
    <row r="1654" spans="33:33">
      <c r="AG1654" s="14"/>
    </row>
    <row r="1655" spans="33:33">
      <c r="AG1655" s="14"/>
    </row>
    <row r="1656" spans="33:33">
      <c r="AG1656" s="14"/>
    </row>
    <row r="1657" spans="33:33">
      <c r="AG1657" s="14"/>
    </row>
    <row r="1658" spans="33:33">
      <c r="AG1658" s="14"/>
    </row>
    <row r="1659" spans="33:33">
      <c r="AG1659" s="14"/>
    </row>
    <row r="1660" spans="33:33">
      <c r="AG1660" s="14"/>
    </row>
    <row r="1661" spans="33:33">
      <c r="AG1661" s="14"/>
    </row>
    <row r="1662" spans="33:33">
      <c r="AG1662" s="14"/>
    </row>
    <row r="1663" spans="33:33">
      <c r="AG1663" s="14"/>
    </row>
    <row r="1664" spans="33:33">
      <c r="AG1664" s="14"/>
    </row>
    <row r="1665" spans="33:33">
      <c r="AG1665" s="14"/>
    </row>
    <row r="1666" spans="33:33">
      <c r="AG1666" s="14"/>
    </row>
    <row r="1667" spans="33:33">
      <c r="AG1667" s="14"/>
    </row>
    <row r="1668" spans="33:33">
      <c r="AG1668" s="14"/>
    </row>
    <row r="1669" spans="33:33">
      <c r="AG1669" s="14"/>
    </row>
    <row r="1670" spans="33:33">
      <c r="AG1670" s="14"/>
    </row>
    <row r="1671" spans="33:33">
      <c r="AG1671" s="14"/>
    </row>
    <row r="1672" spans="33:33">
      <c r="AG1672" s="14"/>
    </row>
    <row r="1673" spans="33:33">
      <c r="AG1673" s="14"/>
    </row>
    <row r="1674" spans="33:33">
      <c r="AG1674" s="14"/>
    </row>
    <row r="1675" spans="33:33">
      <c r="AG1675" s="14"/>
    </row>
    <row r="1676" spans="33:33">
      <c r="AG1676" s="14"/>
    </row>
    <row r="1677" spans="33:33">
      <c r="AG1677" s="14"/>
    </row>
    <row r="1678" spans="33:33">
      <c r="AG1678" s="14"/>
    </row>
    <row r="1679" spans="33:33">
      <c r="AG1679" s="14"/>
    </row>
    <row r="1680" spans="33:33">
      <c r="AG1680" s="14"/>
    </row>
    <row r="1681" spans="33:33">
      <c r="AG1681" s="14"/>
    </row>
    <row r="1682" spans="33:33">
      <c r="AG1682" s="14"/>
    </row>
    <row r="1683" spans="33:33">
      <c r="AG1683" s="14"/>
    </row>
    <row r="1684" spans="33:33">
      <c r="AG1684" s="14"/>
    </row>
    <row r="1685" spans="33:33">
      <c r="AG1685" s="14"/>
    </row>
    <row r="1686" spans="33:33">
      <c r="AG1686" s="14"/>
    </row>
    <row r="1687" spans="33:33">
      <c r="AG1687" s="14"/>
    </row>
    <row r="1688" spans="33:33">
      <c r="AG1688" s="14"/>
    </row>
    <row r="1689" spans="33:33">
      <c r="AG1689" s="14"/>
    </row>
    <row r="1690" spans="33:33">
      <c r="AG1690" s="14"/>
    </row>
    <row r="1691" spans="33:33">
      <c r="AG1691" s="14"/>
    </row>
    <row r="1692" spans="33:33">
      <c r="AG1692" s="14"/>
    </row>
    <row r="1693" spans="33:33">
      <c r="AG1693" s="14"/>
    </row>
    <row r="1694" spans="33:33">
      <c r="AG1694" s="14"/>
    </row>
    <row r="1695" spans="33:33">
      <c r="AG1695" s="14"/>
    </row>
    <row r="1696" spans="33:33">
      <c r="AG1696" s="14"/>
    </row>
    <row r="1697" spans="33:33">
      <c r="AG1697" s="14"/>
    </row>
    <row r="1698" spans="33:33">
      <c r="AG1698" s="14"/>
    </row>
    <row r="1699" spans="33:33">
      <c r="AG1699" s="14"/>
    </row>
    <row r="1700" spans="33:33">
      <c r="AG1700" s="14"/>
    </row>
    <row r="1701" spans="33:33">
      <c r="AG1701" s="14"/>
    </row>
    <row r="1702" spans="33:33">
      <c r="AG1702" s="14"/>
    </row>
    <row r="1703" spans="33:33">
      <c r="AG1703" s="14"/>
    </row>
    <row r="1704" spans="33:33">
      <c r="AG1704" s="14"/>
    </row>
    <row r="1705" spans="33:33">
      <c r="AG1705" s="14"/>
    </row>
    <row r="1706" spans="33:33">
      <c r="AG1706" s="14"/>
    </row>
    <row r="1707" spans="33:33">
      <c r="AG1707" s="14"/>
    </row>
    <row r="1708" spans="33:33">
      <c r="AG1708" s="14"/>
    </row>
    <row r="1709" spans="33:33">
      <c r="AG1709" s="14"/>
    </row>
    <row r="1710" spans="33:33">
      <c r="AG1710" s="14"/>
    </row>
    <row r="1711" spans="33:33">
      <c r="AG1711" s="14"/>
    </row>
    <row r="1712" spans="33:33">
      <c r="AG1712" s="14"/>
    </row>
    <row r="1713" spans="33:33">
      <c r="AG1713" s="14"/>
    </row>
    <row r="1714" spans="33:33">
      <c r="AG1714" s="14"/>
    </row>
    <row r="1715" spans="33:33">
      <c r="AG1715" s="14"/>
    </row>
    <row r="1716" spans="33:33">
      <c r="AG1716" s="14"/>
    </row>
    <row r="1717" spans="33:33">
      <c r="AG1717" s="14"/>
    </row>
    <row r="1718" spans="33:33">
      <c r="AG1718" s="14"/>
    </row>
    <row r="1719" spans="33:33">
      <c r="AG1719" s="14"/>
    </row>
    <row r="1720" spans="33:33">
      <c r="AG1720" s="14"/>
    </row>
    <row r="1721" spans="33:33">
      <c r="AG1721" s="14"/>
    </row>
    <row r="1722" spans="33:33">
      <c r="AG1722" s="14"/>
    </row>
    <row r="1723" spans="33:33">
      <c r="AG1723" s="14"/>
    </row>
    <row r="1724" spans="33:33">
      <c r="AG1724" s="14"/>
    </row>
    <row r="1725" spans="33:33">
      <c r="AG1725" s="14"/>
    </row>
    <row r="1726" spans="33:33">
      <c r="AG1726" s="14"/>
    </row>
    <row r="1727" spans="33:33">
      <c r="AG1727" s="14"/>
    </row>
    <row r="1728" spans="33:33">
      <c r="AG1728" s="14"/>
    </row>
    <row r="1729" spans="33:33">
      <c r="AG1729" s="14"/>
    </row>
    <row r="1730" spans="33:33">
      <c r="AG1730" s="14"/>
    </row>
    <row r="1731" spans="33:33">
      <c r="AG1731" s="14"/>
    </row>
    <row r="1732" spans="33:33">
      <c r="AG1732" s="14"/>
    </row>
    <row r="1733" spans="33:33">
      <c r="AG1733" s="14"/>
    </row>
    <row r="1734" spans="33:33">
      <c r="AG1734" s="14"/>
    </row>
    <row r="1735" spans="33:33">
      <c r="AG1735" s="14"/>
    </row>
    <row r="1736" spans="33:33">
      <c r="AG1736" s="14"/>
    </row>
    <row r="1737" spans="33:33">
      <c r="AG1737" s="14"/>
    </row>
    <row r="1738" spans="33:33">
      <c r="AG1738" s="14"/>
    </row>
    <row r="1739" spans="33:33">
      <c r="AG1739" s="14"/>
    </row>
    <row r="1740" spans="33:33">
      <c r="AG1740" s="14"/>
    </row>
    <row r="1741" spans="33:33">
      <c r="AG1741" s="14"/>
    </row>
    <row r="1742" spans="33:33">
      <c r="AG1742" s="14"/>
    </row>
    <row r="1743" spans="33:33">
      <c r="AG1743" s="14"/>
    </row>
    <row r="1744" spans="33:33">
      <c r="AG1744" s="14"/>
    </row>
    <row r="1745" spans="33:33">
      <c r="AG1745" s="14"/>
    </row>
    <row r="1746" spans="33:33">
      <c r="AG1746" s="14"/>
    </row>
    <row r="1747" spans="33:33">
      <c r="AG1747" s="14"/>
    </row>
    <row r="1748" spans="33:33">
      <c r="AG1748" s="14"/>
    </row>
    <row r="1749" spans="33:33">
      <c r="AG1749" s="14"/>
    </row>
    <row r="1750" spans="33:33">
      <c r="AG1750" s="14"/>
    </row>
    <row r="1751" spans="33:33">
      <c r="AG1751" s="14"/>
    </row>
    <row r="1752" spans="33:33">
      <c r="AG1752" s="14"/>
    </row>
    <row r="1753" spans="33:33">
      <c r="AG1753" s="14"/>
    </row>
    <row r="1754" spans="33:33">
      <c r="AG1754" s="14"/>
    </row>
    <row r="1755" spans="33:33">
      <c r="AG1755" s="14"/>
    </row>
    <row r="1756" spans="33:33">
      <c r="AG1756" s="14"/>
    </row>
    <row r="1757" spans="33:33">
      <c r="AG1757" s="14"/>
    </row>
    <row r="1758" spans="33:33">
      <c r="AG1758" s="14"/>
    </row>
    <row r="1759" spans="33:33">
      <c r="AG1759" s="14"/>
    </row>
    <row r="1760" spans="33:33">
      <c r="AG1760" s="14"/>
    </row>
    <row r="1761" spans="33:33">
      <c r="AG1761" s="14"/>
    </row>
    <row r="1762" spans="33:33">
      <c r="AG1762" s="14"/>
    </row>
    <row r="1763" spans="33:33">
      <c r="AG1763" s="14"/>
    </row>
    <row r="1764" spans="33:33">
      <c r="AG1764" s="14"/>
    </row>
    <row r="1765" spans="33:33">
      <c r="AG1765" s="14"/>
    </row>
    <row r="1766" spans="33:33">
      <c r="AG1766" s="14"/>
    </row>
    <row r="1767" spans="33:33">
      <c r="AG1767" s="14"/>
    </row>
    <row r="1768" spans="33:33">
      <c r="AG1768" s="14"/>
    </row>
    <row r="1769" spans="33:33">
      <c r="AG1769" s="14"/>
    </row>
    <row r="1770" spans="33:33">
      <c r="AG1770" s="14"/>
    </row>
    <row r="1771" spans="33:33">
      <c r="AG1771" s="14"/>
    </row>
    <row r="1772" spans="33:33">
      <c r="AG1772" s="14"/>
    </row>
    <row r="1773" spans="33:33">
      <c r="AG1773" s="14"/>
    </row>
    <row r="1774" spans="33:33">
      <c r="AG1774" s="14"/>
    </row>
    <row r="1775" spans="33:33">
      <c r="AG1775" s="14"/>
    </row>
    <row r="1776" spans="33:33">
      <c r="AG1776" s="14"/>
    </row>
    <row r="1777" spans="33:33">
      <c r="AG1777" s="14"/>
    </row>
    <row r="1778" spans="33:33">
      <c r="AG1778" s="14"/>
    </row>
    <row r="1779" spans="33:33">
      <c r="AG1779" s="14"/>
    </row>
    <row r="1780" spans="33:33">
      <c r="AG1780" s="14"/>
    </row>
    <row r="1781" spans="33:33">
      <c r="AG1781" s="14"/>
    </row>
    <row r="1782" spans="33:33">
      <c r="AG1782" s="14"/>
    </row>
    <row r="1783" spans="33:33">
      <c r="AG1783" s="14"/>
    </row>
    <row r="1784" spans="33:33">
      <c r="AG1784" s="14"/>
    </row>
    <row r="1785" spans="33:33">
      <c r="AG1785" s="14"/>
    </row>
    <row r="1786" spans="33:33">
      <c r="AG1786" s="14"/>
    </row>
    <row r="1787" spans="33:33">
      <c r="AG1787" s="14"/>
    </row>
    <row r="1788" spans="33:33">
      <c r="AG1788" s="14"/>
    </row>
    <row r="1789" spans="33:33">
      <c r="AG1789" s="14"/>
    </row>
    <row r="1790" spans="33:33">
      <c r="AG1790" s="14"/>
    </row>
    <row r="1791" spans="33:33">
      <c r="AG1791" s="14"/>
    </row>
    <row r="1792" spans="33:33">
      <c r="AG1792" s="14"/>
    </row>
    <row r="1793" spans="33:33">
      <c r="AG1793" s="14"/>
    </row>
    <row r="1794" spans="33:33">
      <c r="AG1794" s="14"/>
    </row>
    <row r="1795" spans="33:33">
      <c r="AG1795" s="14"/>
    </row>
    <row r="1796" spans="33:33">
      <c r="AG1796" s="14"/>
    </row>
    <row r="1797" spans="33:33">
      <c r="AG1797" s="14"/>
    </row>
    <row r="1798" spans="33:33">
      <c r="AG1798" s="14"/>
    </row>
    <row r="1799" spans="33:33">
      <c r="AG1799" s="14"/>
    </row>
    <row r="1800" spans="33:33">
      <c r="AG1800" s="14"/>
    </row>
    <row r="1801" spans="33:33">
      <c r="AG1801" s="14"/>
    </row>
    <row r="1802" spans="33:33">
      <c r="AG1802" s="14"/>
    </row>
    <row r="1803" spans="33:33">
      <c r="AG1803" s="14"/>
    </row>
    <row r="1804" spans="33:33">
      <c r="AG1804" s="14"/>
    </row>
    <row r="1805" spans="33:33">
      <c r="AG1805" s="14"/>
    </row>
    <row r="1806" spans="33:33">
      <c r="AG1806" s="14"/>
    </row>
    <row r="1807" spans="33:33">
      <c r="AG1807" s="14"/>
    </row>
    <row r="1808" spans="33:33">
      <c r="AG1808" s="14"/>
    </row>
    <row r="1809" spans="33:33">
      <c r="AG1809" s="14"/>
    </row>
    <row r="1810" spans="33:33">
      <c r="AG1810" s="14"/>
    </row>
    <row r="1811" spans="33:33">
      <c r="AG1811" s="14"/>
    </row>
    <row r="1812" spans="33:33">
      <c r="AG1812" s="14"/>
    </row>
    <row r="1813" spans="33:33">
      <c r="AG1813" s="14"/>
    </row>
    <row r="1814" spans="33:33">
      <c r="AG1814" s="14"/>
    </row>
    <row r="1815" spans="33:33">
      <c r="AG1815" s="14"/>
    </row>
    <row r="1816" spans="33:33">
      <c r="AG1816" s="14"/>
    </row>
    <row r="1817" spans="33:33">
      <c r="AG1817" s="14"/>
    </row>
    <row r="1818" spans="33:33">
      <c r="AG1818" s="14"/>
    </row>
    <row r="1819" spans="33:33">
      <c r="AG1819" s="14"/>
    </row>
    <row r="1820" spans="33:33">
      <c r="AG1820" s="14"/>
    </row>
    <row r="1821" spans="33:33">
      <c r="AG1821" s="14"/>
    </row>
    <row r="1822" spans="33:33">
      <c r="AG1822" s="14"/>
    </row>
    <row r="1823" spans="33:33">
      <c r="AG1823" s="14"/>
    </row>
    <row r="1824" spans="33:33">
      <c r="AG1824" s="14"/>
    </row>
    <row r="1825" spans="33:33">
      <c r="AG1825" s="14"/>
    </row>
    <row r="1826" spans="33:33">
      <c r="AG1826" s="14"/>
    </row>
    <row r="1827" spans="33:33">
      <c r="AG1827" s="14"/>
    </row>
    <row r="1828" spans="33:33">
      <c r="AG1828" s="14"/>
    </row>
    <row r="1829" spans="33:33">
      <c r="AG1829" s="14"/>
    </row>
    <row r="1830" spans="33:33">
      <c r="AG1830" s="14"/>
    </row>
    <row r="1831" spans="33:33">
      <c r="AG1831" s="14"/>
    </row>
    <row r="1832" spans="33:33">
      <c r="AG1832" s="14"/>
    </row>
    <row r="1833" spans="33:33">
      <c r="AG1833" s="14"/>
    </row>
    <row r="1834" spans="33:33">
      <c r="AG1834" s="14"/>
    </row>
    <row r="1835" spans="33:33">
      <c r="AG1835" s="14"/>
    </row>
    <row r="1836" spans="33:33">
      <c r="AG1836" s="14"/>
    </row>
    <row r="1837" spans="33:33">
      <c r="AG1837" s="14"/>
    </row>
    <row r="1838" spans="33:33">
      <c r="AG1838" s="14"/>
    </row>
    <row r="1839" spans="33:33">
      <c r="AG1839" s="14"/>
    </row>
    <row r="1840" spans="33:33">
      <c r="AG1840" s="14"/>
    </row>
    <row r="1841" spans="33:33">
      <c r="AG1841" s="14"/>
    </row>
    <row r="1842" spans="33:33">
      <c r="AG1842" s="14"/>
    </row>
    <row r="1843" spans="33:33">
      <c r="AG1843" s="14"/>
    </row>
    <row r="1844" spans="33:33">
      <c r="AG1844" s="14"/>
    </row>
    <row r="1845" spans="33:33">
      <c r="AG1845" s="14"/>
    </row>
    <row r="1846" spans="33:33">
      <c r="AG1846" s="14"/>
    </row>
    <row r="1847" spans="33:33">
      <c r="AG1847" s="14"/>
    </row>
    <row r="1848" spans="33:33">
      <c r="AG1848" s="14"/>
    </row>
    <row r="1849" spans="33:33">
      <c r="AG1849" s="14"/>
    </row>
    <row r="1850" spans="33:33">
      <c r="AG1850" s="14"/>
    </row>
    <row r="1851" spans="33:33">
      <c r="AG1851" s="14"/>
    </row>
    <row r="1852" spans="33:33">
      <c r="AG1852" s="14"/>
    </row>
    <row r="1853" spans="33:33">
      <c r="AG1853" s="14"/>
    </row>
    <row r="1854" spans="33:33">
      <c r="AG1854" s="14"/>
    </row>
    <row r="1855" spans="33:33">
      <c r="AG1855" s="14"/>
    </row>
    <row r="1856" spans="33:33">
      <c r="AG1856" s="14"/>
    </row>
    <row r="1857" spans="33:33">
      <c r="AG1857" s="14"/>
    </row>
    <row r="1858" spans="33:33">
      <c r="AG1858" s="14"/>
    </row>
    <row r="1859" spans="33:33">
      <c r="AG1859" s="14"/>
    </row>
    <row r="1860" spans="33:33">
      <c r="AG1860" s="14"/>
    </row>
    <row r="1861" spans="33:33">
      <c r="AG1861" s="14"/>
    </row>
    <row r="1862" spans="33:33">
      <c r="AG1862" s="14"/>
    </row>
    <row r="1863" spans="33:33">
      <c r="AG1863" s="14"/>
    </row>
    <row r="1864" spans="33:33">
      <c r="AG1864" s="14"/>
    </row>
    <row r="1865" spans="33:33">
      <c r="AG1865" s="14"/>
    </row>
    <row r="1866" spans="33:33">
      <c r="AG1866" s="14"/>
    </row>
    <row r="1867" spans="31:33">
      <c r="AE1867" s="24"/>
      <c r="AG1867" s="14"/>
    </row>
    <row r="1868" spans="31:33">
      <c r="AE1868" s="24"/>
      <c r="AG1868" s="14"/>
    </row>
    <row r="1869" spans="33:33">
      <c r="AG1869" s="14"/>
    </row>
    <row r="1870" spans="33:33">
      <c r="AG1870" s="14"/>
    </row>
    <row r="1871" spans="33:33">
      <c r="AG1871" s="14"/>
    </row>
    <row r="1872" spans="33:33">
      <c r="AG1872" s="14"/>
    </row>
    <row r="1873" spans="33:33">
      <c r="AG1873" s="14"/>
    </row>
    <row r="1874" spans="33:33">
      <c r="AG1874" s="14"/>
    </row>
    <row r="1875" spans="33:33">
      <c r="AG1875" s="14"/>
    </row>
    <row r="1876" spans="33:33">
      <c r="AG1876" s="14"/>
    </row>
    <row r="1877" spans="33:33">
      <c r="AG1877" s="14"/>
    </row>
    <row r="1878" spans="33:33">
      <c r="AG1878" s="14"/>
    </row>
    <row r="1879" spans="33:33">
      <c r="AG1879" s="14"/>
    </row>
    <row r="1880" spans="33:33">
      <c r="AG1880" s="14"/>
    </row>
    <row r="1881" spans="33:33">
      <c r="AG1881" s="14"/>
    </row>
    <row r="1882" spans="33:33">
      <c r="AG1882" s="14"/>
    </row>
    <row r="1883" spans="33:33">
      <c r="AG1883" s="14"/>
    </row>
    <row r="1884" spans="33:33">
      <c r="AG1884" s="14"/>
    </row>
    <row r="1885" spans="33:33">
      <c r="AG1885" s="14"/>
    </row>
    <row r="1886" spans="33:33">
      <c r="AG1886" s="14"/>
    </row>
    <row r="1887" spans="33:33">
      <c r="AG1887" s="14"/>
    </row>
    <row r="1888" spans="33:33">
      <c r="AG1888" s="14"/>
    </row>
    <row r="1889" spans="33:33">
      <c r="AG1889" s="14"/>
    </row>
    <row r="1890" spans="33:33">
      <c r="AG1890" s="14"/>
    </row>
    <row r="1891" spans="33:33">
      <c r="AG1891" s="14"/>
    </row>
    <row r="1892" spans="33:33">
      <c r="AG1892" s="14"/>
    </row>
    <row r="1893" spans="33:33">
      <c r="AG1893" s="14"/>
    </row>
    <row r="1894" spans="33:33">
      <c r="AG1894" s="14"/>
    </row>
    <row r="1895" spans="33:33">
      <c r="AG1895" s="14"/>
    </row>
    <row r="1896" spans="33:33">
      <c r="AG1896" s="14"/>
    </row>
    <row r="1897" spans="33:33">
      <c r="AG1897" s="14"/>
    </row>
    <row r="1898" spans="33:33">
      <c r="AG1898" s="14"/>
    </row>
    <row r="1899" spans="33:33">
      <c r="AG1899" s="14"/>
    </row>
    <row r="1900" spans="33:33">
      <c r="AG1900" s="14"/>
    </row>
    <row r="1901" spans="33:33">
      <c r="AG1901" s="14"/>
    </row>
    <row r="1902" spans="33:33">
      <c r="AG1902" s="14"/>
    </row>
    <row r="1903" spans="33:33">
      <c r="AG1903" s="14"/>
    </row>
    <row r="1904" spans="33:33">
      <c r="AG1904" s="14"/>
    </row>
    <row r="1905" spans="33:33">
      <c r="AG1905" s="14"/>
    </row>
    <row r="1906" spans="33:33">
      <c r="AG1906" s="14"/>
    </row>
    <row r="1907" spans="33:33">
      <c r="AG1907" s="14"/>
    </row>
    <row r="1908" spans="33:33">
      <c r="AG1908" s="14"/>
    </row>
    <row r="1909" spans="33:33">
      <c r="AG1909" s="14"/>
    </row>
    <row r="1910" spans="33:33">
      <c r="AG1910" s="14"/>
    </row>
    <row r="1911" spans="33:33">
      <c r="AG1911" s="14"/>
    </row>
    <row r="1912" spans="33:33">
      <c r="AG1912" s="14"/>
    </row>
    <row r="1913" spans="33:33">
      <c r="AG1913" s="14"/>
    </row>
    <row r="1914" spans="33:33">
      <c r="AG1914" s="14"/>
    </row>
    <row r="1915" spans="33:33">
      <c r="AG1915" s="14"/>
    </row>
    <row r="1916" spans="33:33">
      <c r="AG1916" s="14"/>
    </row>
    <row r="1917" spans="33:33">
      <c r="AG1917" s="14"/>
    </row>
    <row r="1918" spans="33:33">
      <c r="AG1918" s="14"/>
    </row>
    <row r="1919" spans="33:33">
      <c r="AG1919" s="14"/>
    </row>
    <row r="1920" spans="33:33">
      <c r="AG1920" s="14"/>
    </row>
    <row r="1921" spans="33:33">
      <c r="AG1921" s="14"/>
    </row>
    <row r="1922" spans="33:33">
      <c r="AG1922" s="14"/>
    </row>
    <row r="1923" spans="33:33">
      <c r="AG1923" s="14"/>
    </row>
    <row r="1924" spans="33:33">
      <c r="AG1924" s="14"/>
    </row>
    <row r="1925" spans="33:33">
      <c r="AG1925" s="14"/>
    </row>
    <row r="1926" spans="33:33">
      <c r="AG1926" s="14"/>
    </row>
    <row r="1927" spans="33:33">
      <c r="AG1927" s="14"/>
    </row>
    <row r="1928" spans="33:33">
      <c r="AG1928" s="14"/>
    </row>
    <row r="1929" spans="33:33">
      <c r="AG1929" s="14"/>
    </row>
    <row r="1930" spans="33:33">
      <c r="AG1930" s="14"/>
    </row>
    <row r="1931" spans="33:33">
      <c r="AG1931" s="14"/>
    </row>
    <row r="1932" spans="33:33">
      <c r="AG1932" s="14"/>
    </row>
    <row r="1933" spans="33:33">
      <c r="AG1933" s="14"/>
    </row>
    <row r="1934" spans="33:33">
      <c r="AG1934" s="14"/>
    </row>
    <row r="1935" spans="33:33">
      <c r="AG1935" s="14"/>
    </row>
    <row r="1936" spans="33:33">
      <c r="AG1936" s="14"/>
    </row>
    <row r="1937" spans="33:33">
      <c r="AG1937" s="14"/>
    </row>
    <row r="1938" spans="33:33">
      <c r="AG1938" s="14"/>
    </row>
    <row r="1939" spans="33:33">
      <c r="AG1939" s="14"/>
    </row>
    <row r="1940" spans="33:33">
      <c r="AG1940" s="14"/>
    </row>
    <row r="1941" spans="33:33">
      <c r="AG1941" s="14"/>
    </row>
    <row r="1942" spans="33:33">
      <c r="AG1942" s="14"/>
    </row>
    <row r="1943" spans="33:33">
      <c r="AG1943" s="14"/>
    </row>
    <row r="1944" spans="33:33">
      <c r="AG1944" s="14"/>
    </row>
    <row r="1945" spans="33:33">
      <c r="AG1945" s="14"/>
    </row>
    <row r="1946" spans="33:33">
      <c r="AG1946" s="14"/>
    </row>
    <row r="1947" spans="33:33">
      <c r="AG1947" s="14"/>
    </row>
    <row r="1948" spans="33:33">
      <c r="AG1948" s="14"/>
    </row>
    <row r="1949" spans="33:33">
      <c r="AG1949" s="14"/>
    </row>
    <row r="1950" spans="33:33">
      <c r="AG1950" s="14"/>
    </row>
    <row r="1951" spans="33:33">
      <c r="AG1951" s="14"/>
    </row>
    <row r="1952" spans="33:33">
      <c r="AG1952" s="14"/>
    </row>
    <row r="1953" spans="33:33">
      <c r="AG1953" s="14"/>
    </row>
    <row r="1954" spans="33:33">
      <c r="AG1954" s="14"/>
    </row>
    <row r="1955" spans="33:33">
      <c r="AG1955" s="14"/>
    </row>
    <row r="1956" spans="33:33">
      <c r="AG1956" s="14"/>
    </row>
    <row r="1957" spans="33:33">
      <c r="AG1957" s="14"/>
    </row>
    <row r="1958" spans="33:33">
      <c r="AG1958" s="14"/>
    </row>
    <row r="1959" spans="33:33">
      <c r="AG1959" s="14"/>
    </row>
    <row r="1960" spans="33:33">
      <c r="AG1960" s="14"/>
    </row>
    <row r="1961" spans="33:33">
      <c r="AG1961" s="14"/>
    </row>
    <row r="1962" spans="33:33">
      <c r="AG1962" s="14"/>
    </row>
    <row r="1963" spans="33:33">
      <c r="AG1963" s="14"/>
    </row>
    <row r="1964" spans="33:33">
      <c r="AG1964" s="14"/>
    </row>
    <row r="1965" spans="33:33">
      <c r="AG1965" s="14"/>
    </row>
    <row r="1966" spans="33:33">
      <c r="AG1966" s="14"/>
    </row>
    <row r="1967" spans="33:33">
      <c r="AG1967" s="14"/>
    </row>
    <row r="1968" spans="33:33">
      <c r="AG1968" s="14"/>
    </row>
    <row r="1969" spans="33:33">
      <c r="AG1969" s="14"/>
    </row>
    <row r="1970" spans="33:33">
      <c r="AG1970" s="14"/>
    </row>
    <row r="1971" spans="33:33">
      <c r="AG1971" s="14"/>
    </row>
    <row r="1972" spans="33:33">
      <c r="AG1972" s="14"/>
    </row>
    <row r="1973" spans="33:33">
      <c r="AG1973" s="14"/>
    </row>
    <row r="1974" spans="33:33">
      <c r="AG1974" s="14"/>
    </row>
    <row r="1975" spans="33:33">
      <c r="AG1975" s="14"/>
    </row>
    <row r="1976" spans="33:33">
      <c r="AG1976" s="14"/>
    </row>
    <row r="1977" spans="33:33">
      <c r="AG1977" s="14"/>
    </row>
    <row r="1978" spans="33:33">
      <c r="AG1978" s="14"/>
    </row>
    <row r="1979" spans="33:33">
      <c r="AG1979" s="14"/>
    </row>
    <row r="1980" spans="33:33">
      <c r="AG1980" s="14"/>
    </row>
    <row r="1981" spans="33:33">
      <c r="AG1981" s="14"/>
    </row>
    <row r="1982" spans="33:33">
      <c r="AG1982" s="14"/>
    </row>
    <row r="1983" spans="33:33">
      <c r="AG1983" s="14"/>
    </row>
    <row r="1984" spans="33:33">
      <c r="AG1984" s="14"/>
    </row>
    <row r="1985" spans="33:33">
      <c r="AG1985" s="14"/>
    </row>
    <row r="1986" spans="33:33">
      <c r="AG1986" s="14"/>
    </row>
    <row r="1987" spans="33:33">
      <c r="AG1987" s="14"/>
    </row>
    <row r="1988" spans="33:33">
      <c r="AG1988" s="14"/>
    </row>
    <row r="1989" spans="33:33">
      <c r="AG1989" s="14"/>
    </row>
    <row r="1990" spans="33:33">
      <c r="AG1990" s="14"/>
    </row>
    <row r="1991" spans="33:33">
      <c r="AG1991" s="14"/>
    </row>
    <row r="1992" spans="33:33">
      <c r="AG1992" s="14"/>
    </row>
    <row r="1993" spans="33:33">
      <c r="AG1993" s="14"/>
    </row>
    <row r="1994" spans="33:33">
      <c r="AG1994" s="14"/>
    </row>
    <row r="1995" spans="33:33">
      <c r="AG1995" s="14"/>
    </row>
    <row r="1996" spans="33:33">
      <c r="AG1996" s="14"/>
    </row>
    <row r="1997" spans="33:33">
      <c r="AG1997" s="14"/>
    </row>
    <row r="1998" spans="33:33">
      <c r="AG1998" s="14"/>
    </row>
    <row r="1999" spans="33:33">
      <c r="AG1999" s="14"/>
    </row>
    <row r="2000" spans="33:33">
      <c r="AG2000" s="14"/>
    </row>
    <row r="2001" spans="33:33">
      <c r="AG2001" s="14"/>
    </row>
    <row r="2002" spans="33:33">
      <c r="AG2002" s="14"/>
    </row>
    <row r="2003" spans="33:33">
      <c r="AG2003" s="14"/>
    </row>
    <row r="2004" spans="33:33">
      <c r="AG2004" s="14"/>
    </row>
    <row r="2005" spans="33:33">
      <c r="AG2005" s="14"/>
    </row>
    <row r="2006" spans="33:33">
      <c r="AG2006" s="14"/>
    </row>
    <row r="2007" spans="33:33">
      <c r="AG2007" s="14"/>
    </row>
    <row r="2008" spans="33:33">
      <c r="AG2008" s="14"/>
    </row>
    <row r="2009" spans="33:33">
      <c r="AG2009" s="14"/>
    </row>
    <row r="2010" spans="33:33">
      <c r="AG2010" s="14"/>
    </row>
    <row r="2011" spans="33:33">
      <c r="AG2011" s="14"/>
    </row>
    <row r="2012" spans="33:33">
      <c r="AG2012" s="14"/>
    </row>
    <row r="2013" spans="33:33">
      <c r="AG2013" s="14"/>
    </row>
    <row r="2014" spans="33:33">
      <c r="AG2014" s="14"/>
    </row>
    <row r="2015" spans="33:33">
      <c r="AG2015" s="14"/>
    </row>
    <row r="2016" spans="33:33">
      <c r="AG2016" s="14"/>
    </row>
    <row r="2017" spans="33:33">
      <c r="AG2017" s="14"/>
    </row>
    <row r="2018" spans="33:33">
      <c r="AG2018" s="14"/>
    </row>
    <row r="2019" spans="33:33">
      <c r="AG2019" s="14"/>
    </row>
    <row r="2020" spans="33:33">
      <c r="AG2020" s="14"/>
    </row>
    <row r="2021" spans="33:33">
      <c r="AG2021" s="14"/>
    </row>
    <row r="2022" spans="33:33">
      <c r="AG2022" s="14"/>
    </row>
    <row r="2023" spans="33:33">
      <c r="AG2023" s="14"/>
    </row>
    <row r="2024" spans="33:33">
      <c r="AG2024" s="14"/>
    </row>
    <row r="2025" spans="33:33">
      <c r="AG2025" s="14"/>
    </row>
    <row r="2026" spans="33:33">
      <c r="AG2026" s="14"/>
    </row>
    <row r="2027" spans="33:33">
      <c r="AG2027" s="14"/>
    </row>
    <row r="2028" spans="33:33">
      <c r="AG2028" s="14"/>
    </row>
    <row r="2029" spans="33:33">
      <c r="AG2029" s="14"/>
    </row>
    <row r="2030" spans="33:33">
      <c r="AG2030" s="14"/>
    </row>
    <row r="2031" spans="33:33">
      <c r="AG2031" s="14"/>
    </row>
    <row r="2032" spans="33:33">
      <c r="AG2032" s="14"/>
    </row>
    <row r="2033" spans="33:33">
      <c r="AG2033" s="14"/>
    </row>
    <row r="2034" spans="33:33">
      <c r="AG2034" s="14"/>
    </row>
    <row r="2035" spans="33:33">
      <c r="AG2035" s="14"/>
    </row>
    <row r="2036" spans="33:33">
      <c r="AG2036" s="14"/>
    </row>
    <row r="2037" spans="33:33">
      <c r="AG2037" s="14"/>
    </row>
    <row r="2038" spans="33:33">
      <c r="AG2038" s="14"/>
    </row>
    <row r="2039" spans="33:33">
      <c r="AG2039" s="14"/>
    </row>
    <row r="2040" spans="33:33">
      <c r="AG2040" s="14"/>
    </row>
    <row r="2041" spans="33:33">
      <c r="AG2041" s="14"/>
    </row>
    <row r="2042" spans="33:33">
      <c r="AG2042" s="14"/>
    </row>
    <row r="2043" spans="33:33">
      <c r="AG2043" s="14"/>
    </row>
    <row r="2044" spans="33:33">
      <c r="AG2044" s="14"/>
    </row>
    <row r="2045" spans="33:33">
      <c r="AG2045" s="14"/>
    </row>
    <row r="2046" spans="33:33">
      <c r="AG2046" s="14"/>
    </row>
    <row r="2047" spans="33:33">
      <c r="AG2047" s="14"/>
    </row>
    <row r="2048" spans="33:33">
      <c r="AG2048" s="14"/>
    </row>
    <row r="2049" spans="33:33">
      <c r="AG2049" s="14"/>
    </row>
    <row r="2050" spans="33:33">
      <c r="AG2050" s="14"/>
    </row>
    <row r="2051" spans="33:33">
      <c r="AG2051" s="14"/>
    </row>
    <row r="2052" spans="33:33">
      <c r="AG2052" s="14"/>
    </row>
    <row r="2053" spans="33:33">
      <c r="AG2053" s="14"/>
    </row>
    <row r="2054" spans="33:33">
      <c r="AG2054" s="14"/>
    </row>
    <row r="2055" spans="33:33">
      <c r="AG2055" s="14"/>
    </row>
    <row r="2056" spans="33:33">
      <c r="AG2056" s="14"/>
    </row>
    <row r="2057" spans="33:33">
      <c r="AG2057" s="14"/>
    </row>
    <row r="2058" spans="33:33">
      <c r="AG2058" s="14"/>
    </row>
    <row r="2059" spans="33:33">
      <c r="AG2059" s="14"/>
    </row>
    <row r="2060" spans="33:33">
      <c r="AG2060" s="14"/>
    </row>
    <row r="2061" spans="33:33">
      <c r="AG2061" s="14"/>
    </row>
    <row r="2062" spans="33:33">
      <c r="AG2062" s="14"/>
    </row>
    <row r="2063" spans="33:33">
      <c r="AG2063" s="14"/>
    </row>
    <row r="2064" spans="33:33">
      <c r="AG2064" s="14"/>
    </row>
    <row r="2065" spans="33:33">
      <c r="AG2065" s="14"/>
    </row>
    <row r="2066" spans="33:33">
      <c r="AG2066" s="14"/>
    </row>
    <row r="2067" spans="33:33">
      <c r="AG2067" s="14"/>
    </row>
    <row r="2068" spans="33:33">
      <c r="AG2068" s="14"/>
    </row>
    <row r="2069" spans="33:33">
      <c r="AG2069" s="14"/>
    </row>
    <row r="2070" spans="33:33">
      <c r="AG2070" s="14"/>
    </row>
    <row r="2071" spans="33:33">
      <c r="AG2071" s="14"/>
    </row>
    <row r="2072" spans="33:33">
      <c r="AG2072" s="14"/>
    </row>
    <row r="2073" spans="33:33">
      <c r="AG2073" s="14"/>
    </row>
    <row r="2074" spans="33:33">
      <c r="AG2074" s="14"/>
    </row>
    <row r="2075" spans="33:33">
      <c r="AG2075" s="14"/>
    </row>
    <row r="2076" spans="33:33">
      <c r="AG2076" s="14"/>
    </row>
    <row r="2077" spans="33:33">
      <c r="AG2077" s="14"/>
    </row>
    <row r="2078" spans="33:33">
      <c r="AG2078" s="14"/>
    </row>
    <row r="2079" spans="33:33">
      <c r="AG2079" s="14"/>
    </row>
    <row r="2080" spans="33:33">
      <c r="AG2080" s="14"/>
    </row>
    <row r="2081" spans="33:33">
      <c r="AG2081" s="14"/>
    </row>
    <row r="2082" spans="33:33">
      <c r="AG2082" s="14"/>
    </row>
    <row r="2083" spans="33:33">
      <c r="AG2083" s="14"/>
    </row>
    <row r="2084" spans="33:33">
      <c r="AG2084" s="14"/>
    </row>
    <row r="2085" spans="33:33">
      <c r="AG2085" s="14"/>
    </row>
    <row r="2086" spans="33:33">
      <c r="AG2086" s="14"/>
    </row>
    <row r="2087" spans="33:33">
      <c r="AG2087" s="14"/>
    </row>
    <row r="2088" spans="33:33">
      <c r="AG2088" s="14"/>
    </row>
    <row r="2089" spans="33:33">
      <c r="AG2089" s="14"/>
    </row>
    <row r="2090" spans="33:33">
      <c r="AG2090" s="14"/>
    </row>
    <row r="2091" spans="33:33">
      <c r="AG2091" s="14"/>
    </row>
    <row r="2092" spans="33:33">
      <c r="AG2092" s="14"/>
    </row>
    <row r="2093" spans="33:33">
      <c r="AG2093" s="14"/>
    </row>
    <row r="2094" spans="33:33">
      <c r="AG2094" s="14"/>
    </row>
    <row r="2095" spans="33:33">
      <c r="AG2095" s="14"/>
    </row>
    <row r="2096" spans="33:33">
      <c r="AG2096" s="14"/>
    </row>
    <row r="2097" spans="33:33">
      <c r="AG2097" s="14"/>
    </row>
    <row r="2098" spans="33:33">
      <c r="AG2098" s="14"/>
    </row>
    <row r="2099" spans="33:33">
      <c r="AG2099" s="14"/>
    </row>
    <row r="2100" spans="33:33">
      <c r="AG2100" s="14"/>
    </row>
    <row r="2101" spans="33:33">
      <c r="AG2101" s="14"/>
    </row>
    <row r="2102" spans="33:33">
      <c r="AG2102" s="14"/>
    </row>
    <row r="2103" spans="33:33">
      <c r="AG2103" s="14"/>
    </row>
    <row r="2104" spans="33:33">
      <c r="AG2104" s="14"/>
    </row>
    <row r="2105" spans="33:33">
      <c r="AG2105" s="14"/>
    </row>
    <row r="2106" spans="33:33">
      <c r="AG2106" s="14"/>
    </row>
    <row r="2107" spans="33:33">
      <c r="AG2107" s="14"/>
    </row>
    <row r="2108" spans="33:33">
      <c r="AG2108" s="14"/>
    </row>
    <row r="2109" spans="33:33">
      <c r="AG2109" s="14"/>
    </row>
    <row r="2110" spans="33:33">
      <c r="AG2110" s="14"/>
    </row>
    <row r="2111" spans="33:33">
      <c r="AG2111" s="14"/>
    </row>
    <row r="2112" spans="33:33">
      <c r="AG2112" s="14"/>
    </row>
    <row r="2113" spans="33:33">
      <c r="AG2113" s="14"/>
    </row>
    <row r="2114" spans="33:33">
      <c r="AG2114" s="14"/>
    </row>
    <row r="2115" spans="33:33">
      <c r="AG2115" s="14"/>
    </row>
    <row r="2116" spans="33:33">
      <c r="AG2116" s="14"/>
    </row>
    <row r="2117" spans="33:33">
      <c r="AG2117" s="14"/>
    </row>
    <row r="2118" spans="33:33">
      <c r="AG2118" s="14"/>
    </row>
    <row r="2119" spans="33:33">
      <c r="AG2119" s="14"/>
    </row>
    <row r="2120" spans="33:33">
      <c r="AG2120" s="14"/>
    </row>
    <row r="2121" spans="33:33">
      <c r="AG2121" s="14"/>
    </row>
    <row r="2122" spans="33:33">
      <c r="AG2122" s="14"/>
    </row>
    <row r="2123" spans="33:33">
      <c r="AG2123" s="14"/>
    </row>
    <row r="2124" spans="33:33">
      <c r="AG2124" s="14"/>
    </row>
    <row r="2125" spans="33:33">
      <c r="AG2125" s="14"/>
    </row>
    <row r="2126" spans="33:33">
      <c r="AG2126" s="14"/>
    </row>
    <row r="2127" spans="33:33">
      <c r="AG2127" s="14"/>
    </row>
    <row r="2128" spans="33:33">
      <c r="AG2128" s="14"/>
    </row>
    <row r="2129" spans="33:33">
      <c r="AG2129" s="14"/>
    </row>
    <row r="2130" spans="33:33">
      <c r="AG2130" s="14"/>
    </row>
    <row r="2131" spans="33:33">
      <c r="AG2131" s="14"/>
    </row>
    <row r="2132" spans="33:33">
      <c r="AG2132" s="14"/>
    </row>
    <row r="2133" spans="33:33">
      <c r="AG2133" s="14"/>
    </row>
    <row r="2134" spans="33:33">
      <c r="AG2134" s="14"/>
    </row>
    <row r="2135" spans="33:33">
      <c r="AG2135" s="14"/>
    </row>
    <row r="2136" spans="33:33">
      <c r="AG2136" s="14"/>
    </row>
    <row r="2137" spans="33:33">
      <c r="AG2137" s="14"/>
    </row>
    <row r="2138" spans="33:33">
      <c r="AG2138" s="14"/>
    </row>
    <row r="2139" spans="33:33">
      <c r="AG2139" s="14"/>
    </row>
    <row r="2140" spans="33:33">
      <c r="AG2140" s="14"/>
    </row>
    <row r="2141" spans="33:33">
      <c r="AG2141" s="14"/>
    </row>
    <row r="2142" spans="33:33">
      <c r="AG2142" s="14"/>
    </row>
    <row r="2143" spans="33:33">
      <c r="AG2143" s="14"/>
    </row>
    <row r="2144" spans="33:33">
      <c r="AG2144" s="14"/>
    </row>
    <row r="2145" spans="33:33">
      <c r="AG2145" s="14"/>
    </row>
    <row r="2146" spans="33:33">
      <c r="AG2146" s="14"/>
    </row>
    <row r="2147" spans="33:33">
      <c r="AG2147" s="14"/>
    </row>
    <row r="2148" spans="33:33">
      <c r="AG2148" s="14"/>
    </row>
    <row r="2149" spans="33:33">
      <c r="AG2149" s="14"/>
    </row>
    <row r="2150" spans="33:33">
      <c r="AG2150" s="14"/>
    </row>
    <row r="2151" spans="33:33">
      <c r="AG2151" s="14"/>
    </row>
    <row r="2152" spans="33:33">
      <c r="AG2152" s="14"/>
    </row>
    <row r="2153" spans="33:33">
      <c r="AG2153" s="14"/>
    </row>
    <row r="2154" spans="33:33">
      <c r="AG2154" s="14"/>
    </row>
    <row r="2155" spans="33:33">
      <c r="AG2155" s="14"/>
    </row>
    <row r="2156" spans="33:33">
      <c r="AG2156" s="14"/>
    </row>
    <row r="2157" spans="33:33">
      <c r="AG2157" s="14"/>
    </row>
    <row r="2158" spans="33:33">
      <c r="AG2158" s="14"/>
    </row>
    <row r="2159" spans="33:33">
      <c r="AG2159" s="14"/>
    </row>
    <row r="2160" spans="33:33">
      <c r="AG2160" s="14"/>
    </row>
    <row r="2161" spans="33:33">
      <c r="AG2161" s="14"/>
    </row>
    <row r="2162" spans="33:33">
      <c r="AG2162" s="14"/>
    </row>
    <row r="2163" spans="33:33">
      <c r="AG2163" s="14"/>
    </row>
    <row r="2164" spans="33:33">
      <c r="AG2164" s="14"/>
    </row>
    <row r="2165" spans="33:33">
      <c r="AG2165" s="14"/>
    </row>
    <row r="2166" spans="33:33">
      <c r="AG2166" s="14"/>
    </row>
    <row r="2167" spans="33:33">
      <c r="AG2167" s="14"/>
    </row>
    <row r="2168" spans="33:33">
      <c r="AG2168" s="14"/>
    </row>
    <row r="2169" spans="33:33">
      <c r="AG2169" s="14"/>
    </row>
    <row r="2170" spans="33:33">
      <c r="AG2170" s="14"/>
    </row>
    <row r="2171" spans="33:33">
      <c r="AG2171" s="14"/>
    </row>
    <row r="2172" spans="33:33">
      <c r="AG2172" s="14"/>
    </row>
    <row r="2173" spans="33:33">
      <c r="AG2173" s="14"/>
    </row>
    <row r="2174" spans="33:33">
      <c r="AG2174" s="14"/>
    </row>
    <row r="2175" spans="33:33">
      <c r="AG2175" s="14"/>
    </row>
    <row r="2176" spans="33:33">
      <c r="AG2176" s="14"/>
    </row>
    <row r="2177" spans="33:33">
      <c r="AG2177" s="14"/>
    </row>
    <row r="2178" spans="33:33">
      <c r="AG2178" s="14"/>
    </row>
    <row r="2179" spans="33:33">
      <c r="AG2179" s="14"/>
    </row>
    <row r="2180" spans="33:33">
      <c r="AG2180" s="14"/>
    </row>
    <row r="2181" spans="33:33">
      <c r="AG2181" s="14"/>
    </row>
    <row r="2182" spans="33:33">
      <c r="AG2182" s="14"/>
    </row>
    <row r="2183" spans="33:33">
      <c r="AG2183" s="14"/>
    </row>
    <row r="2184" spans="33:33">
      <c r="AG2184" s="14"/>
    </row>
    <row r="2185" spans="33:33">
      <c r="AG2185" s="14"/>
    </row>
    <row r="2186" spans="33:33">
      <c r="AG2186" s="14"/>
    </row>
    <row r="2187" spans="33:33">
      <c r="AG2187" s="14"/>
    </row>
    <row r="2188" spans="33:33">
      <c r="AG2188" s="14"/>
    </row>
    <row r="2189" spans="33:33">
      <c r="AG2189" s="14"/>
    </row>
    <row r="2190" spans="33:33">
      <c r="AG2190" s="14"/>
    </row>
    <row r="2191" spans="33:33">
      <c r="AG2191" s="14"/>
    </row>
    <row r="2192" spans="33:33">
      <c r="AG2192" s="14"/>
    </row>
    <row r="2193" spans="33:33">
      <c r="AG2193" s="14"/>
    </row>
    <row r="2194" spans="33:33">
      <c r="AG2194" s="14"/>
    </row>
    <row r="2195" spans="33:33">
      <c r="AG2195" s="14"/>
    </row>
    <row r="2196" spans="33:33">
      <c r="AG2196" s="14"/>
    </row>
    <row r="2197" spans="33:33">
      <c r="AG2197" s="14"/>
    </row>
    <row r="2198" spans="33:33">
      <c r="AG2198" s="14"/>
    </row>
    <row r="2199" spans="33:33">
      <c r="AG2199" s="14"/>
    </row>
    <row r="2200" spans="33:33">
      <c r="AG2200" s="14"/>
    </row>
    <row r="2201" spans="33:33">
      <c r="AG2201" s="14"/>
    </row>
    <row r="2202" spans="33:33">
      <c r="AG2202" s="14"/>
    </row>
    <row r="2203" spans="33:33">
      <c r="AG2203" s="14"/>
    </row>
    <row r="2204" spans="33:33">
      <c r="AG2204" s="14"/>
    </row>
    <row r="2205" spans="33:33">
      <c r="AG2205" s="14"/>
    </row>
    <row r="2206" spans="33:33">
      <c r="AG2206" s="14"/>
    </row>
    <row r="2207" spans="33:33">
      <c r="AG2207" s="14"/>
    </row>
    <row r="2208" spans="33:33">
      <c r="AG2208" s="14"/>
    </row>
    <row r="2209" spans="33:33">
      <c r="AG2209" s="14"/>
    </row>
    <row r="2210" spans="33:33">
      <c r="AG2210" s="14"/>
    </row>
    <row r="2211" spans="33:33">
      <c r="AG2211" s="14"/>
    </row>
    <row r="2212" spans="33:33">
      <c r="AG2212" s="14"/>
    </row>
    <row r="2213" spans="33:33">
      <c r="AG2213" s="14"/>
    </row>
    <row r="2214" spans="33:33">
      <c r="AG2214" s="14"/>
    </row>
    <row r="2215" spans="33:33">
      <c r="AG2215" s="14"/>
    </row>
    <row r="2216" spans="33:33">
      <c r="AG2216" s="14"/>
    </row>
    <row r="2217" spans="33:33">
      <c r="AG2217" s="14"/>
    </row>
    <row r="2218" spans="33:33">
      <c r="AG2218" s="14"/>
    </row>
    <row r="2219" spans="33:33">
      <c r="AG2219" s="14"/>
    </row>
    <row r="2220" spans="33:33">
      <c r="AG2220" s="14"/>
    </row>
    <row r="2221" spans="33:33">
      <c r="AG2221" s="14"/>
    </row>
    <row r="2222" spans="33:33">
      <c r="AG2222" s="14"/>
    </row>
    <row r="2223" spans="33:33">
      <c r="AG2223" s="14"/>
    </row>
    <row r="2224" spans="33:33">
      <c r="AG2224" s="14"/>
    </row>
    <row r="2225" spans="33:33">
      <c r="AG2225" s="14"/>
    </row>
    <row r="2226" spans="33:33">
      <c r="AG2226" s="14"/>
    </row>
    <row r="2227" spans="33:33">
      <c r="AG2227" s="14"/>
    </row>
    <row r="2228" spans="33:33">
      <c r="AG2228" s="14"/>
    </row>
    <row r="2229" spans="33:33">
      <c r="AG2229" s="14"/>
    </row>
    <row r="2230" spans="33:33">
      <c r="AG2230" s="14"/>
    </row>
    <row r="2231" spans="33:33">
      <c r="AG2231" s="14"/>
    </row>
    <row r="2232" spans="33:33">
      <c r="AG2232" s="14"/>
    </row>
    <row r="2233" spans="33:33">
      <c r="AG2233" s="14"/>
    </row>
    <row r="2234" spans="33:33">
      <c r="AG2234" s="14"/>
    </row>
    <row r="2235" spans="33:33">
      <c r="AG2235" s="14"/>
    </row>
    <row r="2236" spans="33:33">
      <c r="AG2236" s="14"/>
    </row>
    <row r="2237" spans="33:33">
      <c r="AG2237" s="14"/>
    </row>
    <row r="2238" spans="33:33">
      <c r="AG2238" s="14"/>
    </row>
    <row r="2239" spans="33:33">
      <c r="AG2239" s="14"/>
    </row>
    <row r="2240" spans="33:33">
      <c r="AG2240" s="14"/>
    </row>
    <row r="2241" spans="33:33">
      <c r="AG2241" s="14"/>
    </row>
    <row r="2242" spans="33:33">
      <c r="AG2242" s="14"/>
    </row>
    <row r="2243" spans="33:33">
      <c r="AG2243" s="14"/>
    </row>
    <row r="2244" spans="33:33">
      <c r="AG2244" s="14"/>
    </row>
    <row r="2245" spans="33:33">
      <c r="AG2245" s="14"/>
    </row>
    <row r="2246" spans="33:33">
      <c r="AG2246" s="14"/>
    </row>
    <row r="2247" spans="33:33">
      <c r="AG2247" s="14"/>
    </row>
    <row r="2248" spans="33:33">
      <c r="AG2248" s="14"/>
    </row>
    <row r="2249" spans="33:33">
      <c r="AG2249" s="14"/>
    </row>
    <row r="2250" spans="33:33">
      <c r="AG2250" s="14"/>
    </row>
    <row r="2251" spans="33:33">
      <c r="AG2251" s="14"/>
    </row>
    <row r="2252" spans="33:33">
      <c r="AG2252" s="14"/>
    </row>
    <row r="2253" spans="33:33">
      <c r="AG2253" s="14"/>
    </row>
    <row r="2254" spans="33:33">
      <c r="AG2254" s="14"/>
    </row>
    <row r="2255" spans="33:33">
      <c r="AG2255" s="14"/>
    </row>
    <row r="2256" spans="33:33">
      <c r="AG2256" s="14"/>
    </row>
    <row r="2257" spans="33:33">
      <c r="AG2257" s="14"/>
    </row>
    <row r="2258" spans="33:33">
      <c r="AG2258" s="14"/>
    </row>
    <row r="2259" spans="33:33">
      <c r="AG2259" s="14"/>
    </row>
    <row r="2260" spans="33:33">
      <c r="AG2260" s="14"/>
    </row>
    <row r="2261" spans="33:33">
      <c r="AG2261" s="14"/>
    </row>
    <row r="2262" spans="33:33">
      <c r="AG2262" s="14"/>
    </row>
    <row r="2263" spans="33:33">
      <c r="AG2263" s="14"/>
    </row>
    <row r="2264" spans="33:33">
      <c r="AG2264" s="14"/>
    </row>
    <row r="2265" spans="33:33">
      <c r="AG2265" s="14"/>
    </row>
    <row r="2266" spans="33:33">
      <c r="AG2266" s="14"/>
    </row>
    <row r="2267" spans="33:33">
      <c r="AG2267" s="14"/>
    </row>
    <row r="2268" spans="33:33">
      <c r="AG2268" s="14"/>
    </row>
    <row r="2269" spans="33:33">
      <c r="AG2269" s="14"/>
    </row>
    <row r="2270" spans="33:33">
      <c r="AG2270" s="14"/>
    </row>
    <row r="2271" spans="33:33">
      <c r="AG2271" s="14"/>
    </row>
    <row r="2272" spans="33:33">
      <c r="AG2272" s="14"/>
    </row>
    <row r="2273" spans="33:33">
      <c r="AG2273" s="14"/>
    </row>
    <row r="2274" spans="33:33">
      <c r="AG2274" s="14"/>
    </row>
    <row r="2275" spans="33:33">
      <c r="AG2275" s="14"/>
    </row>
    <row r="2276" spans="33:33">
      <c r="AG2276" s="14"/>
    </row>
    <row r="2277" spans="33:33">
      <c r="AG2277" s="14"/>
    </row>
    <row r="2278" spans="33:33">
      <c r="AG2278" s="14"/>
    </row>
    <row r="2279" spans="33:33">
      <c r="AG2279" s="14"/>
    </row>
    <row r="2280" spans="33:33">
      <c r="AG2280" s="14"/>
    </row>
    <row r="2281" spans="33:33">
      <c r="AG2281" s="14"/>
    </row>
    <row r="2282" spans="33:33">
      <c r="AG2282" s="14"/>
    </row>
    <row r="2283" spans="33:33">
      <c r="AG2283" s="14"/>
    </row>
    <row r="2284" spans="33:33">
      <c r="AG2284" s="14"/>
    </row>
    <row r="2285" spans="33:33">
      <c r="AG2285" s="14"/>
    </row>
    <row r="2286" spans="33:33">
      <c r="AG2286" s="14"/>
    </row>
    <row r="2287" spans="33:33">
      <c r="AG2287" s="14"/>
    </row>
    <row r="2288" spans="33:33">
      <c r="AG2288" s="14"/>
    </row>
    <row r="2289" spans="33:33">
      <c r="AG2289" s="14"/>
    </row>
    <row r="2290" spans="33:33">
      <c r="AG2290" s="14"/>
    </row>
    <row r="2291" spans="33:33">
      <c r="AG2291" s="14"/>
    </row>
    <row r="2292" spans="33:33">
      <c r="AG2292" s="14"/>
    </row>
    <row r="2293" spans="33:33">
      <c r="AG2293" s="14"/>
    </row>
    <row r="2294" spans="33:33">
      <c r="AG2294" s="14"/>
    </row>
    <row r="2295" spans="33:33">
      <c r="AG2295" s="14"/>
    </row>
    <row r="2296" spans="33:33">
      <c r="AG2296" s="14"/>
    </row>
    <row r="2297" spans="33:33">
      <c r="AG2297" s="14"/>
    </row>
    <row r="2298" spans="33:33">
      <c r="AG2298" s="14"/>
    </row>
    <row r="2299" spans="33:33">
      <c r="AG2299" s="14"/>
    </row>
    <row r="2300" spans="33:33">
      <c r="AG2300" s="14"/>
    </row>
    <row r="2301" spans="33:33">
      <c r="AG2301" s="14"/>
    </row>
    <row r="2302" spans="33:33">
      <c r="AG2302" s="14"/>
    </row>
    <row r="2303" spans="33:33">
      <c r="AG2303" s="14"/>
    </row>
    <row r="2304" spans="33:33">
      <c r="AG2304" s="14"/>
    </row>
    <row r="2305" spans="33:33">
      <c r="AG2305" s="14"/>
    </row>
    <row r="2306" spans="33:33">
      <c r="AG2306" s="14"/>
    </row>
    <row r="2307" spans="33:33">
      <c r="AG2307" s="14"/>
    </row>
    <row r="2308" spans="33:33">
      <c r="AG2308" s="14"/>
    </row>
    <row r="2309" spans="33:33">
      <c r="AG2309" s="14"/>
    </row>
    <row r="2310" spans="33:33">
      <c r="AG2310" s="14"/>
    </row>
    <row r="2311" spans="33:33">
      <c r="AG2311" s="14"/>
    </row>
    <row r="2312" spans="33:33">
      <c r="AG2312" s="14"/>
    </row>
    <row r="2313" spans="33:33">
      <c r="AG2313" s="14"/>
    </row>
    <row r="2314" spans="33:33">
      <c r="AG2314" s="14"/>
    </row>
    <row r="2315" spans="33:33">
      <c r="AG2315" s="14"/>
    </row>
    <row r="2316" spans="33:33">
      <c r="AG2316" s="14"/>
    </row>
    <row r="2317" spans="33:33">
      <c r="AG2317" s="14"/>
    </row>
    <row r="2318" spans="33:33">
      <c r="AG2318" s="14"/>
    </row>
    <row r="2319" spans="33:33">
      <c r="AG2319" s="14"/>
    </row>
    <row r="2320" spans="33:33">
      <c r="AG2320" s="14"/>
    </row>
    <row r="2321" spans="33:33">
      <c r="AG2321" s="14"/>
    </row>
    <row r="2322" spans="33:33">
      <c r="AG2322" s="14"/>
    </row>
    <row r="2323" spans="33:33">
      <c r="AG2323" s="14"/>
    </row>
    <row r="2324" spans="33:33">
      <c r="AG2324" s="14"/>
    </row>
    <row r="2325" spans="33:33">
      <c r="AG2325" s="14"/>
    </row>
    <row r="2326" spans="33:33">
      <c r="AG2326" s="14"/>
    </row>
    <row r="2327" spans="33:33">
      <c r="AG2327" s="14"/>
    </row>
    <row r="2328" spans="33:33">
      <c r="AG2328" s="14"/>
    </row>
    <row r="2329" spans="33:33">
      <c r="AG2329" s="14"/>
    </row>
    <row r="2330" spans="33:33">
      <c r="AG2330" s="14"/>
    </row>
    <row r="2331" spans="33:33">
      <c r="AG2331" s="14"/>
    </row>
    <row r="2332" spans="33:33">
      <c r="AG2332" s="14"/>
    </row>
    <row r="2333" spans="33:33">
      <c r="AG2333" s="14"/>
    </row>
    <row r="2334" spans="33:33">
      <c r="AG2334" s="14"/>
    </row>
    <row r="2335" spans="33:33">
      <c r="AG2335" s="14"/>
    </row>
    <row r="2336" spans="33:33">
      <c r="AG2336" s="14"/>
    </row>
    <row r="2337" spans="33:33">
      <c r="AG2337" s="14"/>
    </row>
    <row r="2338" spans="33:33">
      <c r="AG2338" s="14"/>
    </row>
    <row r="2339" spans="33:33">
      <c r="AG2339" s="14"/>
    </row>
    <row r="2340" spans="33:33">
      <c r="AG2340" s="14"/>
    </row>
    <row r="2341" spans="33:33">
      <c r="AG2341" s="14"/>
    </row>
    <row r="2342" spans="33:33">
      <c r="AG2342" s="14"/>
    </row>
    <row r="2343" spans="33:33">
      <c r="AG2343" s="14"/>
    </row>
    <row r="2344" spans="33:33">
      <c r="AG2344" s="14"/>
    </row>
    <row r="2345" spans="33:33">
      <c r="AG2345" s="14"/>
    </row>
    <row r="2346" spans="33:33">
      <c r="AG2346" s="14"/>
    </row>
    <row r="2347" spans="33:33">
      <c r="AG2347" s="14"/>
    </row>
    <row r="2348" spans="33:33">
      <c r="AG2348" s="14"/>
    </row>
    <row r="2349" spans="33:33">
      <c r="AG2349" s="14"/>
    </row>
    <row r="2350" spans="33:33">
      <c r="AG2350" s="14"/>
    </row>
    <row r="2351" spans="33:33">
      <c r="AG2351" s="14"/>
    </row>
    <row r="2352" spans="33:33">
      <c r="AG2352" s="14"/>
    </row>
    <row r="2353" spans="33:33">
      <c r="AG2353" s="14"/>
    </row>
    <row r="2354" spans="33:33">
      <c r="AG2354" s="14"/>
    </row>
    <row r="2355" spans="33:33">
      <c r="AG2355" s="14"/>
    </row>
    <row r="2356" spans="33:33">
      <c r="AG2356" s="14"/>
    </row>
    <row r="2357" spans="33:33">
      <c r="AG2357" s="14"/>
    </row>
    <row r="2358" spans="33:33">
      <c r="AG2358" s="14"/>
    </row>
    <row r="2359" spans="33:33">
      <c r="AG2359" s="14"/>
    </row>
    <row r="2360" spans="33:33">
      <c r="AG2360" s="14"/>
    </row>
    <row r="2361" spans="33:33">
      <c r="AG2361" s="14"/>
    </row>
    <row r="2362" spans="33:33">
      <c r="AG2362" s="14"/>
    </row>
    <row r="2363" spans="33:33">
      <c r="AG2363" s="14"/>
    </row>
    <row r="2364" spans="33:33">
      <c r="AG2364" s="14"/>
    </row>
    <row r="2365" spans="33:33">
      <c r="AG2365" s="14"/>
    </row>
    <row r="2366" spans="33:33">
      <c r="AG2366" s="14"/>
    </row>
    <row r="2367" spans="33:33">
      <c r="AG2367" s="14"/>
    </row>
    <row r="2368" spans="33:33">
      <c r="AG2368" s="14"/>
    </row>
    <row r="2369" spans="33:33">
      <c r="AG2369" s="14"/>
    </row>
    <row r="2370" spans="33:33">
      <c r="AG2370" s="14"/>
    </row>
    <row r="2371" spans="33:33">
      <c r="AG2371" s="14"/>
    </row>
    <row r="2372" spans="33:33">
      <c r="AG2372" s="14"/>
    </row>
    <row r="2373" spans="33:33">
      <c r="AG2373" s="14"/>
    </row>
    <row r="2374" spans="33:33">
      <c r="AG2374" s="14"/>
    </row>
    <row r="2375" spans="33:33">
      <c r="AG2375" s="14"/>
    </row>
    <row r="2376" spans="33:33">
      <c r="AG2376" s="14"/>
    </row>
    <row r="2377" spans="33:33">
      <c r="AG2377" s="14"/>
    </row>
    <row r="2378" spans="33:33">
      <c r="AG2378" s="14"/>
    </row>
    <row r="2379" spans="33:33">
      <c r="AG2379" s="14"/>
    </row>
    <row r="2380" spans="33:33">
      <c r="AG2380" s="14"/>
    </row>
    <row r="2381" spans="33:33">
      <c r="AG2381" s="14"/>
    </row>
    <row r="2382" spans="33:33">
      <c r="AG2382" s="14"/>
    </row>
    <row r="2383" spans="33:33">
      <c r="AG2383" s="14"/>
    </row>
    <row r="2384" spans="33:33">
      <c r="AG2384" s="14"/>
    </row>
    <row r="2385" spans="33:33">
      <c r="AG2385" s="14"/>
    </row>
    <row r="2386" spans="33:33">
      <c r="AG2386" s="14"/>
    </row>
    <row r="2387" spans="33:33">
      <c r="AG2387" s="14"/>
    </row>
    <row r="2388" spans="33:33">
      <c r="AG2388" s="14"/>
    </row>
    <row r="2389" spans="33:33">
      <c r="AG2389" s="14"/>
    </row>
    <row r="2390" spans="33:33">
      <c r="AG2390" s="14"/>
    </row>
    <row r="2391" spans="33:33">
      <c r="AG2391" s="14"/>
    </row>
    <row r="2392" spans="33:33">
      <c r="AG2392" s="14"/>
    </row>
    <row r="2393" spans="33:33">
      <c r="AG2393" s="14"/>
    </row>
    <row r="2394" spans="33:33">
      <c r="AG2394" s="14"/>
    </row>
    <row r="2395" spans="33:33">
      <c r="AG2395" s="14"/>
    </row>
    <row r="2396" spans="33:33">
      <c r="AG2396" s="14"/>
    </row>
    <row r="2397" spans="33:33">
      <c r="AG2397" s="14"/>
    </row>
    <row r="2398" spans="33:33">
      <c r="AG2398" s="14"/>
    </row>
    <row r="2399" spans="33:33">
      <c r="AG2399" s="14"/>
    </row>
    <row r="2400" spans="33:33">
      <c r="AG2400" s="14"/>
    </row>
    <row r="2401" spans="33:33">
      <c r="AG2401" s="14"/>
    </row>
    <row r="2402" spans="33:33">
      <c r="AG2402" s="14"/>
    </row>
    <row r="2403" spans="33:33">
      <c r="AG2403" s="14"/>
    </row>
    <row r="2404" spans="33:33">
      <c r="AG2404" s="14"/>
    </row>
    <row r="2405" spans="33:33">
      <c r="AG2405" s="14"/>
    </row>
    <row r="2406" spans="33:33">
      <c r="AG2406" s="14"/>
    </row>
    <row r="2407" spans="33:33">
      <c r="AG2407" s="14"/>
    </row>
    <row r="2408" spans="33:33">
      <c r="AG2408" s="14"/>
    </row>
    <row r="2409" spans="33:33">
      <c r="AG2409" s="14"/>
    </row>
    <row r="2410" spans="33:33">
      <c r="AG2410" s="14"/>
    </row>
    <row r="2411" spans="33:33">
      <c r="AG2411" s="14"/>
    </row>
    <row r="2412" spans="33:33">
      <c r="AG2412" s="14"/>
    </row>
    <row r="2413" spans="33:33">
      <c r="AG2413" s="14"/>
    </row>
    <row r="2414" spans="33:33">
      <c r="AG2414" s="14"/>
    </row>
    <row r="2415" spans="33:33">
      <c r="AG2415" s="14"/>
    </row>
    <row r="2416" spans="33:33">
      <c r="AG2416" s="14"/>
    </row>
    <row r="2417" spans="33:33">
      <c r="AG2417" s="14"/>
    </row>
    <row r="2418" spans="33:33">
      <c r="AG2418" s="14"/>
    </row>
    <row r="2419" spans="33:33">
      <c r="AG2419" s="14"/>
    </row>
    <row r="2420" spans="33:33">
      <c r="AG2420" s="14"/>
    </row>
    <row r="2421" spans="33:33">
      <c r="AG2421" s="14"/>
    </row>
    <row r="2422" spans="33:33">
      <c r="AG2422" s="14"/>
    </row>
    <row r="2423" spans="33:33">
      <c r="AG2423" s="14"/>
    </row>
    <row r="2424" spans="33:33">
      <c r="AG2424" s="14"/>
    </row>
    <row r="2425" spans="33:33">
      <c r="AG2425" s="14"/>
    </row>
    <row r="2426" spans="33:33">
      <c r="AG2426" s="14"/>
    </row>
    <row r="2427" spans="33:33">
      <c r="AG2427" s="14"/>
    </row>
    <row r="2428" spans="33:33">
      <c r="AG2428" s="14"/>
    </row>
    <row r="2429" spans="33:33">
      <c r="AG2429" s="14"/>
    </row>
    <row r="2430" spans="33:33">
      <c r="AG2430" s="14"/>
    </row>
    <row r="2431" spans="33:33">
      <c r="AG2431" s="14"/>
    </row>
    <row r="2432" spans="33:33">
      <c r="AG2432" s="14"/>
    </row>
    <row r="2433" spans="33:33">
      <c r="AG2433" s="14"/>
    </row>
    <row r="2434" spans="33:33">
      <c r="AG2434" s="14"/>
    </row>
    <row r="2435" spans="33:33">
      <c r="AG2435" s="14"/>
    </row>
    <row r="2436" spans="33:33">
      <c r="AG2436" s="14"/>
    </row>
    <row r="2437" spans="33:33">
      <c r="AG2437" s="14"/>
    </row>
    <row r="2438" spans="33:33">
      <c r="AG2438" s="14"/>
    </row>
    <row r="2439" spans="33:33">
      <c r="AG2439" s="14"/>
    </row>
    <row r="2440" spans="33:33">
      <c r="AG2440" s="14"/>
    </row>
    <row r="2441" spans="33:33">
      <c r="AG2441" s="14"/>
    </row>
    <row r="2442" spans="33:33">
      <c r="AG2442" s="14"/>
    </row>
    <row r="2443" spans="33:33">
      <c r="AG2443" s="14"/>
    </row>
    <row r="2444" spans="33:33">
      <c r="AG2444" s="14"/>
    </row>
    <row r="2445" spans="33:33">
      <c r="AG2445" s="14"/>
    </row>
    <row r="2446" spans="33:33">
      <c r="AG2446" s="14"/>
    </row>
    <row r="2447" spans="33:33">
      <c r="AG2447" s="14"/>
    </row>
    <row r="2448" spans="33:33">
      <c r="AG2448" s="14"/>
    </row>
    <row r="2449" spans="33:33">
      <c r="AG2449" s="14"/>
    </row>
    <row r="2450" spans="33:33">
      <c r="AG2450" s="14"/>
    </row>
    <row r="2451" spans="33:33">
      <c r="AG2451" s="14"/>
    </row>
    <row r="2452" spans="33:33">
      <c r="AG2452" s="14"/>
    </row>
    <row r="2453" spans="33:33">
      <c r="AG2453" s="14"/>
    </row>
    <row r="2454" spans="33:33">
      <c r="AG2454" s="14"/>
    </row>
    <row r="2455" spans="33:33">
      <c r="AG2455" s="14"/>
    </row>
    <row r="2456" spans="33:33">
      <c r="AG2456" s="14"/>
    </row>
    <row r="2457" spans="33:33">
      <c r="AG2457" s="14"/>
    </row>
    <row r="2458" spans="33:33">
      <c r="AG2458" s="14"/>
    </row>
    <row r="2459" spans="33:33">
      <c r="AG2459" s="14"/>
    </row>
    <row r="2460" spans="33:33">
      <c r="AG2460" s="14"/>
    </row>
    <row r="2461" spans="33:33">
      <c r="AG2461" s="14"/>
    </row>
    <row r="2462" spans="33:33">
      <c r="AG2462" s="14"/>
    </row>
    <row r="2463" spans="33:33">
      <c r="AG2463" s="14"/>
    </row>
    <row r="2464" spans="33:33">
      <c r="AG2464" s="14"/>
    </row>
    <row r="2465" spans="33:33">
      <c r="AG2465" s="14"/>
    </row>
    <row r="2466" spans="33:33">
      <c r="AG2466" s="14"/>
    </row>
    <row r="2467" spans="33:33">
      <c r="AG2467" s="14"/>
    </row>
    <row r="2468" spans="33:33">
      <c r="AG2468" s="14"/>
    </row>
    <row r="2469" spans="33:33">
      <c r="AG2469" s="14"/>
    </row>
    <row r="2470" spans="33:33">
      <c r="AG2470" s="14"/>
    </row>
    <row r="2471" spans="33:33">
      <c r="AG2471" s="14"/>
    </row>
    <row r="2472" spans="33:33">
      <c r="AG2472" s="14"/>
    </row>
    <row r="2473" spans="33:33">
      <c r="AG2473" s="14"/>
    </row>
    <row r="2474" spans="33:33">
      <c r="AG2474" s="14"/>
    </row>
    <row r="2475" spans="33:33">
      <c r="AG2475" s="14"/>
    </row>
    <row r="2476" spans="33:33">
      <c r="AG2476" s="14"/>
    </row>
    <row r="2477" spans="33:33">
      <c r="AG2477" s="14"/>
    </row>
    <row r="2478" spans="33:33">
      <c r="AG2478" s="14"/>
    </row>
    <row r="2479" spans="33:33">
      <c r="AG2479" s="14"/>
    </row>
    <row r="2480" spans="33:33">
      <c r="AG2480" s="14"/>
    </row>
    <row r="2481" spans="33:33">
      <c r="AG2481" s="14"/>
    </row>
    <row r="2482" spans="33:33">
      <c r="AG2482" s="14"/>
    </row>
    <row r="2483" spans="33:33">
      <c r="AG2483" s="14"/>
    </row>
    <row r="2484" spans="33:33">
      <c r="AG2484" s="14"/>
    </row>
    <row r="2485" spans="33:33">
      <c r="AG2485" s="14"/>
    </row>
    <row r="2486" spans="33:33">
      <c r="AG2486" s="14"/>
    </row>
    <row r="2487" spans="33:33">
      <c r="AG2487" s="14"/>
    </row>
    <row r="2488" spans="33:33">
      <c r="AG2488" s="14"/>
    </row>
    <row r="2489" spans="33:33">
      <c r="AG2489" s="14"/>
    </row>
    <row r="2490" spans="33:33">
      <c r="AG2490" s="14"/>
    </row>
    <row r="2491" spans="33:33">
      <c r="AG2491" s="14"/>
    </row>
    <row r="2492" spans="33:33">
      <c r="AG2492" s="14"/>
    </row>
    <row r="2493" spans="33:33">
      <c r="AG2493" s="14"/>
    </row>
    <row r="2494" spans="33:33">
      <c r="AG2494" s="14"/>
    </row>
    <row r="2495" spans="33:33">
      <c r="AG2495" s="14"/>
    </row>
    <row r="2496" spans="33:33">
      <c r="AG2496" s="14"/>
    </row>
    <row r="2497" spans="33:33">
      <c r="AG2497" s="14"/>
    </row>
    <row r="2498" spans="33:33">
      <c r="AG2498" s="14"/>
    </row>
    <row r="2499" spans="33:33">
      <c r="AG2499" s="14"/>
    </row>
    <row r="2500" spans="33:33">
      <c r="AG2500" s="14"/>
    </row>
    <row r="2501" spans="33:33">
      <c r="AG2501" s="14"/>
    </row>
    <row r="2502" spans="33:33">
      <c r="AG2502" s="14"/>
    </row>
    <row r="2503" spans="33:33">
      <c r="AG2503" s="14"/>
    </row>
    <row r="2504" spans="33:33">
      <c r="AG2504" s="14"/>
    </row>
    <row r="2505" spans="33:33">
      <c r="AG2505" s="14"/>
    </row>
    <row r="2506" spans="33:33">
      <c r="AG2506" s="14"/>
    </row>
    <row r="2507" spans="33:33">
      <c r="AG2507" s="14"/>
    </row>
    <row r="2508" spans="33:33">
      <c r="AG2508" s="14"/>
    </row>
    <row r="2509" spans="33:33">
      <c r="AG2509" s="14"/>
    </row>
    <row r="2510" spans="33:33">
      <c r="AG2510" s="14"/>
    </row>
    <row r="2511" spans="33:33">
      <c r="AG2511" s="14"/>
    </row>
    <row r="2512" spans="33:33">
      <c r="AG2512" s="14"/>
    </row>
    <row r="2513" spans="33:33">
      <c r="AG2513" s="14"/>
    </row>
    <row r="2514" spans="33:33">
      <c r="AG2514" s="14"/>
    </row>
    <row r="2515" spans="33:33">
      <c r="AG2515" s="14"/>
    </row>
    <row r="2516" spans="33:33">
      <c r="AG2516" s="14"/>
    </row>
    <row r="2517" spans="33:33">
      <c r="AG2517" s="14"/>
    </row>
    <row r="2518" spans="33:33">
      <c r="AG2518" s="14"/>
    </row>
    <row r="2519" spans="33:33">
      <c r="AG2519" s="14"/>
    </row>
    <row r="2520" spans="33:33">
      <c r="AG2520" s="14"/>
    </row>
    <row r="2521" spans="33:33">
      <c r="AG2521" s="14"/>
    </row>
    <row r="2522" spans="33:33">
      <c r="AG2522" s="14"/>
    </row>
    <row r="2523" spans="33:33">
      <c r="AG2523" s="14"/>
    </row>
    <row r="2524" spans="33:33">
      <c r="AG2524" s="14"/>
    </row>
    <row r="2525" spans="33:33">
      <c r="AG2525" s="14"/>
    </row>
    <row r="2526" spans="33:33">
      <c r="AG2526" s="14"/>
    </row>
    <row r="2527" spans="33:33">
      <c r="AG2527" s="14"/>
    </row>
    <row r="2528" spans="33:33">
      <c r="AG2528" s="14"/>
    </row>
    <row r="2529" spans="33:33">
      <c r="AG2529" s="14"/>
    </row>
    <row r="2530" spans="33:33">
      <c r="AG2530" s="14"/>
    </row>
    <row r="2531" spans="33:33">
      <c r="AG2531" s="14"/>
    </row>
    <row r="2532" spans="33:33">
      <c r="AG2532" s="14"/>
    </row>
    <row r="2533" spans="33:33">
      <c r="AG2533" s="14"/>
    </row>
    <row r="2534" spans="33:33">
      <c r="AG2534" s="14"/>
    </row>
    <row r="2535" spans="33:33">
      <c r="AG2535" s="14"/>
    </row>
    <row r="2536" spans="33:33">
      <c r="AG2536" s="14"/>
    </row>
    <row r="2537" spans="33:33">
      <c r="AG2537" s="14"/>
    </row>
    <row r="2538" spans="33:33">
      <c r="AG2538" s="14"/>
    </row>
    <row r="2539" spans="33:33">
      <c r="AG2539" s="14"/>
    </row>
    <row r="2540" spans="33:33">
      <c r="AG2540" s="14"/>
    </row>
    <row r="2541" spans="33:33">
      <c r="AG2541" s="14"/>
    </row>
    <row r="2542" spans="33:33">
      <c r="AG2542" s="14"/>
    </row>
    <row r="2543" spans="33:33">
      <c r="AG2543" s="14"/>
    </row>
    <row r="2544" spans="33:33">
      <c r="AG2544" s="14"/>
    </row>
    <row r="2545" spans="33:33">
      <c r="AG2545" s="14"/>
    </row>
    <row r="2546" spans="33:33">
      <c r="AG2546" s="14"/>
    </row>
    <row r="2547" spans="33:33">
      <c r="AG2547" s="14"/>
    </row>
    <row r="2548" spans="33:33">
      <c r="AG2548" s="14"/>
    </row>
    <row r="2549" spans="33:33">
      <c r="AG2549" s="14"/>
    </row>
    <row r="2550" spans="33:33">
      <c r="AG2550" s="14"/>
    </row>
    <row r="2551" spans="33:33">
      <c r="AG2551" s="14"/>
    </row>
    <row r="2552" spans="33:33">
      <c r="AG2552" s="14"/>
    </row>
    <row r="2553" spans="33:33">
      <c r="AG2553" s="14"/>
    </row>
    <row r="2554" spans="33:33">
      <c r="AG2554" s="14"/>
    </row>
    <row r="2555" spans="33:33">
      <c r="AG2555" s="14"/>
    </row>
    <row r="2556" spans="33:33">
      <c r="AG2556" s="14"/>
    </row>
    <row r="2557" spans="33:33">
      <c r="AG2557" s="14"/>
    </row>
    <row r="2558" spans="33:33">
      <c r="AG2558" s="14"/>
    </row>
    <row r="2559" spans="33:33">
      <c r="AG2559" s="14"/>
    </row>
    <row r="2560" spans="33:33">
      <c r="AG2560" s="14"/>
    </row>
    <row r="2561" spans="33:33">
      <c r="AG2561" s="14"/>
    </row>
    <row r="2562" spans="33:33">
      <c r="AG2562" s="14"/>
    </row>
    <row r="2563" spans="33:33">
      <c r="AG2563" s="14"/>
    </row>
    <row r="2564" spans="33:33">
      <c r="AG2564" s="14"/>
    </row>
    <row r="2565" spans="33:33">
      <c r="AG2565" s="14"/>
    </row>
    <row r="2566" spans="33:33">
      <c r="AG2566" s="14"/>
    </row>
    <row r="2567" spans="33:33">
      <c r="AG2567" s="14"/>
    </row>
    <row r="2568" spans="33:33">
      <c r="AG2568" s="14"/>
    </row>
    <row r="2569" spans="33:33">
      <c r="AG2569" s="14"/>
    </row>
    <row r="2570" spans="33:33">
      <c r="AG2570" s="14"/>
    </row>
    <row r="2571" spans="33:33">
      <c r="AG2571" s="14"/>
    </row>
    <row r="2572" spans="33:33">
      <c r="AG2572" s="14"/>
    </row>
    <row r="2573" spans="33:33">
      <c r="AG2573" s="14"/>
    </row>
    <row r="2574" spans="33:33">
      <c r="AG2574" s="14"/>
    </row>
    <row r="2575" spans="33:33">
      <c r="AG2575" s="14"/>
    </row>
    <row r="2576" spans="33:33">
      <c r="AG2576" s="14"/>
    </row>
    <row r="2577" spans="33:33">
      <c r="AG2577" s="14"/>
    </row>
    <row r="2578" spans="33:33">
      <c r="AG2578" s="14"/>
    </row>
    <row r="2579" spans="33:33">
      <c r="AG2579" s="14"/>
    </row>
    <row r="2580" spans="33:33">
      <c r="AG2580" s="14"/>
    </row>
    <row r="2581" spans="33:33">
      <c r="AG2581" s="14"/>
    </row>
    <row r="2582" spans="33:33">
      <c r="AG2582" s="14"/>
    </row>
    <row r="2583" spans="33:33">
      <c r="AG2583" s="14"/>
    </row>
    <row r="2584" spans="33:33">
      <c r="AG2584" s="14"/>
    </row>
    <row r="2585" spans="33:33">
      <c r="AG2585" s="14"/>
    </row>
    <row r="2586" spans="33:33">
      <c r="AG2586" s="14"/>
    </row>
    <row r="2587" spans="33:33">
      <c r="AG2587" s="14"/>
    </row>
    <row r="2588" spans="33:33">
      <c r="AG2588" s="14"/>
    </row>
    <row r="2589" spans="33:33">
      <c r="AG2589" s="14"/>
    </row>
    <row r="2590" spans="33:33">
      <c r="AG2590" s="14"/>
    </row>
    <row r="2591" spans="33:33">
      <c r="AG2591" s="14"/>
    </row>
    <row r="2592" spans="33:33">
      <c r="AG2592" s="14"/>
    </row>
    <row r="2593" spans="33:33">
      <c r="AG2593" s="14"/>
    </row>
    <row r="2594" spans="33:33">
      <c r="AG2594" s="14"/>
    </row>
    <row r="2595" spans="33:33">
      <c r="AG2595" s="14"/>
    </row>
    <row r="2596" spans="33:33">
      <c r="AG2596" s="14"/>
    </row>
    <row r="2597" spans="33:33">
      <c r="AG2597" s="14"/>
    </row>
    <row r="2598" spans="33:33">
      <c r="AG2598" s="14"/>
    </row>
    <row r="2599" spans="33:33">
      <c r="AG2599" s="14"/>
    </row>
    <row r="2600" spans="33:33">
      <c r="AG2600" s="14"/>
    </row>
    <row r="2601" spans="33:33">
      <c r="AG2601" s="14"/>
    </row>
    <row r="2602" spans="33:33">
      <c r="AG2602" s="14"/>
    </row>
    <row r="2603" spans="33:33">
      <c r="AG2603" s="14"/>
    </row>
    <row r="2604" spans="33:33">
      <c r="AG2604" s="14"/>
    </row>
    <row r="2605" spans="33:33">
      <c r="AG2605" s="14"/>
    </row>
    <row r="2606" spans="33:33">
      <c r="AG2606" s="14"/>
    </row>
    <row r="2607" spans="33:33">
      <c r="AG2607" s="14"/>
    </row>
    <row r="2608" spans="33:33">
      <c r="AG2608" s="14"/>
    </row>
    <row r="2609" spans="33:33">
      <c r="AG2609" s="14"/>
    </row>
    <row r="2610" spans="33:33">
      <c r="AG2610" s="14"/>
    </row>
    <row r="2611" spans="33:33">
      <c r="AG2611" s="14"/>
    </row>
    <row r="2612" spans="33:33">
      <c r="AG2612" s="14"/>
    </row>
    <row r="2613" spans="33:33">
      <c r="AG2613" s="14"/>
    </row>
    <row r="2614" spans="33:33">
      <c r="AG2614" s="14"/>
    </row>
    <row r="2615" spans="33:33">
      <c r="AG2615" s="14"/>
    </row>
    <row r="2616" spans="33:33">
      <c r="AG2616" s="14"/>
    </row>
    <row r="2617" spans="33:33">
      <c r="AG2617" s="14"/>
    </row>
    <row r="2618" spans="33:33">
      <c r="AG2618" s="14"/>
    </row>
    <row r="2619" spans="33:33">
      <c r="AG2619" s="14"/>
    </row>
    <row r="2620" spans="33:33">
      <c r="AG2620" s="14"/>
    </row>
    <row r="2621" spans="33:33">
      <c r="AG2621" s="14"/>
    </row>
    <row r="2622" spans="33:33">
      <c r="AG2622" s="14"/>
    </row>
    <row r="2623" spans="33:33">
      <c r="AG2623" s="14"/>
    </row>
    <row r="2624" spans="33:33">
      <c r="AG2624" s="14"/>
    </row>
    <row r="2625" spans="33:33">
      <c r="AG2625" s="14"/>
    </row>
    <row r="2626" spans="33:33">
      <c r="AG2626" s="14"/>
    </row>
    <row r="2627" spans="33:33">
      <c r="AG2627" s="14"/>
    </row>
    <row r="2628" spans="33:33">
      <c r="AG2628" s="14"/>
    </row>
    <row r="2629" spans="33:33">
      <c r="AG2629" s="14"/>
    </row>
    <row r="2630" spans="33:33">
      <c r="AG2630" s="14"/>
    </row>
    <row r="2631" spans="33:33">
      <c r="AG2631" s="14"/>
    </row>
    <row r="2632" spans="33:33">
      <c r="AG2632" s="14"/>
    </row>
    <row r="2633" spans="33:33">
      <c r="AG2633" s="14"/>
    </row>
    <row r="2634" spans="33:33">
      <c r="AG2634" s="14"/>
    </row>
    <row r="2635" spans="33:33">
      <c r="AG2635" s="14"/>
    </row>
    <row r="2636" spans="33:33">
      <c r="AG2636" s="14"/>
    </row>
    <row r="2637" spans="33:33">
      <c r="AG2637" s="14"/>
    </row>
    <row r="2638" spans="33:33">
      <c r="AG2638" s="14"/>
    </row>
    <row r="2639" spans="33:33">
      <c r="AG2639" s="14"/>
    </row>
    <row r="2640" spans="33:33">
      <c r="AG2640" s="14"/>
    </row>
    <row r="2641" spans="33:33">
      <c r="AG2641" s="14"/>
    </row>
    <row r="2642" spans="33:33">
      <c r="AG2642" s="14"/>
    </row>
    <row r="2643" spans="33:33">
      <c r="AG2643" s="14"/>
    </row>
    <row r="2644" spans="33:33">
      <c r="AG2644" s="14"/>
    </row>
    <row r="2645" spans="33:33">
      <c r="AG2645" s="14"/>
    </row>
    <row r="2646" spans="33:33">
      <c r="AG2646" s="14"/>
    </row>
    <row r="2647" spans="33:33">
      <c r="AG2647" s="14"/>
    </row>
    <row r="2648" spans="33:33">
      <c r="AG2648" s="14"/>
    </row>
    <row r="2649" spans="33:33">
      <c r="AG2649" s="14"/>
    </row>
    <row r="2650" spans="33:33">
      <c r="AG2650" s="14"/>
    </row>
    <row r="2651" spans="33:33">
      <c r="AG2651" s="14"/>
    </row>
    <row r="2652" spans="33:33">
      <c r="AG2652" s="14"/>
    </row>
    <row r="2653" spans="33:33">
      <c r="AG2653" s="14"/>
    </row>
    <row r="2654" spans="33:33">
      <c r="AG2654" s="14"/>
    </row>
    <row r="2655" spans="33:33">
      <c r="AG2655" s="14"/>
    </row>
    <row r="2656" spans="33:33">
      <c r="AG2656" s="14"/>
    </row>
    <row r="2657" spans="33:33">
      <c r="AG2657" s="14"/>
    </row>
    <row r="2658" spans="33:33">
      <c r="AG2658" s="14"/>
    </row>
    <row r="2659" spans="33:33">
      <c r="AG2659" s="14"/>
    </row>
    <row r="2660" spans="33:33">
      <c r="AG2660" s="14"/>
    </row>
    <row r="2661" spans="33:33">
      <c r="AG2661" s="14"/>
    </row>
    <row r="2662" spans="33:33">
      <c r="AG2662" s="14"/>
    </row>
    <row r="2663" spans="33:33">
      <c r="AG2663" s="14"/>
    </row>
    <row r="2664" spans="33:33">
      <c r="AG2664" s="14"/>
    </row>
    <row r="2665" spans="33:33">
      <c r="AG2665" s="14"/>
    </row>
    <row r="2666" spans="33:33">
      <c r="AG2666" s="14"/>
    </row>
    <row r="2667" spans="33:33">
      <c r="AG2667" s="14"/>
    </row>
    <row r="2668" spans="33:33">
      <c r="AG2668" s="14"/>
    </row>
    <row r="2669" spans="33:33">
      <c r="AG2669" s="14"/>
    </row>
    <row r="2670" spans="33:33">
      <c r="AG2670" s="14"/>
    </row>
    <row r="2671" spans="33:33">
      <c r="AG2671" s="14"/>
    </row>
    <row r="2672" spans="33:33">
      <c r="AG2672" s="14"/>
    </row>
    <row r="2673" spans="33:33">
      <c r="AG2673" s="14"/>
    </row>
    <row r="2674" spans="33:33">
      <c r="AG2674" s="14"/>
    </row>
    <row r="2675" spans="33:33">
      <c r="AG2675" s="14"/>
    </row>
    <row r="2676" spans="33:33">
      <c r="AG2676" s="14"/>
    </row>
    <row r="2677" spans="33:33">
      <c r="AG2677" s="14"/>
    </row>
    <row r="2678" spans="33:33">
      <c r="AG2678" s="14"/>
    </row>
    <row r="2679" spans="33:33">
      <c r="AG2679" s="14"/>
    </row>
    <row r="2680" spans="33:33">
      <c r="AG2680" s="14"/>
    </row>
    <row r="2681" spans="33:33">
      <c r="AG2681" s="14"/>
    </row>
    <row r="2682" spans="33:33">
      <c r="AG2682" s="14"/>
    </row>
    <row r="2683" spans="33:33">
      <c r="AG2683" s="14"/>
    </row>
    <row r="2684" spans="33:33">
      <c r="AG2684" s="14"/>
    </row>
    <row r="2685" spans="33:33">
      <c r="AG2685" s="14"/>
    </row>
    <row r="2686" spans="33:33">
      <c r="AG2686" s="14"/>
    </row>
    <row r="2687" spans="33:33">
      <c r="AG2687" s="14"/>
    </row>
    <row r="2688" spans="33:33">
      <c r="AG2688" s="14"/>
    </row>
    <row r="2689" spans="33:33">
      <c r="AG2689" s="14"/>
    </row>
    <row r="2690" spans="33:33">
      <c r="AG2690" s="14"/>
    </row>
    <row r="2691" spans="33:33">
      <c r="AG2691" s="14"/>
    </row>
    <row r="2692" spans="33:33">
      <c r="AG2692" s="14"/>
    </row>
    <row r="2693" spans="33:33">
      <c r="AG2693" s="14"/>
    </row>
    <row r="2694" spans="33:33">
      <c r="AG2694" s="14"/>
    </row>
    <row r="2695" spans="33:33">
      <c r="AG2695" s="14"/>
    </row>
    <row r="2696" spans="33:33">
      <c r="AG2696" s="14"/>
    </row>
    <row r="2697" spans="33:33">
      <c r="AG2697" s="14"/>
    </row>
    <row r="2698" spans="33:33">
      <c r="AG2698" s="14"/>
    </row>
    <row r="2699" spans="33:33">
      <c r="AG2699" s="14"/>
    </row>
    <row r="2700" spans="33:33">
      <c r="AG2700" s="14"/>
    </row>
    <row r="2701" spans="33:33">
      <c r="AG2701" s="14"/>
    </row>
    <row r="2702" spans="33:33">
      <c r="AG2702" s="14"/>
    </row>
    <row r="2703" spans="33:33">
      <c r="AG2703" s="14"/>
    </row>
    <row r="2704" spans="33:33">
      <c r="AG2704" s="14"/>
    </row>
    <row r="2705" spans="33:33">
      <c r="AG2705" s="14"/>
    </row>
    <row r="2706" spans="33:33">
      <c r="AG2706" s="14"/>
    </row>
    <row r="2707" spans="33:33">
      <c r="AG2707" s="14"/>
    </row>
    <row r="2708" spans="33:33">
      <c r="AG2708" s="14"/>
    </row>
    <row r="2709" spans="33:33">
      <c r="AG2709" s="14"/>
    </row>
    <row r="2710" spans="33:33">
      <c r="AG2710" s="14"/>
    </row>
    <row r="2711" spans="33:33">
      <c r="AG2711" s="14"/>
    </row>
    <row r="2712" spans="33:33">
      <c r="AG2712" s="14"/>
    </row>
    <row r="2713" spans="33:33">
      <c r="AG2713" s="14"/>
    </row>
    <row r="2714" spans="33:33">
      <c r="AG2714" s="14"/>
    </row>
    <row r="2715" spans="33:33">
      <c r="AG2715" s="14"/>
    </row>
    <row r="2716" spans="33:33">
      <c r="AG2716" s="14"/>
    </row>
    <row r="2717" spans="33:33">
      <c r="AG2717" s="14"/>
    </row>
    <row r="2718" spans="33:33">
      <c r="AG2718" s="14"/>
    </row>
    <row r="2719" spans="33:33">
      <c r="AG2719" s="14"/>
    </row>
    <row r="2720" spans="33:33">
      <c r="AG2720" s="14"/>
    </row>
    <row r="2721" spans="33:33">
      <c r="AG2721" s="14"/>
    </row>
    <row r="2722" spans="33:33">
      <c r="AG2722" s="14"/>
    </row>
    <row r="2723" spans="33:33">
      <c r="AG2723" s="14"/>
    </row>
    <row r="2724" spans="33:33">
      <c r="AG2724" s="14"/>
    </row>
    <row r="2725" spans="33:33">
      <c r="AG2725" s="14"/>
    </row>
    <row r="2726" spans="33:33">
      <c r="AG2726" s="14"/>
    </row>
    <row r="2727" spans="33:33">
      <c r="AG2727" s="14"/>
    </row>
    <row r="2728" spans="33:33">
      <c r="AG2728" s="14"/>
    </row>
    <row r="2729" spans="33:33">
      <c r="AG2729" s="14"/>
    </row>
    <row r="2730" spans="33:33">
      <c r="AG2730" s="14"/>
    </row>
    <row r="2731" spans="33:33">
      <c r="AG2731" s="14"/>
    </row>
    <row r="2732" spans="33:33">
      <c r="AG2732" s="14"/>
    </row>
    <row r="2733" spans="33:33">
      <c r="AG2733" s="14"/>
    </row>
    <row r="2734" spans="33:33">
      <c r="AG2734" s="14"/>
    </row>
    <row r="2735" spans="33:33">
      <c r="AG2735" s="14"/>
    </row>
    <row r="2736" spans="33:33">
      <c r="AG2736" s="14"/>
    </row>
    <row r="2737" spans="33:33">
      <c r="AG2737" s="14"/>
    </row>
    <row r="2738" spans="33:33">
      <c r="AG2738" s="14"/>
    </row>
    <row r="2739" spans="33:33">
      <c r="AG2739" s="14"/>
    </row>
    <row r="2740" spans="33:33">
      <c r="AG2740" s="14"/>
    </row>
    <row r="2741" spans="33:33">
      <c r="AG2741" s="14"/>
    </row>
    <row r="2742" spans="33:33">
      <c r="AG2742" s="14"/>
    </row>
    <row r="2743" spans="33:33">
      <c r="AG2743" s="14"/>
    </row>
    <row r="2744" spans="33:33">
      <c r="AG2744" s="14"/>
    </row>
    <row r="2745" spans="33:33">
      <c r="AG2745" s="14"/>
    </row>
    <row r="2746" spans="33:33">
      <c r="AG2746" s="14"/>
    </row>
    <row r="2747" spans="33:33">
      <c r="AG2747" s="14"/>
    </row>
    <row r="2748" spans="33:33">
      <c r="AG2748" s="14"/>
    </row>
    <row r="2749" spans="33:33">
      <c r="AG2749" s="14"/>
    </row>
    <row r="2750" spans="33:33">
      <c r="AG2750" s="14"/>
    </row>
    <row r="2751" spans="33:33">
      <c r="AG2751" s="14"/>
    </row>
    <row r="2752" spans="33:33">
      <c r="AG2752" s="14"/>
    </row>
    <row r="2753" spans="33:33">
      <c r="AG2753" s="14"/>
    </row>
    <row r="2754" spans="33:33">
      <c r="AG2754" s="14"/>
    </row>
    <row r="2755" spans="33:33">
      <c r="AG2755" s="14"/>
    </row>
    <row r="2756" spans="33:33">
      <c r="AG2756" s="14"/>
    </row>
    <row r="2757" spans="33:33">
      <c r="AG2757" s="14"/>
    </row>
    <row r="2758" spans="33:33">
      <c r="AG2758" s="14"/>
    </row>
    <row r="2759" spans="33:33">
      <c r="AG2759" s="14"/>
    </row>
    <row r="2760" spans="33:33">
      <c r="AG2760" s="14"/>
    </row>
    <row r="2761" spans="33:33">
      <c r="AG2761" s="14"/>
    </row>
    <row r="2762" spans="33:33">
      <c r="AG2762" s="14"/>
    </row>
    <row r="2763" spans="33:33">
      <c r="AG2763" s="14"/>
    </row>
    <row r="2764" spans="33:33">
      <c r="AG2764" s="14"/>
    </row>
    <row r="2765" spans="33:33">
      <c r="AG2765" s="14"/>
    </row>
    <row r="2766" spans="33:33">
      <c r="AG2766" s="14"/>
    </row>
    <row r="2767" spans="33:33">
      <c r="AG2767" s="14"/>
    </row>
    <row r="2768" spans="33:33">
      <c r="AG2768" s="14"/>
    </row>
    <row r="2769" spans="33:33">
      <c r="AG2769" s="14"/>
    </row>
    <row r="2770" spans="33:33">
      <c r="AG2770" s="14"/>
    </row>
    <row r="2771" spans="33:33">
      <c r="AG2771" s="14"/>
    </row>
    <row r="2772" spans="33:33">
      <c r="AG2772" s="14"/>
    </row>
    <row r="2773" spans="33:33">
      <c r="AG2773" s="14"/>
    </row>
    <row r="2774" spans="33:33">
      <c r="AG2774" s="14"/>
    </row>
    <row r="2775" spans="33:33">
      <c r="AG2775" s="14"/>
    </row>
    <row r="2776" spans="33:33">
      <c r="AG2776" s="14"/>
    </row>
    <row r="2777" spans="33:33">
      <c r="AG2777" s="14"/>
    </row>
    <row r="2778" spans="33:33">
      <c r="AG2778" s="14"/>
    </row>
    <row r="2779" spans="33:33">
      <c r="AG2779" s="14"/>
    </row>
    <row r="2780" spans="33:33">
      <c r="AG2780" s="14"/>
    </row>
    <row r="2781" spans="33:33">
      <c r="AG2781" s="14"/>
    </row>
    <row r="2782" spans="33:33">
      <c r="AG2782" s="14"/>
    </row>
    <row r="2783" spans="33:33">
      <c r="AG2783" s="14"/>
    </row>
    <row r="2784" spans="33:33">
      <c r="AG2784" s="14"/>
    </row>
    <row r="2785" spans="33:33">
      <c r="AG2785" s="14"/>
    </row>
    <row r="2786" spans="33:33">
      <c r="AG2786" s="14"/>
    </row>
    <row r="2787" spans="33:33">
      <c r="AG2787" s="14"/>
    </row>
    <row r="2788" spans="33:33">
      <c r="AG2788" s="14"/>
    </row>
    <row r="2789" spans="33:33">
      <c r="AG2789" s="14"/>
    </row>
    <row r="2790" spans="33:33">
      <c r="AG2790" s="14"/>
    </row>
    <row r="2791" spans="33:33">
      <c r="AG2791" s="14"/>
    </row>
    <row r="2792" spans="33:33">
      <c r="AG2792" s="14"/>
    </row>
    <row r="2793" spans="33:33">
      <c r="AG2793" s="14"/>
    </row>
    <row r="2794" spans="33:33">
      <c r="AG2794" s="14"/>
    </row>
    <row r="2795" spans="33:33">
      <c r="AG2795" s="14"/>
    </row>
    <row r="2796" spans="33:33">
      <c r="AG2796" s="14"/>
    </row>
    <row r="2797" spans="33:33">
      <c r="AG2797" s="14"/>
    </row>
    <row r="2798" spans="33:33">
      <c r="AG2798" s="14"/>
    </row>
    <row r="2799" spans="33:33">
      <c r="AG2799" s="14"/>
    </row>
    <row r="2800" spans="33:33">
      <c r="AG2800" s="14"/>
    </row>
    <row r="2801" spans="33:33">
      <c r="AG2801" s="14"/>
    </row>
    <row r="2802" spans="33:33">
      <c r="AG2802" s="14"/>
    </row>
    <row r="2803" spans="33:33">
      <c r="AG2803" s="14"/>
    </row>
    <row r="2804" spans="33:33">
      <c r="AG2804" s="14"/>
    </row>
    <row r="2805" spans="33:33">
      <c r="AG2805" s="14"/>
    </row>
    <row r="2806" spans="33:33">
      <c r="AG2806" s="14"/>
    </row>
    <row r="2807" spans="33:33">
      <c r="AG2807" s="14"/>
    </row>
    <row r="2808" spans="33:33">
      <c r="AG2808" s="14"/>
    </row>
    <row r="2809" spans="33:33">
      <c r="AG2809" s="14"/>
    </row>
    <row r="2810" spans="33:33">
      <c r="AG2810" s="14"/>
    </row>
    <row r="2811" spans="33:33">
      <c r="AG2811" s="14"/>
    </row>
    <row r="2812" spans="33:33">
      <c r="AG2812" s="14"/>
    </row>
    <row r="2813" spans="33:33">
      <c r="AG2813" s="14"/>
    </row>
    <row r="2814" spans="33:33">
      <c r="AG2814" s="14"/>
    </row>
    <row r="2815" spans="33:33">
      <c r="AG2815" s="14"/>
    </row>
    <row r="2816" spans="33:33">
      <c r="AG2816" s="14"/>
    </row>
    <row r="2817" spans="33:33">
      <c r="AG2817" s="14"/>
    </row>
    <row r="2818" spans="33:33">
      <c r="AG2818" s="14"/>
    </row>
    <row r="2819" spans="33:33">
      <c r="AG2819" s="14"/>
    </row>
    <row r="2820" spans="33:33">
      <c r="AG2820" s="14"/>
    </row>
    <row r="2821" spans="33:33">
      <c r="AG2821" s="14"/>
    </row>
    <row r="2822" spans="33:33">
      <c r="AG2822" s="14"/>
    </row>
    <row r="2823" spans="33:33">
      <c r="AG2823" s="14"/>
    </row>
    <row r="2824" spans="33:33">
      <c r="AG2824" s="14"/>
    </row>
    <row r="2825" spans="33:33">
      <c r="AG2825" s="14"/>
    </row>
    <row r="2826" spans="33:33">
      <c r="AG2826" s="14"/>
    </row>
    <row r="2827" spans="33:33">
      <c r="AG2827" s="14"/>
    </row>
    <row r="2828" spans="33:33">
      <c r="AG2828" s="14"/>
    </row>
    <row r="2829" spans="33:33">
      <c r="AG2829" s="14"/>
    </row>
    <row r="2830" spans="33:33">
      <c r="AG2830" s="14"/>
    </row>
    <row r="2831" spans="33:33">
      <c r="AG2831" s="14"/>
    </row>
    <row r="2832" spans="33:33">
      <c r="AG2832" s="14"/>
    </row>
    <row r="2833" spans="33:33">
      <c r="AG2833" s="14"/>
    </row>
    <row r="2834" spans="33:33">
      <c r="AG2834" s="14"/>
    </row>
    <row r="2835" spans="33:33">
      <c r="AG2835" s="14"/>
    </row>
    <row r="2836" spans="33:33">
      <c r="AG2836" s="14"/>
    </row>
    <row r="2837" spans="33:33">
      <c r="AG2837" s="14"/>
    </row>
    <row r="2838" spans="33:33">
      <c r="AG2838" s="14"/>
    </row>
    <row r="2839" spans="33:33">
      <c r="AG2839" s="14"/>
    </row>
    <row r="2840" spans="33:33">
      <c r="AG2840" s="14"/>
    </row>
    <row r="2841" spans="33:33">
      <c r="AG2841" s="14"/>
    </row>
    <row r="2842" spans="33:33">
      <c r="AG2842" s="14"/>
    </row>
    <row r="2843" spans="33:33">
      <c r="AG2843" s="14"/>
    </row>
    <row r="2844" spans="33:33">
      <c r="AG2844" s="14"/>
    </row>
    <row r="2845" spans="33:33">
      <c r="AG2845" s="14"/>
    </row>
    <row r="2846" spans="33:33">
      <c r="AG2846" s="14"/>
    </row>
    <row r="2847" spans="33:33">
      <c r="AG2847" s="14"/>
    </row>
    <row r="2848" spans="33:33">
      <c r="AG2848" s="14"/>
    </row>
    <row r="2849" spans="33:33">
      <c r="AG2849" s="14"/>
    </row>
    <row r="2850" spans="33:33">
      <c r="AG2850" s="14"/>
    </row>
    <row r="2851" spans="33:33">
      <c r="AG2851" s="14"/>
    </row>
    <row r="2852" spans="33:33">
      <c r="AG2852" s="14"/>
    </row>
    <row r="2853" spans="33:33">
      <c r="AG2853" s="14"/>
    </row>
    <row r="2854" spans="33:33">
      <c r="AG2854" s="14"/>
    </row>
    <row r="2855" spans="33:33">
      <c r="AG2855" s="14"/>
    </row>
    <row r="2856" spans="33:33">
      <c r="AG2856" s="14"/>
    </row>
    <row r="2857" spans="33:33">
      <c r="AG2857" s="14"/>
    </row>
    <row r="2858" spans="33:33">
      <c r="AG2858" s="14"/>
    </row>
    <row r="2859" spans="33:33">
      <c r="AG2859" s="14"/>
    </row>
    <row r="2860" spans="33:33">
      <c r="AG2860" s="14"/>
    </row>
    <row r="2861" spans="33:33">
      <c r="AG2861" s="14"/>
    </row>
    <row r="2862" spans="33:33">
      <c r="AG2862" s="14"/>
    </row>
    <row r="2863" spans="33:33">
      <c r="AG2863" s="14"/>
    </row>
    <row r="2864" spans="33:33">
      <c r="AG2864" s="14"/>
    </row>
    <row r="2865" spans="33:33">
      <c r="AG2865" s="14"/>
    </row>
    <row r="2866" spans="33:33">
      <c r="AG2866" s="14"/>
    </row>
    <row r="2867" spans="33:33">
      <c r="AG2867" s="14"/>
    </row>
    <row r="2868" spans="33:33">
      <c r="AG2868" s="14"/>
    </row>
    <row r="2869" spans="33:33">
      <c r="AG2869" s="14"/>
    </row>
    <row r="2870" spans="33:33">
      <c r="AG2870" s="14"/>
    </row>
    <row r="2871" spans="33:33">
      <c r="AG2871" s="14"/>
    </row>
    <row r="2872" spans="33:33">
      <c r="AG2872" s="14"/>
    </row>
    <row r="2873" spans="33:33">
      <c r="AG2873" s="14"/>
    </row>
    <row r="2874" spans="33:33">
      <c r="AG2874" s="14"/>
    </row>
    <row r="2875" spans="33:33">
      <c r="AG2875" s="14"/>
    </row>
    <row r="2876" spans="33:33">
      <c r="AG2876" s="14"/>
    </row>
    <row r="2877" spans="33:33">
      <c r="AG2877" s="14"/>
    </row>
    <row r="2878" spans="33:33">
      <c r="AG2878" s="14"/>
    </row>
    <row r="2879" spans="33:33">
      <c r="AG2879" s="14"/>
    </row>
    <row r="2880" spans="33:33">
      <c r="AG2880" s="14"/>
    </row>
    <row r="2881" spans="33:33">
      <c r="AG2881" s="14"/>
    </row>
    <row r="2882" spans="33:33">
      <c r="AG2882" s="14"/>
    </row>
    <row r="2883" spans="33:33">
      <c r="AG2883" s="14"/>
    </row>
    <row r="2884" spans="33:33">
      <c r="AG2884" s="14"/>
    </row>
    <row r="2885" spans="33:33">
      <c r="AG2885" s="14"/>
    </row>
    <row r="2886" spans="33:33">
      <c r="AG2886" s="14"/>
    </row>
    <row r="2887" spans="33:33">
      <c r="AG2887" s="14"/>
    </row>
    <row r="2888" spans="33:33">
      <c r="AG2888" s="14"/>
    </row>
    <row r="2889" spans="33:33">
      <c r="AG2889" s="14"/>
    </row>
    <row r="2890" spans="33:33">
      <c r="AG2890" s="14"/>
    </row>
    <row r="2891" spans="33:33">
      <c r="AG2891" s="14"/>
    </row>
    <row r="2892" spans="33:33">
      <c r="AG2892" s="14"/>
    </row>
    <row r="2893" spans="33:33">
      <c r="AG2893" s="14"/>
    </row>
    <row r="2894" spans="33:33">
      <c r="AG2894" s="14"/>
    </row>
    <row r="2895" spans="33:33">
      <c r="AG2895" s="14"/>
    </row>
    <row r="2896" spans="33:33">
      <c r="AG2896" s="14"/>
    </row>
    <row r="2897" spans="33:33">
      <c r="AG2897" s="14"/>
    </row>
    <row r="2898" spans="33:33">
      <c r="AG2898" s="14"/>
    </row>
    <row r="2899" spans="33:33">
      <c r="AG2899" s="14"/>
    </row>
    <row r="2900" spans="33:33">
      <c r="AG2900" s="14"/>
    </row>
    <row r="2901" spans="33:33">
      <c r="AG2901" s="14"/>
    </row>
    <row r="2902" spans="33:33">
      <c r="AG2902" s="14"/>
    </row>
    <row r="2903" spans="33:33">
      <c r="AG2903" s="14"/>
    </row>
    <row r="2904" spans="33:33">
      <c r="AG2904" s="14"/>
    </row>
    <row r="2905" spans="33:33">
      <c r="AG2905" s="14"/>
    </row>
    <row r="2906" spans="33:33">
      <c r="AG2906" s="14"/>
    </row>
    <row r="2907" spans="33:33">
      <c r="AG2907" s="14"/>
    </row>
    <row r="2908" spans="33:33">
      <c r="AG2908" s="14"/>
    </row>
    <row r="2909" spans="33:33">
      <c r="AG2909" s="14"/>
    </row>
    <row r="2910" spans="33:33">
      <c r="AG2910" s="14"/>
    </row>
    <row r="2911" spans="33:33">
      <c r="AG2911" s="14"/>
    </row>
    <row r="2912" spans="33:33">
      <c r="AG2912" s="14"/>
    </row>
    <row r="2913" spans="33:33">
      <c r="AG2913" s="14"/>
    </row>
    <row r="2914" spans="33:33">
      <c r="AG2914" s="14"/>
    </row>
    <row r="2915" spans="33:33">
      <c r="AG2915" s="14"/>
    </row>
    <row r="2916" spans="33:33">
      <c r="AG2916" s="14"/>
    </row>
    <row r="2917" spans="33:33">
      <c r="AG2917" s="14"/>
    </row>
    <row r="2918" spans="33:33">
      <c r="AG2918" s="14"/>
    </row>
    <row r="2919" spans="33:33">
      <c r="AG2919" s="14"/>
    </row>
    <row r="2920" spans="33:33">
      <c r="AG2920" s="14"/>
    </row>
    <row r="2921" spans="33:33">
      <c r="AG2921" s="14"/>
    </row>
    <row r="2922" spans="33:33">
      <c r="AG2922" s="14"/>
    </row>
    <row r="2923" spans="33:33">
      <c r="AG2923" s="14"/>
    </row>
    <row r="2924" spans="33:33">
      <c r="AG2924" s="14"/>
    </row>
    <row r="2925" spans="33:33">
      <c r="AG2925" s="14"/>
    </row>
    <row r="2926" spans="33:33">
      <c r="AG2926" s="14"/>
    </row>
    <row r="2927" spans="33:33">
      <c r="AG2927" s="14"/>
    </row>
    <row r="2928" spans="33:33">
      <c r="AG2928" s="14"/>
    </row>
    <row r="2929" spans="33:33">
      <c r="AG2929" s="14"/>
    </row>
    <row r="2930" spans="33:33">
      <c r="AG2930" s="14"/>
    </row>
    <row r="2931" spans="33:33">
      <c r="AG2931" s="14"/>
    </row>
    <row r="2932" spans="33:33">
      <c r="AG2932" s="14"/>
    </row>
    <row r="2933" spans="33:33">
      <c r="AG2933" s="14"/>
    </row>
    <row r="2934" spans="33:33">
      <c r="AG2934" s="14"/>
    </row>
    <row r="2935" spans="33:33">
      <c r="AG2935" s="14"/>
    </row>
    <row r="2936" spans="33:33">
      <c r="AG2936" s="14"/>
    </row>
    <row r="2937" spans="33:33">
      <c r="AG2937" s="14"/>
    </row>
    <row r="2938" spans="33:33">
      <c r="AG2938" s="14"/>
    </row>
    <row r="2939" spans="33:33">
      <c r="AG2939" s="14"/>
    </row>
    <row r="2940" spans="33:33">
      <c r="AG2940" s="14"/>
    </row>
    <row r="2941" spans="33:33">
      <c r="AG2941" s="14"/>
    </row>
    <row r="2942" spans="33:33">
      <c r="AG2942" s="14"/>
    </row>
    <row r="2943" spans="33:33">
      <c r="AG2943" s="14"/>
    </row>
    <row r="2944" spans="33:33">
      <c r="AG2944" s="14"/>
    </row>
    <row r="2945" spans="33:33">
      <c r="AG2945" s="14"/>
    </row>
    <row r="2946" spans="33:33">
      <c r="AG2946" s="14"/>
    </row>
    <row r="2947" spans="33:33">
      <c r="AG2947" s="14"/>
    </row>
    <row r="2948" spans="33:33">
      <c r="AG2948" s="14"/>
    </row>
    <row r="2949" spans="33:33">
      <c r="AG2949" s="14"/>
    </row>
    <row r="2950" spans="33:33">
      <c r="AG2950" s="14"/>
    </row>
    <row r="2951" spans="33:33">
      <c r="AG2951" s="14"/>
    </row>
    <row r="2952" spans="33:33">
      <c r="AG2952" s="14"/>
    </row>
    <row r="2953" spans="33:33">
      <c r="AG2953" s="14"/>
    </row>
    <row r="2954" spans="33:33">
      <c r="AG2954" s="14"/>
    </row>
    <row r="2955" spans="33:33">
      <c r="AG2955" s="14"/>
    </row>
    <row r="2956" spans="33:33">
      <c r="AG2956" s="14"/>
    </row>
    <row r="2957" spans="33:33">
      <c r="AG2957" s="14"/>
    </row>
    <row r="2958" spans="33:33">
      <c r="AG2958" s="14"/>
    </row>
    <row r="2959" spans="33:33">
      <c r="AG2959" s="14"/>
    </row>
    <row r="2960" spans="33:33">
      <c r="AG2960" s="14"/>
    </row>
    <row r="2961" spans="33:33">
      <c r="AG2961" s="14"/>
    </row>
    <row r="2962" spans="33:33">
      <c r="AG2962" s="14"/>
    </row>
    <row r="2963" spans="33:33">
      <c r="AG2963" s="14"/>
    </row>
    <row r="2964" spans="33:33">
      <c r="AG2964" s="14"/>
    </row>
    <row r="2965" spans="33:33">
      <c r="AG2965" s="14"/>
    </row>
    <row r="2966" spans="33:33">
      <c r="AG2966" s="14"/>
    </row>
    <row r="2967" spans="33:33">
      <c r="AG2967" s="14"/>
    </row>
    <row r="2968" spans="33:33">
      <c r="AG2968" s="14"/>
    </row>
    <row r="2969" spans="33:33">
      <c r="AG2969" s="14"/>
    </row>
    <row r="2970" spans="33:33">
      <c r="AG2970" s="14"/>
    </row>
    <row r="2971" spans="33:33">
      <c r="AG2971" s="14"/>
    </row>
    <row r="2972" spans="33:33">
      <c r="AG2972" s="14"/>
    </row>
    <row r="2973" spans="33:33">
      <c r="AG2973" s="14"/>
    </row>
    <row r="2974" spans="33:33">
      <c r="AG2974" s="14"/>
    </row>
    <row r="2975" spans="33:33">
      <c r="AG2975" s="14"/>
    </row>
    <row r="2976" spans="33:33">
      <c r="AG2976" s="14"/>
    </row>
    <row r="2977" spans="33:33">
      <c r="AG2977" s="14"/>
    </row>
    <row r="2978" spans="33:33">
      <c r="AG2978" s="14"/>
    </row>
    <row r="2979" spans="33:33">
      <c r="AG2979" s="14"/>
    </row>
    <row r="2980" spans="33:33">
      <c r="AG2980" s="14"/>
    </row>
    <row r="2981" spans="33:33">
      <c r="AG2981" s="14"/>
    </row>
    <row r="2982" spans="33:33">
      <c r="AG2982" s="14"/>
    </row>
    <row r="2983" spans="33:33">
      <c r="AG2983" s="14"/>
    </row>
    <row r="2984" spans="33:33">
      <c r="AG2984" s="14"/>
    </row>
    <row r="2985" spans="33:33">
      <c r="AG2985" s="14"/>
    </row>
    <row r="2986" spans="33:33">
      <c r="AG2986" s="14"/>
    </row>
    <row r="2987" spans="33:33">
      <c r="AG2987" s="14"/>
    </row>
    <row r="2988" spans="33:33">
      <c r="AG2988" s="14"/>
    </row>
    <row r="2989" spans="33:33">
      <c r="AG2989" s="14"/>
    </row>
    <row r="2990" spans="33:33">
      <c r="AG2990" s="14"/>
    </row>
    <row r="2991" spans="33:33">
      <c r="AG2991" s="14"/>
    </row>
    <row r="2992" spans="33:33">
      <c r="AG2992" s="14"/>
    </row>
    <row r="2993" spans="33:33">
      <c r="AG2993" s="14"/>
    </row>
    <row r="2994" spans="33:33">
      <c r="AG2994" s="14"/>
    </row>
    <row r="2995" spans="33:33">
      <c r="AG2995" s="14"/>
    </row>
    <row r="2996" spans="33:33">
      <c r="AG2996" s="14"/>
    </row>
    <row r="2997" spans="33:33">
      <c r="AG2997" s="14"/>
    </row>
    <row r="2998" spans="33:33">
      <c r="AG2998" s="14"/>
    </row>
    <row r="2999" spans="33:33">
      <c r="AG2999" s="14"/>
    </row>
    <row r="3000" spans="33:33">
      <c r="AG3000" s="14"/>
    </row>
    <row r="3001" spans="33:33">
      <c r="AG3001" s="14"/>
    </row>
    <row r="3002" spans="33:33">
      <c r="AG3002" s="14"/>
    </row>
    <row r="3003" spans="33:33">
      <c r="AG3003" s="14"/>
    </row>
    <row r="3004" spans="33:33">
      <c r="AG3004" s="14"/>
    </row>
    <row r="3005" spans="33:33">
      <c r="AG3005" s="14"/>
    </row>
    <row r="3006" spans="33:33">
      <c r="AG3006" s="14"/>
    </row>
    <row r="3007" spans="33:33">
      <c r="AG3007" s="14"/>
    </row>
    <row r="3008" spans="33:33">
      <c r="AG3008" s="14"/>
    </row>
    <row r="3009" spans="33:33">
      <c r="AG3009" s="14"/>
    </row>
    <row r="3010" spans="33:33">
      <c r="AG3010" s="14"/>
    </row>
    <row r="3011" spans="33:33">
      <c r="AG3011" s="14"/>
    </row>
    <row r="3012" spans="33:33">
      <c r="AG3012" s="14"/>
    </row>
    <row r="3013" spans="33:33">
      <c r="AG3013" s="14"/>
    </row>
    <row r="3014" spans="33:33">
      <c r="AG3014" s="14"/>
    </row>
    <row r="3015" spans="33:33">
      <c r="AG3015" s="14"/>
    </row>
    <row r="3016" spans="33:33">
      <c r="AG3016" s="14"/>
    </row>
    <row r="3017" spans="33:33">
      <c r="AG3017" s="14"/>
    </row>
    <row r="3018" spans="33:33">
      <c r="AG3018" s="14"/>
    </row>
    <row r="3019" spans="33:33">
      <c r="AG3019" s="14"/>
    </row>
    <row r="3020" spans="33:33">
      <c r="AG3020" s="14"/>
    </row>
    <row r="3021" spans="33:33">
      <c r="AG3021" s="14"/>
    </row>
    <row r="3022" spans="33:33">
      <c r="AG3022" s="14"/>
    </row>
    <row r="3023" spans="33:33">
      <c r="AG3023" s="14"/>
    </row>
    <row r="3024" spans="33:33">
      <c r="AG3024" s="14"/>
    </row>
    <row r="3025" spans="33:33">
      <c r="AG3025" s="14"/>
    </row>
    <row r="3026" spans="33:33">
      <c r="AG3026" s="14"/>
    </row>
    <row r="3027" spans="33:33">
      <c r="AG3027" s="14"/>
    </row>
    <row r="3028" spans="33:33">
      <c r="AG3028" s="14"/>
    </row>
    <row r="3029" spans="33:33">
      <c r="AG3029" s="14"/>
    </row>
    <row r="3030" spans="33:33">
      <c r="AG3030" s="14"/>
    </row>
    <row r="3031" spans="33:33">
      <c r="AG3031" s="14"/>
    </row>
    <row r="3032" spans="33:33">
      <c r="AG3032" s="14"/>
    </row>
    <row r="3033" spans="33:33">
      <c r="AG3033" s="14"/>
    </row>
    <row r="3034" spans="33:33">
      <c r="AG3034" s="14"/>
    </row>
    <row r="3035" spans="33:33">
      <c r="AG3035" s="14"/>
    </row>
    <row r="3036" spans="33:33">
      <c r="AG3036" s="14"/>
    </row>
    <row r="3037" spans="33:33">
      <c r="AG3037" s="14"/>
    </row>
    <row r="3038" spans="33:33">
      <c r="AG3038" s="14"/>
    </row>
    <row r="3039" spans="33:33">
      <c r="AG3039" s="14"/>
    </row>
    <row r="3040" spans="33:33">
      <c r="AG3040" s="14"/>
    </row>
    <row r="3041" spans="33:33">
      <c r="AG3041" s="14"/>
    </row>
    <row r="3042" spans="33:33">
      <c r="AG3042" s="14"/>
    </row>
    <row r="3043" spans="33:33">
      <c r="AG3043" s="14"/>
    </row>
    <row r="3044" spans="33:33">
      <c r="AG3044" s="14"/>
    </row>
    <row r="3045" spans="33:33">
      <c r="AG3045" s="14"/>
    </row>
    <row r="3046" spans="33:33">
      <c r="AG3046" s="14"/>
    </row>
    <row r="3047" spans="33:33">
      <c r="AG3047" s="14"/>
    </row>
    <row r="3048" spans="33:33">
      <c r="AG3048" s="14"/>
    </row>
    <row r="3049" spans="33:33">
      <c r="AG3049" s="14"/>
    </row>
    <row r="3050" spans="33:33">
      <c r="AG3050" s="14"/>
    </row>
    <row r="3051" spans="33:33">
      <c r="AG3051" s="14"/>
    </row>
    <row r="3052" spans="33:33">
      <c r="AG3052" s="14"/>
    </row>
    <row r="3053" spans="33:33">
      <c r="AG3053" s="14"/>
    </row>
    <row r="3054" spans="33:33">
      <c r="AG3054" s="14"/>
    </row>
    <row r="3055" spans="33:33">
      <c r="AG3055" s="14"/>
    </row>
    <row r="3056" spans="33:33">
      <c r="AG3056" s="14"/>
    </row>
    <row r="3057" spans="33:33">
      <c r="AG3057" s="14"/>
    </row>
    <row r="3058" spans="33:33">
      <c r="AG3058" s="14"/>
    </row>
    <row r="3059" spans="33:33">
      <c r="AG3059" s="14"/>
    </row>
    <row r="3060" spans="33:33">
      <c r="AG3060" s="14"/>
    </row>
    <row r="3061" spans="33:33">
      <c r="AG3061" s="14"/>
    </row>
    <row r="3062" spans="33:33">
      <c r="AG3062" s="14"/>
    </row>
    <row r="3063" spans="33:33">
      <c r="AG3063" s="14"/>
    </row>
    <row r="3064" spans="33:33">
      <c r="AG3064" s="14"/>
    </row>
    <row r="3065" spans="33:33">
      <c r="AG3065" s="14"/>
    </row>
    <row r="3066" spans="33:33">
      <c r="AG3066" s="14"/>
    </row>
    <row r="3067" spans="33:33">
      <c r="AG3067" s="14"/>
    </row>
    <row r="3068" spans="33:33">
      <c r="AG3068" s="14"/>
    </row>
    <row r="3069" spans="33:33">
      <c r="AG3069" s="14"/>
    </row>
    <row r="3070" spans="33:33">
      <c r="AG3070" s="14"/>
    </row>
    <row r="3071" spans="33:33">
      <c r="AG3071" s="14"/>
    </row>
    <row r="3072" spans="33:33">
      <c r="AG3072" s="14"/>
    </row>
    <row r="3073" spans="33:33">
      <c r="AG3073" s="14"/>
    </row>
    <row r="3074" spans="33:33">
      <c r="AG3074" s="14"/>
    </row>
    <row r="3075" spans="33:33">
      <c r="AG3075" s="14"/>
    </row>
    <row r="3076" spans="33:33">
      <c r="AG3076" s="14"/>
    </row>
    <row r="3077" spans="33:33">
      <c r="AG3077" s="14"/>
    </row>
    <row r="3078" spans="33:33">
      <c r="AG3078" s="14"/>
    </row>
    <row r="3079" spans="33:33">
      <c r="AG3079" s="14"/>
    </row>
    <row r="3080" spans="33:33">
      <c r="AG3080" s="14"/>
    </row>
    <row r="3081" spans="33:33">
      <c r="AG3081" s="14"/>
    </row>
    <row r="3082" spans="33:33">
      <c r="AG3082" s="14"/>
    </row>
    <row r="3083" spans="33:33">
      <c r="AG3083" s="14"/>
    </row>
    <row r="3084" spans="33:33">
      <c r="AG3084" s="14"/>
    </row>
    <row r="3085" spans="33:33">
      <c r="AG3085" s="14"/>
    </row>
    <row r="3086" spans="33:33">
      <c r="AG3086" s="14"/>
    </row>
    <row r="3087" spans="33:33">
      <c r="AG3087" s="14"/>
    </row>
    <row r="3088" spans="33:33">
      <c r="AG3088" s="14"/>
    </row>
    <row r="3089" spans="33:33">
      <c r="AG3089" s="14"/>
    </row>
    <row r="3090" spans="33:33">
      <c r="AG3090" s="14"/>
    </row>
    <row r="3091" spans="33:33">
      <c r="AG3091" s="14"/>
    </row>
    <row r="3092" spans="33:33">
      <c r="AG3092" s="14"/>
    </row>
    <row r="3093" spans="33:33">
      <c r="AG3093" s="14"/>
    </row>
    <row r="3094" spans="33:33">
      <c r="AG3094" s="14"/>
    </row>
    <row r="3095" spans="33:33">
      <c r="AG3095" s="14"/>
    </row>
    <row r="3096" spans="33:33">
      <c r="AG3096" s="14"/>
    </row>
    <row r="3097" spans="33:33">
      <c r="AG3097" s="14"/>
    </row>
    <row r="3098" spans="33:33">
      <c r="AG3098" s="14"/>
    </row>
    <row r="3099" spans="33:33">
      <c r="AG3099" s="14"/>
    </row>
    <row r="3100" spans="33:33">
      <c r="AG3100" s="14"/>
    </row>
    <row r="3101" spans="33:33">
      <c r="AG3101" s="14"/>
    </row>
    <row r="3102" spans="33:33">
      <c r="AG3102" s="14"/>
    </row>
    <row r="3103" spans="33:33">
      <c r="AG3103" s="14"/>
    </row>
    <row r="3104" spans="33:33">
      <c r="AG3104" s="14"/>
    </row>
    <row r="3105" spans="33:33">
      <c r="AG3105" s="14"/>
    </row>
    <row r="3106" spans="33:33">
      <c r="AG3106" s="14"/>
    </row>
    <row r="3107" spans="33:33">
      <c r="AG3107" s="14"/>
    </row>
    <row r="3108" spans="33:33">
      <c r="AG3108" s="14"/>
    </row>
    <row r="3109" spans="33:33">
      <c r="AG3109" s="14"/>
    </row>
    <row r="3110" spans="33:33">
      <c r="AG3110" s="14"/>
    </row>
    <row r="3111" spans="33:33">
      <c r="AG3111" s="14"/>
    </row>
    <row r="3112" spans="33:33">
      <c r="AG3112" s="14"/>
    </row>
    <row r="3113" spans="33:33">
      <c r="AG3113" s="14"/>
    </row>
    <row r="3114" spans="33:33">
      <c r="AG3114" s="14"/>
    </row>
    <row r="3115" spans="33:33">
      <c r="AG3115" s="14"/>
    </row>
    <row r="3116" spans="33:33">
      <c r="AG3116" s="14"/>
    </row>
    <row r="3117" spans="33:33">
      <c r="AG3117" s="14"/>
    </row>
    <row r="3118" spans="33:33">
      <c r="AG3118" s="14"/>
    </row>
    <row r="3119" spans="33:33">
      <c r="AG3119" s="14"/>
    </row>
    <row r="3120" spans="33:33">
      <c r="AG3120" s="14"/>
    </row>
    <row r="3121" spans="33:33">
      <c r="AG3121" s="14"/>
    </row>
    <row r="3122" spans="33:33">
      <c r="AG3122" s="14"/>
    </row>
    <row r="3123" spans="33:33">
      <c r="AG3123" s="14"/>
    </row>
    <row r="3124" spans="33:33">
      <c r="AG3124" s="14"/>
    </row>
    <row r="3125" spans="33:33">
      <c r="AG3125" s="14"/>
    </row>
    <row r="3126" spans="33:33">
      <c r="AG3126" s="14"/>
    </row>
    <row r="3127" spans="33:33">
      <c r="AG3127" s="14"/>
    </row>
    <row r="3128" spans="33:33">
      <c r="AG3128" s="14"/>
    </row>
    <row r="3129" spans="33:33">
      <c r="AG3129" s="14"/>
    </row>
    <row r="3130" spans="33:33">
      <c r="AG3130" s="14"/>
    </row>
    <row r="3131" spans="33:33">
      <c r="AG3131" s="14"/>
    </row>
    <row r="3132" spans="33:33">
      <c r="AG3132" s="14"/>
    </row>
    <row r="3133" spans="33:33">
      <c r="AG3133" s="14"/>
    </row>
    <row r="3134" spans="33:33">
      <c r="AG3134" s="14"/>
    </row>
    <row r="3135" spans="33:33">
      <c r="AG3135" s="14"/>
    </row>
    <row r="3136" spans="33:33">
      <c r="AG3136" s="14"/>
    </row>
    <row r="3137" spans="33:33">
      <c r="AG3137" s="14"/>
    </row>
    <row r="3138" spans="33:33">
      <c r="AG3138" s="14"/>
    </row>
    <row r="3139" spans="33:33">
      <c r="AG3139" s="14"/>
    </row>
    <row r="3140" spans="33:33">
      <c r="AG3140" s="14"/>
    </row>
    <row r="3141" spans="33:33">
      <c r="AG3141" s="14"/>
    </row>
    <row r="3142" spans="33:33">
      <c r="AG3142" s="14"/>
    </row>
    <row r="3143" spans="33:33">
      <c r="AG3143" s="14"/>
    </row>
    <row r="3144" spans="33:33">
      <c r="AG3144" s="14"/>
    </row>
    <row r="3145" spans="33:33">
      <c r="AG3145" s="14"/>
    </row>
    <row r="3146" spans="33:33">
      <c r="AG3146" s="14"/>
    </row>
    <row r="3147" spans="33:33">
      <c r="AG3147" s="14"/>
    </row>
    <row r="3148" spans="33:33">
      <c r="AG3148" s="14"/>
    </row>
    <row r="3149" spans="33:33">
      <c r="AG3149" s="14"/>
    </row>
    <row r="3150" spans="33:33">
      <c r="AG3150" s="14"/>
    </row>
    <row r="3151" spans="33:33">
      <c r="AG3151" s="14"/>
    </row>
    <row r="3152" spans="33:33">
      <c r="AG3152" s="14"/>
    </row>
    <row r="3153" spans="33:33">
      <c r="AG3153" s="14"/>
    </row>
    <row r="3154" spans="33:33">
      <c r="AG3154" s="14"/>
    </row>
    <row r="3155" spans="33:33">
      <c r="AG3155" s="14"/>
    </row>
    <row r="3156" spans="33:33">
      <c r="AG3156" s="14"/>
    </row>
    <row r="3157" spans="33:33">
      <c r="AG3157" s="14"/>
    </row>
    <row r="3158" spans="33:33">
      <c r="AG3158" s="14"/>
    </row>
    <row r="3159" spans="33:33">
      <c r="AG3159" s="14"/>
    </row>
    <row r="3160" spans="33:33">
      <c r="AG3160" s="14"/>
    </row>
    <row r="3161" spans="33:33">
      <c r="AG3161" s="14"/>
    </row>
    <row r="3162" spans="33:33">
      <c r="AG3162" s="14"/>
    </row>
    <row r="3163" spans="33:33">
      <c r="AG3163" s="14"/>
    </row>
    <row r="3164" spans="33:33">
      <c r="AG3164" s="14"/>
    </row>
    <row r="3165" spans="33:33">
      <c r="AG3165" s="14"/>
    </row>
    <row r="3166" spans="33:33">
      <c r="AG3166" s="14"/>
    </row>
    <row r="3167" spans="33:33">
      <c r="AG3167" s="14"/>
    </row>
    <row r="3168" spans="33:33">
      <c r="AG3168" s="14"/>
    </row>
    <row r="3169" spans="33:33">
      <c r="AG3169" s="14"/>
    </row>
    <row r="3170" spans="33:33">
      <c r="AG3170" s="14"/>
    </row>
    <row r="3171" spans="33:33">
      <c r="AG3171" s="14"/>
    </row>
    <row r="3172" spans="33:33">
      <c r="AG3172" s="14"/>
    </row>
    <row r="3173" spans="33:33">
      <c r="AG3173" s="14"/>
    </row>
    <row r="3174" spans="33:33">
      <c r="AG3174" s="14"/>
    </row>
    <row r="3175" spans="33:33">
      <c r="AG3175" s="14"/>
    </row>
    <row r="3176" spans="33:33">
      <c r="AG3176" s="14"/>
    </row>
    <row r="3177" spans="33:33">
      <c r="AG3177" s="14"/>
    </row>
    <row r="3178" spans="33:33">
      <c r="AG3178" s="14"/>
    </row>
    <row r="3179" spans="33:33">
      <c r="AG3179" s="14"/>
    </row>
    <row r="3180" spans="33:33">
      <c r="AG3180" s="14"/>
    </row>
    <row r="3181" spans="33:33">
      <c r="AG3181" s="14"/>
    </row>
    <row r="3182" spans="33:33">
      <c r="AG3182" s="14"/>
    </row>
    <row r="3183" spans="33:33">
      <c r="AG3183" s="14"/>
    </row>
    <row r="3184" spans="33:33">
      <c r="AG3184" s="14"/>
    </row>
    <row r="3185" spans="33:33">
      <c r="AG3185" s="14"/>
    </row>
    <row r="3186" spans="33:33">
      <c r="AG3186" s="14"/>
    </row>
    <row r="3187" spans="33:33">
      <c r="AG3187" s="14"/>
    </row>
    <row r="3188" spans="33:33">
      <c r="AG3188" s="14"/>
    </row>
    <row r="3189" spans="33:33">
      <c r="AG3189" s="14"/>
    </row>
    <row r="3190" spans="33:33">
      <c r="AG3190" s="14"/>
    </row>
    <row r="3191" spans="33:33">
      <c r="AG3191" s="14"/>
    </row>
    <row r="3192" spans="33:33">
      <c r="AG3192" s="14"/>
    </row>
    <row r="3193" spans="33:33">
      <c r="AG3193" s="14"/>
    </row>
    <row r="3194" spans="33:33">
      <c r="AG3194" s="14"/>
    </row>
    <row r="3195" spans="33:33">
      <c r="AG3195" s="14"/>
    </row>
    <row r="3196" spans="33:33">
      <c r="AG3196" s="14"/>
    </row>
    <row r="3197" spans="33:33">
      <c r="AG3197" s="14"/>
    </row>
    <row r="3198" spans="33:33">
      <c r="AG3198" s="14"/>
    </row>
    <row r="3199" spans="33:33">
      <c r="AG3199" s="14"/>
    </row>
    <row r="3200" spans="33:33">
      <c r="AG3200" s="14"/>
    </row>
    <row r="3201" spans="33:33">
      <c r="AG3201" s="14"/>
    </row>
    <row r="3202" spans="33:33">
      <c r="AG3202" s="14"/>
    </row>
    <row r="3203" spans="33:33">
      <c r="AG3203" s="14"/>
    </row>
    <row r="3204" spans="33:33">
      <c r="AG3204" s="14"/>
    </row>
    <row r="3205" spans="33:33">
      <c r="AG3205" s="14"/>
    </row>
    <row r="3206" spans="33:33">
      <c r="AG3206" s="14"/>
    </row>
    <row r="3207" spans="33:33">
      <c r="AG3207" s="14"/>
    </row>
    <row r="3208" spans="33:33">
      <c r="AG3208" s="14"/>
    </row>
    <row r="3209" spans="33:33">
      <c r="AG3209" s="14"/>
    </row>
    <row r="3210" spans="33:33">
      <c r="AG3210" s="14"/>
    </row>
    <row r="3211" spans="33:33">
      <c r="AG3211" s="14"/>
    </row>
    <row r="3212" spans="33:33">
      <c r="AG3212" s="14"/>
    </row>
    <row r="3213" spans="33:33">
      <c r="AG3213" s="14"/>
    </row>
    <row r="3214" spans="33:33">
      <c r="AG3214" s="14"/>
    </row>
    <row r="3215" spans="33:33">
      <c r="AG3215" s="14"/>
    </row>
    <row r="3216" spans="33:33">
      <c r="AG3216" s="14"/>
    </row>
    <row r="3217" spans="33:33">
      <c r="AG3217" s="14"/>
    </row>
    <row r="3218" spans="33:33">
      <c r="AG3218" s="14"/>
    </row>
    <row r="3219" spans="33:33">
      <c r="AG3219" s="14"/>
    </row>
    <row r="3220" spans="33:33">
      <c r="AG3220" s="14"/>
    </row>
    <row r="3221" spans="33:33">
      <c r="AG3221" s="14"/>
    </row>
    <row r="3222" spans="33:33">
      <c r="AG3222" s="14"/>
    </row>
    <row r="3223" spans="33:33">
      <c r="AG3223" s="14"/>
    </row>
    <row r="3224" spans="33:33">
      <c r="AG3224" s="14"/>
    </row>
    <row r="3225" spans="33:33">
      <c r="AG3225" s="14"/>
    </row>
    <row r="3226" spans="33:33">
      <c r="AG3226" s="14"/>
    </row>
    <row r="3227" spans="33:33">
      <c r="AG3227" s="14"/>
    </row>
    <row r="3228" spans="33:33">
      <c r="AG3228" s="14"/>
    </row>
    <row r="3229" spans="33:33">
      <c r="AG3229" s="14"/>
    </row>
    <row r="3230" spans="33:33">
      <c r="AG3230" s="14"/>
    </row>
    <row r="3231" spans="33:33">
      <c r="AG3231" s="14"/>
    </row>
    <row r="3232" spans="33:33">
      <c r="AG3232" s="14"/>
    </row>
    <row r="3233" spans="33:33">
      <c r="AG3233" s="14"/>
    </row>
    <row r="3234" spans="33:33">
      <c r="AG3234" s="14"/>
    </row>
    <row r="3235" spans="33:33">
      <c r="AG3235" s="14"/>
    </row>
    <row r="3236" spans="33:33">
      <c r="AG3236" s="14"/>
    </row>
    <row r="3237" spans="33:33">
      <c r="AG3237" s="14"/>
    </row>
    <row r="3238" spans="33:33">
      <c r="AG3238" s="14"/>
    </row>
    <row r="3239" spans="33:33">
      <c r="AG3239" s="14"/>
    </row>
    <row r="3240" spans="33:33">
      <c r="AG3240" s="14"/>
    </row>
    <row r="3241" spans="33:33">
      <c r="AG3241" s="14"/>
    </row>
    <row r="3242" spans="33:33">
      <c r="AG3242" s="14"/>
    </row>
    <row r="3243" spans="33:33">
      <c r="AG3243" s="14"/>
    </row>
    <row r="3244" spans="33:33">
      <c r="AG3244" s="14"/>
    </row>
    <row r="3245" spans="33:33">
      <c r="AG3245" s="14"/>
    </row>
    <row r="3246" spans="33:33">
      <c r="AG3246" s="14"/>
    </row>
    <row r="3247" spans="33:33">
      <c r="AG3247" s="14"/>
    </row>
    <row r="3248" spans="33:33">
      <c r="AG3248" s="14"/>
    </row>
    <row r="3249" spans="33:33">
      <c r="AG3249" s="14"/>
    </row>
    <row r="3250" spans="33:33">
      <c r="AG3250" s="14"/>
    </row>
    <row r="3251" spans="33:33">
      <c r="AG3251" s="14"/>
    </row>
    <row r="3252" spans="33:33">
      <c r="AG3252" s="14"/>
    </row>
    <row r="3253" spans="33:33">
      <c r="AG3253" s="14"/>
    </row>
    <row r="3254" spans="33:33">
      <c r="AG3254" s="14"/>
    </row>
    <row r="3255" spans="33:33">
      <c r="AG3255" s="14"/>
    </row>
    <row r="3256" spans="33:33">
      <c r="AG3256" s="14"/>
    </row>
    <row r="3257" spans="33:33">
      <c r="AG3257" s="14"/>
    </row>
    <row r="3258" spans="33:33">
      <c r="AG3258" s="14"/>
    </row>
    <row r="3259" spans="33:33">
      <c r="AG3259" s="14"/>
    </row>
    <row r="3260" spans="33:33">
      <c r="AG3260" s="14"/>
    </row>
    <row r="3261" spans="33:33">
      <c r="AG3261" s="14"/>
    </row>
    <row r="3262" spans="33:33">
      <c r="AG3262" s="14"/>
    </row>
    <row r="3263" spans="33:33">
      <c r="AG3263" s="14"/>
    </row>
    <row r="3264" spans="33:33">
      <c r="AG3264" s="14"/>
    </row>
    <row r="3265" spans="33:33">
      <c r="AG3265" s="14"/>
    </row>
    <row r="3266" spans="33:33">
      <c r="AG3266" s="14"/>
    </row>
    <row r="3267" spans="33:33">
      <c r="AG3267" s="14"/>
    </row>
    <row r="3268" spans="33:33">
      <c r="AG3268" s="14"/>
    </row>
    <row r="3269" spans="33:33">
      <c r="AG3269" s="14"/>
    </row>
    <row r="3270" spans="33:33">
      <c r="AG3270" s="14"/>
    </row>
    <row r="3271" spans="33:33">
      <c r="AG3271" s="14"/>
    </row>
    <row r="3272" spans="33:33">
      <c r="AG3272" s="14"/>
    </row>
    <row r="3273" spans="33:33">
      <c r="AG3273" s="14"/>
    </row>
    <row r="3274" spans="33:33">
      <c r="AG3274" s="14"/>
    </row>
    <row r="3275" spans="33:33">
      <c r="AG3275" s="14"/>
    </row>
    <row r="3276" spans="33:33">
      <c r="AG3276" s="14"/>
    </row>
    <row r="3277" spans="33:33">
      <c r="AG3277" s="14"/>
    </row>
    <row r="3278" spans="33:33">
      <c r="AG3278" s="14"/>
    </row>
    <row r="3279" spans="33:33">
      <c r="AG3279" s="14"/>
    </row>
    <row r="3280" spans="33:33">
      <c r="AG3280" s="14"/>
    </row>
    <row r="3281" spans="33:33">
      <c r="AG3281" s="14"/>
    </row>
    <row r="3282" spans="33:33">
      <c r="AG3282" s="14"/>
    </row>
    <row r="3283" spans="33:33">
      <c r="AG3283" s="14"/>
    </row>
    <row r="3284" spans="33:33">
      <c r="AG3284" s="14"/>
    </row>
    <row r="3285" spans="33:33">
      <c r="AG3285" s="14"/>
    </row>
    <row r="3286" spans="33:33">
      <c r="AG3286" s="14"/>
    </row>
    <row r="3287" spans="33:33">
      <c r="AG3287" s="14"/>
    </row>
    <row r="3288" spans="33:33">
      <c r="AG3288" s="14"/>
    </row>
    <row r="3289" spans="33:33">
      <c r="AG3289" s="14"/>
    </row>
    <row r="3290" spans="33:33">
      <c r="AG3290" s="14"/>
    </row>
    <row r="3291" spans="33:33">
      <c r="AG3291" s="14"/>
    </row>
    <row r="3292" spans="33:33">
      <c r="AG3292" s="14"/>
    </row>
    <row r="3293" spans="33:33">
      <c r="AG3293" s="14"/>
    </row>
    <row r="3294" spans="33:33">
      <c r="AG3294" s="14"/>
    </row>
    <row r="3295" spans="33:33">
      <c r="AG3295" s="14"/>
    </row>
    <row r="3296" spans="33:33">
      <c r="AG3296" s="14"/>
    </row>
    <row r="3297" spans="33:33">
      <c r="AG3297" s="14"/>
    </row>
    <row r="3298" spans="33:33">
      <c r="AG3298" s="14"/>
    </row>
    <row r="3299" spans="33:33">
      <c r="AG3299" s="14"/>
    </row>
    <row r="3300" spans="33:33">
      <c r="AG3300" s="14"/>
    </row>
    <row r="3301" spans="33:33">
      <c r="AG3301" s="14"/>
    </row>
    <row r="3302" spans="33:33">
      <c r="AG3302" s="14"/>
    </row>
    <row r="3303" spans="33:33">
      <c r="AG3303" s="14"/>
    </row>
    <row r="3304" spans="33:33">
      <c r="AG3304" s="14"/>
    </row>
    <row r="3305" spans="33:33">
      <c r="AG3305" s="14"/>
    </row>
    <row r="3306" spans="33:33">
      <c r="AG3306" s="14"/>
    </row>
    <row r="3307" spans="33:33">
      <c r="AG3307" s="14"/>
    </row>
    <row r="3308" spans="33:33">
      <c r="AG3308" s="14"/>
    </row>
    <row r="3309" spans="33:33">
      <c r="AG3309" s="14"/>
    </row>
    <row r="3310" spans="33:33">
      <c r="AG3310" s="14"/>
    </row>
    <row r="3311" spans="33:33">
      <c r="AG3311" s="14"/>
    </row>
    <row r="3312" spans="33:33">
      <c r="AG3312" s="14"/>
    </row>
    <row r="3313" spans="33:33">
      <c r="AG3313" s="14"/>
    </row>
    <row r="3314" spans="33:33">
      <c r="AG3314" s="14"/>
    </row>
    <row r="3315" spans="33:33">
      <c r="AG3315" s="14"/>
    </row>
    <row r="3316" spans="33:33">
      <c r="AG3316" s="14"/>
    </row>
    <row r="3317" spans="33:33">
      <c r="AG3317" s="14"/>
    </row>
    <row r="3318" spans="33:33">
      <c r="AG3318" s="14"/>
    </row>
    <row r="3319" spans="33:33">
      <c r="AG3319" s="14"/>
    </row>
    <row r="3320" spans="33:33">
      <c r="AG3320" s="14"/>
    </row>
    <row r="3321" spans="33:33">
      <c r="AG3321" s="14"/>
    </row>
    <row r="3322" spans="33:33">
      <c r="AG3322" s="14"/>
    </row>
    <row r="3323" spans="33:33">
      <c r="AG3323" s="14"/>
    </row>
    <row r="3324" spans="33:33">
      <c r="AG3324" s="14"/>
    </row>
    <row r="3325" spans="33:33">
      <c r="AG3325" s="14"/>
    </row>
    <row r="3326" spans="33:33">
      <c r="AG3326" s="14"/>
    </row>
    <row r="3327" spans="33:33">
      <c r="AG3327" s="14"/>
    </row>
    <row r="3328" spans="33:33">
      <c r="AG3328" s="14"/>
    </row>
    <row r="3329" spans="33:33">
      <c r="AG3329" s="14"/>
    </row>
    <row r="3330" spans="33:33">
      <c r="AG3330" s="14"/>
    </row>
    <row r="3331" spans="33:33">
      <c r="AG3331" s="14"/>
    </row>
    <row r="3332" spans="33:33">
      <c r="AG3332" s="14"/>
    </row>
    <row r="3333" spans="33:33">
      <c r="AG3333" s="14"/>
    </row>
    <row r="3334" spans="33:33">
      <c r="AG3334" s="14"/>
    </row>
    <row r="3335" spans="33:33">
      <c r="AG3335" s="14"/>
    </row>
    <row r="3336" spans="33:33">
      <c r="AG3336" s="14"/>
    </row>
    <row r="3337" spans="33:33">
      <c r="AG3337" s="14"/>
    </row>
    <row r="3338" spans="33:33">
      <c r="AG3338" s="14"/>
    </row>
    <row r="3339" spans="33:33">
      <c r="AG3339" s="14"/>
    </row>
    <row r="3340" spans="33:33">
      <c r="AG3340" s="14"/>
    </row>
    <row r="3341" spans="33:33">
      <c r="AG3341" s="14"/>
    </row>
    <row r="3342" spans="33:33">
      <c r="AG3342" s="14"/>
    </row>
    <row r="3343" spans="33:33">
      <c r="AG3343" s="14"/>
    </row>
    <row r="3344" spans="33:33">
      <c r="AG3344" s="14"/>
    </row>
    <row r="3345" spans="33:33">
      <c r="AG3345" s="14"/>
    </row>
    <row r="3346" spans="33:33">
      <c r="AG3346" s="14"/>
    </row>
    <row r="3347" spans="33:33">
      <c r="AG3347" s="14"/>
    </row>
    <row r="3348" spans="33:33">
      <c r="AG3348" s="14"/>
    </row>
    <row r="3349" spans="33:33">
      <c r="AG3349" s="14"/>
    </row>
    <row r="3350" spans="33:33">
      <c r="AG3350" s="14"/>
    </row>
    <row r="3351" spans="33:33">
      <c r="AG3351" s="14"/>
    </row>
    <row r="3352" spans="33:33">
      <c r="AG3352" s="14"/>
    </row>
    <row r="3353" spans="33:33">
      <c r="AG3353" s="14"/>
    </row>
    <row r="3354" spans="33:33">
      <c r="AG3354" s="14"/>
    </row>
    <row r="3355" spans="33:33">
      <c r="AG3355" s="14"/>
    </row>
    <row r="3356" spans="33:33">
      <c r="AG3356" s="14"/>
    </row>
    <row r="3357" spans="33:33">
      <c r="AG3357" s="14"/>
    </row>
    <row r="3358" spans="33:33">
      <c r="AG3358" s="14"/>
    </row>
    <row r="3359" spans="33:33">
      <c r="AG3359" s="14"/>
    </row>
    <row r="3360" spans="33:33">
      <c r="AG3360" s="14"/>
    </row>
    <row r="3361" spans="33:33">
      <c r="AG3361" s="14"/>
    </row>
    <row r="3362" spans="33:33">
      <c r="AG3362" s="14"/>
    </row>
    <row r="3363" spans="33:33">
      <c r="AG3363" s="14"/>
    </row>
    <row r="3364" spans="33:33">
      <c r="AG3364" s="14"/>
    </row>
    <row r="3365" spans="33:33">
      <c r="AG3365" s="14"/>
    </row>
    <row r="3366" spans="33:33">
      <c r="AG3366" s="14"/>
    </row>
    <row r="3367" spans="33:33">
      <c r="AG3367" s="14"/>
    </row>
    <row r="3368" spans="33:33">
      <c r="AG3368" s="14"/>
    </row>
    <row r="3369" spans="33:33">
      <c r="AG3369" s="14"/>
    </row>
    <row r="3370" spans="33:33">
      <c r="AG3370" s="14"/>
    </row>
    <row r="3371" spans="33:33">
      <c r="AG3371" s="14"/>
    </row>
    <row r="3372" spans="33:33">
      <c r="AG3372" s="14"/>
    </row>
    <row r="3373" spans="33:33">
      <c r="AG3373" s="14"/>
    </row>
    <row r="3374" spans="33:33">
      <c r="AG3374" s="14"/>
    </row>
    <row r="3375" spans="33:33">
      <c r="AG3375" s="14"/>
    </row>
    <row r="3376" spans="33:33">
      <c r="AG3376" s="14"/>
    </row>
    <row r="3377" spans="33:33">
      <c r="AG3377" s="14"/>
    </row>
    <row r="3378" spans="33:33">
      <c r="AG3378" s="14"/>
    </row>
    <row r="3379" spans="33:33">
      <c r="AG3379" s="14"/>
    </row>
    <row r="3380" spans="33:33">
      <c r="AG3380" s="14"/>
    </row>
    <row r="3381" spans="33:33">
      <c r="AG3381" s="14"/>
    </row>
    <row r="3382" spans="33:33">
      <c r="AG3382" s="14"/>
    </row>
    <row r="3383" spans="33:33">
      <c r="AG3383" s="14"/>
    </row>
    <row r="3384" spans="33:33">
      <c r="AG3384" s="14"/>
    </row>
    <row r="3385" spans="33:33">
      <c r="AG3385" s="14"/>
    </row>
    <row r="3386" spans="33:33">
      <c r="AG3386" s="14"/>
    </row>
    <row r="3387" spans="33:33">
      <c r="AG3387" s="14"/>
    </row>
    <row r="3388" spans="33:33">
      <c r="AG3388" s="14"/>
    </row>
    <row r="3389" spans="33:33">
      <c r="AG3389" s="14"/>
    </row>
    <row r="3390" spans="33:33">
      <c r="AG3390" s="14"/>
    </row>
    <row r="3391" spans="33:33">
      <c r="AG3391" s="14"/>
    </row>
    <row r="3392" spans="33:33">
      <c r="AG3392" s="14"/>
    </row>
    <row r="3393" spans="33:33">
      <c r="AG3393" s="14"/>
    </row>
    <row r="3394" spans="33:33">
      <c r="AG3394" s="14"/>
    </row>
    <row r="3395" spans="33:33">
      <c r="AG3395" s="14"/>
    </row>
    <row r="3396" spans="33:33">
      <c r="AG3396" s="14"/>
    </row>
    <row r="3397" spans="33:33">
      <c r="AG3397" s="14"/>
    </row>
    <row r="3398" spans="33:33">
      <c r="AG3398" s="14"/>
    </row>
    <row r="3399" spans="33:33">
      <c r="AG3399" s="14"/>
    </row>
    <row r="3400" spans="33:33">
      <c r="AG3400" s="14"/>
    </row>
    <row r="3401" spans="33:33">
      <c r="AG3401" s="14"/>
    </row>
    <row r="3402" spans="33:33">
      <c r="AG3402" s="14"/>
    </row>
    <row r="3403" spans="33:33">
      <c r="AG3403" s="14"/>
    </row>
    <row r="3404" spans="33:33">
      <c r="AG3404" s="14"/>
    </row>
    <row r="3405" spans="33:33">
      <c r="AG3405" s="14"/>
    </row>
    <row r="3406" spans="33:33">
      <c r="AG3406" s="14"/>
    </row>
    <row r="3407" spans="33:33">
      <c r="AG3407" s="14"/>
    </row>
    <row r="3408" spans="33:33">
      <c r="AG3408" s="14"/>
    </row>
    <row r="3409" spans="33:33">
      <c r="AG3409" s="14"/>
    </row>
    <row r="3410" spans="33:33">
      <c r="AG3410" s="14"/>
    </row>
    <row r="3411" spans="33:33">
      <c r="AG3411" s="14"/>
    </row>
    <row r="3412" spans="33:33">
      <c r="AG3412" s="14"/>
    </row>
    <row r="3413" spans="33:33">
      <c r="AG3413" s="14"/>
    </row>
    <row r="3414" spans="33:33">
      <c r="AG3414" s="14"/>
    </row>
    <row r="3415" spans="33:33">
      <c r="AG3415" s="14"/>
    </row>
    <row r="3416" spans="33:33">
      <c r="AG3416" s="14"/>
    </row>
    <row r="3417" spans="33:33">
      <c r="AG3417" s="14"/>
    </row>
    <row r="3418" spans="33:33">
      <c r="AG3418" s="14"/>
    </row>
    <row r="3419" spans="33:33">
      <c r="AG3419" s="14"/>
    </row>
    <row r="3420" spans="33:33">
      <c r="AG3420" s="14"/>
    </row>
    <row r="3421" spans="33:33">
      <c r="AG3421" s="14"/>
    </row>
    <row r="3422" spans="33:33">
      <c r="AG3422" s="14"/>
    </row>
    <row r="3423" spans="33:33">
      <c r="AG3423" s="14"/>
    </row>
    <row r="3424" spans="33:33">
      <c r="AG3424" s="14"/>
    </row>
    <row r="3425" spans="33:33">
      <c r="AG3425" s="14"/>
    </row>
    <row r="3426" spans="33:33">
      <c r="AG3426" s="14"/>
    </row>
    <row r="3427" spans="33:33">
      <c r="AG3427" s="14"/>
    </row>
    <row r="3428" spans="33:33">
      <c r="AG3428" s="14"/>
    </row>
    <row r="3429" spans="33:33">
      <c r="AG3429" s="14"/>
    </row>
    <row r="3430" spans="33:33">
      <c r="AG3430" s="14"/>
    </row>
    <row r="3431" spans="33:33">
      <c r="AG3431" s="14"/>
    </row>
    <row r="3432" spans="33:33">
      <c r="AG3432" s="14"/>
    </row>
    <row r="3433" spans="33:33">
      <c r="AG3433" s="14"/>
    </row>
    <row r="3434" spans="33:33">
      <c r="AG3434" s="14"/>
    </row>
    <row r="3435" spans="33:33">
      <c r="AG3435" s="14"/>
    </row>
    <row r="3436" spans="33:33">
      <c r="AG3436" s="14"/>
    </row>
    <row r="3437" spans="33:33">
      <c r="AG3437" s="14"/>
    </row>
    <row r="3438" spans="33:33">
      <c r="AG3438" s="14"/>
    </row>
    <row r="3439" spans="33:33">
      <c r="AG3439" s="14"/>
    </row>
    <row r="3440" spans="33:33">
      <c r="AG3440" s="14"/>
    </row>
    <row r="3441" spans="33:33">
      <c r="AG3441" s="14"/>
    </row>
    <row r="3442" spans="33:33">
      <c r="AG3442" s="14"/>
    </row>
    <row r="3443" spans="33:33">
      <c r="AG3443" s="14"/>
    </row>
    <row r="3444" spans="33:33">
      <c r="AG3444" s="14"/>
    </row>
    <row r="3445" spans="33:33">
      <c r="AG3445" s="14"/>
    </row>
    <row r="3446" spans="33:33">
      <c r="AG3446" s="14"/>
    </row>
    <row r="3447" spans="33:33">
      <c r="AG3447" s="14"/>
    </row>
    <row r="3448" spans="33:33">
      <c r="AG3448" s="14"/>
    </row>
    <row r="3449" spans="33:33">
      <c r="AG3449" s="14"/>
    </row>
    <row r="3450" spans="33:33">
      <c r="AG3450" s="14"/>
    </row>
    <row r="3451" spans="33:33">
      <c r="AG3451" s="14"/>
    </row>
    <row r="3452" spans="33:33">
      <c r="AG3452" s="14"/>
    </row>
    <row r="3453" spans="33:33">
      <c r="AG3453" s="14"/>
    </row>
    <row r="3454" spans="33:33">
      <c r="AG3454" s="14"/>
    </row>
    <row r="3455" spans="33:33">
      <c r="AG3455" s="14"/>
    </row>
    <row r="3456" spans="33:33">
      <c r="AG3456" s="14"/>
    </row>
    <row r="3457" spans="33:33">
      <c r="AG3457" s="14"/>
    </row>
    <row r="3458" spans="33:33">
      <c r="AG3458" s="14"/>
    </row>
    <row r="3459" spans="33:33">
      <c r="AG3459" s="14"/>
    </row>
    <row r="3460" spans="33:33">
      <c r="AG3460" s="14"/>
    </row>
    <row r="3461" spans="33:33">
      <c r="AG3461" s="14"/>
    </row>
    <row r="3462" spans="33:33">
      <c r="AG3462" s="14"/>
    </row>
    <row r="3463" spans="33:33">
      <c r="AG3463" s="14"/>
    </row>
    <row r="3464" spans="33:33">
      <c r="AG3464" s="14"/>
    </row>
    <row r="3465" spans="33:33">
      <c r="AG3465" s="14"/>
    </row>
    <row r="3466" spans="33:33">
      <c r="AG3466" s="14"/>
    </row>
    <row r="3467" spans="33:33">
      <c r="AG3467" s="14"/>
    </row>
    <row r="3468" spans="33:33">
      <c r="AG3468" s="14"/>
    </row>
    <row r="3469" spans="33:33">
      <c r="AG3469" s="14"/>
    </row>
    <row r="3470" spans="33:33">
      <c r="AG3470" s="14"/>
    </row>
    <row r="3471" spans="33:33">
      <c r="AG3471" s="14"/>
    </row>
    <row r="3472" spans="33:33">
      <c r="AG3472" s="14"/>
    </row>
    <row r="3473" spans="33:33">
      <c r="AG3473" s="14"/>
    </row>
    <row r="3474" spans="33:33">
      <c r="AG3474" s="14"/>
    </row>
    <row r="3475" spans="33:33">
      <c r="AG3475" s="14"/>
    </row>
    <row r="3476" spans="33:33">
      <c r="AG3476" s="14"/>
    </row>
    <row r="3477" spans="33:33">
      <c r="AG3477" s="14"/>
    </row>
    <row r="3478" spans="33:33">
      <c r="AG3478" s="14"/>
    </row>
    <row r="3479" spans="33:33">
      <c r="AG3479" s="14"/>
    </row>
    <row r="3480" spans="33:33">
      <c r="AG3480" s="14"/>
    </row>
    <row r="3481" spans="33:33">
      <c r="AG3481" s="14"/>
    </row>
    <row r="3482" spans="33:33">
      <c r="AG3482" s="14"/>
    </row>
    <row r="3483" spans="33:33">
      <c r="AG3483" s="14"/>
    </row>
    <row r="3484" spans="33:33">
      <c r="AG3484" s="14"/>
    </row>
    <row r="3485" spans="33:33">
      <c r="AG3485" s="14"/>
    </row>
    <row r="3486" spans="33:33">
      <c r="AG3486" s="14"/>
    </row>
    <row r="3487" spans="33:33">
      <c r="AG3487" s="14"/>
    </row>
    <row r="3488" spans="33:33">
      <c r="AG3488" s="14"/>
    </row>
    <row r="3489" spans="33:33">
      <c r="AG3489" s="14"/>
    </row>
    <row r="3490" spans="33:33">
      <c r="AG3490" s="14"/>
    </row>
    <row r="3491" spans="33:33">
      <c r="AG3491" s="14"/>
    </row>
    <row r="3492" spans="33:33">
      <c r="AG3492" s="14"/>
    </row>
    <row r="3493" spans="33:33">
      <c r="AG3493" s="14"/>
    </row>
    <row r="3494" spans="33:33">
      <c r="AG3494" s="14"/>
    </row>
    <row r="3495" spans="33:33">
      <c r="AG3495" s="14"/>
    </row>
    <row r="3496" spans="33:33">
      <c r="AG3496" s="14"/>
    </row>
    <row r="3497" spans="33:33">
      <c r="AG3497" s="14"/>
    </row>
    <row r="3498" spans="33:33">
      <c r="AG3498" s="14"/>
    </row>
    <row r="3499" spans="33:33">
      <c r="AG3499" s="14"/>
    </row>
    <row r="3500" spans="33:33">
      <c r="AG3500" s="14"/>
    </row>
    <row r="3501" spans="33:33">
      <c r="AG3501" s="14"/>
    </row>
    <row r="3502" spans="33:33">
      <c r="AG3502" s="14"/>
    </row>
    <row r="3503" spans="33:33">
      <c r="AG3503" s="14"/>
    </row>
    <row r="3504" spans="33:33">
      <c r="AG3504" s="14"/>
    </row>
    <row r="3505" spans="33:33">
      <c r="AG3505" s="14"/>
    </row>
    <row r="3506" spans="33:33">
      <c r="AG3506" s="14"/>
    </row>
    <row r="3507" spans="33:33">
      <c r="AG3507" s="14"/>
    </row>
    <row r="3508" spans="33:33">
      <c r="AG3508" s="14"/>
    </row>
    <row r="3509" spans="33:33">
      <c r="AG3509" s="14"/>
    </row>
    <row r="3510" spans="33:33">
      <c r="AG3510" s="14"/>
    </row>
    <row r="3511" spans="33:33">
      <c r="AG3511" s="14"/>
    </row>
    <row r="3512" spans="33:33">
      <c r="AG3512" s="14"/>
    </row>
    <row r="3513" spans="33:33">
      <c r="AG3513" s="14"/>
    </row>
    <row r="3514" spans="33:33">
      <c r="AG3514" s="14"/>
    </row>
    <row r="3515" spans="33:33">
      <c r="AG3515" s="14"/>
    </row>
    <row r="3516" spans="33:33">
      <c r="AG3516" s="14"/>
    </row>
    <row r="3517" spans="33:33">
      <c r="AG3517" s="14"/>
    </row>
    <row r="3518" spans="33:33">
      <c r="AG3518" s="14"/>
    </row>
    <row r="3519" spans="33:33">
      <c r="AG3519" s="14"/>
    </row>
    <row r="3520" spans="33:33">
      <c r="AG3520" s="14"/>
    </row>
    <row r="3521" spans="33:33">
      <c r="AG3521" s="14"/>
    </row>
    <row r="3522" spans="33:33">
      <c r="AG3522" s="14"/>
    </row>
    <row r="3523" spans="33:33">
      <c r="AG3523" s="14"/>
    </row>
    <row r="3524" spans="33:33">
      <c r="AG3524" s="14"/>
    </row>
    <row r="3525" spans="33:33">
      <c r="AG3525" s="14"/>
    </row>
    <row r="3526" spans="33:33">
      <c r="AG3526" s="14"/>
    </row>
    <row r="3527" spans="33:33">
      <c r="AG3527" s="14"/>
    </row>
    <row r="3528" spans="33:33">
      <c r="AG3528" s="14"/>
    </row>
    <row r="3529" spans="33:33">
      <c r="AG3529" s="14"/>
    </row>
    <row r="3530" spans="33:33">
      <c r="AG3530" s="14"/>
    </row>
    <row r="3531" spans="33:33">
      <c r="AG3531" s="14"/>
    </row>
    <row r="3532" spans="33:33">
      <c r="AG3532" s="14"/>
    </row>
    <row r="3533" spans="33:33">
      <c r="AG3533" s="14"/>
    </row>
    <row r="3534" spans="33:33">
      <c r="AG3534" s="14"/>
    </row>
    <row r="3535" spans="33:33">
      <c r="AG3535" s="14"/>
    </row>
    <row r="3536" spans="33:33">
      <c r="AG3536" s="14"/>
    </row>
    <row r="3537" spans="33:33">
      <c r="AG3537" s="14"/>
    </row>
    <row r="3538" spans="33:33">
      <c r="AG3538" s="14"/>
    </row>
    <row r="3539" spans="33:33">
      <c r="AG3539" s="14"/>
    </row>
    <row r="3540" spans="33:33">
      <c r="AG3540" s="14"/>
    </row>
    <row r="3541" spans="33:33">
      <c r="AG3541" s="14"/>
    </row>
    <row r="3542" spans="33:33">
      <c r="AG3542" s="14"/>
    </row>
    <row r="3543" spans="33:33">
      <c r="AG3543" s="14"/>
    </row>
    <row r="3544" spans="33:33">
      <c r="AG3544" s="14"/>
    </row>
    <row r="3545" spans="33:33">
      <c r="AG3545" s="14"/>
    </row>
    <row r="3546" spans="33:33">
      <c r="AG3546" s="14"/>
    </row>
    <row r="3547" spans="33:33">
      <c r="AG3547" s="14"/>
    </row>
    <row r="3548" spans="33:33">
      <c r="AG3548" s="14"/>
    </row>
    <row r="3549" spans="33:33">
      <c r="AG3549" s="14"/>
    </row>
    <row r="3550" spans="33:33">
      <c r="AG3550" s="14"/>
    </row>
    <row r="3551" spans="33:33">
      <c r="AG3551" s="14"/>
    </row>
    <row r="3552" spans="33:33">
      <c r="AG3552" s="14"/>
    </row>
    <row r="3553" spans="33:33">
      <c r="AG3553" s="14"/>
    </row>
    <row r="3554" spans="33:33">
      <c r="AG3554" s="14"/>
    </row>
    <row r="3555" spans="33:33">
      <c r="AG3555" s="14"/>
    </row>
    <row r="3556" spans="33:33">
      <c r="AG3556" s="14"/>
    </row>
    <row r="3557" spans="33:33">
      <c r="AG3557" s="14"/>
    </row>
    <row r="3558" spans="33:33">
      <c r="AG3558" s="14"/>
    </row>
    <row r="3559" spans="33:33">
      <c r="AG3559" s="14"/>
    </row>
    <row r="3560" spans="33:33">
      <c r="AG3560" s="14"/>
    </row>
    <row r="3561" spans="33:33">
      <c r="AG3561" s="14"/>
    </row>
    <row r="3562" spans="33:33">
      <c r="AG3562" s="14"/>
    </row>
    <row r="3563" spans="33:33">
      <c r="AG3563" s="14"/>
    </row>
    <row r="3564" spans="33:33">
      <c r="AG3564" s="14"/>
    </row>
    <row r="3565" spans="33:33">
      <c r="AG3565" s="14"/>
    </row>
    <row r="3566" spans="33:33">
      <c r="AG3566" s="14"/>
    </row>
    <row r="3567" spans="33:33">
      <c r="AG3567" s="14"/>
    </row>
    <row r="3568" spans="33:33">
      <c r="AG3568" s="14"/>
    </row>
    <row r="3569" spans="33:33">
      <c r="AG3569" s="14"/>
    </row>
    <row r="3570" spans="33:33">
      <c r="AG3570" s="14"/>
    </row>
    <row r="3571" spans="33:33">
      <c r="AG3571" s="14"/>
    </row>
    <row r="3572" spans="33:33">
      <c r="AG3572" s="14"/>
    </row>
    <row r="3573" spans="33:33">
      <c r="AG3573" s="14"/>
    </row>
    <row r="3574" spans="33:33">
      <c r="AG3574" s="14"/>
    </row>
    <row r="3575" spans="33:33">
      <c r="AG3575" s="14"/>
    </row>
    <row r="3576" spans="33:33">
      <c r="AG3576" s="14"/>
    </row>
    <row r="3577" spans="33:33">
      <c r="AG3577" s="14"/>
    </row>
    <row r="3578" spans="33:33">
      <c r="AG3578" s="14"/>
    </row>
    <row r="3579" spans="33:33">
      <c r="AG3579" s="14"/>
    </row>
    <row r="3580" spans="33:33">
      <c r="AG3580" s="14"/>
    </row>
    <row r="3581" spans="33:33">
      <c r="AG3581" s="14"/>
    </row>
    <row r="3582" spans="33:33">
      <c r="AG3582" s="14"/>
    </row>
    <row r="3583" spans="33:33">
      <c r="AG3583" s="14"/>
    </row>
    <row r="3584" spans="33:33">
      <c r="AG3584" s="14"/>
    </row>
    <row r="3585" spans="33:33">
      <c r="AG3585" s="14"/>
    </row>
    <row r="3586" spans="33:33">
      <c r="AG3586" s="14"/>
    </row>
    <row r="3587" spans="33:33">
      <c r="AG3587" s="14"/>
    </row>
    <row r="3588" spans="33:33">
      <c r="AG3588" s="14"/>
    </row>
    <row r="3589" spans="33:33">
      <c r="AG3589" s="14"/>
    </row>
    <row r="3590" spans="33:33">
      <c r="AG3590" s="14"/>
    </row>
    <row r="3591" spans="33:33">
      <c r="AG3591" s="14"/>
    </row>
    <row r="3592" spans="33:33">
      <c r="AG3592" s="14"/>
    </row>
    <row r="3593" spans="33:33">
      <c r="AG3593" s="14"/>
    </row>
    <row r="3594" spans="33:33">
      <c r="AG3594" s="14"/>
    </row>
    <row r="3595" spans="33:33">
      <c r="AG3595" s="14"/>
    </row>
    <row r="3596" spans="33:33">
      <c r="AG3596" s="14"/>
    </row>
    <row r="3597" spans="33:33">
      <c r="AG3597" s="14"/>
    </row>
    <row r="3598" spans="33:33">
      <c r="AG3598" s="14"/>
    </row>
    <row r="3599" spans="33:33">
      <c r="AG3599" s="14"/>
    </row>
    <row r="3600" spans="33:33">
      <c r="AG3600" s="14"/>
    </row>
    <row r="3601" spans="33:33">
      <c r="AG3601" s="14"/>
    </row>
    <row r="3602" spans="33:33">
      <c r="AG3602" s="14"/>
    </row>
    <row r="3603" spans="33:33">
      <c r="AG3603" s="14"/>
    </row>
    <row r="3604" spans="33:33">
      <c r="AG3604" s="14"/>
    </row>
    <row r="3605" spans="33:33">
      <c r="AG3605" s="14"/>
    </row>
    <row r="3606" spans="33:33">
      <c r="AG3606" s="14"/>
    </row>
    <row r="3607" spans="33:33">
      <c r="AG3607" s="14"/>
    </row>
    <row r="3608" spans="33:33">
      <c r="AG3608" s="14"/>
    </row>
    <row r="3609" spans="33:33">
      <c r="AG3609" s="14"/>
    </row>
    <row r="3610" spans="33:33">
      <c r="AG3610" s="14"/>
    </row>
    <row r="3611" spans="33:33">
      <c r="AG3611" s="14"/>
    </row>
    <row r="3612" spans="33:33">
      <c r="AG3612" s="14"/>
    </row>
    <row r="3613" spans="33:33">
      <c r="AG3613" s="14"/>
    </row>
    <row r="3614" spans="33:33">
      <c r="AG3614" s="14"/>
    </row>
    <row r="3615" spans="33:33">
      <c r="AG3615" s="14"/>
    </row>
    <row r="3616" spans="33:33">
      <c r="AG3616" s="14"/>
    </row>
    <row r="3617" spans="33:33">
      <c r="AG3617" s="14"/>
    </row>
    <row r="3618" spans="33:33">
      <c r="AG3618" s="14"/>
    </row>
    <row r="3619" spans="33:33">
      <c r="AG3619" s="14"/>
    </row>
    <row r="3620" spans="33:33">
      <c r="AG3620" s="14"/>
    </row>
    <row r="3621" spans="33:33">
      <c r="AG3621" s="14"/>
    </row>
    <row r="3622" spans="33:33">
      <c r="AG3622" s="14"/>
    </row>
    <row r="3623" spans="33:33">
      <c r="AG3623" s="14"/>
    </row>
    <row r="3624" spans="33:33">
      <c r="AG3624" s="14"/>
    </row>
    <row r="3625" spans="33:33">
      <c r="AG3625" s="14"/>
    </row>
    <row r="3626" spans="33:33">
      <c r="AG3626" s="14"/>
    </row>
    <row r="3627" spans="33:33">
      <c r="AG3627" s="14"/>
    </row>
    <row r="3628" spans="33:33">
      <c r="AG3628" s="14"/>
    </row>
    <row r="3629" spans="33:33">
      <c r="AG3629" s="14"/>
    </row>
    <row r="3630" spans="33:33">
      <c r="AG3630" s="14"/>
    </row>
    <row r="3631" spans="33:33">
      <c r="AG3631" s="14"/>
    </row>
    <row r="3632" spans="33:33">
      <c r="AG3632" s="14"/>
    </row>
    <row r="3633" spans="33:33">
      <c r="AG3633" s="14"/>
    </row>
    <row r="3634" spans="33:33">
      <c r="AG3634" s="14"/>
    </row>
    <row r="3635" spans="33:33">
      <c r="AG3635" s="14"/>
    </row>
    <row r="3636" spans="33:33">
      <c r="AG3636" s="14"/>
    </row>
    <row r="3637" spans="33:33">
      <c r="AG3637" s="14"/>
    </row>
    <row r="3638" spans="33:33">
      <c r="AG3638" s="14"/>
    </row>
    <row r="3639" spans="33:33">
      <c r="AG3639" s="14"/>
    </row>
    <row r="3640" spans="33:33">
      <c r="AG3640" s="14"/>
    </row>
    <row r="3641" spans="33:33">
      <c r="AG3641" s="14"/>
    </row>
    <row r="3642" spans="33:33">
      <c r="AG3642" s="14"/>
    </row>
    <row r="3643" spans="33:33">
      <c r="AG3643" s="14"/>
    </row>
    <row r="3644" spans="33:33">
      <c r="AG3644" s="14"/>
    </row>
    <row r="3645" spans="33:33">
      <c r="AG3645" s="14"/>
    </row>
    <row r="3646" spans="33:33">
      <c r="AG3646" s="14"/>
    </row>
    <row r="3647" spans="33:33">
      <c r="AG3647" s="14"/>
    </row>
    <row r="3648" spans="33:33">
      <c r="AG3648" s="14"/>
    </row>
    <row r="3649" spans="33:33">
      <c r="AG3649" s="14"/>
    </row>
    <row r="3650" spans="33:33">
      <c r="AG3650" s="14"/>
    </row>
    <row r="3651" spans="33:33">
      <c r="AG3651" s="14"/>
    </row>
    <row r="3652" spans="33:33">
      <c r="AG3652" s="14"/>
    </row>
    <row r="3653" spans="33:33">
      <c r="AG3653" s="14"/>
    </row>
    <row r="3654" spans="33:33">
      <c r="AG3654" s="14"/>
    </row>
    <row r="3655" spans="33:33">
      <c r="AG3655" s="14"/>
    </row>
    <row r="3656" spans="33:33">
      <c r="AG3656" s="14"/>
    </row>
    <row r="3657" spans="33:33">
      <c r="AG3657" s="14"/>
    </row>
    <row r="3658" spans="33:33">
      <c r="AG3658" s="14"/>
    </row>
    <row r="3659" spans="33:33">
      <c r="AG3659" s="14"/>
    </row>
    <row r="3660" spans="33:33">
      <c r="AG3660" s="14"/>
    </row>
    <row r="3661" spans="33:33">
      <c r="AG3661" s="14"/>
    </row>
    <row r="3662" spans="33:33">
      <c r="AG3662" s="14"/>
    </row>
    <row r="3663" spans="33:33">
      <c r="AG3663" s="14"/>
    </row>
    <row r="3664" spans="33:33">
      <c r="AG3664" s="14"/>
    </row>
    <row r="3665" spans="33:33">
      <c r="AG3665" s="14"/>
    </row>
    <row r="3666" spans="33:33">
      <c r="AG3666" s="14"/>
    </row>
    <row r="3667" spans="33:33">
      <c r="AG3667" s="14"/>
    </row>
    <row r="3668" spans="33:33">
      <c r="AG3668" s="14"/>
    </row>
    <row r="3669" spans="33:33">
      <c r="AG3669" s="14"/>
    </row>
    <row r="3670" spans="33:33">
      <c r="AG3670" s="14"/>
    </row>
    <row r="3671" spans="33:33">
      <c r="AG3671" s="14"/>
    </row>
    <row r="3672" spans="33:33">
      <c r="AG3672" s="14"/>
    </row>
    <row r="3673" spans="33:33">
      <c r="AG3673" s="14"/>
    </row>
    <row r="3674" spans="33:33">
      <c r="AG3674" s="14"/>
    </row>
    <row r="3675" spans="33:33">
      <c r="AG3675" s="14"/>
    </row>
    <row r="3676" spans="33:33">
      <c r="AG3676" s="14"/>
    </row>
    <row r="3677" spans="33:33">
      <c r="AG3677" s="14"/>
    </row>
    <row r="3678" spans="33:33">
      <c r="AG3678" s="14"/>
    </row>
    <row r="3679" spans="33:33">
      <c r="AG3679" s="14"/>
    </row>
    <row r="3680" spans="33:33">
      <c r="AG3680" s="14"/>
    </row>
    <row r="3681" spans="33:33">
      <c r="AG3681" s="14"/>
    </row>
    <row r="3682" spans="33:33">
      <c r="AG3682" s="14"/>
    </row>
    <row r="3683" spans="33:33">
      <c r="AG3683" s="14"/>
    </row>
    <row r="3684" spans="33:33">
      <c r="AG3684" s="14"/>
    </row>
    <row r="3685" spans="33:33">
      <c r="AG3685" s="14"/>
    </row>
    <row r="3686" spans="33:33">
      <c r="AG3686" s="14"/>
    </row>
    <row r="3687" spans="33:33">
      <c r="AG3687" s="14"/>
    </row>
    <row r="3688" spans="33:33">
      <c r="AG3688" s="14"/>
    </row>
    <row r="3689" spans="33:33">
      <c r="AG3689" s="14"/>
    </row>
    <row r="3690" spans="33:33">
      <c r="AG3690" s="14"/>
    </row>
    <row r="3691" spans="33:33">
      <c r="AG3691" s="14"/>
    </row>
    <row r="3692" spans="33:33">
      <c r="AG3692" s="14"/>
    </row>
    <row r="3693" spans="33:33">
      <c r="AG3693" s="14"/>
    </row>
    <row r="3694" spans="33:33">
      <c r="AG3694" s="14"/>
    </row>
    <row r="3695" spans="33:33">
      <c r="AG3695" s="14"/>
    </row>
    <row r="3696" spans="33:33">
      <c r="AG3696" s="14"/>
    </row>
    <row r="3697" spans="33:33">
      <c r="AG3697" s="14"/>
    </row>
    <row r="3698" spans="33:33">
      <c r="AG3698" s="14"/>
    </row>
    <row r="3699" spans="33:33">
      <c r="AG3699" s="14"/>
    </row>
    <row r="3700" spans="33:33">
      <c r="AG3700" s="14"/>
    </row>
    <row r="3701" spans="33:33">
      <c r="AG3701" s="14"/>
    </row>
    <row r="3702" spans="33:33">
      <c r="AG3702" s="14"/>
    </row>
    <row r="3703" spans="33:33">
      <c r="AG3703" s="14"/>
    </row>
    <row r="3704" spans="33:33">
      <c r="AG3704" s="14"/>
    </row>
    <row r="3705" spans="33:33">
      <c r="AG3705" s="14"/>
    </row>
    <row r="3706" spans="33:33">
      <c r="AG3706" s="14"/>
    </row>
    <row r="3707" spans="33:33">
      <c r="AG3707" s="14"/>
    </row>
    <row r="3708" spans="33:33">
      <c r="AG3708" s="14"/>
    </row>
    <row r="3709" spans="33:33">
      <c r="AG3709" s="14"/>
    </row>
    <row r="3710" spans="33:33">
      <c r="AG3710" s="14"/>
    </row>
    <row r="3711" spans="33:33">
      <c r="AG3711" s="14"/>
    </row>
    <row r="3712" spans="33:33">
      <c r="AG3712" s="14"/>
    </row>
    <row r="3713" spans="33:33">
      <c r="AG3713" s="14"/>
    </row>
    <row r="3714" spans="33:33">
      <c r="AG3714" s="14"/>
    </row>
    <row r="3715" spans="33:33">
      <c r="AG3715" s="14"/>
    </row>
    <row r="3716" spans="33:33">
      <c r="AG3716" s="14"/>
    </row>
    <row r="3717" spans="33:33">
      <c r="AG3717" s="14"/>
    </row>
    <row r="3718" spans="33:33">
      <c r="AG3718" s="14"/>
    </row>
    <row r="3719" spans="33:33">
      <c r="AG3719" s="14"/>
    </row>
    <row r="3720" spans="33:33">
      <c r="AG3720" s="14"/>
    </row>
    <row r="3721" spans="33:33">
      <c r="AG3721" s="14"/>
    </row>
    <row r="3722" spans="33:33">
      <c r="AG3722" s="14"/>
    </row>
    <row r="3723" spans="33:33">
      <c r="AG3723" s="14"/>
    </row>
    <row r="3724" spans="33:33">
      <c r="AG3724" s="14"/>
    </row>
    <row r="3725" spans="33:33">
      <c r="AG3725" s="14"/>
    </row>
    <row r="3726" spans="33:33">
      <c r="AG3726" s="14"/>
    </row>
    <row r="3727" spans="33:33">
      <c r="AG3727" s="14"/>
    </row>
    <row r="3728" spans="33:33">
      <c r="AG3728" s="14"/>
    </row>
    <row r="3729" spans="33:33">
      <c r="AG3729" s="14"/>
    </row>
    <row r="3730" spans="33:33">
      <c r="AG3730" s="14"/>
    </row>
    <row r="3731" spans="33:33">
      <c r="AG3731" s="14"/>
    </row>
    <row r="3732" spans="33:33">
      <c r="AG3732" s="14"/>
    </row>
    <row r="3733" spans="33:33">
      <c r="AG3733" s="14"/>
    </row>
    <row r="3734" spans="33:33">
      <c r="AG3734" s="14"/>
    </row>
    <row r="3735" spans="33:33">
      <c r="AG3735" s="14"/>
    </row>
    <row r="3736" spans="33:33">
      <c r="AG3736" s="14"/>
    </row>
    <row r="3737" spans="33:33">
      <c r="AG3737" s="14"/>
    </row>
    <row r="3738" spans="33:33">
      <c r="AG3738" s="14"/>
    </row>
    <row r="3739" spans="33:33">
      <c r="AG3739" s="14"/>
    </row>
    <row r="3740" spans="33:33">
      <c r="AG3740" s="14"/>
    </row>
    <row r="3741" spans="33:33">
      <c r="AG3741" s="14"/>
    </row>
    <row r="3742" spans="33:33">
      <c r="AG3742" s="14"/>
    </row>
    <row r="3743" spans="33:33">
      <c r="AG3743" s="14"/>
    </row>
    <row r="3744" spans="33:33">
      <c r="AG3744" s="14"/>
    </row>
    <row r="3745" spans="33:33">
      <c r="AG3745" s="14"/>
    </row>
    <row r="3746" spans="33:33">
      <c r="AG3746" s="14"/>
    </row>
    <row r="3747" spans="33:33">
      <c r="AG3747" s="14"/>
    </row>
    <row r="3748" spans="33:33">
      <c r="AG3748" s="14"/>
    </row>
    <row r="3749" spans="33:33">
      <c r="AG3749" s="14"/>
    </row>
    <row r="3750" spans="33:33">
      <c r="AG3750" s="14"/>
    </row>
    <row r="3751" spans="33:33">
      <c r="AG3751" s="14"/>
    </row>
    <row r="3752" spans="33:33">
      <c r="AG3752" s="14"/>
    </row>
    <row r="3753" spans="33:33">
      <c r="AG3753" s="14"/>
    </row>
    <row r="3754" spans="33:33">
      <c r="AG3754" s="14"/>
    </row>
    <row r="3755" spans="33:33">
      <c r="AG3755" s="14"/>
    </row>
    <row r="3756" spans="33:33">
      <c r="AG3756" s="14"/>
    </row>
    <row r="3757" spans="33:33">
      <c r="AG3757" s="14"/>
    </row>
    <row r="3758" spans="33:33">
      <c r="AG3758" s="14"/>
    </row>
    <row r="3759" spans="33:33">
      <c r="AG3759" s="14"/>
    </row>
    <row r="3760" spans="33:33">
      <c r="AG3760" s="14"/>
    </row>
    <row r="3761" spans="33:33">
      <c r="AG3761" s="14"/>
    </row>
    <row r="3762" spans="33:33">
      <c r="AG3762" s="14"/>
    </row>
    <row r="3763" spans="33:33">
      <c r="AG3763" s="14"/>
    </row>
    <row r="3764" spans="33:33">
      <c r="AG3764" s="14"/>
    </row>
    <row r="3765" spans="33:33">
      <c r="AG3765" s="14"/>
    </row>
    <row r="3766" spans="33:33">
      <c r="AG3766" s="14"/>
    </row>
    <row r="3767" spans="33:33">
      <c r="AG3767" s="14"/>
    </row>
    <row r="3768" spans="33:33">
      <c r="AG3768" s="14"/>
    </row>
    <row r="3769" spans="33:33">
      <c r="AG3769" s="14"/>
    </row>
    <row r="3770" spans="33:33">
      <c r="AG3770" s="14"/>
    </row>
    <row r="3771" spans="33:33">
      <c r="AG3771" s="14"/>
    </row>
    <row r="3772" spans="33:33">
      <c r="AG3772" s="14"/>
    </row>
    <row r="3773" spans="33:33">
      <c r="AG3773" s="14"/>
    </row>
    <row r="3774" spans="33:33">
      <c r="AG3774" s="14"/>
    </row>
    <row r="3775" spans="33:33">
      <c r="AG3775" s="14"/>
    </row>
    <row r="3776" spans="33:33">
      <c r="AG3776" s="14"/>
    </row>
    <row r="3777" spans="33:33">
      <c r="AG3777" s="14"/>
    </row>
    <row r="3778" spans="33:33">
      <c r="AG3778" s="14"/>
    </row>
    <row r="3779" spans="33:33">
      <c r="AG3779" s="14"/>
    </row>
    <row r="3780" spans="33:33">
      <c r="AG3780" s="14"/>
    </row>
    <row r="3781" spans="33:33">
      <c r="AG3781" s="14"/>
    </row>
    <row r="3782" spans="33:33">
      <c r="AG3782" s="14"/>
    </row>
    <row r="3783" spans="33:33">
      <c r="AG3783" s="14"/>
    </row>
    <row r="3784" spans="33:33">
      <c r="AG3784" s="14"/>
    </row>
    <row r="3785" spans="33:33">
      <c r="AG3785" s="14"/>
    </row>
    <row r="3786" spans="33:33">
      <c r="AG3786" s="14"/>
    </row>
    <row r="3787" spans="33:33">
      <c r="AG3787" s="14"/>
    </row>
    <row r="3788" spans="33:33">
      <c r="AG3788" s="14"/>
    </row>
    <row r="3789" spans="33:33">
      <c r="AG3789" s="14"/>
    </row>
    <row r="3790" spans="33:33">
      <c r="AG3790" s="14"/>
    </row>
    <row r="3791" spans="33:33">
      <c r="AG3791" s="14"/>
    </row>
    <row r="3792" spans="33:33">
      <c r="AG3792" s="14"/>
    </row>
    <row r="3793" spans="33:33">
      <c r="AG3793" s="14"/>
    </row>
    <row r="3794" spans="33:33">
      <c r="AG3794" s="14"/>
    </row>
    <row r="3795" spans="33:33">
      <c r="AG3795" s="14"/>
    </row>
    <row r="3796" spans="33:33">
      <c r="AG3796" s="14"/>
    </row>
    <row r="3797" spans="33:33">
      <c r="AG3797" s="14"/>
    </row>
    <row r="3798" spans="33:33">
      <c r="AG3798" s="14"/>
    </row>
    <row r="3799" spans="33:33">
      <c r="AG3799" s="14"/>
    </row>
    <row r="3800" spans="33:33">
      <c r="AG3800" s="14"/>
    </row>
    <row r="3801" spans="33:33">
      <c r="AG3801" s="14"/>
    </row>
    <row r="3802" spans="33:33">
      <c r="AG3802" s="14"/>
    </row>
    <row r="3803" spans="33:33">
      <c r="AG3803" s="14"/>
    </row>
    <row r="3804" spans="33:33">
      <c r="AG3804" s="14"/>
    </row>
    <row r="3805" spans="33:33">
      <c r="AG3805" s="14"/>
    </row>
    <row r="3806" spans="33:33">
      <c r="AG3806" s="14"/>
    </row>
    <row r="3807" spans="33:33">
      <c r="AG3807" s="14"/>
    </row>
    <row r="3808" spans="33:33">
      <c r="AG3808" s="14"/>
    </row>
    <row r="3809" spans="33:33">
      <c r="AG3809" s="14"/>
    </row>
    <row r="3810" spans="33:33">
      <c r="AG3810" s="14"/>
    </row>
    <row r="3811" spans="33:33">
      <c r="AG3811" s="14"/>
    </row>
    <row r="3812" spans="33:33">
      <c r="AG3812" s="14"/>
    </row>
    <row r="3813" spans="33:33">
      <c r="AG3813" s="14"/>
    </row>
    <row r="3814" spans="33:33">
      <c r="AG3814" s="14"/>
    </row>
    <row r="3815" spans="33:33">
      <c r="AG3815" s="14"/>
    </row>
    <row r="3816" spans="33:33">
      <c r="AG3816" s="14"/>
    </row>
    <row r="3817" spans="33:33">
      <c r="AG3817" s="14"/>
    </row>
    <row r="3818" spans="33:33">
      <c r="AG3818" s="14"/>
    </row>
    <row r="3819" spans="33:33">
      <c r="AG3819" s="14"/>
    </row>
    <row r="3820" spans="33:33">
      <c r="AG3820" s="14"/>
    </row>
    <row r="3821" spans="33:33">
      <c r="AG3821" s="14"/>
    </row>
    <row r="3822" spans="33:33">
      <c r="AG3822" s="14"/>
    </row>
    <row r="3823" spans="33:33">
      <c r="AG3823" s="14"/>
    </row>
    <row r="3824" spans="33:33">
      <c r="AG3824" s="14"/>
    </row>
    <row r="3825" spans="33:33">
      <c r="AG3825" s="14"/>
    </row>
    <row r="3826" spans="33:33">
      <c r="AG3826" s="14"/>
    </row>
    <row r="3827" spans="33:33">
      <c r="AG3827" s="14"/>
    </row>
    <row r="3828" spans="33:33">
      <c r="AG3828" s="14"/>
    </row>
    <row r="3829" spans="33:33">
      <c r="AG3829" s="14"/>
    </row>
    <row r="3830" spans="33:33">
      <c r="AG3830" s="14"/>
    </row>
    <row r="3831" spans="33:33">
      <c r="AG3831" s="14"/>
    </row>
    <row r="3832" spans="33:33">
      <c r="AG3832" s="14"/>
    </row>
    <row r="3833" spans="33:33">
      <c r="AG3833" s="14"/>
    </row>
    <row r="3834" spans="33:33">
      <c r="AG3834" s="14"/>
    </row>
    <row r="3835" spans="33:33">
      <c r="AG3835" s="14"/>
    </row>
    <row r="3836" spans="33:33">
      <c r="AG3836" s="14"/>
    </row>
    <row r="3837" spans="33:33">
      <c r="AG3837" s="14"/>
    </row>
    <row r="3838" spans="33:33">
      <c r="AG3838" s="14"/>
    </row>
    <row r="3839" spans="33:33">
      <c r="AG3839" s="14"/>
    </row>
    <row r="3840" spans="33:33">
      <c r="AG3840" s="14"/>
    </row>
    <row r="3841" spans="33:33">
      <c r="AG3841" s="14"/>
    </row>
    <row r="3842" spans="33:33">
      <c r="AG3842" s="14"/>
    </row>
    <row r="3843" spans="33:33">
      <c r="AG3843" s="14"/>
    </row>
    <row r="3844" spans="33:33">
      <c r="AG3844" s="14"/>
    </row>
    <row r="3845" spans="33:33">
      <c r="AG3845" s="14"/>
    </row>
    <row r="3846" spans="33:33">
      <c r="AG3846" s="14"/>
    </row>
    <row r="3847" spans="33:33">
      <c r="AG3847" s="14"/>
    </row>
    <row r="3848" spans="33:33">
      <c r="AG3848" s="14"/>
    </row>
    <row r="3849" spans="33:33">
      <c r="AG3849" s="14"/>
    </row>
    <row r="3850" spans="33:33">
      <c r="AG3850" s="14"/>
    </row>
    <row r="3851" spans="33:33">
      <c r="AG3851" s="14"/>
    </row>
    <row r="3852" spans="33:33">
      <c r="AG3852" s="14"/>
    </row>
    <row r="3853" spans="33:33">
      <c r="AG3853" s="14"/>
    </row>
    <row r="3854" spans="33:33">
      <c r="AG3854" s="14"/>
    </row>
    <row r="3855" spans="33:33">
      <c r="AG3855" s="14"/>
    </row>
    <row r="3856" spans="33:33">
      <c r="AG3856" s="14"/>
    </row>
    <row r="3857" spans="33:33">
      <c r="AG3857" s="14"/>
    </row>
    <row r="3858" spans="33:33">
      <c r="AG3858" s="14"/>
    </row>
    <row r="3859" spans="33:33">
      <c r="AG3859" s="14"/>
    </row>
    <row r="3860" spans="33:33">
      <c r="AG3860" s="14"/>
    </row>
    <row r="3861" spans="33:33">
      <c r="AG3861" s="14"/>
    </row>
    <row r="3862" spans="33:33">
      <c r="AG3862" s="14"/>
    </row>
    <row r="3863" spans="33:33">
      <c r="AG3863" s="14"/>
    </row>
    <row r="3864" spans="33:33">
      <c r="AG3864" s="14"/>
    </row>
    <row r="3865" spans="33:33">
      <c r="AG3865" s="14"/>
    </row>
    <row r="3866" spans="33:33">
      <c r="AG3866" s="14"/>
    </row>
    <row r="3867" spans="33:33">
      <c r="AG3867" s="14"/>
    </row>
    <row r="3868" spans="33:33">
      <c r="AG3868" s="14"/>
    </row>
    <row r="3869" spans="33:33">
      <c r="AG3869" s="14"/>
    </row>
    <row r="3870" spans="33:33">
      <c r="AG3870" s="14"/>
    </row>
    <row r="3871" spans="33:33">
      <c r="AG3871" s="14"/>
    </row>
    <row r="3872" spans="33:33">
      <c r="AG3872" s="14"/>
    </row>
    <row r="3873" spans="33:33">
      <c r="AG3873" s="14"/>
    </row>
    <row r="3874" spans="33:33">
      <c r="AG3874" s="14"/>
    </row>
    <row r="3875" spans="33:33">
      <c r="AG3875" s="14"/>
    </row>
    <row r="3876" spans="33:33">
      <c r="AG3876" s="14"/>
    </row>
    <row r="3877" spans="33:33">
      <c r="AG3877" s="14"/>
    </row>
    <row r="3878" spans="33:33">
      <c r="AG3878" s="14"/>
    </row>
    <row r="3879" spans="33:33">
      <c r="AG3879" s="14"/>
    </row>
    <row r="3880" spans="33:33">
      <c r="AG3880" s="14"/>
    </row>
    <row r="3881" spans="33:33">
      <c r="AG3881" s="14"/>
    </row>
    <row r="3882" spans="33:33">
      <c r="AG3882" s="14"/>
    </row>
    <row r="3883" spans="33:33">
      <c r="AG3883" s="14"/>
    </row>
    <row r="3884" spans="33:33">
      <c r="AG3884" s="14"/>
    </row>
    <row r="3885" spans="33:33">
      <c r="AG3885" s="14"/>
    </row>
    <row r="3886" spans="33:33">
      <c r="AG3886" s="14"/>
    </row>
    <row r="3887" spans="33:33">
      <c r="AG3887" s="14"/>
    </row>
    <row r="3888" spans="33:33">
      <c r="AG3888" s="14"/>
    </row>
    <row r="3889" spans="33:33">
      <c r="AG3889" s="14"/>
    </row>
    <row r="3890" spans="33:33">
      <c r="AG3890" s="14"/>
    </row>
    <row r="3891" spans="33:33">
      <c r="AG3891" s="14"/>
    </row>
    <row r="3892" spans="33:33">
      <c r="AG3892" s="14"/>
    </row>
    <row r="3893" spans="33:33">
      <c r="AG3893" s="14"/>
    </row>
    <row r="3894" spans="33:33">
      <c r="AG3894" s="14"/>
    </row>
    <row r="3895" spans="33:33">
      <c r="AG3895" s="14"/>
    </row>
    <row r="3896" spans="33:33">
      <c r="AG3896" s="14"/>
    </row>
    <row r="3897" spans="33:33">
      <c r="AG3897" s="14"/>
    </row>
    <row r="3898" spans="33:33">
      <c r="AG3898" s="14"/>
    </row>
    <row r="3899" spans="33:33">
      <c r="AG3899" s="14"/>
    </row>
    <row r="3900" spans="33:33">
      <c r="AG3900" s="14"/>
    </row>
    <row r="3901" spans="33:33">
      <c r="AG3901" s="14"/>
    </row>
    <row r="3902" spans="33:33">
      <c r="AG3902" s="14"/>
    </row>
    <row r="3903" spans="33:33">
      <c r="AG3903" s="14"/>
    </row>
    <row r="3904" spans="33:33">
      <c r="AG3904" s="14"/>
    </row>
    <row r="3905" spans="33:33">
      <c r="AG3905" s="14"/>
    </row>
    <row r="3906" spans="33:33">
      <c r="AG3906" s="14"/>
    </row>
    <row r="3907" spans="33:33">
      <c r="AG3907" s="14"/>
    </row>
    <row r="3908" spans="33:33">
      <c r="AG3908" s="14"/>
    </row>
    <row r="3909" spans="33:33">
      <c r="AG3909" s="14"/>
    </row>
    <row r="3910" spans="33:33">
      <c r="AG3910" s="14"/>
    </row>
    <row r="3911" spans="33:33">
      <c r="AG3911" s="14"/>
    </row>
    <row r="3912" spans="33:33">
      <c r="AG3912" s="14"/>
    </row>
    <row r="3913" spans="33:33">
      <c r="AG3913" s="14"/>
    </row>
    <row r="3914" spans="33:33">
      <c r="AG3914" s="14"/>
    </row>
    <row r="3915" spans="33:33">
      <c r="AG3915" s="14"/>
    </row>
    <row r="3916" spans="33:33">
      <c r="AG3916" s="14"/>
    </row>
    <row r="3917" spans="33:33">
      <c r="AG3917" s="14"/>
    </row>
    <row r="3918" spans="33:33">
      <c r="AG3918" s="14"/>
    </row>
    <row r="3919" spans="33:33">
      <c r="AG3919" s="14"/>
    </row>
    <row r="3920" spans="33:33">
      <c r="AG3920" s="14"/>
    </row>
    <row r="3921" spans="33:33">
      <c r="AG3921" s="14"/>
    </row>
    <row r="3922" spans="33:33">
      <c r="AG3922" s="14"/>
    </row>
    <row r="3923" spans="33:33">
      <c r="AG3923" s="14"/>
    </row>
    <row r="3924" spans="33:33">
      <c r="AG3924" s="14"/>
    </row>
    <row r="3925" spans="33:33">
      <c r="AG3925" s="14"/>
    </row>
    <row r="3926" spans="33:33">
      <c r="AG3926" s="14"/>
    </row>
    <row r="3927" spans="33:33">
      <c r="AG3927" s="14"/>
    </row>
    <row r="3928" spans="33:33">
      <c r="AG3928" s="14"/>
    </row>
    <row r="3929" spans="33:33">
      <c r="AG3929" s="14"/>
    </row>
    <row r="3930" spans="33:33">
      <c r="AG3930" s="14"/>
    </row>
    <row r="3931" spans="33:33">
      <c r="AG3931" s="14"/>
    </row>
    <row r="3932" spans="33:33">
      <c r="AG3932" s="14"/>
    </row>
    <row r="3933" spans="33:33">
      <c r="AG3933" s="14"/>
    </row>
    <row r="3934" spans="33:33">
      <c r="AG3934" s="14"/>
    </row>
    <row r="3935" spans="33:33">
      <c r="AG3935" s="14"/>
    </row>
    <row r="3936" spans="33:33">
      <c r="AG3936" s="14"/>
    </row>
    <row r="3937" spans="33:33">
      <c r="AG3937" s="14"/>
    </row>
    <row r="3938" spans="33:33">
      <c r="AG3938" s="14"/>
    </row>
    <row r="3939" spans="33:33">
      <c r="AG3939" s="14"/>
    </row>
    <row r="3940" spans="33:33">
      <c r="AG3940" s="14"/>
    </row>
    <row r="3941" spans="33:33">
      <c r="AG3941" s="14"/>
    </row>
    <row r="3942" spans="33:33">
      <c r="AG3942" s="14"/>
    </row>
    <row r="3943" spans="33:33">
      <c r="AG3943" s="14"/>
    </row>
    <row r="3944" spans="33:33">
      <c r="AG3944" s="14"/>
    </row>
    <row r="3945" spans="33:33">
      <c r="AG3945" s="14"/>
    </row>
    <row r="3946" spans="33:33">
      <c r="AG3946" s="14"/>
    </row>
    <row r="3947" spans="33:33">
      <c r="AG3947" s="14"/>
    </row>
    <row r="3948" spans="33:33">
      <c r="AG3948" s="14"/>
    </row>
    <row r="3949" spans="33:33">
      <c r="AG3949" s="14"/>
    </row>
    <row r="3950" spans="33:33">
      <c r="AG3950" s="14"/>
    </row>
    <row r="3951" spans="33:33">
      <c r="AG3951" s="14"/>
    </row>
    <row r="3952" spans="33:33">
      <c r="AG3952" s="14"/>
    </row>
    <row r="3953" spans="33:33">
      <c r="AG3953" s="14"/>
    </row>
    <row r="3954" spans="33:33">
      <c r="AG3954" s="14"/>
    </row>
    <row r="3955" spans="33:33">
      <c r="AG3955" s="14"/>
    </row>
    <row r="3956" spans="33:33">
      <c r="AG3956" s="14"/>
    </row>
    <row r="3957" spans="33:33">
      <c r="AG3957" s="14"/>
    </row>
    <row r="3958" spans="33:33">
      <c r="AG3958" s="14"/>
    </row>
    <row r="3959" spans="33:33">
      <c r="AG3959" s="14"/>
    </row>
    <row r="3960" spans="33:33">
      <c r="AG3960" s="14"/>
    </row>
    <row r="3961" spans="33:33">
      <c r="AG3961" s="14"/>
    </row>
    <row r="3962" spans="33:33">
      <c r="AG3962" s="14"/>
    </row>
    <row r="3963" spans="33:33">
      <c r="AG3963" s="14"/>
    </row>
    <row r="3964" spans="33:33">
      <c r="AG3964" s="14"/>
    </row>
    <row r="3965" spans="33:33">
      <c r="AG3965" s="14"/>
    </row>
    <row r="3966" spans="33:33">
      <c r="AG3966" s="14"/>
    </row>
    <row r="3967" spans="33:33">
      <c r="AG3967" s="14"/>
    </row>
    <row r="3968" spans="33:33">
      <c r="AG3968" s="14"/>
    </row>
    <row r="3969" spans="33:33">
      <c r="AG3969" s="14"/>
    </row>
    <row r="3970" spans="33:33">
      <c r="AG3970" s="14"/>
    </row>
    <row r="3971" spans="33:33">
      <c r="AG3971" s="14"/>
    </row>
    <row r="3972" spans="33:33">
      <c r="AG3972" s="14"/>
    </row>
    <row r="3973" spans="33:33">
      <c r="AG3973" s="14"/>
    </row>
    <row r="3974" spans="33:33">
      <c r="AG3974" s="14"/>
    </row>
    <row r="3975" spans="33:33">
      <c r="AG3975" s="14"/>
    </row>
    <row r="3976" spans="33:33">
      <c r="AG3976" s="14"/>
    </row>
    <row r="3977" spans="33:33">
      <c r="AG3977" s="14"/>
    </row>
    <row r="3978" spans="33:33">
      <c r="AG3978" s="14"/>
    </row>
    <row r="3979" spans="33:33">
      <c r="AG3979" s="14"/>
    </row>
    <row r="3980" spans="33:33">
      <c r="AG3980" s="14"/>
    </row>
    <row r="3981" spans="33:33">
      <c r="AG3981" s="14"/>
    </row>
    <row r="3982" spans="33:33">
      <c r="AG3982" s="14"/>
    </row>
    <row r="3983" spans="33:33">
      <c r="AG3983" s="14"/>
    </row>
    <row r="3984" spans="33:33">
      <c r="AG3984" s="14"/>
    </row>
    <row r="3985" spans="33:33">
      <c r="AG3985" s="14"/>
    </row>
    <row r="3986" spans="33:33">
      <c r="AG3986" s="14"/>
    </row>
    <row r="3987" spans="33:33">
      <c r="AG3987" s="14"/>
    </row>
    <row r="3988" spans="33:33">
      <c r="AG3988" s="14"/>
    </row>
    <row r="3989" spans="33:33">
      <c r="AG3989" s="14"/>
    </row>
    <row r="3990" spans="33:33">
      <c r="AG3990" s="14"/>
    </row>
    <row r="3991" spans="33:33">
      <c r="AG3991" s="14"/>
    </row>
    <row r="3992" spans="33:33">
      <c r="AG3992" s="14"/>
    </row>
    <row r="3993" spans="33:33">
      <c r="AG3993" s="14"/>
    </row>
    <row r="3994" spans="33:33">
      <c r="AG3994" s="14"/>
    </row>
    <row r="3995" spans="33:33">
      <c r="AG3995" s="14"/>
    </row>
    <row r="3996" spans="33:33">
      <c r="AG3996" s="14"/>
    </row>
    <row r="3997" spans="33:33">
      <c r="AG3997" s="14"/>
    </row>
    <row r="3998" spans="33:33">
      <c r="AG3998" s="14"/>
    </row>
    <row r="3999" spans="33:33">
      <c r="AG3999" s="14"/>
    </row>
    <row r="4000" spans="33:33">
      <c r="AG4000" s="14"/>
    </row>
    <row r="4001" spans="33:33">
      <c r="AG4001" s="14"/>
    </row>
    <row r="4002" spans="33:33">
      <c r="AG4002" s="14"/>
    </row>
    <row r="4003" spans="33:33">
      <c r="AG4003" s="14"/>
    </row>
    <row r="4004" spans="33:33">
      <c r="AG4004" s="14"/>
    </row>
    <row r="4005" spans="33:33">
      <c r="AG4005" s="14"/>
    </row>
    <row r="4006" spans="33:33">
      <c r="AG4006" s="14"/>
    </row>
    <row r="4007" spans="33:33">
      <c r="AG4007" s="14"/>
    </row>
    <row r="4008" spans="33:33">
      <c r="AG4008" s="14"/>
    </row>
    <row r="4009" spans="33:33">
      <c r="AG4009" s="14"/>
    </row>
    <row r="4010" spans="33:33">
      <c r="AG4010" s="14"/>
    </row>
    <row r="4011" spans="33:33">
      <c r="AG4011" s="14"/>
    </row>
    <row r="4012" spans="33:33">
      <c r="AG4012" s="14"/>
    </row>
    <row r="4013" spans="33:33">
      <c r="AG4013" s="14"/>
    </row>
    <row r="4014" spans="33:33">
      <c r="AG4014" s="14"/>
    </row>
    <row r="4015" spans="33:33">
      <c r="AG4015" s="14"/>
    </row>
    <row r="4016" spans="33:33">
      <c r="AG4016" s="14"/>
    </row>
    <row r="4017" spans="33:33">
      <c r="AG4017" s="14"/>
    </row>
    <row r="4018" spans="33:33">
      <c r="AG4018" s="14"/>
    </row>
    <row r="4019" spans="33:33">
      <c r="AG4019" s="14"/>
    </row>
    <row r="4020" spans="33:33">
      <c r="AG4020" s="14"/>
    </row>
    <row r="4021" spans="33:33">
      <c r="AG4021" s="14"/>
    </row>
    <row r="4022" spans="33:33">
      <c r="AG4022" s="14"/>
    </row>
    <row r="4023" spans="33:33">
      <c r="AG4023" s="14"/>
    </row>
    <row r="4024" spans="33:33">
      <c r="AG4024" s="14"/>
    </row>
    <row r="4025" spans="33:33">
      <c r="AG4025" s="14"/>
    </row>
    <row r="4026" spans="33:33">
      <c r="AG4026" s="14"/>
    </row>
    <row r="4027" spans="33:33">
      <c r="AG4027" s="14"/>
    </row>
    <row r="4028" spans="33:33">
      <c r="AG4028" s="14"/>
    </row>
    <row r="4029" spans="33:33">
      <c r="AG4029" s="14"/>
    </row>
    <row r="4030" spans="33:33">
      <c r="AG4030" s="14"/>
    </row>
    <row r="4031" spans="33:33">
      <c r="AG4031" s="14"/>
    </row>
    <row r="4032" spans="33:33">
      <c r="AG4032" s="14"/>
    </row>
    <row r="4033" spans="33:33">
      <c r="AG4033" s="14"/>
    </row>
    <row r="4034" spans="33:33">
      <c r="AG4034" s="14"/>
    </row>
    <row r="4035" spans="33:33">
      <c r="AG4035" s="14"/>
    </row>
    <row r="4036" spans="33:33">
      <c r="AG4036" s="14"/>
    </row>
    <row r="4037" spans="33:33">
      <c r="AG4037" s="14"/>
    </row>
    <row r="4038" spans="33:33">
      <c r="AG4038" s="14"/>
    </row>
    <row r="4039" spans="33:33">
      <c r="AG4039" s="14"/>
    </row>
    <row r="4040" spans="33:33">
      <c r="AG4040" s="14"/>
    </row>
    <row r="4041" spans="33:33">
      <c r="AG4041" s="14"/>
    </row>
    <row r="4042" spans="33:33">
      <c r="AG4042" s="14"/>
    </row>
    <row r="4043" spans="33:33">
      <c r="AG4043" s="14"/>
    </row>
    <row r="4044" spans="33:33">
      <c r="AG4044" s="14"/>
    </row>
    <row r="4045" spans="33:33">
      <c r="AG4045" s="14"/>
    </row>
    <row r="4046" spans="33:33">
      <c r="AG4046" s="14"/>
    </row>
    <row r="4047" spans="33:33">
      <c r="AG4047" s="14"/>
    </row>
    <row r="4048" spans="33:33">
      <c r="AG4048" s="14"/>
    </row>
    <row r="4049" spans="33:33">
      <c r="AG4049" s="14"/>
    </row>
    <row r="4050" spans="33:33">
      <c r="AG4050" s="14"/>
    </row>
    <row r="4051" spans="33:33">
      <c r="AG4051" s="14"/>
    </row>
    <row r="4052" spans="33:33">
      <c r="AG4052" s="14"/>
    </row>
    <row r="4053" spans="33:33">
      <c r="AG4053" s="14"/>
    </row>
    <row r="4054" spans="33:33">
      <c r="AG4054" s="14"/>
    </row>
    <row r="4055" spans="33:33">
      <c r="AG4055" s="14"/>
    </row>
    <row r="4056" spans="33:33">
      <c r="AG4056" s="14"/>
    </row>
    <row r="4057" spans="33:33">
      <c r="AG4057" s="14"/>
    </row>
    <row r="4058" spans="33:33">
      <c r="AG4058" s="14"/>
    </row>
    <row r="4059" spans="33:33">
      <c r="AG4059" s="14"/>
    </row>
    <row r="4060" spans="33:33">
      <c r="AG4060" s="14"/>
    </row>
    <row r="4061" spans="33:33">
      <c r="AG4061" s="14"/>
    </row>
    <row r="4062" spans="33:33">
      <c r="AG4062" s="14"/>
    </row>
    <row r="4063" spans="33:33">
      <c r="AG4063" s="14"/>
    </row>
    <row r="4064" spans="33:33">
      <c r="AG4064" s="14"/>
    </row>
    <row r="4065" spans="33:33">
      <c r="AG4065" s="14"/>
    </row>
    <row r="4066" spans="33:33">
      <c r="AG4066" s="14"/>
    </row>
    <row r="4067" spans="33:33">
      <c r="AG4067" s="14"/>
    </row>
    <row r="4068" spans="33:33">
      <c r="AG4068" s="14"/>
    </row>
    <row r="4069" spans="33:33">
      <c r="AG4069" s="14"/>
    </row>
    <row r="4070" spans="33:33">
      <c r="AG4070" s="14"/>
    </row>
    <row r="4071" spans="33:33">
      <c r="AG4071" s="14"/>
    </row>
    <row r="4072" spans="33:33">
      <c r="AG4072" s="14"/>
    </row>
    <row r="4073" spans="33:33">
      <c r="AG4073" s="14"/>
    </row>
    <row r="4074" spans="33:33">
      <c r="AG4074" s="14"/>
    </row>
    <row r="4075" spans="33:33">
      <c r="AG4075" s="14"/>
    </row>
    <row r="4076" spans="33:33">
      <c r="AG4076" s="14"/>
    </row>
    <row r="4077" spans="33:33">
      <c r="AG4077" s="14"/>
    </row>
    <row r="4078" spans="33:33">
      <c r="AG4078" s="14"/>
    </row>
    <row r="4079" spans="33:33">
      <c r="AG4079" s="14"/>
    </row>
    <row r="4080" spans="33:33">
      <c r="AG4080" s="14"/>
    </row>
    <row r="4081" spans="33:33">
      <c r="AG4081" s="14"/>
    </row>
    <row r="4082" spans="33:33">
      <c r="AG4082" s="14"/>
    </row>
    <row r="4083" spans="33:33">
      <c r="AG4083" s="14"/>
    </row>
    <row r="4084" spans="33:33">
      <c r="AG4084" s="14"/>
    </row>
    <row r="4085" spans="33:33">
      <c r="AG4085" s="14"/>
    </row>
    <row r="4086" spans="33:33">
      <c r="AG4086" s="14"/>
    </row>
    <row r="4087" spans="33:33">
      <c r="AG4087" s="14"/>
    </row>
    <row r="4088" spans="33:33">
      <c r="AG4088" s="14"/>
    </row>
    <row r="4089" spans="33:33">
      <c r="AG4089" s="14"/>
    </row>
    <row r="4090" spans="33:33">
      <c r="AG4090" s="14"/>
    </row>
    <row r="4091" spans="33:33">
      <c r="AG4091" s="14"/>
    </row>
    <row r="4092" spans="33:33">
      <c r="AG4092" s="14"/>
    </row>
    <row r="4093" spans="33:33">
      <c r="AG4093" s="14"/>
    </row>
    <row r="4094" spans="33:33">
      <c r="AG4094" s="14"/>
    </row>
    <row r="4095" spans="33:33">
      <c r="AG4095" s="14"/>
    </row>
    <row r="4096" spans="33:33">
      <c r="AG4096" s="14"/>
    </row>
    <row r="4097" spans="33:33">
      <c r="AG4097" s="14"/>
    </row>
    <row r="4098" spans="33:33">
      <c r="AG4098" s="14"/>
    </row>
    <row r="4099" spans="33:33">
      <c r="AG4099" s="14"/>
    </row>
    <row r="4100" spans="33:33">
      <c r="AG4100" s="14"/>
    </row>
    <row r="4101" spans="33:33">
      <c r="AG4101" s="14"/>
    </row>
    <row r="4102" spans="33:33">
      <c r="AG4102" s="14"/>
    </row>
    <row r="4103" spans="33:33">
      <c r="AG4103" s="14"/>
    </row>
    <row r="4104" spans="33:33">
      <c r="AG4104" s="14"/>
    </row>
    <row r="4105" spans="33:33">
      <c r="AG4105" s="14"/>
    </row>
    <row r="4106" spans="33:33">
      <c r="AG4106" s="14"/>
    </row>
    <row r="4107" spans="33:33">
      <c r="AG4107" s="14"/>
    </row>
    <row r="4108" spans="33:33">
      <c r="AG4108" s="14"/>
    </row>
    <row r="4109" spans="33:33">
      <c r="AG4109" s="14"/>
    </row>
    <row r="4110" spans="33:33">
      <c r="AG4110" s="14"/>
    </row>
    <row r="4111" spans="33:33">
      <c r="AG4111" s="14"/>
    </row>
    <row r="4112" spans="33:33">
      <c r="AG4112" s="14"/>
    </row>
    <row r="4113" spans="33:33">
      <c r="AG4113" s="14"/>
    </row>
    <row r="4114" spans="33:33">
      <c r="AG4114" s="14"/>
    </row>
    <row r="4115" spans="33:33">
      <c r="AG4115" s="14"/>
    </row>
    <row r="4116" spans="33:33">
      <c r="AG4116" s="14"/>
    </row>
    <row r="4117" spans="33:33">
      <c r="AG4117" s="14"/>
    </row>
    <row r="4118" spans="33:33">
      <c r="AG4118" s="14"/>
    </row>
    <row r="4119" spans="33:33">
      <c r="AG4119" s="14"/>
    </row>
    <row r="4120" spans="33:33">
      <c r="AG4120" s="14"/>
    </row>
    <row r="4121" spans="33:33">
      <c r="AG4121" s="14"/>
    </row>
    <row r="4122" spans="33:33">
      <c r="AG4122" s="14"/>
    </row>
    <row r="4123" spans="33:33">
      <c r="AG4123" s="14"/>
    </row>
    <row r="4124" spans="33:33">
      <c r="AG4124" s="14"/>
    </row>
    <row r="4125" spans="33:33">
      <c r="AG4125" s="14"/>
    </row>
    <row r="4126" spans="33:33">
      <c r="AG4126" s="14"/>
    </row>
    <row r="4127" spans="33:33">
      <c r="AG4127" s="14"/>
    </row>
    <row r="4128" spans="33:33">
      <c r="AG4128" s="14"/>
    </row>
    <row r="4129" spans="33:33">
      <c r="AG4129" s="14"/>
    </row>
    <row r="4130" spans="33:33">
      <c r="AG4130" s="14"/>
    </row>
    <row r="4131" spans="33:33">
      <c r="AG4131" s="14"/>
    </row>
    <row r="4132" spans="33:33">
      <c r="AG4132" s="14"/>
    </row>
    <row r="4133" spans="33:33">
      <c r="AG4133" s="14"/>
    </row>
    <row r="4134" spans="33:33">
      <c r="AG4134" s="14"/>
    </row>
    <row r="4135" spans="33:33">
      <c r="AG4135" s="14"/>
    </row>
    <row r="4136" spans="33:33">
      <c r="AG4136" s="14"/>
    </row>
    <row r="4137" spans="33:33">
      <c r="AG4137" s="14"/>
    </row>
    <row r="4138" spans="33:33">
      <c r="AG4138" s="14"/>
    </row>
    <row r="4139" spans="33:33">
      <c r="AG4139" s="14"/>
    </row>
    <row r="4140" spans="33:33">
      <c r="AG4140" s="14"/>
    </row>
    <row r="4141" spans="33:33">
      <c r="AG4141" s="14"/>
    </row>
    <row r="4142" spans="33:33">
      <c r="AG4142" s="14"/>
    </row>
    <row r="4143" spans="33:33">
      <c r="AG4143" s="14"/>
    </row>
    <row r="4144" spans="33:33">
      <c r="AG4144" s="14"/>
    </row>
    <row r="4145" spans="33:33">
      <c r="AG4145" s="14"/>
    </row>
    <row r="4146" spans="33:33">
      <c r="AG4146" s="14"/>
    </row>
    <row r="4147" spans="33:33">
      <c r="AG4147" s="14"/>
    </row>
    <row r="4148" spans="33:33">
      <c r="AG4148" s="14"/>
    </row>
    <row r="4149" spans="33:33">
      <c r="AG4149" s="14"/>
    </row>
    <row r="4150" spans="33:33">
      <c r="AG4150" s="14"/>
    </row>
    <row r="4151" spans="33:33">
      <c r="AG4151" s="14"/>
    </row>
    <row r="4152" spans="33:33">
      <c r="AG4152" s="14"/>
    </row>
    <row r="4153" spans="33:33">
      <c r="AG4153" s="14"/>
    </row>
    <row r="4154" spans="33:33">
      <c r="AG4154" s="14"/>
    </row>
    <row r="4155" spans="33:33">
      <c r="AG4155" s="14"/>
    </row>
    <row r="4156" spans="33:33">
      <c r="AG4156" s="14"/>
    </row>
    <row r="4157" spans="33:33">
      <c r="AG4157" s="14"/>
    </row>
    <row r="4158" spans="33:33">
      <c r="AG4158" s="14"/>
    </row>
    <row r="4159" spans="33:33">
      <c r="AG4159" s="14"/>
    </row>
    <row r="4160" spans="33:33">
      <c r="AG4160" s="14"/>
    </row>
    <row r="4161" spans="33:33">
      <c r="AG4161" s="14"/>
    </row>
    <row r="4162" spans="33:33">
      <c r="AG4162" s="14"/>
    </row>
    <row r="4163" spans="33:33">
      <c r="AG4163" s="14"/>
    </row>
    <row r="4164" spans="33:33">
      <c r="AG4164" s="14"/>
    </row>
    <row r="4165" spans="33:33">
      <c r="AG4165" s="14"/>
    </row>
    <row r="4166" spans="33:33">
      <c r="AG4166" s="14"/>
    </row>
    <row r="4167" spans="33:33">
      <c r="AG4167" s="14"/>
    </row>
    <row r="4168" spans="33:33">
      <c r="AG4168" s="14"/>
    </row>
    <row r="4169" spans="33:33">
      <c r="AG4169" s="14"/>
    </row>
    <row r="4170" spans="33:33">
      <c r="AG4170" s="14"/>
    </row>
    <row r="4171" spans="33:33">
      <c r="AG4171" s="14"/>
    </row>
    <row r="4172" spans="33:33">
      <c r="AG4172" s="14"/>
    </row>
    <row r="4173" spans="33:33">
      <c r="AG4173" s="14"/>
    </row>
    <row r="4174" spans="33:33">
      <c r="AG4174" s="14"/>
    </row>
    <row r="4175" spans="33:33">
      <c r="AG4175" s="14"/>
    </row>
    <row r="4176" spans="33:33">
      <c r="AG4176" s="14"/>
    </row>
    <row r="4177" spans="33:33">
      <c r="AG4177" s="14"/>
    </row>
    <row r="4178" spans="33:33">
      <c r="AG4178" s="14"/>
    </row>
    <row r="4179" spans="33:33">
      <c r="AG4179" s="14"/>
    </row>
    <row r="4180" spans="33:33">
      <c r="AG4180" s="14"/>
    </row>
    <row r="4181" spans="33:33">
      <c r="AG4181" s="14"/>
    </row>
    <row r="4182" spans="33:33">
      <c r="AG4182" s="14"/>
    </row>
    <row r="4183" spans="33:33">
      <c r="AG4183" s="14"/>
    </row>
    <row r="4184" spans="33:33">
      <c r="AG4184" s="14"/>
    </row>
    <row r="4185" spans="33:33">
      <c r="AG4185" s="14"/>
    </row>
    <row r="4186" spans="33:33">
      <c r="AG4186" s="14"/>
    </row>
    <row r="4187" spans="33:33">
      <c r="AG4187" s="14"/>
    </row>
    <row r="4188" spans="33:33">
      <c r="AG4188" s="14"/>
    </row>
    <row r="4189" spans="33:33">
      <c r="AG4189" s="14"/>
    </row>
    <row r="4190" spans="33:33">
      <c r="AG4190" s="14"/>
    </row>
    <row r="4191" spans="33:33">
      <c r="AG4191" s="14"/>
    </row>
    <row r="4192" spans="33:33">
      <c r="AG4192" s="14"/>
    </row>
    <row r="4193" spans="33:33">
      <c r="AG4193" s="14"/>
    </row>
    <row r="4194" spans="33:33">
      <c r="AG4194" s="14"/>
    </row>
    <row r="4195" spans="33:33">
      <c r="AG4195" s="14"/>
    </row>
    <row r="4196" spans="33:33">
      <c r="AG4196" s="14"/>
    </row>
    <row r="4197" spans="33:33">
      <c r="AG4197" s="14"/>
    </row>
    <row r="4198" spans="33:33">
      <c r="AG4198" s="14"/>
    </row>
    <row r="4199" spans="33:33">
      <c r="AG4199" s="14"/>
    </row>
    <row r="4200" spans="33:33">
      <c r="AG4200" s="14"/>
    </row>
    <row r="4201" spans="33:33">
      <c r="AG4201" s="14"/>
    </row>
    <row r="4202" spans="33:33">
      <c r="AG4202" s="14"/>
    </row>
    <row r="4203" spans="33:33">
      <c r="AG4203" s="14"/>
    </row>
    <row r="4204" spans="33:33">
      <c r="AG4204" s="14"/>
    </row>
    <row r="4205" spans="33:33">
      <c r="AG4205" s="14"/>
    </row>
    <row r="4206" spans="33:33">
      <c r="AG4206" s="14"/>
    </row>
    <row r="4207" spans="33:33">
      <c r="AG4207" s="14"/>
    </row>
    <row r="4208" spans="33:33">
      <c r="AG4208" s="14"/>
    </row>
    <row r="4209" spans="33:33">
      <c r="AG4209" s="14"/>
    </row>
    <row r="4210" spans="33:33">
      <c r="AG4210" s="14"/>
    </row>
    <row r="4211" spans="33:33">
      <c r="AG4211" s="14"/>
    </row>
    <row r="4212" spans="33:33">
      <c r="AG4212" s="14"/>
    </row>
    <row r="4213" spans="33:33">
      <c r="AG4213" s="14"/>
    </row>
    <row r="4214" spans="33:33">
      <c r="AG4214" s="14"/>
    </row>
    <row r="4215" spans="33:33">
      <c r="AG4215" s="14"/>
    </row>
    <row r="4216" spans="33:33">
      <c r="AG4216" s="14"/>
    </row>
    <row r="4217" spans="33:33">
      <c r="AG4217" s="14"/>
    </row>
    <row r="4218" spans="33:33">
      <c r="AG4218" s="14"/>
    </row>
    <row r="4219" spans="33:33">
      <c r="AG4219" s="14"/>
    </row>
    <row r="4220" spans="33:33">
      <c r="AG4220" s="14"/>
    </row>
    <row r="4221" spans="33:33">
      <c r="AG4221" s="14"/>
    </row>
    <row r="4222" spans="33:33">
      <c r="AG4222" s="14"/>
    </row>
    <row r="4223" spans="33:33">
      <c r="AG4223" s="14"/>
    </row>
    <row r="4224" spans="33:33">
      <c r="AG4224" s="14"/>
    </row>
    <row r="4225" spans="33:33">
      <c r="AG4225" s="14"/>
    </row>
    <row r="4226" spans="33:33">
      <c r="AG4226" s="14"/>
    </row>
    <row r="4227" spans="33:33">
      <c r="AG4227" s="14"/>
    </row>
    <row r="4228" spans="33:33">
      <c r="AG4228" s="14"/>
    </row>
    <row r="4229" spans="33:33">
      <c r="AG4229" s="14"/>
    </row>
    <row r="4230" spans="33:33">
      <c r="AG4230" s="14"/>
    </row>
    <row r="4231" spans="33:33">
      <c r="AG4231" s="14"/>
    </row>
    <row r="4232" spans="33:33">
      <c r="AG4232" s="14"/>
    </row>
    <row r="4233" spans="33:33">
      <c r="AG4233" s="14"/>
    </row>
    <row r="4234" spans="33:33">
      <c r="AG4234" s="14"/>
    </row>
    <row r="4235" spans="33:33">
      <c r="AG4235" s="14"/>
    </row>
    <row r="4236" spans="33:33">
      <c r="AG4236" s="14"/>
    </row>
    <row r="4237" spans="33:33">
      <c r="AG4237" s="14"/>
    </row>
    <row r="4238" spans="33:33">
      <c r="AG4238" s="14"/>
    </row>
    <row r="4239" spans="33:33">
      <c r="AG4239" s="14"/>
    </row>
    <row r="4240" spans="33:33">
      <c r="AG4240" s="14"/>
    </row>
    <row r="4241" spans="33:33">
      <c r="AG4241" s="14"/>
    </row>
    <row r="4242" spans="33:33">
      <c r="AG4242" s="14"/>
    </row>
    <row r="4243" spans="33:33">
      <c r="AG4243" s="14"/>
    </row>
    <row r="4244" spans="33:33">
      <c r="AG4244" s="14"/>
    </row>
    <row r="4245" spans="33:33">
      <c r="AG4245" s="14"/>
    </row>
    <row r="4246" spans="33:33">
      <c r="AG4246" s="14"/>
    </row>
    <row r="4247" spans="33:33">
      <c r="AG4247" s="14"/>
    </row>
    <row r="4248" spans="33:33">
      <c r="AG4248" s="14"/>
    </row>
    <row r="4249" spans="33:33">
      <c r="AG4249" s="14"/>
    </row>
    <row r="4250" spans="33:33">
      <c r="AG4250" s="14"/>
    </row>
    <row r="4251" spans="33:33">
      <c r="AG4251" s="14"/>
    </row>
    <row r="4252" spans="33:33">
      <c r="AG4252" s="14"/>
    </row>
    <row r="4253" spans="33:33">
      <c r="AG4253" s="14"/>
    </row>
    <row r="4254" spans="33:33">
      <c r="AG4254" s="14"/>
    </row>
    <row r="4255" spans="33:33">
      <c r="AG4255" s="14"/>
    </row>
    <row r="4256" spans="33:33">
      <c r="AG4256" s="14"/>
    </row>
    <row r="4257" spans="33:33">
      <c r="AG4257" s="14"/>
    </row>
    <row r="4258" spans="33:33">
      <c r="AG4258" s="14"/>
    </row>
    <row r="4259" spans="33:33">
      <c r="AG4259" s="14"/>
    </row>
    <row r="4260" spans="33:33">
      <c r="AG4260" s="14"/>
    </row>
    <row r="4261" spans="33:33">
      <c r="AG4261" s="14"/>
    </row>
    <row r="4262" spans="33:33">
      <c r="AG4262" s="14"/>
    </row>
    <row r="4263" spans="33:33">
      <c r="AG4263" s="14"/>
    </row>
    <row r="4264" spans="33:33">
      <c r="AG4264" s="14"/>
    </row>
    <row r="4265" spans="33:33">
      <c r="AG4265" s="14"/>
    </row>
    <row r="4266" spans="33:33">
      <c r="AG4266" s="14"/>
    </row>
    <row r="4267" spans="33:33">
      <c r="AG4267" s="14"/>
    </row>
    <row r="4268" spans="33:33">
      <c r="AG4268" s="14"/>
    </row>
    <row r="4269" spans="33:33">
      <c r="AG4269" s="14"/>
    </row>
    <row r="4270" spans="33:33">
      <c r="AG4270" s="14"/>
    </row>
    <row r="4271" spans="33:33">
      <c r="AG4271" s="14"/>
    </row>
    <row r="4272" spans="33:33">
      <c r="AG4272" s="14"/>
    </row>
    <row r="4273" spans="33:33">
      <c r="AG4273" s="14"/>
    </row>
    <row r="4274" spans="33:33">
      <c r="AG4274" s="14"/>
    </row>
    <row r="4275" spans="33:33">
      <c r="AG4275" s="14"/>
    </row>
    <row r="4276" spans="33:33">
      <c r="AG4276" s="14"/>
    </row>
    <row r="4277" spans="33:33">
      <c r="AG4277" s="14"/>
    </row>
    <row r="4278" spans="33:33">
      <c r="AG4278" s="14"/>
    </row>
    <row r="4279" spans="33:33">
      <c r="AG4279" s="14"/>
    </row>
    <row r="4280" spans="33:33">
      <c r="AG4280" s="14"/>
    </row>
    <row r="4281" spans="33:33">
      <c r="AG4281" s="14"/>
    </row>
    <row r="4282" spans="33:33">
      <c r="AG4282" s="14"/>
    </row>
    <row r="4283" spans="33:33">
      <c r="AG4283" s="14"/>
    </row>
    <row r="4284" spans="33:33">
      <c r="AG4284" s="14"/>
    </row>
    <row r="4285" spans="33:33">
      <c r="AG4285" s="14"/>
    </row>
    <row r="4286" spans="33:33">
      <c r="AG4286" s="14"/>
    </row>
    <row r="4287" spans="33:33">
      <c r="AG4287" s="14"/>
    </row>
    <row r="4288" spans="33:33">
      <c r="AG4288" s="14"/>
    </row>
    <row r="4289" spans="33:33">
      <c r="AG4289" s="14"/>
    </row>
    <row r="4290" spans="33:33">
      <c r="AG4290" s="14"/>
    </row>
    <row r="4291" spans="33:33">
      <c r="AG4291" s="14"/>
    </row>
    <row r="4292" spans="33:33">
      <c r="AG4292" s="14"/>
    </row>
    <row r="4293" spans="33:33">
      <c r="AG4293" s="14"/>
    </row>
    <row r="4294" spans="33:33">
      <c r="AG4294" s="14"/>
    </row>
    <row r="4295" spans="33:33">
      <c r="AG4295" s="14"/>
    </row>
    <row r="4296" spans="33:33">
      <c r="AG4296" s="14"/>
    </row>
    <row r="4297" spans="33:33">
      <c r="AG4297" s="14"/>
    </row>
    <row r="4298" spans="33:33">
      <c r="AG4298" s="14"/>
    </row>
    <row r="4299" spans="33:33">
      <c r="AG4299" s="14"/>
    </row>
    <row r="4300" spans="33:33">
      <c r="AG4300" s="14"/>
    </row>
    <row r="4301" spans="33:33">
      <c r="AG4301" s="14"/>
    </row>
    <row r="4302" spans="33:33">
      <c r="AG4302" s="14"/>
    </row>
    <row r="4303" spans="33:33">
      <c r="AG4303" s="14"/>
    </row>
    <row r="4304" spans="33:33">
      <c r="AG4304" s="14"/>
    </row>
    <row r="4305" spans="33:33">
      <c r="AG4305" s="14"/>
    </row>
    <row r="4306" spans="33:33">
      <c r="AG4306" s="14"/>
    </row>
    <row r="4307" spans="33:33">
      <c r="AG4307" s="14"/>
    </row>
    <row r="4308" spans="33:33">
      <c r="AG4308" s="14"/>
    </row>
    <row r="4309" spans="33:33">
      <c r="AG4309" s="14"/>
    </row>
    <row r="4310" spans="33:33">
      <c r="AG4310" s="14"/>
    </row>
    <row r="4311" spans="33:33">
      <c r="AG4311" s="14"/>
    </row>
    <row r="4312" spans="33:33">
      <c r="AG4312" s="14"/>
    </row>
    <row r="4313" spans="33:33">
      <c r="AG4313" s="14"/>
    </row>
    <row r="4314" spans="33:33">
      <c r="AG4314" s="14"/>
    </row>
    <row r="4315" spans="33:33">
      <c r="AG4315" s="14"/>
    </row>
    <row r="4316" spans="33:33">
      <c r="AG4316" s="14"/>
    </row>
    <row r="4317" spans="33:33">
      <c r="AG4317" s="14"/>
    </row>
    <row r="4318" spans="33:33">
      <c r="AG4318" s="14"/>
    </row>
    <row r="4319" spans="33:33">
      <c r="AG4319" s="14"/>
    </row>
    <row r="4320" spans="33:33">
      <c r="AG4320" s="14"/>
    </row>
    <row r="4321" spans="33:33">
      <c r="AG4321" s="14"/>
    </row>
    <row r="4322" spans="33:33">
      <c r="AG4322" s="14"/>
    </row>
    <row r="4323" spans="33:33">
      <c r="AG4323" s="14"/>
    </row>
    <row r="4324" spans="33:33">
      <c r="AG4324" s="14"/>
    </row>
    <row r="4325" spans="33:33">
      <c r="AG4325" s="14"/>
    </row>
    <row r="4326" spans="33:33">
      <c r="AG4326" s="14"/>
    </row>
    <row r="4327" spans="33:33">
      <c r="AG4327" s="14"/>
    </row>
    <row r="4328" spans="33:33">
      <c r="AG4328" s="14"/>
    </row>
    <row r="4329" spans="33:33">
      <c r="AG4329" s="14"/>
    </row>
    <row r="4330" spans="33:33">
      <c r="AG4330" s="14"/>
    </row>
    <row r="4331" spans="33:33">
      <c r="AG4331" s="14"/>
    </row>
    <row r="4332" spans="33:33">
      <c r="AG4332" s="14"/>
    </row>
    <row r="4333" spans="33:33">
      <c r="AG4333" s="14"/>
    </row>
    <row r="4334" spans="33:33">
      <c r="AG4334" s="14"/>
    </row>
    <row r="4335" spans="33:33">
      <c r="AG4335" s="14"/>
    </row>
    <row r="4336" spans="33:33">
      <c r="AG4336" s="14"/>
    </row>
    <row r="4337" spans="33:33">
      <c r="AG4337" s="14"/>
    </row>
    <row r="4338" spans="33:33">
      <c r="AG4338" s="14"/>
    </row>
    <row r="4339" spans="33:33">
      <c r="AG4339" s="14"/>
    </row>
    <row r="4340" spans="33:33">
      <c r="AG4340" s="14"/>
    </row>
    <row r="4341" spans="33:33">
      <c r="AG4341" s="14"/>
    </row>
    <row r="4342" spans="33:33">
      <c r="AG4342" s="14"/>
    </row>
    <row r="4343" spans="33:33">
      <c r="AG4343" s="14"/>
    </row>
    <row r="4344" spans="33:33">
      <c r="AG4344" s="14"/>
    </row>
    <row r="4345" spans="33:33">
      <c r="AG4345" s="14"/>
    </row>
    <row r="4346" spans="33:33">
      <c r="AG4346" s="14"/>
    </row>
    <row r="4347" spans="33:33">
      <c r="AG4347" s="14"/>
    </row>
    <row r="4348" spans="33:33">
      <c r="AG4348" s="14"/>
    </row>
    <row r="4349" spans="33:33">
      <c r="AG4349" s="14"/>
    </row>
    <row r="4350" spans="33:33">
      <c r="AG4350" s="14"/>
    </row>
    <row r="4351" spans="33:33">
      <c r="AG4351" s="14"/>
    </row>
    <row r="4352" spans="33:33">
      <c r="AG4352" s="14"/>
    </row>
    <row r="4353" spans="33:33">
      <c r="AG4353" s="14"/>
    </row>
    <row r="4354" spans="33:33">
      <c r="AG4354" s="14"/>
    </row>
    <row r="4355" spans="33:33">
      <c r="AG4355" s="14"/>
    </row>
    <row r="4356" spans="33:33">
      <c r="AG4356" s="14"/>
    </row>
    <row r="4357" spans="33:33">
      <c r="AG4357" s="14"/>
    </row>
    <row r="4358" spans="33:33">
      <c r="AG4358" s="14"/>
    </row>
    <row r="4359" spans="33:33">
      <c r="AG4359" s="14"/>
    </row>
    <row r="4360" spans="33:33">
      <c r="AG4360" s="14"/>
    </row>
    <row r="4361" spans="33:33">
      <c r="AG4361" s="14"/>
    </row>
    <row r="4362" spans="33:33">
      <c r="AG4362" s="14"/>
    </row>
    <row r="4363" spans="33:33">
      <c r="AG4363" s="14"/>
    </row>
    <row r="4364" spans="33:33">
      <c r="AG4364" s="14"/>
    </row>
    <row r="4365" spans="33:33">
      <c r="AG4365" s="14"/>
    </row>
    <row r="4366" spans="33:33">
      <c r="AG4366" s="14"/>
    </row>
    <row r="4367" spans="33:33">
      <c r="AG4367" s="14"/>
    </row>
    <row r="4368" spans="33:33">
      <c r="AG4368" s="14"/>
    </row>
    <row r="4369" spans="33:33">
      <c r="AG4369" s="14"/>
    </row>
    <row r="4370" spans="33:33">
      <c r="AG4370" s="14"/>
    </row>
    <row r="4371" spans="33:33">
      <c r="AG4371" s="14"/>
    </row>
    <row r="4372" spans="33:33">
      <c r="AG4372" s="14"/>
    </row>
    <row r="4373" spans="33:33">
      <c r="AG4373" s="14"/>
    </row>
    <row r="4374" spans="33:33">
      <c r="AG4374" s="14"/>
    </row>
    <row r="4375" spans="33:33">
      <c r="AG4375" s="14"/>
    </row>
    <row r="4376" spans="33:33">
      <c r="AG4376" s="14"/>
    </row>
    <row r="4377" spans="33:33">
      <c r="AG4377" s="14"/>
    </row>
    <row r="4378" spans="33:33">
      <c r="AG4378" s="14"/>
    </row>
    <row r="4379" spans="33:33">
      <c r="AG4379" s="14"/>
    </row>
    <row r="4380" spans="33:33">
      <c r="AG4380" s="14"/>
    </row>
    <row r="4381" spans="33:33">
      <c r="AG4381" s="14"/>
    </row>
    <row r="4382" spans="33:33">
      <c r="AG4382" s="14"/>
    </row>
    <row r="4383" spans="33:33">
      <c r="AG4383" s="14"/>
    </row>
    <row r="4384" spans="33:33">
      <c r="AG4384" s="14"/>
    </row>
    <row r="4385" spans="33:33">
      <c r="AG4385" s="14"/>
    </row>
    <row r="4386" spans="33:33">
      <c r="AG4386" s="14"/>
    </row>
    <row r="4387" spans="33:33">
      <c r="AG4387" s="14"/>
    </row>
    <row r="4388" spans="33:33">
      <c r="AG4388" s="14"/>
    </row>
    <row r="4389" spans="33:33">
      <c r="AG4389" s="14"/>
    </row>
    <row r="4390" spans="33:33">
      <c r="AG4390" s="14"/>
    </row>
    <row r="4391" spans="33:33">
      <c r="AG4391" s="14"/>
    </row>
    <row r="4392" spans="33:33">
      <c r="AG4392" s="14"/>
    </row>
    <row r="4393" spans="33:33">
      <c r="AG4393" s="14"/>
    </row>
    <row r="4394" spans="33:33">
      <c r="AG4394" s="14"/>
    </row>
    <row r="4395" spans="33:33">
      <c r="AG4395" s="14"/>
    </row>
    <row r="4396" spans="33:33">
      <c r="AG4396" s="14"/>
    </row>
    <row r="4397" spans="33:33">
      <c r="AG4397" s="14"/>
    </row>
    <row r="4398" spans="33:33">
      <c r="AG4398" s="14"/>
    </row>
    <row r="4399" spans="33:33">
      <c r="AG4399" s="14"/>
    </row>
    <row r="4400" spans="33:33">
      <c r="AG4400" s="14"/>
    </row>
    <row r="4401" spans="33:33">
      <c r="AG4401" s="14"/>
    </row>
    <row r="4402" spans="33:33">
      <c r="AG4402" s="14"/>
    </row>
    <row r="4403" spans="33:33">
      <c r="AG4403" s="14"/>
    </row>
    <row r="4404" spans="33:33">
      <c r="AG4404" s="14"/>
    </row>
    <row r="4405" spans="33:33">
      <c r="AG4405" s="14"/>
    </row>
    <row r="4406" spans="33:33">
      <c r="AG4406" s="14"/>
    </row>
    <row r="4407" spans="33:33">
      <c r="AG4407" s="14"/>
    </row>
    <row r="4408" spans="33:33">
      <c r="AG4408" s="14"/>
    </row>
    <row r="4409" spans="33:33">
      <c r="AG4409" s="14"/>
    </row>
    <row r="4410" spans="33:33">
      <c r="AG4410" s="14"/>
    </row>
    <row r="4411" spans="33:33">
      <c r="AG4411" s="14"/>
    </row>
    <row r="4412" spans="33:33">
      <c r="AG4412" s="14"/>
    </row>
    <row r="4413" spans="33:33">
      <c r="AG4413" s="14"/>
    </row>
    <row r="4414" spans="33:33">
      <c r="AG4414" s="14"/>
    </row>
    <row r="4415" spans="33:33">
      <c r="AG4415" s="14"/>
    </row>
    <row r="4416" spans="33:33">
      <c r="AG4416" s="14"/>
    </row>
    <row r="4417" spans="33:33">
      <c r="AG4417" s="14"/>
    </row>
    <row r="4418" spans="33:33">
      <c r="AG4418" s="14"/>
    </row>
    <row r="4419" spans="33:33">
      <c r="AG4419" s="14"/>
    </row>
    <row r="4420" spans="33:33">
      <c r="AG4420" s="14"/>
    </row>
    <row r="4421" spans="33:33">
      <c r="AG4421" s="14"/>
    </row>
    <row r="4422" spans="33:33">
      <c r="AG4422" s="14"/>
    </row>
    <row r="4423" spans="33:33">
      <c r="AG4423" s="14"/>
    </row>
    <row r="4424" spans="33:33">
      <c r="AG4424" s="14"/>
    </row>
    <row r="4425" spans="33:33">
      <c r="AG4425" s="14"/>
    </row>
    <row r="4426" spans="33:33">
      <c r="AG4426" s="14"/>
    </row>
    <row r="4427" spans="33:33">
      <c r="AG4427" s="14"/>
    </row>
    <row r="4428" spans="33:33">
      <c r="AG4428" s="14"/>
    </row>
    <row r="4429" spans="33:33">
      <c r="AG4429" s="14"/>
    </row>
    <row r="4430" spans="33:33">
      <c r="AG4430" s="14"/>
    </row>
    <row r="4431" spans="33:33">
      <c r="AG4431" s="14"/>
    </row>
    <row r="4432" spans="33:33">
      <c r="AG4432" s="14"/>
    </row>
    <row r="4433" spans="33:33">
      <c r="AG4433" s="14"/>
    </row>
    <row r="4434" spans="33:33">
      <c r="AG4434" s="14"/>
    </row>
    <row r="4435" spans="33:33">
      <c r="AG4435" s="14"/>
    </row>
    <row r="4436" spans="33:33">
      <c r="AG4436" s="14"/>
    </row>
    <row r="4437" spans="33:33">
      <c r="AG4437" s="14"/>
    </row>
    <row r="4438" spans="33:33">
      <c r="AG4438" s="14"/>
    </row>
    <row r="4439" spans="33:33">
      <c r="AG4439" s="14"/>
    </row>
    <row r="4440" spans="33:33">
      <c r="AG4440" s="14"/>
    </row>
    <row r="4441" spans="33:33">
      <c r="AG4441" s="14"/>
    </row>
    <row r="4442" spans="33:33">
      <c r="AG4442" s="14"/>
    </row>
    <row r="4443" spans="33:33">
      <c r="AG4443" s="14"/>
    </row>
    <row r="4444" spans="33:33">
      <c r="AG4444" s="14"/>
    </row>
    <row r="4445" spans="33:33">
      <c r="AG4445" s="14"/>
    </row>
    <row r="4446" spans="33:33">
      <c r="AG4446" s="14"/>
    </row>
    <row r="4447" spans="33:33">
      <c r="AG4447" s="14"/>
    </row>
    <row r="4448" spans="33:33">
      <c r="AG4448" s="14"/>
    </row>
    <row r="4449" spans="33:33">
      <c r="AG4449" s="14"/>
    </row>
    <row r="4450" spans="33:33">
      <c r="AG4450" s="14"/>
    </row>
    <row r="4451" spans="33:33">
      <c r="AG4451" s="14"/>
    </row>
    <row r="4452" spans="33:33">
      <c r="AG4452" s="14"/>
    </row>
    <row r="4453" spans="33:33">
      <c r="AG4453" s="14"/>
    </row>
    <row r="4454" spans="33:33">
      <c r="AG4454" s="14"/>
    </row>
    <row r="4455" spans="33:33">
      <c r="AG4455" s="14"/>
    </row>
    <row r="4456" spans="33:33">
      <c r="AG4456" s="14"/>
    </row>
    <row r="4457" spans="33:33">
      <c r="AG4457" s="14"/>
    </row>
    <row r="4458" spans="33:33">
      <c r="AG4458" s="14"/>
    </row>
    <row r="4459" spans="33:33">
      <c r="AG4459" s="14"/>
    </row>
    <row r="4460" spans="33:33">
      <c r="AG4460" s="14"/>
    </row>
    <row r="4461" spans="33:33">
      <c r="AG4461" s="14"/>
    </row>
    <row r="4462" spans="33:33">
      <c r="AG4462" s="14"/>
    </row>
    <row r="4463" spans="33:33">
      <c r="AG4463" s="14"/>
    </row>
    <row r="4464" spans="33:33">
      <c r="AG4464" s="14"/>
    </row>
    <row r="4465" spans="33:33">
      <c r="AG4465" s="14"/>
    </row>
    <row r="4466" spans="33:33">
      <c r="AG4466" s="14"/>
    </row>
    <row r="4467" spans="33:33">
      <c r="AG4467" s="14"/>
    </row>
    <row r="4468" spans="33:33">
      <c r="AG4468" s="14"/>
    </row>
    <row r="4469" spans="33:33">
      <c r="AG4469" s="14"/>
    </row>
    <row r="4470" spans="33:33">
      <c r="AG4470" s="14"/>
    </row>
    <row r="4471" spans="33:33">
      <c r="AG4471" s="14"/>
    </row>
    <row r="4472" spans="33:33">
      <c r="AG4472" s="14"/>
    </row>
    <row r="4473" spans="33:33">
      <c r="AG4473" s="14"/>
    </row>
    <row r="4474" spans="33:33">
      <c r="AG4474" s="14"/>
    </row>
    <row r="4475" spans="33:33">
      <c r="AG4475" s="14"/>
    </row>
    <row r="4476" spans="33:33">
      <c r="AG4476" s="14"/>
    </row>
    <row r="4477" spans="33:33">
      <c r="AG4477" s="14"/>
    </row>
    <row r="4478" spans="33:33">
      <c r="AG4478" s="14"/>
    </row>
    <row r="4479" spans="33:33">
      <c r="AG4479" s="14"/>
    </row>
    <row r="4480" spans="33:33">
      <c r="AG4480" s="14"/>
    </row>
    <row r="4481" spans="33:33">
      <c r="AG4481" s="14"/>
    </row>
    <row r="4482" spans="33:33">
      <c r="AG4482" s="14"/>
    </row>
    <row r="4483" spans="33:33">
      <c r="AG4483" s="14"/>
    </row>
    <row r="4484" spans="33:33">
      <c r="AG4484" s="14"/>
    </row>
    <row r="4485" spans="33:33">
      <c r="AG4485" s="14"/>
    </row>
    <row r="4486" spans="33:33">
      <c r="AG4486" s="14"/>
    </row>
    <row r="4487" spans="33:33">
      <c r="AG4487" s="14"/>
    </row>
    <row r="4488" spans="33:33">
      <c r="AG4488" s="14"/>
    </row>
    <row r="4489" spans="33:33">
      <c r="AG4489" s="14"/>
    </row>
    <row r="4490" spans="33:33">
      <c r="AG4490" s="14"/>
    </row>
    <row r="4491" spans="33:33">
      <c r="AG4491" s="14"/>
    </row>
    <row r="4492" spans="33:33">
      <c r="AG4492" s="14"/>
    </row>
    <row r="4493" spans="33:33">
      <c r="AG4493" s="14"/>
    </row>
    <row r="4494" spans="33:33">
      <c r="AG4494" s="14"/>
    </row>
    <row r="4495" spans="33:33">
      <c r="AG4495" s="14"/>
    </row>
    <row r="4496" spans="33:33">
      <c r="AG4496" s="14"/>
    </row>
    <row r="4497" spans="33:33">
      <c r="AG4497" s="14"/>
    </row>
    <row r="4498" spans="33:33">
      <c r="AG4498" s="14"/>
    </row>
    <row r="4499" spans="33:33">
      <c r="AG4499" s="14"/>
    </row>
    <row r="4500" spans="33:33">
      <c r="AG4500" s="14"/>
    </row>
    <row r="4501" spans="33:33">
      <c r="AG4501" s="14"/>
    </row>
    <row r="4502" spans="33:33">
      <c r="AG4502" s="14"/>
    </row>
    <row r="4503" spans="33:33">
      <c r="AG4503" s="14"/>
    </row>
    <row r="4504" spans="33:33">
      <c r="AG4504" s="14"/>
    </row>
    <row r="4505" spans="33:33">
      <c r="AG4505" s="14"/>
    </row>
    <row r="4506" spans="33:33">
      <c r="AG4506" s="14"/>
    </row>
    <row r="4507" spans="33:33">
      <c r="AG4507" s="14"/>
    </row>
    <row r="4508" spans="33:33">
      <c r="AG4508" s="14"/>
    </row>
    <row r="4509" spans="33:33">
      <c r="AG4509" s="14"/>
    </row>
    <row r="4510" spans="33:33">
      <c r="AG4510" s="14"/>
    </row>
    <row r="4511" spans="33:33">
      <c r="AG4511" s="14"/>
    </row>
    <row r="4512" spans="33:33">
      <c r="AG4512" s="14"/>
    </row>
    <row r="4513" spans="33:33">
      <c r="AG4513" s="14"/>
    </row>
    <row r="4514" spans="33:33">
      <c r="AG4514" s="14"/>
    </row>
    <row r="4515" spans="33:33">
      <c r="AG4515" s="14"/>
    </row>
    <row r="4516" spans="33:33">
      <c r="AG4516" s="14"/>
    </row>
    <row r="4517" spans="33:33">
      <c r="AG4517" s="14"/>
    </row>
    <row r="4518" spans="33:33">
      <c r="AG4518" s="14"/>
    </row>
    <row r="4519" spans="33:33">
      <c r="AG4519" s="14"/>
    </row>
    <row r="4520" spans="33:33">
      <c r="AG4520" s="14"/>
    </row>
    <row r="4521" spans="33:33">
      <c r="AG4521" s="14"/>
    </row>
    <row r="4522" spans="33:33">
      <c r="AG4522" s="14"/>
    </row>
    <row r="4523" spans="33:33">
      <c r="AG4523" s="14"/>
    </row>
    <row r="4524" spans="33:33">
      <c r="AG4524" s="14"/>
    </row>
    <row r="4525" spans="33:33">
      <c r="AG4525" s="14"/>
    </row>
    <row r="4526" spans="33:33">
      <c r="AG4526" s="14"/>
    </row>
    <row r="4527" spans="33:33">
      <c r="AG4527" s="14"/>
    </row>
    <row r="4528" spans="33:33">
      <c r="AG4528" s="14"/>
    </row>
    <row r="4529" spans="33:33">
      <c r="AG4529" s="14"/>
    </row>
    <row r="4530" spans="33:33">
      <c r="AG4530" s="14"/>
    </row>
    <row r="4531" spans="33:33">
      <c r="AG4531" s="14"/>
    </row>
    <row r="4532" spans="33:33">
      <c r="AG4532" s="14"/>
    </row>
    <row r="4533" spans="33:33">
      <c r="AG4533" s="14"/>
    </row>
    <row r="4534" spans="33:33">
      <c r="AG4534" s="14"/>
    </row>
    <row r="4535" spans="33:33">
      <c r="AG4535" s="14"/>
    </row>
    <row r="4536" spans="33:33">
      <c r="AG4536" s="14"/>
    </row>
    <row r="4537" spans="33:33">
      <c r="AG4537" s="14"/>
    </row>
    <row r="4538" spans="33:33">
      <c r="AG4538" s="14"/>
    </row>
    <row r="4539" spans="33:33">
      <c r="AG4539" s="14"/>
    </row>
    <row r="4540" spans="33:33">
      <c r="AG4540" s="14"/>
    </row>
    <row r="4541" spans="33:33">
      <c r="AG4541" s="14"/>
    </row>
    <row r="4542" spans="33:33">
      <c r="AG4542" s="14"/>
    </row>
    <row r="4543" spans="33:33">
      <c r="AG4543" s="14"/>
    </row>
    <row r="4544" spans="33:33">
      <c r="AG4544" s="14"/>
    </row>
    <row r="4545" spans="33:33">
      <c r="AG4545" s="14"/>
    </row>
    <row r="4546" spans="33:33">
      <c r="AG4546" s="14"/>
    </row>
    <row r="4547" spans="33:33">
      <c r="AG4547" s="14"/>
    </row>
    <row r="4548" spans="33:33">
      <c r="AG4548" s="14"/>
    </row>
    <row r="4549" spans="33:33">
      <c r="AG4549" s="14"/>
    </row>
    <row r="4550" spans="33:33">
      <c r="AG4550" s="14"/>
    </row>
    <row r="4551" spans="33:33">
      <c r="AG4551" s="14"/>
    </row>
    <row r="4552" spans="33:33">
      <c r="AG4552" s="14"/>
    </row>
    <row r="4553" spans="33:33">
      <c r="AG4553" s="14"/>
    </row>
    <row r="4554" spans="33:33">
      <c r="AG4554" s="14"/>
    </row>
    <row r="4555" spans="33:33">
      <c r="AG4555" s="14"/>
    </row>
    <row r="4556" spans="33:33">
      <c r="AG4556" s="14"/>
    </row>
    <row r="4557" spans="33:33">
      <c r="AG4557" s="14"/>
    </row>
    <row r="4558" spans="33:33">
      <c r="AG4558" s="14"/>
    </row>
    <row r="4559" spans="33:33">
      <c r="AG4559" s="14"/>
    </row>
    <row r="4560" spans="33:33">
      <c r="AG4560" s="14"/>
    </row>
    <row r="4561" spans="33:33">
      <c r="AG4561" s="14"/>
    </row>
    <row r="4562" spans="33:33">
      <c r="AG4562" s="14"/>
    </row>
    <row r="4563" spans="33:33">
      <c r="AG4563" s="14"/>
    </row>
    <row r="4564" spans="33:33">
      <c r="AG4564" s="14"/>
    </row>
    <row r="4565" spans="33:33">
      <c r="AG4565" s="14"/>
    </row>
    <row r="4566" spans="33:33">
      <c r="AG4566" s="14"/>
    </row>
    <row r="4567" spans="33:33">
      <c r="AG4567" s="14"/>
    </row>
    <row r="4568" spans="33:33">
      <c r="AG4568" s="14"/>
    </row>
    <row r="4569" spans="33:33">
      <c r="AG4569" s="14"/>
    </row>
    <row r="4570" spans="33:33">
      <c r="AG4570" s="14"/>
    </row>
    <row r="4571" spans="33:33">
      <c r="AG4571" s="14"/>
    </row>
    <row r="4572" spans="33:33">
      <c r="AG4572" s="14"/>
    </row>
    <row r="4573" spans="33:33">
      <c r="AG4573" s="14"/>
    </row>
    <row r="4574" spans="33:33">
      <c r="AG4574" s="14"/>
    </row>
    <row r="4575" spans="33:33">
      <c r="AG4575" s="14"/>
    </row>
    <row r="4576" spans="33:33">
      <c r="AG4576" s="14"/>
    </row>
    <row r="4577" spans="33:33">
      <c r="AG4577" s="14"/>
    </row>
    <row r="4578" spans="33:33">
      <c r="AG4578" s="14"/>
    </row>
    <row r="4579" spans="33:33">
      <c r="AG4579" s="14"/>
    </row>
    <row r="4580" spans="33:33">
      <c r="AG4580" s="14"/>
    </row>
    <row r="4581" spans="33:33">
      <c r="AG4581" s="14"/>
    </row>
    <row r="4582" spans="33:33">
      <c r="AG4582" s="14"/>
    </row>
    <row r="4583" spans="33:33">
      <c r="AG4583" s="14"/>
    </row>
    <row r="4584" spans="33:33">
      <c r="AG4584" s="14"/>
    </row>
    <row r="4585" spans="33:33">
      <c r="AG4585" s="14"/>
    </row>
    <row r="4586" spans="33:33">
      <c r="AG4586" s="14"/>
    </row>
    <row r="4587" spans="33:33">
      <c r="AG4587" s="14"/>
    </row>
    <row r="4588" spans="33:33">
      <c r="AG4588" s="14"/>
    </row>
    <row r="4589" spans="33:33">
      <c r="AG4589" s="14"/>
    </row>
    <row r="4590" spans="33:33">
      <c r="AG4590" s="14"/>
    </row>
    <row r="4591" spans="33:33">
      <c r="AG4591" s="14"/>
    </row>
    <row r="4592" spans="33:33">
      <c r="AG4592" s="14"/>
    </row>
    <row r="4593" spans="33:33">
      <c r="AG4593" s="14"/>
    </row>
    <row r="4594" spans="33:33">
      <c r="AG4594" s="14"/>
    </row>
    <row r="4595" spans="33:33">
      <c r="AG4595" s="14"/>
    </row>
    <row r="4596" spans="33:33">
      <c r="AG4596" s="14"/>
    </row>
    <row r="4597" spans="33:33">
      <c r="AG4597" s="14"/>
    </row>
    <row r="4598" spans="33:33">
      <c r="AG4598" s="14"/>
    </row>
    <row r="4599" spans="33:33">
      <c r="AG4599" s="14"/>
    </row>
    <row r="4600" spans="33:33">
      <c r="AG4600" s="14"/>
    </row>
    <row r="4601" spans="33:33">
      <c r="AG4601" s="14"/>
    </row>
    <row r="4602" spans="33:33">
      <c r="AG4602" s="14"/>
    </row>
    <row r="4603" spans="33:33">
      <c r="AG4603" s="14"/>
    </row>
    <row r="4604" spans="33:33">
      <c r="AG4604" s="14"/>
    </row>
    <row r="4605" spans="33:33">
      <c r="AG4605" s="14"/>
    </row>
    <row r="4606" spans="33:33">
      <c r="AG4606" s="14"/>
    </row>
    <row r="4607" spans="33:33">
      <c r="AG4607" s="14"/>
    </row>
    <row r="4608" spans="33:33">
      <c r="AG4608" s="14"/>
    </row>
    <row r="4609" spans="33:33">
      <c r="AG4609" s="14"/>
    </row>
    <row r="4610" spans="33:33">
      <c r="AG4610" s="14"/>
    </row>
    <row r="4611" spans="33:33">
      <c r="AG4611" s="14"/>
    </row>
    <row r="4612" spans="33:33">
      <c r="AG4612" s="14"/>
    </row>
    <row r="4613" spans="33:33">
      <c r="AG4613" s="14"/>
    </row>
    <row r="4614" spans="33:33">
      <c r="AG4614" s="14"/>
    </row>
    <row r="4615" spans="33:33">
      <c r="AG4615" s="14"/>
    </row>
    <row r="4616" spans="33:33">
      <c r="AG4616" s="14"/>
    </row>
    <row r="4617" spans="33:33">
      <c r="AG4617" s="14"/>
    </row>
    <row r="4618" spans="33:33">
      <c r="AG4618" s="14"/>
    </row>
    <row r="4619" spans="33:33">
      <c r="AG4619" s="14"/>
    </row>
    <row r="4620" spans="33:33">
      <c r="AG4620" s="14"/>
    </row>
    <row r="4621" spans="33:33">
      <c r="AG4621" s="14"/>
    </row>
    <row r="4622" spans="33:33">
      <c r="AG4622" s="14"/>
    </row>
    <row r="4623" spans="33:33">
      <c r="AG4623" s="14"/>
    </row>
    <row r="4624" spans="33:33">
      <c r="AG4624" s="14"/>
    </row>
    <row r="4625" spans="33:33">
      <c r="AG4625" s="14"/>
    </row>
    <row r="4626" spans="33:33">
      <c r="AG4626" s="14"/>
    </row>
    <row r="4627" spans="33:33">
      <c r="AG4627" s="14"/>
    </row>
    <row r="4628" spans="33:33">
      <c r="AG4628" s="14"/>
    </row>
    <row r="4629" spans="33:33">
      <c r="AG4629" s="14"/>
    </row>
    <row r="4630" spans="33:33">
      <c r="AG4630" s="14"/>
    </row>
    <row r="4631" spans="33:33">
      <c r="AG4631" s="14"/>
    </row>
    <row r="4632" spans="33:33">
      <c r="AG4632" s="14"/>
    </row>
    <row r="4633" spans="33:33">
      <c r="AG4633" s="14"/>
    </row>
    <row r="4634" spans="33:33">
      <c r="AG4634" s="14"/>
    </row>
    <row r="4635" spans="33:33">
      <c r="AG4635" s="14"/>
    </row>
    <row r="4636" spans="33:33">
      <c r="AG4636" s="14"/>
    </row>
    <row r="4637" spans="33:33">
      <c r="AG4637" s="14"/>
    </row>
    <row r="4638" spans="33:33">
      <c r="AG4638" s="14"/>
    </row>
    <row r="4639" spans="33:33">
      <c r="AG4639" s="14"/>
    </row>
    <row r="4640" spans="33:33">
      <c r="AG4640" s="14"/>
    </row>
    <row r="4641" spans="33:33">
      <c r="AG4641" s="14"/>
    </row>
    <row r="4642" spans="33:33">
      <c r="AG4642" s="14"/>
    </row>
    <row r="4643" spans="33:33">
      <c r="AG4643" s="14"/>
    </row>
    <row r="4644" spans="33:33">
      <c r="AG4644" s="14"/>
    </row>
    <row r="4645" spans="33:33">
      <c r="AG4645" s="14"/>
    </row>
    <row r="4646" spans="33:33">
      <c r="AG4646" s="14"/>
    </row>
    <row r="4647" spans="33:33">
      <c r="AG4647" s="14"/>
    </row>
    <row r="4648" spans="33:33">
      <c r="AG4648" s="14"/>
    </row>
    <row r="4649" spans="33:33">
      <c r="AG4649" s="14"/>
    </row>
    <row r="4650" spans="33:33">
      <c r="AG4650" s="14"/>
    </row>
    <row r="4651" spans="33:33">
      <c r="AG4651" s="14"/>
    </row>
    <row r="4652" spans="33:33">
      <c r="AG4652" s="14"/>
    </row>
    <row r="4653" spans="33:33">
      <c r="AG4653" s="14"/>
    </row>
    <row r="4654" spans="33:33">
      <c r="AG4654" s="14"/>
    </row>
    <row r="4655" spans="33:33">
      <c r="AG4655" s="14"/>
    </row>
    <row r="4656" spans="33:33">
      <c r="AG4656" s="14"/>
    </row>
    <row r="4657" spans="33:33">
      <c r="AG4657" s="14"/>
    </row>
    <row r="4658" spans="33:33">
      <c r="AG4658" s="14"/>
    </row>
    <row r="4659" spans="33:33">
      <c r="AG4659" s="14"/>
    </row>
    <row r="4660" spans="33:33">
      <c r="AG4660" s="14"/>
    </row>
    <row r="4661" spans="33:33">
      <c r="AG4661" s="14"/>
    </row>
    <row r="4662" spans="33:33">
      <c r="AG4662" s="14"/>
    </row>
    <row r="4663" spans="33:33">
      <c r="AG4663" s="14"/>
    </row>
    <row r="4664" spans="33:33">
      <c r="AG4664" s="14"/>
    </row>
    <row r="4665" spans="33:33">
      <c r="AG4665" s="14"/>
    </row>
    <row r="4666" spans="33:33">
      <c r="AG4666" s="14"/>
    </row>
    <row r="4667" spans="33:33">
      <c r="AG4667" s="14"/>
    </row>
    <row r="4668" spans="33:33">
      <c r="AG4668" s="14"/>
    </row>
    <row r="4669" spans="33:33">
      <c r="AG4669" s="14"/>
    </row>
    <row r="4670" spans="33:33">
      <c r="AG4670" s="14"/>
    </row>
    <row r="4671" spans="33:33">
      <c r="AG4671" s="14"/>
    </row>
    <row r="4672" spans="33:33">
      <c r="AG4672" s="14"/>
    </row>
    <row r="4673" spans="33:33">
      <c r="AG4673" s="14"/>
    </row>
    <row r="4674" spans="33:33">
      <c r="AG4674" s="14"/>
    </row>
    <row r="4675" spans="33:33">
      <c r="AG4675" s="14"/>
    </row>
    <row r="4676" spans="33:33">
      <c r="AG4676" s="14"/>
    </row>
    <row r="4677" spans="33:33">
      <c r="AG4677" s="14"/>
    </row>
    <row r="4678" spans="33:33">
      <c r="AG4678" s="14"/>
    </row>
    <row r="4679" spans="33:33">
      <c r="AG4679" s="14"/>
    </row>
    <row r="4680" spans="33:33">
      <c r="AG4680" s="14"/>
    </row>
    <row r="4681" spans="33:33">
      <c r="AG4681" s="14"/>
    </row>
    <row r="4682" spans="33:33">
      <c r="AG4682" s="14"/>
    </row>
    <row r="4683" spans="33:33">
      <c r="AG4683" s="14"/>
    </row>
    <row r="4684" spans="33:33">
      <c r="AG4684" s="14"/>
    </row>
    <row r="4685" spans="33:33">
      <c r="AG4685" s="14"/>
    </row>
    <row r="4686" spans="33:33">
      <c r="AG4686" s="14"/>
    </row>
    <row r="4687" spans="33:33">
      <c r="AG4687" s="14"/>
    </row>
    <row r="4688" spans="33:33">
      <c r="AG4688" s="14"/>
    </row>
    <row r="4689" spans="33:33">
      <c r="AG4689" s="14"/>
    </row>
    <row r="4690" spans="33:33">
      <c r="AG4690" s="14"/>
    </row>
    <row r="4691" spans="33:33">
      <c r="AG4691" s="14"/>
    </row>
    <row r="4692" spans="33:33">
      <c r="AG4692" s="14"/>
    </row>
    <row r="4693" spans="33:33">
      <c r="AG4693" s="14"/>
    </row>
    <row r="4694" spans="33:33">
      <c r="AG4694" s="14"/>
    </row>
    <row r="4695" spans="33:33">
      <c r="AG4695" s="14"/>
    </row>
    <row r="4696" spans="33:33">
      <c r="AG4696" s="14"/>
    </row>
    <row r="4697" spans="33:33">
      <c r="AG4697" s="14"/>
    </row>
    <row r="4698" spans="33:33">
      <c r="AG4698" s="14"/>
    </row>
    <row r="4699" spans="33:33">
      <c r="AG4699" s="14"/>
    </row>
    <row r="4700" spans="33:33">
      <c r="AG4700" s="14"/>
    </row>
    <row r="4701" spans="33:33">
      <c r="AG4701" s="14"/>
    </row>
    <row r="4702" spans="33:33">
      <c r="AG4702" s="14"/>
    </row>
    <row r="4703" spans="33:33">
      <c r="AG4703" s="14"/>
    </row>
    <row r="4704" spans="33:33">
      <c r="AG4704" s="14"/>
    </row>
    <row r="4705" spans="33:33">
      <c r="AG4705" s="14"/>
    </row>
    <row r="4706" spans="33:33">
      <c r="AG4706" s="14"/>
    </row>
    <row r="4707" spans="33:33">
      <c r="AG4707" s="14"/>
    </row>
    <row r="4708" spans="33:33">
      <c r="AG4708" s="14"/>
    </row>
    <row r="4709" spans="33:33">
      <c r="AG4709" s="14"/>
    </row>
    <row r="4710" spans="33:33">
      <c r="AG4710" s="14"/>
    </row>
    <row r="4711" spans="33:33">
      <c r="AG4711" s="14"/>
    </row>
    <row r="4712" spans="33:33">
      <c r="AG4712" s="14"/>
    </row>
    <row r="4713" spans="33:33">
      <c r="AG4713" s="14"/>
    </row>
    <row r="4714" spans="33:33">
      <c r="AG4714" s="14"/>
    </row>
    <row r="4715" spans="33:33">
      <c r="AG4715" s="14"/>
    </row>
    <row r="4716" spans="33:33">
      <c r="AG4716" s="14"/>
    </row>
    <row r="4717" spans="33:33">
      <c r="AG4717" s="14"/>
    </row>
    <row r="4718" spans="33:33">
      <c r="AG4718" s="14"/>
    </row>
    <row r="4719" spans="33:33">
      <c r="AG4719" s="14"/>
    </row>
    <row r="4720" spans="33:33">
      <c r="AG4720" s="14"/>
    </row>
    <row r="4721" spans="33:33">
      <c r="AG4721" s="14"/>
    </row>
    <row r="4722" spans="33:33">
      <c r="AG4722" s="14"/>
    </row>
    <row r="4723" spans="33:33">
      <c r="AG4723" s="14"/>
    </row>
    <row r="4724" spans="33:33">
      <c r="AG4724" s="14"/>
    </row>
    <row r="4725" spans="33:33">
      <c r="AG4725" s="14"/>
    </row>
    <row r="4726" spans="33:33">
      <c r="AG4726" s="14"/>
    </row>
    <row r="4727" spans="33:33">
      <c r="AG4727" s="14"/>
    </row>
    <row r="4728" spans="33:33">
      <c r="AG4728" s="14"/>
    </row>
    <row r="4729" spans="33:33">
      <c r="AG4729" s="14"/>
    </row>
    <row r="4730" spans="33:33">
      <c r="AG4730" s="14"/>
    </row>
    <row r="4731" spans="33:33">
      <c r="AG4731" s="14"/>
    </row>
    <row r="4732" spans="33:33">
      <c r="AG4732" s="14"/>
    </row>
    <row r="4733" spans="33:33">
      <c r="AG4733" s="14"/>
    </row>
    <row r="4734" spans="33:33">
      <c r="AG4734" s="14"/>
    </row>
    <row r="4735" spans="33:33">
      <c r="AG4735" s="14"/>
    </row>
    <row r="4736" spans="33:33">
      <c r="AG4736" s="14"/>
    </row>
    <row r="4737" spans="33:33">
      <c r="AG4737" s="14"/>
    </row>
    <row r="4738" spans="33:33">
      <c r="AG4738" s="14"/>
    </row>
    <row r="4739" spans="33:33">
      <c r="AG4739" s="14"/>
    </row>
    <row r="4740" spans="33:33">
      <c r="AG4740" s="14"/>
    </row>
    <row r="4741" spans="33:33">
      <c r="AG4741" s="14"/>
    </row>
    <row r="4742" spans="33:33">
      <c r="AG4742" s="14"/>
    </row>
    <row r="4743" spans="33:33">
      <c r="AG4743" s="14"/>
    </row>
    <row r="4744" spans="33:33">
      <c r="AG4744" s="14"/>
    </row>
    <row r="4745" spans="33:33">
      <c r="AG4745" s="14"/>
    </row>
    <row r="4746" spans="33:33">
      <c r="AG4746" s="14"/>
    </row>
    <row r="4747" spans="33:33">
      <c r="AG4747" s="14"/>
    </row>
    <row r="4748" spans="33:33">
      <c r="AG4748" s="14"/>
    </row>
    <row r="4749" spans="33:33">
      <c r="AG4749" s="14"/>
    </row>
    <row r="4750" spans="33:33">
      <c r="AG4750" s="14"/>
    </row>
    <row r="4751" spans="33:33">
      <c r="AG4751" s="14"/>
    </row>
    <row r="4752" spans="33:33">
      <c r="AG4752" s="14"/>
    </row>
    <row r="4753" spans="33:33">
      <c r="AG4753" s="14"/>
    </row>
    <row r="4754" spans="33:33">
      <c r="AG4754" s="14"/>
    </row>
    <row r="4755" spans="33:33">
      <c r="AG4755" s="14"/>
    </row>
    <row r="4756" spans="33:33">
      <c r="AG4756" s="14"/>
    </row>
    <row r="4757" spans="33:33">
      <c r="AG4757" s="14"/>
    </row>
    <row r="4758" spans="33:33">
      <c r="AG4758" s="14"/>
    </row>
    <row r="4759" spans="33:33">
      <c r="AG4759" s="14"/>
    </row>
    <row r="4760" spans="33:33">
      <c r="AG4760" s="14"/>
    </row>
    <row r="4761" spans="33:33">
      <c r="AG4761" s="14"/>
    </row>
    <row r="4762" spans="33:33">
      <c r="AG4762" s="14"/>
    </row>
    <row r="4763" spans="33:33">
      <c r="AG4763" s="14"/>
    </row>
    <row r="4764" spans="33:33">
      <c r="AG4764" s="14"/>
    </row>
    <row r="4765" spans="33:33">
      <c r="AG4765" s="14"/>
    </row>
    <row r="4766" spans="33:33">
      <c r="AG4766" s="14"/>
    </row>
    <row r="4767" spans="33:33">
      <c r="AG4767" s="14"/>
    </row>
    <row r="4768" spans="33:33">
      <c r="AG4768" s="14"/>
    </row>
    <row r="4769" spans="33:33">
      <c r="AG4769" s="14"/>
    </row>
    <row r="4770" spans="33:33">
      <c r="AG4770" s="14"/>
    </row>
    <row r="4771" spans="33:33">
      <c r="AG4771" s="14"/>
    </row>
    <row r="4772" spans="33:33">
      <c r="AG4772" s="14"/>
    </row>
    <row r="4773" spans="33:33">
      <c r="AG4773" s="14"/>
    </row>
    <row r="4774" spans="33:33">
      <c r="AG4774" s="14"/>
    </row>
    <row r="4775" spans="33:33">
      <c r="AG4775" s="14"/>
    </row>
    <row r="4776" spans="33:33">
      <c r="AG4776" s="14"/>
    </row>
    <row r="4777" spans="33:33">
      <c r="AG4777" s="14"/>
    </row>
    <row r="4778" spans="33:33">
      <c r="AG4778" s="14"/>
    </row>
    <row r="4779" spans="33:33">
      <c r="AG4779" s="14"/>
    </row>
    <row r="4780" spans="33:33">
      <c r="AG4780" s="14"/>
    </row>
    <row r="4781" spans="33:33">
      <c r="AG4781" s="14"/>
    </row>
    <row r="4782" spans="33:33">
      <c r="AG4782" s="14"/>
    </row>
    <row r="4783" spans="33:33">
      <c r="AG4783" s="14"/>
    </row>
    <row r="4784" spans="33:33">
      <c r="AG4784" s="14"/>
    </row>
    <row r="4785" spans="33:33">
      <c r="AG4785" s="14"/>
    </row>
    <row r="4786" spans="33:33">
      <c r="AG4786" s="14"/>
    </row>
    <row r="4787" spans="33:33">
      <c r="AG4787" s="14"/>
    </row>
    <row r="4788" spans="33:33">
      <c r="AG4788" s="14"/>
    </row>
    <row r="4789" spans="33:33">
      <c r="AG4789" s="14"/>
    </row>
    <row r="4790" spans="33:33">
      <c r="AG4790" s="14"/>
    </row>
    <row r="4791" spans="33:33">
      <c r="AG4791" s="14"/>
    </row>
    <row r="4792" spans="33:33">
      <c r="AG4792" s="14"/>
    </row>
    <row r="4793" spans="33:33">
      <c r="AG4793" s="14"/>
    </row>
    <row r="4794" spans="33:33">
      <c r="AG4794" s="14"/>
    </row>
    <row r="4795" spans="33:33">
      <c r="AG4795" s="14"/>
    </row>
    <row r="4796" spans="33:33">
      <c r="AG4796" s="14"/>
    </row>
    <row r="4797" spans="33:33">
      <c r="AG4797" s="14"/>
    </row>
    <row r="4798" spans="33:33">
      <c r="AG4798" s="14"/>
    </row>
    <row r="4799" spans="33:33">
      <c r="AG4799" s="14"/>
    </row>
    <row r="4800" spans="33:33">
      <c r="AG4800" s="14"/>
    </row>
    <row r="4801" spans="33:33">
      <c r="AG4801" s="14"/>
    </row>
    <row r="4802" spans="33:33">
      <c r="AG4802" s="14"/>
    </row>
    <row r="4803" spans="33:33">
      <c r="AG4803" s="14"/>
    </row>
    <row r="4804" spans="33:33">
      <c r="AG4804" s="14"/>
    </row>
    <row r="4805" spans="33:33">
      <c r="AG4805" s="14"/>
    </row>
    <row r="4806" spans="33:33">
      <c r="AG4806" s="14"/>
    </row>
    <row r="4807" spans="33:33">
      <c r="AG4807" s="14"/>
    </row>
    <row r="4808" spans="33:33">
      <c r="AG4808" s="14"/>
    </row>
    <row r="4809" spans="33:33">
      <c r="AG4809" s="14"/>
    </row>
    <row r="4810" spans="33:33">
      <c r="AG4810" s="14"/>
    </row>
    <row r="4811" spans="33:33">
      <c r="AG4811" s="14"/>
    </row>
    <row r="4812" spans="33:33">
      <c r="AG4812" s="14"/>
    </row>
    <row r="4813" spans="33:33">
      <c r="AG4813" s="14"/>
    </row>
    <row r="4814" spans="33:33">
      <c r="AG4814" s="14"/>
    </row>
    <row r="4815" spans="33:33">
      <c r="AG4815" s="14"/>
    </row>
    <row r="4816" spans="33:33">
      <c r="AG4816" s="14"/>
    </row>
    <row r="4817" spans="33:33">
      <c r="AG4817" s="14"/>
    </row>
    <row r="4818" spans="33:33">
      <c r="AG4818" s="14"/>
    </row>
    <row r="4819" spans="33:33">
      <c r="AG4819" s="14"/>
    </row>
    <row r="4820" spans="33:33">
      <c r="AG4820" s="14"/>
    </row>
    <row r="4821" spans="33:33">
      <c r="AG4821" s="14"/>
    </row>
    <row r="4822" spans="33:33">
      <c r="AG4822" s="14"/>
    </row>
    <row r="4823" spans="33:33">
      <c r="AG4823" s="14"/>
    </row>
    <row r="4824" spans="33:33">
      <c r="AG4824" s="14"/>
    </row>
    <row r="4825" spans="33:33">
      <c r="AG4825" s="14"/>
    </row>
    <row r="4826" spans="33:33">
      <c r="AG4826" s="14"/>
    </row>
    <row r="4827" spans="33:33">
      <c r="AG4827" s="14"/>
    </row>
    <row r="4828" spans="33:33">
      <c r="AG4828" s="14"/>
    </row>
    <row r="4829" spans="33:33">
      <c r="AG4829" s="14"/>
    </row>
    <row r="4830" spans="33:33">
      <c r="AG4830" s="14"/>
    </row>
    <row r="4831" spans="33:33">
      <c r="AG4831" s="14"/>
    </row>
    <row r="4832" spans="33:33">
      <c r="AG4832" s="14"/>
    </row>
    <row r="4833" spans="33:33">
      <c r="AG4833" s="14"/>
    </row>
    <row r="4834" spans="33:33">
      <c r="AG4834" s="14"/>
    </row>
    <row r="4835" spans="33:33">
      <c r="AG4835" s="14"/>
    </row>
    <row r="4836" spans="33:33">
      <c r="AG4836" s="14"/>
    </row>
    <row r="4837" spans="33:33">
      <c r="AG4837" s="14"/>
    </row>
    <row r="4838" spans="33:33">
      <c r="AG4838" s="14"/>
    </row>
    <row r="4839" spans="33:33">
      <c r="AG4839" s="14"/>
    </row>
    <row r="4840" spans="33:33">
      <c r="AG4840" s="14"/>
    </row>
    <row r="4841" spans="33:33">
      <c r="AG4841" s="14"/>
    </row>
    <row r="4842" spans="33:33">
      <c r="AG4842" s="14"/>
    </row>
    <row r="4843" spans="33:33">
      <c r="AG4843" s="14"/>
    </row>
    <row r="4844" spans="33:33">
      <c r="AG4844" s="14"/>
    </row>
    <row r="4845" spans="33:33">
      <c r="AG4845" s="14"/>
    </row>
    <row r="4846" spans="33:33">
      <c r="AG4846" s="14"/>
    </row>
    <row r="4847" spans="33:33">
      <c r="AG4847" s="14"/>
    </row>
    <row r="4848" spans="33:33">
      <c r="AG4848" s="14"/>
    </row>
    <row r="4849" spans="33:33">
      <c r="AG4849" s="14"/>
    </row>
    <row r="4850" spans="33:33">
      <c r="AG4850" s="14"/>
    </row>
    <row r="4851" spans="33:33">
      <c r="AG4851" s="14"/>
    </row>
    <row r="4852" spans="33:33">
      <c r="AG4852" s="14"/>
    </row>
    <row r="4853" spans="33:33">
      <c r="AG4853" s="14"/>
    </row>
    <row r="4854" spans="33:33">
      <c r="AG4854" s="14"/>
    </row>
    <row r="4855" spans="33:33">
      <c r="AG4855" s="14"/>
    </row>
    <row r="4856" spans="33:33">
      <c r="AG4856" s="14"/>
    </row>
    <row r="4857" spans="33:33">
      <c r="AG4857" s="14"/>
    </row>
    <row r="4858" spans="33:33">
      <c r="AG4858" s="14"/>
    </row>
    <row r="4859" spans="33:33">
      <c r="AG4859" s="14"/>
    </row>
    <row r="4860" spans="33:33">
      <c r="AG4860" s="14"/>
    </row>
    <row r="4861" spans="33:33">
      <c r="AG4861" s="14"/>
    </row>
    <row r="4862" spans="33:33">
      <c r="AG4862" s="14"/>
    </row>
    <row r="4863" spans="33:33">
      <c r="AG4863" s="14"/>
    </row>
    <row r="4864" spans="33:33">
      <c r="AG4864" s="14"/>
    </row>
    <row r="4865" spans="33:33">
      <c r="AG4865" s="14"/>
    </row>
    <row r="4866" spans="33:33">
      <c r="AG4866" s="14"/>
    </row>
    <row r="4867" spans="33:33">
      <c r="AG4867" s="14"/>
    </row>
    <row r="4868" spans="33:33">
      <c r="AG4868" s="14"/>
    </row>
    <row r="4869" spans="33:33">
      <c r="AG4869" s="14"/>
    </row>
    <row r="4870" spans="33:33">
      <c r="AG4870" s="14"/>
    </row>
    <row r="4871" spans="33:33">
      <c r="AG4871" s="14"/>
    </row>
    <row r="4872" spans="33:33">
      <c r="AG4872" s="14"/>
    </row>
    <row r="4873" spans="33:33">
      <c r="AG4873" s="14"/>
    </row>
    <row r="4874" spans="33:33">
      <c r="AG4874" s="14"/>
    </row>
    <row r="4875" spans="33:33">
      <c r="AG4875" s="14"/>
    </row>
    <row r="4876" spans="33:33">
      <c r="AG4876" s="14"/>
    </row>
    <row r="4877" spans="33:33">
      <c r="AG4877" s="14"/>
    </row>
    <row r="4878" spans="33:33">
      <c r="AG4878" s="14"/>
    </row>
    <row r="4879" spans="33:33">
      <c r="AG4879" s="14"/>
    </row>
    <row r="4880" spans="33:33">
      <c r="AG4880" s="14"/>
    </row>
    <row r="4881" spans="33:33">
      <c r="AG4881" s="14"/>
    </row>
    <row r="4882" spans="33:33">
      <c r="AG4882" s="14"/>
    </row>
    <row r="4883" spans="33:33">
      <c r="AG4883" s="14"/>
    </row>
    <row r="4884" spans="33:33">
      <c r="AG4884" s="14"/>
    </row>
    <row r="4885" spans="33:33">
      <c r="AG4885" s="14"/>
    </row>
    <row r="4886" spans="33:33">
      <c r="AG4886" s="14"/>
    </row>
    <row r="4887" spans="33:33">
      <c r="AG4887" s="14"/>
    </row>
    <row r="4888" spans="33:33">
      <c r="AG4888" s="14"/>
    </row>
    <row r="4889" spans="33:33">
      <c r="AG4889" s="14"/>
    </row>
    <row r="4890" spans="33:33">
      <c r="AG4890" s="14"/>
    </row>
    <row r="4891" spans="33:33">
      <c r="AG4891" s="14"/>
    </row>
    <row r="4892" spans="33:33">
      <c r="AG4892" s="14"/>
    </row>
    <row r="4893" spans="33:33">
      <c r="AG4893" s="14"/>
    </row>
    <row r="4894" spans="33:33">
      <c r="AG4894" s="14"/>
    </row>
    <row r="4895" spans="33:33">
      <c r="AG4895" s="14"/>
    </row>
    <row r="4896" spans="33:33">
      <c r="AG4896" s="14"/>
    </row>
    <row r="4897" spans="33:33">
      <c r="AG4897" s="14"/>
    </row>
    <row r="4898" spans="33:33">
      <c r="AG4898" s="14"/>
    </row>
    <row r="4899" spans="33:33">
      <c r="AG4899" s="14"/>
    </row>
    <row r="4900" spans="33:33">
      <c r="AG4900" s="14"/>
    </row>
    <row r="4901" spans="33:33">
      <c r="AG4901" s="14"/>
    </row>
    <row r="4902" spans="33:33">
      <c r="AG4902" s="14"/>
    </row>
    <row r="4903" spans="33:33">
      <c r="AG4903" s="14"/>
    </row>
    <row r="4904" spans="33:33">
      <c r="AG4904" s="14"/>
    </row>
    <row r="4905" spans="33:33">
      <c r="AG4905" s="14"/>
    </row>
    <row r="4906" spans="33:33">
      <c r="AG4906" s="14"/>
    </row>
    <row r="4907" spans="33:33">
      <c r="AG4907" s="14"/>
    </row>
    <row r="4908" spans="33:33">
      <c r="AG4908" s="14"/>
    </row>
    <row r="4909" spans="33:33">
      <c r="AG4909" s="14"/>
    </row>
    <row r="4910" spans="33:33">
      <c r="AG4910" s="14"/>
    </row>
    <row r="4911" spans="33:33">
      <c r="AG4911" s="14"/>
    </row>
    <row r="4912" spans="33:33">
      <c r="AG4912" s="14"/>
    </row>
    <row r="4913" spans="33:33">
      <c r="AG4913" s="14"/>
    </row>
    <row r="4914" spans="33:33">
      <c r="AG4914" s="14"/>
    </row>
    <row r="4915" spans="33:33">
      <c r="AG4915" s="14"/>
    </row>
    <row r="4916" spans="33:33">
      <c r="AG4916" s="14"/>
    </row>
    <row r="4917" spans="33:33">
      <c r="AG4917" s="14"/>
    </row>
    <row r="4918" spans="33:33">
      <c r="AG4918" s="14"/>
    </row>
    <row r="4919" spans="33:33">
      <c r="AG4919" s="14"/>
    </row>
    <row r="4920" spans="33:33">
      <c r="AG4920" s="14"/>
    </row>
    <row r="4921" spans="33:33">
      <c r="AG4921" s="14"/>
    </row>
    <row r="4922" spans="33:33">
      <c r="AG4922" s="14"/>
    </row>
    <row r="4923" spans="33:33">
      <c r="AG4923" s="14"/>
    </row>
    <row r="4924" spans="33:33">
      <c r="AG4924" s="14"/>
    </row>
    <row r="4925" spans="33:33">
      <c r="AG4925" s="14"/>
    </row>
    <row r="4926" spans="33:33">
      <c r="AG4926" s="14"/>
    </row>
    <row r="4927" spans="33:33">
      <c r="AG4927" s="14"/>
    </row>
    <row r="4928" spans="33:33">
      <c r="AG4928" s="14"/>
    </row>
    <row r="4929" spans="33:33">
      <c r="AG4929" s="14"/>
    </row>
    <row r="4930" spans="33:33">
      <c r="AG4930" s="14"/>
    </row>
    <row r="4931" spans="33:33">
      <c r="AG4931" s="14"/>
    </row>
    <row r="4932" spans="33:33">
      <c r="AG4932" s="14"/>
    </row>
    <row r="4933" spans="33:33">
      <c r="AG4933" s="14"/>
    </row>
    <row r="4934" spans="33:33">
      <c r="AG4934" s="14"/>
    </row>
    <row r="4935" spans="33:33">
      <c r="AG4935" s="14"/>
    </row>
    <row r="4936" spans="33:33">
      <c r="AG4936" s="14"/>
    </row>
    <row r="4937" spans="33:33">
      <c r="AG4937" s="14"/>
    </row>
    <row r="4938" spans="33:33">
      <c r="AG4938" s="14"/>
    </row>
    <row r="4939" spans="33:33">
      <c r="AG4939" s="14"/>
    </row>
    <row r="4940" spans="33:33">
      <c r="AG4940" s="14"/>
    </row>
    <row r="4941" spans="33:33">
      <c r="AG4941" s="14"/>
    </row>
    <row r="4942" spans="33:33">
      <c r="AG4942" s="14"/>
    </row>
    <row r="4943" spans="33:33">
      <c r="AG4943" s="14"/>
    </row>
    <row r="4944" spans="33:33">
      <c r="AG4944" s="14"/>
    </row>
    <row r="4945" spans="33:33">
      <c r="AG4945" s="14"/>
    </row>
    <row r="4946" spans="33:33">
      <c r="AG4946" s="14"/>
    </row>
    <row r="4947" spans="33:33">
      <c r="AG4947" s="14"/>
    </row>
    <row r="4948" spans="33:33">
      <c r="AG4948" s="14"/>
    </row>
    <row r="4949" spans="33:33">
      <c r="AG4949" s="14"/>
    </row>
    <row r="4950" spans="33:33">
      <c r="AG4950" s="14"/>
    </row>
    <row r="4951" spans="33:33">
      <c r="AG4951" s="14"/>
    </row>
    <row r="4952" spans="33:33">
      <c r="AG4952" s="14"/>
    </row>
    <row r="4953" spans="33:33">
      <c r="AG4953" s="14"/>
    </row>
    <row r="4954" spans="33:33">
      <c r="AG4954" s="14"/>
    </row>
    <row r="4955" spans="33:33">
      <c r="AG4955" s="14"/>
    </row>
    <row r="4956" spans="33:33">
      <c r="AG4956" s="14"/>
    </row>
    <row r="4957" spans="33:33">
      <c r="AG4957" s="14"/>
    </row>
    <row r="4958" spans="33:33">
      <c r="AG4958" s="14"/>
    </row>
    <row r="4959" spans="33:33">
      <c r="AG4959" s="14"/>
    </row>
    <row r="4960" spans="33:33">
      <c r="AG4960" s="14"/>
    </row>
    <row r="4961" spans="33:33">
      <c r="AG4961" s="14"/>
    </row>
    <row r="4962" spans="33:33">
      <c r="AG4962" s="14"/>
    </row>
    <row r="4963" spans="33:33">
      <c r="AG4963" s="14"/>
    </row>
    <row r="4964" spans="33:33">
      <c r="AG4964" s="14"/>
    </row>
    <row r="4965" spans="33:33">
      <c r="AG4965" s="14"/>
    </row>
    <row r="4966" spans="33:33">
      <c r="AG4966" s="14"/>
    </row>
    <row r="4967" spans="33:33">
      <c r="AG4967" s="14"/>
    </row>
    <row r="4968" spans="33:33">
      <c r="AG4968" s="14"/>
    </row>
    <row r="4969" spans="33:33">
      <c r="AG4969" s="14"/>
    </row>
    <row r="4970" spans="33:33">
      <c r="AG4970" s="14"/>
    </row>
    <row r="4971" spans="33:33">
      <c r="AG4971" s="14"/>
    </row>
    <row r="4972" spans="33:33">
      <c r="AG4972" s="14"/>
    </row>
    <row r="4973" spans="33:33">
      <c r="AG4973" s="14"/>
    </row>
    <row r="4974" spans="33:33">
      <c r="AG4974" s="14"/>
    </row>
    <row r="4975" spans="33:33">
      <c r="AG4975" s="14"/>
    </row>
    <row r="4976" spans="33:33">
      <c r="AG4976" s="14"/>
    </row>
    <row r="4977" spans="33:33">
      <c r="AG4977" s="14"/>
    </row>
    <row r="4978" spans="33:33">
      <c r="AG4978" s="14"/>
    </row>
    <row r="4979" spans="33:33">
      <c r="AG4979" s="14"/>
    </row>
    <row r="4980" spans="33:33">
      <c r="AG4980" s="14"/>
    </row>
    <row r="4981" spans="33:33">
      <c r="AG4981" s="14"/>
    </row>
    <row r="4982" spans="33:33">
      <c r="AG4982" s="14"/>
    </row>
    <row r="4983" spans="33:33">
      <c r="AG4983" s="14"/>
    </row>
    <row r="4984" spans="33:33">
      <c r="AG4984" s="14"/>
    </row>
    <row r="4985" spans="33:33">
      <c r="AG4985" s="14"/>
    </row>
    <row r="4986" spans="33:33">
      <c r="AG4986" s="14"/>
    </row>
    <row r="4987" spans="33:33">
      <c r="AG4987" s="14"/>
    </row>
    <row r="4988" spans="33:33">
      <c r="AG4988" s="14"/>
    </row>
    <row r="4989" spans="33:33">
      <c r="AG4989" s="14"/>
    </row>
    <row r="4990" spans="33:33">
      <c r="AG4990" s="14"/>
    </row>
    <row r="4991" spans="33:33">
      <c r="AG4991" s="14"/>
    </row>
    <row r="4992" spans="33:33">
      <c r="AG4992" s="14"/>
    </row>
    <row r="4993" spans="33:33">
      <c r="AG4993" s="14"/>
    </row>
    <row r="4994" spans="33:33">
      <c r="AG4994" s="14"/>
    </row>
    <row r="4995" spans="33:33">
      <c r="AG4995" s="14"/>
    </row>
    <row r="4996" spans="33:33">
      <c r="AG4996" s="14"/>
    </row>
    <row r="4997" spans="33:33">
      <c r="AG4997" s="14"/>
    </row>
    <row r="4998" spans="33:33">
      <c r="AG4998" s="14"/>
    </row>
    <row r="4999" spans="33:33">
      <c r="AG4999" s="14"/>
    </row>
    <row r="5000" spans="33:33">
      <c r="AG5000" s="14"/>
    </row>
    <row r="5001" spans="33:33">
      <c r="AG5001" s="14"/>
    </row>
    <row r="5002" spans="33:33">
      <c r="AG5002" s="14"/>
    </row>
    <row r="5003" spans="33:33">
      <c r="AG5003" s="14"/>
    </row>
    <row r="5004" spans="33:33">
      <c r="AG5004" s="14"/>
    </row>
    <row r="5005" spans="33:33">
      <c r="AG5005" s="14"/>
    </row>
    <row r="5006" spans="33:33">
      <c r="AG5006" s="14"/>
    </row>
    <row r="5007" spans="33:33">
      <c r="AG5007" s="14"/>
    </row>
    <row r="5008" spans="33:33">
      <c r="AG5008" s="14"/>
    </row>
    <row r="5009" spans="33:33">
      <c r="AG5009" s="14"/>
    </row>
    <row r="5010" spans="33:33">
      <c r="AG5010" s="14"/>
    </row>
    <row r="5011" spans="33:33">
      <c r="AG5011" s="14"/>
    </row>
    <row r="5012" spans="33:33">
      <c r="AG5012" s="14"/>
    </row>
    <row r="5013" spans="33:33">
      <c r="AG5013" s="14"/>
    </row>
    <row r="5014" spans="33:33">
      <c r="AG5014" s="14"/>
    </row>
    <row r="5015" spans="33:33">
      <c r="AG5015" s="14"/>
    </row>
    <row r="5016" spans="33:33">
      <c r="AG5016" s="14"/>
    </row>
    <row r="5017" spans="33:33">
      <c r="AG5017" s="14"/>
    </row>
    <row r="5018" spans="33:33">
      <c r="AG5018" s="14"/>
    </row>
    <row r="5019" spans="33:33">
      <c r="AG5019" s="14"/>
    </row>
    <row r="5020" spans="33:33">
      <c r="AG5020" s="14"/>
    </row>
    <row r="5021" spans="33:33">
      <c r="AG5021" s="14"/>
    </row>
    <row r="5022" spans="33:33">
      <c r="AG5022" s="14"/>
    </row>
    <row r="5023" spans="33:33">
      <c r="AG5023" s="14"/>
    </row>
    <row r="5024" spans="33:33">
      <c r="AG5024" s="14"/>
    </row>
    <row r="5025" spans="33:33">
      <c r="AG5025" s="14"/>
    </row>
    <row r="5026" spans="33:33">
      <c r="AG5026" s="14"/>
    </row>
    <row r="5027" spans="33:33">
      <c r="AG5027" s="14"/>
    </row>
    <row r="5028" spans="33:33">
      <c r="AG5028" s="14"/>
    </row>
    <row r="5029" spans="33:33">
      <c r="AG5029" s="14"/>
    </row>
    <row r="5030" spans="33:33">
      <c r="AG5030" s="14"/>
    </row>
    <row r="5031" spans="33:33">
      <c r="AG5031" s="14"/>
    </row>
    <row r="5032" spans="33:33">
      <c r="AG5032" s="14"/>
    </row>
    <row r="5033" spans="33:33">
      <c r="AG5033" s="14"/>
    </row>
    <row r="5034" spans="33:33">
      <c r="AG5034" s="14"/>
    </row>
    <row r="5035" spans="33:33">
      <c r="AG5035" s="14"/>
    </row>
    <row r="5036" spans="33:33">
      <c r="AG5036" s="14"/>
    </row>
    <row r="5037" spans="33:33">
      <c r="AG5037" s="14"/>
    </row>
    <row r="5038" spans="33:33">
      <c r="AG5038" s="14"/>
    </row>
    <row r="5039" spans="33:33">
      <c r="AG5039" s="14"/>
    </row>
    <row r="5040" spans="33:33">
      <c r="AG5040" s="14"/>
    </row>
    <row r="5041" spans="33:33">
      <c r="AG5041" s="14"/>
    </row>
    <row r="5042" spans="33:33">
      <c r="AG5042" s="14"/>
    </row>
    <row r="5043" spans="33:33">
      <c r="AG5043" s="14"/>
    </row>
    <row r="5044" spans="33:33">
      <c r="AG5044" s="14"/>
    </row>
    <row r="5045" spans="33:33">
      <c r="AG5045" s="14"/>
    </row>
    <row r="5046" spans="33:33">
      <c r="AG5046" s="14"/>
    </row>
    <row r="5047" spans="33:33">
      <c r="AG5047" s="14"/>
    </row>
    <row r="5048" spans="33:33">
      <c r="AG5048" s="14"/>
    </row>
    <row r="5049" spans="33:33">
      <c r="AG5049" s="14"/>
    </row>
    <row r="5050" spans="33:33">
      <c r="AG5050" s="14"/>
    </row>
    <row r="5051" spans="33:33">
      <c r="AG5051" s="14"/>
    </row>
    <row r="5052" spans="33:33">
      <c r="AG5052" s="14"/>
    </row>
    <row r="5053" spans="33:33">
      <c r="AG5053" s="14"/>
    </row>
    <row r="5054" spans="33:33">
      <c r="AG5054" s="14"/>
    </row>
    <row r="5055" spans="33:33">
      <c r="AG5055" s="14"/>
    </row>
    <row r="5056" spans="33:33">
      <c r="AG5056" s="14"/>
    </row>
    <row r="5057" spans="33:33">
      <c r="AG5057" s="14"/>
    </row>
    <row r="5058" spans="33:33">
      <c r="AG5058" s="14"/>
    </row>
    <row r="5059" spans="33:33">
      <c r="AG5059" s="14"/>
    </row>
    <row r="5060" spans="33:33">
      <c r="AG5060" s="14"/>
    </row>
    <row r="5061" spans="33:33">
      <c r="AG5061" s="14"/>
    </row>
    <row r="5062" spans="33:33">
      <c r="AG5062" s="14"/>
    </row>
    <row r="5063" spans="33:33">
      <c r="AG5063" s="14"/>
    </row>
    <row r="5064" spans="33:33">
      <c r="AG5064" s="14"/>
    </row>
    <row r="5065" spans="33:33">
      <c r="AG5065" s="14"/>
    </row>
    <row r="5066" spans="33:33">
      <c r="AG5066" s="14"/>
    </row>
    <row r="5067" spans="33:33">
      <c r="AG5067" s="14"/>
    </row>
    <row r="5068" spans="33:33">
      <c r="AG5068" s="14"/>
    </row>
    <row r="5069" spans="33:33">
      <c r="AG5069" s="14"/>
    </row>
    <row r="5070" spans="33:33">
      <c r="AG5070" s="14"/>
    </row>
    <row r="5071" spans="33:33">
      <c r="AG5071" s="14"/>
    </row>
    <row r="5072" spans="33:33">
      <c r="AG5072" s="14"/>
    </row>
    <row r="5073" spans="33:33">
      <c r="AG5073" s="14"/>
    </row>
    <row r="5074" spans="33:33">
      <c r="AG5074" s="14"/>
    </row>
    <row r="5075" spans="33:33">
      <c r="AG5075" s="14"/>
    </row>
    <row r="5076" spans="33:33">
      <c r="AG5076" s="14"/>
    </row>
    <row r="5077" spans="33:33">
      <c r="AG5077" s="14"/>
    </row>
    <row r="5078" spans="33:33">
      <c r="AG5078" s="14"/>
    </row>
    <row r="5079" spans="33:33">
      <c r="AG5079" s="14"/>
    </row>
    <row r="5080" spans="33:33">
      <c r="AG5080" s="14"/>
    </row>
    <row r="5081" spans="33:33">
      <c r="AG5081" s="14"/>
    </row>
    <row r="5082" spans="33:33">
      <c r="AG5082" s="14"/>
    </row>
    <row r="5083" spans="33:33">
      <c r="AG5083" s="14"/>
    </row>
    <row r="5084" spans="33:33">
      <c r="AG5084" s="14"/>
    </row>
    <row r="5085" spans="33:33">
      <c r="AG5085" s="14"/>
    </row>
    <row r="5086" spans="33:33">
      <c r="AG5086" s="14"/>
    </row>
    <row r="5087" spans="33:33">
      <c r="AG5087" s="14"/>
    </row>
    <row r="5088" spans="33:33">
      <c r="AG5088" s="14"/>
    </row>
    <row r="5089" spans="33:33">
      <c r="AG5089" s="14"/>
    </row>
    <row r="5090" spans="33:33">
      <c r="AG5090" s="14"/>
    </row>
    <row r="5091" spans="33:33">
      <c r="AG5091" s="14"/>
    </row>
    <row r="5092" spans="33:33">
      <c r="AG5092" s="14"/>
    </row>
    <row r="5093" spans="33:33">
      <c r="AG5093" s="14"/>
    </row>
    <row r="5094" spans="33:33">
      <c r="AG5094" s="14"/>
    </row>
    <row r="5095" spans="33:33">
      <c r="AG5095" s="14"/>
    </row>
    <row r="5096" spans="33:33">
      <c r="AG5096" s="14"/>
    </row>
    <row r="5097" spans="33:33">
      <c r="AG5097" s="14"/>
    </row>
    <row r="5098" spans="33:33">
      <c r="AG5098" s="14"/>
    </row>
    <row r="5099" spans="33:33">
      <c r="AG5099" s="14"/>
    </row>
    <row r="5100" spans="33:33">
      <c r="AG5100" s="14"/>
    </row>
    <row r="5101" spans="33:33">
      <c r="AG5101" s="14"/>
    </row>
    <row r="5102" spans="33:33">
      <c r="AG5102" s="14"/>
    </row>
    <row r="5103" spans="33:33">
      <c r="AG5103" s="14"/>
    </row>
    <row r="5104" spans="33:33">
      <c r="AG5104" s="14"/>
    </row>
    <row r="5105" spans="33:33">
      <c r="AG5105" s="14"/>
    </row>
    <row r="5106" spans="33:33">
      <c r="AG5106" s="14"/>
    </row>
    <row r="5107" spans="33:33">
      <c r="AG5107" s="14"/>
    </row>
    <row r="5108" spans="33:33">
      <c r="AG5108" s="14"/>
    </row>
    <row r="5109" spans="33:33">
      <c r="AG5109" s="14"/>
    </row>
    <row r="5110" spans="33:33">
      <c r="AG5110" s="14"/>
    </row>
    <row r="5111" spans="33:33">
      <c r="AG5111" s="14"/>
    </row>
    <row r="5112" spans="33:33">
      <c r="AG5112" s="14"/>
    </row>
    <row r="5113" spans="33:33">
      <c r="AG5113" s="14"/>
    </row>
    <row r="5114" spans="33:33">
      <c r="AG5114" s="14"/>
    </row>
    <row r="5115" spans="33:33">
      <c r="AG5115" s="14"/>
    </row>
    <row r="5116" spans="33:33">
      <c r="AG5116" s="14"/>
    </row>
    <row r="5117" spans="33:33">
      <c r="AG5117" s="14"/>
    </row>
    <row r="5118" spans="33:33">
      <c r="AG5118" s="14"/>
    </row>
    <row r="5119" spans="33:33">
      <c r="AG5119" s="14"/>
    </row>
    <row r="5120" spans="33:33">
      <c r="AG5120" s="14"/>
    </row>
    <row r="5121" spans="33:33">
      <c r="AG5121" s="14"/>
    </row>
    <row r="5122" spans="33:33">
      <c r="AG5122" s="14"/>
    </row>
    <row r="5123" spans="33:33">
      <c r="AG5123" s="14"/>
    </row>
    <row r="5124" spans="33:33">
      <c r="AG5124" s="14"/>
    </row>
    <row r="5125" spans="33:33">
      <c r="AG5125" s="14"/>
    </row>
    <row r="5126" spans="33:33">
      <c r="AG5126" s="14"/>
    </row>
    <row r="5127" spans="33:33">
      <c r="AG5127" s="14"/>
    </row>
    <row r="5128" spans="33:33">
      <c r="AG5128" s="14"/>
    </row>
    <row r="5129" spans="33:33">
      <c r="AG5129" s="14"/>
    </row>
    <row r="5130" spans="33:33">
      <c r="AG5130" s="14"/>
    </row>
    <row r="5131" spans="33:33">
      <c r="AG5131" s="14"/>
    </row>
    <row r="5132" spans="33:33">
      <c r="AG5132" s="14"/>
    </row>
    <row r="5133" spans="33:33">
      <c r="AG5133" s="14"/>
    </row>
    <row r="5134" spans="33:33">
      <c r="AG5134" s="14"/>
    </row>
    <row r="5135" spans="33:33">
      <c r="AG5135" s="14"/>
    </row>
    <row r="5136" spans="33:33">
      <c r="AG5136" s="14"/>
    </row>
    <row r="5137" spans="33:33">
      <c r="AG5137" s="14"/>
    </row>
    <row r="5138" spans="33:33">
      <c r="AG5138" s="14"/>
    </row>
    <row r="5139" spans="33:33">
      <c r="AG5139" s="14"/>
    </row>
    <row r="5140" spans="33:33">
      <c r="AG5140" s="14"/>
    </row>
    <row r="5141" spans="33:33">
      <c r="AG5141" s="14"/>
    </row>
    <row r="5142" spans="33:33">
      <c r="AG5142" s="14"/>
    </row>
    <row r="5143" spans="33:33">
      <c r="AG5143" s="14"/>
    </row>
    <row r="5144" spans="33:33">
      <c r="AG5144" s="14"/>
    </row>
    <row r="5145" spans="33:33">
      <c r="AG5145" s="14"/>
    </row>
    <row r="5146" spans="33:33">
      <c r="AG5146" s="14"/>
    </row>
    <row r="5147" spans="33:33">
      <c r="AG5147" s="14"/>
    </row>
    <row r="5148" spans="33:33">
      <c r="AG5148" s="14"/>
    </row>
    <row r="5149" spans="33:33">
      <c r="AG5149" s="14"/>
    </row>
    <row r="5150" spans="33:33">
      <c r="AG5150" s="14"/>
    </row>
    <row r="5151" spans="33:33">
      <c r="AG5151" s="14"/>
    </row>
    <row r="5152" spans="33:33">
      <c r="AG5152" s="14"/>
    </row>
    <row r="5153" spans="33:33">
      <c r="AG5153" s="14"/>
    </row>
    <row r="5154" spans="33:33">
      <c r="AG5154" s="14"/>
    </row>
    <row r="5155" spans="33:33">
      <c r="AG5155" s="14"/>
    </row>
    <row r="5156" spans="33:33">
      <c r="AG5156" s="14"/>
    </row>
    <row r="5157" spans="33:33">
      <c r="AG5157" s="14"/>
    </row>
    <row r="5158" spans="33:33">
      <c r="AG5158" s="14"/>
    </row>
    <row r="5159" spans="33:33">
      <c r="AG5159" s="14"/>
    </row>
    <row r="5160" spans="33:33">
      <c r="AG5160" s="14"/>
    </row>
    <row r="5161" spans="33:33">
      <c r="AG5161" s="14"/>
    </row>
    <row r="5162" spans="33:33">
      <c r="AG5162" s="14"/>
    </row>
    <row r="5163" spans="33:33">
      <c r="AG5163" s="14"/>
    </row>
    <row r="5164" spans="33:33">
      <c r="AG5164" s="14"/>
    </row>
    <row r="5165" spans="33:33">
      <c r="AG5165" s="14"/>
    </row>
    <row r="5166" spans="33:33">
      <c r="AG5166" s="14"/>
    </row>
    <row r="5167" spans="33:33">
      <c r="AG5167" s="14"/>
    </row>
    <row r="5168" spans="33:33">
      <c r="AG5168" s="14"/>
    </row>
    <row r="5169" spans="33:33">
      <c r="AG5169" s="14"/>
    </row>
    <row r="5170" spans="33:33">
      <c r="AG5170" s="14"/>
    </row>
    <row r="5171" spans="33:33">
      <c r="AG5171" s="14"/>
    </row>
    <row r="5172" spans="33:33">
      <c r="AG5172" s="14"/>
    </row>
    <row r="5173" spans="33:33">
      <c r="AG5173" s="14"/>
    </row>
    <row r="5174" spans="33:33">
      <c r="AG5174" s="14"/>
    </row>
    <row r="5175" spans="33:33">
      <c r="AG5175" s="14"/>
    </row>
    <row r="5176" spans="33:33">
      <c r="AG5176" s="14"/>
    </row>
    <row r="5177" spans="33:33">
      <c r="AG5177" s="14"/>
    </row>
    <row r="5178" spans="33:33">
      <c r="AG5178" s="14"/>
    </row>
    <row r="5179" spans="33:33">
      <c r="AG5179" s="14"/>
    </row>
    <row r="5180" spans="33:33">
      <c r="AG5180" s="14"/>
    </row>
    <row r="5181" spans="33:33">
      <c r="AG5181" s="14"/>
    </row>
    <row r="5182" spans="33:33">
      <c r="AG5182" s="14"/>
    </row>
    <row r="5183" spans="33:33">
      <c r="AG5183" s="14"/>
    </row>
    <row r="5184" spans="33:33">
      <c r="AG5184" s="14"/>
    </row>
    <row r="5185" spans="33:33">
      <c r="AG5185" s="14"/>
    </row>
    <row r="5186" spans="33:33">
      <c r="AG5186" s="14"/>
    </row>
    <row r="5187" spans="33:33">
      <c r="AG5187" s="14"/>
    </row>
    <row r="5188" spans="33:33">
      <c r="AG5188" s="14"/>
    </row>
    <row r="5189" spans="33:33">
      <c r="AG5189" s="14"/>
    </row>
    <row r="5190" spans="33:33">
      <c r="AG5190" s="14"/>
    </row>
    <row r="5191" spans="33:33">
      <c r="AG5191" s="14"/>
    </row>
    <row r="5192" spans="33:33">
      <c r="AG5192" s="14"/>
    </row>
    <row r="5193" spans="33:33">
      <c r="AG5193" s="14"/>
    </row>
    <row r="5194" spans="33:33">
      <c r="AG5194" s="14"/>
    </row>
    <row r="5195" spans="33:33">
      <c r="AG5195" s="14"/>
    </row>
    <row r="5196" spans="33:33">
      <c r="AG5196" s="14"/>
    </row>
    <row r="5197" spans="33:33">
      <c r="AG5197" s="14"/>
    </row>
    <row r="5198" spans="33:33">
      <c r="AG5198" s="14"/>
    </row>
    <row r="5199" spans="33:33">
      <c r="AG5199" s="14"/>
    </row>
    <row r="5200" spans="33:33">
      <c r="AG5200" s="14"/>
    </row>
    <row r="5201" spans="33:33">
      <c r="AG5201" s="14"/>
    </row>
    <row r="5202" spans="33:33">
      <c r="AG5202" s="14"/>
    </row>
    <row r="5203" spans="33:33">
      <c r="AG5203" s="14"/>
    </row>
    <row r="5204" spans="33:33">
      <c r="AG5204" s="14"/>
    </row>
    <row r="5205" spans="33:33">
      <c r="AG5205" s="14"/>
    </row>
    <row r="5206" spans="33:33">
      <c r="AG5206" s="14"/>
    </row>
    <row r="5207" spans="33:33">
      <c r="AG5207" s="14"/>
    </row>
    <row r="5208" spans="33:33">
      <c r="AG5208" s="14"/>
    </row>
    <row r="5209" spans="33:33">
      <c r="AG5209" s="14"/>
    </row>
    <row r="5210" spans="33:33">
      <c r="AG5210" s="14"/>
    </row>
    <row r="5211" spans="33:33">
      <c r="AG5211" s="14"/>
    </row>
    <row r="5212" spans="33:33">
      <c r="AG5212" s="14"/>
    </row>
    <row r="5213" spans="33:33">
      <c r="AG5213" s="14"/>
    </row>
    <row r="5214" spans="33:33">
      <c r="AG5214" s="14"/>
    </row>
    <row r="5215" spans="33:33">
      <c r="AG5215" s="14"/>
    </row>
    <row r="5216" spans="33:33">
      <c r="AG5216" s="14"/>
    </row>
    <row r="5217" spans="33:33">
      <c r="AG5217" s="14"/>
    </row>
    <row r="5218" spans="33:33">
      <c r="AG5218" s="14"/>
    </row>
    <row r="5219" spans="33:33">
      <c r="AG5219" s="14"/>
    </row>
    <row r="5220" spans="33:33">
      <c r="AG5220" s="14"/>
    </row>
    <row r="5221" spans="33:33">
      <c r="AG5221" s="14"/>
    </row>
    <row r="5222" spans="33:33">
      <c r="AG5222" s="14"/>
    </row>
    <row r="5223" spans="33:33">
      <c r="AG5223" s="14"/>
    </row>
    <row r="5224" spans="33:33">
      <c r="AG5224" s="14"/>
    </row>
    <row r="5225" spans="33:33">
      <c r="AG5225" s="14"/>
    </row>
    <row r="5226" spans="33:33">
      <c r="AG5226" s="14"/>
    </row>
    <row r="5227" spans="33:33">
      <c r="AG5227" s="14"/>
    </row>
    <row r="5228" spans="33:33">
      <c r="AG5228" s="14"/>
    </row>
    <row r="5229" spans="33:33">
      <c r="AG5229" s="14"/>
    </row>
    <row r="5230" spans="33:33">
      <c r="AG5230" s="14"/>
    </row>
    <row r="5231" spans="33:33">
      <c r="AG5231" s="14"/>
    </row>
    <row r="5232" spans="33:33">
      <c r="AG5232" s="14"/>
    </row>
    <row r="5233" spans="33:33">
      <c r="AG5233" s="14"/>
    </row>
    <row r="5234" spans="33:33">
      <c r="AG5234" s="14"/>
    </row>
    <row r="5235" spans="33:33">
      <c r="AG5235" s="14"/>
    </row>
    <row r="5236" spans="33:33">
      <c r="AG5236" s="14"/>
    </row>
    <row r="5237" spans="33:33">
      <c r="AG5237" s="14"/>
    </row>
    <row r="5238" spans="33:33">
      <c r="AG5238" s="14"/>
    </row>
    <row r="5239" spans="33:33">
      <c r="AG5239" s="14"/>
    </row>
    <row r="5240" spans="33:33">
      <c r="AG5240" s="14"/>
    </row>
    <row r="5241" spans="33:33">
      <c r="AG5241" s="14"/>
    </row>
    <row r="5242" spans="33:33">
      <c r="AG5242" s="14"/>
    </row>
    <row r="5243" spans="33:33">
      <c r="AG5243" s="14"/>
    </row>
    <row r="5244" spans="33:33">
      <c r="AG5244" s="14"/>
    </row>
    <row r="5245" spans="33:33">
      <c r="AG5245" s="14"/>
    </row>
    <row r="5246" spans="33:33">
      <c r="AG5246" s="14"/>
    </row>
    <row r="5247" spans="33:33">
      <c r="AG5247" s="14"/>
    </row>
    <row r="5248" spans="33:33">
      <c r="AG5248" s="14"/>
    </row>
    <row r="5249" spans="33:33">
      <c r="AG5249" s="14"/>
    </row>
    <row r="5250" spans="33:33">
      <c r="AG5250" s="14"/>
    </row>
    <row r="5251" spans="33:33">
      <c r="AG5251" s="14"/>
    </row>
    <row r="5252" spans="33:33">
      <c r="AG5252" s="14"/>
    </row>
    <row r="5253" spans="33:33">
      <c r="AG5253" s="14"/>
    </row>
    <row r="5254" spans="33:33">
      <c r="AG5254" s="14"/>
    </row>
    <row r="5255" spans="33:33">
      <c r="AG5255" s="14"/>
    </row>
    <row r="5256" spans="33:33">
      <c r="AG5256" s="14"/>
    </row>
    <row r="5257" spans="33:33">
      <c r="AG5257" s="14"/>
    </row>
    <row r="5258" spans="33:33">
      <c r="AG5258" s="14"/>
    </row>
    <row r="5259" spans="33:33">
      <c r="AG5259" s="14"/>
    </row>
    <row r="5260" spans="33:33">
      <c r="AG5260" s="14"/>
    </row>
    <row r="5261" spans="33:33">
      <c r="AG5261" s="14"/>
    </row>
    <row r="5262" spans="33:33">
      <c r="AG5262" s="14"/>
    </row>
    <row r="5263" spans="33:33">
      <c r="AG5263" s="14"/>
    </row>
    <row r="5264" spans="33:33">
      <c r="AG5264" s="14"/>
    </row>
    <row r="5265" spans="33:33">
      <c r="AG5265" s="14"/>
    </row>
    <row r="5266" spans="33:33">
      <c r="AG5266" s="14"/>
    </row>
    <row r="5267" spans="33:33">
      <c r="AG5267" s="14"/>
    </row>
    <row r="5268" spans="33:33">
      <c r="AG5268" s="14"/>
    </row>
    <row r="5269" spans="33:33">
      <c r="AG5269" s="14"/>
    </row>
    <row r="5270" spans="33:33">
      <c r="AG5270" s="14"/>
    </row>
    <row r="5271" spans="33:33">
      <c r="AG5271" s="14"/>
    </row>
    <row r="5272" spans="33:33">
      <c r="AG5272" s="14"/>
    </row>
    <row r="5273" spans="33:33">
      <c r="AG5273" s="14"/>
    </row>
    <row r="5274" spans="33:33">
      <c r="AG5274" s="14"/>
    </row>
    <row r="5275" spans="33:33">
      <c r="AG5275" s="14"/>
    </row>
    <row r="5276" spans="33:33">
      <c r="AG5276" s="14"/>
    </row>
    <row r="5277" spans="33:33">
      <c r="AG5277" s="14"/>
    </row>
    <row r="5278" spans="33:33">
      <c r="AG5278" s="14"/>
    </row>
    <row r="5279" spans="33:33">
      <c r="AG5279" s="14"/>
    </row>
    <row r="5280" spans="33:33">
      <c r="AG5280" s="14"/>
    </row>
    <row r="5281" spans="33:33">
      <c r="AG5281" s="14"/>
    </row>
    <row r="5282" spans="33:33">
      <c r="AG5282" s="14"/>
    </row>
    <row r="5283" spans="33:33">
      <c r="AG5283" s="14"/>
    </row>
    <row r="5284" spans="33:33">
      <c r="AG5284" s="14"/>
    </row>
    <row r="5285" spans="33:33">
      <c r="AG5285" s="14"/>
    </row>
    <row r="5286" spans="33:33">
      <c r="AG5286" s="14"/>
    </row>
    <row r="5287" spans="33:33">
      <c r="AG5287" s="14"/>
    </row>
    <row r="5288" spans="33:33">
      <c r="AG5288" s="14"/>
    </row>
    <row r="5289" spans="33:33">
      <c r="AG5289" s="14"/>
    </row>
    <row r="5290" spans="33:33">
      <c r="AG5290" s="14"/>
    </row>
    <row r="5291" spans="33:33">
      <c r="AG5291" s="14"/>
    </row>
    <row r="5292" spans="33:33">
      <c r="AG5292" s="14"/>
    </row>
    <row r="5293" spans="33:33">
      <c r="AG5293" s="14"/>
    </row>
    <row r="5294" spans="33:33">
      <c r="AG5294" s="14"/>
    </row>
    <row r="5295" spans="33:33">
      <c r="AG5295" s="14"/>
    </row>
    <row r="5296" spans="33:33">
      <c r="AG5296" s="14"/>
    </row>
    <row r="5297" spans="33:33">
      <c r="AG5297" s="14"/>
    </row>
    <row r="5298" spans="33:33">
      <c r="AG5298" s="14"/>
    </row>
    <row r="5299" spans="33:33">
      <c r="AG5299" s="14"/>
    </row>
    <row r="5300" spans="33:33">
      <c r="AG5300" s="14"/>
    </row>
    <row r="5301" spans="33:33">
      <c r="AG5301" s="14"/>
    </row>
    <row r="5302" spans="33:33">
      <c r="AG5302" s="14"/>
    </row>
    <row r="5303" spans="33:33">
      <c r="AG5303" s="14"/>
    </row>
    <row r="5304" spans="33:33">
      <c r="AG5304" s="14"/>
    </row>
    <row r="5305" spans="33:33">
      <c r="AG5305" s="14"/>
    </row>
    <row r="5306" spans="33:33">
      <c r="AG5306" s="14"/>
    </row>
    <row r="5307" spans="33:33">
      <c r="AG5307" s="14"/>
    </row>
    <row r="5308" spans="33:33">
      <c r="AG5308" s="14"/>
    </row>
    <row r="5309" spans="33:33">
      <c r="AG5309" s="14"/>
    </row>
    <row r="5310" spans="33:33">
      <c r="AG5310" s="14"/>
    </row>
    <row r="5311" spans="33:33">
      <c r="AG5311" s="14"/>
    </row>
    <row r="5312" spans="33:33">
      <c r="AG5312" s="14"/>
    </row>
    <row r="5313" spans="33:33">
      <c r="AG5313" s="14"/>
    </row>
    <row r="5314" spans="33:33">
      <c r="AG5314" s="14"/>
    </row>
    <row r="5315" spans="33:33">
      <c r="AG5315" s="14"/>
    </row>
    <row r="5316" spans="33:33">
      <c r="AG5316" s="14"/>
    </row>
    <row r="5317" spans="33:33">
      <c r="AG5317" s="14"/>
    </row>
    <row r="5318" spans="33:33">
      <c r="AG5318" s="14"/>
    </row>
    <row r="5319" spans="33:33">
      <c r="AG5319" s="14"/>
    </row>
    <row r="5320" spans="33:33">
      <c r="AG5320" s="14"/>
    </row>
    <row r="5321" spans="33:33">
      <c r="AG5321" s="14"/>
    </row>
    <row r="5322" spans="33:33">
      <c r="AG5322" s="14"/>
    </row>
    <row r="5323" spans="33:33">
      <c r="AG5323" s="14"/>
    </row>
    <row r="5324" spans="33:33">
      <c r="AG5324" s="14"/>
    </row>
    <row r="5325" spans="33:33">
      <c r="AG5325" s="14"/>
    </row>
    <row r="5326" spans="33:33">
      <c r="AG5326" s="14"/>
    </row>
    <row r="5327" spans="33:33">
      <c r="AG5327" s="14"/>
    </row>
    <row r="5328" spans="33:33">
      <c r="AG5328" s="14"/>
    </row>
    <row r="5329" spans="33:33">
      <c r="AG5329" s="14"/>
    </row>
    <row r="5330" spans="33:33">
      <c r="AG5330" s="14"/>
    </row>
    <row r="5331" spans="33:33">
      <c r="AG5331" s="14"/>
    </row>
    <row r="5332" spans="33:33">
      <c r="AG5332" s="14"/>
    </row>
    <row r="5333" spans="33:33">
      <c r="AG5333" s="14"/>
    </row>
    <row r="5334" spans="33:33">
      <c r="AG5334" s="14"/>
    </row>
    <row r="5335" spans="33:33">
      <c r="AG5335" s="14"/>
    </row>
    <row r="5336" spans="33:33">
      <c r="AG5336" s="14"/>
    </row>
    <row r="5337" spans="33:33">
      <c r="AG5337" s="14"/>
    </row>
    <row r="5338" spans="33:33">
      <c r="AG5338" s="14"/>
    </row>
    <row r="5339" spans="33:33">
      <c r="AG5339" s="14"/>
    </row>
    <row r="5340" spans="33:33">
      <c r="AG5340" s="14"/>
    </row>
    <row r="5341" spans="33:33">
      <c r="AG5341" s="14"/>
    </row>
    <row r="5342" spans="33:33">
      <c r="AG5342" s="14"/>
    </row>
    <row r="5343" spans="33:33">
      <c r="AG5343" s="14"/>
    </row>
    <row r="5344" spans="33:33">
      <c r="AG5344" s="14"/>
    </row>
    <row r="5345" spans="33:33">
      <c r="AG5345" s="14"/>
    </row>
    <row r="5346" spans="33:33">
      <c r="AG5346" s="14"/>
    </row>
    <row r="5347" spans="33:33">
      <c r="AG5347" s="14"/>
    </row>
    <row r="5348" spans="33:33">
      <c r="AG5348" s="14"/>
    </row>
    <row r="5349" spans="33:33">
      <c r="AG5349" s="14"/>
    </row>
    <row r="5350" spans="33:33">
      <c r="AG5350" s="14"/>
    </row>
    <row r="5351" spans="33:33">
      <c r="AG5351" s="14"/>
    </row>
    <row r="5352" spans="33:33">
      <c r="AG5352" s="14"/>
    </row>
    <row r="5353" spans="33:33">
      <c r="AG5353" s="14"/>
    </row>
    <row r="5354" spans="33:33">
      <c r="AG5354" s="14"/>
    </row>
    <row r="5355" spans="33:33">
      <c r="AG5355" s="14"/>
    </row>
    <row r="5356" spans="33:33">
      <c r="AG5356" s="14"/>
    </row>
    <row r="5357" spans="33:33">
      <c r="AG5357" s="14"/>
    </row>
    <row r="5358" spans="33:33">
      <c r="AG5358" s="14"/>
    </row>
    <row r="5359" spans="33:33">
      <c r="AG5359" s="14"/>
    </row>
    <row r="5360" spans="33:33">
      <c r="AG5360" s="14"/>
    </row>
    <row r="5361" spans="33:33">
      <c r="AG5361" s="14"/>
    </row>
    <row r="5362" spans="33:33">
      <c r="AG5362" s="14"/>
    </row>
    <row r="5363" spans="33:33">
      <c r="AG5363" s="14"/>
    </row>
    <row r="5364" spans="33:33">
      <c r="AG5364" s="14"/>
    </row>
    <row r="5365" spans="33:33">
      <c r="AG5365" s="14"/>
    </row>
    <row r="5366" spans="33:33">
      <c r="AG5366" s="14"/>
    </row>
    <row r="5367" spans="33:33">
      <c r="AG5367" s="14"/>
    </row>
    <row r="5368" spans="33:33">
      <c r="AG5368" s="14"/>
    </row>
    <row r="5369" spans="33:33">
      <c r="AG5369" s="14"/>
    </row>
    <row r="5370" spans="33:33">
      <c r="AG5370" s="14"/>
    </row>
    <row r="5371" spans="33:33">
      <c r="AG5371" s="14"/>
    </row>
    <row r="5372" spans="33:33">
      <c r="AG5372" s="14"/>
    </row>
    <row r="5373" spans="33:33">
      <c r="AG5373" s="14"/>
    </row>
    <row r="5374" spans="33:33">
      <c r="AG5374" s="14"/>
    </row>
    <row r="5375" spans="33:33">
      <c r="AG5375" s="14"/>
    </row>
    <row r="5376" spans="33:33">
      <c r="AG5376" s="14"/>
    </row>
    <row r="5377" spans="33:33">
      <c r="AG5377" s="14"/>
    </row>
    <row r="5378" spans="33:33">
      <c r="AG5378" s="14"/>
    </row>
    <row r="5379" spans="33:33">
      <c r="AG5379" s="14"/>
    </row>
    <row r="5380" spans="33:33">
      <c r="AG5380" s="14"/>
    </row>
    <row r="5381" spans="33:33">
      <c r="AG5381" s="14"/>
    </row>
    <row r="5382" spans="33:33">
      <c r="AG5382" s="14"/>
    </row>
    <row r="5383" spans="33:33">
      <c r="AG5383" s="14"/>
    </row>
    <row r="5384" spans="33:33">
      <c r="AG5384" s="14"/>
    </row>
    <row r="5385" spans="33:33">
      <c r="AG5385" s="14"/>
    </row>
    <row r="5386" spans="33:33">
      <c r="AG5386" s="14"/>
    </row>
    <row r="5387" spans="33:33">
      <c r="AG5387" s="14"/>
    </row>
    <row r="5388" spans="33:33">
      <c r="AG5388" s="14"/>
    </row>
    <row r="5389" spans="33:33">
      <c r="AG5389" s="14"/>
    </row>
    <row r="5390" spans="33:33">
      <c r="AG5390" s="14"/>
    </row>
    <row r="5391" spans="33:33">
      <c r="AG5391" s="14"/>
    </row>
    <row r="5392" spans="33:33">
      <c r="AG5392" s="14"/>
    </row>
    <row r="5393" spans="33:33">
      <c r="AG5393" s="14"/>
    </row>
    <row r="5394" spans="33:33">
      <c r="AG5394" s="14"/>
    </row>
    <row r="5395" spans="33:33">
      <c r="AG5395" s="14"/>
    </row>
    <row r="5396" spans="33:33">
      <c r="AG5396" s="14"/>
    </row>
    <row r="5397" spans="33:33">
      <c r="AG5397" s="14"/>
    </row>
    <row r="5398" spans="33:33">
      <c r="AG5398" s="14"/>
    </row>
    <row r="5399" spans="33:33">
      <c r="AG5399" s="14"/>
    </row>
    <row r="5400" spans="33:33">
      <c r="AG5400" s="14"/>
    </row>
    <row r="5401" spans="33:33">
      <c r="AG5401" s="14"/>
    </row>
    <row r="5402" spans="33:33">
      <c r="AG5402" s="14"/>
    </row>
    <row r="5403" spans="33:33">
      <c r="AG5403" s="14"/>
    </row>
    <row r="5404" spans="33:33">
      <c r="AG5404" s="14"/>
    </row>
    <row r="5405" spans="33:33">
      <c r="AG5405" s="14"/>
    </row>
    <row r="5406" spans="33:33">
      <c r="AG5406" s="14"/>
    </row>
    <row r="5407" spans="33:33">
      <c r="AG5407" s="14"/>
    </row>
    <row r="5408" spans="33:33">
      <c r="AG5408" s="14"/>
    </row>
    <row r="5409" spans="33:33">
      <c r="AG5409" s="14"/>
    </row>
    <row r="5410" spans="33:33">
      <c r="AG5410" s="14"/>
    </row>
    <row r="5411" spans="33:33">
      <c r="AG5411" s="14"/>
    </row>
    <row r="5412" spans="33:33">
      <c r="AG5412" s="14"/>
    </row>
    <row r="5413" spans="33:33">
      <c r="AG5413" s="14"/>
    </row>
    <row r="5414" spans="33:33">
      <c r="AG5414" s="14"/>
    </row>
    <row r="5415" spans="33:33">
      <c r="AG5415" s="14"/>
    </row>
    <row r="5416" spans="33:33">
      <c r="AG5416" s="14"/>
    </row>
    <row r="5417" spans="33:33">
      <c r="AG5417" s="14"/>
    </row>
    <row r="5418" spans="33:33">
      <c r="AG5418" s="14"/>
    </row>
    <row r="5419" spans="33:33">
      <c r="AG5419" s="14"/>
    </row>
    <row r="5420" spans="33:33">
      <c r="AG5420" s="14"/>
    </row>
    <row r="5421" spans="33:33">
      <c r="AG5421" s="14"/>
    </row>
    <row r="5422" spans="33:33">
      <c r="AG5422" s="14"/>
    </row>
    <row r="5423" spans="33:33">
      <c r="AG5423" s="14"/>
    </row>
    <row r="5424" spans="33:33">
      <c r="AG5424" s="14"/>
    </row>
    <row r="5425" spans="33:33">
      <c r="AG5425" s="14"/>
    </row>
    <row r="5426" spans="33:33">
      <c r="AG5426" s="14"/>
    </row>
    <row r="5427" spans="33:33">
      <c r="AG5427" s="14"/>
    </row>
    <row r="5428" spans="33:33">
      <c r="AG5428" s="14"/>
    </row>
    <row r="5429" spans="33:33">
      <c r="AG5429" s="14"/>
    </row>
    <row r="5430" spans="33:33">
      <c r="AG5430" s="14"/>
    </row>
    <row r="5431" spans="33:33">
      <c r="AG5431" s="14"/>
    </row>
    <row r="5432" spans="33:33">
      <c r="AG5432" s="14"/>
    </row>
    <row r="5433" spans="33:33">
      <c r="AG5433" s="14"/>
    </row>
    <row r="5434" spans="33:33">
      <c r="AG5434" s="14"/>
    </row>
    <row r="5435" spans="33:33">
      <c r="AG5435" s="14"/>
    </row>
    <row r="5436" spans="33:33">
      <c r="AG5436" s="14"/>
    </row>
    <row r="5437" spans="33:33">
      <c r="AG5437" s="14"/>
    </row>
    <row r="5438" spans="33:33">
      <c r="AG5438" s="14"/>
    </row>
    <row r="5439" spans="33:33">
      <c r="AG5439" s="14"/>
    </row>
    <row r="5440" spans="33:33">
      <c r="AG5440" s="14"/>
    </row>
    <row r="5441" spans="33:33">
      <c r="AG5441" s="14"/>
    </row>
    <row r="5442" spans="33:33">
      <c r="AG5442" s="14"/>
    </row>
    <row r="5443" spans="33:33">
      <c r="AG5443" s="14"/>
    </row>
    <row r="5444" spans="33:33">
      <c r="AG5444" s="14"/>
    </row>
    <row r="5445" spans="33:33">
      <c r="AG5445" s="14"/>
    </row>
    <row r="5446" spans="33:33">
      <c r="AG5446" s="14"/>
    </row>
    <row r="5447" spans="33:33">
      <c r="AG5447" s="14"/>
    </row>
    <row r="5448" spans="33:33">
      <c r="AG5448" s="14"/>
    </row>
    <row r="5449" spans="33:33">
      <c r="AG5449" s="14"/>
    </row>
    <row r="5450" spans="33:33">
      <c r="AG5450" s="14"/>
    </row>
    <row r="5451" spans="33:33">
      <c r="AG5451" s="14"/>
    </row>
    <row r="5452" spans="33:33">
      <c r="AG5452" s="14"/>
    </row>
    <row r="5453" spans="33:33">
      <c r="AG5453" s="14"/>
    </row>
    <row r="5454" spans="33:33">
      <c r="AG5454" s="14"/>
    </row>
    <row r="5455" spans="33:33">
      <c r="AG5455" s="14"/>
    </row>
    <row r="5456" spans="33:33">
      <c r="AG5456" s="14"/>
    </row>
    <row r="5457" spans="33:33">
      <c r="AG5457" s="14"/>
    </row>
    <row r="5458" spans="33:33">
      <c r="AG5458" s="14"/>
    </row>
    <row r="5459" spans="33:33">
      <c r="AG5459" s="14"/>
    </row>
    <row r="5460" spans="33:33">
      <c r="AG5460" s="14"/>
    </row>
    <row r="5461" spans="33:33">
      <c r="AG5461" s="14"/>
    </row>
    <row r="5462" spans="33:33">
      <c r="AG5462" s="14"/>
    </row>
    <row r="5463" spans="33:33">
      <c r="AG5463" s="14"/>
    </row>
    <row r="5464" spans="33:33">
      <c r="AG5464" s="14"/>
    </row>
    <row r="5465" spans="33:33">
      <c r="AG5465" s="14"/>
    </row>
    <row r="5466" spans="33:33">
      <c r="AG5466" s="14"/>
    </row>
    <row r="5467" spans="33:33">
      <c r="AG5467" s="14"/>
    </row>
    <row r="5468" spans="33:33">
      <c r="AG5468" s="14"/>
    </row>
    <row r="5469" spans="33:33">
      <c r="AG5469" s="14"/>
    </row>
    <row r="5470" spans="33:33">
      <c r="AG5470" s="14"/>
    </row>
    <row r="5471" spans="33:33">
      <c r="AG5471" s="14"/>
    </row>
    <row r="5472" spans="33:33">
      <c r="AG5472" s="14"/>
    </row>
    <row r="5473" spans="33:33">
      <c r="AG5473" s="14"/>
    </row>
    <row r="5474" spans="33:33">
      <c r="AG5474" s="14"/>
    </row>
    <row r="5475" spans="33:33">
      <c r="AG5475" s="14"/>
    </row>
    <row r="5476" spans="33:33">
      <c r="AG5476" s="14"/>
    </row>
    <row r="5477" spans="33:33">
      <c r="AG5477" s="14"/>
    </row>
    <row r="5478" spans="33:33">
      <c r="AG5478" s="14"/>
    </row>
    <row r="5479" spans="33:33">
      <c r="AG5479" s="14"/>
    </row>
    <row r="5480" spans="33:33">
      <c r="AG5480" s="14"/>
    </row>
    <row r="5481" spans="33:33">
      <c r="AG5481" s="14"/>
    </row>
    <row r="5482" spans="33:33">
      <c r="AG5482" s="14"/>
    </row>
    <row r="5483" spans="33:33">
      <c r="AG5483" s="14"/>
    </row>
    <row r="5484" spans="33:33">
      <c r="AG5484" s="14"/>
    </row>
    <row r="5485" spans="33:33">
      <c r="AG5485" s="14"/>
    </row>
    <row r="5486" spans="33:33">
      <c r="AG5486" s="14"/>
    </row>
    <row r="5487" spans="33:33">
      <c r="AG5487" s="14"/>
    </row>
    <row r="5488" spans="33:33">
      <c r="AG5488" s="14"/>
    </row>
    <row r="5489" spans="33:33">
      <c r="AG5489" s="14"/>
    </row>
    <row r="5490" spans="33:33">
      <c r="AG5490" s="14"/>
    </row>
    <row r="5491" spans="33:33">
      <c r="AG5491" s="14"/>
    </row>
    <row r="5492" spans="33:33">
      <c r="AG5492" s="14"/>
    </row>
    <row r="5493" spans="33:33">
      <c r="AG5493" s="14"/>
    </row>
    <row r="5494" spans="33:33">
      <c r="AG5494" s="14"/>
    </row>
    <row r="5495" spans="33:33">
      <c r="AG5495" s="14"/>
    </row>
    <row r="5496" spans="33:33">
      <c r="AG5496" s="14"/>
    </row>
    <row r="5497" spans="33:33">
      <c r="AG5497" s="14"/>
    </row>
    <row r="5498" spans="33:33">
      <c r="AG5498" s="14"/>
    </row>
    <row r="5499" spans="33:33">
      <c r="AG5499" s="14"/>
    </row>
    <row r="5500" spans="33:33">
      <c r="AG5500" s="14"/>
    </row>
    <row r="5501" spans="33:33">
      <c r="AG5501" s="14"/>
    </row>
    <row r="5502" spans="33:33">
      <c r="AG5502" s="14"/>
    </row>
    <row r="5503" spans="33:33">
      <c r="AG5503" s="14"/>
    </row>
    <row r="5504" spans="33:33">
      <c r="AG5504" s="14"/>
    </row>
    <row r="5505" spans="33:33">
      <c r="AG5505" s="14"/>
    </row>
    <row r="5506" spans="33:33">
      <c r="AG5506" s="14"/>
    </row>
    <row r="5507" spans="33:33">
      <c r="AG5507" s="14"/>
    </row>
    <row r="5508" spans="33:33">
      <c r="AG5508" s="14"/>
    </row>
    <row r="5509" spans="33:33">
      <c r="AG5509" s="14"/>
    </row>
    <row r="5510" spans="33:33">
      <c r="AG5510" s="14"/>
    </row>
    <row r="5511" spans="33:33">
      <c r="AG5511" s="14"/>
    </row>
    <row r="5512" spans="33:33">
      <c r="AG5512" s="14"/>
    </row>
    <row r="5513" spans="33:33">
      <c r="AG5513" s="14"/>
    </row>
    <row r="5514" spans="33:33">
      <c r="AG5514" s="14"/>
    </row>
    <row r="5515" spans="33:33">
      <c r="AG5515" s="14"/>
    </row>
    <row r="5516" spans="33:33">
      <c r="AG5516" s="14"/>
    </row>
    <row r="5517" spans="33:33">
      <c r="AG5517" s="14"/>
    </row>
    <row r="5518" spans="33:33">
      <c r="AG5518" s="14"/>
    </row>
    <row r="5519" spans="33:33">
      <c r="AG5519" s="14"/>
    </row>
    <row r="5520" spans="33:33">
      <c r="AG5520" s="14"/>
    </row>
    <row r="5521" spans="33:33">
      <c r="AG5521" s="14"/>
    </row>
    <row r="5522" spans="33:33">
      <c r="AG5522" s="14"/>
    </row>
    <row r="5523" spans="33:33">
      <c r="AG5523" s="14"/>
    </row>
    <row r="5524" spans="33:33">
      <c r="AG5524" s="14"/>
    </row>
    <row r="5525" spans="33:33">
      <c r="AG5525" s="14"/>
    </row>
    <row r="5526" spans="33:33">
      <c r="AG5526" s="14"/>
    </row>
    <row r="5527" spans="33:33">
      <c r="AG5527" s="14"/>
    </row>
    <row r="5528" spans="33:33">
      <c r="AG5528" s="14"/>
    </row>
    <row r="5529" spans="33:33">
      <c r="AG5529" s="14"/>
    </row>
    <row r="5530" spans="33:33">
      <c r="AG5530" s="14"/>
    </row>
    <row r="5531" spans="33:33">
      <c r="AG5531" s="14"/>
    </row>
    <row r="5532" spans="33:33">
      <c r="AG5532" s="14"/>
    </row>
    <row r="5533" spans="33:33">
      <c r="AG5533" s="14"/>
    </row>
    <row r="5534" spans="33:33">
      <c r="AG5534" s="14"/>
    </row>
    <row r="5535" spans="33:33">
      <c r="AG5535" s="14"/>
    </row>
    <row r="5536" spans="33:33">
      <c r="AG5536" s="14"/>
    </row>
    <row r="5537" spans="33:33">
      <c r="AG5537" s="14"/>
    </row>
    <row r="5538" spans="33:33">
      <c r="AG5538" s="14"/>
    </row>
    <row r="5539" spans="33:33">
      <c r="AG5539" s="14"/>
    </row>
    <row r="5540" spans="33:33">
      <c r="AG5540" s="14"/>
    </row>
    <row r="5541" spans="33:33">
      <c r="AG5541" s="14"/>
    </row>
    <row r="5542" spans="33:33">
      <c r="AG5542" s="14"/>
    </row>
    <row r="5543" spans="33:33">
      <c r="AG5543" s="14"/>
    </row>
    <row r="5544" spans="33:33">
      <c r="AG5544" s="14"/>
    </row>
    <row r="5545" spans="33:33">
      <c r="AG5545" s="14"/>
    </row>
    <row r="5546" spans="33:33">
      <c r="AG5546" s="14"/>
    </row>
    <row r="5547" spans="33:33">
      <c r="AG5547" s="14"/>
    </row>
    <row r="5548" spans="33:33">
      <c r="AG5548" s="14"/>
    </row>
    <row r="5549" spans="33:33">
      <c r="AG5549" s="14"/>
    </row>
    <row r="5550" spans="33:33">
      <c r="AG5550" s="14"/>
    </row>
    <row r="5551" spans="33:33">
      <c r="AG5551" s="14"/>
    </row>
    <row r="5552" spans="33:33">
      <c r="AG5552" s="14"/>
    </row>
    <row r="5553" spans="33:33">
      <c r="AG5553" s="14"/>
    </row>
    <row r="5554" spans="33:33">
      <c r="AG5554" s="14"/>
    </row>
    <row r="5555" spans="33:33">
      <c r="AG5555" s="14"/>
    </row>
    <row r="5556" spans="33:33">
      <c r="AG5556" s="14"/>
    </row>
    <row r="5557" spans="33:33">
      <c r="AG5557" s="14"/>
    </row>
    <row r="5558" spans="33:33">
      <c r="AG5558" s="14"/>
    </row>
    <row r="5559" spans="33:33">
      <c r="AG5559" s="14"/>
    </row>
    <row r="5560" spans="33:33">
      <c r="AG5560" s="14"/>
    </row>
    <row r="5561" spans="33:33">
      <c r="AG5561" s="14"/>
    </row>
    <row r="5562" spans="33:33">
      <c r="AG5562" s="14"/>
    </row>
    <row r="5563" spans="33:33">
      <c r="AG5563" s="14"/>
    </row>
    <row r="5564" spans="33:33">
      <c r="AG5564" s="14"/>
    </row>
    <row r="5565" spans="33:33">
      <c r="AG5565" s="14"/>
    </row>
    <row r="5566" spans="33:33">
      <c r="AG5566" s="14"/>
    </row>
    <row r="5567" spans="33:33">
      <c r="AG5567" s="14"/>
    </row>
    <row r="5568" spans="33:33">
      <c r="AG5568" s="14"/>
    </row>
    <row r="5569" spans="33:33">
      <c r="AG5569" s="14"/>
    </row>
    <row r="5570" spans="33:33">
      <c r="AG5570" s="14"/>
    </row>
    <row r="5571" spans="33:33">
      <c r="AG5571" s="14"/>
    </row>
    <row r="5572" spans="33:33">
      <c r="AG5572" s="14"/>
    </row>
    <row r="5573" spans="33:33">
      <c r="AG5573" s="14"/>
    </row>
    <row r="5574" spans="33:33">
      <c r="AG5574" s="14"/>
    </row>
    <row r="5575" spans="33:33">
      <c r="AG5575" s="14"/>
    </row>
    <row r="5576" spans="33:33">
      <c r="AG5576" s="14"/>
    </row>
    <row r="5577" spans="33:33">
      <c r="AG5577" s="14"/>
    </row>
    <row r="5578" spans="33:33">
      <c r="AG5578" s="14"/>
    </row>
    <row r="5579" spans="33:33">
      <c r="AG5579" s="14"/>
    </row>
    <row r="5580" spans="33:33">
      <c r="AG5580" s="14"/>
    </row>
    <row r="5581" spans="33:33">
      <c r="AG5581" s="14"/>
    </row>
    <row r="5582" spans="33:33">
      <c r="AG5582" s="14"/>
    </row>
    <row r="5583" spans="33:33">
      <c r="AG5583" s="14"/>
    </row>
    <row r="5584" spans="33:33">
      <c r="AG5584" s="14"/>
    </row>
    <row r="5585" spans="33:33">
      <c r="AG5585" s="14"/>
    </row>
    <row r="5586" spans="33:33">
      <c r="AG5586" s="14"/>
    </row>
    <row r="5587" spans="33:33">
      <c r="AG5587" s="14"/>
    </row>
    <row r="5588" spans="33:33">
      <c r="AG5588" s="14"/>
    </row>
    <row r="5589" spans="33:33">
      <c r="AG5589" s="14"/>
    </row>
    <row r="5590" spans="33:33">
      <c r="AG5590" s="14"/>
    </row>
    <row r="5591" spans="33:33">
      <c r="AG5591" s="14"/>
    </row>
    <row r="5592" spans="33:33">
      <c r="AG5592" s="14"/>
    </row>
    <row r="5593" spans="33:33">
      <c r="AG5593" s="14"/>
    </row>
    <row r="5594" spans="33:33">
      <c r="AG5594" s="14"/>
    </row>
    <row r="5595" spans="33:33">
      <c r="AG5595" s="14"/>
    </row>
    <row r="5596" spans="33:33">
      <c r="AG5596" s="14"/>
    </row>
    <row r="5597" spans="33:33">
      <c r="AG5597" s="14"/>
    </row>
    <row r="5598" spans="33:33">
      <c r="AG5598" s="14"/>
    </row>
    <row r="5599" spans="33:33">
      <c r="AG5599" s="14"/>
    </row>
    <row r="5600" spans="33:33">
      <c r="AG5600" s="14"/>
    </row>
    <row r="5601" spans="33:33">
      <c r="AG5601" s="14"/>
    </row>
    <row r="5602" spans="33:33">
      <c r="AG5602" s="14"/>
    </row>
    <row r="5603" spans="33:33">
      <c r="AG5603" s="14"/>
    </row>
    <row r="5604" spans="33:33">
      <c r="AG5604" s="14"/>
    </row>
    <row r="5605" spans="33:33">
      <c r="AG5605" s="14"/>
    </row>
    <row r="5606" spans="33:33">
      <c r="AG5606" s="14"/>
    </row>
    <row r="5607" spans="33:33">
      <c r="AG5607" s="14"/>
    </row>
    <row r="5608" spans="33:33">
      <c r="AG5608" s="14"/>
    </row>
    <row r="5609" spans="33:33">
      <c r="AG5609" s="14"/>
    </row>
    <row r="5610" spans="33:33">
      <c r="AG5610" s="14"/>
    </row>
    <row r="5611" spans="33:33">
      <c r="AG5611" s="14"/>
    </row>
    <row r="5612" spans="33:33">
      <c r="AG5612" s="14"/>
    </row>
    <row r="5613" spans="33:33">
      <c r="AG5613" s="14"/>
    </row>
    <row r="5614" spans="33:33">
      <c r="AG5614" s="14"/>
    </row>
    <row r="5615" spans="33:33">
      <c r="AG5615" s="14"/>
    </row>
    <row r="5616" spans="33:33">
      <c r="AG5616" s="14"/>
    </row>
    <row r="5617" spans="33:33">
      <c r="AG5617" s="14"/>
    </row>
    <row r="5618" spans="33:33">
      <c r="AG5618" s="14"/>
    </row>
    <row r="5619" spans="33:33">
      <c r="AG5619" s="14"/>
    </row>
    <row r="5620" spans="33:33">
      <c r="AG5620" s="14"/>
    </row>
    <row r="5621" spans="33:33">
      <c r="AG5621" s="14"/>
    </row>
    <row r="5622" spans="33:33">
      <c r="AG5622" s="14"/>
    </row>
    <row r="5623" spans="33:33">
      <c r="AG5623" s="14"/>
    </row>
    <row r="5624" spans="33:33">
      <c r="AG5624" s="14"/>
    </row>
    <row r="5625" spans="33:33">
      <c r="AG5625" s="14"/>
    </row>
    <row r="5626" spans="33:33">
      <c r="AG5626" s="14"/>
    </row>
    <row r="5627" spans="33:33">
      <c r="AG5627" s="14"/>
    </row>
    <row r="5628" spans="33:33">
      <c r="AG5628" s="14"/>
    </row>
    <row r="5629" spans="33:33">
      <c r="AG5629" s="14"/>
    </row>
    <row r="5630" spans="33:33">
      <c r="AG5630" s="14"/>
    </row>
    <row r="5631" spans="33:33">
      <c r="AG5631" s="14"/>
    </row>
    <row r="5632" spans="33:33">
      <c r="AG5632" s="14"/>
    </row>
    <row r="5633" spans="33:33">
      <c r="AG5633" s="14"/>
    </row>
    <row r="5634" spans="33:33">
      <c r="AG5634" s="14"/>
    </row>
    <row r="5635" spans="33:33">
      <c r="AG5635" s="14"/>
    </row>
    <row r="5636" spans="33:33">
      <c r="AG5636" s="14"/>
    </row>
    <row r="5637" spans="33:33">
      <c r="AG5637" s="14"/>
    </row>
    <row r="5638" spans="33:33">
      <c r="AG5638" s="14"/>
    </row>
    <row r="5639" spans="33:33">
      <c r="AG5639" s="14"/>
    </row>
    <row r="5640" spans="33:33">
      <c r="AG5640" s="14"/>
    </row>
    <row r="5641" spans="33:33">
      <c r="AG5641" s="14"/>
    </row>
    <row r="5642" spans="33:33">
      <c r="AG5642" s="14"/>
    </row>
    <row r="5643" spans="33:33">
      <c r="AG5643" s="14"/>
    </row>
    <row r="5644" spans="33:33">
      <c r="AG5644" s="14"/>
    </row>
    <row r="5645" spans="33:33">
      <c r="AG5645" s="14"/>
    </row>
    <row r="5646" spans="33:33">
      <c r="AG5646" s="14"/>
    </row>
    <row r="5647" spans="33:33">
      <c r="AG5647" s="14"/>
    </row>
    <row r="5648" spans="33:33">
      <c r="AG5648" s="14"/>
    </row>
    <row r="5649" spans="33:33">
      <c r="AG5649" s="14"/>
    </row>
    <row r="5650" spans="33:33">
      <c r="AG5650" s="14"/>
    </row>
    <row r="5651" spans="33:33">
      <c r="AG5651" s="14"/>
    </row>
    <row r="5652" spans="33:33">
      <c r="AG5652" s="14"/>
    </row>
    <row r="5653" spans="33:33">
      <c r="AG5653" s="14"/>
    </row>
    <row r="5654" spans="33:33">
      <c r="AG5654" s="14"/>
    </row>
    <row r="5655" spans="33:33">
      <c r="AG5655" s="14"/>
    </row>
    <row r="5656" spans="33:33">
      <c r="AG5656" s="14"/>
    </row>
    <row r="5657" spans="33:33">
      <c r="AG5657" s="14"/>
    </row>
    <row r="5658" spans="33:33">
      <c r="AG5658" s="14"/>
    </row>
    <row r="5659" spans="33:33">
      <c r="AG5659" s="14"/>
    </row>
    <row r="5660" spans="33:33">
      <c r="AG5660" s="14"/>
    </row>
    <row r="5661" spans="33:33">
      <c r="AG5661" s="14"/>
    </row>
    <row r="5662" spans="33:33">
      <c r="AG5662" s="14"/>
    </row>
    <row r="5663" spans="33:33">
      <c r="AG5663" s="14"/>
    </row>
    <row r="5664" spans="33:33">
      <c r="AG5664" s="14"/>
    </row>
    <row r="5665" spans="33:33">
      <c r="AG5665" s="14"/>
    </row>
    <row r="5666" spans="33:33">
      <c r="AG5666" s="14"/>
    </row>
    <row r="5667" spans="33:33">
      <c r="AG5667" s="14"/>
    </row>
    <row r="5668" spans="33:33">
      <c r="AG5668" s="14"/>
    </row>
    <row r="5669" spans="33:33">
      <c r="AG5669" s="14"/>
    </row>
    <row r="5670" spans="33:33">
      <c r="AG5670" s="14"/>
    </row>
    <row r="5671" spans="33:33">
      <c r="AG5671" s="14"/>
    </row>
    <row r="5672" spans="33:33">
      <c r="AG5672" s="14"/>
    </row>
    <row r="5673" spans="33:33">
      <c r="AG5673" s="14"/>
    </row>
    <row r="5674" spans="33:33">
      <c r="AG5674" s="14"/>
    </row>
    <row r="5675" spans="33:33">
      <c r="AG5675" s="14"/>
    </row>
    <row r="5676" spans="33:33">
      <c r="AG5676" s="14"/>
    </row>
    <row r="5677" spans="33:33">
      <c r="AG5677" s="14"/>
    </row>
    <row r="5678" spans="33:33">
      <c r="AG5678" s="14"/>
    </row>
    <row r="5679" spans="33:33">
      <c r="AG5679" s="14"/>
    </row>
    <row r="5680" spans="33:33">
      <c r="AG5680" s="14"/>
    </row>
    <row r="5681" spans="33:33">
      <c r="AG5681" s="14"/>
    </row>
    <row r="5682" spans="33:33">
      <c r="AG5682" s="14"/>
    </row>
    <row r="5683" spans="33:33">
      <c r="AG5683" s="14"/>
    </row>
    <row r="5684" spans="33:33">
      <c r="AG5684" s="14"/>
    </row>
    <row r="5685" spans="33:33">
      <c r="AG5685" s="14"/>
    </row>
    <row r="5686" spans="33:33">
      <c r="AG5686" s="14"/>
    </row>
    <row r="5687" spans="33:33">
      <c r="AG5687" s="14"/>
    </row>
    <row r="5688" spans="33:33">
      <c r="AG5688" s="14"/>
    </row>
    <row r="5689" spans="33:33">
      <c r="AG5689" s="14"/>
    </row>
    <row r="5690" spans="33:33">
      <c r="AG5690" s="14"/>
    </row>
    <row r="5691" spans="33:33">
      <c r="AG5691" s="14"/>
    </row>
    <row r="5692" spans="33:33">
      <c r="AG5692" s="14"/>
    </row>
    <row r="5693" spans="33:33">
      <c r="AG5693" s="14"/>
    </row>
    <row r="5694" spans="33:33">
      <c r="AG5694" s="14"/>
    </row>
    <row r="5695" spans="33:33">
      <c r="AG5695" s="14"/>
    </row>
    <row r="5696" spans="33:33">
      <c r="AG5696" s="14"/>
    </row>
    <row r="5697" spans="33:33">
      <c r="AG5697" s="14"/>
    </row>
    <row r="5698" spans="33:33">
      <c r="AG5698" s="14"/>
    </row>
    <row r="5699" spans="33:33">
      <c r="AG5699" s="14"/>
    </row>
    <row r="5700" spans="33:33">
      <c r="AG5700" s="14"/>
    </row>
    <row r="5701" spans="33:33">
      <c r="AG5701" s="14"/>
    </row>
    <row r="5702" spans="33:33">
      <c r="AG5702" s="14"/>
    </row>
    <row r="5703" spans="33:33">
      <c r="AG5703" s="14"/>
    </row>
    <row r="5704" spans="33:33">
      <c r="AG5704" s="14"/>
    </row>
    <row r="5705" spans="33:33">
      <c r="AG5705" s="14"/>
    </row>
    <row r="5706" spans="33:33">
      <c r="AG5706" s="14"/>
    </row>
    <row r="5707" spans="33:33">
      <c r="AG5707" s="14"/>
    </row>
    <row r="5708" spans="33:33">
      <c r="AG5708" s="14"/>
    </row>
    <row r="5709" spans="33:33">
      <c r="AG5709" s="14"/>
    </row>
    <row r="5710" spans="33:33">
      <c r="AG5710" s="14"/>
    </row>
    <row r="5711" spans="33:33">
      <c r="AG5711" s="14"/>
    </row>
    <row r="5712" spans="33:33">
      <c r="AG5712" s="14"/>
    </row>
    <row r="5713" spans="33:33">
      <c r="AG5713" s="14"/>
    </row>
    <row r="5714" spans="33:33">
      <c r="AG5714" s="14"/>
    </row>
    <row r="5715" spans="33:33">
      <c r="AG5715" s="14"/>
    </row>
    <row r="5716" spans="33:33">
      <c r="AG5716" s="14"/>
    </row>
    <row r="5717" spans="33:33">
      <c r="AG5717" s="14"/>
    </row>
    <row r="5718" spans="33:33">
      <c r="AG5718" s="14"/>
    </row>
    <row r="5719" spans="33:33">
      <c r="AG5719" s="14"/>
    </row>
    <row r="5720" spans="33:33">
      <c r="AG5720" s="14"/>
    </row>
    <row r="5721" spans="33:33">
      <c r="AG5721" s="14"/>
    </row>
    <row r="5722" spans="33:33">
      <c r="AG5722" s="14"/>
    </row>
    <row r="5723" spans="33:33">
      <c r="AG5723" s="14"/>
    </row>
    <row r="5724" spans="33:33">
      <c r="AG5724" s="14"/>
    </row>
    <row r="5725" spans="33:33">
      <c r="AG5725" s="14"/>
    </row>
    <row r="5726" spans="33:33">
      <c r="AG5726" s="14"/>
    </row>
    <row r="5727" spans="33:33">
      <c r="AG5727" s="14"/>
    </row>
    <row r="5728" spans="33:33">
      <c r="AG5728" s="14"/>
    </row>
    <row r="5729" spans="33:33">
      <c r="AG5729" s="14"/>
    </row>
    <row r="5730" spans="33:33">
      <c r="AG5730" s="14"/>
    </row>
    <row r="5731" spans="33:33">
      <c r="AG5731" s="14"/>
    </row>
    <row r="5732" spans="33:33">
      <c r="AG5732" s="14"/>
    </row>
    <row r="5733" spans="33:33">
      <c r="AG5733" s="14"/>
    </row>
    <row r="5734" spans="33:33">
      <c r="AG5734" s="14"/>
    </row>
    <row r="5735" spans="33:33">
      <c r="AG5735" s="14"/>
    </row>
    <row r="5736" spans="33:33">
      <c r="AG5736" s="14"/>
    </row>
    <row r="5737" spans="33:33">
      <c r="AG5737" s="14"/>
    </row>
    <row r="5738" spans="33:33">
      <c r="AG5738" s="14"/>
    </row>
    <row r="5739" spans="33:33">
      <c r="AG5739" s="14"/>
    </row>
    <row r="5740" spans="33:33">
      <c r="AG5740" s="14"/>
    </row>
    <row r="5741" spans="33:33">
      <c r="AG5741" s="14"/>
    </row>
    <row r="5742" spans="33:33">
      <c r="AG5742" s="14"/>
    </row>
    <row r="5743" spans="33:33">
      <c r="AG5743" s="14"/>
    </row>
    <row r="5744" spans="33:33">
      <c r="AG5744" s="14"/>
    </row>
    <row r="5745" spans="33:33">
      <c r="AG5745" s="14"/>
    </row>
    <row r="5746" spans="33:33">
      <c r="AG5746" s="14"/>
    </row>
    <row r="5747" spans="33:33">
      <c r="AG5747" s="14"/>
    </row>
    <row r="5748" spans="33:33">
      <c r="AG5748" s="14"/>
    </row>
    <row r="5749" spans="33:33">
      <c r="AG5749" s="14"/>
    </row>
    <row r="5750" spans="33:33">
      <c r="AG5750" s="14"/>
    </row>
    <row r="5751" spans="33:33">
      <c r="AG5751" s="14"/>
    </row>
    <row r="5752" spans="33:33">
      <c r="AG5752" s="14"/>
    </row>
    <row r="5753" spans="33:33">
      <c r="AG5753" s="14"/>
    </row>
    <row r="5754" spans="33:33">
      <c r="AG5754" s="14"/>
    </row>
    <row r="5755" spans="33:33">
      <c r="AG5755" s="14"/>
    </row>
    <row r="5756" spans="33:33">
      <c r="AG5756" s="14"/>
    </row>
    <row r="5757" spans="33:33">
      <c r="AG5757" s="14"/>
    </row>
    <row r="5758" spans="33:33">
      <c r="AG5758" s="14"/>
    </row>
    <row r="5759" spans="33:33">
      <c r="AG5759" s="14"/>
    </row>
    <row r="5760" spans="33:33">
      <c r="AG5760" s="14"/>
    </row>
    <row r="5761" spans="33:33">
      <c r="AG5761" s="14"/>
    </row>
    <row r="5762" spans="33:33">
      <c r="AG5762" s="14"/>
    </row>
    <row r="5763" spans="33:33">
      <c r="AG5763" s="14"/>
    </row>
    <row r="5764" spans="33:33">
      <c r="AG5764" s="14"/>
    </row>
    <row r="5765" spans="33:33">
      <c r="AG5765" s="14"/>
    </row>
    <row r="5766" spans="33:33">
      <c r="AG5766" s="14"/>
    </row>
    <row r="5767" spans="33:33">
      <c r="AG5767" s="14"/>
    </row>
    <row r="5768" spans="33:33">
      <c r="AG5768" s="14"/>
    </row>
    <row r="5769" spans="33:33">
      <c r="AG5769" s="14"/>
    </row>
    <row r="5770" spans="33:33">
      <c r="AG5770" s="14"/>
    </row>
    <row r="5771" spans="33:33">
      <c r="AG5771" s="14"/>
    </row>
    <row r="5772" spans="33:33">
      <c r="AG5772" s="14"/>
    </row>
    <row r="5773" spans="33:33">
      <c r="AG5773" s="14"/>
    </row>
    <row r="5774" spans="33:33">
      <c r="AG5774" s="14"/>
    </row>
    <row r="5775" spans="33:33">
      <c r="AG5775" s="14"/>
    </row>
    <row r="5776" spans="33:33">
      <c r="AG5776" s="14"/>
    </row>
    <row r="5777" spans="33:33">
      <c r="AG5777" s="14"/>
    </row>
    <row r="5778" spans="33:33">
      <c r="AG5778" s="14"/>
    </row>
    <row r="5779" spans="33:33">
      <c r="AG5779" s="14"/>
    </row>
    <row r="5780" spans="33:33">
      <c r="AG5780" s="14"/>
    </row>
    <row r="5781" spans="33:33">
      <c r="AG5781" s="14"/>
    </row>
    <row r="5782" spans="33:33">
      <c r="AG5782" s="14"/>
    </row>
    <row r="5783" spans="33:33">
      <c r="AG5783" s="14"/>
    </row>
    <row r="5784" spans="33:33">
      <c r="AG5784" s="14"/>
    </row>
    <row r="5785" spans="33:33">
      <c r="AG5785" s="14"/>
    </row>
    <row r="5786" spans="33:33">
      <c r="AG5786" s="14"/>
    </row>
    <row r="5787" spans="33:33">
      <c r="AG5787" s="14"/>
    </row>
    <row r="5788" spans="33:33">
      <c r="AG5788" s="14"/>
    </row>
    <row r="5789" spans="33:33">
      <c r="AG5789" s="14"/>
    </row>
    <row r="5790" spans="33:33">
      <c r="AG5790" s="14"/>
    </row>
    <row r="5791" spans="33:33">
      <c r="AG5791" s="14"/>
    </row>
    <row r="5792" spans="33:33">
      <c r="AG5792" s="14"/>
    </row>
    <row r="5793" spans="33:33">
      <c r="AG5793" s="14"/>
    </row>
    <row r="5794" spans="33:33">
      <c r="AG5794" s="14"/>
    </row>
    <row r="5795" spans="33:33">
      <c r="AG5795" s="14"/>
    </row>
    <row r="5796" spans="33:33">
      <c r="AG5796" s="14"/>
    </row>
    <row r="5797" spans="33:33">
      <c r="AG5797" s="14"/>
    </row>
    <row r="5798" spans="33:33">
      <c r="AG5798" s="14"/>
    </row>
    <row r="5799" spans="33:33">
      <c r="AG5799" s="14"/>
    </row>
    <row r="5800" spans="33:33">
      <c r="AG5800" s="14"/>
    </row>
    <row r="5801" spans="33:33">
      <c r="AG5801" s="14"/>
    </row>
    <row r="5802" spans="33:33">
      <c r="AG5802" s="14"/>
    </row>
    <row r="5803" spans="33:33">
      <c r="AG5803" s="14"/>
    </row>
    <row r="5804" spans="33:33">
      <c r="AG5804" s="14"/>
    </row>
    <row r="5805" spans="33:33">
      <c r="AG5805" s="14"/>
    </row>
    <row r="5806" spans="33:33">
      <c r="AG5806" s="14"/>
    </row>
    <row r="5807" spans="33:33">
      <c r="AG5807" s="14"/>
    </row>
    <row r="5808" spans="33:33">
      <c r="AG5808" s="14"/>
    </row>
    <row r="5809" spans="33:33">
      <c r="AG5809" s="14"/>
    </row>
    <row r="5810" spans="33:33">
      <c r="AG5810" s="14"/>
    </row>
    <row r="5811" spans="33:33">
      <c r="AG5811" s="14"/>
    </row>
    <row r="5812" spans="33:33">
      <c r="AG5812" s="14"/>
    </row>
    <row r="5813" spans="33:33">
      <c r="AG5813" s="14"/>
    </row>
    <row r="5814" spans="33:33">
      <c r="AG5814" s="14"/>
    </row>
    <row r="5815" spans="33:33">
      <c r="AG5815" s="14"/>
    </row>
    <row r="5816" spans="33:33">
      <c r="AG5816" s="14"/>
    </row>
    <row r="5817" spans="33:33">
      <c r="AG5817" s="14"/>
    </row>
    <row r="5818" spans="33:33">
      <c r="AG5818" s="14"/>
    </row>
    <row r="5819" spans="33:33">
      <c r="AG5819" s="14"/>
    </row>
    <row r="5820" spans="33:33">
      <c r="AG5820" s="14"/>
    </row>
    <row r="5821" spans="33:33">
      <c r="AG5821" s="14"/>
    </row>
    <row r="5822" spans="33:33">
      <c r="AG5822" s="14"/>
    </row>
    <row r="5823" spans="33:33">
      <c r="AG5823" s="14"/>
    </row>
    <row r="5824" spans="33:33">
      <c r="AG5824" s="14"/>
    </row>
    <row r="5825" spans="33:33">
      <c r="AG5825" s="14"/>
    </row>
    <row r="5826" spans="33:33">
      <c r="AG5826" s="14"/>
    </row>
    <row r="5827" spans="33:33">
      <c r="AG5827" s="14"/>
    </row>
    <row r="5828" spans="33:33">
      <c r="AG5828" s="14"/>
    </row>
    <row r="5829" spans="33:33">
      <c r="AG5829" s="14"/>
    </row>
    <row r="5830" spans="33:33">
      <c r="AG5830" s="14"/>
    </row>
    <row r="5831" spans="33:33">
      <c r="AG5831" s="14"/>
    </row>
    <row r="5832" spans="33:33">
      <c r="AG5832" s="14"/>
    </row>
    <row r="5833" spans="33:33">
      <c r="AG5833" s="14"/>
    </row>
    <row r="5834" spans="33:33">
      <c r="AG5834" s="14"/>
    </row>
    <row r="5835" spans="33:33">
      <c r="AG5835" s="14"/>
    </row>
    <row r="5836" spans="33:33">
      <c r="AG5836" s="14"/>
    </row>
    <row r="5837" spans="33:33">
      <c r="AG5837" s="14"/>
    </row>
    <row r="5838" spans="33:33">
      <c r="AG5838" s="14"/>
    </row>
    <row r="5839" spans="33:33">
      <c r="AG5839" s="14"/>
    </row>
    <row r="5840" spans="33:33">
      <c r="AG5840" s="14"/>
    </row>
    <row r="5841" spans="33:33">
      <c r="AG5841" s="14"/>
    </row>
    <row r="5842" spans="33:33">
      <c r="AG5842" s="14"/>
    </row>
    <row r="5843" spans="33:33">
      <c r="AG5843" s="14"/>
    </row>
    <row r="5844" spans="33:33">
      <c r="AG5844" s="14"/>
    </row>
    <row r="5845" spans="33:33">
      <c r="AG5845" s="14"/>
    </row>
    <row r="5846" spans="33:33">
      <c r="AG5846" s="14"/>
    </row>
    <row r="5847" spans="33:33">
      <c r="AG5847" s="14"/>
    </row>
    <row r="5848" spans="33:33">
      <c r="AG5848" s="14"/>
    </row>
    <row r="5849" spans="33:33">
      <c r="AG5849" s="14"/>
    </row>
    <row r="5850" spans="33:33">
      <c r="AG5850" s="14"/>
    </row>
    <row r="5851" spans="33:33">
      <c r="AG5851" s="14"/>
    </row>
    <row r="5852" spans="33:33">
      <c r="AG5852" s="14"/>
    </row>
    <row r="5853" spans="33:33">
      <c r="AG5853" s="14"/>
    </row>
    <row r="5854" spans="33:33">
      <c r="AG5854" s="14"/>
    </row>
    <row r="5855" spans="33:33">
      <c r="AG5855" s="14"/>
    </row>
    <row r="5856" spans="33:33">
      <c r="AG5856" s="14"/>
    </row>
    <row r="5857" spans="33:33">
      <c r="AG5857" s="14"/>
    </row>
    <row r="5858" spans="33:33">
      <c r="AG5858" s="14"/>
    </row>
    <row r="5859" spans="33:33">
      <c r="AG5859" s="14"/>
    </row>
    <row r="5860" spans="33:33">
      <c r="AG5860" s="14"/>
    </row>
    <row r="5861" spans="33:33">
      <c r="AG5861" s="14"/>
    </row>
    <row r="5862" spans="33:33">
      <c r="AG5862" s="14"/>
    </row>
    <row r="5863" spans="33:33">
      <c r="AG5863" s="14"/>
    </row>
    <row r="5864" spans="33:33">
      <c r="AG5864" s="14"/>
    </row>
    <row r="5865" spans="33:33">
      <c r="AG5865" s="14"/>
    </row>
    <row r="5866" spans="33:33">
      <c r="AG5866" s="14"/>
    </row>
    <row r="5867" spans="33:33">
      <c r="AG5867" s="14"/>
    </row>
    <row r="5868" spans="33:33">
      <c r="AG5868" s="14"/>
    </row>
    <row r="5869" spans="33:33">
      <c r="AG5869" s="14"/>
    </row>
    <row r="5870" spans="33:33">
      <c r="AG5870" s="14"/>
    </row>
    <row r="5871" spans="33:33">
      <c r="AG5871" s="14"/>
    </row>
    <row r="5872" spans="33:33">
      <c r="AG5872" s="14"/>
    </row>
    <row r="5873" spans="33:33">
      <c r="AG5873" s="14"/>
    </row>
    <row r="5874" spans="33:33">
      <c r="AG5874" s="14"/>
    </row>
    <row r="5875" spans="33:33">
      <c r="AG5875" s="14"/>
    </row>
    <row r="5876" spans="33:33">
      <c r="AG5876" s="14"/>
    </row>
    <row r="5877" spans="33:33">
      <c r="AG5877" s="14"/>
    </row>
    <row r="5878" spans="33:33">
      <c r="AG5878" s="14"/>
    </row>
    <row r="5879" spans="33:33">
      <c r="AG5879" s="14"/>
    </row>
    <row r="5880" spans="33:33">
      <c r="AG5880" s="14"/>
    </row>
    <row r="5881" spans="33:33">
      <c r="AG5881" s="14"/>
    </row>
    <row r="5882" spans="33:33">
      <c r="AG5882" s="14"/>
    </row>
    <row r="5883" spans="33:33">
      <c r="AG5883" s="14"/>
    </row>
    <row r="5884" spans="33:33">
      <c r="AG5884" s="14"/>
    </row>
    <row r="5885" spans="33:33">
      <c r="AG5885" s="14"/>
    </row>
    <row r="5886" spans="33:33">
      <c r="AG5886" s="14"/>
    </row>
    <row r="5887" spans="33:33">
      <c r="AG5887" s="14"/>
    </row>
    <row r="5888" spans="33:33">
      <c r="AG5888" s="14"/>
    </row>
    <row r="5889" spans="33:33">
      <c r="AG5889" s="14"/>
    </row>
    <row r="5890" spans="33:33">
      <c r="AG5890" s="14"/>
    </row>
    <row r="5891" spans="33:33">
      <c r="AG5891" s="14"/>
    </row>
    <row r="5892" spans="33:33">
      <c r="AG5892" s="14"/>
    </row>
    <row r="5893" spans="33:33">
      <c r="AG5893" s="14"/>
    </row>
    <row r="5894" spans="33:33">
      <c r="AG5894" s="14"/>
    </row>
    <row r="5895" spans="33:33">
      <c r="AG5895" s="14"/>
    </row>
    <row r="5896" spans="33:33">
      <c r="AG5896" s="14"/>
    </row>
    <row r="5897" spans="33:33">
      <c r="AG5897" s="14"/>
    </row>
    <row r="5898" spans="33:33">
      <c r="AG5898" s="14"/>
    </row>
    <row r="5899" spans="33:33">
      <c r="AG5899" s="14"/>
    </row>
    <row r="5900" spans="33:33">
      <c r="AG5900" s="14"/>
    </row>
    <row r="5901" spans="33:33">
      <c r="AG5901" s="14"/>
    </row>
    <row r="5902" spans="33:33">
      <c r="AG5902" s="14"/>
    </row>
    <row r="5903" spans="33:33">
      <c r="AG5903" s="14"/>
    </row>
    <row r="5904" spans="33:33">
      <c r="AG5904" s="14"/>
    </row>
    <row r="5905" spans="33:33">
      <c r="AG5905" s="14"/>
    </row>
    <row r="5906" spans="33:33">
      <c r="AG5906" s="14"/>
    </row>
    <row r="5907" spans="33:33">
      <c r="AG5907" s="14"/>
    </row>
    <row r="5908" spans="33:33">
      <c r="AG5908" s="14"/>
    </row>
    <row r="5909" spans="33:33">
      <c r="AG5909" s="14"/>
    </row>
    <row r="5910" spans="33:33">
      <c r="AG5910" s="14"/>
    </row>
    <row r="5911" spans="33:33">
      <c r="AG5911" s="14"/>
    </row>
    <row r="5912" spans="33:33">
      <c r="AG5912" s="14"/>
    </row>
    <row r="5913" spans="33:33">
      <c r="AG5913" s="14"/>
    </row>
    <row r="5914" spans="33:33">
      <c r="AG5914" s="14"/>
    </row>
    <row r="5915" spans="33:33">
      <c r="AG5915" s="14"/>
    </row>
    <row r="5916" spans="33:33">
      <c r="AG5916" s="14"/>
    </row>
    <row r="5917" spans="33:33">
      <c r="AG5917" s="14"/>
    </row>
    <row r="5918" spans="33:33">
      <c r="AG5918" s="14"/>
    </row>
    <row r="5919" spans="33:33">
      <c r="AG5919" s="14"/>
    </row>
    <row r="5920" spans="33:33">
      <c r="AG5920" s="14"/>
    </row>
    <row r="5921" spans="33:33">
      <c r="AG5921" s="14"/>
    </row>
    <row r="5922" spans="33:33">
      <c r="AG5922" s="14"/>
    </row>
    <row r="5923" spans="33:33">
      <c r="AG5923" s="14"/>
    </row>
    <row r="5924" spans="33:33">
      <c r="AG5924" s="14"/>
    </row>
    <row r="5925" spans="33:33">
      <c r="AG5925" s="14"/>
    </row>
    <row r="5926" spans="33:33">
      <c r="AG5926" s="14"/>
    </row>
    <row r="5927" spans="33:33">
      <c r="AG5927" s="14"/>
    </row>
    <row r="5928" spans="33:33">
      <c r="AG5928" s="14"/>
    </row>
    <row r="5929" spans="33:33">
      <c r="AG5929" s="14"/>
    </row>
    <row r="5930" spans="33:33">
      <c r="AG5930" s="14"/>
    </row>
    <row r="5931" spans="33:33">
      <c r="AG5931" s="14"/>
    </row>
    <row r="5932" spans="33:33">
      <c r="AG5932" s="14"/>
    </row>
    <row r="5933" spans="33:33">
      <c r="AG5933" s="14"/>
    </row>
    <row r="5934" spans="33:33">
      <c r="AG5934" s="14"/>
    </row>
    <row r="5935" spans="33:33">
      <c r="AG5935" s="14"/>
    </row>
    <row r="5936" spans="33:33">
      <c r="AG5936" s="14"/>
    </row>
    <row r="5937" spans="33:33">
      <c r="AG5937" s="14"/>
    </row>
    <row r="5938" spans="33:33">
      <c r="AG5938" s="14"/>
    </row>
    <row r="5939" spans="33:33">
      <c r="AG5939" s="14"/>
    </row>
    <row r="5940" spans="33:33">
      <c r="AG5940" s="14"/>
    </row>
    <row r="5941" spans="33:33">
      <c r="AG5941" s="14"/>
    </row>
    <row r="5942" spans="33:33">
      <c r="AG5942" s="14"/>
    </row>
    <row r="5943" spans="33:33">
      <c r="AG5943" s="14"/>
    </row>
    <row r="5944" spans="33:33">
      <c r="AG5944" s="14"/>
    </row>
    <row r="5945" spans="33:33">
      <c r="AG5945" s="14"/>
    </row>
    <row r="5946" spans="33:33">
      <c r="AG5946" s="14"/>
    </row>
    <row r="5947" spans="33:33">
      <c r="AG5947" s="14"/>
    </row>
    <row r="5948" spans="33:33">
      <c r="AG5948" s="14"/>
    </row>
    <row r="5949" spans="33:33">
      <c r="AG5949" s="14"/>
    </row>
    <row r="5950" spans="33:33">
      <c r="AG5950" s="14"/>
    </row>
    <row r="5951" spans="33:33">
      <c r="AG5951" s="14"/>
    </row>
    <row r="5952" spans="33:33">
      <c r="AG5952" s="14"/>
    </row>
    <row r="5953" spans="33:33">
      <c r="AG5953" s="14"/>
    </row>
    <row r="5954" spans="33:33">
      <c r="AG5954" s="14"/>
    </row>
    <row r="5955" spans="33:33">
      <c r="AG5955" s="14"/>
    </row>
    <row r="5956" spans="33:33">
      <c r="AG5956" s="14"/>
    </row>
    <row r="5957" spans="33:33">
      <c r="AG5957" s="14"/>
    </row>
    <row r="5958" spans="33:33">
      <c r="AG5958" s="14"/>
    </row>
    <row r="5959" spans="33:33">
      <c r="AG5959" s="14"/>
    </row>
    <row r="5960" spans="33:33">
      <c r="AG5960" s="14"/>
    </row>
    <row r="5961" spans="33:33">
      <c r="AG5961" s="14"/>
    </row>
    <row r="5962" spans="33:33">
      <c r="AG5962" s="14"/>
    </row>
    <row r="5963" spans="33:33">
      <c r="AG5963" s="14"/>
    </row>
    <row r="5964" spans="33:33">
      <c r="AG5964" s="14"/>
    </row>
    <row r="5965" spans="33:33">
      <c r="AG5965" s="14"/>
    </row>
    <row r="5966" spans="33:33">
      <c r="AG5966" s="14"/>
    </row>
    <row r="5967" spans="33:33">
      <c r="AG5967" s="14"/>
    </row>
    <row r="5968" spans="33:33">
      <c r="AG5968" s="14"/>
    </row>
    <row r="5969" spans="33:33">
      <c r="AG5969" s="14"/>
    </row>
    <row r="5970" spans="33:33">
      <c r="AG5970" s="14"/>
    </row>
    <row r="5971" spans="33:33">
      <c r="AG5971" s="14"/>
    </row>
    <row r="5972" spans="33:33">
      <c r="AG5972" s="14"/>
    </row>
    <row r="5973" spans="33:33">
      <c r="AG5973" s="14"/>
    </row>
    <row r="5974" spans="33:33">
      <c r="AG5974" s="14"/>
    </row>
    <row r="5975" spans="33:33">
      <c r="AG5975" s="14"/>
    </row>
    <row r="5976" spans="33:33">
      <c r="AG5976" s="14"/>
    </row>
    <row r="5977" spans="33:33">
      <c r="AG5977" s="14"/>
    </row>
    <row r="5978" spans="33:33">
      <c r="AG5978" s="14"/>
    </row>
    <row r="5979" spans="33:33">
      <c r="AG5979" s="14"/>
    </row>
    <row r="5980" spans="33:33">
      <c r="AG5980" s="14"/>
    </row>
    <row r="5981" spans="33:33">
      <c r="AG5981" s="14"/>
    </row>
    <row r="5982" spans="33:33">
      <c r="AG5982" s="14"/>
    </row>
    <row r="5983" spans="33:33">
      <c r="AG5983" s="14"/>
    </row>
    <row r="5984" spans="33:33">
      <c r="AG5984" s="14"/>
    </row>
    <row r="5985" spans="33:33">
      <c r="AG5985" s="14"/>
    </row>
    <row r="5986" spans="33:33">
      <c r="AG5986" s="14"/>
    </row>
    <row r="5987" spans="33:33">
      <c r="AG5987" s="14"/>
    </row>
    <row r="5988" spans="33:33">
      <c r="AG5988" s="14"/>
    </row>
    <row r="5989" spans="33:33">
      <c r="AG5989" s="14"/>
    </row>
    <row r="5990" spans="33:33">
      <c r="AG5990" s="14"/>
    </row>
    <row r="5991" spans="33:33">
      <c r="AG5991" s="14"/>
    </row>
    <row r="5992" spans="33:33">
      <c r="AG5992" s="14"/>
    </row>
    <row r="5993" spans="33:33">
      <c r="AG5993" s="14"/>
    </row>
    <row r="5994" spans="33:33">
      <c r="AG5994" s="14"/>
    </row>
    <row r="5995" spans="33:33">
      <c r="AG5995" s="14"/>
    </row>
    <row r="5996" spans="33:33">
      <c r="AG5996" s="14"/>
    </row>
    <row r="5997" spans="33:33">
      <c r="AG5997" s="14"/>
    </row>
    <row r="5998" spans="33:33">
      <c r="AG5998" s="14"/>
    </row>
    <row r="5999" spans="33:33">
      <c r="AG5999" s="14"/>
    </row>
    <row r="6000" spans="33:33">
      <c r="AG6000" s="14"/>
    </row>
    <row r="6001" spans="33:33">
      <c r="AG6001" s="14"/>
    </row>
    <row r="6002" spans="33:33">
      <c r="AG6002" s="14"/>
    </row>
    <row r="6003" spans="33:33">
      <c r="AG6003" s="14"/>
    </row>
    <row r="6004" spans="33:33">
      <c r="AG6004" s="14"/>
    </row>
    <row r="6005" spans="33:33">
      <c r="AG6005" s="14"/>
    </row>
    <row r="6006" spans="33:33">
      <c r="AG6006" s="14"/>
    </row>
    <row r="6007" spans="33:33">
      <c r="AG6007" s="14"/>
    </row>
    <row r="6008" spans="33:33">
      <c r="AG6008" s="14"/>
    </row>
    <row r="6009" spans="33:33">
      <c r="AG6009" s="14"/>
    </row>
    <row r="6010" spans="33:33">
      <c r="AG6010" s="14"/>
    </row>
    <row r="6011" spans="33:33">
      <c r="AG6011" s="14"/>
    </row>
    <row r="6012" spans="33:33">
      <c r="AG6012" s="14"/>
    </row>
    <row r="6013" spans="33:33">
      <c r="AG6013" s="14"/>
    </row>
    <row r="6014" spans="33:33">
      <c r="AG6014" s="14"/>
    </row>
    <row r="6015" spans="33:33">
      <c r="AG6015" s="14"/>
    </row>
    <row r="6016" spans="33:33">
      <c r="AG6016" s="14"/>
    </row>
    <row r="6017" spans="33:33">
      <c r="AG6017" s="14"/>
    </row>
    <row r="6018" spans="33:33">
      <c r="AG6018" s="14"/>
    </row>
    <row r="6019" spans="33:33">
      <c r="AG6019" s="14"/>
    </row>
    <row r="6020" spans="33:33">
      <c r="AG6020" s="14"/>
    </row>
    <row r="6021" spans="33:33">
      <c r="AG6021" s="14"/>
    </row>
    <row r="6022" spans="33:33">
      <c r="AG6022" s="14"/>
    </row>
    <row r="6023" spans="33:33">
      <c r="AG6023" s="14"/>
    </row>
    <row r="6024" spans="33:33">
      <c r="AG6024" s="14"/>
    </row>
    <row r="6025" spans="33:33">
      <c r="AG6025" s="14"/>
    </row>
    <row r="6026" spans="33:33">
      <c r="AG6026" s="14"/>
    </row>
    <row r="6027" spans="33:33">
      <c r="AG6027" s="14"/>
    </row>
    <row r="6028" spans="33:33">
      <c r="AG6028" s="14"/>
    </row>
    <row r="6029" spans="33:33">
      <c r="AG6029" s="14"/>
    </row>
    <row r="6030" spans="33:33">
      <c r="AG6030" s="14"/>
    </row>
    <row r="6031" spans="33:33">
      <c r="AG6031" s="14"/>
    </row>
    <row r="6032" spans="33:33">
      <c r="AG6032" s="14"/>
    </row>
    <row r="6033" spans="33:33">
      <c r="AG6033" s="14"/>
    </row>
    <row r="6034" spans="33:33">
      <c r="AG6034" s="14"/>
    </row>
    <row r="6035" spans="33:33">
      <c r="AG6035" s="14"/>
    </row>
    <row r="6036" spans="33:33">
      <c r="AG6036" s="14"/>
    </row>
    <row r="6037" spans="33:33">
      <c r="AG6037" s="14"/>
    </row>
    <row r="6038" spans="33:33">
      <c r="AG6038" s="14"/>
    </row>
    <row r="6039" spans="33:33">
      <c r="AG6039" s="14"/>
    </row>
    <row r="6040" spans="33:33">
      <c r="AG6040" s="14"/>
    </row>
    <row r="6041" spans="33:33">
      <c r="AG6041" s="14"/>
    </row>
    <row r="6042" spans="33:33">
      <c r="AG6042" s="14"/>
    </row>
    <row r="6043" spans="33:33">
      <c r="AG6043" s="14"/>
    </row>
    <row r="6044" spans="33:33">
      <c r="AG6044" s="14"/>
    </row>
    <row r="6045" spans="33:33">
      <c r="AG6045" s="14"/>
    </row>
    <row r="6046" spans="33:33">
      <c r="AG6046" s="14"/>
    </row>
    <row r="6047" spans="33:33">
      <c r="AG6047" s="14"/>
    </row>
    <row r="6048" spans="33:33">
      <c r="AG6048" s="14"/>
    </row>
    <row r="6049" spans="33:33">
      <c r="AG6049" s="14"/>
    </row>
    <row r="6050" spans="33:33">
      <c r="AG6050" s="14"/>
    </row>
    <row r="6051" spans="33:33">
      <c r="AG6051" s="14"/>
    </row>
    <row r="6052" spans="33:33">
      <c r="AG6052" s="14"/>
    </row>
    <row r="6053" spans="33:33">
      <c r="AG6053" s="14"/>
    </row>
    <row r="6054" spans="33:33">
      <c r="AG6054" s="14"/>
    </row>
    <row r="6055" spans="33:33">
      <c r="AG6055" s="14"/>
    </row>
    <row r="6056" spans="33:33">
      <c r="AG6056" s="14"/>
    </row>
    <row r="6057" spans="33:33">
      <c r="AG6057" s="14"/>
    </row>
    <row r="6058" spans="33:33">
      <c r="AG6058" s="14"/>
    </row>
    <row r="6059" spans="33:33">
      <c r="AG6059" s="14"/>
    </row>
    <row r="6060" spans="33:33">
      <c r="AG6060" s="14"/>
    </row>
    <row r="6061" spans="33:33">
      <c r="AG6061" s="14"/>
    </row>
    <row r="6062" spans="33:33">
      <c r="AG6062" s="14"/>
    </row>
    <row r="6063" spans="33:33">
      <c r="AG6063" s="14"/>
    </row>
    <row r="6064" spans="33:33">
      <c r="AG6064" s="14"/>
    </row>
    <row r="6065" spans="33:33">
      <c r="AG6065" s="14"/>
    </row>
    <row r="6066" spans="33:33">
      <c r="AG6066" s="14"/>
    </row>
    <row r="6067" spans="33:33">
      <c r="AG6067" s="14"/>
    </row>
    <row r="6068" spans="33:33">
      <c r="AG6068" s="14"/>
    </row>
    <row r="6069" spans="33:33">
      <c r="AG6069" s="14"/>
    </row>
    <row r="6070" spans="33:33">
      <c r="AG6070" s="14"/>
    </row>
    <row r="6071" spans="33:33">
      <c r="AG6071" s="14"/>
    </row>
    <row r="6072" spans="33:33">
      <c r="AG6072" s="14"/>
    </row>
    <row r="6073" spans="33:33">
      <c r="AG6073" s="14"/>
    </row>
    <row r="6074" spans="33:33">
      <c r="AG6074" s="14"/>
    </row>
    <row r="6075" spans="33:33">
      <c r="AG6075" s="14"/>
    </row>
    <row r="6076" spans="33:33">
      <c r="AG6076" s="14"/>
    </row>
    <row r="6077" spans="33:33">
      <c r="AG6077" s="14"/>
    </row>
    <row r="6078" spans="33:33">
      <c r="AG6078" s="14"/>
    </row>
    <row r="6079" spans="33:33">
      <c r="AG6079" s="14"/>
    </row>
    <row r="6080" spans="33:33">
      <c r="AG6080" s="14"/>
    </row>
    <row r="6081" spans="33:33">
      <c r="AG6081" s="14"/>
    </row>
    <row r="6082" spans="33:33">
      <c r="AG6082" s="14"/>
    </row>
    <row r="6083" spans="33:33">
      <c r="AG6083" s="14"/>
    </row>
    <row r="6084" spans="33:33">
      <c r="AG6084" s="14"/>
    </row>
    <row r="6085" spans="33:33">
      <c r="AG6085" s="14"/>
    </row>
    <row r="6086" spans="33:33">
      <c r="AG6086" s="14"/>
    </row>
    <row r="6087" spans="33:33">
      <c r="AG6087" s="14"/>
    </row>
    <row r="6088" spans="33:33">
      <c r="AG6088" s="14"/>
    </row>
    <row r="6089" spans="33:33">
      <c r="AG6089" s="14"/>
    </row>
    <row r="6090" spans="33:33">
      <c r="AG6090" s="14"/>
    </row>
    <row r="6091" spans="33:33">
      <c r="AG6091" s="14"/>
    </row>
    <row r="6092" spans="33:33">
      <c r="AG6092" s="14"/>
    </row>
    <row r="6093" spans="33:33">
      <c r="AG6093" s="14"/>
    </row>
    <row r="6094" spans="33:33">
      <c r="AG6094" s="14"/>
    </row>
    <row r="6095" spans="33:33">
      <c r="AG6095" s="14"/>
    </row>
    <row r="6096" spans="33:33">
      <c r="AG6096" s="14"/>
    </row>
    <row r="6097" spans="33:33">
      <c r="AG6097" s="14"/>
    </row>
    <row r="6098" spans="33:33">
      <c r="AG6098" s="14"/>
    </row>
    <row r="6099" spans="33:33">
      <c r="AG6099" s="14"/>
    </row>
    <row r="6100" spans="33:33">
      <c r="AG6100" s="14"/>
    </row>
    <row r="6101" spans="33:33">
      <c r="AG6101" s="14"/>
    </row>
    <row r="6102" spans="33:33">
      <c r="AG6102" s="14"/>
    </row>
    <row r="6103" spans="33:33">
      <c r="AG6103" s="14"/>
    </row>
    <row r="6104" spans="33:33">
      <c r="AG6104" s="14"/>
    </row>
    <row r="6105" spans="33:33">
      <c r="AG6105" s="14"/>
    </row>
    <row r="6106" spans="33:33">
      <c r="AG6106" s="14"/>
    </row>
    <row r="6107" spans="33:33">
      <c r="AG6107" s="14"/>
    </row>
    <row r="6108" spans="33:33">
      <c r="AG6108" s="14"/>
    </row>
    <row r="6109" spans="33:33">
      <c r="AG6109" s="14"/>
    </row>
    <row r="6110" spans="33:33">
      <c r="AG6110" s="14"/>
    </row>
    <row r="6111" spans="33:33">
      <c r="AG6111" s="14"/>
    </row>
    <row r="6112" spans="33:33">
      <c r="AG6112" s="14"/>
    </row>
    <row r="6113" spans="33:33">
      <c r="AG6113" s="14"/>
    </row>
    <row r="6114" spans="33:33">
      <c r="AG6114" s="14"/>
    </row>
    <row r="6115" spans="33:33">
      <c r="AG6115" s="14"/>
    </row>
    <row r="6116" spans="33:33">
      <c r="AG6116" s="14"/>
    </row>
    <row r="6117" spans="33:33">
      <c r="AG6117" s="14"/>
    </row>
    <row r="6118" spans="33:33">
      <c r="AG6118" s="14"/>
    </row>
    <row r="6119" spans="33:33">
      <c r="AG6119" s="14"/>
    </row>
    <row r="6120" spans="33:33">
      <c r="AG6120" s="14"/>
    </row>
    <row r="6121" spans="33:33">
      <c r="AG6121" s="14"/>
    </row>
    <row r="6122" spans="33:33">
      <c r="AG6122" s="14"/>
    </row>
    <row r="6123" spans="33:33">
      <c r="AG6123" s="14"/>
    </row>
    <row r="6124" spans="33:33">
      <c r="AG6124" s="14"/>
    </row>
    <row r="6125" spans="33:33">
      <c r="AG6125" s="14"/>
    </row>
    <row r="6126" spans="33:33">
      <c r="AG6126" s="14"/>
    </row>
    <row r="6127" spans="33:33">
      <c r="AG6127" s="14"/>
    </row>
    <row r="6128" spans="33:33">
      <c r="AG6128" s="14"/>
    </row>
    <row r="6129" spans="33:33">
      <c r="AG6129" s="14"/>
    </row>
    <row r="6130" spans="33:33">
      <c r="AG6130" s="14"/>
    </row>
    <row r="6131" spans="33:33">
      <c r="AG6131" s="14"/>
    </row>
    <row r="6132" spans="33:33">
      <c r="AG6132" s="14"/>
    </row>
    <row r="6133" spans="33:33">
      <c r="AG6133" s="14"/>
    </row>
    <row r="6134" spans="33:33">
      <c r="AG6134" s="14"/>
    </row>
    <row r="6135" spans="33:33">
      <c r="AG6135" s="14"/>
    </row>
    <row r="6136" spans="33:33">
      <c r="AG6136" s="14"/>
    </row>
    <row r="6137" spans="33:33">
      <c r="AG6137" s="14"/>
    </row>
    <row r="6138" spans="33:33">
      <c r="AG6138" s="14"/>
    </row>
    <row r="6139" spans="33:33">
      <c r="AG6139" s="14"/>
    </row>
    <row r="6140" spans="33:33">
      <c r="AG6140" s="14"/>
    </row>
    <row r="6141" spans="33:33">
      <c r="AG6141" s="14"/>
    </row>
    <row r="6142" spans="33:33">
      <c r="AG6142" s="14"/>
    </row>
    <row r="6143" spans="33:33">
      <c r="AG6143" s="14"/>
    </row>
    <row r="6144" spans="33:33">
      <c r="AG6144" s="14"/>
    </row>
    <row r="6145" spans="33:33">
      <c r="AG6145" s="14"/>
    </row>
    <row r="6146" spans="33:33">
      <c r="AG6146" s="14"/>
    </row>
    <row r="6147" spans="33:33">
      <c r="AG6147" s="14"/>
    </row>
    <row r="6148" spans="33:33">
      <c r="AG6148" s="14"/>
    </row>
    <row r="6149" spans="33:33">
      <c r="AG6149" s="14"/>
    </row>
    <row r="6150" spans="33:33">
      <c r="AG6150" s="14"/>
    </row>
    <row r="6151" spans="33:33">
      <c r="AG6151" s="14"/>
    </row>
    <row r="6152" spans="33:33">
      <c r="AG6152" s="14"/>
    </row>
    <row r="6153" spans="33:33">
      <c r="AG6153" s="14"/>
    </row>
    <row r="6154" spans="33:33">
      <c r="AG6154" s="14"/>
    </row>
    <row r="6155" spans="33:33">
      <c r="AG6155" s="14"/>
    </row>
    <row r="6156" spans="33:33">
      <c r="AG6156" s="14"/>
    </row>
    <row r="6157" spans="33:33">
      <c r="AG6157" s="14"/>
    </row>
    <row r="6158" spans="33:33">
      <c r="AG6158" s="14"/>
    </row>
    <row r="6159" spans="33:33">
      <c r="AG6159" s="14"/>
    </row>
    <row r="6160" spans="33:33">
      <c r="AG6160" s="14"/>
    </row>
    <row r="6161" spans="33:33">
      <c r="AG6161" s="14"/>
    </row>
    <row r="6162" spans="33:33">
      <c r="AG6162" s="14"/>
    </row>
    <row r="6163" spans="33:33">
      <c r="AG6163" s="14"/>
    </row>
    <row r="6164" spans="33:33">
      <c r="AG6164" s="14"/>
    </row>
    <row r="6165" spans="33:33">
      <c r="AG6165" s="14"/>
    </row>
    <row r="6166" spans="33:33">
      <c r="AG6166" s="14"/>
    </row>
    <row r="6167" spans="33:33">
      <c r="AG6167" s="14"/>
    </row>
    <row r="6168" spans="33:33">
      <c r="AG6168" s="14"/>
    </row>
    <row r="6169" spans="33:33">
      <c r="AG6169" s="14"/>
    </row>
    <row r="6170" spans="33:33">
      <c r="AG6170" s="14"/>
    </row>
    <row r="6171" spans="33:33">
      <c r="AG6171" s="14"/>
    </row>
    <row r="6172" spans="33:33">
      <c r="AG6172" s="14"/>
    </row>
    <row r="6173" spans="33:33">
      <c r="AG6173" s="14"/>
    </row>
    <row r="6174" spans="33:33">
      <c r="AG6174" s="14"/>
    </row>
    <row r="6175" spans="33:33">
      <c r="AG6175" s="14"/>
    </row>
    <row r="6176" spans="33:33">
      <c r="AG6176" s="14"/>
    </row>
    <row r="6177" spans="33:33">
      <c r="AG6177" s="14"/>
    </row>
    <row r="6178" spans="33:33">
      <c r="AG6178" s="14"/>
    </row>
    <row r="6179" spans="33:33">
      <c r="AG6179" s="14"/>
    </row>
    <row r="6180" spans="33:33">
      <c r="AG6180" s="14"/>
    </row>
    <row r="6181" spans="33:33">
      <c r="AG6181" s="14"/>
    </row>
    <row r="6182" spans="33:33">
      <c r="AG6182" s="14"/>
    </row>
    <row r="6183" spans="33:33">
      <c r="AG6183" s="14"/>
    </row>
    <row r="6184" spans="33:33">
      <c r="AG6184" s="14"/>
    </row>
    <row r="6185" spans="33:33">
      <c r="AG6185" s="14"/>
    </row>
    <row r="6186" spans="33:33">
      <c r="AG6186" s="14"/>
    </row>
    <row r="6187" spans="33:33">
      <c r="AG6187" s="14"/>
    </row>
    <row r="6188" spans="33:33">
      <c r="AG6188" s="14"/>
    </row>
    <row r="6189" spans="33:33">
      <c r="AG6189" s="14"/>
    </row>
    <row r="6190" spans="33:33">
      <c r="AG6190" s="14"/>
    </row>
    <row r="6191" spans="33:33">
      <c r="AG6191" s="14"/>
    </row>
    <row r="6192" spans="33:33">
      <c r="AG6192" s="14"/>
    </row>
    <row r="6193" spans="33:33">
      <c r="AG6193" s="14"/>
    </row>
    <row r="6194" spans="33:33">
      <c r="AG6194" s="14"/>
    </row>
    <row r="6195" spans="33:33">
      <c r="AG6195" s="14"/>
    </row>
    <row r="6196" spans="33:33">
      <c r="AG6196" s="14"/>
    </row>
    <row r="6197" spans="33:33">
      <c r="AG6197" s="14"/>
    </row>
    <row r="6198" spans="33:33">
      <c r="AG6198" s="14"/>
    </row>
    <row r="6199" spans="33:33">
      <c r="AG6199" s="14"/>
    </row>
    <row r="6200" spans="33:33">
      <c r="AG6200" s="14"/>
    </row>
    <row r="6201" spans="33:33">
      <c r="AG6201" s="14"/>
    </row>
    <row r="6202" spans="33:33">
      <c r="AG6202" s="14"/>
    </row>
    <row r="6203" spans="33:33">
      <c r="AG6203" s="14"/>
    </row>
    <row r="6204" spans="33:33">
      <c r="AG6204" s="14"/>
    </row>
    <row r="6205" spans="33:33">
      <c r="AG6205" s="14"/>
    </row>
    <row r="6206" spans="33:33">
      <c r="AG6206" s="14"/>
    </row>
    <row r="6207" spans="33:33">
      <c r="AG6207" s="14"/>
    </row>
    <row r="6208" spans="33:33">
      <c r="AG6208" s="14"/>
    </row>
    <row r="6209" spans="33:33">
      <c r="AG6209" s="14"/>
    </row>
    <row r="6210" spans="33:33">
      <c r="AG6210" s="14"/>
    </row>
    <row r="6211" spans="33:33">
      <c r="AG6211" s="14"/>
    </row>
    <row r="6212" spans="33:33">
      <c r="AG6212" s="14"/>
    </row>
    <row r="6213" spans="33:33">
      <c r="AG6213" s="14"/>
    </row>
    <row r="6214" spans="33:33">
      <c r="AG6214" s="14"/>
    </row>
    <row r="6215" spans="33:33">
      <c r="AG6215" s="14"/>
    </row>
    <row r="6216" spans="33:33">
      <c r="AG6216" s="14"/>
    </row>
    <row r="6217" spans="33:33">
      <c r="AG6217" s="14"/>
    </row>
    <row r="6218" spans="33:33">
      <c r="AG6218" s="14"/>
    </row>
    <row r="6219" spans="33:33">
      <c r="AG6219" s="14"/>
    </row>
    <row r="6220" spans="33:33">
      <c r="AG6220" s="14"/>
    </row>
    <row r="6221" spans="33:33">
      <c r="AG6221" s="14"/>
    </row>
    <row r="6222" spans="33:33">
      <c r="AG6222" s="14"/>
    </row>
    <row r="6223" spans="33:33">
      <c r="AG6223" s="14"/>
    </row>
    <row r="6224" spans="33:33">
      <c r="AG6224" s="14"/>
    </row>
    <row r="6225" spans="33:33">
      <c r="AG6225" s="14"/>
    </row>
    <row r="6226" spans="33:33">
      <c r="AG6226" s="14"/>
    </row>
    <row r="6227" spans="33:33">
      <c r="AG6227" s="14"/>
    </row>
    <row r="6228" spans="33:33">
      <c r="AG6228" s="14"/>
    </row>
    <row r="6229" spans="33:33">
      <c r="AG6229" s="14"/>
    </row>
    <row r="6230" spans="33:33">
      <c r="AG6230" s="14"/>
    </row>
    <row r="6231" spans="33:33">
      <c r="AG6231" s="14"/>
    </row>
    <row r="6232" spans="33:33">
      <c r="AG6232" s="14"/>
    </row>
    <row r="6233" spans="33:33">
      <c r="AG6233" s="14"/>
    </row>
    <row r="6234" spans="33:33">
      <c r="AG6234" s="14"/>
    </row>
    <row r="6235" spans="33:33">
      <c r="AG6235" s="14"/>
    </row>
    <row r="6236" spans="33:33">
      <c r="AG6236" s="14"/>
    </row>
    <row r="6237" spans="33:33">
      <c r="AG6237" s="14"/>
    </row>
    <row r="6238" spans="33:33">
      <c r="AG6238" s="14"/>
    </row>
    <row r="6239" spans="33:33">
      <c r="AG6239" s="14"/>
    </row>
    <row r="6240" spans="33:33">
      <c r="AG6240" s="14"/>
    </row>
    <row r="6241" spans="33:33">
      <c r="AG6241" s="14"/>
    </row>
    <row r="6242" spans="33:33">
      <c r="AG6242" s="14"/>
    </row>
    <row r="6243" spans="33:33">
      <c r="AG6243" s="14"/>
    </row>
    <row r="6244" spans="33:33">
      <c r="AG6244" s="14"/>
    </row>
    <row r="6245" spans="33:33">
      <c r="AG6245" s="14"/>
    </row>
    <row r="6246" spans="33:33">
      <c r="AG6246" s="14"/>
    </row>
    <row r="6247" spans="33:33">
      <c r="AG6247" s="14"/>
    </row>
    <row r="6248" spans="33:33">
      <c r="AG6248" s="14"/>
    </row>
    <row r="6249" spans="33:33">
      <c r="AG6249" s="14"/>
    </row>
    <row r="6250" spans="33:33">
      <c r="AG6250" s="14"/>
    </row>
    <row r="6251" spans="33:33">
      <c r="AG6251" s="14"/>
    </row>
    <row r="6252" spans="33:33">
      <c r="AG6252" s="14"/>
    </row>
    <row r="6253" spans="33:33">
      <c r="AG6253" s="14"/>
    </row>
    <row r="6254" spans="33:33">
      <c r="AG6254" s="14"/>
    </row>
    <row r="6255" spans="33:33">
      <c r="AG6255" s="14"/>
    </row>
    <row r="6256" spans="33:33">
      <c r="AG6256" s="14"/>
    </row>
    <row r="6257" spans="33:33">
      <c r="AG6257" s="14"/>
    </row>
    <row r="6258" spans="33:33">
      <c r="AG6258" s="14"/>
    </row>
    <row r="6259" spans="33:33">
      <c r="AG6259" s="14"/>
    </row>
    <row r="6260" spans="33:33">
      <c r="AG6260" s="14"/>
    </row>
    <row r="6261" spans="33:33">
      <c r="AG6261" s="14"/>
    </row>
    <row r="6262" spans="33:33">
      <c r="AG6262" s="14"/>
    </row>
    <row r="6263" spans="33:33">
      <c r="AG6263" s="14"/>
    </row>
    <row r="6264" spans="33:33">
      <c r="AG6264" s="14"/>
    </row>
    <row r="6265" spans="33:33">
      <c r="AG6265" s="14"/>
    </row>
    <row r="6266" spans="33:33">
      <c r="AG6266" s="14"/>
    </row>
    <row r="6267" spans="33:33">
      <c r="AG6267" s="14"/>
    </row>
    <row r="6268" spans="33:33">
      <c r="AG6268" s="14"/>
    </row>
    <row r="6269" spans="33:33">
      <c r="AG6269" s="14"/>
    </row>
    <row r="6270" spans="33:33">
      <c r="AG6270" s="14"/>
    </row>
    <row r="6271" spans="33:33">
      <c r="AG6271" s="14"/>
    </row>
    <row r="6272" spans="33:33">
      <c r="AG6272" s="14"/>
    </row>
    <row r="6273" spans="33:33">
      <c r="AG6273" s="14"/>
    </row>
    <row r="6274" spans="33:33">
      <c r="AG6274" s="14"/>
    </row>
    <row r="6275" spans="33:33">
      <c r="AG6275" s="14"/>
    </row>
    <row r="6276" spans="33:33">
      <c r="AG6276" s="14"/>
    </row>
    <row r="6277" spans="33:33">
      <c r="AG6277" s="14"/>
    </row>
    <row r="6278" spans="33:33">
      <c r="AG6278" s="14"/>
    </row>
    <row r="6279" spans="33:33">
      <c r="AG6279" s="14"/>
    </row>
    <row r="6280" spans="33:33">
      <c r="AG6280" s="14"/>
    </row>
    <row r="6281" spans="33:33">
      <c r="AG6281" s="14"/>
    </row>
    <row r="6282" spans="33:33">
      <c r="AG6282" s="14"/>
    </row>
    <row r="6283" spans="33:33">
      <c r="AG6283" s="14"/>
    </row>
    <row r="6284" spans="33:33">
      <c r="AG6284" s="14"/>
    </row>
    <row r="6285" spans="33:33">
      <c r="AG6285" s="14"/>
    </row>
    <row r="6286" spans="33:33">
      <c r="AG6286" s="14"/>
    </row>
    <row r="6287" spans="33:33">
      <c r="AG6287" s="14"/>
    </row>
    <row r="6288" spans="33:33">
      <c r="AG6288" s="14"/>
    </row>
    <row r="6289" spans="33:33">
      <c r="AG6289" s="14"/>
    </row>
    <row r="6290" spans="33:33">
      <c r="AG6290" s="14"/>
    </row>
    <row r="6291" spans="33:33">
      <c r="AG6291" s="14"/>
    </row>
    <row r="6292" spans="33:33">
      <c r="AG6292" s="14"/>
    </row>
    <row r="6293" spans="33:33">
      <c r="AG6293" s="14"/>
    </row>
    <row r="6294" spans="33:33">
      <c r="AG6294" s="14"/>
    </row>
    <row r="6295" spans="33:33">
      <c r="AG6295" s="14"/>
    </row>
    <row r="6296" spans="33:33">
      <c r="AG6296" s="14"/>
    </row>
    <row r="6297" spans="33:33">
      <c r="AG6297" s="14"/>
    </row>
    <row r="6298" spans="33:33">
      <c r="AG6298" s="14"/>
    </row>
    <row r="6299" spans="33:33">
      <c r="AG6299" s="14"/>
    </row>
    <row r="6300" spans="33:33">
      <c r="AG6300" s="14"/>
    </row>
    <row r="6301" spans="33:33">
      <c r="AG6301" s="14"/>
    </row>
    <row r="6302" spans="33:33">
      <c r="AG6302" s="14"/>
    </row>
    <row r="6303" spans="33:33">
      <c r="AG6303" s="14"/>
    </row>
    <row r="6304" spans="33:33">
      <c r="AG6304" s="14"/>
    </row>
    <row r="6305" spans="33:33">
      <c r="AG6305" s="14"/>
    </row>
    <row r="6306" spans="33:33">
      <c r="AG6306" s="14"/>
    </row>
    <row r="6307" spans="33:33">
      <c r="AG6307" s="14"/>
    </row>
    <row r="6308" spans="33:33">
      <c r="AG6308" s="14"/>
    </row>
    <row r="6309" spans="33:33">
      <c r="AG6309" s="14"/>
    </row>
    <row r="6310" spans="33:33">
      <c r="AG6310" s="14"/>
    </row>
    <row r="6311" spans="33:33">
      <c r="AG6311" s="14"/>
    </row>
    <row r="6312" spans="33:33">
      <c r="AG6312" s="14"/>
    </row>
    <row r="6313" spans="33:33">
      <c r="AG6313" s="14"/>
    </row>
    <row r="6314" spans="33:33">
      <c r="AG6314" s="14"/>
    </row>
    <row r="6315" spans="33:33">
      <c r="AG6315" s="14"/>
    </row>
    <row r="6316" spans="33:33">
      <c r="AG6316" s="14"/>
    </row>
    <row r="6317" spans="33:33">
      <c r="AG6317" s="14"/>
    </row>
    <row r="6318" spans="33:33">
      <c r="AG6318" s="14"/>
    </row>
    <row r="6319" spans="33:33">
      <c r="AG6319" s="14"/>
    </row>
    <row r="6320" spans="33:33">
      <c r="AG6320" s="14"/>
    </row>
    <row r="6321" spans="33:33">
      <c r="AG6321" s="14"/>
    </row>
    <row r="6322" spans="33:33">
      <c r="AG6322" s="14"/>
    </row>
    <row r="6323" spans="33:33">
      <c r="AG6323" s="14"/>
    </row>
    <row r="6324" spans="33:33">
      <c r="AG6324" s="14"/>
    </row>
    <row r="6325" spans="33:33">
      <c r="AG6325" s="14"/>
    </row>
    <row r="6326" spans="33:33">
      <c r="AG6326" s="14"/>
    </row>
    <row r="6327" spans="33:33">
      <c r="AG6327" s="14"/>
    </row>
    <row r="6328" spans="33:33">
      <c r="AG6328" s="14"/>
    </row>
    <row r="6329" spans="33:33">
      <c r="AG6329" s="14"/>
    </row>
    <row r="6330" spans="33:33">
      <c r="AG6330" s="14"/>
    </row>
    <row r="6331" spans="33:33">
      <c r="AG6331" s="14"/>
    </row>
    <row r="6332" spans="33:33">
      <c r="AG6332" s="14"/>
    </row>
    <row r="6333" spans="33:33">
      <c r="AG6333" s="14"/>
    </row>
    <row r="6334" spans="33:33">
      <c r="AG6334" s="14"/>
    </row>
    <row r="6335" spans="33:33">
      <c r="AG6335" s="14"/>
    </row>
    <row r="6336" spans="33:33">
      <c r="AG6336" s="14"/>
    </row>
    <row r="6337" spans="33:33">
      <c r="AG6337" s="14"/>
    </row>
    <row r="6338" spans="33:33">
      <c r="AG6338" s="14"/>
    </row>
    <row r="6339" spans="33:33">
      <c r="AG6339" s="14"/>
    </row>
    <row r="6340" spans="33:33">
      <c r="AG6340" s="14"/>
    </row>
    <row r="6341" spans="33:33">
      <c r="AG6341" s="14"/>
    </row>
    <row r="6342" spans="33:33">
      <c r="AG6342" s="14"/>
    </row>
    <row r="6343" spans="33:33">
      <c r="AG6343" s="14"/>
    </row>
    <row r="6344" spans="33:33">
      <c r="AG6344" s="14"/>
    </row>
    <row r="6345" spans="33:33">
      <c r="AG6345" s="14"/>
    </row>
    <row r="6346" spans="33:33">
      <c r="AG6346" s="14"/>
    </row>
    <row r="6347" spans="33:33">
      <c r="AG6347" s="14"/>
    </row>
    <row r="6348" spans="33:33">
      <c r="AG6348" s="14"/>
    </row>
    <row r="6349" spans="33:33">
      <c r="AG6349" s="14"/>
    </row>
    <row r="6350" spans="33:33">
      <c r="AG6350" s="14"/>
    </row>
    <row r="6351" spans="33:33">
      <c r="AG6351" s="14"/>
    </row>
    <row r="6352" spans="33:33">
      <c r="AG6352" s="14"/>
    </row>
    <row r="6353" spans="33:33">
      <c r="AG6353" s="14"/>
    </row>
    <row r="6354" spans="33:33">
      <c r="AG6354" s="14"/>
    </row>
    <row r="6355" spans="33:33">
      <c r="AG6355" s="14"/>
    </row>
    <row r="6356" spans="33:33">
      <c r="AG6356" s="14"/>
    </row>
    <row r="6357" spans="33:33">
      <c r="AG6357" s="14"/>
    </row>
    <row r="6358" spans="33:33">
      <c r="AG6358" s="14"/>
    </row>
    <row r="6359" spans="33:33">
      <c r="AG6359" s="14"/>
    </row>
    <row r="6360" spans="33:33">
      <c r="AG6360" s="14"/>
    </row>
    <row r="6361" spans="33:33">
      <c r="AG6361" s="14"/>
    </row>
    <row r="6362" spans="33:33">
      <c r="AG6362" s="14"/>
    </row>
    <row r="6363" spans="33:33">
      <c r="AG6363" s="14"/>
    </row>
    <row r="6364" spans="33:33">
      <c r="AG6364" s="14"/>
    </row>
    <row r="6365" spans="33:33">
      <c r="AG6365" s="14"/>
    </row>
    <row r="6366" spans="33:33">
      <c r="AG6366" s="14"/>
    </row>
    <row r="6367" spans="33:33">
      <c r="AG6367" s="14"/>
    </row>
    <row r="6368" spans="33:33">
      <c r="AG6368" s="14"/>
    </row>
    <row r="6369" spans="33:33">
      <c r="AG6369" s="14"/>
    </row>
    <row r="6370" spans="33:33">
      <c r="AG6370" s="14"/>
    </row>
    <row r="6371" spans="33:33">
      <c r="AG6371" s="14"/>
    </row>
    <row r="6372" spans="33:33">
      <c r="AG6372" s="14"/>
    </row>
    <row r="6373" spans="33:33">
      <c r="AG6373" s="14"/>
    </row>
    <row r="6374" spans="33:33">
      <c r="AG6374" s="14"/>
    </row>
    <row r="6375" spans="33:33">
      <c r="AG6375" s="14"/>
    </row>
    <row r="6376" spans="33:33">
      <c r="AG6376" s="14"/>
    </row>
    <row r="6377" spans="33:33">
      <c r="AG6377" s="14"/>
    </row>
    <row r="6378" spans="33:33">
      <c r="AG6378" s="14"/>
    </row>
    <row r="6379" spans="33:33">
      <c r="AG6379" s="14"/>
    </row>
    <row r="6380" spans="33:33">
      <c r="AG6380" s="14"/>
    </row>
    <row r="6381" spans="33:33">
      <c r="AG6381" s="14"/>
    </row>
    <row r="6382" spans="33:33">
      <c r="AG6382" s="14"/>
    </row>
    <row r="6383" spans="33:33">
      <c r="AG6383" s="14"/>
    </row>
    <row r="6384" spans="33:33">
      <c r="AG6384" s="14"/>
    </row>
    <row r="6385" spans="33:33">
      <c r="AG6385" s="14"/>
    </row>
    <row r="6386" spans="33:33">
      <c r="AG6386" s="14"/>
    </row>
    <row r="6387" spans="33:33">
      <c r="AG6387" s="14"/>
    </row>
    <row r="6388" spans="33:33">
      <c r="AG6388" s="14"/>
    </row>
    <row r="6389" spans="33:33">
      <c r="AG6389" s="14"/>
    </row>
    <row r="6390" spans="33:33">
      <c r="AG6390" s="14"/>
    </row>
    <row r="6391" spans="33:33">
      <c r="AG6391" s="14"/>
    </row>
    <row r="6392" spans="33:33">
      <c r="AG6392" s="14"/>
    </row>
    <row r="6393" spans="33:33">
      <c r="AG6393" s="14"/>
    </row>
    <row r="6394" spans="33:33">
      <c r="AG6394" s="14"/>
    </row>
    <row r="6395" spans="33:33">
      <c r="AG6395" s="14"/>
    </row>
    <row r="6396" spans="33:33">
      <c r="AG6396" s="14"/>
    </row>
    <row r="6397" spans="33:33">
      <c r="AG6397" s="14"/>
    </row>
    <row r="6398" spans="33:33">
      <c r="AG6398" s="14"/>
    </row>
    <row r="6399" spans="33:33">
      <c r="AG6399" s="14"/>
    </row>
    <row r="6400" spans="33:33">
      <c r="AG6400" s="14"/>
    </row>
    <row r="6401" spans="33:33">
      <c r="AG6401" s="14"/>
    </row>
    <row r="6402" spans="33:33">
      <c r="AG6402" s="14"/>
    </row>
    <row r="6403" spans="33:33">
      <c r="AG6403" s="14"/>
    </row>
    <row r="6404" spans="33:33">
      <c r="AG6404" s="14"/>
    </row>
    <row r="6405" spans="33:33">
      <c r="AG6405" s="14"/>
    </row>
    <row r="6406" spans="33:33">
      <c r="AG6406" s="14"/>
    </row>
    <row r="6407" spans="33:33">
      <c r="AG6407" s="14"/>
    </row>
    <row r="6408" spans="33:33">
      <c r="AG6408" s="14"/>
    </row>
    <row r="6409" spans="33:33">
      <c r="AG6409" s="14"/>
    </row>
    <row r="6410" spans="33:33">
      <c r="AG6410" s="14"/>
    </row>
    <row r="6411" spans="33:33">
      <c r="AG6411" s="14"/>
    </row>
    <row r="6412" spans="33:33">
      <c r="AG6412" s="14"/>
    </row>
    <row r="6413" spans="33:33">
      <c r="AG6413" s="14"/>
    </row>
    <row r="6414" spans="33:33">
      <c r="AG6414" s="14"/>
    </row>
    <row r="6415" spans="33:33">
      <c r="AG6415" s="14"/>
    </row>
    <row r="6416" spans="33:33">
      <c r="AG6416" s="14"/>
    </row>
    <row r="6417" spans="33:33">
      <c r="AG6417" s="14"/>
    </row>
    <row r="6418" spans="33:33">
      <c r="AG6418" s="14"/>
    </row>
    <row r="6419" spans="33:33">
      <c r="AG6419" s="14"/>
    </row>
    <row r="6420" spans="33:33">
      <c r="AG6420" s="14"/>
    </row>
    <row r="6421" spans="33:33">
      <c r="AG6421" s="14"/>
    </row>
    <row r="6422" spans="33:33">
      <c r="AG6422" s="14"/>
    </row>
    <row r="6423" spans="33:33">
      <c r="AG6423" s="14"/>
    </row>
    <row r="6424" spans="33:33">
      <c r="AG6424" s="14"/>
    </row>
    <row r="6425" spans="33:33">
      <c r="AG6425" s="14"/>
    </row>
    <row r="6426" spans="33:33">
      <c r="AG6426" s="14"/>
    </row>
    <row r="6427" spans="33:33">
      <c r="AG6427" s="14"/>
    </row>
    <row r="6428" spans="33:33">
      <c r="AG6428" s="14"/>
    </row>
    <row r="6429" spans="33:33">
      <c r="AG6429" s="14"/>
    </row>
    <row r="6430" spans="33:33">
      <c r="AG6430" s="14"/>
    </row>
    <row r="6431" spans="33:33">
      <c r="AG6431" s="14"/>
    </row>
    <row r="6432" spans="33:33">
      <c r="AG6432" s="14"/>
    </row>
    <row r="6433" spans="33:33">
      <c r="AG6433" s="14"/>
    </row>
    <row r="6434" spans="33:33">
      <c r="AG6434" s="14"/>
    </row>
    <row r="6435" spans="33:33">
      <c r="AG6435" s="14"/>
    </row>
    <row r="6436" spans="33:33">
      <c r="AG6436" s="14"/>
    </row>
    <row r="6437" spans="33:33">
      <c r="AG6437" s="14"/>
    </row>
    <row r="6438" spans="33:33">
      <c r="AG6438" s="14"/>
    </row>
    <row r="6439" spans="33:33">
      <c r="AG6439" s="14"/>
    </row>
    <row r="6440" spans="33:33">
      <c r="AG6440" s="14"/>
    </row>
    <row r="6441" spans="33:33">
      <c r="AG6441" s="14"/>
    </row>
    <row r="6442" spans="33:33">
      <c r="AG6442" s="14"/>
    </row>
    <row r="6443" spans="33:33">
      <c r="AG6443" s="14"/>
    </row>
    <row r="6444" spans="33:33">
      <c r="AG6444" s="14"/>
    </row>
    <row r="6445" spans="33:33">
      <c r="AG6445" s="14"/>
    </row>
    <row r="6446" spans="33:33">
      <c r="AG6446" s="14"/>
    </row>
    <row r="6447" spans="33:33">
      <c r="AG6447" s="14"/>
    </row>
    <row r="6448" spans="33:33">
      <c r="AG6448" s="14"/>
    </row>
    <row r="6449" spans="33:33">
      <c r="AG6449" s="14"/>
    </row>
    <row r="6450" spans="33:33">
      <c r="AG6450" s="14"/>
    </row>
    <row r="6451" spans="33:33">
      <c r="AG6451" s="14"/>
    </row>
    <row r="6452" spans="33:33">
      <c r="AG6452" s="14"/>
    </row>
    <row r="6453" spans="33:33">
      <c r="AG6453" s="14"/>
    </row>
    <row r="6454" spans="33:33">
      <c r="AG6454" s="14"/>
    </row>
    <row r="6455" spans="33:33">
      <c r="AG6455" s="14"/>
    </row>
    <row r="6456" spans="33:33">
      <c r="AG6456" s="14"/>
    </row>
    <row r="6457" spans="33:33">
      <c r="AG6457" s="14"/>
    </row>
    <row r="6458" spans="33:33">
      <c r="AG6458" s="14"/>
    </row>
    <row r="6459" spans="33:33">
      <c r="AG6459" s="14"/>
    </row>
    <row r="6460" spans="33:33">
      <c r="AG6460" s="14"/>
    </row>
    <row r="6461" spans="33:33">
      <c r="AG6461" s="14"/>
    </row>
    <row r="6462" spans="33:33">
      <c r="AG6462" s="14"/>
    </row>
    <row r="6463" spans="33:33">
      <c r="AG6463" s="14"/>
    </row>
    <row r="6464" spans="33:33">
      <c r="AG6464" s="14"/>
    </row>
    <row r="6465" spans="33:33">
      <c r="AG6465" s="14"/>
    </row>
    <row r="6466" spans="33:33">
      <c r="AG6466" s="14"/>
    </row>
    <row r="6467" spans="33:33">
      <c r="AG6467" s="14"/>
    </row>
    <row r="6468" spans="33:33">
      <c r="AG6468" s="14"/>
    </row>
    <row r="6469" spans="33:33">
      <c r="AG6469" s="14"/>
    </row>
    <row r="6470" spans="33:33">
      <c r="AG6470" s="14"/>
    </row>
    <row r="6471" spans="33:33">
      <c r="AG6471" s="14"/>
    </row>
    <row r="6472" spans="33:33">
      <c r="AG6472" s="14"/>
    </row>
    <row r="6473" spans="33:33">
      <c r="AG6473" s="14"/>
    </row>
    <row r="6474" spans="33:33">
      <c r="AG6474" s="14"/>
    </row>
    <row r="6475" spans="33:33">
      <c r="AG6475" s="14"/>
    </row>
    <row r="6476" spans="33:33">
      <c r="AG6476" s="14"/>
    </row>
    <row r="6477" spans="33:33">
      <c r="AG6477" s="14"/>
    </row>
    <row r="6478" spans="33:33">
      <c r="AG6478" s="14"/>
    </row>
    <row r="6479" spans="33:33">
      <c r="AG6479" s="14"/>
    </row>
    <row r="6480" spans="33:33">
      <c r="AG6480" s="14"/>
    </row>
    <row r="6481" spans="33:33">
      <c r="AG6481" s="14"/>
    </row>
    <row r="6482" spans="33:33">
      <c r="AG6482" s="14"/>
    </row>
    <row r="6483" spans="33:33">
      <c r="AG6483" s="14"/>
    </row>
    <row r="6484" spans="33:33">
      <c r="AG6484" s="14"/>
    </row>
    <row r="6485" spans="33:33">
      <c r="AG6485" s="14"/>
    </row>
    <row r="6486" spans="33:33">
      <c r="AG6486" s="14"/>
    </row>
    <row r="6487" spans="33:33">
      <c r="AG6487" s="14"/>
    </row>
    <row r="6488" spans="33:33">
      <c r="AG6488" s="14"/>
    </row>
    <row r="6489" spans="33:33">
      <c r="AG6489" s="14"/>
    </row>
    <row r="6490" spans="33:33">
      <c r="AG6490" s="14"/>
    </row>
    <row r="6491" spans="33:33">
      <c r="AG6491" s="14"/>
    </row>
    <row r="6492" spans="33:33">
      <c r="AG6492" s="14"/>
    </row>
    <row r="6493" spans="33:33">
      <c r="AG6493" s="14"/>
    </row>
    <row r="6494" spans="33:33">
      <c r="AG6494" s="14"/>
    </row>
    <row r="6495" spans="33:33">
      <c r="AG6495" s="14"/>
    </row>
    <row r="6496" spans="33:33">
      <c r="AG6496" s="14"/>
    </row>
    <row r="6497" spans="33:33">
      <c r="AG6497" s="14"/>
    </row>
    <row r="6498" spans="33:33">
      <c r="AG6498" s="14"/>
    </row>
    <row r="6499" spans="33:33">
      <c r="AG6499" s="14"/>
    </row>
    <row r="6500" spans="33:33">
      <c r="AG6500" s="14"/>
    </row>
    <row r="6501" spans="33:33">
      <c r="AG6501" s="14"/>
    </row>
    <row r="6502" spans="33:33">
      <c r="AG6502" s="14"/>
    </row>
    <row r="6503" spans="33:33">
      <c r="AG6503" s="14"/>
    </row>
    <row r="6504" spans="33:33">
      <c r="AG6504" s="14"/>
    </row>
    <row r="6505" spans="33:33">
      <c r="AG6505" s="14"/>
    </row>
    <row r="6506" spans="33:33">
      <c r="AG6506" s="14"/>
    </row>
    <row r="6507" spans="33:33">
      <c r="AG6507" s="14"/>
    </row>
    <row r="6508" spans="33:33">
      <c r="AG6508" s="14"/>
    </row>
    <row r="6509" spans="33:33">
      <c r="AG6509" s="14"/>
    </row>
    <row r="6510" spans="33:33">
      <c r="AG6510" s="14"/>
    </row>
    <row r="6511" spans="33:33">
      <c r="AG6511" s="14"/>
    </row>
    <row r="6512" spans="33:33">
      <c r="AG6512" s="14"/>
    </row>
    <row r="6513" spans="33:33">
      <c r="AG6513" s="14"/>
    </row>
    <row r="6514" spans="33:33">
      <c r="AG6514" s="14"/>
    </row>
    <row r="6515" spans="33:33">
      <c r="AG6515" s="14"/>
    </row>
    <row r="6516" spans="33:33">
      <c r="AG6516" s="14"/>
    </row>
    <row r="6517" spans="33:33">
      <c r="AG6517" s="14"/>
    </row>
    <row r="6518" spans="33:33">
      <c r="AG6518" s="14"/>
    </row>
    <row r="6519" spans="33:33">
      <c r="AG6519" s="14"/>
    </row>
    <row r="6520" spans="33:33">
      <c r="AG6520" s="14"/>
    </row>
    <row r="6521" spans="33:33">
      <c r="AG6521" s="14"/>
    </row>
    <row r="6522" spans="33:33">
      <c r="AG6522" s="14"/>
    </row>
    <row r="6523" spans="33:33">
      <c r="AG6523" s="14"/>
    </row>
    <row r="6524" spans="33:33">
      <c r="AG6524" s="14"/>
    </row>
    <row r="6525" spans="33:33">
      <c r="AG6525" s="14"/>
    </row>
    <row r="6526" spans="33:33">
      <c r="AG6526" s="14"/>
    </row>
    <row r="6527" spans="33:33">
      <c r="AG6527" s="14"/>
    </row>
    <row r="6528" spans="33:33">
      <c r="AG6528" s="14"/>
    </row>
    <row r="6529" spans="33:33">
      <c r="AG6529" s="14"/>
    </row>
    <row r="6530" spans="33:33">
      <c r="AG6530" s="14"/>
    </row>
    <row r="6531" spans="33:33">
      <c r="AG6531" s="14"/>
    </row>
    <row r="6532" spans="33:33">
      <c r="AG6532" s="14"/>
    </row>
    <row r="6533" spans="33:33">
      <c r="AG6533" s="14"/>
    </row>
    <row r="6534" spans="33:33">
      <c r="AG6534" s="14"/>
    </row>
    <row r="6535" spans="33:33">
      <c r="AG6535" s="14"/>
    </row>
    <row r="6536" spans="33:33">
      <c r="AG6536" s="14"/>
    </row>
    <row r="6537" spans="33:33">
      <c r="AG6537" s="14"/>
    </row>
    <row r="6538" spans="33:33">
      <c r="AG6538" s="14"/>
    </row>
    <row r="6539" spans="33:33">
      <c r="AG6539" s="14"/>
    </row>
    <row r="6540" spans="33:33">
      <c r="AG6540" s="14"/>
    </row>
    <row r="6541" spans="33:33">
      <c r="AG6541" s="14"/>
    </row>
    <row r="6542" spans="33:33">
      <c r="AG6542" s="14"/>
    </row>
    <row r="6543" spans="33:33">
      <c r="AG6543" s="14"/>
    </row>
    <row r="6544" spans="33:33">
      <c r="AG6544" s="14"/>
    </row>
    <row r="6545" spans="33:33">
      <c r="AG6545" s="14"/>
    </row>
    <row r="6546" spans="33:33">
      <c r="AG6546" s="14"/>
    </row>
    <row r="6547" spans="33:33">
      <c r="AG6547" s="14"/>
    </row>
    <row r="6548" spans="33:33">
      <c r="AG6548" s="14"/>
    </row>
    <row r="6549" spans="33:33">
      <c r="AG6549" s="14"/>
    </row>
    <row r="6550" spans="33:33">
      <c r="AG6550" s="14"/>
    </row>
    <row r="6551" spans="33:33">
      <c r="AG6551" s="14"/>
    </row>
    <row r="6552" spans="33:33">
      <c r="AG6552" s="14"/>
    </row>
    <row r="6553" spans="33:33">
      <c r="AG6553" s="14"/>
    </row>
    <row r="6554" spans="33:33">
      <c r="AG6554" s="14"/>
    </row>
    <row r="6555" spans="33:33">
      <c r="AG6555" s="14"/>
    </row>
    <row r="6556" spans="33:33">
      <c r="AG6556" s="14"/>
    </row>
    <row r="6557" spans="33:33">
      <c r="AG6557" s="14"/>
    </row>
    <row r="6558" spans="33:33">
      <c r="AG6558" s="14"/>
    </row>
    <row r="6559" spans="33:33">
      <c r="AG6559" s="14"/>
    </row>
    <row r="6560" spans="33:33">
      <c r="AG6560" s="14"/>
    </row>
    <row r="6561" spans="33:33">
      <c r="AG6561" s="14"/>
    </row>
    <row r="6562" spans="33:33">
      <c r="AG6562" s="14"/>
    </row>
    <row r="6563" spans="33:33">
      <c r="AG6563" s="14"/>
    </row>
    <row r="6564" spans="33:33">
      <c r="AG6564" s="14"/>
    </row>
    <row r="6565" spans="33:33">
      <c r="AG6565" s="14"/>
    </row>
    <row r="6566" spans="33:33">
      <c r="AG6566" s="14"/>
    </row>
    <row r="6567" spans="33:33">
      <c r="AG6567" s="14"/>
    </row>
    <row r="6568" spans="33:33">
      <c r="AG6568" s="14"/>
    </row>
    <row r="6569" spans="33:33">
      <c r="AG6569" s="14"/>
    </row>
    <row r="6570" spans="33:33">
      <c r="AG6570" s="14"/>
    </row>
    <row r="6571" spans="33:33">
      <c r="AG6571" s="14"/>
    </row>
    <row r="6572" spans="33:33">
      <c r="AG6572" s="14"/>
    </row>
    <row r="6573" spans="33:33">
      <c r="AG6573" s="14"/>
    </row>
    <row r="6574" spans="33:33">
      <c r="AG6574" s="14"/>
    </row>
    <row r="6575" spans="33:33">
      <c r="AG6575" s="14"/>
    </row>
    <row r="6576" spans="33:33">
      <c r="AG6576" s="14"/>
    </row>
    <row r="6577" spans="33:33">
      <c r="AG6577" s="14"/>
    </row>
    <row r="6578" spans="33:33">
      <c r="AG6578" s="14"/>
    </row>
    <row r="6579" spans="33:33">
      <c r="AG6579" s="14"/>
    </row>
    <row r="6580" spans="33:33">
      <c r="AG6580" s="14"/>
    </row>
    <row r="6581" spans="33:33">
      <c r="AG6581" s="14"/>
    </row>
    <row r="6582" spans="33:33">
      <c r="AG6582" s="14"/>
    </row>
    <row r="6583" spans="33:33">
      <c r="AG6583" s="14"/>
    </row>
    <row r="6584" spans="33:33">
      <c r="AG6584" s="14"/>
    </row>
    <row r="6585" spans="33:33">
      <c r="AG6585" s="14"/>
    </row>
    <row r="6586" spans="33:33">
      <c r="AG6586" s="14"/>
    </row>
    <row r="6587" spans="33:33">
      <c r="AG6587" s="14"/>
    </row>
    <row r="6588" spans="33:33">
      <c r="AG6588" s="14"/>
    </row>
    <row r="6589" spans="33:33">
      <c r="AG6589" s="14"/>
    </row>
    <row r="6590" spans="33:33">
      <c r="AG6590" s="14"/>
    </row>
    <row r="6591" spans="33:33">
      <c r="AG6591" s="14"/>
    </row>
    <row r="6592" spans="33:33">
      <c r="AG6592" s="14"/>
    </row>
    <row r="6593" spans="33:33">
      <c r="AG6593" s="14"/>
    </row>
    <row r="6594" spans="33:33">
      <c r="AG6594" s="14"/>
    </row>
    <row r="6595" spans="33:33">
      <c r="AG6595" s="14"/>
    </row>
    <row r="6596" spans="33:33">
      <c r="AG6596" s="14"/>
    </row>
    <row r="6597" spans="33:33">
      <c r="AG6597" s="14"/>
    </row>
    <row r="6598" spans="33:33">
      <c r="AG6598" s="14"/>
    </row>
    <row r="6599" spans="33:33">
      <c r="AG6599" s="14"/>
    </row>
    <row r="6600" spans="33:33">
      <c r="AG6600" s="14"/>
    </row>
    <row r="6601" spans="33:33">
      <c r="AG6601" s="14"/>
    </row>
    <row r="6602" spans="33:33">
      <c r="AG6602" s="14"/>
    </row>
    <row r="6603" spans="33:33">
      <c r="AG6603" s="14"/>
    </row>
    <row r="6604" spans="33:33">
      <c r="AG6604" s="14"/>
    </row>
    <row r="6605" spans="33:33">
      <c r="AG6605" s="14"/>
    </row>
    <row r="6606" spans="33:33">
      <c r="AG6606" s="14"/>
    </row>
    <row r="6607" spans="33:33">
      <c r="AG6607" s="14"/>
    </row>
    <row r="6608" spans="33:33">
      <c r="AG6608" s="14"/>
    </row>
    <row r="6609" spans="33:33">
      <c r="AG6609" s="14"/>
    </row>
    <row r="6610" spans="33:33">
      <c r="AG6610" s="14"/>
    </row>
    <row r="6611" spans="33:33">
      <c r="AG6611" s="14"/>
    </row>
    <row r="6612" spans="33:33">
      <c r="AG6612" s="14"/>
    </row>
    <row r="6613" spans="33:33">
      <c r="AG6613" s="14"/>
    </row>
    <row r="6614" spans="33:33">
      <c r="AG6614" s="14"/>
    </row>
    <row r="6615" spans="33:33">
      <c r="AG6615" s="14"/>
    </row>
    <row r="6616" spans="33:33">
      <c r="AG6616" s="14"/>
    </row>
    <row r="6617" spans="33:33">
      <c r="AG6617" s="14"/>
    </row>
    <row r="6618" spans="33:33">
      <c r="AG6618" s="14"/>
    </row>
    <row r="6619" spans="33:33">
      <c r="AG6619" s="14"/>
    </row>
    <row r="6620" spans="33:33">
      <c r="AG6620" s="14"/>
    </row>
    <row r="6621" spans="33:33">
      <c r="AG6621" s="14"/>
    </row>
    <row r="6622" spans="33:33">
      <c r="AG6622" s="14"/>
    </row>
    <row r="6623" spans="33:33">
      <c r="AG6623" s="14"/>
    </row>
    <row r="6624" spans="33:33">
      <c r="AG6624" s="14"/>
    </row>
    <row r="6625" spans="33:33">
      <c r="AG6625" s="14"/>
    </row>
    <row r="6626" spans="33:33">
      <c r="AG6626" s="14"/>
    </row>
    <row r="6627" spans="33:33">
      <c r="AG6627" s="14"/>
    </row>
    <row r="6628" spans="33:33">
      <c r="AG6628" s="14"/>
    </row>
    <row r="6629" spans="33:33">
      <c r="AG6629" s="14"/>
    </row>
    <row r="6630" spans="33:33">
      <c r="AG6630" s="14"/>
    </row>
    <row r="6631" spans="33:33">
      <c r="AG6631" s="14"/>
    </row>
    <row r="6632" spans="33:33">
      <c r="AG6632" s="14"/>
    </row>
    <row r="6633" spans="33:33">
      <c r="AG6633" s="14"/>
    </row>
    <row r="6634" spans="33:33">
      <c r="AG6634" s="14"/>
    </row>
    <row r="6635" spans="33:33">
      <c r="AG6635" s="14"/>
    </row>
    <row r="6636" spans="33:33">
      <c r="AG6636" s="14"/>
    </row>
    <row r="6637" spans="33:33">
      <c r="AG6637" s="14"/>
    </row>
    <row r="6638" spans="33:33">
      <c r="AG6638" s="14"/>
    </row>
    <row r="6639" spans="33:33">
      <c r="AG6639" s="14"/>
    </row>
    <row r="6640" spans="33:33">
      <c r="AG6640" s="14"/>
    </row>
    <row r="6641" spans="33:33">
      <c r="AG6641" s="14"/>
    </row>
    <row r="6642" spans="33:33">
      <c r="AG6642" s="14"/>
    </row>
    <row r="6643" spans="33:33">
      <c r="AG6643" s="14"/>
    </row>
    <row r="6644" spans="33:33">
      <c r="AG6644" s="14"/>
    </row>
    <row r="6645" spans="33:33">
      <c r="AG6645" s="14"/>
    </row>
    <row r="6646" spans="33:33">
      <c r="AG6646" s="14"/>
    </row>
    <row r="6647" spans="33:33">
      <c r="AG6647" s="14"/>
    </row>
    <row r="6648" spans="33:33">
      <c r="AG6648" s="14"/>
    </row>
    <row r="6649" spans="33:33">
      <c r="AG6649" s="14"/>
    </row>
    <row r="6650" spans="33:33">
      <c r="AG6650" s="14"/>
    </row>
    <row r="6651" spans="33:33">
      <c r="AG6651" s="14"/>
    </row>
    <row r="6652" spans="33:33">
      <c r="AG6652" s="14"/>
    </row>
    <row r="6653" spans="33:33">
      <c r="AG6653" s="14"/>
    </row>
    <row r="6654" spans="33:33">
      <c r="AG6654" s="14"/>
    </row>
    <row r="6655" spans="33:33">
      <c r="AG6655" s="14"/>
    </row>
    <row r="6656" spans="33:33">
      <c r="AG6656" s="14"/>
    </row>
    <row r="6657" spans="33:33">
      <c r="AG6657" s="14"/>
    </row>
    <row r="6658" spans="33:33">
      <c r="AG6658" s="14"/>
    </row>
    <row r="6659" spans="33:33">
      <c r="AG6659" s="14"/>
    </row>
    <row r="6660" spans="33:33">
      <c r="AG6660" s="14"/>
    </row>
    <row r="6661" spans="33:33">
      <c r="AG6661" s="14"/>
    </row>
    <row r="6662" spans="33:33">
      <c r="AG6662" s="14"/>
    </row>
    <row r="6663" spans="33:33">
      <c r="AG6663" s="14"/>
    </row>
    <row r="6664" spans="33:33">
      <c r="AG6664" s="14"/>
    </row>
    <row r="6665" spans="33:33">
      <c r="AG6665" s="14"/>
    </row>
    <row r="6666" spans="33:33">
      <c r="AG6666" s="14"/>
    </row>
    <row r="6667" spans="33:33">
      <c r="AG6667" s="14"/>
    </row>
    <row r="6668" spans="33:33">
      <c r="AG6668" s="14"/>
    </row>
    <row r="6669" spans="33:33">
      <c r="AG6669" s="14"/>
    </row>
    <row r="6670" spans="33:33">
      <c r="AG6670" s="14"/>
    </row>
    <row r="6671" spans="33:33">
      <c r="AG6671" s="14"/>
    </row>
    <row r="6672" spans="33:33">
      <c r="AG6672" s="14"/>
    </row>
    <row r="6673" spans="33:33">
      <c r="AG6673" s="14"/>
    </row>
    <row r="6674" spans="33:33">
      <c r="AG6674" s="14"/>
    </row>
    <row r="6675" spans="33:33">
      <c r="AG6675" s="14"/>
    </row>
    <row r="6676" spans="33:33">
      <c r="AG6676" s="14"/>
    </row>
    <row r="6677" spans="33:33">
      <c r="AG6677" s="14"/>
    </row>
    <row r="6678" spans="33:33">
      <c r="AG6678" s="14"/>
    </row>
    <row r="6679" spans="33:33">
      <c r="AG6679" s="14"/>
    </row>
    <row r="6680" spans="33:33">
      <c r="AG6680" s="14"/>
    </row>
    <row r="6681" spans="33:33">
      <c r="AG6681" s="14"/>
    </row>
    <row r="6682" spans="33:33">
      <c r="AG6682" s="14"/>
    </row>
    <row r="6683" spans="33:33">
      <c r="AG6683" s="14"/>
    </row>
    <row r="6684" spans="33:33">
      <c r="AG6684" s="14"/>
    </row>
    <row r="6685" spans="33:33">
      <c r="AG6685" s="14"/>
    </row>
    <row r="6686" spans="33:33">
      <c r="AG6686" s="14"/>
    </row>
    <row r="6687" spans="33:33">
      <c r="AG6687" s="14"/>
    </row>
    <row r="6688" spans="33:33">
      <c r="AG6688" s="14"/>
    </row>
    <row r="6689" spans="33:33">
      <c r="AG6689" s="14"/>
    </row>
    <row r="6690" spans="33:33">
      <c r="AG6690" s="14"/>
    </row>
    <row r="6691" spans="33:33">
      <c r="AG6691" s="14"/>
    </row>
    <row r="6692" spans="33:33">
      <c r="AG6692" s="14"/>
    </row>
    <row r="6693" spans="33:33">
      <c r="AG6693" s="14"/>
    </row>
    <row r="6694" spans="33:33">
      <c r="AG6694" s="14"/>
    </row>
    <row r="6695" spans="33:33">
      <c r="AG6695" s="14"/>
    </row>
    <row r="6696" spans="33:33">
      <c r="AG6696" s="14"/>
    </row>
    <row r="6697" spans="33:33">
      <c r="AG6697" s="14"/>
    </row>
    <row r="6698" spans="33:33">
      <c r="AG6698" s="14"/>
    </row>
    <row r="6699" spans="33:33">
      <c r="AG6699" s="14"/>
    </row>
    <row r="6700" spans="33:33">
      <c r="AG6700" s="14"/>
    </row>
    <row r="6701" spans="33:33">
      <c r="AG6701" s="14"/>
    </row>
    <row r="6702" spans="33:33">
      <c r="AG6702" s="14"/>
    </row>
    <row r="6703" spans="33:33">
      <c r="AG6703" s="14"/>
    </row>
    <row r="6704" spans="33:33">
      <c r="AG6704" s="14"/>
    </row>
    <row r="6705" spans="33:33">
      <c r="AG6705" s="14"/>
    </row>
    <row r="6706" spans="33:33">
      <c r="AG6706" s="14"/>
    </row>
    <row r="6707" spans="33:33">
      <c r="AG6707" s="14"/>
    </row>
    <row r="6708" spans="33:33">
      <c r="AG6708" s="14"/>
    </row>
    <row r="6709" spans="33:33">
      <c r="AG6709" s="14"/>
    </row>
    <row r="6710" spans="33:33">
      <c r="AG6710" s="14"/>
    </row>
    <row r="6711" spans="33:33">
      <c r="AG6711" s="14"/>
    </row>
    <row r="6712" spans="33:33">
      <c r="AG6712" s="14"/>
    </row>
    <row r="6713" spans="33:33">
      <c r="AG6713" s="14"/>
    </row>
    <row r="6714" spans="33:33">
      <c r="AG6714" s="14"/>
    </row>
    <row r="6715" spans="33:33">
      <c r="AG6715" s="14"/>
    </row>
    <row r="6716" spans="33:33">
      <c r="AG6716" s="14"/>
    </row>
    <row r="6717" spans="33:33">
      <c r="AG6717" s="14"/>
    </row>
    <row r="6718" spans="33:33">
      <c r="AG6718" s="14"/>
    </row>
    <row r="6719" spans="33:33">
      <c r="AG6719" s="14"/>
    </row>
    <row r="6720" spans="33:33">
      <c r="AG6720" s="14"/>
    </row>
    <row r="6721" spans="33:33">
      <c r="AG6721" s="14"/>
    </row>
    <row r="6722" spans="33:33">
      <c r="AG6722" s="14"/>
    </row>
    <row r="6723" spans="33:33">
      <c r="AG6723" s="14"/>
    </row>
    <row r="6724" spans="33:33">
      <c r="AG6724" s="14"/>
    </row>
    <row r="6725" spans="33:33">
      <c r="AG6725" s="14"/>
    </row>
    <row r="6726" spans="33:33">
      <c r="AG6726" s="14"/>
    </row>
    <row r="6727" spans="33:33">
      <c r="AG6727" s="14"/>
    </row>
    <row r="6728" spans="33:33">
      <c r="AG6728" s="14"/>
    </row>
    <row r="6729" spans="33:33">
      <c r="AG6729" s="14"/>
    </row>
    <row r="6730" spans="33:33">
      <c r="AG6730" s="14"/>
    </row>
    <row r="6731" spans="33:33">
      <c r="AG6731" s="14"/>
    </row>
    <row r="6732" spans="33:33">
      <c r="AG6732" s="14"/>
    </row>
    <row r="6733" spans="33:33">
      <c r="AG6733" s="14"/>
    </row>
    <row r="6734" spans="33:33">
      <c r="AG6734" s="14"/>
    </row>
    <row r="6735" spans="33:33">
      <c r="AG6735" s="14"/>
    </row>
    <row r="6736" spans="33:33">
      <c r="AG6736" s="14"/>
    </row>
    <row r="6737" spans="33:33">
      <c r="AG6737" s="14"/>
    </row>
    <row r="6738" spans="33:33">
      <c r="AG6738" s="14"/>
    </row>
    <row r="6739" spans="33:33">
      <c r="AG6739" s="14"/>
    </row>
    <row r="6740" spans="33:33">
      <c r="AG6740" s="14"/>
    </row>
    <row r="6741" spans="33:33">
      <c r="AG6741" s="14"/>
    </row>
    <row r="6742" spans="33:33">
      <c r="AG6742" s="14"/>
    </row>
    <row r="6743" spans="33:33">
      <c r="AG6743" s="14"/>
    </row>
    <row r="6744" spans="33:33">
      <c r="AG6744" s="14"/>
    </row>
    <row r="6745" spans="33:33">
      <c r="AG6745" s="14"/>
    </row>
    <row r="6746" spans="33:33">
      <c r="AG6746" s="14"/>
    </row>
    <row r="6747" spans="33:33">
      <c r="AG6747" s="14"/>
    </row>
    <row r="6748" spans="33:33">
      <c r="AG6748" s="14"/>
    </row>
    <row r="6749" spans="33:33">
      <c r="AG6749" s="14"/>
    </row>
    <row r="6750" spans="33:33">
      <c r="AG6750" s="14"/>
    </row>
    <row r="6751" spans="33:33">
      <c r="AG6751" s="14"/>
    </row>
    <row r="6752" spans="33:33">
      <c r="AG6752" s="14"/>
    </row>
    <row r="6753" spans="33:33">
      <c r="AG6753" s="14"/>
    </row>
    <row r="6754" spans="33:33">
      <c r="AG6754" s="14"/>
    </row>
    <row r="6755" spans="33:33">
      <c r="AG6755" s="14"/>
    </row>
    <row r="6756" spans="33:33">
      <c r="AG6756" s="14"/>
    </row>
    <row r="6757" spans="33:33">
      <c r="AG6757" s="14"/>
    </row>
    <row r="6758" spans="33:33">
      <c r="AG6758" s="14"/>
    </row>
    <row r="6759" spans="33:33">
      <c r="AG6759" s="14"/>
    </row>
    <row r="6760" spans="33:33">
      <c r="AG6760" s="14"/>
    </row>
    <row r="6761" spans="33:33">
      <c r="AG6761" s="14"/>
    </row>
    <row r="6762" spans="33:33">
      <c r="AG6762" s="14"/>
    </row>
    <row r="6763" spans="33:33">
      <c r="AG6763" s="14"/>
    </row>
    <row r="6764" spans="33:33">
      <c r="AG6764" s="14"/>
    </row>
    <row r="6765" spans="33:33">
      <c r="AG6765" s="14"/>
    </row>
    <row r="6766" spans="33:33">
      <c r="AG6766" s="14"/>
    </row>
    <row r="6767" spans="33:33">
      <c r="AG6767" s="14"/>
    </row>
    <row r="6768" spans="33:33">
      <c r="AG6768" s="14"/>
    </row>
    <row r="6769" spans="33:33">
      <c r="AG6769" s="14"/>
    </row>
    <row r="6770" spans="33:33">
      <c r="AG6770" s="14"/>
    </row>
    <row r="6771" spans="33:33">
      <c r="AG6771" s="14"/>
    </row>
    <row r="6772" spans="33:33">
      <c r="AG6772" s="14"/>
    </row>
    <row r="6773" spans="33:33">
      <c r="AG6773" s="14"/>
    </row>
    <row r="6774" spans="33:33">
      <c r="AG6774" s="14"/>
    </row>
    <row r="6775" spans="33:33">
      <c r="AG6775" s="14"/>
    </row>
    <row r="6776" spans="33:33">
      <c r="AG6776" s="14"/>
    </row>
    <row r="6777" spans="33:33">
      <c r="AG6777" s="14"/>
    </row>
    <row r="6778" spans="33:33">
      <c r="AG6778" s="14"/>
    </row>
    <row r="6779" spans="33:33">
      <c r="AG6779" s="14"/>
    </row>
    <row r="6780" spans="33:33">
      <c r="AG6780" s="14"/>
    </row>
    <row r="6781" spans="33:33">
      <c r="AG6781" s="14"/>
    </row>
    <row r="6782" spans="33:33">
      <c r="AG6782" s="14"/>
    </row>
    <row r="6783" spans="33:33">
      <c r="AG6783" s="14"/>
    </row>
    <row r="6784" spans="33:33">
      <c r="AG6784" s="14"/>
    </row>
    <row r="6785" spans="33:33">
      <c r="AG6785" s="14"/>
    </row>
    <row r="6786" spans="33:33">
      <c r="AG6786" s="14"/>
    </row>
    <row r="6787" spans="33:33">
      <c r="AG6787" s="14"/>
    </row>
    <row r="6788" spans="33:33">
      <c r="AG6788" s="14"/>
    </row>
    <row r="6789" spans="33:33">
      <c r="AG6789" s="14"/>
    </row>
    <row r="6790" spans="33:33">
      <c r="AG6790" s="14"/>
    </row>
    <row r="6791" spans="33:33">
      <c r="AG6791" s="14"/>
    </row>
    <row r="6792" spans="33:33">
      <c r="AG6792" s="14"/>
    </row>
    <row r="6793" spans="33:33">
      <c r="AG6793" s="14"/>
    </row>
    <row r="6794" spans="33:33">
      <c r="AG6794" s="14"/>
    </row>
    <row r="6795" spans="33:33">
      <c r="AG6795" s="14"/>
    </row>
    <row r="6796" spans="33:33">
      <c r="AG6796" s="14"/>
    </row>
    <row r="6797" spans="33:33">
      <c r="AG6797" s="14"/>
    </row>
    <row r="6798" spans="33:33">
      <c r="AG6798" s="14"/>
    </row>
    <row r="6799" spans="33:33">
      <c r="AG6799" s="14"/>
    </row>
    <row r="6800" spans="33:33">
      <c r="AG6800" s="14"/>
    </row>
    <row r="6801" spans="33:33">
      <c r="AG6801" s="14"/>
    </row>
    <row r="6802" spans="33:33">
      <c r="AG6802" s="14"/>
    </row>
    <row r="6803" spans="33:33">
      <c r="AG6803" s="14"/>
    </row>
    <row r="6804" spans="33:33">
      <c r="AG6804" s="14"/>
    </row>
    <row r="6805" spans="33:33">
      <c r="AG6805" s="14"/>
    </row>
    <row r="6806" spans="33:33">
      <c r="AG6806" s="14"/>
    </row>
    <row r="6807" spans="33:33">
      <c r="AG6807" s="14"/>
    </row>
    <row r="6808" spans="33:33">
      <c r="AG6808" s="14"/>
    </row>
    <row r="6809" spans="33:33">
      <c r="AG6809" s="14"/>
    </row>
    <row r="6810" spans="33:33">
      <c r="AG6810" s="14"/>
    </row>
    <row r="6811" spans="33:33">
      <c r="AG6811" s="14"/>
    </row>
    <row r="6812" spans="33:33">
      <c r="AG6812" s="14"/>
    </row>
    <row r="6813" spans="33:33">
      <c r="AG6813" s="14"/>
    </row>
    <row r="6814" spans="33:33">
      <c r="AG6814" s="14"/>
    </row>
    <row r="6815" spans="33:33">
      <c r="AG6815" s="14"/>
    </row>
    <row r="6816" spans="33:33">
      <c r="AG6816" s="14"/>
    </row>
    <row r="6817" spans="33:33">
      <c r="AG6817" s="14"/>
    </row>
    <row r="6818" spans="33:33">
      <c r="AG6818" s="14"/>
    </row>
    <row r="6819" spans="33:33">
      <c r="AG6819" s="14"/>
    </row>
    <row r="6820" spans="33:33">
      <c r="AG6820" s="14"/>
    </row>
    <row r="6821" spans="33:33">
      <c r="AG6821" s="14"/>
    </row>
    <row r="6822" spans="33:33">
      <c r="AG6822" s="14"/>
    </row>
    <row r="6823" spans="33:33">
      <c r="AG6823" s="14"/>
    </row>
    <row r="6824" spans="33:33">
      <c r="AG6824" s="14"/>
    </row>
    <row r="6825" spans="33:33">
      <c r="AG6825" s="14"/>
    </row>
    <row r="6826" spans="33:33">
      <c r="AG6826" s="14"/>
    </row>
    <row r="6827" spans="33:33">
      <c r="AG6827" s="14"/>
    </row>
    <row r="6828" spans="33:33">
      <c r="AG6828" s="14"/>
    </row>
    <row r="6829" spans="33:33">
      <c r="AG6829" s="14"/>
    </row>
    <row r="6830" spans="33:33">
      <c r="AG6830" s="14"/>
    </row>
    <row r="6831" spans="33:33">
      <c r="AG6831" s="14"/>
    </row>
    <row r="6832" spans="33:33">
      <c r="AG6832" s="14"/>
    </row>
    <row r="6833" spans="33:33">
      <c r="AG6833" s="14"/>
    </row>
    <row r="6834" spans="33:33">
      <c r="AG6834" s="14"/>
    </row>
    <row r="6835" spans="33:33">
      <c r="AG6835" s="14"/>
    </row>
    <row r="6836" spans="33:33">
      <c r="AG6836" s="14"/>
    </row>
    <row r="6837" spans="33:33">
      <c r="AG6837" s="14"/>
    </row>
    <row r="6838" spans="33:33">
      <c r="AG6838" s="14"/>
    </row>
    <row r="6839" spans="33:33">
      <c r="AG6839" s="14"/>
    </row>
    <row r="6840" spans="33:33">
      <c r="AG6840" s="14"/>
    </row>
    <row r="6841" spans="33:33">
      <c r="AG6841" s="14"/>
    </row>
    <row r="6842" spans="33:33">
      <c r="AG6842" s="14"/>
    </row>
    <row r="6843" spans="33:33">
      <c r="AG6843" s="14"/>
    </row>
    <row r="6844" spans="33:33">
      <c r="AG6844" s="14"/>
    </row>
    <row r="6845" spans="33:33">
      <c r="AG6845" s="14"/>
    </row>
    <row r="6846" spans="33:33">
      <c r="AG6846" s="14"/>
    </row>
    <row r="6847" spans="33:33">
      <c r="AG6847" s="14"/>
    </row>
    <row r="6848" spans="33:33">
      <c r="AG6848" s="14"/>
    </row>
    <row r="6849" spans="33:33">
      <c r="AG6849" s="14"/>
    </row>
    <row r="6850" spans="33:33">
      <c r="AG6850" s="14"/>
    </row>
    <row r="6851" spans="33:33">
      <c r="AG6851" s="14"/>
    </row>
    <row r="6852" spans="33:33">
      <c r="AG6852" s="14"/>
    </row>
    <row r="6853" spans="33:33">
      <c r="AG6853" s="14"/>
    </row>
    <row r="6854" spans="33:33">
      <c r="AG6854" s="14"/>
    </row>
    <row r="6855" spans="33:33">
      <c r="AG6855" s="14"/>
    </row>
    <row r="6856" spans="33:33">
      <c r="AG6856" s="14"/>
    </row>
    <row r="6857" spans="33:33">
      <c r="AG6857" s="14"/>
    </row>
    <row r="6858" spans="33:33">
      <c r="AG6858" s="14"/>
    </row>
    <row r="6859" spans="33:33">
      <c r="AG6859" s="14"/>
    </row>
    <row r="6860" spans="33:33">
      <c r="AG6860" s="14"/>
    </row>
    <row r="6861" spans="33:33">
      <c r="AG6861" s="14"/>
    </row>
    <row r="6862" spans="33:33">
      <c r="AG6862" s="14"/>
    </row>
    <row r="6863" spans="33:33">
      <c r="AG6863" s="14"/>
    </row>
    <row r="6864" spans="33:33">
      <c r="AG6864" s="14"/>
    </row>
    <row r="6865" spans="33:33">
      <c r="AG6865" s="14"/>
    </row>
    <row r="6866" spans="33:33">
      <c r="AG6866" s="14"/>
    </row>
    <row r="6867" spans="33:33">
      <c r="AG6867" s="14"/>
    </row>
    <row r="6868" spans="33:33">
      <c r="AG6868" s="14"/>
    </row>
    <row r="6869" spans="33:33">
      <c r="AG6869" s="14"/>
    </row>
    <row r="6870" spans="33:33">
      <c r="AG6870" s="14"/>
    </row>
    <row r="6871" spans="33:33">
      <c r="AG6871" s="14"/>
    </row>
    <row r="6872" spans="33:33">
      <c r="AG6872" s="14"/>
    </row>
    <row r="6873" spans="33:33">
      <c r="AG6873" s="14"/>
    </row>
    <row r="6874" spans="33:33">
      <c r="AG6874" s="14"/>
    </row>
    <row r="6875" spans="33:33">
      <c r="AG6875" s="14"/>
    </row>
    <row r="6876" spans="33:33">
      <c r="AG6876" s="14"/>
    </row>
    <row r="6877" spans="33:33">
      <c r="AG6877" s="14"/>
    </row>
    <row r="6878" spans="33:33">
      <c r="AG6878" s="14"/>
    </row>
    <row r="6879" spans="33:33">
      <c r="AG6879" s="14"/>
    </row>
    <row r="6880" spans="33:33">
      <c r="AG6880" s="14"/>
    </row>
    <row r="6881" spans="33:33">
      <c r="AG6881" s="14"/>
    </row>
    <row r="6882" spans="33:33">
      <c r="AG6882" s="14"/>
    </row>
    <row r="6883" spans="33:33">
      <c r="AG6883" s="14"/>
    </row>
    <row r="6884" spans="33:33">
      <c r="AG6884" s="14"/>
    </row>
    <row r="6885" spans="33:33">
      <c r="AG6885" s="14"/>
    </row>
    <row r="6886" spans="33:33">
      <c r="AG6886" s="14"/>
    </row>
    <row r="6887" spans="33:33">
      <c r="AG6887" s="14"/>
    </row>
    <row r="6888" spans="33:33">
      <c r="AG6888" s="14"/>
    </row>
    <row r="6889" spans="33:33">
      <c r="AG6889" s="14"/>
    </row>
    <row r="6890" spans="33:33">
      <c r="AG6890" s="14"/>
    </row>
    <row r="6891" spans="33:33">
      <c r="AG6891" s="14"/>
    </row>
    <row r="6892" spans="33:33">
      <c r="AG6892" s="14"/>
    </row>
    <row r="6893" spans="33:33">
      <c r="AG6893" s="14"/>
    </row>
    <row r="6894" spans="33:33">
      <c r="AG6894" s="14"/>
    </row>
    <row r="6895" spans="33:33">
      <c r="AG6895" s="14"/>
    </row>
    <row r="6896" spans="33:33">
      <c r="AG6896" s="14"/>
    </row>
    <row r="6897" spans="33:33">
      <c r="AG6897" s="14"/>
    </row>
    <row r="6898" spans="33:33">
      <c r="AG6898" s="14"/>
    </row>
    <row r="6899" spans="33:33">
      <c r="AG6899" s="14"/>
    </row>
    <row r="6900" spans="33:33">
      <c r="AG6900" s="14"/>
    </row>
    <row r="6901" spans="33:33">
      <c r="AG6901" s="14"/>
    </row>
    <row r="6902" spans="33:33">
      <c r="AG6902" s="14"/>
    </row>
    <row r="6903" spans="33:33">
      <c r="AG6903" s="14"/>
    </row>
    <row r="6904" spans="33:33">
      <c r="AG6904" s="14"/>
    </row>
    <row r="6905" spans="33:33">
      <c r="AG6905" s="14"/>
    </row>
    <row r="6906" spans="33:33">
      <c r="AG6906" s="14"/>
    </row>
    <row r="6907" spans="33:33">
      <c r="AG6907" s="14"/>
    </row>
    <row r="6908" spans="33:33">
      <c r="AG6908" s="14"/>
    </row>
    <row r="6909" spans="33:33">
      <c r="AG6909" s="14"/>
    </row>
    <row r="6910" spans="33:33">
      <c r="AG6910" s="14"/>
    </row>
    <row r="6911" spans="33:33">
      <c r="AG6911" s="14"/>
    </row>
    <row r="6912" spans="33:33">
      <c r="AG6912" s="14"/>
    </row>
    <row r="6913" spans="33:33">
      <c r="AG6913" s="14"/>
    </row>
    <row r="6914" spans="33:33">
      <c r="AG6914" s="14"/>
    </row>
    <row r="6915" spans="33:33">
      <c r="AG6915" s="14"/>
    </row>
    <row r="6916" spans="33:33">
      <c r="AG6916" s="14"/>
    </row>
    <row r="6917" spans="33:33">
      <c r="AG6917" s="14"/>
    </row>
    <row r="6918" spans="33:33">
      <c r="AG6918" s="14"/>
    </row>
    <row r="6919" spans="33:33">
      <c r="AG6919" s="14"/>
    </row>
    <row r="6920" spans="33:33">
      <c r="AG6920" s="14"/>
    </row>
    <row r="6921" spans="33:33">
      <c r="AG6921" s="14"/>
    </row>
    <row r="6922" spans="33:33">
      <c r="AG6922" s="14"/>
    </row>
    <row r="6923" spans="33:33">
      <c r="AG6923" s="14"/>
    </row>
    <row r="6924" spans="33:33">
      <c r="AG6924" s="14"/>
    </row>
    <row r="6925" spans="33:33">
      <c r="AG6925" s="14"/>
    </row>
    <row r="6926" spans="33:33">
      <c r="AG6926" s="14"/>
    </row>
    <row r="6927" spans="33:33">
      <c r="AG6927" s="14"/>
    </row>
    <row r="6928" spans="33:33">
      <c r="AG6928" s="14"/>
    </row>
    <row r="6929" spans="33:33">
      <c r="AG6929" s="14"/>
    </row>
    <row r="6930" spans="33:33">
      <c r="AG6930" s="14"/>
    </row>
    <row r="6931" spans="33:33">
      <c r="AG6931" s="14"/>
    </row>
    <row r="6932" spans="33:33">
      <c r="AG6932" s="14"/>
    </row>
    <row r="6933" spans="33:33">
      <c r="AG6933" s="14"/>
    </row>
    <row r="6934" spans="33:33">
      <c r="AG6934" s="14"/>
    </row>
    <row r="6935" spans="33:33">
      <c r="AG6935" s="14"/>
    </row>
    <row r="6936" spans="33:33">
      <c r="AG6936" s="14"/>
    </row>
    <row r="6937" spans="33:33">
      <c r="AG6937" s="14"/>
    </row>
    <row r="6938" spans="33:33">
      <c r="AG6938" s="14"/>
    </row>
    <row r="6939" spans="33:33">
      <c r="AG6939" s="14"/>
    </row>
    <row r="6940" spans="33:33">
      <c r="AG6940" s="14"/>
    </row>
    <row r="6941" spans="33:33">
      <c r="AG6941" s="14"/>
    </row>
    <row r="6942" spans="33:33">
      <c r="AG6942" s="14"/>
    </row>
    <row r="6943" spans="33:33">
      <c r="AG6943" s="14"/>
    </row>
    <row r="6944" spans="33:33">
      <c r="AG6944" s="14"/>
    </row>
    <row r="6945" spans="33:33">
      <c r="AG6945" s="14"/>
    </row>
    <row r="6946" spans="33:33">
      <c r="AG6946" s="14"/>
    </row>
    <row r="6947" spans="33:33">
      <c r="AG6947" s="14"/>
    </row>
    <row r="6948" spans="33:33">
      <c r="AG6948" s="14"/>
    </row>
    <row r="6949" spans="33:33">
      <c r="AG6949" s="14"/>
    </row>
    <row r="6950" spans="33:33">
      <c r="AG6950" s="14"/>
    </row>
    <row r="6951" spans="33:33">
      <c r="AG6951" s="14"/>
    </row>
    <row r="6952" spans="33:33">
      <c r="AG6952" s="14"/>
    </row>
    <row r="6953" spans="33:33">
      <c r="AG6953" s="14"/>
    </row>
    <row r="6954" spans="33:33">
      <c r="AG6954" s="14"/>
    </row>
    <row r="6955" spans="33:33">
      <c r="AG6955" s="14"/>
    </row>
    <row r="6956" spans="33:33">
      <c r="AG6956" s="14"/>
    </row>
    <row r="6957" spans="33:33">
      <c r="AG6957" s="14"/>
    </row>
    <row r="6958" spans="33:33">
      <c r="AG6958" s="14"/>
    </row>
    <row r="6959" spans="33:33">
      <c r="AG6959" s="14"/>
    </row>
    <row r="6960" spans="33:33">
      <c r="AG6960" s="14"/>
    </row>
    <row r="6961" spans="33:33">
      <c r="AG6961" s="14"/>
    </row>
    <row r="6962" spans="33:33">
      <c r="AG6962" s="14"/>
    </row>
    <row r="6963" spans="33:33">
      <c r="AG6963" s="14"/>
    </row>
    <row r="6964" spans="33:33">
      <c r="AG6964" s="14"/>
    </row>
    <row r="6965" spans="33:33">
      <c r="AG6965" s="14"/>
    </row>
    <row r="6966" spans="33:33">
      <c r="AG6966" s="14"/>
    </row>
    <row r="6967" spans="33:33">
      <c r="AG6967" s="14"/>
    </row>
    <row r="6968" spans="33:33">
      <c r="AG6968" s="14"/>
    </row>
    <row r="6969" spans="33:33">
      <c r="AG6969" s="14"/>
    </row>
    <row r="6970" spans="33:33">
      <c r="AG6970" s="14"/>
    </row>
    <row r="6971" spans="33:33">
      <c r="AG6971" s="14"/>
    </row>
    <row r="6972" spans="33:33">
      <c r="AG6972" s="14"/>
    </row>
    <row r="6973" spans="33:33">
      <c r="AG6973" s="14"/>
    </row>
    <row r="6974" spans="33:33">
      <c r="AG6974" s="14"/>
    </row>
    <row r="6975" spans="33:33">
      <c r="AG6975" s="14"/>
    </row>
    <row r="6976" spans="33:33">
      <c r="AG6976" s="14"/>
    </row>
    <row r="6977" spans="33:33">
      <c r="AG6977" s="14"/>
    </row>
    <row r="6978" spans="33:33">
      <c r="AG6978" s="14"/>
    </row>
    <row r="6979" spans="33:33">
      <c r="AG6979" s="14"/>
    </row>
    <row r="6980" spans="33:33">
      <c r="AG6980" s="14"/>
    </row>
    <row r="6981" spans="33:33">
      <c r="AG6981" s="14"/>
    </row>
    <row r="6982" spans="33:33">
      <c r="AG6982" s="14"/>
    </row>
    <row r="6983" spans="33:33">
      <c r="AG6983" s="14"/>
    </row>
    <row r="6984" spans="33:33">
      <c r="AG6984" s="14"/>
    </row>
    <row r="6985" spans="33:33">
      <c r="AG6985" s="14"/>
    </row>
    <row r="6986" spans="33:33">
      <c r="AG6986" s="14"/>
    </row>
    <row r="6987" spans="33:33">
      <c r="AG6987" s="14"/>
    </row>
    <row r="6988" spans="33:33">
      <c r="AG6988" s="14"/>
    </row>
    <row r="6989" spans="33:33">
      <c r="AG6989" s="14"/>
    </row>
    <row r="6990" spans="33:33">
      <c r="AG6990" s="14"/>
    </row>
    <row r="6991" spans="33:33">
      <c r="AG6991" s="14"/>
    </row>
    <row r="6992" spans="33:33">
      <c r="AG6992" s="14"/>
    </row>
    <row r="6993" spans="33:33">
      <c r="AG6993" s="14"/>
    </row>
    <row r="6994" spans="33:33">
      <c r="AG6994" s="14"/>
    </row>
    <row r="6995" spans="33:33">
      <c r="AG6995" s="14"/>
    </row>
    <row r="6996" spans="33:33">
      <c r="AG6996" s="14"/>
    </row>
    <row r="6997" spans="33:33">
      <c r="AG6997" s="14"/>
    </row>
    <row r="6998" spans="33:33">
      <c r="AG6998" s="14"/>
    </row>
    <row r="6999" spans="33:33">
      <c r="AG6999" s="14"/>
    </row>
    <row r="7000" spans="33:33">
      <c r="AG7000" s="14"/>
    </row>
    <row r="7001" spans="33:33">
      <c r="AG7001" s="14"/>
    </row>
    <row r="7002" spans="33:33">
      <c r="AG7002" s="14"/>
    </row>
    <row r="7003" spans="33:33">
      <c r="AG7003" s="14"/>
    </row>
    <row r="7004" spans="33:33">
      <c r="AG7004" s="14"/>
    </row>
    <row r="7005" spans="33:33">
      <c r="AG7005" s="14"/>
    </row>
    <row r="7006" spans="33:33">
      <c r="AG7006" s="14"/>
    </row>
    <row r="7007" spans="33:33">
      <c r="AG7007" s="14"/>
    </row>
    <row r="7008" spans="33:33">
      <c r="AG7008" s="14"/>
    </row>
    <row r="7009" spans="33:33">
      <c r="AG7009" s="14"/>
    </row>
    <row r="7010" spans="33:33">
      <c r="AG7010" s="14"/>
    </row>
    <row r="7011" spans="33:33">
      <c r="AG7011" s="14"/>
    </row>
    <row r="7012" spans="33:33">
      <c r="AG7012" s="14"/>
    </row>
    <row r="7013" spans="33:33">
      <c r="AG7013" s="14"/>
    </row>
    <row r="7014" spans="33:33">
      <c r="AG7014" s="14"/>
    </row>
    <row r="7015" spans="33:33">
      <c r="AG7015" s="14"/>
    </row>
    <row r="7016" spans="33:33">
      <c r="AG7016" s="14"/>
    </row>
    <row r="7017" spans="33:33">
      <c r="AG7017" s="14"/>
    </row>
    <row r="7018" spans="33:33">
      <c r="AG7018" s="14"/>
    </row>
    <row r="7019" spans="33:33">
      <c r="AG7019" s="14"/>
    </row>
    <row r="7020" spans="33:33">
      <c r="AG7020" s="14"/>
    </row>
    <row r="7021" spans="33:33">
      <c r="AG7021" s="14"/>
    </row>
    <row r="7022" spans="33:33">
      <c r="AG7022" s="14"/>
    </row>
    <row r="7023" spans="33:33">
      <c r="AG7023" s="14"/>
    </row>
    <row r="7024" spans="33:33">
      <c r="AG7024" s="14"/>
    </row>
    <row r="7025" spans="33:33">
      <c r="AG7025" s="14"/>
    </row>
    <row r="7026" spans="33:33">
      <c r="AG7026" s="14"/>
    </row>
    <row r="7027" spans="33:33">
      <c r="AG7027" s="14"/>
    </row>
    <row r="7028" spans="33:33">
      <c r="AG7028" s="14"/>
    </row>
    <row r="7029" spans="33:33">
      <c r="AG7029" s="14"/>
    </row>
    <row r="7030" spans="33:33">
      <c r="AG7030" s="14"/>
    </row>
    <row r="7031" spans="33:33">
      <c r="AG7031" s="14"/>
    </row>
    <row r="7032" spans="33:33">
      <c r="AG7032" s="14"/>
    </row>
    <row r="7033" spans="33:33">
      <c r="AG7033" s="14"/>
    </row>
    <row r="7034" spans="33:33">
      <c r="AG7034" s="14"/>
    </row>
    <row r="7035" spans="33:33">
      <c r="AG7035" s="14"/>
    </row>
    <row r="7036" spans="33:33">
      <c r="AG7036" s="14"/>
    </row>
    <row r="7037" spans="33:33">
      <c r="AG7037" s="14"/>
    </row>
    <row r="7038" spans="33:33">
      <c r="AG7038" s="14"/>
    </row>
    <row r="7039" spans="33:33">
      <c r="AG7039" s="14"/>
    </row>
    <row r="7040" spans="33:33">
      <c r="AG7040" s="14"/>
    </row>
    <row r="7041" spans="33:33">
      <c r="AG7041" s="14"/>
    </row>
    <row r="7042" spans="33:33">
      <c r="AG7042" s="14"/>
    </row>
    <row r="7043" spans="33:33">
      <c r="AG7043" s="14"/>
    </row>
    <row r="7044" spans="33:33">
      <c r="AG7044" s="14"/>
    </row>
    <row r="7045" spans="33:33">
      <c r="AG7045" s="14"/>
    </row>
    <row r="7046" spans="33:33">
      <c r="AG7046" s="14"/>
    </row>
    <row r="7047" spans="33:33">
      <c r="AG7047" s="14"/>
    </row>
    <row r="7048" spans="33:33">
      <c r="AG7048" s="14"/>
    </row>
    <row r="7049" spans="33:33">
      <c r="AG7049" s="14"/>
    </row>
    <row r="7050" spans="33:33">
      <c r="AG7050" s="14"/>
    </row>
    <row r="7051" spans="33:33">
      <c r="AG7051" s="14"/>
    </row>
    <row r="7052" spans="33:33">
      <c r="AG7052" s="14"/>
    </row>
    <row r="7053" spans="33:33">
      <c r="AG7053" s="14"/>
    </row>
    <row r="7054" spans="33:33">
      <c r="AG7054" s="14"/>
    </row>
    <row r="7055" spans="33:33">
      <c r="AG7055" s="14"/>
    </row>
    <row r="7056" spans="33:33">
      <c r="AG7056" s="14"/>
    </row>
    <row r="7057" spans="33:33">
      <c r="AG7057" s="14"/>
    </row>
    <row r="7058" spans="33:33">
      <c r="AG7058" s="14"/>
    </row>
    <row r="7059" spans="33:33">
      <c r="AG7059" s="14"/>
    </row>
    <row r="7060" spans="33:33">
      <c r="AG7060" s="14"/>
    </row>
    <row r="7061" spans="33:33">
      <c r="AG7061" s="14"/>
    </row>
    <row r="7062" spans="33:33">
      <c r="AG7062" s="14"/>
    </row>
    <row r="7063" spans="33:33">
      <c r="AG7063" s="14"/>
    </row>
    <row r="7064" spans="33:33">
      <c r="AG7064" s="14"/>
    </row>
    <row r="7065" spans="33:33">
      <c r="AG7065" s="14"/>
    </row>
    <row r="7066" spans="33:33">
      <c r="AG7066" s="14"/>
    </row>
    <row r="7067" spans="33:33">
      <c r="AG7067" s="14"/>
    </row>
    <row r="7068" spans="33:33">
      <c r="AG7068" s="14"/>
    </row>
    <row r="7069" spans="33:33">
      <c r="AG7069" s="14"/>
    </row>
    <row r="7070" spans="33:33">
      <c r="AG7070" s="14"/>
    </row>
    <row r="7071" spans="33:33">
      <c r="AG7071" s="14"/>
    </row>
    <row r="7072" spans="33:33">
      <c r="AG7072" s="14"/>
    </row>
    <row r="7073" spans="33:33">
      <c r="AG7073" s="14"/>
    </row>
    <row r="7074" spans="33:33">
      <c r="AG7074" s="14"/>
    </row>
    <row r="7075" spans="33:33">
      <c r="AG7075" s="14"/>
    </row>
    <row r="7076" spans="33:33">
      <c r="AG7076" s="14"/>
    </row>
    <row r="7077" spans="33:33">
      <c r="AG7077" s="14"/>
    </row>
    <row r="7078" spans="33:33">
      <c r="AG7078" s="14"/>
    </row>
    <row r="7079" spans="33:33">
      <c r="AG7079" s="14"/>
    </row>
    <row r="7080" spans="33:33">
      <c r="AG7080" s="14"/>
    </row>
    <row r="7081" spans="33:33">
      <c r="AG7081" s="14"/>
    </row>
    <row r="7082" spans="33:33">
      <c r="AG7082" s="14"/>
    </row>
    <row r="7083" spans="33:33">
      <c r="AG7083" s="14"/>
    </row>
    <row r="7084" spans="33:33">
      <c r="AG7084" s="14"/>
    </row>
    <row r="7085" spans="33:33">
      <c r="AG7085" s="14"/>
    </row>
    <row r="7086" spans="33:33">
      <c r="AG7086" s="14"/>
    </row>
    <row r="7087" spans="33:33">
      <c r="AG7087" s="14"/>
    </row>
    <row r="7088" spans="33:33">
      <c r="AG7088" s="14"/>
    </row>
    <row r="7089" spans="33:33">
      <c r="AG7089" s="14"/>
    </row>
    <row r="7090" spans="33:33">
      <c r="AG7090" s="14"/>
    </row>
    <row r="7091" spans="33:33">
      <c r="AG7091" s="14"/>
    </row>
    <row r="7092" spans="33:33">
      <c r="AG7092" s="14"/>
    </row>
    <row r="7093" spans="33:33">
      <c r="AG7093" s="14"/>
    </row>
    <row r="7094" spans="33:33">
      <c r="AG7094" s="14"/>
    </row>
    <row r="7095" spans="33:33">
      <c r="AG7095" s="14"/>
    </row>
    <row r="7096" spans="33:33">
      <c r="AG7096" s="14"/>
    </row>
    <row r="7097" spans="33:33">
      <c r="AG7097" s="14"/>
    </row>
    <row r="7098" spans="33:33">
      <c r="AG7098" s="14"/>
    </row>
    <row r="7099" spans="33:33">
      <c r="AG7099" s="14"/>
    </row>
    <row r="7100" spans="33:33">
      <c r="AG7100" s="14"/>
    </row>
    <row r="7101" spans="33:33">
      <c r="AG7101" s="14"/>
    </row>
    <row r="7102" spans="33:33">
      <c r="AG7102" s="14"/>
    </row>
    <row r="7103" spans="33:33">
      <c r="AG7103" s="14"/>
    </row>
    <row r="7104" spans="33:33">
      <c r="AG7104" s="14"/>
    </row>
    <row r="7105" spans="33:33">
      <c r="AG7105" s="14"/>
    </row>
    <row r="7106" spans="33:33">
      <c r="AG7106" s="14"/>
    </row>
    <row r="7107" spans="33:33">
      <c r="AG7107" s="14"/>
    </row>
    <row r="7108" spans="33:33">
      <c r="AG7108" s="14"/>
    </row>
    <row r="7109" spans="33:33">
      <c r="AG7109" s="14"/>
    </row>
    <row r="7110" spans="33:33">
      <c r="AG7110" s="14"/>
    </row>
    <row r="7111" spans="33:33">
      <c r="AG7111" s="14"/>
    </row>
    <row r="7112" spans="33:33">
      <c r="AG7112" s="14"/>
    </row>
    <row r="7113" spans="33:33">
      <c r="AG7113" s="14"/>
    </row>
    <row r="7114" spans="33:33">
      <c r="AG7114" s="14"/>
    </row>
    <row r="7115" spans="33:33">
      <c r="AG7115" s="14"/>
    </row>
    <row r="7116" spans="33:33">
      <c r="AG7116" s="14"/>
    </row>
    <row r="7117" spans="33:33">
      <c r="AG7117" s="14"/>
    </row>
    <row r="7118" spans="33:33">
      <c r="AG7118" s="14"/>
    </row>
    <row r="7119" spans="33:33">
      <c r="AG7119" s="14"/>
    </row>
    <row r="7120" spans="33:33">
      <c r="AG7120" s="14"/>
    </row>
    <row r="7121" spans="33:33">
      <c r="AG7121" s="14"/>
    </row>
    <row r="7122" spans="33:33">
      <c r="AG7122" s="14"/>
    </row>
    <row r="7123" spans="33:33">
      <c r="AG7123" s="14"/>
    </row>
    <row r="7124" spans="33:33">
      <c r="AG7124" s="14"/>
    </row>
    <row r="7125" spans="33:33">
      <c r="AG7125" s="14"/>
    </row>
    <row r="7126" spans="33:33">
      <c r="AG7126" s="14"/>
    </row>
    <row r="7127" spans="33:33">
      <c r="AG7127" s="14"/>
    </row>
    <row r="7128" spans="33:33">
      <c r="AG7128" s="14"/>
    </row>
    <row r="7129" spans="33:33">
      <c r="AG7129" s="14"/>
    </row>
    <row r="7130" spans="33:33">
      <c r="AG7130" s="14"/>
    </row>
    <row r="7131" spans="33:33">
      <c r="AG7131" s="14"/>
    </row>
    <row r="7132" spans="33:33">
      <c r="AG7132" s="14"/>
    </row>
    <row r="7133" spans="33:33">
      <c r="AG7133" s="14"/>
    </row>
    <row r="7134" spans="33:33">
      <c r="AG7134" s="14"/>
    </row>
    <row r="7135" spans="33:33">
      <c r="AG7135" s="14"/>
    </row>
    <row r="7136" spans="33:33">
      <c r="AG7136" s="14"/>
    </row>
    <row r="7137" spans="33:33">
      <c r="AG7137" s="14"/>
    </row>
    <row r="7138" spans="33:33">
      <c r="AG7138" s="14"/>
    </row>
    <row r="7139" spans="33:33">
      <c r="AG7139" s="14"/>
    </row>
    <row r="7140" spans="33:33">
      <c r="AG7140" s="14"/>
    </row>
    <row r="7141" spans="33:33">
      <c r="AG7141" s="14"/>
    </row>
    <row r="7142" spans="33:33">
      <c r="AG7142" s="14"/>
    </row>
    <row r="7143" spans="33:33">
      <c r="AG7143" s="14"/>
    </row>
    <row r="7144" spans="33:33">
      <c r="AG7144" s="14"/>
    </row>
    <row r="7145" spans="33:33">
      <c r="AG7145" s="14"/>
    </row>
    <row r="7146" spans="33:33">
      <c r="AG7146" s="14"/>
    </row>
    <row r="7147" spans="33:33">
      <c r="AG7147" s="14"/>
    </row>
    <row r="7148" spans="33:33">
      <c r="AG7148" s="14"/>
    </row>
    <row r="7149" spans="33:33">
      <c r="AG7149" s="14"/>
    </row>
    <row r="7150" spans="33:33">
      <c r="AG7150" s="14"/>
    </row>
    <row r="7151" spans="33:33">
      <c r="AG7151" s="14"/>
    </row>
    <row r="7152" spans="33:33">
      <c r="AG7152" s="14"/>
    </row>
    <row r="7153" spans="33:33">
      <c r="AG7153" s="14"/>
    </row>
    <row r="7154" spans="33:33">
      <c r="AG7154" s="14"/>
    </row>
    <row r="7155" spans="33:33">
      <c r="AG7155" s="14"/>
    </row>
    <row r="7156" spans="33:33">
      <c r="AG7156" s="14"/>
    </row>
    <row r="7157" spans="33:33">
      <c r="AG7157" s="14"/>
    </row>
    <row r="7158" spans="33:33">
      <c r="AG7158" s="14"/>
    </row>
    <row r="7159" spans="33:33">
      <c r="AG7159" s="14"/>
    </row>
    <row r="7160" spans="33:33">
      <c r="AG7160" s="14"/>
    </row>
    <row r="7161" spans="33:33">
      <c r="AG7161" s="14"/>
    </row>
    <row r="7162" spans="33:33">
      <c r="AG7162" s="14"/>
    </row>
    <row r="7163" spans="33:33">
      <c r="AG7163" s="14"/>
    </row>
    <row r="7164" spans="33:33">
      <c r="AG7164" s="14"/>
    </row>
    <row r="7165" spans="33:33">
      <c r="AG7165" s="14"/>
    </row>
    <row r="7166" spans="33:33">
      <c r="AG7166" s="14"/>
    </row>
    <row r="7167" spans="33:33">
      <c r="AG7167" s="14"/>
    </row>
    <row r="7168" spans="33:33">
      <c r="AG7168" s="14"/>
    </row>
    <row r="7169" spans="33:33">
      <c r="AG7169" s="14"/>
    </row>
    <row r="7170" spans="33:33">
      <c r="AG7170" s="14"/>
    </row>
    <row r="7171" spans="33:33">
      <c r="AG7171" s="14"/>
    </row>
    <row r="7172" spans="33:33">
      <c r="AG7172" s="14"/>
    </row>
    <row r="7173" spans="33:33">
      <c r="AG7173" s="14"/>
    </row>
    <row r="7174" spans="33:33">
      <c r="AG7174" s="14"/>
    </row>
    <row r="7175" spans="33:33">
      <c r="AG7175" s="14"/>
    </row>
    <row r="7176" spans="33:33">
      <c r="AG7176" s="14"/>
    </row>
    <row r="7177" spans="33:33">
      <c r="AG7177" s="14"/>
    </row>
    <row r="7178" spans="33:33">
      <c r="AG7178" s="14"/>
    </row>
    <row r="7179" spans="33:33">
      <c r="AG7179" s="14"/>
    </row>
    <row r="7180" spans="33:33">
      <c r="AG7180" s="14"/>
    </row>
    <row r="7181" spans="33:33">
      <c r="AG7181" s="14"/>
    </row>
    <row r="7182" spans="33:33">
      <c r="AG7182" s="14"/>
    </row>
    <row r="7183" spans="33:33">
      <c r="AG7183" s="14"/>
    </row>
    <row r="7184" spans="33:33">
      <c r="AG7184" s="14"/>
    </row>
    <row r="7185" spans="33:33">
      <c r="AG7185" s="14"/>
    </row>
    <row r="7186" spans="33:33">
      <c r="AG7186" s="14"/>
    </row>
    <row r="7187" spans="33:33">
      <c r="AG7187" s="14"/>
    </row>
    <row r="7188" spans="33:33">
      <c r="AG7188" s="14"/>
    </row>
    <row r="7189" spans="33:33">
      <c r="AG7189" s="14"/>
    </row>
    <row r="7190" spans="33:33">
      <c r="AG7190" s="14"/>
    </row>
    <row r="7191" spans="33:33">
      <c r="AG7191" s="14"/>
    </row>
    <row r="7192" spans="33:33">
      <c r="AG7192" s="14"/>
    </row>
    <row r="7193" spans="33:33">
      <c r="AG7193" s="14"/>
    </row>
    <row r="7194" spans="33:33">
      <c r="AG7194" s="14"/>
    </row>
    <row r="7195" spans="33:33">
      <c r="AG7195" s="14"/>
    </row>
    <row r="7196" spans="33:33">
      <c r="AG7196" s="14"/>
    </row>
    <row r="7197" spans="33:33">
      <c r="AG7197" s="14"/>
    </row>
    <row r="7198" spans="33:33">
      <c r="AG7198" s="14"/>
    </row>
    <row r="7199" spans="33:33">
      <c r="AG7199" s="14"/>
    </row>
    <row r="7200" spans="33:33">
      <c r="AG7200" s="14"/>
    </row>
    <row r="7201" spans="33:33">
      <c r="AG7201" s="14"/>
    </row>
    <row r="7202" spans="33:33">
      <c r="AG7202" s="14"/>
    </row>
    <row r="7203" spans="33:33">
      <c r="AG7203" s="14"/>
    </row>
    <row r="7204" spans="33:33">
      <c r="AG7204" s="14"/>
    </row>
    <row r="7205" spans="33:33">
      <c r="AG7205" s="14"/>
    </row>
    <row r="7206" spans="33:33">
      <c r="AG7206" s="14"/>
    </row>
    <row r="7207" spans="33:33">
      <c r="AG7207" s="14"/>
    </row>
    <row r="7208" spans="33:33">
      <c r="AG7208" s="14"/>
    </row>
    <row r="7209" spans="33:33">
      <c r="AG7209" s="14"/>
    </row>
    <row r="7210" spans="33:33">
      <c r="AG7210" s="14"/>
    </row>
    <row r="7211" spans="33:33">
      <c r="AG7211" s="14"/>
    </row>
    <row r="7212" spans="33:33">
      <c r="AG7212" s="14"/>
    </row>
    <row r="7213" spans="33:33">
      <c r="AG7213" s="14"/>
    </row>
    <row r="7214" spans="33:33">
      <c r="AG7214" s="14"/>
    </row>
    <row r="7215" spans="33:33">
      <c r="AG7215" s="14"/>
    </row>
    <row r="7216" spans="33:33">
      <c r="AG7216" s="14"/>
    </row>
    <row r="7217" spans="33:33">
      <c r="AG7217" s="14"/>
    </row>
    <row r="7218" spans="33:33">
      <c r="AG7218" s="14"/>
    </row>
    <row r="7219" spans="33:33">
      <c r="AG7219" s="14"/>
    </row>
    <row r="7220" spans="33:33">
      <c r="AG7220" s="14"/>
    </row>
    <row r="7221" spans="33:33">
      <c r="AG7221" s="14"/>
    </row>
    <row r="7222" spans="33:33">
      <c r="AG7222" s="14"/>
    </row>
    <row r="7223" spans="33:33">
      <c r="AG7223" s="14"/>
    </row>
    <row r="7224" spans="33:33">
      <c r="AG7224" s="14"/>
    </row>
    <row r="7225" spans="33:33">
      <c r="AG7225" s="14"/>
    </row>
    <row r="7226" spans="33:33">
      <c r="AG7226" s="14"/>
    </row>
    <row r="7227" spans="33:33">
      <c r="AG7227" s="14"/>
    </row>
    <row r="7228" spans="33:33">
      <c r="AG7228" s="14"/>
    </row>
    <row r="7229" spans="33:33">
      <c r="AG7229" s="14"/>
    </row>
    <row r="7230" spans="33:33">
      <c r="AG7230" s="14"/>
    </row>
    <row r="7231" spans="33:33">
      <c r="AG7231" s="14"/>
    </row>
    <row r="7232" spans="33:33">
      <c r="AG7232" s="14"/>
    </row>
    <row r="7233" spans="33:33">
      <c r="AG7233" s="14"/>
    </row>
    <row r="7234" spans="33:33">
      <c r="AG7234" s="14"/>
    </row>
    <row r="7235" spans="33:33">
      <c r="AG7235" s="14"/>
    </row>
    <row r="7236" spans="33:33">
      <c r="AG7236" s="14"/>
    </row>
    <row r="7237" spans="33:33">
      <c r="AG7237" s="14"/>
    </row>
    <row r="7238" spans="33:33">
      <c r="AG7238" s="14"/>
    </row>
    <row r="7239" spans="33:33">
      <c r="AG7239" s="14"/>
    </row>
    <row r="7240" spans="33:33">
      <c r="AG7240" s="14"/>
    </row>
    <row r="7241" spans="33:33">
      <c r="AG7241" s="14"/>
    </row>
    <row r="7242" spans="33:33">
      <c r="AG7242" s="14"/>
    </row>
    <row r="7243" spans="33:33">
      <c r="AG7243" s="14"/>
    </row>
    <row r="7244" spans="33:33">
      <c r="AG7244" s="14"/>
    </row>
    <row r="7245" spans="33:33">
      <c r="AG7245" s="14"/>
    </row>
    <row r="7246" spans="33:33">
      <c r="AG7246" s="14"/>
    </row>
    <row r="7247" spans="33:33">
      <c r="AG7247" s="14"/>
    </row>
    <row r="7248" spans="33:33">
      <c r="AG7248" s="14"/>
    </row>
    <row r="7249" spans="33:33">
      <c r="AG7249" s="14"/>
    </row>
    <row r="7250" spans="33:33">
      <c r="AG7250" s="14"/>
    </row>
    <row r="7251" spans="33:33">
      <c r="AG7251" s="14"/>
    </row>
    <row r="7252" spans="33:33">
      <c r="AG7252" s="14"/>
    </row>
    <row r="7253" spans="33:33">
      <c r="AG7253" s="14"/>
    </row>
    <row r="7254" spans="33:33">
      <c r="AG7254" s="14"/>
    </row>
    <row r="7255" spans="33:33">
      <c r="AG7255" s="14"/>
    </row>
    <row r="7256" spans="33:33">
      <c r="AG7256" s="14"/>
    </row>
    <row r="7257" spans="33:33">
      <c r="AG7257" s="14"/>
    </row>
    <row r="7258" spans="33:33">
      <c r="AG7258" s="14"/>
    </row>
    <row r="7259" spans="33:33">
      <c r="AG7259" s="14"/>
    </row>
    <row r="7260" spans="33:33">
      <c r="AG7260" s="14"/>
    </row>
    <row r="7261" spans="33:33">
      <c r="AG7261" s="14"/>
    </row>
    <row r="7262" spans="33:33">
      <c r="AG7262" s="14"/>
    </row>
    <row r="7263" spans="33:33">
      <c r="AG7263" s="14"/>
    </row>
    <row r="7264" spans="33:33">
      <c r="AG7264" s="14"/>
    </row>
    <row r="7265" spans="33:33">
      <c r="AG7265" s="14"/>
    </row>
    <row r="7266" spans="33:33">
      <c r="AG7266" s="14"/>
    </row>
    <row r="7267" spans="33:33">
      <c r="AG7267" s="14"/>
    </row>
    <row r="7268" spans="33:33">
      <c r="AG7268" s="14"/>
    </row>
    <row r="7269" spans="33:33">
      <c r="AG7269" s="14"/>
    </row>
    <row r="7270" spans="33:33">
      <c r="AG7270" s="14"/>
    </row>
    <row r="7271" spans="33:33">
      <c r="AG7271" s="14"/>
    </row>
    <row r="7272" spans="33:33">
      <c r="AG7272" s="14"/>
    </row>
    <row r="7273" spans="33:33">
      <c r="AG7273" s="14"/>
    </row>
    <row r="7274" spans="33:33">
      <c r="AG7274" s="14"/>
    </row>
    <row r="7275" spans="33:33">
      <c r="AG7275" s="14"/>
    </row>
    <row r="7276" spans="33:33">
      <c r="AG7276" s="14"/>
    </row>
    <row r="7277" spans="33:33">
      <c r="AG7277" s="14"/>
    </row>
    <row r="7278" spans="33:33">
      <c r="AG7278" s="14"/>
    </row>
    <row r="7279" spans="33:33">
      <c r="AG7279" s="14"/>
    </row>
    <row r="7280" spans="33:33">
      <c r="AG7280" s="14"/>
    </row>
    <row r="7281" spans="33:33">
      <c r="AG7281" s="14"/>
    </row>
    <row r="7282" spans="33:33">
      <c r="AG7282" s="14"/>
    </row>
    <row r="7283" spans="33:33">
      <c r="AG7283" s="14"/>
    </row>
    <row r="7284" spans="33:33">
      <c r="AG7284" s="14"/>
    </row>
    <row r="7285" spans="33:33">
      <c r="AG7285" s="14"/>
    </row>
    <row r="7286" spans="33:33">
      <c r="AG7286" s="14"/>
    </row>
    <row r="7287" spans="33:33">
      <c r="AG7287" s="14"/>
    </row>
    <row r="7288" spans="33:33">
      <c r="AG7288" s="14"/>
    </row>
    <row r="7289" spans="33:33">
      <c r="AG7289" s="14"/>
    </row>
    <row r="7290" spans="33:33">
      <c r="AG7290" s="14"/>
    </row>
    <row r="7291" spans="33:33">
      <c r="AG7291" s="14"/>
    </row>
    <row r="7292" spans="33:33">
      <c r="AG7292" s="14"/>
    </row>
    <row r="7293" spans="33:33">
      <c r="AG7293" s="14"/>
    </row>
    <row r="7294" spans="33:33">
      <c r="AG7294" s="14"/>
    </row>
    <row r="7295" spans="33:33">
      <c r="AG7295" s="14"/>
    </row>
    <row r="7296" spans="33:33">
      <c r="AG7296" s="14"/>
    </row>
    <row r="7297" spans="33:33">
      <c r="AG7297" s="14"/>
    </row>
    <row r="7298" spans="33:33">
      <c r="AG7298" s="14"/>
    </row>
    <row r="7299" spans="33:33">
      <c r="AG7299" s="14"/>
    </row>
    <row r="7300" spans="33:33">
      <c r="AG7300" s="14"/>
    </row>
    <row r="7301" spans="33:33">
      <c r="AG7301" s="14"/>
    </row>
    <row r="7302" spans="33:33">
      <c r="AG7302" s="14"/>
    </row>
    <row r="7303" spans="33:33">
      <c r="AG7303" s="14"/>
    </row>
    <row r="7304" spans="33:33">
      <c r="AG7304" s="14"/>
    </row>
    <row r="7305" spans="33:33">
      <c r="AG7305" s="14"/>
    </row>
    <row r="7306" spans="33:33">
      <c r="AG7306" s="14"/>
    </row>
    <row r="7307" spans="33:33">
      <c r="AG7307" s="14"/>
    </row>
    <row r="7308" spans="33:33">
      <c r="AG7308" s="14"/>
    </row>
    <row r="7309" spans="33:33">
      <c r="AG7309" s="14"/>
    </row>
    <row r="7310" spans="33:33">
      <c r="AG7310" s="14"/>
    </row>
    <row r="7311" spans="33:33">
      <c r="AG7311" s="14"/>
    </row>
    <row r="7312" spans="33:33">
      <c r="AG7312" s="14"/>
    </row>
    <row r="7313" spans="33:33">
      <c r="AG7313" s="14"/>
    </row>
    <row r="7314" spans="33:33">
      <c r="AG7314" s="14"/>
    </row>
    <row r="7315" spans="33:33">
      <c r="AG7315" s="14"/>
    </row>
    <row r="7316" spans="33:33">
      <c r="AG7316" s="14"/>
    </row>
    <row r="7317" spans="33:33">
      <c r="AG7317" s="14"/>
    </row>
    <row r="7318" spans="33:33">
      <c r="AG7318" s="14"/>
    </row>
    <row r="7319" spans="33:33">
      <c r="AG7319" s="14"/>
    </row>
    <row r="7320" spans="33:33">
      <c r="AG7320" s="14"/>
    </row>
    <row r="7321" spans="33:33">
      <c r="AG7321" s="14"/>
    </row>
    <row r="7322" spans="33:33">
      <c r="AG7322" s="14"/>
    </row>
    <row r="7323" spans="33:33">
      <c r="AG7323" s="14"/>
    </row>
    <row r="7324" spans="33:33">
      <c r="AG7324" s="14"/>
    </row>
    <row r="7325" spans="33:33">
      <c r="AG7325" s="14"/>
    </row>
    <row r="7326" spans="33:33">
      <c r="AG7326" s="14"/>
    </row>
    <row r="7327" spans="33:33">
      <c r="AG7327" s="14"/>
    </row>
    <row r="7328" spans="33:33">
      <c r="AG7328" s="14"/>
    </row>
    <row r="7329" spans="33:33">
      <c r="AG7329" s="14"/>
    </row>
    <row r="7330" spans="33:33">
      <c r="AG7330" s="14"/>
    </row>
    <row r="7331" spans="33:33">
      <c r="AG7331" s="14"/>
    </row>
    <row r="7332" spans="33:33">
      <c r="AG7332" s="14"/>
    </row>
    <row r="7333" spans="33:33">
      <c r="AG7333" s="14"/>
    </row>
    <row r="7334" spans="33:33">
      <c r="AG7334" s="14"/>
    </row>
    <row r="7335" spans="33:33">
      <c r="AG7335" s="14"/>
    </row>
    <row r="7336" spans="33:33">
      <c r="AG7336" s="14"/>
    </row>
    <row r="7337" spans="33:33">
      <c r="AG7337" s="14"/>
    </row>
    <row r="7338" spans="33:33">
      <c r="AG7338" s="14"/>
    </row>
    <row r="7339" spans="33:33">
      <c r="AG7339" s="14"/>
    </row>
    <row r="7340" spans="33:33">
      <c r="AG7340" s="14"/>
    </row>
    <row r="7341" spans="33:33">
      <c r="AG7341" s="14"/>
    </row>
    <row r="7342" spans="33:33">
      <c r="AG7342" s="14"/>
    </row>
    <row r="7343" spans="33:33">
      <c r="AG7343" s="14"/>
    </row>
    <row r="7344" spans="33:33">
      <c r="AG7344" s="14"/>
    </row>
    <row r="7345" spans="33:33">
      <c r="AG7345" s="14"/>
    </row>
    <row r="7346" spans="33:33">
      <c r="AG7346" s="14"/>
    </row>
    <row r="7347" spans="33:33">
      <c r="AG7347" s="14"/>
    </row>
    <row r="7348" spans="33:33">
      <c r="AG7348" s="14"/>
    </row>
    <row r="7349" spans="33:33">
      <c r="AG7349" s="14"/>
    </row>
    <row r="7350" spans="33:33">
      <c r="AG7350" s="14"/>
    </row>
    <row r="7351" spans="33:33">
      <c r="AG7351" s="14"/>
    </row>
    <row r="7352" spans="33:33">
      <c r="AG7352" s="14"/>
    </row>
    <row r="7353" spans="33:33">
      <c r="AG7353" s="14"/>
    </row>
    <row r="7354" spans="33:33">
      <c r="AG7354" s="14"/>
    </row>
    <row r="7355" spans="33:33">
      <c r="AG7355" s="14"/>
    </row>
    <row r="7356" spans="33:33">
      <c r="AG7356" s="14"/>
    </row>
    <row r="7357" spans="33:33">
      <c r="AG7357" s="14"/>
    </row>
    <row r="7358" spans="33:33">
      <c r="AG7358" s="14"/>
    </row>
    <row r="7359" spans="33:33">
      <c r="AG7359" s="14"/>
    </row>
    <row r="7360" spans="33:33">
      <c r="AG7360" s="14"/>
    </row>
    <row r="7361" spans="33:33">
      <c r="AG7361" s="14"/>
    </row>
    <row r="7362" spans="33:33">
      <c r="AG7362" s="14"/>
    </row>
    <row r="7363" spans="33:33">
      <c r="AG7363" s="14"/>
    </row>
    <row r="7364" spans="33:33">
      <c r="AG7364" s="14"/>
    </row>
    <row r="7365" spans="33:33">
      <c r="AG7365" s="14"/>
    </row>
    <row r="7366" spans="33:33">
      <c r="AG7366" s="14"/>
    </row>
    <row r="7367" spans="33:33">
      <c r="AG7367" s="14"/>
    </row>
    <row r="7368" spans="33:33">
      <c r="AG7368" s="14"/>
    </row>
    <row r="7369" spans="33:33">
      <c r="AG7369" s="14"/>
    </row>
    <row r="7370" spans="33:33">
      <c r="AG7370" s="14"/>
    </row>
    <row r="7371" spans="33:33">
      <c r="AG7371" s="14"/>
    </row>
    <row r="7372" spans="33:33">
      <c r="AG7372" s="14"/>
    </row>
    <row r="7373" spans="33:33">
      <c r="AG7373" s="14"/>
    </row>
    <row r="7374" spans="33:33">
      <c r="AG7374" s="14"/>
    </row>
    <row r="7375" spans="33:33">
      <c r="AG7375" s="14"/>
    </row>
    <row r="7376" spans="33:33">
      <c r="AG7376" s="14"/>
    </row>
    <row r="7377" spans="33:33">
      <c r="AG7377" s="14"/>
    </row>
    <row r="7378" spans="33:33">
      <c r="AG7378" s="14"/>
    </row>
    <row r="7379" spans="33:33">
      <c r="AG7379" s="14"/>
    </row>
    <row r="7380" spans="33:33">
      <c r="AG7380" s="14"/>
    </row>
    <row r="7381" spans="33:33">
      <c r="AG7381" s="14"/>
    </row>
    <row r="7382" spans="33:33">
      <c r="AG7382" s="14"/>
    </row>
    <row r="7383" spans="33:33">
      <c r="AG7383" s="14"/>
    </row>
    <row r="7384" spans="33:33">
      <c r="AG7384" s="14"/>
    </row>
    <row r="7385" spans="33:33">
      <c r="AG7385" s="14"/>
    </row>
    <row r="7386" spans="33:33">
      <c r="AG7386" s="14"/>
    </row>
    <row r="7387" spans="33:33">
      <c r="AG7387" s="14"/>
    </row>
    <row r="7388" spans="33:33">
      <c r="AG7388" s="14"/>
    </row>
    <row r="7389" spans="33:33">
      <c r="AG7389" s="14"/>
    </row>
    <row r="7390" spans="33:33">
      <c r="AG7390" s="14"/>
    </row>
    <row r="7391" spans="33:33">
      <c r="AG7391" s="14"/>
    </row>
    <row r="7392" spans="33:33">
      <c r="AG7392" s="14"/>
    </row>
    <row r="7393" spans="33:33">
      <c r="AG7393" s="14"/>
    </row>
    <row r="7394" spans="33:33">
      <c r="AG7394" s="14"/>
    </row>
    <row r="7395" spans="33:33">
      <c r="AG7395" s="14"/>
    </row>
    <row r="7396" spans="33:33">
      <c r="AG7396" s="14"/>
    </row>
    <row r="7397" spans="33:33">
      <c r="AG7397" s="14"/>
    </row>
    <row r="7398" spans="33:33">
      <c r="AG7398" s="14"/>
    </row>
    <row r="7399" spans="33:33">
      <c r="AG7399" s="14"/>
    </row>
    <row r="7400" spans="33:33">
      <c r="AG7400" s="14"/>
    </row>
    <row r="7401" spans="33:33">
      <c r="AG7401" s="14"/>
    </row>
    <row r="7402" spans="33:33">
      <c r="AG7402" s="14"/>
    </row>
    <row r="7403" spans="33:33">
      <c r="AG7403" s="14"/>
    </row>
    <row r="7404" spans="33:33">
      <c r="AG7404" s="14"/>
    </row>
    <row r="7405" spans="33:33">
      <c r="AG7405" s="14"/>
    </row>
    <row r="7406" spans="33:33">
      <c r="AG7406" s="14"/>
    </row>
    <row r="7407" spans="33:33">
      <c r="AG7407" s="14"/>
    </row>
    <row r="7408" spans="33:33">
      <c r="AG7408" s="14"/>
    </row>
    <row r="7409" spans="33:33">
      <c r="AG7409" s="14"/>
    </row>
    <row r="7410" spans="33:33">
      <c r="AG7410" s="14"/>
    </row>
    <row r="7411" spans="33:33">
      <c r="AG7411" s="14"/>
    </row>
    <row r="7412" spans="33:33">
      <c r="AG7412" s="14"/>
    </row>
    <row r="7413" spans="33:33">
      <c r="AG7413" s="14"/>
    </row>
    <row r="7414" spans="33:33">
      <c r="AG7414" s="14"/>
    </row>
    <row r="7415" spans="33:33">
      <c r="AG7415" s="14"/>
    </row>
    <row r="7416" spans="33:33">
      <c r="AG7416" s="14"/>
    </row>
    <row r="7417" spans="33:33">
      <c r="AG7417" s="14"/>
    </row>
    <row r="7418" spans="33:33">
      <c r="AG7418" s="14"/>
    </row>
    <row r="7419" spans="33:33">
      <c r="AG7419" s="14"/>
    </row>
    <row r="7420" spans="33:33">
      <c r="AG7420" s="14"/>
    </row>
    <row r="7421" spans="33:33">
      <c r="AG7421" s="14"/>
    </row>
    <row r="7422" spans="33:33">
      <c r="AG7422" s="14"/>
    </row>
    <row r="7423" spans="33:33">
      <c r="AG7423" s="14"/>
    </row>
    <row r="7424" spans="33:33">
      <c r="AG7424" s="14"/>
    </row>
    <row r="7425" spans="33:33">
      <c r="AG7425" s="14"/>
    </row>
    <row r="7426" spans="33:33">
      <c r="AG7426" s="14"/>
    </row>
    <row r="7427" spans="33:33">
      <c r="AG7427" s="14"/>
    </row>
    <row r="7428" spans="33:33">
      <c r="AG7428" s="14"/>
    </row>
    <row r="7429" spans="33:33">
      <c r="AG7429" s="14"/>
    </row>
    <row r="7430" spans="33:33">
      <c r="AG7430" s="14"/>
    </row>
    <row r="7431" spans="33:33">
      <c r="AG7431" s="14"/>
    </row>
    <row r="7432" spans="33:33">
      <c r="AG7432" s="14"/>
    </row>
    <row r="7433" spans="33:33">
      <c r="AG7433" s="14"/>
    </row>
    <row r="7434" spans="33:33">
      <c r="AG7434" s="14"/>
    </row>
    <row r="7435" spans="33:33">
      <c r="AG7435" s="14"/>
    </row>
    <row r="7436" spans="33:33">
      <c r="AG7436" s="14"/>
    </row>
    <row r="7437" spans="33:33">
      <c r="AG7437" s="14"/>
    </row>
    <row r="7438" spans="33:33">
      <c r="AG7438" s="14"/>
    </row>
    <row r="7439" spans="33:33">
      <c r="AG7439" s="14"/>
    </row>
    <row r="7440" spans="33:33">
      <c r="AG7440" s="14"/>
    </row>
    <row r="7441" spans="33:33">
      <c r="AG7441" s="14"/>
    </row>
    <row r="7442" spans="33:33">
      <c r="AG7442" s="14"/>
    </row>
    <row r="7443" spans="33:33">
      <c r="AG7443" s="14"/>
    </row>
    <row r="7444" spans="33:33">
      <c r="AG7444" s="14"/>
    </row>
    <row r="7445" spans="33:33">
      <c r="AG7445" s="14"/>
    </row>
    <row r="7446" spans="33:33">
      <c r="AG7446" s="14"/>
    </row>
    <row r="7447" spans="33:33">
      <c r="AG7447" s="14"/>
    </row>
    <row r="7448" spans="33:33">
      <c r="AG7448" s="14"/>
    </row>
    <row r="7449" spans="33:33">
      <c r="AG7449" s="14"/>
    </row>
    <row r="7450" spans="33:33">
      <c r="AG7450" s="14"/>
    </row>
    <row r="7451" spans="33:33">
      <c r="AG7451" s="14"/>
    </row>
    <row r="7452" spans="33:33">
      <c r="AG7452" s="14"/>
    </row>
    <row r="7453" spans="33:33">
      <c r="AG7453" s="14"/>
    </row>
    <row r="7454" spans="33:33">
      <c r="AG7454" s="14"/>
    </row>
    <row r="7455" spans="33:33">
      <c r="AG7455" s="14"/>
    </row>
    <row r="7456" spans="33:33">
      <c r="AG7456" s="14"/>
    </row>
    <row r="7457" spans="33:33">
      <c r="AG7457" s="14"/>
    </row>
    <row r="7458" spans="33:33">
      <c r="AG7458" s="14"/>
    </row>
    <row r="7459" spans="33:33">
      <c r="AG7459" s="14"/>
    </row>
    <row r="7460" spans="33:33">
      <c r="AG7460" s="14"/>
    </row>
    <row r="7461" spans="33:33">
      <c r="AG7461" s="14"/>
    </row>
    <row r="7462" spans="33:33">
      <c r="AG7462" s="14"/>
    </row>
    <row r="7463" spans="33:33">
      <c r="AG7463" s="14"/>
    </row>
    <row r="7464" spans="33:33">
      <c r="AG7464" s="14"/>
    </row>
    <row r="7465" spans="33:33">
      <c r="AG7465" s="14"/>
    </row>
    <row r="7466" spans="33:33">
      <c r="AG7466" s="14"/>
    </row>
    <row r="7467" spans="33:33">
      <c r="AG7467" s="14"/>
    </row>
    <row r="7468" spans="33:33">
      <c r="AG7468" s="14"/>
    </row>
    <row r="7469" spans="33:33">
      <c r="AG7469" s="14"/>
    </row>
    <row r="7470" spans="33:33">
      <c r="AG7470" s="14"/>
    </row>
    <row r="7471" spans="33:33">
      <c r="AG7471" s="14"/>
    </row>
    <row r="7472" spans="33:33">
      <c r="AG7472" s="14"/>
    </row>
    <row r="7473" spans="33:33">
      <c r="AG7473" s="14"/>
    </row>
    <row r="7474" spans="33:33">
      <c r="AG7474" s="14"/>
    </row>
    <row r="7475" spans="33:33">
      <c r="AG7475" s="14"/>
    </row>
    <row r="7476" spans="33:33">
      <c r="AG7476" s="14"/>
    </row>
    <row r="7477" spans="33:33">
      <c r="AG7477" s="14"/>
    </row>
    <row r="7478" spans="33:33">
      <c r="AG7478" s="14"/>
    </row>
    <row r="7479" spans="33:33">
      <c r="AG7479" s="14"/>
    </row>
    <row r="7480" spans="33:33">
      <c r="AG7480" s="14"/>
    </row>
    <row r="7481" spans="33:33">
      <c r="AG7481" s="14"/>
    </row>
    <row r="7482" spans="33:33">
      <c r="AG7482" s="14"/>
    </row>
    <row r="7483" spans="33:33">
      <c r="AG7483" s="14"/>
    </row>
    <row r="7484" spans="33:33">
      <c r="AG7484" s="14"/>
    </row>
    <row r="7485" spans="33:33">
      <c r="AG7485" s="14"/>
    </row>
    <row r="7486" spans="33:33">
      <c r="AG7486" s="14"/>
    </row>
    <row r="7487" spans="33:33">
      <c r="AG7487" s="14"/>
    </row>
    <row r="7488" spans="33:33">
      <c r="AG7488" s="14"/>
    </row>
    <row r="7489" spans="33:33">
      <c r="AG7489" s="14"/>
    </row>
    <row r="7490" spans="33:33">
      <c r="AG7490" s="14"/>
    </row>
    <row r="7491" spans="33:33">
      <c r="AG7491" s="14"/>
    </row>
    <row r="7492" spans="33:33">
      <c r="AG7492" s="14"/>
    </row>
    <row r="7493" spans="33:33">
      <c r="AG7493" s="14"/>
    </row>
    <row r="7494" spans="33:33">
      <c r="AG7494" s="14"/>
    </row>
    <row r="7495" spans="33:33">
      <c r="AG7495" s="14"/>
    </row>
    <row r="7496" spans="33:33">
      <c r="AG7496" s="14"/>
    </row>
    <row r="7497" spans="33:33">
      <c r="AG7497" s="14"/>
    </row>
    <row r="7498" spans="33:33">
      <c r="AG7498" s="14"/>
    </row>
    <row r="7499" spans="33:33">
      <c r="AG7499" s="14"/>
    </row>
    <row r="7500" spans="33:33">
      <c r="AG7500" s="14"/>
    </row>
    <row r="7501" spans="33:33">
      <c r="AG7501" s="14"/>
    </row>
    <row r="7502" spans="33:33">
      <c r="AG7502" s="14"/>
    </row>
    <row r="7503" spans="33:33">
      <c r="AG7503" s="14"/>
    </row>
    <row r="7504" spans="33:33">
      <c r="AG7504" s="14"/>
    </row>
    <row r="7505" spans="33:33">
      <c r="AG7505" s="14"/>
    </row>
    <row r="7506" spans="33:33">
      <c r="AG7506" s="14"/>
    </row>
    <row r="7507" spans="33:33">
      <c r="AG7507" s="14"/>
    </row>
    <row r="7508" spans="33:33">
      <c r="AG7508" s="14"/>
    </row>
    <row r="7509" spans="33:33">
      <c r="AG7509" s="14"/>
    </row>
    <row r="7510" spans="33:33">
      <c r="AG7510" s="14"/>
    </row>
    <row r="7511" spans="33:33">
      <c r="AG7511" s="14"/>
    </row>
    <row r="7512" spans="33:33">
      <c r="AG7512" s="14"/>
    </row>
    <row r="7513" spans="33:33">
      <c r="AG7513" s="14"/>
    </row>
    <row r="7514" spans="33:33">
      <c r="AG7514" s="14"/>
    </row>
    <row r="7515" spans="33:33">
      <c r="AG7515" s="14"/>
    </row>
    <row r="7516" spans="33:33">
      <c r="AG7516" s="14"/>
    </row>
    <row r="7517" spans="33:33">
      <c r="AG7517" s="14"/>
    </row>
    <row r="7518" spans="33:33">
      <c r="AG7518" s="14"/>
    </row>
    <row r="7519" spans="33:33">
      <c r="AG7519" s="14"/>
    </row>
    <row r="7520" spans="33:33">
      <c r="AG7520" s="14"/>
    </row>
    <row r="7521" spans="33:33">
      <c r="AG7521" s="14"/>
    </row>
    <row r="7522" spans="33:33">
      <c r="AG7522" s="14"/>
    </row>
    <row r="7523" spans="33:33">
      <c r="AG7523" s="14"/>
    </row>
    <row r="7524" spans="33:33">
      <c r="AG7524" s="14"/>
    </row>
    <row r="7525" spans="33:33">
      <c r="AG7525" s="14"/>
    </row>
    <row r="7526" spans="33:33">
      <c r="AG7526" s="14"/>
    </row>
    <row r="7527" spans="33:33">
      <c r="AG7527" s="14"/>
    </row>
    <row r="7528" spans="33:33">
      <c r="AG7528" s="14"/>
    </row>
    <row r="7529" spans="33:33">
      <c r="AG7529" s="14"/>
    </row>
    <row r="7530" spans="33:33">
      <c r="AG7530" s="14"/>
    </row>
    <row r="7531" spans="33:33">
      <c r="AG7531" s="14"/>
    </row>
    <row r="7532" spans="33:33">
      <c r="AG7532" s="14"/>
    </row>
    <row r="7533" spans="33:33">
      <c r="AG7533" s="14"/>
    </row>
    <row r="7534" spans="33:33">
      <c r="AG7534" s="14"/>
    </row>
    <row r="7535" spans="33:33">
      <c r="AG7535" s="14"/>
    </row>
    <row r="7536" spans="33:33">
      <c r="AG7536" s="14"/>
    </row>
    <row r="7537" spans="33:33">
      <c r="AG7537" s="14"/>
    </row>
    <row r="7538" spans="33:33">
      <c r="AG7538" s="14"/>
    </row>
    <row r="7539" spans="33:33">
      <c r="AG7539" s="14"/>
    </row>
    <row r="7540" spans="33:33">
      <c r="AG7540" s="14"/>
    </row>
    <row r="7541" spans="33:33">
      <c r="AG7541" s="14"/>
    </row>
    <row r="7542" spans="33:33">
      <c r="AG7542" s="14"/>
    </row>
    <row r="7543" spans="33:33">
      <c r="AG7543" s="14"/>
    </row>
    <row r="7544" spans="33:33">
      <c r="AG7544" s="14"/>
    </row>
    <row r="7545" spans="33:33">
      <c r="AG7545" s="14"/>
    </row>
    <row r="7546" spans="33:33">
      <c r="AG7546" s="14"/>
    </row>
    <row r="7547" spans="33:33">
      <c r="AG7547" s="14"/>
    </row>
    <row r="7548" spans="33:33">
      <c r="AG7548" s="14"/>
    </row>
    <row r="7549" spans="33:33">
      <c r="AG7549" s="14"/>
    </row>
    <row r="7550" spans="33:33">
      <c r="AG7550" s="14"/>
    </row>
    <row r="7551" spans="33:33">
      <c r="AG7551" s="14"/>
    </row>
    <row r="7552" spans="33:33">
      <c r="AG7552" s="14"/>
    </row>
    <row r="7553" spans="33:33">
      <c r="AG7553" s="14"/>
    </row>
    <row r="7554" spans="33:33">
      <c r="AG7554" s="14"/>
    </row>
    <row r="7555" spans="33:33">
      <c r="AG7555" s="14"/>
    </row>
    <row r="7556" spans="33:33">
      <c r="AG7556" s="14"/>
    </row>
    <row r="7557" spans="33:33">
      <c r="AG7557" s="14"/>
    </row>
    <row r="7558" spans="33:33">
      <c r="AG7558" s="14"/>
    </row>
    <row r="7559" spans="33:33">
      <c r="AG7559" s="14"/>
    </row>
    <row r="7560" spans="33:33">
      <c r="AG7560" s="14"/>
    </row>
    <row r="7561" spans="33:33">
      <c r="AG7561" s="14"/>
    </row>
    <row r="7562" spans="33:33">
      <c r="AG7562" s="14"/>
    </row>
    <row r="7563" spans="33:33">
      <c r="AG7563" s="14"/>
    </row>
    <row r="7564" spans="33:33">
      <c r="AG7564" s="14"/>
    </row>
    <row r="7565" spans="33:33">
      <c r="AG7565" s="14"/>
    </row>
    <row r="7566" spans="33:33">
      <c r="AG7566" s="14"/>
    </row>
    <row r="7567" spans="33:33">
      <c r="AG7567" s="14"/>
    </row>
    <row r="7568" spans="33:33">
      <c r="AG7568" s="14"/>
    </row>
    <row r="7569" spans="33:33">
      <c r="AG7569" s="14"/>
    </row>
    <row r="7570" spans="33:33">
      <c r="AG7570" s="14"/>
    </row>
    <row r="7571" spans="33:33">
      <c r="AG7571" s="14"/>
    </row>
    <row r="7572" spans="33:33">
      <c r="AG7572" s="14"/>
    </row>
    <row r="7573" spans="33:33">
      <c r="AG7573" s="14"/>
    </row>
    <row r="7574" spans="33:33">
      <c r="AG7574" s="14"/>
    </row>
    <row r="7575" spans="33:33">
      <c r="AG7575" s="14"/>
    </row>
    <row r="7576" spans="33:33">
      <c r="AG7576" s="14"/>
    </row>
    <row r="7577" spans="33:33">
      <c r="AG7577" s="14"/>
    </row>
    <row r="7578" spans="33:33">
      <c r="AG7578" s="14"/>
    </row>
    <row r="7579" spans="33:33">
      <c r="AG7579" s="14"/>
    </row>
    <row r="7580" spans="33:33">
      <c r="AG7580" s="14"/>
    </row>
    <row r="7581" spans="33:33">
      <c r="AG7581" s="14"/>
    </row>
    <row r="7582" spans="33:33">
      <c r="AG7582" s="14"/>
    </row>
    <row r="7583" spans="33:33">
      <c r="AG7583" s="14"/>
    </row>
    <row r="7584" spans="33:33">
      <c r="AG7584" s="14"/>
    </row>
    <row r="7585" spans="33:33">
      <c r="AG7585" s="14"/>
    </row>
    <row r="7586" spans="33:33">
      <c r="AG7586" s="14"/>
    </row>
    <row r="7587" spans="33:33">
      <c r="AG7587" s="14"/>
    </row>
    <row r="7588" spans="33:33">
      <c r="AG7588" s="14"/>
    </row>
    <row r="7589" spans="33:33">
      <c r="AG7589" s="14"/>
    </row>
    <row r="7590" spans="33:33">
      <c r="AG7590" s="14"/>
    </row>
    <row r="7591" spans="33:33">
      <c r="AG7591" s="14"/>
    </row>
    <row r="7592" spans="33:33">
      <c r="AG7592" s="14"/>
    </row>
    <row r="7593" spans="33:33">
      <c r="AG7593" s="14"/>
    </row>
    <row r="7594" spans="33:33">
      <c r="AG7594" s="14"/>
    </row>
    <row r="7595" spans="33:33">
      <c r="AG7595" s="14"/>
    </row>
    <row r="7596" spans="33:33">
      <c r="AG7596" s="14"/>
    </row>
    <row r="7597" spans="33:33">
      <c r="AG7597" s="14"/>
    </row>
    <row r="7598" spans="33:33">
      <c r="AG7598" s="14"/>
    </row>
    <row r="7599" spans="33:33">
      <c r="AG7599" s="14"/>
    </row>
    <row r="7600" spans="33:33">
      <c r="AG7600" s="14"/>
    </row>
    <row r="7601" spans="33:33">
      <c r="AG7601" s="14"/>
    </row>
    <row r="7602" spans="33:33">
      <c r="AG7602" s="14"/>
    </row>
    <row r="7603" spans="33:33">
      <c r="AG7603" s="14"/>
    </row>
    <row r="7604" spans="33:33">
      <c r="AG7604" s="14"/>
    </row>
    <row r="7605" spans="33:33">
      <c r="AG7605" s="14"/>
    </row>
    <row r="7606" spans="33:33">
      <c r="AG7606" s="14"/>
    </row>
    <row r="7607" spans="33:33">
      <c r="AG7607" s="14"/>
    </row>
    <row r="7608" spans="33:33">
      <c r="AG7608" s="14"/>
    </row>
    <row r="7609" spans="33:33">
      <c r="AG7609" s="14"/>
    </row>
    <row r="7610" spans="33:33">
      <c r="AG7610" s="14"/>
    </row>
    <row r="7611" spans="33:33">
      <c r="AG7611" s="14"/>
    </row>
    <row r="7612" spans="33:33">
      <c r="AG7612" s="14"/>
    </row>
    <row r="7613" spans="33:33">
      <c r="AG7613" s="14"/>
    </row>
    <row r="7614" spans="33:33">
      <c r="AG7614" s="14"/>
    </row>
    <row r="7615" spans="33:33">
      <c r="AG7615" s="14"/>
    </row>
    <row r="7616" spans="33:33">
      <c r="AG7616" s="14"/>
    </row>
    <row r="7617" spans="33:33">
      <c r="AG7617" s="14"/>
    </row>
    <row r="7618" spans="33:33">
      <c r="AG7618" s="14"/>
    </row>
    <row r="7619" spans="33:33">
      <c r="AG7619" s="14"/>
    </row>
    <row r="7620" spans="33:33">
      <c r="AG7620" s="14"/>
    </row>
    <row r="7621" spans="33:33">
      <c r="AG7621" s="14"/>
    </row>
    <row r="7622" spans="33:33">
      <c r="AG7622" s="14"/>
    </row>
    <row r="7623" spans="33:33">
      <c r="AG7623" s="14"/>
    </row>
    <row r="7624" spans="33:33">
      <c r="AG7624" s="14"/>
    </row>
    <row r="7625" spans="33:33">
      <c r="AG7625" s="14"/>
    </row>
    <row r="7626" spans="33:33">
      <c r="AG7626" s="14"/>
    </row>
    <row r="7627" spans="33:33">
      <c r="AG7627" s="14"/>
    </row>
    <row r="7628" spans="33:33">
      <c r="AG7628" s="14"/>
    </row>
    <row r="7629" spans="33:33">
      <c r="AG7629" s="14"/>
    </row>
    <row r="7630" spans="33:33">
      <c r="AG7630" s="14"/>
    </row>
    <row r="7631" spans="33:33">
      <c r="AG7631" s="14"/>
    </row>
    <row r="7632" spans="33:33">
      <c r="AG7632" s="14"/>
    </row>
    <row r="7633" spans="33:33">
      <c r="AG7633" s="14"/>
    </row>
    <row r="7634" spans="33:33">
      <c r="AG7634" s="14"/>
    </row>
    <row r="7635" spans="33:33">
      <c r="AG7635" s="14"/>
    </row>
    <row r="7636" spans="33:33">
      <c r="AG7636" s="14"/>
    </row>
    <row r="7637" spans="33:33">
      <c r="AG7637" s="14"/>
    </row>
    <row r="7638" spans="33:33">
      <c r="AG7638" s="14"/>
    </row>
    <row r="7639" spans="33:33">
      <c r="AG7639" s="14"/>
    </row>
    <row r="7640" spans="33:33">
      <c r="AG7640" s="14"/>
    </row>
    <row r="7641" spans="33:33">
      <c r="AG7641" s="14"/>
    </row>
    <row r="7642" spans="33:33">
      <c r="AG7642" s="14"/>
    </row>
    <row r="7643" spans="33:33">
      <c r="AG7643" s="14"/>
    </row>
    <row r="7644" spans="33:33">
      <c r="AG7644" s="14"/>
    </row>
    <row r="7645" spans="33:33">
      <c r="AG7645" s="14"/>
    </row>
    <row r="7646" spans="33:33">
      <c r="AG7646" s="14"/>
    </row>
    <row r="7647" spans="33:33">
      <c r="AG7647" s="14"/>
    </row>
    <row r="7648" spans="33:33">
      <c r="AG7648" s="14"/>
    </row>
    <row r="7649" spans="33:33">
      <c r="AG7649" s="14"/>
    </row>
    <row r="7650" spans="33:33">
      <c r="AG7650" s="14"/>
    </row>
    <row r="7651" spans="33:33">
      <c r="AG7651" s="14"/>
    </row>
    <row r="7652" spans="33:33">
      <c r="AG7652" s="14"/>
    </row>
    <row r="7653" spans="33:33">
      <c r="AG7653" s="14"/>
    </row>
    <row r="7654" spans="33:33">
      <c r="AG7654" s="14"/>
    </row>
    <row r="7655" spans="33:33">
      <c r="AG7655" s="14"/>
    </row>
    <row r="7656" spans="33:33">
      <c r="AG7656" s="14"/>
    </row>
    <row r="7657" spans="33:33">
      <c r="AG7657" s="14"/>
    </row>
    <row r="7658" spans="33:33">
      <c r="AG7658" s="14"/>
    </row>
    <row r="7659" spans="33:33">
      <c r="AG7659" s="14"/>
    </row>
    <row r="7660" spans="33:33">
      <c r="AG7660" s="14"/>
    </row>
    <row r="7661" spans="33:33">
      <c r="AG7661" s="14"/>
    </row>
    <row r="7662" spans="33:33">
      <c r="AG7662" s="14"/>
    </row>
    <row r="7663" spans="33:33">
      <c r="AG7663" s="14"/>
    </row>
    <row r="7664" spans="33:33">
      <c r="AG7664" s="14"/>
    </row>
    <row r="7665" spans="33:33">
      <c r="AG7665" s="14"/>
    </row>
    <row r="7666" spans="33:33">
      <c r="AG7666" s="14"/>
    </row>
    <row r="7667" spans="33:33">
      <c r="AG7667" s="14"/>
    </row>
    <row r="7668" spans="33:33">
      <c r="AG7668" s="14"/>
    </row>
    <row r="7669" spans="33:33">
      <c r="AG7669" s="14"/>
    </row>
    <row r="7670" spans="33:33">
      <c r="AG7670" s="14"/>
    </row>
    <row r="7671" spans="33:33">
      <c r="AG7671" s="14"/>
    </row>
    <row r="7672" spans="33:33">
      <c r="AG7672" s="14"/>
    </row>
    <row r="7673" spans="33:33">
      <c r="AG7673" s="14"/>
    </row>
    <row r="7674" spans="33:33">
      <c r="AG7674" s="14"/>
    </row>
    <row r="7675" spans="33:33">
      <c r="AG7675" s="14"/>
    </row>
    <row r="7676" spans="33:33">
      <c r="AG7676" s="14"/>
    </row>
    <row r="7677" spans="33:33">
      <c r="AG7677" s="14"/>
    </row>
    <row r="7678" spans="33:33">
      <c r="AG7678" s="14"/>
    </row>
    <row r="7679" spans="33:33">
      <c r="AG7679" s="14"/>
    </row>
    <row r="7680" spans="33:33">
      <c r="AG7680" s="14"/>
    </row>
    <row r="7681" spans="33:33">
      <c r="AG7681" s="14"/>
    </row>
    <row r="7682" spans="33:33">
      <c r="AG7682" s="14"/>
    </row>
    <row r="7683" spans="33:33">
      <c r="AG7683" s="14"/>
    </row>
    <row r="7684" spans="33:33">
      <c r="AG7684" s="14"/>
    </row>
    <row r="7685" spans="33:33">
      <c r="AG7685" s="14"/>
    </row>
    <row r="7686" spans="33:33">
      <c r="AG7686" s="14"/>
    </row>
    <row r="7687" spans="33:33">
      <c r="AG7687" s="14"/>
    </row>
    <row r="7688" spans="33:33">
      <c r="AG7688" s="14"/>
    </row>
    <row r="7689" spans="33:33">
      <c r="AG7689" s="14"/>
    </row>
    <row r="7690" spans="33:33">
      <c r="AG7690" s="14"/>
    </row>
    <row r="7691" spans="33:33">
      <c r="AG7691" s="14"/>
    </row>
    <row r="7692" spans="33:33">
      <c r="AG7692" s="14"/>
    </row>
    <row r="7693" spans="33:33">
      <c r="AG7693" s="14"/>
    </row>
    <row r="7694" spans="33:33">
      <c r="AG7694" s="14"/>
    </row>
    <row r="7695" spans="33:33">
      <c r="AG7695" s="14"/>
    </row>
    <row r="7696" spans="33:33">
      <c r="AG7696" s="14"/>
    </row>
    <row r="7697" spans="33:33">
      <c r="AG7697" s="14"/>
    </row>
    <row r="7698" spans="33:33">
      <c r="AG7698" s="14"/>
    </row>
    <row r="7699" spans="33:33">
      <c r="AG7699" s="14"/>
    </row>
    <row r="7700" spans="33:33">
      <c r="AG7700" s="14"/>
    </row>
    <row r="7701" spans="33:33">
      <c r="AG7701" s="14"/>
    </row>
    <row r="7702" spans="33:33">
      <c r="AG7702" s="14"/>
    </row>
    <row r="7703" spans="33:33">
      <c r="AG7703" s="14"/>
    </row>
    <row r="7704" spans="33:33">
      <c r="AG7704" s="14"/>
    </row>
    <row r="7705" spans="33:33">
      <c r="AG7705" s="14"/>
    </row>
    <row r="7706" spans="33:33">
      <c r="AG7706" s="14"/>
    </row>
    <row r="7707" spans="33:33">
      <c r="AG7707" s="14"/>
    </row>
    <row r="7708" spans="33:33">
      <c r="AG7708" s="14"/>
    </row>
    <row r="7709" spans="33:33">
      <c r="AG7709" s="14"/>
    </row>
    <row r="7710" spans="33:33">
      <c r="AG7710" s="14"/>
    </row>
    <row r="7711" spans="33:33">
      <c r="AG7711" s="14"/>
    </row>
    <row r="7712" spans="33:33">
      <c r="AG7712" s="14"/>
    </row>
    <row r="7713" spans="33:33">
      <c r="AG7713" s="14"/>
    </row>
    <row r="7714" spans="33:33">
      <c r="AG7714" s="14"/>
    </row>
    <row r="7715" spans="33:33">
      <c r="AG7715" s="14"/>
    </row>
    <row r="7716" spans="33:33">
      <c r="AG7716" s="14"/>
    </row>
    <row r="7717" spans="33:33">
      <c r="AG7717" s="14"/>
    </row>
    <row r="7718" spans="33:33">
      <c r="AG7718" s="14"/>
    </row>
    <row r="7719" spans="33:33">
      <c r="AG7719" s="14"/>
    </row>
    <row r="7720" spans="33:33">
      <c r="AG7720" s="14"/>
    </row>
    <row r="7721" spans="33:33">
      <c r="AG7721" s="14"/>
    </row>
    <row r="7722" spans="33:33">
      <c r="AG7722" s="14"/>
    </row>
    <row r="7723" spans="33:33">
      <c r="AG7723" s="14"/>
    </row>
    <row r="7724" spans="33:33">
      <c r="AG7724" s="14"/>
    </row>
    <row r="7725" spans="33:33">
      <c r="AG7725" s="14"/>
    </row>
    <row r="7726" spans="33:33">
      <c r="AG7726" s="14"/>
    </row>
    <row r="7727" spans="33:33">
      <c r="AG7727" s="14"/>
    </row>
    <row r="7728" spans="33:33">
      <c r="AG7728" s="14"/>
    </row>
    <row r="7729" spans="33:33">
      <c r="AG7729" s="14"/>
    </row>
    <row r="7730" spans="33:33">
      <c r="AG7730" s="14"/>
    </row>
    <row r="7731" spans="33:33">
      <c r="AG7731" s="14"/>
    </row>
    <row r="7732" spans="33:33">
      <c r="AG7732" s="14"/>
    </row>
    <row r="7733" spans="33:33">
      <c r="AG7733" s="14"/>
    </row>
    <row r="7734" spans="33:33">
      <c r="AG7734" s="14"/>
    </row>
    <row r="7735" spans="33:33">
      <c r="AG7735" s="14"/>
    </row>
    <row r="7736" spans="33:33">
      <c r="AG7736" s="14"/>
    </row>
    <row r="7737" spans="33:33">
      <c r="AG7737" s="14"/>
    </row>
    <row r="7738" spans="33:33">
      <c r="AG7738" s="14"/>
    </row>
    <row r="7739" spans="33:33">
      <c r="AG7739" s="14"/>
    </row>
    <row r="7740" spans="33:33">
      <c r="AG7740" s="14"/>
    </row>
    <row r="7741" spans="33:33">
      <c r="AG7741" s="14"/>
    </row>
    <row r="7742" spans="33:33">
      <c r="AG7742" s="14"/>
    </row>
    <row r="7743" spans="33:33">
      <c r="AG7743" s="14"/>
    </row>
    <row r="7744" spans="33:33">
      <c r="AG7744" s="14"/>
    </row>
    <row r="7745" spans="33:33">
      <c r="AG7745" s="14"/>
    </row>
    <row r="7746" spans="33:33">
      <c r="AG7746" s="14"/>
    </row>
    <row r="7747" spans="33:33">
      <c r="AG7747" s="14"/>
    </row>
    <row r="7748" spans="33:33">
      <c r="AG7748" s="14"/>
    </row>
    <row r="7749" spans="33:33">
      <c r="AG7749" s="14"/>
    </row>
    <row r="7750" spans="33:33">
      <c r="AG7750" s="14"/>
    </row>
    <row r="7751" spans="33:33">
      <c r="AG7751" s="14"/>
    </row>
    <row r="7752" spans="33:33">
      <c r="AG7752" s="14"/>
    </row>
    <row r="7753" spans="33:33">
      <c r="AG7753" s="14"/>
    </row>
    <row r="7754" spans="33:33">
      <c r="AG7754" s="14"/>
    </row>
    <row r="7755" spans="33:33">
      <c r="AG7755" s="14"/>
    </row>
    <row r="7756" spans="33:33">
      <c r="AG7756" s="14"/>
    </row>
    <row r="7757" spans="33:33">
      <c r="AG7757" s="14"/>
    </row>
    <row r="7758" spans="33:33">
      <c r="AG7758" s="14"/>
    </row>
    <row r="7759" spans="33:33">
      <c r="AG7759" s="14"/>
    </row>
    <row r="7760" spans="33:33">
      <c r="AG7760" s="14"/>
    </row>
    <row r="7761" spans="33:33">
      <c r="AG7761" s="14"/>
    </row>
    <row r="7762" spans="33:33">
      <c r="AG7762" s="14"/>
    </row>
    <row r="7763" spans="33:33">
      <c r="AG7763" s="14"/>
    </row>
    <row r="7764" spans="33:33">
      <c r="AG7764" s="14"/>
    </row>
    <row r="7765" spans="33:33">
      <c r="AG7765" s="14"/>
    </row>
    <row r="7766" spans="33:33">
      <c r="AG7766" s="14"/>
    </row>
    <row r="7767" spans="33:33">
      <c r="AG7767" s="14"/>
    </row>
    <row r="7768" spans="33:33">
      <c r="AG7768" s="14"/>
    </row>
    <row r="7769" spans="33:33">
      <c r="AG7769" s="14"/>
    </row>
    <row r="7770" spans="33:33">
      <c r="AG7770" s="14"/>
    </row>
    <row r="7771" spans="33:33">
      <c r="AG7771" s="14"/>
    </row>
    <row r="7772" spans="33:33">
      <c r="AG7772" s="14"/>
    </row>
    <row r="7773" spans="33:33">
      <c r="AG7773" s="14"/>
    </row>
    <row r="7774" spans="33:33">
      <c r="AG7774" s="14"/>
    </row>
    <row r="7775" spans="33:33">
      <c r="AG7775" s="14"/>
    </row>
    <row r="7776" spans="33:33">
      <c r="AG7776" s="14"/>
    </row>
    <row r="7777" spans="33:33">
      <c r="AG7777" s="14"/>
    </row>
    <row r="7778" spans="33:33">
      <c r="AG7778" s="14"/>
    </row>
    <row r="7779" spans="33:33">
      <c r="AG7779" s="14"/>
    </row>
    <row r="7780" spans="33:33">
      <c r="AG7780" s="14"/>
    </row>
    <row r="7781" spans="33:33">
      <c r="AG7781" s="14"/>
    </row>
    <row r="7782" spans="33:33">
      <c r="AG7782" s="14"/>
    </row>
    <row r="7783" spans="33:33">
      <c r="AG7783" s="14"/>
    </row>
    <row r="7784" spans="33:33">
      <c r="AG7784" s="14"/>
    </row>
    <row r="7785" spans="33:33">
      <c r="AG7785" s="14"/>
    </row>
    <row r="7786" spans="33:33">
      <c r="AG7786" s="14"/>
    </row>
    <row r="7787" spans="33:33">
      <c r="AG7787" s="14"/>
    </row>
    <row r="7788" spans="33:33">
      <c r="AG7788" s="14"/>
    </row>
    <row r="7789" spans="33:33">
      <c r="AG7789" s="14"/>
    </row>
    <row r="7790" spans="33:33">
      <c r="AG7790" s="14"/>
    </row>
    <row r="7791" spans="33:33">
      <c r="AG7791" s="14"/>
    </row>
    <row r="7792" spans="33:33">
      <c r="AG7792" s="14"/>
    </row>
    <row r="7793" spans="33:33">
      <c r="AG7793" s="14"/>
    </row>
    <row r="7794" spans="33:33">
      <c r="AG7794" s="14"/>
    </row>
    <row r="7795" spans="33:33">
      <c r="AG7795" s="14"/>
    </row>
    <row r="7796" spans="33:33">
      <c r="AG7796" s="14"/>
    </row>
    <row r="7797" spans="33:33">
      <c r="AG7797" s="14"/>
    </row>
    <row r="7798" spans="33:33">
      <c r="AG7798" s="14"/>
    </row>
    <row r="7799" spans="33:33">
      <c r="AG7799" s="14"/>
    </row>
    <row r="7800" spans="33:33">
      <c r="AG7800" s="14"/>
    </row>
    <row r="7801" spans="33:33">
      <c r="AG7801" s="14"/>
    </row>
    <row r="7802" spans="33:33">
      <c r="AG7802" s="14"/>
    </row>
    <row r="7803" spans="33:33">
      <c r="AG7803" s="14"/>
    </row>
    <row r="7804" spans="33:33">
      <c r="AG7804" s="14"/>
    </row>
    <row r="7805" spans="33:33">
      <c r="AG7805" s="14"/>
    </row>
    <row r="7806" spans="33:33">
      <c r="AG7806" s="14"/>
    </row>
    <row r="7807" spans="33:33">
      <c r="AG7807" s="14"/>
    </row>
    <row r="7808" spans="33:33">
      <c r="AG7808" s="14"/>
    </row>
    <row r="7809" spans="33:33">
      <c r="AG7809" s="14"/>
    </row>
    <row r="7810" spans="33:33">
      <c r="AG7810" s="14"/>
    </row>
    <row r="7811" spans="33:33">
      <c r="AG7811" s="14"/>
    </row>
    <row r="7812" spans="33:33">
      <c r="AG7812" s="14"/>
    </row>
    <row r="7813" spans="33:33">
      <c r="AG7813" s="14"/>
    </row>
    <row r="7814" spans="33:33">
      <c r="AG7814" s="14"/>
    </row>
    <row r="7815" spans="33:33">
      <c r="AG7815" s="14"/>
    </row>
    <row r="7816" spans="33:33">
      <c r="AG7816" s="14"/>
    </row>
    <row r="7817" spans="33:33">
      <c r="AG7817" s="14"/>
    </row>
    <row r="7818" spans="33:33">
      <c r="AG7818" s="14"/>
    </row>
    <row r="7819" spans="33:33">
      <c r="AG7819" s="14"/>
    </row>
    <row r="7820" spans="33:33">
      <c r="AG7820" s="14"/>
    </row>
    <row r="7821" spans="33:33">
      <c r="AG7821" s="14"/>
    </row>
    <row r="7822" spans="33:33">
      <c r="AG7822" s="14"/>
    </row>
    <row r="7823" spans="33:33">
      <c r="AG7823" s="14"/>
    </row>
    <row r="7824" spans="33:33">
      <c r="AG7824" s="14"/>
    </row>
    <row r="7825" spans="33:33">
      <c r="AG7825" s="14"/>
    </row>
    <row r="7826" spans="33:33">
      <c r="AG7826" s="14"/>
    </row>
    <row r="7827" spans="33:33">
      <c r="AG7827" s="14"/>
    </row>
    <row r="7828" spans="33:33">
      <c r="AG7828" s="14"/>
    </row>
    <row r="7829" spans="33:33">
      <c r="AG7829" s="14"/>
    </row>
    <row r="7830" spans="33:33">
      <c r="AG7830" s="14"/>
    </row>
    <row r="7831" spans="33:33">
      <c r="AG7831" s="14"/>
    </row>
    <row r="7832" spans="33:33">
      <c r="AG7832" s="14"/>
    </row>
    <row r="7833" spans="33:33">
      <c r="AG7833" s="14"/>
    </row>
    <row r="7834" spans="33:33">
      <c r="AG7834" s="14"/>
    </row>
    <row r="7835" spans="33:33">
      <c r="AG7835" s="14"/>
    </row>
    <row r="7836" spans="33:33">
      <c r="AG7836" s="14"/>
    </row>
    <row r="7837" spans="33:33">
      <c r="AG7837" s="14"/>
    </row>
    <row r="7838" spans="33:33">
      <c r="AG7838" s="14"/>
    </row>
    <row r="7839" spans="33:33">
      <c r="AG7839" s="14"/>
    </row>
    <row r="7840" spans="33:33">
      <c r="AG7840" s="14"/>
    </row>
    <row r="7841" spans="33:33">
      <c r="AG7841" s="14"/>
    </row>
    <row r="7842" spans="33:33">
      <c r="AG7842" s="14"/>
    </row>
    <row r="7843" spans="33:33">
      <c r="AG7843" s="14"/>
    </row>
    <row r="7844" spans="33:33">
      <c r="AG7844" s="14"/>
    </row>
    <row r="7845" spans="33:33">
      <c r="AG7845" s="14"/>
    </row>
    <row r="7846" spans="33:33">
      <c r="AG7846" s="14"/>
    </row>
    <row r="7847" spans="33:33">
      <c r="AG7847" s="14"/>
    </row>
    <row r="7848" spans="33:33">
      <c r="AG7848" s="14"/>
    </row>
    <row r="7849" spans="33:33">
      <c r="AG7849" s="14"/>
    </row>
    <row r="7850" spans="33:33">
      <c r="AG7850" s="14"/>
    </row>
    <row r="7851" spans="33:33">
      <c r="AG7851" s="14"/>
    </row>
    <row r="7852" spans="33:33">
      <c r="AG7852" s="14"/>
    </row>
    <row r="7853" spans="33:33">
      <c r="AG7853" s="14"/>
    </row>
    <row r="7854" spans="33:33">
      <c r="AG7854" s="14"/>
    </row>
    <row r="7855" spans="33:33">
      <c r="AG7855" s="14"/>
    </row>
    <row r="7856" spans="33:33">
      <c r="AG7856" s="14"/>
    </row>
    <row r="7857" spans="33:33">
      <c r="AG7857" s="14"/>
    </row>
    <row r="7858" spans="33:33">
      <c r="AG7858" s="14"/>
    </row>
    <row r="7859" spans="33:33">
      <c r="AG7859" s="14"/>
    </row>
    <row r="7860" spans="33:33">
      <c r="AG7860" s="14"/>
    </row>
    <row r="7861" spans="33:33">
      <c r="AG7861" s="14"/>
    </row>
    <row r="7862" spans="33:33">
      <c r="AG7862" s="14"/>
    </row>
    <row r="7863" spans="33:33">
      <c r="AG7863" s="14"/>
    </row>
    <row r="7864" spans="33:33">
      <c r="AG7864" s="14"/>
    </row>
    <row r="7865" spans="33:33">
      <c r="AG7865" s="14"/>
    </row>
    <row r="7866" spans="33:33">
      <c r="AG7866" s="14"/>
    </row>
    <row r="7867" spans="33:33">
      <c r="AG7867" s="14"/>
    </row>
    <row r="7868" spans="33:33">
      <c r="AG7868" s="14"/>
    </row>
    <row r="7869" spans="33:33">
      <c r="AG7869" s="14"/>
    </row>
    <row r="7870" spans="33:33">
      <c r="AG7870" s="14"/>
    </row>
    <row r="7871" spans="33:33">
      <c r="AG7871" s="14"/>
    </row>
    <row r="7872" spans="33:33">
      <c r="AG7872" s="14"/>
    </row>
    <row r="7873" spans="33:33">
      <c r="AG7873" s="14"/>
    </row>
    <row r="7874" spans="33:33">
      <c r="AG7874" s="14"/>
    </row>
    <row r="7875" spans="33:33">
      <c r="AG7875" s="14"/>
    </row>
    <row r="7876" spans="33:33">
      <c r="AG7876" s="14"/>
    </row>
    <row r="7877" spans="33:33">
      <c r="AG7877" s="14"/>
    </row>
    <row r="7878" spans="33:33">
      <c r="AG7878" s="14"/>
    </row>
    <row r="7879" spans="33:33">
      <c r="AG7879" s="14"/>
    </row>
    <row r="7880" spans="33:33">
      <c r="AG7880" s="14"/>
    </row>
    <row r="7881" spans="33:33">
      <c r="AG7881" s="14"/>
    </row>
    <row r="7882" spans="33:33">
      <c r="AG7882" s="14"/>
    </row>
    <row r="7883" spans="33:33">
      <c r="AG7883" s="14"/>
    </row>
    <row r="7884" spans="33:33">
      <c r="AG7884" s="14"/>
    </row>
    <row r="7885" spans="33:33">
      <c r="AG7885" s="14"/>
    </row>
    <row r="7886" spans="33:33">
      <c r="AG7886" s="14"/>
    </row>
    <row r="7887" spans="33:33">
      <c r="AG7887" s="14"/>
    </row>
    <row r="7888" spans="33:33">
      <c r="AG7888" s="14"/>
    </row>
    <row r="7889" spans="33:33">
      <c r="AG7889" s="14"/>
    </row>
    <row r="7890" spans="33:33">
      <c r="AG7890" s="14"/>
    </row>
    <row r="7891" spans="33:33">
      <c r="AG7891" s="14"/>
    </row>
    <row r="7892" spans="33:33">
      <c r="AG7892" s="14"/>
    </row>
    <row r="7893" spans="33:33">
      <c r="AG7893" s="14"/>
    </row>
    <row r="7894" spans="33:33">
      <c r="AG7894" s="14"/>
    </row>
    <row r="7895" spans="33:33">
      <c r="AG7895" s="14"/>
    </row>
    <row r="7896" spans="33:33">
      <c r="AG7896" s="14"/>
    </row>
    <row r="7897" spans="33:33">
      <c r="AG7897" s="14"/>
    </row>
    <row r="7898" spans="33:33">
      <c r="AG7898" s="14"/>
    </row>
    <row r="7899" spans="33:33">
      <c r="AG7899" s="14"/>
    </row>
    <row r="7900" spans="33:33">
      <c r="AG7900" s="14"/>
    </row>
    <row r="7901" spans="33:33">
      <c r="AG7901" s="14"/>
    </row>
    <row r="7902" spans="33:33">
      <c r="AG7902" s="14"/>
    </row>
    <row r="7903" spans="33:33">
      <c r="AG7903" s="14"/>
    </row>
    <row r="7904" spans="33:33">
      <c r="AG7904" s="14"/>
    </row>
    <row r="7905" spans="33:33">
      <c r="AG7905" s="14"/>
    </row>
    <row r="7906" spans="33:33">
      <c r="AG7906" s="14"/>
    </row>
    <row r="7907" spans="33:33">
      <c r="AG7907" s="14"/>
    </row>
    <row r="7908" spans="33:33">
      <c r="AG7908" s="14"/>
    </row>
    <row r="7909" spans="33:33">
      <c r="AG7909" s="14"/>
    </row>
    <row r="7910" spans="33:33">
      <c r="AG7910" s="14"/>
    </row>
    <row r="7911" spans="33:33">
      <c r="AG7911" s="14"/>
    </row>
    <row r="7912" spans="33:33">
      <c r="AG7912" s="14"/>
    </row>
    <row r="7913" spans="33:33">
      <c r="AG7913" s="14"/>
    </row>
    <row r="7914" spans="33:33">
      <c r="AG7914" s="14"/>
    </row>
    <row r="7915" spans="33:33">
      <c r="AG7915" s="14"/>
    </row>
    <row r="7916" spans="33:33">
      <c r="AG7916" s="14"/>
    </row>
    <row r="7917" spans="33:33">
      <c r="AG7917" s="14"/>
    </row>
    <row r="7918" spans="33:33">
      <c r="AG7918" s="14"/>
    </row>
    <row r="7919" spans="33:33">
      <c r="AG7919" s="14"/>
    </row>
    <row r="7920" spans="33:33">
      <c r="AG7920" s="14"/>
    </row>
    <row r="7921" spans="33:33">
      <c r="AG7921" s="14"/>
    </row>
    <row r="7922" spans="33:33">
      <c r="AG7922" s="14"/>
    </row>
    <row r="7923" spans="33:33">
      <c r="AG7923" s="14"/>
    </row>
    <row r="7924" spans="33:33">
      <c r="AG7924" s="14"/>
    </row>
    <row r="7925" spans="33:33">
      <c r="AG7925" s="14"/>
    </row>
    <row r="7926" spans="33:33">
      <c r="AG7926" s="14"/>
    </row>
    <row r="7927" spans="33:33">
      <c r="AG7927" s="14"/>
    </row>
    <row r="7928" spans="33:33">
      <c r="AG7928" s="14"/>
    </row>
    <row r="7929" spans="33:33">
      <c r="AG7929" s="14"/>
    </row>
    <row r="7930" spans="33:33">
      <c r="AG7930" s="14"/>
    </row>
    <row r="7931" spans="33:33">
      <c r="AG7931" s="14"/>
    </row>
    <row r="7932" spans="33:33">
      <c r="AG7932" s="14"/>
    </row>
    <row r="7933" spans="33:33">
      <c r="AG7933" s="14"/>
    </row>
    <row r="7934" spans="33:33">
      <c r="AG7934" s="14"/>
    </row>
    <row r="7935" spans="33:33">
      <c r="AG7935" s="14"/>
    </row>
    <row r="7936" spans="33:33">
      <c r="AG7936" s="14"/>
    </row>
    <row r="7937" spans="33:33">
      <c r="AG7937" s="14"/>
    </row>
    <row r="7938" spans="33:33">
      <c r="AG7938" s="14"/>
    </row>
    <row r="7939" spans="33:33">
      <c r="AG7939" s="14"/>
    </row>
    <row r="7940" spans="33:33">
      <c r="AG7940" s="14"/>
    </row>
    <row r="7941" spans="33:33">
      <c r="AG7941" s="14"/>
    </row>
    <row r="7942" spans="33:33">
      <c r="AG7942" s="14"/>
    </row>
    <row r="7943" spans="33:33">
      <c r="AG7943" s="14"/>
    </row>
    <row r="7944" spans="33:33">
      <c r="AG7944" s="14"/>
    </row>
    <row r="7945" spans="33:33">
      <c r="AG7945" s="14"/>
    </row>
    <row r="7946" spans="33:33">
      <c r="AG7946" s="14"/>
    </row>
    <row r="7947" spans="33:33">
      <c r="AG7947" s="14"/>
    </row>
    <row r="7948" spans="33:33">
      <c r="AG7948" s="14"/>
    </row>
    <row r="7949" spans="33:33">
      <c r="AG7949" s="14"/>
    </row>
    <row r="7950" spans="33:33">
      <c r="AG7950" s="14"/>
    </row>
    <row r="7951" spans="33:33">
      <c r="AG7951" s="14"/>
    </row>
    <row r="7952" spans="33:33">
      <c r="AG7952" s="14"/>
    </row>
    <row r="7953" spans="33:33">
      <c r="AG7953" s="14"/>
    </row>
    <row r="7954" spans="33:33">
      <c r="AG7954" s="14"/>
    </row>
    <row r="7955" spans="33:33">
      <c r="AG7955" s="14"/>
    </row>
    <row r="7956" spans="33:33">
      <c r="AG7956" s="14"/>
    </row>
    <row r="7957" spans="33:33">
      <c r="AG7957" s="14"/>
    </row>
    <row r="7958" spans="33:33">
      <c r="AG7958" s="14"/>
    </row>
    <row r="7959" spans="33:33">
      <c r="AG7959" s="14"/>
    </row>
    <row r="7960" spans="33:33">
      <c r="AG7960" s="14"/>
    </row>
    <row r="7961" spans="33:33">
      <c r="AG7961" s="14"/>
    </row>
    <row r="7962" spans="33:33">
      <c r="AG7962" s="14"/>
    </row>
    <row r="7963" spans="33:33">
      <c r="AG7963" s="14"/>
    </row>
    <row r="7964" spans="33:33">
      <c r="AG7964" s="14"/>
    </row>
    <row r="7965" spans="33:33">
      <c r="AG7965" s="14"/>
    </row>
    <row r="7966" spans="33:33">
      <c r="AG7966" s="14"/>
    </row>
    <row r="7967" spans="33:33">
      <c r="AG7967" s="14"/>
    </row>
    <row r="7968" spans="33:33">
      <c r="AG7968" s="14"/>
    </row>
    <row r="7969" spans="33:33">
      <c r="AG7969" s="14"/>
    </row>
    <row r="7970" spans="33:33">
      <c r="AG7970" s="14"/>
    </row>
    <row r="7971" spans="33:33">
      <c r="AG7971" s="14"/>
    </row>
    <row r="7972" spans="33:33">
      <c r="AG7972" s="14"/>
    </row>
    <row r="7973" spans="33:33">
      <c r="AG7973" s="14"/>
    </row>
    <row r="7974" spans="33:33">
      <c r="AG7974" s="14"/>
    </row>
    <row r="7975" spans="33:33">
      <c r="AG7975" s="14"/>
    </row>
    <row r="7976" spans="33:33">
      <c r="AG7976" s="14"/>
    </row>
    <row r="7977" spans="33:33">
      <c r="AG7977" s="14"/>
    </row>
    <row r="7978" spans="33:33">
      <c r="AG7978" s="14"/>
    </row>
    <row r="7979" spans="33:33">
      <c r="AG7979" s="14"/>
    </row>
    <row r="7980" spans="33:33">
      <c r="AG7980" s="14"/>
    </row>
    <row r="7981" spans="33:33">
      <c r="AG7981" s="14"/>
    </row>
    <row r="7982" spans="33:33">
      <c r="AG7982" s="14"/>
    </row>
    <row r="7983" spans="33:33">
      <c r="AG7983" s="14"/>
    </row>
    <row r="7984" spans="33:33">
      <c r="AG7984" s="14"/>
    </row>
    <row r="7985" spans="33:33">
      <c r="AG7985" s="14"/>
    </row>
    <row r="7986" spans="33:33">
      <c r="AG7986" s="14"/>
    </row>
    <row r="7987" spans="33:33">
      <c r="AG7987" s="14"/>
    </row>
    <row r="7988" spans="33:33">
      <c r="AG7988" s="14"/>
    </row>
    <row r="7989" spans="33:33">
      <c r="AG7989" s="14"/>
    </row>
    <row r="7990" spans="33:33">
      <c r="AG7990" s="14"/>
    </row>
    <row r="7991" spans="33:33">
      <c r="AG7991" s="14"/>
    </row>
    <row r="7992" spans="33:33">
      <c r="AG7992" s="14"/>
    </row>
    <row r="7993" spans="33:33">
      <c r="AG7993" s="14"/>
    </row>
    <row r="7994" spans="33:33">
      <c r="AG7994" s="14"/>
    </row>
    <row r="7995" spans="33:33">
      <c r="AG7995" s="14"/>
    </row>
    <row r="7996" spans="33:33">
      <c r="AG7996" s="14"/>
    </row>
    <row r="7997" spans="33:33">
      <c r="AG7997" s="14"/>
    </row>
    <row r="7998" spans="33:33">
      <c r="AG7998" s="14"/>
    </row>
    <row r="7999" spans="33:33">
      <c r="AG7999" s="14"/>
    </row>
    <row r="8000" spans="33:33">
      <c r="AG8000" s="14"/>
    </row>
    <row r="8001" spans="33:33">
      <c r="AG8001" s="14"/>
    </row>
    <row r="8002" spans="33:33">
      <c r="AG8002" s="14"/>
    </row>
    <row r="8003" spans="33:33">
      <c r="AG8003" s="14"/>
    </row>
    <row r="8004" spans="33:33">
      <c r="AG8004" s="14"/>
    </row>
    <row r="8005" spans="33:33">
      <c r="AG8005" s="14"/>
    </row>
    <row r="8006" spans="33:33">
      <c r="AG8006" s="14"/>
    </row>
    <row r="8007" spans="33:33">
      <c r="AG8007" s="14"/>
    </row>
    <row r="8008" spans="33:33">
      <c r="AG8008" s="14"/>
    </row>
    <row r="8009" spans="33:33">
      <c r="AG8009" s="14"/>
    </row>
    <row r="8010" spans="33:33">
      <c r="AG8010" s="14"/>
    </row>
    <row r="8011" spans="33:33">
      <c r="AG8011" s="14"/>
    </row>
    <row r="8012" spans="33:33">
      <c r="AG8012" s="14"/>
    </row>
    <row r="8013" spans="33:33">
      <c r="AG8013" s="14"/>
    </row>
    <row r="8014" spans="33:33">
      <c r="AG8014" s="14"/>
    </row>
    <row r="8015" spans="33:33">
      <c r="AG8015" s="14"/>
    </row>
    <row r="8016" spans="33:33">
      <c r="AG8016" s="14"/>
    </row>
    <row r="8017" spans="33:33">
      <c r="AG8017" s="14"/>
    </row>
    <row r="8018" spans="33:33">
      <c r="AG8018" s="14"/>
    </row>
    <row r="8019" spans="33:33">
      <c r="AG8019" s="14"/>
    </row>
    <row r="8020" spans="33:33">
      <c r="AG8020" s="14"/>
    </row>
    <row r="8021" spans="33:33">
      <c r="AG8021" s="14"/>
    </row>
    <row r="8022" spans="33:33">
      <c r="AG8022" s="14"/>
    </row>
    <row r="8023" spans="33:33">
      <c r="AG8023" s="14"/>
    </row>
    <row r="8024" spans="33:33">
      <c r="AG8024" s="14"/>
    </row>
    <row r="8025" spans="33:33">
      <c r="AG8025" s="14"/>
    </row>
    <row r="8026" spans="33:33">
      <c r="AG8026" s="14"/>
    </row>
    <row r="8027" spans="33:33">
      <c r="AG8027" s="14"/>
    </row>
    <row r="8028" spans="33:33">
      <c r="AG8028" s="14"/>
    </row>
    <row r="8029" spans="33:33">
      <c r="AG8029" s="14"/>
    </row>
    <row r="8030" spans="33:33">
      <c r="AG8030" s="14"/>
    </row>
    <row r="8031" spans="33:33">
      <c r="AG8031" s="14"/>
    </row>
    <row r="8032" spans="33:33">
      <c r="AG8032" s="14"/>
    </row>
    <row r="8033" spans="33:33">
      <c r="AG8033" s="14"/>
    </row>
    <row r="8034" spans="33:33">
      <c r="AG8034" s="14"/>
    </row>
    <row r="8035" spans="33:33">
      <c r="AG8035" s="14"/>
    </row>
    <row r="8036" spans="33:33">
      <c r="AG8036" s="14"/>
    </row>
    <row r="8037" spans="33:33">
      <c r="AG8037" s="14"/>
    </row>
    <row r="8038" spans="33:33">
      <c r="AG8038" s="14"/>
    </row>
    <row r="8039" spans="33:33">
      <c r="AG8039" s="14"/>
    </row>
    <row r="8040" spans="33:33">
      <c r="AG8040" s="14"/>
    </row>
    <row r="8041" spans="33:33">
      <c r="AG8041" s="14"/>
    </row>
    <row r="8042" spans="33:33">
      <c r="AG8042" s="14"/>
    </row>
    <row r="8043" spans="33:33">
      <c r="AG8043" s="14"/>
    </row>
    <row r="8044" spans="33:33">
      <c r="AG8044" s="14"/>
    </row>
    <row r="8045" spans="33:33">
      <c r="AG8045" s="14"/>
    </row>
    <row r="8046" spans="33:33">
      <c r="AG8046" s="14"/>
    </row>
    <row r="8047" spans="33:33">
      <c r="AG8047" s="14"/>
    </row>
    <row r="8048" spans="33:33">
      <c r="AG8048" s="14"/>
    </row>
    <row r="8049" spans="33:33">
      <c r="AG8049" s="14"/>
    </row>
    <row r="8050" spans="33:33">
      <c r="AG8050" s="14"/>
    </row>
    <row r="8051" spans="33:33">
      <c r="AG8051" s="14"/>
    </row>
    <row r="8052" spans="33:33">
      <c r="AG8052" s="14"/>
    </row>
    <row r="8053" spans="33:33">
      <c r="AG8053" s="14"/>
    </row>
    <row r="8054" spans="33:33">
      <c r="AG8054" s="14"/>
    </row>
    <row r="8055" spans="33:33">
      <c r="AG8055" s="14"/>
    </row>
    <row r="8056" spans="33:33">
      <c r="AG8056" s="14"/>
    </row>
    <row r="8057" spans="33:33">
      <c r="AG8057" s="14"/>
    </row>
    <row r="8058" spans="33:33">
      <c r="AG8058" s="14"/>
    </row>
    <row r="8059" spans="33:33">
      <c r="AG8059" s="14"/>
    </row>
    <row r="8060" spans="33:33">
      <c r="AG8060" s="14"/>
    </row>
    <row r="8061" spans="33:33">
      <c r="AG8061" s="14"/>
    </row>
    <row r="8062" spans="33:33">
      <c r="AG8062" s="14"/>
    </row>
    <row r="8063" spans="33:33">
      <c r="AG8063" s="14"/>
    </row>
    <row r="8064" spans="33:33">
      <c r="AG8064" s="14"/>
    </row>
    <row r="8065" spans="33:33">
      <c r="AG8065" s="14"/>
    </row>
    <row r="8066" spans="33:33">
      <c r="AG8066" s="14"/>
    </row>
    <row r="8067" spans="33:33">
      <c r="AG8067" s="14"/>
    </row>
    <row r="8068" spans="33:33">
      <c r="AG8068" s="14"/>
    </row>
    <row r="8069" spans="33:33">
      <c r="AG8069" s="14"/>
    </row>
    <row r="8070" spans="33:33">
      <c r="AG8070" s="14"/>
    </row>
    <row r="8071" spans="33:33">
      <c r="AG8071" s="14"/>
    </row>
    <row r="8072" spans="33:33">
      <c r="AG8072" s="14"/>
    </row>
    <row r="8073" spans="33:33">
      <c r="AG8073" s="14"/>
    </row>
    <row r="8074" spans="33:33">
      <c r="AG8074" s="14"/>
    </row>
    <row r="8075" spans="33:33">
      <c r="AG8075" s="14"/>
    </row>
    <row r="8076" spans="33:33">
      <c r="AG8076" s="14"/>
    </row>
    <row r="8077" spans="33:33">
      <c r="AG8077" s="14"/>
    </row>
    <row r="8078" spans="33:33">
      <c r="AG8078" s="14"/>
    </row>
    <row r="8079" spans="33:33">
      <c r="AG8079" s="14"/>
    </row>
    <row r="8080" spans="33:33">
      <c r="AG8080" s="14"/>
    </row>
    <row r="8081" spans="33:33">
      <c r="AG8081" s="14"/>
    </row>
    <row r="8082" spans="33:33">
      <c r="AG8082" s="14"/>
    </row>
    <row r="8083" spans="33:33">
      <c r="AG8083" s="14"/>
    </row>
    <row r="8084" spans="33:33">
      <c r="AG8084" s="14"/>
    </row>
    <row r="8085" spans="33:33">
      <c r="AG8085" s="14"/>
    </row>
    <row r="8086" spans="33:33">
      <c r="AG8086" s="14"/>
    </row>
    <row r="8087" spans="33:33">
      <c r="AG8087" s="14"/>
    </row>
    <row r="8088" spans="33:33">
      <c r="AG8088" s="14"/>
    </row>
    <row r="8089" spans="33:33">
      <c r="AG8089" s="14"/>
    </row>
    <row r="8090" spans="33:33">
      <c r="AG8090" s="14"/>
    </row>
    <row r="8091" spans="33:33">
      <c r="AG8091" s="14"/>
    </row>
    <row r="8092" spans="33:33">
      <c r="AG8092" s="14"/>
    </row>
    <row r="8093" spans="33:33">
      <c r="AG8093" s="14"/>
    </row>
    <row r="8094" spans="33:33">
      <c r="AG8094" s="14"/>
    </row>
    <row r="8095" spans="33:33">
      <c r="AG8095" s="14"/>
    </row>
    <row r="8096" spans="33:33">
      <c r="AG8096" s="14"/>
    </row>
    <row r="8097" spans="33:33">
      <c r="AG8097" s="14"/>
    </row>
    <row r="8098" spans="33:33">
      <c r="AG8098" s="14"/>
    </row>
    <row r="8099" spans="33:33">
      <c r="AG8099" s="14"/>
    </row>
    <row r="8100" spans="33:33">
      <c r="AG8100" s="14"/>
    </row>
    <row r="8101" spans="33:33">
      <c r="AG8101" s="14"/>
    </row>
    <row r="8102" spans="33:33">
      <c r="AG8102" s="14"/>
    </row>
    <row r="8103" spans="33:33">
      <c r="AG8103" s="14"/>
    </row>
    <row r="8104" spans="33:33">
      <c r="AG8104" s="14"/>
    </row>
    <row r="8105" spans="33:33">
      <c r="AG8105" s="14"/>
    </row>
    <row r="8106" spans="33:33">
      <c r="AG8106" s="14"/>
    </row>
    <row r="8107" spans="33:33">
      <c r="AG8107" s="14"/>
    </row>
    <row r="8108" spans="33:33">
      <c r="AG8108" s="14"/>
    </row>
    <row r="8109" spans="33:33">
      <c r="AG8109" s="14"/>
    </row>
    <row r="8110" spans="33:33">
      <c r="AG8110" s="14"/>
    </row>
    <row r="8111" spans="33:33">
      <c r="AG8111" s="14"/>
    </row>
    <row r="8112" spans="33:33">
      <c r="AG8112" s="14"/>
    </row>
    <row r="8113" spans="33:33">
      <c r="AG8113" s="14"/>
    </row>
    <row r="8114" spans="33:33">
      <c r="AG8114" s="14"/>
    </row>
    <row r="8115" spans="33:33">
      <c r="AG8115" s="14"/>
    </row>
    <row r="8116" spans="33:33">
      <c r="AG8116" s="14"/>
    </row>
    <row r="8117" spans="33:33">
      <c r="AG8117" s="14"/>
    </row>
    <row r="8118" spans="33:33">
      <c r="AG8118" s="14"/>
    </row>
    <row r="8119" spans="33:33">
      <c r="AG8119" s="14"/>
    </row>
    <row r="8120" spans="33:33">
      <c r="AG8120" s="14"/>
    </row>
    <row r="8121" spans="33:33">
      <c r="AG8121" s="14"/>
    </row>
    <row r="8122" spans="33:33">
      <c r="AG8122" s="14"/>
    </row>
    <row r="8123" spans="33:33">
      <c r="AG8123" s="14"/>
    </row>
    <row r="8124" spans="33:33">
      <c r="AG8124" s="14"/>
    </row>
    <row r="8125" spans="33:33">
      <c r="AG8125" s="14"/>
    </row>
    <row r="8126" spans="33:33">
      <c r="AG8126" s="14"/>
    </row>
    <row r="8127" spans="33:33">
      <c r="AG8127" s="14"/>
    </row>
    <row r="8128" spans="33:33">
      <c r="AG8128" s="14"/>
    </row>
    <row r="8129" spans="33:33">
      <c r="AG8129" s="14"/>
    </row>
    <row r="8130" spans="33:33">
      <c r="AG8130" s="14"/>
    </row>
    <row r="8131" spans="33:33">
      <c r="AG8131" s="14"/>
    </row>
    <row r="8132" spans="33:33">
      <c r="AG8132" s="14"/>
    </row>
    <row r="8133" spans="33:33">
      <c r="AG8133" s="14"/>
    </row>
    <row r="8134" spans="33:33">
      <c r="AG8134" s="14"/>
    </row>
    <row r="8135" spans="33:33">
      <c r="AG8135" s="14"/>
    </row>
    <row r="8136" spans="33:33">
      <c r="AG8136" s="14"/>
    </row>
    <row r="8137" spans="33:33">
      <c r="AG8137" s="14"/>
    </row>
    <row r="8138" spans="33:33">
      <c r="AG8138" s="14"/>
    </row>
    <row r="8139" spans="33:33">
      <c r="AG8139" s="14"/>
    </row>
    <row r="8140" spans="33:33">
      <c r="AG8140" s="14"/>
    </row>
    <row r="8141" spans="33:33">
      <c r="AG8141" s="14"/>
    </row>
    <row r="8142" spans="33:33">
      <c r="AG8142" s="14"/>
    </row>
    <row r="8143" spans="33:33">
      <c r="AG8143" s="14"/>
    </row>
    <row r="8144" spans="33:33">
      <c r="AG8144" s="14"/>
    </row>
    <row r="8145" spans="33:33">
      <c r="AG8145" s="14"/>
    </row>
    <row r="8146" spans="33:33">
      <c r="AG8146" s="14"/>
    </row>
    <row r="8147" spans="33:33">
      <c r="AG8147" s="14"/>
    </row>
    <row r="8148" spans="33:33">
      <c r="AG8148" s="14"/>
    </row>
    <row r="8149" spans="33:33">
      <c r="AG8149" s="14"/>
    </row>
    <row r="8150" spans="33:33">
      <c r="AG8150" s="14"/>
    </row>
    <row r="8151" spans="33:33">
      <c r="AG8151" s="14"/>
    </row>
    <row r="8152" spans="33:33">
      <c r="AG8152" s="14"/>
    </row>
    <row r="8153" spans="33:33">
      <c r="AG8153" s="14"/>
    </row>
    <row r="8154" spans="33:33">
      <c r="AG8154" s="14"/>
    </row>
    <row r="8155" spans="33:33">
      <c r="AG8155" s="14"/>
    </row>
    <row r="8156" spans="33:33">
      <c r="AG8156" s="14"/>
    </row>
    <row r="8157" spans="33:33">
      <c r="AG8157" s="14"/>
    </row>
    <row r="8158" spans="33:33">
      <c r="AG8158" s="14"/>
    </row>
    <row r="8159" spans="33:33">
      <c r="AG8159" s="14"/>
    </row>
    <row r="8160" spans="33:33">
      <c r="AG8160" s="14"/>
    </row>
    <row r="8161" spans="33:33">
      <c r="AG8161" s="14"/>
    </row>
    <row r="8162" spans="33:33">
      <c r="AG8162" s="14"/>
    </row>
    <row r="8163" spans="33:33">
      <c r="AG8163" s="14"/>
    </row>
    <row r="8164" spans="33:33">
      <c r="AG8164" s="14"/>
    </row>
    <row r="8165" spans="33:33">
      <c r="AG8165" s="14"/>
    </row>
    <row r="8166" spans="33:33">
      <c r="AG8166" s="14"/>
    </row>
    <row r="8167" spans="33:33">
      <c r="AG8167" s="14"/>
    </row>
    <row r="8168" spans="33:33">
      <c r="AG8168" s="14"/>
    </row>
    <row r="8169" spans="33:33">
      <c r="AG8169" s="14"/>
    </row>
    <row r="8170" spans="33:33">
      <c r="AG8170" s="14"/>
    </row>
    <row r="8171" spans="33:33">
      <c r="AG8171" s="14"/>
    </row>
    <row r="8172" spans="33:33">
      <c r="AG8172" s="14"/>
    </row>
    <row r="8173" spans="33:33">
      <c r="AG8173" s="14"/>
    </row>
    <row r="8174" spans="33:33">
      <c r="AG8174" s="14"/>
    </row>
    <row r="8175" spans="33:33">
      <c r="AG8175" s="14"/>
    </row>
    <row r="8176" spans="33:33">
      <c r="AG8176" s="14"/>
    </row>
    <row r="8177" spans="33:33">
      <c r="AG8177" s="14"/>
    </row>
    <row r="8178" spans="33:33">
      <c r="AG8178" s="14"/>
    </row>
    <row r="8179" spans="33:33">
      <c r="AG8179" s="14"/>
    </row>
    <row r="8180" spans="33:33">
      <c r="AG8180" s="14"/>
    </row>
    <row r="8181" spans="33:33">
      <c r="AG8181" s="14"/>
    </row>
    <row r="8182" spans="33:33">
      <c r="AG8182" s="14"/>
    </row>
    <row r="8183" spans="33:33">
      <c r="AG8183" s="14"/>
    </row>
    <row r="8184" spans="33:33">
      <c r="AG8184" s="14"/>
    </row>
    <row r="8185" spans="33:33">
      <c r="AG8185" s="14"/>
    </row>
    <row r="8186" spans="33:33">
      <c r="AG8186" s="14"/>
    </row>
    <row r="8187" spans="33:33">
      <c r="AG8187" s="14"/>
    </row>
    <row r="8188" spans="33:33">
      <c r="AG8188" s="14"/>
    </row>
    <row r="8189" spans="33:33">
      <c r="AG8189" s="14"/>
    </row>
    <row r="8190" spans="33:33">
      <c r="AG8190" s="14"/>
    </row>
    <row r="8191" spans="33:33">
      <c r="AG8191" s="14"/>
    </row>
    <row r="8192" spans="33:33">
      <c r="AG8192" s="14"/>
    </row>
    <row r="8193" spans="33:33">
      <c r="AG8193" s="14"/>
    </row>
    <row r="8194" spans="33:33">
      <c r="AG8194" s="14"/>
    </row>
    <row r="8195" spans="33:33">
      <c r="AG8195" s="14"/>
    </row>
    <row r="8196" spans="33:33">
      <c r="AG8196" s="14"/>
    </row>
    <row r="8197" spans="33:33">
      <c r="AG8197" s="14"/>
    </row>
    <row r="8198" spans="33:33">
      <c r="AG8198" s="14"/>
    </row>
    <row r="8199" spans="33:33">
      <c r="AG8199" s="14"/>
    </row>
    <row r="8200" spans="33:33">
      <c r="AG8200" s="14"/>
    </row>
    <row r="8201" spans="33:33">
      <c r="AG8201" s="14"/>
    </row>
    <row r="8202" spans="33:33">
      <c r="AG8202" s="14"/>
    </row>
    <row r="8203" spans="33:33">
      <c r="AG8203" s="14"/>
    </row>
    <row r="8204" spans="33:33">
      <c r="AG8204" s="14"/>
    </row>
    <row r="8205" spans="33:33">
      <c r="AG8205" s="14"/>
    </row>
    <row r="8206" spans="33:33">
      <c r="AG8206" s="14"/>
    </row>
    <row r="8207" spans="33:33">
      <c r="AG8207" s="14"/>
    </row>
    <row r="8208" spans="33:33">
      <c r="AG8208" s="14"/>
    </row>
    <row r="8209" spans="33:33">
      <c r="AG8209" s="14"/>
    </row>
    <row r="8210" spans="33:33">
      <c r="AG8210" s="14"/>
    </row>
    <row r="8211" spans="33:33">
      <c r="AG8211" s="14"/>
    </row>
    <row r="8212" spans="33:33">
      <c r="AG8212" s="14"/>
    </row>
    <row r="8213" spans="33:33">
      <c r="AG8213" s="14"/>
    </row>
    <row r="8214" spans="33:33">
      <c r="AG8214" s="14"/>
    </row>
    <row r="8215" spans="33:33">
      <c r="AG8215" s="14"/>
    </row>
    <row r="8216" spans="33:33">
      <c r="AG8216" s="14"/>
    </row>
    <row r="8217" spans="33:33">
      <c r="AG8217" s="14"/>
    </row>
    <row r="8218" spans="33:33">
      <c r="AG8218" s="14"/>
    </row>
    <row r="8219" spans="33:33">
      <c r="AG8219" s="14"/>
    </row>
    <row r="8220" spans="33:33">
      <c r="AG8220" s="14"/>
    </row>
    <row r="8221" spans="33:33">
      <c r="AG8221" s="14"/>
    </row>
    <row r="8222" spans="33:33">
      <c r="AG8222" s="14"/>
    </row>
    <row r="8223" spans="33:33">
      <c r="AG8223" s="14"/>
    </row>
    <row r="8224" spans="33:33">
      <c r="AG8224" s="14"/>
    </row>
    <row r="8225" spans="33:33">
      <c r="AG8225" s="14"/>
    </row>
    <row r="8226" spans="33:33">
      <c r="AG8226" s="14"/>
    </row>
    <row r="8227" spans="33:33">
      <c r="AG8227" s="14"/>
    </row>
    <row r="8228" spans="33:33">
      <c r="AG8228" s="14"/>
    </row>
    <row r="8229" spans="33:33">
      <c r="AG8229" s="14"/>
    </row>
    <row r="8230" spans="33:33">
      <c r="AG8230" s="14"/>
    </row>
    <row r="8231" spans="33:33">
      <c r="AG8231" s="14"/>
    </row>
    <row r="8232" spans="33:33">
      <c r="AG8232" s="14"/>
    </row>
    <row r="8233" spans="33:33">
      <c r="AG8233" s="14"/>
    </row>
    <row r="8234" spans="33:33">
      <c r="AG8234" s="14"/>
    </row>
    <row r="8235" spans="33:33">
      <c r="AG8235" s="14"/>
    </row>
    <row r="8236" spans="33:33">
      <c r="AG8236" s="14"/>
    </row>
    <row r="8237" spans="33:33">
      <c r="AG8237" s="14"/>
    </row>
    <row r="8238" spans="33:33">
      <c r="AG8238" s="14"/>
    </row>
    <row r="8239" spans="33:33">
      <c r="AG8239" s="14"/>
    </row>
    <row r="8240" spans="33:33">
      <c r="AG8240" s="14"/>
    </row>
    <row r="8241" spans="33:33">
      <c r="AG8241" s="14"/>
    </row>
    <row r="8242" spans="33:33">
      <c r="AG8242" s="14"/>
    </row>
    <row r="8243" spans="33:33">
      <c r="AG8243" s="14"/>
    </row>
    <row r="8244" spans="33:33">
      <c r="AG8244" s="14"/>
    </row>
    <row r="8245" spans="33:33">
      <c r="AG8245" s="14"/>
    </row>
    <row r="8246" spans="33:33">
      <c r="AG8246" s="14"/>
    </row>
    <row r="8247" spans="33:33">
      <c r="AG8247" s="14"/>
    </row>
    <row r="8248" spans="33:33">
      <c r="AG8248" s="14"/>
    </row>
    <row r="8249" spans="33:33">
      <c r="AG8249" s="14"/>
    </row>
    <row r="8250" spans="33:33">
      <c r="AG8250" s="14"/>
    </row>
    <row r="8251" spans="33:33">
      <c r="AG8251" s="14"/>
    </row>
    <row r="8252" spans="33:33">
      <c r="AG8252" s="14"/>
    </row>
    <row r="8253" spans="33:33">
      <c r="AG8253" s="14"/>
    </row>
    <row r="8254" spans="33:33">
      <c r="AG8254" s="14"/>
    </row>
    <row r="8255" spans="33:33">
      <c r="AG8255" s="14"/>
    </row>
    <row r="8256" spans="33:33">
      <c r="AG8256" s="14"/>
    </row>
    <row r="8257" spans="33:33">
      <c r="AG8257" s="14"/>
    </row>
    <row r="8258" spans="33:33">
      <c r="AG8258" s="14"/>
    </row>
    <row r="8259" spans="33:33">
      <c r="AG8259" s="14"/>
    </row>
    <row r="8260" spans="33:33">
      <c r="AG8260" s="14"/>
    </row>
    <row r="8261" spans="33:33">
      <c r="AG8261" s="14"/>
    </row>
    <row r="8262" spans="33:33">
      <c r="AG8262" s="14"/>
    </row>
    <row r="8263" spans="33:33">
      <c r="AG8263" s="14"/>
    </row>
    <row r="8264" spans="33:33">
      <c r="AG8264" s="14"/>
    </row>
    <row r="8265" spans="33:33">
      <c r="AG8265" s="14"/>
    </row>
    <row r="8266" spans="33:33">
      <c r="AG8266" s="14"/>
    </row>
    <row r="8267" spans="33:33">
      <c r="AG8267" s="14"/>
    </row>
    <row r="8268" spans="33:33">
      <c r="AG8268" s="14"/>
    </row>
    <row r="8269" spans="33:33">
      <c r="AG8269" s="14"/>
    </row>
    <row r="8270" spans="33:33">
      <c r="AG8270" s="14"/>
    </row>
    <row r="8271" spans="33:33">
      <c r="AG8271" s="14"/>
    </row>
    <row r="8272" spans="33:33">
      <c r="AG8272" s="14"/>
    </row>
    <row r="8273" spans="33:33">
      <c r="AG8273" s="14"/>
    </row>
    <row r="8274" spans="33:33">
      <c r="AG8274" s="14"/>
    </row>
    <row r="8275" spans="33:33">
      <c r="AG8275" s="14"/>
    </row>
    <row r="8276" spans="33:33">
      <c r="AG8276" s="14"/>
    </row>
    <row r="8277" spans="33:33">
      <c r="AG8277" s="14"/>
    </row>
    <row r="8278" spans="33:33">
      <c r="AG8278" s="14"/>
    </row>
    <row r="8279" spans="33:33">
      <c r="AG8279" s="14"/>
    </row>
    <row r="8280" spans="33:33">
      <c r="AG8280" s="14"/>
    </row>
    <row r="8281" spans="33:33">
      <c r="AG8281" s="14"/>
    </row>
    <row r="8282" spans="33:33">
      <c r="AG8282" s="14"/>
    </row>
    <row r="8283" spans="33:33">
      <c r="AG8283" s="14"/>
    </row>
    <row r="8284" spans="33:33">
      <c r="AG8284" s="14"/>
    </row>
    <row r="8285" spans="33:33">
      <c r="AG8285" s="14"/>
    </row>
    <row r="8286" spans="33:33">
      <c r="AG8286" s="14"/>
    </row>
    <row r="8287" spans="33:33">
      <c r="AG8287" s="14"/>
    </row>
    <row r="8288" spans="33:33">
      <c r="AG8288" s="14"/>
    </row>
    <row r="8289" spans="33:33">
      <c r="AG8289" s="14"/>
    </row>
    <row r="8290" spans="33:33">
      <c r="AG8290" s="14"/>
    </row>
    <row r="8291" spans="33:33">
      <c r="AG8291" s="14"/>
    </row>
    <row r="8292" spans="33:33">
      <c r="AG8292" s="14"/>
    </row>
    <row r="8293" spans="33:33">
      <c r="AG8293" s="14"/>
    </row>
    <row r="8294" spans="33:33">
      <c r="AG8294" s="14"/>
    </row>
    <row r="8295" spans="33:33">
      <c r="AG8295" s="14"/>
    </row>
    <row r="8296" spans="33:33">
      <c r="AG8296" s="14"/>
    </row>
    <row r="8297" spans="33:33">
      <c r="AG8297" s="14"/>
    </row>
    <row r="8298" spans="33:33">
      <c r="AG8298" s="14"/>
    </row>
    <row r="8299" spans="33:33">
      <c r="AG8299" s="14"/>
    </row>
    <row r="8300" spans="33:33">
      <c r="AG8300" s="14"/>
    </row>
    <row r="8301" spans="33:33">
      <c r="AG8301" s="14"/>
    </row>
    <row r="8302" spans="33:33">
      <c r="AG8302" s="14"/>
    </row>
    <row r="8303" spans="33:33">
      <c r="AG8303" s="14"/>
    </row>
    <row r="8304" spans="33:33">
      <c r="AG8304" s="14"/>
    </row>
    <row r="8305" spans="33:33">
      <c r="AG8305" s="14"/>
    </row>
    <row r="8306" spans="33:33">
      <c r="AG8306" s="14"/>
    </row>
    <row r="8307" spans="33:33">
      <c r="AG8307" s="14"/>
    </row>
    <row r="8308" spans="33:33">
      <c r="AG8308" s="14"/>
    </row>
    <row r="8309" spans="33:33">
      <c r="AG8309" s="14"/>
    </row>
    <row r="8310" spans="33:33">
      <c r="AG8310" s="14"/>
    </row>
    <row r="8311" spans="33:33">
      <c r="AG8311" s="14"/>
    </row>
    <row r="8312" spans="33:33">
      <c r="AG8312" s="14"/>
    </row>
    <row r="8313" spans="33:33">
      <c r="AG8313" s="14"/>
    </row>
    <row r="8314" spans="33:33">
      <c r="AG8314" s="14"/>
    </row>
    <row r="8315" spans="33:33">
      <c r="AG8315" s="14"/>
    </row>
    <row r="8316" spans="33:33">
      <c r="AG8316" s="14"/>
    </row>
    <row r="8317" spans="33:33">
      <c r="AG8317" s="14"/>
    </row>
    <row r="8318" spans="33:33">
      <c r="AG8318" s="14"/>
    </row>
    <row r="8319" spans="33:33">
      <c r="AG8319" s="14"/>
    </row>
    <row r="8320" spans="33:33">
      <c r="AG8320" s="14"/>
    </row>
    <row r="8321" spans="33:33">
      <c r="AG8321" s="14"/>
    </row>
    <row r="8322" spans="33:33">
      <c r="AG8322" s="14"/>
    </row>
    <row r="8323" spans="33:33">
      <c r="AG8323" s="14"/>
    </row>
    <row r="8324" spans="33:33">
      <c r="AG8324" s="14"/>
    </row>
    <row r="8325" spans="33:33">
      <c r="AG8325" s="14"/>
    </row>
    <row r="8326" spans="33:33">
      <c r="AG8326" s="14"/>
    </row>
    <row r="8327" spans="33:33">
      <c r="AG8327" s="14"/>
    </row>
    <row r="8328" spans="33:33">
      <c r="AG8328" s="14"/>
    </row>
    <row r="8329" spans="33:33">
      <c r="AG8329" s="14"/>
    </row>
    <row r="8330" spans="33:33">
      <c r="AG8330" s="14"/>
    </row>
    <row r="8331" spans="33:33">
      <c r="AG8331" s="14"/>
    </row>
    <row r="8332" spans="33:33">
      <c r="AG8332" s="14"/>
    </row>
    <row r="8333" spans="33:33">
      <c r="AG8333" s="14"/>
    </row>
    <row r="8334" spans="33:33">
      <c r="AG8334" s="14"/>
    </row>
    <row r="8335" spans="33:33">
      <c r="AG8335" s="14"/>
    </row>
    <row r="8336" spans="33:33">
      <c r="AG8336" s="14"/>
    </row>
    <row r="8337" spans="33:33">
      <c r="AG8337" s="14"/>
    </row>
    <row r="8338" spans="33:33">
      <c r="AG8338" s="14"/>
    </row>
    <row r="8339" spans="33:33">
      <c r="AG8339" s="14"/>
    </row>
    <row r="8340" spans="33:33">
      <c r="AG8340" s="14"/>
    </row>
    <row r="8341" spans="33:33">
      <c r="AG8341" s="14"/>
    </row>
    <row r="8342" spans="33:33">
      <c r="AG8342" s="14"/>
    </row>
    <row r="8343" spans="33:33">
      <c r="AG8343" s="14"/>
    </row>
    <row r="8344" spans="33:33">
      <c r="AG8344" s="14"/>
    </row>
    <row r="8345" spans="33:33">
      <c r="AG8345" s="14"/>
    </row>
    <row r="8346" spans="33:33">
      <c r="AG8346" s="14"/>
    </row>
    <row r="8347" spans="33:33">
      <c r="AG8347" s="14"/>
    </row>
    <row r="8348" spans="33:33">
      <c r="AG8348" s="14"/>
    </row>
    <row r="8349" spans="33:33">
      <c r="AG8349" s="14"/>
    </row>
    <row r="8350" spans="33:33">
      <c r="AG8350" s="14"/>
    </row>
    <row r="8351" spans="33:33">
      <c r="AG8351" s="14"/>
    </row>
    <row r="8352" spans="33:33">
      <c r="AG8352" s="14"/>
    </row>
    <row r="8353" spans="33:33">
      <c r="AG8353" s="14"/>
    </row>
    <row r="8354" spans="33:33">
      <c r="AG8354" s="14"/>
    </row>
    <row r="8355" spans="33:33">
      <c r="AG8355" s="14"/>
    </row>
    <row r="8356" spans="33:33">
      <c r="AG8356" s="14"/>
    </row>
    <row r="8357" spans="33:33">
      <c r="AG8357" s="14"/>
    </row>
    <row r="8358" spans="33:33">
      <c r="AG8358" s="14"/>
    </row>
    <row r="8359" spans="33:33">
      <c r="AG8359" s="14"/>
    </row>
    <row r="8360" spans="33:33">
      <c r="AG8360" s="14"/>
    </row>
    <row r="8361" spans="33:33">
      <c r="AG8361" s="14"/>
    </row>
    <row r="8362" spans="33:33">
      <c r="AG8362" s="14"/>
    </row>
    <row r="8363" spans="33:33">
      <c r="AG8363" s="14"/>
    </row>
    <row r="8364" spans="33:33">
      <c r="AG8364" s="14"/>
    </row>
    <row r="8365" spans="33:33">
      <c r="AG8365" s="14"/>
    </row>
    <row r="8366" spans="33:33">
      <c r="AG8366" s="14"/>
    </row>
    <row r="8367" spans="33:33">
      <c r="AG8367" s="14"/>
    </row>
    <row r="8368" spans="33:33">
      <c r="AG8368" s="14"/>
    </row>
    <row r="8369" spans="33:33">
      <c r="AG8369" s="14"/>
    </row>
    <row r="8370" spans="33:33">
      <c r="AG8370" s="14"/>
    </row>
    <row r="8371" spans="33:33">
      <c r="AG8371" s="14"/>
    </row>
    <row r="8372" spans="33:33">
      <c r="AG8372" s="14"/>
    </row>
    <row r="8373" spans="33:33">
      <c r="AG8373" s="14"/>
    </row>
    <row r="8374" spans="33:33">
      <c r="AG8374" s="14"/>
    </row>
    <row r="8375" spans="33:33">
      <c r="AG8375" s="14"/>
    </row>
    <row r="8376" spans="33:33">
      <c r="AG8376" s="14"/>
    </row>
    <row r="8377" spans="33:33">
      <c r="AG8377" s="14"/>
    </row>
    <row r="8378" spans="33:33">
      <c r="AG8378" s="14"/>
    </row>
    <row r="8379" spans="33:33">
      <c r="AG8379" s="14"/>
    </row>
    <row r="8380" spans="33:33">
      <c r="AG8380" s="14"/>
    </row>
    <row r="8381" spans="33:33">
      <c r="AG8381" s="14"/>
    </row>
    <row r="8382" spans="33:33">
      <c r="AG8382" s="14"/>
    </row>
    <row r="8383" spans="33:33">
      <c r="AG8383" s="14"/>
    </row>
    <row r="8384" spans="33:33">
      <c r="AG8384" s="14"/>
    </row>
    <row r="8385" spans="33:33">
      <c r="AG8385" s="14"/>
    </row>
    <row r="8386" spans="33:33">
      <c r="AG8386" s="14"/>
    </row>
    <row r="8387" spans="33:33">
      <c r="AG8387" s="14"/>
    </row>
    <row r="8388" spans="33:33">
      <c r="AG8388" s="14"/>
    </row>
    <row r="8389" spans="33:33">
      <c r="AG8389" s="14"/>
    </row>
    <row r="8390" spans="33:33">
      <c r="AG8390" s="14"/>
    </row>
    <row r="8391" spans="33:33">
      <c r="AG8391" s="14"/>
    </row>
    <row r="8392" spans="33:33">
      <c r="AG8392" s="14"/>
    </row>
    <row r="8393" spans="33:33">
      <c r="AG8393" s="14"/>
    </row>
    <row r="8394" spans="33:33">
      <c r="AG8394" s="14"/>
    </row>
    <row r="8395" spans="33:33">
      <c r="AG8395" s="14"/>
    </row>
    <row r="8396" spans="33:33">
      <c r="AG8396" s="14"/>
    </row>
    <row r="8397" spans="33:33">
      <c r="AG8397" s="14"/>
    </row>
    <row r="8398" spans="33:33">
      <c r="AG8398" s="14"/>
    </row>
    <row r="8399" spans="33:33">
      <c r="AG8399" s="14"/>
    </row>
    <row r="8400" spans="33:33">
      <c r="AG8400" s="14"/>
    </row>
    <row r="8401" spans="33:33">
      <c r="AG8401" s="14"/>
    </row>
    <row r="8402" spans="33:33">
      <c r="AG8402" s="14"/>
    </row>
    <row r="8403" spans="33:33">
      <c r="AG8403" s="14"/>
    </row>
    <row r="8404" spans="33:33">
      <c r="AG8404" s="14"/>
    </row>
    <row r="8405" spans="33:33">
      <c r="AG8405" s="14"/>
    </row>
    <row r="8406" spans="33:33">
      <c r="AG8406" s="14"/>
    </row>
    <row r="8407" spans="33:33">
      <c r="AG8407" s="14"/>
    </row>
    <row r="8408" spans="33:33">
      <c r="AG8408" s="14"/>
    </row>
    <row r="8409" spans="33:33">
      <c r="AG8409" s="14"/>
    </row>
    <row r="8410" spans="33:33">
      <c r="AG8410" s="14"/>
    </row>
    <row r="8411" spans="33:33">
      <c r="AG8411" s="14"/>
    </row>
    <row r="8412" spans="33:33">
      <c r="AG8412" s="14"/>
    </row>
    <row r="8413" spans="33:33">
      <c r="AG8413" s="14"/>
    </row>
    <row r="8414" spans="33:33">
      <c r="AG8414" s="14"/>
    </row>
    <row r="8415" spans="33:33">
      <c r="AG8415" s="14"/>
    </row>
    <row r="8416" spans="33:33">
      <c r="AG8416" s="14"/>
    </row>
    <row r="8417" spans="33:33">
      <c r="AG8417" s="14"/>
    </row>
    <row r="8418" spans="33:33">
      <c r="AG8418" s="14"/>
    </row>
    <row r="8419" spans="33:33">
      <c r="AG8419" s="14"/>
    </row>
    <row r="8420" spans="33:33">
      <c r="AG8420" s="14"/>
    </row>
    <row r="8421" spans="33:33">
      <c r="AG8421" s="14"/>
    </row>
    <row r="8422" spans="33:33">
      <c r="AG8422" s="14"/>
    </row>
    <row r="8423" spans="33:33">
      <c r="AG8423" s="14"/>
    </row>
    <row r="8424" spans="33:33">
      <c r="AG8424" s="14"/>
    </row>
    <row r="8425" spans="33:33">
      <c r="AG8425" s="14"/>
    </row>
    <row r="8426" spans="33:33">
      <c r="AG8426" s="14"/>
    </row>
    <row r="8427" spans="33:33">
      <c r="AG8427" s="14"/>
    </row>
    <row r="8428" spans="33:33">
      <c r="AG8428" s="14"/>
    </row>
    <row r="8429" spans="33:33">
      <c r="AG8429" s="14"/>
    </row>
    <row r="8430" spans="33:33">
      <c r="AG8430" s="14"/>
    </row>
    <row r="8431" spans="33:33">
      <c r="AG8431" s="14"/>
    </row>
    <row r="8432" spans="33:33">
      <c r="AG8432" s="14"/>
    </row>
    <row r="8433" spans="33:33">
      <c r="AG8433" s="14"/>
    </row>
    <row r="8434" spans="33:33">
      <c r="AG8434" s="14"/>
    </row>
    <row r="8435" spans="33:33">
      <c r="AG8435" s="14"/>
    </row>
    <row r="8436" spans="33:33">
      <c r="AG8436" s="14"/>
    </row>
    <row r="8437" spans="33:33">
      <c r="AG8437" s="14"/>
    </row>
    <row r="8438" spans="33:33">
      <c r="AG8438" s="14"/>
    </row>
    <row r="8439" spans="33:33">
      <c r="AG8439" s="14"/>
    </row>
    <row r="8440" spans="33:33">
      <c r="AG8440" s="14"/>
    </row>
    <row r="8441" spans="33:33">
      <c r="AG8441" s="14"/>
    </row>
    <row r="8442" spans="33:33">
      <c r="AG8442" s="14"/>
    </row>
    <row r="8443" spans="33:33">
      <c r="AG8443" s="14"/>
    </row>
    <row r="8444" spans="33:33">
      <c r="AG8444" s="14"/>
    </row>
    <row r="8445" spans="33:33">
      <c r="AG8445" s="14"/>
    </row>
    <row r="8446" spans="33:33">
      <c r="AG8446" s="14"/>
    </row>
    <row r="8447" spans="33:33">
      <c r="AG8447" s="14"/>
    </row>
    <row r="8448" spans="33:33">
      <c r="AG8448" s="14"/>
    </row>
    <row r="8449" spans="33:33">
      <c r="AG8449" s="14"/>
    </row>
    <row r="8450" spans="33:33">
      <c r="AG8450" s="14"/>
    </row>
    <row r="8451" spans="33:33">
      <c r="AG8451" s="14"/>
    </row>
    <row r="8452" spans="33:33">
      <c r="AG8452" s="14"/>
    </row>
    <row r="8453" spans="33:33">
      <c r="AG8453" s="14"/>
    </row>
    <row r="8454" spans="33:33">
      <c r="AG8454" s="14"/>
    </row>
    <row r="8455" spans="33:33">
      <c r="AG8455" s="14"/>
    </row>
    <row r="8456" spans="33:33">
      <c r="AG8456" s="14"/>
    </row>
    <row r="8457" spans="33:33">
      <c r="AG8457" s="14"/>
    </row>
    <row r="8458" spans="33:33">
      <c r="AG8458" s="14"/>
    </row>
    <row r="8459" spans="33:33">
      <c r="AG8459" s="14"/>
    </row>
    <row r="8460" spans="33:33">
      <c r="AG8460" s="14"/>
    </row>
    <row r="8461" spans="33:33">
      <c r="AG8461" s="14"/>
    </row>
    <row r="8462" spans="33:33">
      <c r="AG8462" s="14"/>
    </row>
    <row r="8463" spans="33:33">
      <c r="AG8463" s="14"/>
    </row>
    <row r="8464" spans="33:33">
      <c r="AG8464" s="14"/>
    </row>
    <row r="8465" spans="33:33">
      <c r="AG8465" s="14"/>
    </row>
    <row r="8466" spans="33:33">
      <c r="AG8466" s="14"/>
    </row>
    <row r="8467" spans="33:33">
      <c r="AG8467" s="14"/>
    </row>
    <row r="8468" spans="33:33">
      <c r="AG8468" s="14"/>
    </row>
    <row r="8469" spans="33:33">
      <c r="AG8469" s="14"/>
    </row>
    <row r="8470" spans="33:33">
      <c r="AG8470" s="14"/>
    </row>
    <row r="8471" spans="33:33">
      <c r="AG8471" s="14"/>
    </row>
    <row r="8472" spans="33:33">
      <c r="AG8472" s="14"/>
    </row>
    <row r="8473" spans="33:33">
      <c r="AG8473" s="14"/>
    </row>
    <row r="8474" spans="33:33">
      <c r="AG8474" s="14"/>
    </row>
    <row r="8475" spans="33:33">
      <c r="AG8475" s="14"/>
    </row>
    <row r="8476" spans="33:33">
      <c r="AG8476" s="14"/>
    </row>
    <row r="8477" spans="33:33">
      <c r="AG8477" s="14"/>
    </row>
    <row r="8478" spans="33:33">
      <c r="AG8478" s="14"/>
    </row>
    <row r="8479" spans="33:33">
      <c r="AG8479" s="14"/>
    </row>
    <row r="8480" spans="33:33">
      <c r="AG8480" s="14"/>
    </row>
    <row r="8481" spans="33:33">
      <c r="AG8481" s="14"/>
    </row>
    <row r="8482" spans="33:33">
      <c r="AG8482" s="14"/>
    </row>
    <row r="8483" spans="33:33">
      <c r="AG8483" s="14"/>
    </row>
    <row r="8484" spans="33:33">
      <c r="AG8484" s="14"/>
    </row>
    <row r="8485" spans="33:33">
      <c r="AG8485" s="14"/>
    </row>
    <row r="8486" spans="33:33">
      <c r="AG8486" s="14"/>
    </row>
    <row r="8487" spans="33:33">
      <c r="AG8487" s="14"/>
    </row>
    <row r="8488" spans="33:33">
      <c r="AG8488" s="14"/>
    </row>
    <row r="8489" spans="33:33">
      <c r="AG8489" s="14"/>
    </row>
    <row r="8490" spans="33:33">
      <c r="AG8490" s="14"/>
    </row>
    <row r="8491" spans="33:33">
      <c r="AG8491" s="14"/>
    </row>
    <row r="8492" spans="33:33">
      <c r="AG8492" s="14"/>
    </row>
    <row r="8493" spans="33:33">
      <c r="AG8493" s="14"/>
    </row>
    <row r="8494" spans="33:33">
      <c r="AG8494" s="14"/>
    </row>
    <row r="8495" spans="33:33">
      <c r="AG8495" s="14"/>
    </row>
    <row r="8496" spans="33:33">
      <c r="AG8496" s="14"/>
    </row>
    <row r="8497" spans="33:33">
      <c r="AG8497" s="14"/>
    </row>
    <row r="8498" spans="33:33">
      <c r="AG8498" s="14"/>
    </row>
    <row r="8499" spans="33:33">
      <c r="AG8499" s="14"/>
    </row>
    <row r="8500" spans="33:33">
      <c r="AG8500" s="14"/>
    </row>
    <row r="8501" spans="33:33">
      <c r="AG8501" s="14"/>
    </row>
    <row r="8502" spans="33:33">
      <c r="AG8502" s="14"/>
    </row>
    <row r="8503" spans="33:33">
      <c r="AG8503" s="14"/>
    </row>
    <row r="8504" spans="33:33">
      <c r="AG8504" s="14"/>
    </row>
    <row r="8505" spans="33:33">
      <c r="AG8505" s="14"/>
    </row>
    <row r="8506" spans="33:33">
      <c r="AG8506" s="14"/>
    </row>
    <row r="8507" spans="33:33">
      <c r="AG8507" s="14"/>
    </row>
    <row r="8508" spans="33:33">
      <c r="AG8508" s="14"/>
    </row>
    <row r="8509" spans="33:33">
      <c r="AG8509" s="14"/>
    </row>
    <row r="8510" spans="33:33">
      <c r="AG8510" s="14"/>
    </row>
    <row r="8511" spans="33:33">
      <c r="AG8511" s="14"/>
    </row>
    <row r="8512" spans="33:33">
      <c r="AG8512" s="14"/>
    </row>
    <row r="8513" spans="33:33">
      <c r="AG8513" s="14"/>
    </row>
    <row r="8514" spans="33:33">
      <c r="AG8514" s="14"/>
    </row>
    <row r="8515" spans="33:33">
      <c r="AG8515" s="14"/>
    </row>
    <row r="8516" spans="33:33">
      <c r="AG8516" s="14"/>
    </row>
    <row r="8517" spans="33:33">
      <c r="AG8517" s="14"/>
    </row>
    <row r="8518" spans="33:33">
      <c r="AG8518" s="14"/>
    </row>
    <row r="8519" spans="33:33">
      <c r="AG8519" s="14"/>
    </row>
    <row r="8520" spans="33:33">
      <c r="AG8520" s="14"/>
    </row>
    <row r="8521" spans="33:33">
      <c r="AG8521" s="14"/>
    </row>
    <row r="8522" spans="33:33">
      <c r="AG8522" s="14"/>
    </row>
    <row r="8523" spans="33:33">
      <c r="AG8523" s="14"/>
    </row>
    <row r="8524" spans="33:33">
      <c r="AG8524" s="14"/>
    </row>
    <row r="8525" spans="33:33">
      <c r="AG8525" s="14"/>
    </row>
    <row r="8526" spans="33:33">
      <c r="AG8526" s="14"/>
    </row>
    <row r="8527" spans="33:33">
      <c r="AG8527" s="14"/>
    </row>
    <row r="8528" spans="33:33">
      <c r="AG8528" s="14"/>
    </row>
    <row r="8529" spans="33:33">
      <c r="AG8529" s="14"/>
    </row>
    <row r="8530" spans="33:33">
      <c r="AG8530" s="14"/>
    </row>
    <row r="8531" spans="33:33">
      <c r="AG8531" s="14"/>
    </row>
    <row r="8532" spans="33:33">
      <c r="AG8532" s="14"/>
    </row>
    <row r="8533" spans="33:33">
      <c r="AG8533" s="14"/>
    </row>
    <row r="8534" spans="33:33">
      <c r="AG8534" s="14"/>
    </row>
    <row r="8535" spans="33:33">
      <c r="AG8535" s="14"/>
    </row>
    <row r="8536" spans="33:33">
      <c r="AG8536" s="14"/>
    </row>
    <row r="8537" spans="33:33">
      <c r="AG8537" s="14"/>
    </row>
    <row r="8538" spans="33:33">
      <c r="AG8538" s="14"/>
    </row>
    <row r="8539" spans="33:33">
      <c r="AG8539" s="14"/>
    </row>
    <row r="8540" spans="33:33">
      <c r="AG8540" s="14"/>
    </row>
    <row r="8541" spans="33:33">
      <c r="AG8541" s="14"/>
    </row>
    <row r="8542" spans="33:33">
      <c r="AG8542" s="14"/>
    </row>
    <row r="8543" spans="33:33">
      <c r="AG8543" s="14"/>
    </row>
    <row r="8544" spans="33:33">
      <c r="AG8544" s="14"/>
    </row>
    <row r="8545" spans="33:33">
      <c r="AG8545" s="14"/>
    </row>
    <row r="8546" spans="33:33">
      <c r="AG8546" s="14"/>
    </row>
    <row r="8547" spans="33:33">
      <c r="AG8547" s="14"/>
    </row>
    <row r="8548" spans="33:33">
      <c r="AG8548" s="14"/>
    </row>
    <row r="8549" spans="33:33">
      <c r="AG8549" s="14"/>
    </row>
    <row r="8550" spans="33:33">
      <c r="AG8550" s="14"/>
    </row>
    <row r="8551" spans="33:33">
      <c r="AG8551" s="14"/>
    </row>
    <row r="8552" spans="33:33">
      <c r="AG8552" s="14"/>
    </row>
    <row r="8553" spans="33:33">
      <c r="AG8553" s="14"/>
    </row>
    <row r="8554" spans="33:33">
      <c r="AG8554" s="14"/>
    </row>
    <row r="8555" spans="33:33">
      <c r="AG8555" s="14"/>
    </row>
    <row r="8556" spans="33:33">
      <c r="AG8556" s="14"/>
    </row>
    <row r="8557" spans="33:33">
      <c r="AG8557" s="14"/>
    </row>
    <row r="8558" spans="33:33">
      <c r="AG8558" s="14"/>
    </row>
    <row r="8559" spans="33:33">
      <c r="AG8559" s="14"/>
    </row>
    <row r="8560" spans="33:33">
      <c r="AG8560" s="14"/>
    </row>
    <row r="8561" spans="33:33">
      <c r="AG8561" s="14"/>
    </row>
    <row r="8562" spans="33:33">
      <c r="AG8562" s="14"/>
    </row>
    <row r="8563" spans="33:33">
      <c r="AG8563" s="14"/>
    </row>
    <row r="8564" spans="33:33">
      <c r="AG8564" s="14"/>
    </row>
    <row r="8565" spans="33:33">
      <c r="AG8565" s="14"/>
    </row>
    <row r="8566" spans="33:33">
      <c r="AG8566" s="14"/>
    </row>
    <row r="8567" spans="33:33">
      <c r="AG8567" s="14"/>
    </row>
    <row r="8568" spans="33:33">
      <c r="AG8568" s="14"/>
    </row>
    <row r="8569" spans="33:33">
      <c r="AG8569" s="14"/>
    </row>
    <row r="8570" spans="33:33">
      <c r="AG8570" s="14"/>
    </row>
    <row r="8571" spans="33:33">
      <c r="AG8571" s="14"/>
    </row>
    <row r="8572" spans="33:33">
      <c r="AG8572" s="14"/>
    </row>
    <row r="8573" spans="33:33">
      <c r="AG8573" s="14"/>
    </row>
    <row r="8574" spans="33:33">
      <c r="AG8574" s="14"/>
    </row>
    <row r="8575" spans="33:33">
      <c r="AG8575" s="14"/>
    </row>
    <row r="8576" spans="33:33">
      <c r="AG8576" s="14"/>
    </row>
    <row r="8577" spans="33:33">
      <c r="AG8577" s="14"/>
    </row>
    <row r="8578" spans="33:33">
      <c r="AG8578" s="14"/>
    </row>
    <row r="8579" spans="33:33">
      <c r="AG8579" s="14"/>
    </row>
    <row r="8580" spans="33:33">
      <c r="AG8580" s="14"/>
    </row>
    <row r="8581" spans="33:33">
      <c r="AG8581" s="14"/>
    </row>
    <row r="8582" spans="33:33">
      <c r="AG8582" s="14"/>
    </row>
    <row r="8583" spans="33:33">
      <c r="AG8583" s="14"/>
    </row>
    <row r="8584" spans="33:33">
      <c r="AG8584" s="14"/>
    </row>
    <row r="8585" spans="33:33">
      <c r="AG8585" s="14"/>
    </row>
    <row r="8586" spans="33:33">
      <c r="AG8586" s="14"/>
    </row>
    <row r="8587" spans="33:33">
      <c r="AG8587" s="14"/>
    </row>
    <row r="8588" spans="33:33">
      <c r="AG8588" s="14"/>
    </row>
    <row r="8589" spans="33:33">
      <c r="AG8589" s="14"/>
    </row>
    <row r="8590" spans="33:33">
      <c r="AG8590" s="14"/>
    </row>
    <row r="8591" spans="33:33">
      <c r="AG8591" s="14"/>
    </row>
    <row r="8592" spans="33:33">
      <c r="AG8592" s="14"/>
    </row>
    <row r="8593" spans="33:33">
      <c r="AG8593" s="14"/>
    </row>
    <row r="8594" spans="33:33">
      <c r="AG8594" s="14"/>
    </row>
    <row r="8595" spans="33:33">
      <c r="AG8595" s="14"/>
    </row>
    <row r="8596" spans="33:33">
      <c r="AG8596" s="14"/>
    </row>
    <row r="8597" spans="33:33">
      <c r="AG8597" s="14"/>
    </row>
    <row r="8598" spans="33:33">
      <c r="AG8598" s="14"/>
    </row>
    <row r="8599" spans="33:33">
      <c r="AG8599" s="14"/>
    </row>
    <row r="8600" spans="33:33">
      <c r="AG8600" s="14"/>
    </row>
    <row r="8601" spans="33:33">
      <c r="AG8601" s="14"/>
    </row>
    <row r="8602" spans="33:33">
      <c r="AG8602" s="14"/>
    </row>
    <row r="8603" spans="33:33">
      <c r="AG8603" s="14"/>
    </row>
    <row r="8604" spans="33:33">
      <c r="AG8604" s="14"/>
    </row>
    <row r="8605" spans="33:33">
      <c r="AG8605" s="14"/>
    </row>
    <row r="8606" spans="33:33">
      <c r="AG8606" s="14"/>
    </row>
    <row r="8607" spans="33:33">
      <c r="AG8607" s="14"/>
    </row>
    <row r="8608" spans="33:33">
      <c r="AG8608" s="14"/>
    </row>
    <row r="8609" spans="33:33">
      <c r="AG8609" s="14"/>
    </row>
    <row r="8610" spans="33:33">
      <c r="AG8610" s="14"/>
    </row>
    <row r="8611" spans="33:33">
      <c r="AG8611" s="14"/>
    </row>
    <row r="8612" spans="33:33">
      <c r="AG8612" s="14"/>
    </row>
    <row r="8613" spans="33:33">
      <c r="AG8613" s="14"/>
    </row>
    <row r="8614" spans="33:33">
      <c r="AG8614" s="14"/>
    </row>
    <row r="8615" spans="33:33">
      <c r="AG8615" s="14"/>
    </row>
    <row r="8616" spans="33:33">
      <c r="AG8616" s="14"/>
    </row>
    <row r="8617" spans="33:33">
      <c r="AG8617" s="14"/>
    </row>
    <row r="8618" spans="33:33">
      <c r="AG8618" s="14"/>
    </row>
    <row r="8619" spans="33:33">
      <c r="AG8619" s="14"/>
    </row>
    <row r="8620" spans="33:33">
      <c r="AG8620" s="14"/>
    </row>
    <row r="8621" spans="33:33">
      <c r="AG8621" s="14"/>
    </row>
    <row r="8622" spans="33:33">
      <c r="AG8622" s="14"/>
    </row>
    <row r="8623" spans="33:33">
      <c r="AG8623" s="14"/>
    </row>
    <row r="8624" spans="33:33">
      <c r="AG8624" s="14"/>
    </row>
    <row r="8625" spans="33:33">
      <c r="AG8625" s="14"/>
    </row>
    <row r="8626" spans="33:33">
      <c r="AG8626" s="14"/>
    </row>
    <row r="8627" spans="33:33">
      <c r="AG8627" s="14"/>
    </row>
    <row r="8628" spans="33:33">
      <c r="AG8628" s="14"/>
    </row>
    <row r="8629" spans="33:33">
      <c r="AG8629" s="14"/>
    </row>
    <row r="8630" spans="33:33">
      <c r="AG8630" s="14"/>
    </row>
    <row r="8631" spans="33:33">
      <c r="AG8631" s="14"/>
    </row>
    <row r="8632" spans="33:33">
      <c r="AG8632" s="14"/>
    </row>
    <row r="8633" spans="33:33">
      <c r="AG8633" s="14"/>
    </row>
    <row r="8634" spans="33:33">
      <c r="AG8634" s="14"/>
    </row>
    <row r="8635" spans="33:33">
      <c r="AG8635" s="14"/>
    </row>
    <row r="8636" spans="33:33">
      <c r="AG8636" s="14"/>
    </row>
    <row r="8637" spans="33:33">
      <c r="AG8637" s="14"/>
    </row>
    <row r="8638" spans="33:33">
      <c r="AG8638" s="14"/>
    </row>
    <row r="8639" spans="33:33">
      <c r="AG8639" s="14"/>
    </row>
    <row r="8640" spans="33:33">
      <c r="AG8640" s="14"/>
    </row>
    <row r="8641" spans="33:33">
      <c r="AG8641" s="14"/>
    </row>
    <row r="8642" spans="33:33">
      <c r="AG8642" s="14"/>
    </row>
    <row r="8643" spans="33:33">
      <c r="AG8643" s="14"/>
    </row>
    <row r="8644" spans="33:33">
      <c r="AG8644" s="14"/>
    </row>
    <row r="8645" spans="33:33">
      <c r="AG8645" s="14"/>
    </row>
    <row r="8646" spans="33:33">
      <c r="AG8646" s="14"/>
    </row>
    <row r="8647" spans="33:33">
      <c r="AG8647" s="14"/>
    </row>
    <row r="8648" spans="33:33">
      <c r="AG8648" s="14"/>
    </row>
    <row r="8649" spans="33:33">
      <c r="AG8649" s="14"/>
    </row>
    <row r="8650" spans="33:33">
      <c r="AG8650" s="14"/>
    </row>
    <row r="8651" spans="33:33">
      <c r="AG8651" s="14"/>
    </row>
    <row r="8652" spans="33:33">
      <c r="AG8652" s="14"/>
    </row>
    <row r="8653" spans="33:33">
      <c r="AG8653" s="14"/>
    </row>
    <row r="8654" spans="33:33">
      <c r="AG8654" s="14"/>
    </row>
    <row r="8655" spans="33:33">
      <c r="AG8655" s="14"/>
    </row>
    <row r="8656" spans="33:33">
      <c r="AG8656" s="14"/>
    </row>
    <row r="8657" spans="33:33">
      <c r="AG8657" s="14"/>
    </row>
    <row r="8658" spans="33:33">
      <c r="AG8658" s="14"/>
    </row>
    <row r="8659" spans="33:33">
      <c r="AG8659" s="14"/>
    </row>
    <row r="8660" spans="33:33">
      <c r="AG8660" s="14"/>
    </row>
    <row r="8661" spans="33:33">
      <c r="AG8661" s="14"/>
    </row>
    <row r="8662" spans="33:33">
      <c r="AG8662" s="14"/>
    </row>
    <row r="8663" spans="33:33">
      <c r="AG8663" s="14"/>
    </row>
    <row r="8664" spans="33:33">
      <c r="AG8664" s="14"/>
    </row>
    <row r="8665" spans="33:33">
      <c r="AG8665" s="14"/>
    </row>
    <row r="8666" spans="33:33">
      <c r="AG8666" s="14"/>
    </row>
    <row r="8667" spans="33:33">
      <c r="AG8667" s="14"/>
    </row>
    <row r="8668" spans="33:33">
      <c r="AG8668" s="14"/>
    </row>
    <row r="8669" spans="33:33">
      <c r="AG8669" s="14"/>
    </row>
    <row r="8670" spans="33:33">
      <c r="AG8670" s="14"/>
    </row>
    <row r="8671" spans="33:33">
      <c r="AG8671" s="14"/>
    </row>
    <row r="8672" spans="33:33">
      <c r="AG8672" s="14"/>
    </row>
    <row r="8673" spans="33:33">
      <c r="AG8673" s="14"/>
    </row>
    <row r="8674" spans="33:33">
      <c r="AG8674" s="14"/>
    </row>
    <row r="8675" spans="33:33">
      <c r="AG8675" s="14"/>
    </row>
    <row r="8676" spans="33:33">
      <c r="AG8676" s="14"/>
    </row>
    <row r="8677" spans="33:33">
      <c r="AG8677" s="14"/>
    </row>
    <row r="8678" spans="33:33">
      <c r="AG8678" s="14"/>
    </row>
    <row r="8679" spans="33:33">
      <c r="AG8679" s="14"/>
    </row>
    <row r="8680" spans="33:33">
      <c r="AG8680" s="14"/>
    </row>
    <row r="8681" spans="33:33">
      <c r="AG8681" s="14"/>
    </row>
    <row r="8682" spans="33:33">
      <c r="AG8682" s="14"/>
    </row>
    <row r="8683" spans="33:33">
      <c r="AG8683" s="14"/>
    </row>
    <row r="8684" spans="33:33">
      <c r="AG8684" s="14"/>
    </row>
    <row r="8685" spans="33:33">
      <c r="AG8685" s="14"/>
    </row>
    <row r="8686" spans="33:33">
      <c r="AG8686" s="14"/>
    </row>
    <row r="8687" spans="33:33">
      <c r="AG8687" s="14"/>
    </row>
    <row r="8688" spans="33:33">
      <c r="AG8688" s="14"/>
    </row>
    <row r="8689" spans="33:33">
      <c r="AG8689" s="14"/>
    </row>
    <row r="8690" spans="33:33">
      <c r="AG8690" s="14"/>
    </row>
    <row r="8691" spans="33:33">
      <c r="AG8691" s="14"/>
    </row>
    <row r="8692" spans="33:33">
      <c r="AG8692" s="14"/>
    </row>
    <row r="8693" spans="33:33">
      <c r="AG8693" s="14"/>
    </row>
    <row r="8694" spans="33:33">
      <c r="AG8694" s="14"/>
    </row>
    <row r="8695" spans="33:33">
      <c r="AG8695" s="14"/>
    </row>
    <row r="8696" spans="33:33">
      <c r="AG8696" s="14"/>
    </row>
    <row r="8697" spans="33:33">
      <c r="AG8697" s="14"/>
    </row>
    <row r="8698" spans="33:33">
      <c r="AG8698" s="14"/>
    </row>
    <row r="8699" spans="33:33">
      <c r="AG8699" s="14"/>
    </row>
    <row r="8700" spans="33:33">
      <c r="AG8700" s="14"/>
    </row>
    <row r="8701" spans="33:33">
      <c r="AG8701" s="14"/>
    </row>
    <row r="8702" spans="33:33">
      <c r="AG8702" s="14"/>
    </row>
    <row r="8703" spans="33:33">
      <c r="AG8703" s="14"/>
    </row>
    <row r="8704" spans="33:33">
      <c r="AG8704" s="14"/>
    </row>
    <row r="8705" spans="33:33">
      <c r="AG8705" s="14"/>
    </row>
    <row r="8706" spans="33:33">
      <c r="AG8706" s="14"/>
    </row>
    <row r="8707" spans="33:33">
      <c r="AG8707" s="14"/>
    </row>
    <row r="8708" spans="33:33">
      <c r="AG8708" s="14"/>
    </row>
    <row r="8709" spans="33:33">
      <c r="AG8709" s="14"/>
    </row>
    <row r="8710" spans="33:33">
      <c r="AG8710" s="14"/>
    </row>
    <row r="8711" spans="33:33">
      <c r="AG8711" s="14"/>
    </row>
    <row r="8712" spans="33:33">
      <c r="AG8712" s="14"/>
    </row>
    <row r="8713" spans="33:33">
      <c r="AG8713" s="14"/>
    </row>
    <row r="8714" spans="33:33">
      <c r="AG8714" s="14"/>
    </row>
    <row r="8715" spans="33:33">
      <c r="AG8715" s="14"/>
    </row>
    <row r="8716" spans="33:33">
      <c r="AG8716" s="14"/>
    </row>
    <row r="8717" spans="33:33">
      <c r="AG8717" s="14"/>
    </row>
    <row r="8718" spans="33:33">
      <c r="AG8718" s="14"/>
    </row>
    <row r="8719" spans="33:33">
      <c r="AG8719" s="14"/>
    </row>
    <row r="8720" spans="33:33">
      <c r="AG8720" s="14"/>
    </row>
    <row r="8721" spans="33:33">
      <c r="AG8721" s="14"/>
    </row>
    <row r="8722" spans="33:33">
      <c r="AG8722" s="14"/>
    </row>
    <row r="8723" spans="33:33">
      <c r="AG8723" s="14"/>
    </row>
    <row r="8724" spans="33:33">
      <c r="AG8724" s="14"/>
    </row>
    <row r="8725" spans="33:33">
      <c r="AG8725" s="14"/>
    </row>
    <row r="8726" spans="33:33">
      <c r="AG8726" s="14"/>
    </row>
    <row r="8727" spans="33:33">
      <c r="AG8727" s="14"/>
    </row>
    <row r="8728" spans="33:33">
      <c r="AG8728" s="14"/>
    </row>
    <row r="8729" spans="33:33">
      <c r="AG8729" s="14"/>
    </row>
    <row r="8730" spans="33:33">
      <c r="AG8730" s="14"/>
    </row>
    <row r="8731" spans="33:33">
      <c r="AG8731" s="14"/>
    </row>
    <row r="8732" spans="33:33">
      <c r="AG8732" s="14"/>
    </row>
    <row r="8733" spans="33:33">
      <c r="AG8733" s="14"/>
    </row>
    <row r="8734" spans="33:33">
      <c r="AG8734" s="14"/>
    </row>
    <row r="8735" spans="33:33">
      <c r="AG8735" s="14"/>
    </row>
    <row r="8736" spans="33:33">
      <c r="AG8736" s="14"/>
    </row>
    <row r="8737" spans="33:33">
      <c r="AG8737" s="14"/>
    </row>
    <row r="8738" spans="33:33">
      <c r="AG8738" s="14"/>
    </row>
    <row r="8739" spans="33:33">
      <c r="AG8739" s="14"/>
    </row>
    <row r="8740" spans="33:33">
      <c r="AG8740" s="14"/>
    </row>
    <row r="8741" spans="33:33">
      <c r="AG8741" s="14"/>
    </row>
    <row r="8742" spans="33:33">
      <c r="AG8742" s="14"/>
    </row>
    <row r="8743" spans="33:33">
      <c r="AG8743" s="14"/>
    </row>
    <row r="8744" spans="33:33">
      <c r="AG8744" s="14"/>
    </row>
    <row r="8745" spans="33:33">
      <c r="AG8745" s="14"/>
    </row>
    <row r="8746" spans="33:33">
      <c r="AG8746" s="14"/>
    </row>
    <row r="8747" spans="33:33">
      <c r="AG8747" s="14"/>
    </row>
    <row r="8748" spans="33:33">
      <c r="AG8748" s="14"/>
    </row>
    <row r="8749" spans="33:33">
      <c r="AG8749" s="14"/>
    </row>
    <row r="8750" spans="33:33">
      <c r="AG8750" s="14"/>
    </row>
    <row r="8751" spans="33:33">
      <c r="AG8751" s="14"/>
    </row>
    <row r="8752" spans="33:33">
      <c r="AG8752" s="14"/>
    </row>
    <row r="8753" spans="33:33">
      <c r="AG8753" s="14"/>
    </row>
    <row r="8754" spans="33:33">
      <c r="AG8754" s="14"/>
    </row>
    <row r="8755" spans="33:33">
      <c r="AG8755" s="14"/>
    </row>
    <row r="8756" spans="33:33">
      <c r="AG8756" s="14"/>
    </row>
    <row r="8757" spans="33:33">
      <c r="AG8757" s="14"/>
    </row>
    <row r="8758" spans="33:33">
      <c r="AG8758" s="14"/>
    </row>
    <row r="8759" spans="33:33">
      <c r="AG8759" s="14"/>
    </row>
    <row r="8760" spans="33:33">
      <c r="AG8760" s="14"/>
    </row>
    <row r="8761" spans="33:33">
      <c r="AG8761" s="14"/>
    </row>
    <row r="8762" spans="33:33">
      <c r="AG8762" s="14"/>
    </row>
    <row r="8763" spans="33:33">
      <c r="AG8763" s="14"/>
    </row>
    <row r="8764" spans="33:33">
      <c r="AG8764" s="14"/>
    </row>
    <row r="8765" spans="33:33">
      <c r="AG8765" s="14"/>
    </row>
    <row r="8766" spans="33:33">
      <c r="AG8766" s="14"/>
    </row>
    <row r="8767" spans="33:33">
      <c r="AG8767" s="14"/>
    </row>
    <row r="8768" spans="33:33">
      <c r="AG8768" s="14"/>
    </row>
    <row r="8769" spans="33:33">
      <c r="AG8769" s="14"/>
    </row>
    <row r="8770" spans="33:33">
      <c r="AG8770" s="14"/>
    </row>
    <row r="8771" spans="33:33">
      <c r="AG8771" s="14"/>
    </row>
    <row r="8772" spans="33:33">
      <c r="AG8772" s="14"/>
    </row>
    <row r="8773" spans="33:33">
      <c r="AG8773" s="14"/>
    </row>
    <row r="8774" spans="33:33">
      <c r="AG8774" s="14"/>
    </row>
    <row r="8775" spans="33:33">
      <c r="AG8775" s="14"/>
    </row>
    <row r="8776" spans="33:33">
      <c r="AG8776" s="14"/>
    </row>
    <row r="8777" spans="33:33">
      <c r="AG8777" s="14"/>
    </row>
    <row r="8778" spans="33:33">
      <c r="AG8778" s="14"/>
    </row>
    <row r="8779" spans="33:33">
      <c r="AG8779" s="14"/>
    </row>
    <row r="8780" spans="33:33">
      <c r="AG8780" s="14"/>
    </row>
    <row r="8781" spans="33:33">
      <c r="AG8781" s="14"/>
    </row>
    <row r="8782" spans="33:33">
      <c r="AG8782" s="14"/>
    </row>
    <row r="8783" spans="33:33">
      <c r="AG8783" s="14"/>
    </row>
    <row r="8784" spans="33:33">
      <c r="AG8784" s="14"/>
    </row>
    <row r="8785" spans="33:33">
      <c r="AG8785" s="14"/>
    </row>
    <row r="8786" spans="33:33">
      <c r="AG8786" s="14"/>
    </row>
    <row r="8787" spans="33:33">
      <c r="AG8787" s="14"/>
    </row>
    <row r="8788" spans="33:33">
      <c r="AG8788" s="14"/>
    </row>
    <row r="8789" spans="33:33">
      <c r="AG8789" s="14"/>
    </row>
    <row r="8790" spans="33:33">
      <c r="AG8790" s="14"/>
    </row>
    <row r="8791" spans="33:33">
      <c r="AG8791" s="14"/>
    </row>
    <row r="8792" spans="33:33">
      <c r="AG8792" s="14"/>
    </row>
    <row r="8793" spans="33:33">
      <c r="AG8793" s="14"/>
    </row>
    <row r="8794" spans="33:33">
      <c r="AG8794" s="14"/>
    </row>
    <row r="8795" spans="33:33">
      <c r="AG8795" s="14"/>
    </row>
    <row r="8796" spans="33:33">
      <c r="AG8796" s="14"/>
    </row>
    <row r="8797" spans="33:33">
      <c r="AG8797" s="14"/>
    </row>
    <row r="8798" spans="33:33">
      <c r="AG8798" s="14"/>
    </row>
    <row r="8799" spans="33:33">
      <c r="AG8799" s="14"/>
    </row>
    <row r="8800" spans="33:33">
      <c r="AG8800" s="14"/>
    </row>
    <row r="8801" spans="33:33">
      <c r="AG8801" s="14"/>
    </row>
    <row r="8802" spans="33:33">
      <c r="AG8802" s="14"/>
    </row>
    <row r="8803" spans="33:33">
      <c r="AG8803" s="14"/>
    </row>
    <row r="8804" spans="33:33">
      <c r="AG8804" s="14"/>
    </row>
    <row r="8805" spans="33:33">
      <c r="AG8805" s="14"/>
    </row>
    <row r="8806" spans="33:33">
      <c r="AG8806" s="14"/>
    </row>
    <row r="8807" spans="33:33">
      <c r="AG8807" s="14"/>
    </row>
    <row r="8808" spans="33:33">
      <c r="AG8808" s="14"/>
    </row>
    <row r="8809" spans="33:33">
      <c r="AG8809" s="14"/>
    </row>
    <row r="8810" spans="33:33">
      <c r="AG8810" s="14"/>
    </row>
    <row r="8811" spans="33:33">
      <c r="AG8811" s="14"/>
    </row>
    <row r="8812" spans="33:33">
      <c r="AG8812" s="14"/>
    </row>
    <row r="8813" spans="33:33">
      <c r="AG8813" s="14"/>
    </row>
    <row r="8814" spans="33:33">
      <c r="AG8814" s="14"/>
    </row>
    <row r="8815" spans="33:33">
      <c r="AG8815" s="14"/>
    </row>
    <row r="8816" spans="33:33">
      <c r="AG8816" s="14"/>
    </row>
    <row r="8817" spans="33:33">
      <c r="AG8817" s="14"/>
    </row>
    <row r="8818" spans="33:33">
      <c r="AG8818" s="14"/>
    </row>
    <row r="8819" spans="33:33">
      <c r="AG8819" s="14"/>
    </row>
    <row r="8820" spans="33:33">
      <c r="AG8820" s="14"/>
    </row>
    <row r="8821" spans="33:33">
      <c r="AG8821" s="14"/>
    </row>
    <row r="8822" spans="33:33">
      <c r="AG8822" s="14"/>
    </row>
    <row r="8823" spans="33:33">
      <c r="AG8823" s="14"/>
    </row>
    <row r="8824" spans="33:33">
      <c r="AG8824" s="14"/>
    </row>
    <row r="8825" spans="33:33">
      <c r="AG8825" s="14"/>
    </row>
    <row r="8826" spans="33:33">
      <c r="AG8826" s="14"/>
    </row>
    <row r="8827" spans="33:33">
      <c r="AG8827" s="14"/>
    </row>
    <row r="8828" spans="33:33">
      <c r="AG8828" s="14"/>
    </row>
    <row r="8829" spans="33:33">
      <c r="AG8829" s="14"/>
    </row>
    <row r="8830" spans="33:33">
      <c r="AG8830" s="14"/>
    </row>
    <row r="8831" spans="33:33">
      <c r="AG8831" s="14"/>
    </row>
    <row r="8832" spans="33:33">
      <c r="AG8832" s="14"/>
    </row>
    <row r="8833" spans="33:33">
      <c r="AG8833" s="14"/>
    </row>
    <row r="8834" spans="33:33">
      <c r="AG8834" s="14"/>
    </row>
    <row r="8835" spans="33:33">
      <c r="AG8835" s="14"/>
    </row>
    <row r="8836" spans="33:33">
      <c r="AG8836" s="14"/>
    </row>
    <row r="8837" spans="33:33">
      <c r="AG8837" s="14"/>
    </row>
    <row r="8838" spans="33:33">
      <c r="AG8838" s="14"/>
    </row>
    <row r="8839" spans="33:33">
      <c r="AG8839" s="14"/>
    </row>
    <row r="8840" spans="33:33">
      <c r="AG8840" s="14"/>
    </row>
    <row r="8841" spans="33:33">
      <c r="AG8841" s="14"/>
    </row>
    <row r="8842" spans="33:33">
      <c r="AG8842" s="14"/>
    </row>
    <row r="8843" spans="33:33">
      <c r="AG8843" s="14"/>
    </row>
    <row r="8844" spans="33:33">
      <c r="AG8844" s="14"/>
    </row>
    <row r="8845" spans="33:33">
      <c r="AG8845" s="14"/>
    </row>
    <row r="8846" spans="33:33">
      <c r="AG8846" s="14"/>
    </row>
    <row r="8847" spans="33:33">
      <c r="AG8847" s="14"/>
    </row>
    <row r="8848" spans="33:33">
      <c r="AG8848" s="14"/>
    </row>
    <row r="8849" spans="33:33">
      <c r="AG8849" s="14"/>
    </row>
    <row r="8850" spans="33:33">
      <c r="AG8850" s="14"/>
    </row>
    <row r="8851" spans="33:33">
      <c r="AG8851" s="14"/>
    </row>
    <row r="8852" spans="33:33">
      <c r="AG8852" s="14"/>
    </row>
    <row r="8853" spans="33:33">
      <c r="AG8853" s="14"/>
    </row>
    <row r="8854" spans="33:33">
      <c r="AG8854" s="14"/>
    </row>
    <row r="8855" spans="33:33">
      <c r="AG8855" s="14"/>
    </row>
    <row r="8856" spans="33:33">
      <c r="AG8856" s="14"/>
    </row>
    <row r="8857" spans="33:33">
      <c r="AG8857" s="14"/>
    </row>
    <row r="8858" spans="33:33">
      <c r="AG8858" s="14"/>
    </row>
    <row r="8859" spans="33:33">
      <c r="AG8859" s="14"/>
    </row>
    <row r="8860" spans="33:33">
      <c r="AG8860" s="14"/>
    </row>
    <row r="8861" spans="33:33">
      <c r="AG8861" s="14"/>
    </row>
    <row r="8862" spans="33:33">
      <c r="AG8862" s="14"/>
    </row>
    <row r="8863" spans="33:33">
      <c r="AG8863" s="14"/>
    </row>
    <row r="8864" spans="33:33">
      <c r="AG8864" s="14"/>
    </row>
    <row r="8865" spans="33:33">
      <c r="AG8865" s="14"/>
    </row>
    <row r="8866" spans="33:33">
      <c r="AG8866" s="14"/>
    </row>
    <row r="8867" spans="33:33">
      <c r="AG8867" s="14"/>
    </row>
    <row r="8868" spans="33:33">
      <c r="AG8868" s="14"/>
    </row>
    <row r="8869" spans="33:33">
      <c r="AG8869" s="14"/>
    </row>
    <row r="8870" spans="33:33">
      <c r="AG8870" s="14"/>
    </row>
    <row r="8871" spans="33:33">
      <c r="AG8871" s="14"/>
    </row>
    <row r="8872" spans="33:33">
      <c r="AG8872" s="14"/>
    </row>
    <row r="8873" spans="33:33">
      <c r="AG8873" s="14"/>
    </row>
    <row r="8874" spans="33:33">
      <c r="AG8874" s="14"/>
    </row>
    <row r="8875" spans="33:33">
      <c r="AG8875" s="14"/>
    </row>
    <row r="8876" spans="33:33">
      <c r="AG8876" s="14"/>
    </row>
    <row r="8877" spans="33:33">
      <c r="AG8877" s="14"/>
    </row>
    <row r="8878" spans="33:33">
      <c r="AG8878" s="14"/>
    </row>
    <row r="8879" spans="33:33">
      <c r="AG8879" s="14"/>
    </row>
    <row r="8880" spans="33:33">
      <c r="AG8880" s="14"/>
    </row>
    <row r="8881" spans="33:33">
      <c r="AG8881" s="14"/>
    </row>
    <row r="8882" spans="33:33">
      <c r="AG8882" s="14"/>
    </row>
    <row r="8883" spans="33:33">
      <c r="AG8883" s="14"/>
    </row>
    <row r="8884" spans="33:33">
      <c r="AG8884" s="14"/>
    </row>
    <row r="8885" spans="33:33">
      <c r="AG8885" s="14"/>
    </row>
    <row r="8886" spans="33:33">
      <c r="AG8886" s="14"/>
    </row>
    <row r="8887" spans="33:33">
      <c r="AG8887" s="14"/>
    </row>
    <row r="8888" spans="33:33">
      <c r="AG8888" s="14"/>
    </row>
    <row r="8889" spans="33:33">
      <c r="AG8889" s="14"/>
    </row>
    <row r="8890" spans="33:33">
      <c r="AG8890" s="14"/>
    </row>
    <row r="8891" spans="33:33">
      <c r="AG8891" s="14"/>
    </row>
    <row r="8892" spans="33:33">
      <c r="AG8892" s="14"/>
    </row>
    <row r="8893" spans="33:33">
      <c r="AG8893" s="14"/>
    </row>
    <row r="8894" spans="33:33">
      <c r="AG8894" s="14"/>
    </row>
    <row r="8895" spans="33:33">
      <c r="AG8895" s="14"/>
    </row>
    <row r="8896" spans="33:33">
      <c r="AG8896" s="14"/>
    </row>
    <row r="8897" spans="33:33">
      <c r="AG8897" s="14"/>
    </row>
    <row r="8898" spans="33:33">
      <c r="AG8898" s="14"/>
    </row>
    <row r="8899" spans="33:33">
      <c r="AG8899" s="14"/>
    </row>
    <row r="8900" spans="33:33">
      <c r="AG8900" s="14"/>
    </row>
    <row r="8901" spans="33:33">
      <c r="AG8901" s="14"/>
    </row>
    <row r="8902" spans="33:33">
      <c r="AG8902" s="14"/>
    </row>
    <row r="8903" spans="33:33">
      <c r="AG8903" s="14"/>
    </row>
    <row r="8904" spans="33:33">
      <c r="AG8904" s="14"/>
    </row>
    <row r="8905" spans="33:33">
      <c r="AG8905" s="14"/>
    </row>
    <row r="8906" spans="33:33">
      <c r="AG8906" s="14"/>
    </row>
    <row r="8907" spans="33:33">
      <c r="AG8907" s="14"/>
    </row>
    <row r="8908" spans="33:33">
      <c r="AG8908" s="14"/>
    </row>
    <row r="8909" spans="33:33">
      <c r="AG8909" s="14"/>
    </row>
    <row r="8910" spans="33:33">
      <c r="AG8910" s="14"/>
    </row>
    <row r="8911" spans="33:33">
      <c r="AG8911" s="14"/>
    </row>
    <row r="8912" spans="33:33">
      <c r="AG8912" s="14"/>
    </row>
    <row r="8913" spans="33:33">
      <c r="AG8913" s="14"/>
    </row>
    <row r="8914" spans="33:33">
      <c r="AG8914" s="14"/>
    </row>
    <row r="8915" spans="33:33">
      <c r="AG8915" s="14"/>
    </row>
    <row r="8916" spans="33:33">
      <c r="AG8916" s="14"/>
    </row>
    <row r="8917" spans="33:33">
      <c r="AG8917" s="14"/>
    </row>
    <row r="8918" spans="33:33">
      <c r="AG8918" s="14"/>
    </row>
    <row r="8919" spans="33:33">
      <c r="AG8919" s="14"/>
    </row>
    <row r="8920" spans="33:33">
      <c r="AG8920" s="14"/>
    </row>
    <row r="8921" spans="33:33">
      <c r="AG8921" s="14"/>
    </row>
    <row r="8922" spans="33:33">
      <c r="AG8922" s="14"/>
    </row>
    <row r="8923" spans="33:33">
      <c r="AG8923" s="14"/>
    </row>
    <row r="8924" spans="33:33">
      <c r="AG8924" s="14"/>
    </row>
    <row r="8925" spans="33:33">
      <c r="AG8925" s="14"/>
    </row>
    <row r="8926" spans="33:33">
      <c r="AG8926" s="14"/>
    </row>
    <row r="8927" spans="33:33">
      <c r="AG8927" s="14"/>
    </row>
    <row r="8928" spans="33:33">
      <c r="AG8928" s="14"/>
    </row>
    <row r="8929" spans="33:33">
      <c r="AG8929" s="14"/>
    </row>
    <row r="8930" spans="33:33">
      <c r="AG8930" s="14"/>
    </row>
    <row r="8931" spans="33:33">
      <c r="AG8931" s="14"/>
    </row>
    <row r="8932" spans="33:33">
      <c r="AG8932" s="14"/>
    </row>
    <row r="8933" spans="33:33">
      <c r="AG8933" s="14"/>
    </row>
    <row r="8934" spans="33:33">
      <c r="AG8934" s="14"/>
    </row>
    <row r="8935" spans="33:33">
      <c r="AG8935" s="14"/>
    </row>
    <row r="8936" spans="33:33">
      <c r="AG8936" s="14"/>
    </row>
    <row r="8937" spans="33:33">
      <c r="AG8937" s="14"/>
    </row>
    <row r="8938" spans="33:33">
      <c r="AG8938" s="14"/>
    </row>
    <row r="8939" spans="33:33">
      <c r="AG8939" s="14"/>
    </row>
    <row r="8940" spans="33:33">
      <c r="AG8940" s="14"/>
    </row>
    <row r="8941" spans="33:33">
      <c r="AG8941" s="14"/>
    </row>
    <row r="8942" spans="33:33">
      <c r="AG8942" s="14"/>
    </row>
    <row r="8943" spans="33:33">
      <c r="AG8943" s="14"/>
    </row>
    <row r="8944" spans="33:33">
      <c r="AG8944" s="14"/>
    </row>
    <row r="8945" spans="33:33">
      <c r="AG8945" s="14"/>
    </row>
    <row r="8946" spans="33:33">
      <c r="AG8946" s="14"/>
    </row>
    <row r="8947" spans="33:33">
      <c r="AG8947" s="14"/>
    </row>
    <row r="8948" spans="33:33">
      <c r="AG8948" s="14"/>
    </row>
    <row r="8949" spans="33:33">
      <c r="AG8949" s="14"/>
    </row>
    <row r="8950" spans="33:33">
      <c r="AG8950" s="14"/>
    </row>
    <row r="8951" spans="33:33">
      <c r="AG8951" s="14"/>
    </row>
    <row r="8952" spans="33:33">
      <c r="AG8952" s="14"/>
    </row>
    <row r="8953" spans="33:33">
      <c r="AG8953" s="14"/>
    </row>
    <row r="8954" spans="33:33">
      <c r="AG8954" s="14"/>
    </row>
    <row r="8955" spans="33:33">
      <c r="AG8955" s="14"/>
    </row>
    <row r="8956" spans="33:33">
      <c r="AG8956" s="14"/>
    </row>
    <row r="8957" spans="33:33">
      <c r="AG8957" s="14"/>
    </row>
    <row r="8958" spans="33:33">
      <c r="AG8958" s="14"/>
    </row>
    <row r="8959" spans="33:33">
      <c r="AG8959" s="14"/>
    </row>
    <row r="8960" spans="33:33">
      <c r="AG8960" s="14"/>
    </row>
    <row r="8961" spans="33:33">
      <c r="AG8961" s="14"/>
    </row>
    <row r="8962" spans="33:33">
      <c r="AG8962" s="14"/>
    </row>
    <row r="8963" spans="33:33">
      <c r="AG8963" s="14"/>
    </row>
    <row r="8964" spans="33:33">
      <c r="AG8964" s="14"/>
    </row>
    <row r="8965" spans="33:33">
      <c r="AG8965" s="14"/>
    </row>
    <row r="8966" spans="33:33">
      <c r="AG8966" s="14"/>
    </row>
    <row r="8967" spans="33:33">
      <c r="AG8967" s="14"/>
    </row>
    <row r="8968" spans="33:33">
      <c r="AG8968" s="14"/>
    </row>
    <row r="8969" spans="33:33">
      <c r="AG8969" s="14"/>
    </row>
    <row r="8970" spans="33:33">
      <c r="AG8970" s="14"/>
    </row>
    <row r="8971" spans="33:33">
      <c r="AG8971" s="14"/>
    </row>
    <row r="8972" spans="33:33">
      <c r="AG8972" s="14"/>
    </row>
    <row r="8973" spans="33:33">
      <c r="AG8973" s="14"/>
    </row>
    <row r="8974" spans="33:33">
      <c r="AG8974" s="14"/>
    </row>
    <row r="8975" spans="33:33">
      <c r="AG8975" s="14"/>
    </row>
    <row r="8976" spans="33:33">
      <c r="AG8976" s="14"/>
    </row>
    <row r="8977" spans="33:33">
      <c r="AG8977" s="14"/>
    </row>
    <row r="8978" spans="33:33">
      <c r="AG8978" s="14"/>
    </row>
    <row r="8979" spans="33:33">
      <c r="AG8979" s="14"/>
    </row>
    <row r="8980" spans="33:33">
      <c r="AG8980" s="14"/>
    </row>
    <row r="8981" spans="33:33">
      <c r="AG8981" s="14"/>
    </row>
    <row r="8982" spans="33:33">
      <c r="AG8982" s="14"/>
    </row>
    <row r="8983" spans="33:33">
      <c r="AG8983" s="14"/>
    </row>
    <row r="8984" spans="33:33">
      <c r="AG8984" s="14"/>
    </row>
    <row r="8985" spans="33:33">
      <c r="AG8985" s="14"/>
    </row>
    <row r="8986" spans="33:33">
      <c r="AG8986" s="14"/>
    </row>
    <row r="8987" spans="33:33">
      <c r="AG8987" s="14"/>
    </row>
    <row r="8988" spans="33:33">
      <c r="AG8988" s="14"/>
    </row>
    <row r="8989" spans="33:33">
      <c r="AG8989" s="14"/>
    </row>
    <row r="8990" spans="33:33">
      <c r="AG8990" s="14"/>
    </row>
    <row r="8991" spans="33:33">
      <c r="AG8991" s="14"/>
    </row>
    <row r="8992" spans="33:33">
      <c r="AG8992" s="14"/>
    </row>
    <row r="8993" spans="33:33">
      <c r="AG8993" s="14"/>
    </row>
    <row r="8994" spans="33:33">
      <c r="AG8994" s="14"/>
    </row>
    <row r="8995" spans="33:33">
      <c r="AG8995" s="14"/>
    </row>
    <row r="8996" spans="33:33">
      <c r="AG8996" s="14"/>
    </row>
    <row r="8997" spans="33:33">
      <c r="AG8997" s="14"/>
    </row>
    <row r="8998" spans="33:33">
      <c r="AG8998" s="14"/>
    </row>
    <row r="8999" spans="33:33">
      <c r="AG8999" s="14"/>
    </row>
    <row r="9000" spans="33:33">
      <c r="AG9000" s="14"/>
    </row>
    <row r="9001" spans="33:33">
      <c r="AG9001" s="14"/>
    </row>
    <row r="9002" spans="33:33">
      <c r="AG9002" s="14"/>
    </row>
    <row r="9003" spans="33:33">
      <c r="AG9003" s="14"/>
    </row>
    <row r="9004" spans="33:33">
      <c r="AG9004" s="14"/>
    </row>
    <row r="9005" spans="33:33">
      <c r="AG9005" s="14"/>
    </row>
    <row r="9006" spans="33:33">
      <c r="AG9006" s="14"/>
    </row>
    <row r="9007" spans="33:33">
      <c r="AG9007" s="14"/>
    </row>
    <row r="9008" spans="33:33">
      <c r="AG9008" s="14"/>
    </row>
    <row r="9009" spans="33:33">
      <c r="AG9009" s="14"/>
    </row>
    <row r="9010" spans="33:33">
      <c r="AG9010" s="14"/>
    </row>
    <row r="9011" spans="33:33">
      <c r="AG9011" s="14"/>
    </row>
    <row r="9012" spans="33:33">
      <c r="AG9012" s="14"/>
    </row>
    <row r="9013" spans="33:33">
      <c r="AG9013" s="14"/>
    </row>
    <row r="9014" spans="33:33">
      <c r="AG9014" s="14"/>
    </row>
    <row r="9015" spans="33:33">
      <c r="AG9015" s="14"/>
    </row>
    <row r="9016" spans="33:33">
      <c r="AG9016" s="14"/>
    </row>
    <row r="9017" spans="33:33">
      <c r="AG9017" s="14"/>
    </row>
    <row r="9018" spans="33:33">
      <c r="AG9018" s="14"/>
    </row>
    <row r="9019" spans="33:33">
      <c r="AG9019" s="14"/>
    </row>
    <row r="9020" spans="33:33">
      <c r="AG9020" s="14"/>
    </row>
    <row r="9021" spans="33:33">
      <c r="AG9021" s="14"/>
    </row>
    <row r="9022" spans="33:33">
      <c r="AG9022" s="14"/>
    </row>
    <row r="9023" spans="33:33">
      <c r="AG9023" s="14"/>
    </row>
    <row r="9024" spans="33:33">
      <c r="AG9024" s="14"/>
    </row>
    <row r="9025" spans="33:33">
      <c r="AG9025" s="14"/>
    </row>
    <row r="9026" spans="33:33">
      <c r="AG9026" s="14"/>
    </row>
    <row r="9027" spans="33:33">
      <c r="AG9027" s="14"/>
    </row>
    <row r="9028" spans="33:33">
      <c r="AG9028" s="14"/>
    </row>
    <row r="9029" spans="33:33">
      <c r="AG9029" s="14"/>
    </row>
    <row r="9030" spans="33:33">
      <c r="AG9030" s="14"/>
    </row>
    <row r="9031" spans="33:33">
      <c r="AG9031" s="14"/>
    </row>
    <row r="9032" spans="33:33">
      <c r="AG9032" s="14"/>
    </row>
    <row r="9033" spans="33:33">
      <c r="AG9033" s="14"/>
    </row>
    <row r="9034" spans="33:33">
      <c r="AG9034" s="14"/>
    </row>
    <row r="9035" spans="33:33">
      <c r="AG9035" s="14"/>
    </row>
    <row r="9036" spans="33:33">
      <c r="AG9036" s="14"/>
    </row>
    <row r="9037" spans="33:33">
      <c r="AG9037" s="14"/>
    </row>
    <row r="9038" spans="33:33">
      <c r="AG9038" s="14"/>
    </row>
    <row r="9039" spans="33:33">
      <c r="AG9039" s="14"/>
    </row>
    <row r="9040" spans="33:33">
      <c r="AG9040" s="14"/>
    </row>
    <row r="9041" spans="33:33">
      <c r="AG9041" s="14"/>
    </row>
    <row r="9042" spans="33:33">
      <c r="AG9042" s="14"/>
    </row>
    <row r="9043" spans="33:33">
      <c r="AG9043" s="14"/>
    </row>
    <row r="9044" spans="33:33">
      <c r="AG9044" s="14"/>
    </row>
    <row r="9045" spans="33:33">
      <c r="AG9045" s="14"/>
    </row>
    <row r="9046" spans="33:33">
      <c r="AG9046" s="14"/>
    </row>
    <row r="9047" spans="33:33">
      <c r="AG9047" s="14"/>
    </row>
    <row r="9048" spans="33:33">
      <c r="AG9048" s="14"/>
    </row>
    <row r="9049" spans="33:33">
      <c r="AG9049" s="14"/>
    </row>
    <row r="9050" spans="33:33">
      <c r="AG9050" s="14"/>
    </row>
    <row r="9051" spans="33:33">
      <c r="AG9051" s="14"/>
    </row>
    <row r="9052" spans="33:33">
      <c r="AG9052" s="14"/>
    </row>
    <row r="9053" spans="33:33">
      <c r="AG9053" s="14"/>
    </row>
    <row r="9054" spans="33:33">
      <c r="AG9054" s="14"/>
    </row>
    <row r="9055" spans="33:33">
      <c r="AG9055" s="14"/>
    </row>
    <row r="9056" spans="33:33">
      <c r="AG9056" s="14"/>
    </row>
    <row r="9057" spans="33:33">
      <c r="AG9057" s="14"/>
    </row>
    <row r="9058" spans="33:33">
      <c r="AG9058" s="14"/>
    </row>
    <row r="9059" spans="33:33">
      <c r="AG9059" s="14"/>
    </row>
    <row r="9060" spans="33:33">
      <c r="AG9060" s="14"/>
    </row>
    <row r="9061" spans="33:33">
      <c r="AG9061" s="14"/>
    </row>
    <row r="9062" spans="33:33">
      <c r="AG9062" s="14"/>
    </row>
    <row r="9063" spans="33:33">
      <c r="AG9063" s="14"/>
    </row>
    <row r="9064" spans="33:33">
      <c r="AG9064" s="14"/>
    </row>
    <row r="9065" spans="33:33">
      <c r="AG9065" s="14"/>
    </row>
    <row r="9066" spans="33:33">
      <c r="AG9066" s="14"/>
    </row>
    <row r="9067" spans="33:33">
      <c r="AG9067" s="14"/>
    </row>
    <row r="9068" spans="33:33">
      <c r="AG9068" s="14"/>
    </row>
    <row r="9069" spans="33:33">
      <c r="AG9069" s="14"/>
    </row>
    <row r="9070" spans="33:33">
      <c r="AG9070" s="14"/>
    </row>
    <row r="9071" spans="33:33">
      <c r="AG9071" s="14"/>
    </row>
    <row r="9072" spans="33:33">
      <c r="AG9072" s="14"/>
    </row>
    <row r="9073" spans="33:33">
      <c r="AG9073" s="14"/>
    </row>
    <row r="9074" spans="33:33">
      <c r="AG9074" s="14"/>
    </row>
    <row r="9075" spans="33:33">
      <c r="AG9075" s="14"/>
    </row>
    <row r="9076" spans="33:33">
      <c r="AG9076" s="14"/>
    </row>
    <row r="9077" spans="33:33">
      <c r="AG9077" s="14"/>
    </row>
    <row r="9078" spans="33:33">
      <c r="AG9078" s="14"/>
    </row>
    <row r="9079" spans="33:33">
      <c r="AG9079" s="14"/>
    </row>
    <row r="9080" spans="33:33">
      <c r="AG9080" s="14"/>
    </row>
    <row r="9081" spans="33:33">
      <c r="AG9081" s="14"/>
    </row>
    <row r="9082" spans="33:33">
      <c r="AG9082" s="14"/>
    </row>
    <row r="9083" spans="33:33">
      <c r="AG9083" s="14"/>
    </row>
    <row r="9084" spans="33:33">
      <c r="AG9084" s="14"/>
    </row>
    <row r="9085" spans="33:33">
      <c r="AG9085" s="14"/>
    </row>
    <row r="9086" spans="33:33">
      <c r="AG9086" s="14"/>
    </row>
    <row r="9087" spans="33:33">
      <c r="AG9087" s="14"/>
    </row>
    <row r="9088" spans="33:33">
      <c r="AG9088" s="14"/>
    </row>
    <row r="9089" spans="33:33">
      <c r="AG9089" s="14"/>
    </row>
    <row r="9090" spans="33:33">
      <c r="AG9090" s="14"/>
    </row>
    <row r="9091" spans="33:33">
      <c r="AG9091" s="14"/>
    </row>
    <row r="9092" spans="33:33">
      <c r="AG9092" s="14"/>
    </row>
    <row r="9093" spans="33:33">
      <c r="AG9093" s="14"/>
    </row>
    <row r="9094" spans="33:33">
      <c r="AG9094" s="14"/>
    </row>
    <row r="9095" spans="33:33">
      <c r="AG9095" s="14"/>
    </row>
    <row r="9096" spans="33:33">
      <c r="AG9096" s="14"/>
    </row>
    <row r="9097" spans="33:33">
      <c r="AG9097" s="14"/>
    </row>
    <row r="9098" spans="33:33">
      <c r="AG9098" s="14"/>
    </row>
    <row r="9099" spans="33:33">
      <c r="AG9099" s="14"/>
    </row>
    <row r="9100" spans="33:33">
      <c r="AG9100" s="14"/>
    </row>
    <row r="9101" spans="33:33">
      <c r="AG9101" s="14"/>
    </row>
    <row r="9102" spans="33:33">
      <c r="AG9102" s="14"/>
    </row>
    <row r="9103" spans="33:33">
      <c r="AG9103" s="14"/>
    </row>
    <row r="9104" spans="33:33">
      <c r="AG9104" s="14"/>
    </row>
    <row r="9105" spans="33:33">
      <c r="AG9105" s="14"/>
    </row>
    <row r="9106" spans="33:33">
      <c r="AG9106" s="14"/>
    </row>
    <row r="9107" spans="33:33">
      <c r="AG9107" s="14"/>
    </row>
    <row r="9108" spans="33:33">
      <c r="AG9108" s="14"/>
    </row>
    <row r="9109" spans="33:33">
      <c r="AG9109" s="14"/>
    </row>
    <row r="9110" spans="33:33">
      <c r="AG9110" s="14"/>
    </row>
    <row r="9111" spans="33:33">
      <c r="AG9111" s="14"/>
    </row>
    <row r="9112" spans="33:33">
      <c r="AG9112" s="14"/>
    </row>
    <row r="9113" spans="33:33">
      <c r="AG9113" s="14"/>
    </row>
    <row r="9114" spans="33:33">
      <c r="AG9114" s="14"/>
    </row>
    <row r="9115" spans="33:33">
      <c r="AG9115" s="14"/>
    </row>
    <row r="9116" spans="33:33">
      <c r="AG9116" s="14"/>
    </row>
    <row r="9117" spans="33:33">
      <c r="AG9117" s="14"/>
    </row>
    <row r="9118" spans="33:33">
      <c r="AG9118" s="14"/>
    </row>
    <row r="9119" spans="33:33">
      <c r="AG9119" s="14"/>
    </row>
    <row r="9120" spans="33:33">
      <c r="AG9120" s="14"/>
    </row>
    <row r="9121" spans="33:33">
      <c r="AG9121" s="14"/>
    </row>
    <row r="9122" spans="33:33">
      <c r="AG9122" s="14"/>
    </row>
    <row r="9123" spans="33:33">
      <c r="AG9123" s="14"/>
    </row>
    <row r="9124" spans="33:33">
      <c r="AG9124" s="14"/>
    </row>
    <row r="9125" spans="33:33">
      <c r="AG9125" s="14"/>
    </row>
    <row r="9126" spans="33:33">
      <c r="AG9126" s="14"/>
    </row>
    <row r="9127" spans="33:33">
      <c r="AG9127" s="14"/>
    </row>
    <row r="9128" spans="33:33">
      <c r="AG9128" s="14"/>
    </row>
    <row r="9129" spans="33:33">
      <c r="AG9129" s="14"/>
    </row>
    <row r="9130" spans="33:33">
      <c r="AG9130" s="14"/>
    </row>
    <row r="9131" spans="33:33">
      <c r="AG9131" s="14"/>
    </row>
    <row r="9132" spans="33:33">
      <c r="AG9132" s="14"/>
    </row>
    <row r="9133" spans="33:33">
      <c r="AG9133" s="14"/>
    </row>
    <row r="9134" spans="33:33">
      <c r="AG9134" s="14"/>
    </row>
    <row r="9135" spans="33:33">
      <c r="AG9135" s="14"/>
    </row>
    <row r="9136" spans="33:33">
      <c r="AG9136" s="14"/>
    </row>
    <row r="9137" spans="33:33">
      <c r="AG9137" s="14"/>
    </row>
    <row r="9138" spans="33:33">
      <c r="AG9138" s="14"/>
    </row>
    <row r="9139" spans="33:33">
      <c r="AG9139" s="14"/>
    </row>
    <row r="9140" spans="33:33">
      <c r="AG9140" s="14"/>
    </row>
    <row r="9141" spans="33:33">
      <c r="AG9141" s="14"/>
    </row>
    <row r="9142" spans="33:33">
      <c r="AG9142" s="14"/>
    </row>
    <row r="9143" spans="33:33">
      <c r="AG9143" s="14"/>
    </row>
    <row r="9144" spans="33:33">
      <c r="AG9144" s="14"/>
    </row>
    <row r="9145" spans="33:33">
      <c r="AG9145" s="14"/>
    </row>
    <row r="9146" spans="33:33">
      <c r="AG9146" s="14"/>
    </row>
    <row r="9147" spans="33:33">
      <c r="AG9147" s="14"/>
    </row>
    <row r="9148" spans="33:33">
      <c r="AG9148" s="14"/>
    </row>
    <row r="9149" spans="33:33">
      <c r="AG9149" s="14"/>
    </row>
    <row r="9150" spans="33:33">
      <c r="AG9150" s="14"/>
    </row>
    <row r="9151" spans="33:33">
      <c r="AG9151" s="14"/>
    </row>
    <row r="9152" spans="33:33">
      <c r="AG9152" s="14"/>
    </row>
    <row r="9153" spans="33:33">
      <c r="AG9153" s="14"/>
    </row>
    <row r="9154" spans="33:33">
      <c r="AG9154" s="14"/>
    </row>
    <row r="9155" spans="33:33">
      <c r="AG9155" s="14"/>
    </row>
    <row r="9156" spans="33:33">
      <c r="AG9156" s="14"/>
    </row>
    <row r="9157" spans="33:33">
      <c r="AG9157" s="14"/>
    </row>
    <row r="9158" spans="33:33">
      <c r="AG9158" s="14"/>
    </row>
    <row r="9159" spans="33:33">
      <c r="AG9159" s="14"/>
    </row>
    <row r="9160" spans="33:33">
      <c r="AG9160" s="14"/>
    </row>
    <row r="9161" spans="33:33">
      <c r="AG9161" s="14"/>
    </row>
    <row r="9162" spans="33:33">
      <c r="AG9162" s="14"/>
    </row>
    <row r="9163" spans="33:33">
      <c r="AG9163" s="14"/>
    </row>
    <row r="9164" spans="33:33">
      <c r="AG9164" s="14"/>
    </row>
    <row r="9165" spans="33:33">
      <c r="AG9165" s="14"/>
    </row>
    <row r="9166" spans="33:33">
      <c r="AG9166" s="14"/>
    </row>
    <row r="9167" spans="33:33">
      <c r="AG9167" s="14"/>
    </row>
    <row r="9168" spans="33:33">
      <c r="AG9168" s="14"/>
    </row>
    <row r="9169" spans="33:33">
      <c r="AG9169" s="14"/>
    </row>
    <row r="9170" spans="33:33">
      <c r="AG9170" s="14"/>
    </row>
    <row r="9171" spans="33:33">
      <c r="AG9171" s="14"/>
    </row>
    <row r="9172" spans="33:33">
      <c r="AG9172" s="14"/>
    </row>
    <row r="9173" spans="33:33">
      <c r="AG9173" s="14"/>
    </row>
    <row r="9174" spans="33:33">
      <c r="AG9174" s="14"/>
    </row>
    <row r="9175" spans="33:33">
      <c r="AG9175" s="14"/>
    </row>
    <row r="9176" spans="33:33">
      <c r="AG9176" s="14"/>
    </row>
    <row r="9177" spans="33:33">
      <c r="AG9177" s="14"/>
    </row>
    <row r="9178" spans="33:33">
      <c r="AG9178" s="14"/>
    </row>
    <row r="9179" spans="33:33">
      <c r="AG9179" s="14"/>
    </row>
    <row r="9180" spans="33:33">
      <c r="AG9180" s="14"/>
    </row>
    <row r="9181" spans="33:33">
      <c r="AG9181" s="14"/>
    </row>
    <row r="9182" spans="33:33">
      <c r="AG9182" s="14"/>
    </row>
    <row r="9183" spans="33:33">
      <c r="AG9183" s="14"/>
    </row>
    <row r="9184" spans="33:33">
      <c r="AG9184" s="14"/>
    </row>
    <row r="9185" spans="33:33">
      <c r="AG9185" s="14"/>
    </row>
    <row r="9186" spans="33:33">
      <c r="AG9186" s="14"/>
    </row>
    <row r="9187" spans="33:33">
      <c r="AG9187" s="14"/>
    </row>
    <row r="9188" spans="33:33">
      <c r="AG9188" s="14"/>
    </row>
    <row r="9189" spans="33:33">
      <c r="AG9189" s="14"/>
    </row>
    <row r="9190" spans="33:33">
      <c r="AG9190" s="14"/>
    </row>
    <row r="9191" spans="33:33">
      <c r="AG9191" s="14"/>
    </row>
    <row r="9192" spans="33:33">
      <c r="AG9192" s="14"/>
    </row>
    <row r="9193" spans="33:33">
      <c r="AG9193" s="14"/>
    </row>
    <row r="9194" spans="33:33">
      <c r="AG9194" s="14"/>
    </row>
    <row r="9195" spans="33:33">
      <c r="AG9195" s="14"/>
    </row>
    <row r="9196" spans="33:33">
      <c r="AG9196" s="14"/>
    </row>
    <row r="9197" spans="33:33">
      <c r="AG9197" s="14"/>
    </row>
    <row r="9198" spans="33:33">
      <c r="AG9198" s="14"/>
    </row>
    <row r="9199" spans="33:33">
      <c r="AG9199" s="14"/>
    </row>
    <row r="9200" spans="33:33">
      <c r="AG9200" s="14"/>
    </row>
    <row r="9201" spans="33:33">
      <c r="AG9201" s="14"/>
    </row>
    <row r="9202" spans="33:33">
      <c r="AG9202" s="14"/>
    </row>
    <row r="9203" spans="33:33">
      <c r="AG9203" s="14"/>
    </row>
    <row r="9204" spans="33:33">
      <c r="AG9204" s="14"/>
    </row>
    <row r="9205" spans="33:33">
      <c r="AG9205" s="14"/>
    </row>
    <row r="9206" spans="33:33">
      <c r="AG9206" s="14"/>
    </row>
    <row r="9207" spans="33:33">
      <c r="AG9207" s="14"/>
    </row>
    <row r="9208" spans="33:33">
      <c r="AG9208" s="14"/>
    </row>
    <row r="9209" spans="33:33">
      <c r="AG9209" s="14"/>
    </row>
    <row r="9210" spans="33:33">
      <c r="AG9210" s="14"/>
    </row>
    <row r="9211" spans="33:33">
      <c r="AG9211" s="14"/>
    </row>
    <row r="9212" spans="33:33">
      <c r="AG9212" s="14"/>
    </row>
    <row r="9213" spans="33:33">
      <c r="AG9213" s="14"/>
    </row>
    <row r="9214" spans="33:33">
      <c r="AG9214" s="14"/>
    </row>
    <row r="9215" spans="33:33">
      <c r="AG9215" s="14"/>
    </row>
    <row r="9216" spans="33:33">
      <c r="AG9216" s="14"/>
    </row>
    <row r="9217" spans="33:33">
      <c r="AG9217" s="14"/>
    </row>
    <row r="9218" spans="33:33">
      <c r="AG9218" s="14"/>
    </row>
    <row r="9219" spans="33:33">
      <c r="AG9219" s="14"/>
    </row>
    <row r="9220" spans="33:33">
      <c r="AG9220" s="14"/>
    </row>
    <row r="9221" spans="33:33">
      <c r="AG9221" s="14"/>
    </row>
    <row r="9222" spans="33:33">
      <c r="AG9222" s="14"/>
    </row>
    <row r="9223" spans="33:33">
      <c r="AG9223" s="14"/>
    </row>
    <row r="9224" spans="33:33">
      <c r="AG9224" s="14"/>
    </row>
    <row r="9225" spans="33:33">
      <c r="AG9225" s="14"/>
    </row>
    <row r="9226" spans="33:33">
      <c r="AG9226" s="14"/>
    </row>
    <row r="9227" spans="33:33">
      <c r="AG9227" s="14"/>
    </row>
    <row r="9228" spans="33:33">
      <c r="AG9228" s="14"/>
    </row>
    <row r="9229" spans="33:33">
      <c r="AG9229" s="14"/>
    </row>
    <row r="9230" spans="33:33">
      <c r="AG9230" s="14"/>
    </row>
    <row r="9231" spans="33:33">
      <c r="AG9231" s="14"/>
    </row>
    <row r="9232" spans="33:33">
      <c r="AG9232" s="14"/>
    </row>
    <row r="9233" spans="33:33">
      <c r="AG9233" s="14"/>
    </row>
    <row r="9234" spans="33:33">
      <c r="AG9234" s="14"/>
    </row>
    <row r="9235" spans="33:33">
      <c r="AG9235" s="14"/>
    </row>
    <row r="9236" spans="33:33">
      <c r="AG9236" s="14"/>
    </row>
    <row r="9237" spans="33:33">
      <c r="AG9237" s="14"/>
    </row>
    <row r="9238" spans="33:33">
      <c r="AG9238" s="14"/>
    </row>
    <row r="9239" spans="33:33">
      <c r="AG9239" s="14"/>
    </row>
    <row r="9240" spans="33:33">
      <c r="AG9240" s="14"/>
    </row>
    <row r="9241" spans="33:33">
      <c r="AG9241" s="14"/>
    </row>
    <row r="9242" spans="33:33">
      <c r="AG9242" s="14"/>
    </row>
    <row r="9243" spans="33:33">
      <c r="AG9243" s="14"/>
    </row>
    <row r="9244" spans="33:33">
      <c r="AG9244" s="14"/>
    </row>
    <row r="9245" spans="33:33">
      <c r="AG9245" s="14"/>
    </row>
    <row r="9246" spans="33:33">
      <c r="AG9246" s="14"/>
    </row>
    <row r="9247" spans="33:33">
      <c r="AG9247" s="14"/>
    </row>
    <row r="9248" spans="33:33">
      <c r="AG9248" s="14"/>
    </row>
    <row r="9249" spans="33:33">
      <c r="AG9249" s="14"/>
    </row>
    <row r="9250" spans="33:33">
      <c r="AG9250" s="14"/>
    </row>
    <row r="9251" spans="33:33">
      <c r="AG9251" s="14"/>
    </row>
    <row r="9252" spans="33:33">
      <c r="AG9252" s="14"/>
    </row>
    <row r="9253" spans="33:33">
      <c r="AG9253" s="14"/>
    </row>
    <row r="9254" spans="33:33">
      <c r="AG9254" s="14"/>
    </row>
    <row r="9255" spans="33:33">
      <c r="AG9255" s="14"/>
    </row>
    <row r="9256" spans="33:33">
      <c r="AG9256" s="14"/>
    </row>
    <row r="9257" spans="33:33">
      <c r="AG9257" s="14"/>
    </row>
    <row r="9258" spans="33:33">
      <c r="AG9258" s="14"/>
    </row>
    <row r="9259" spans="33:33">
      <c r="AG9259" s="14"/>
    </row>
    <row r="9260" spans="33:33">
      <c r="AG9260" s="14"/>
    </row>
    <row r="9261" spans="33:33">
      <c r="AG9261" s="14"/>
    </row>
    <row r="9262" spans="33:33">
      <c r="AG9262" s="14"/>
    </row>
    <row r="9263" spans="33:33">
      <c r="AG9263" s="14"/>
    </row>
    <row r="9264" spans="33:33">
      <c r="AG9264" s="14"/>
    </row>
    <row r="9265" spans="33:33">
      <c r="AG9265" s="14"/>
    </row>
    <row r="9266" spans="33:33">
      <c r="AG9266" s="14"/>
    </row>
    <row r="9267" spans="33:33">
      <c r="AG9267" s="14"/>
    </row>
    <row r="9268" spans="33:33">
      <c r="AG9268" s="14"/>
    </row>
    <row r="9269" spans="33:33">
      <c r="AG9269" s="14"/>
    </row>
    <row r="9270" spans="33:33">
      <c r="AG9270" s="14"/>
    </row>
    <row r="9271" spans="33:33">
      <c r="AG9271" s="14"/>
    </row>
    <row r="9272" spans="33:33">
      <c r="AG9272" s="14"/>
    </row>
    <row r="9273" spans="33:33">
      <c r="AG9273" s="14"/>
    </row>
    <row r="9274" spans="33:33">
      <c r="AG9274" s="14"/>
    </row>
    <row r="9275" spans="33:33">
      <c r="AG9275" s="14"/>
    </row>
    <row r="9276" spans="33:33">
      <c r="AG9276" s="14"/>
    </row>
    <row r="9277" spans="33:33">
      <c r="AG9277" s="14"/>
    </row>
    <row r="9278" spans="33:33">
      <c r="AG9278" s="14"/>
    </row>
    <row r="9279" spans="33:33">
      <c r="AG9279" s="14"/>
    </row>
    <row r="9280" spans="33:33">
      <c r="AG9280" s="14"/>
    </row>
    <row r="9281" spans="33:33">
      <c r="AG9281" s="14"/>
    </row>
    <row r="9282" spans="33:33">
      <c r="AG9282" s="14"/>
    </row>
    <row r="9283" spans="33:33">
      <c r="AG9283" s="14"/>
    </row>
    <row r="9284" spans="33:33">
      <c r="AG9284" s="14"/>
    </row>
    <row r="9285" spans="33:33">
      <c r="AG9285" s="14"/>
    </row>
    <row r="9286" spans="33:33">
      <c r="AG9286" s="14"/>
    </row>
    <row r="9287" spans="33:33">
      <c r="AG9287" s="14"/>
    </row>
    <row r="9288" spans="33:33">
      <c r="AG9288" s="14"/>
    </row>
    <row r="9289" spans="33:33">
      <c r="AG9289" s="14"/>
    </row>
    <row r="9290" spans="33:33">
      <c r="AG9290" s="14"/>
    </row>
    <row r="9291" spans="33:33">
      <c r="AG9291" s="14"/>
    </row>
    <row r="9292" spans="33:33">
      <c r="AG9292" s="14"/>
    </row>
    <row r="9293" spans="33:33">
      <c r="AG9293" s="14"/>
    </row>
    <row r="9294" spans="33:33">
      <c r="AG9294" s="14"/>
    </row>
    <row r="9295" spans="33:33">
      <c r="AG9295" s="14"/>
    </row>
    <row r="9296" spans="33:33">
      <c r="AG9296" s="14"/>
    </row>
    <row r="9297" spans="33:33">
      <c r="AG9297" s="14"/>
    </row>
    <row r="9298" spans="33:33">
      <c r="AG9298" s="14"/>
    </row>
    <row r="9299" spans="33:33">
      <c r="AG9299" s="14"/>
    </row>
    <row r="9300" spans="33:33">
      <c r="AG9300" s="14"/>
    </row>
    <row r="9301" spans="33:33">
      <c r="AG9301" s="14"/>
    </row>
    <row r="9302" spans="33:33">
      <c r="AG9302" s="14"/>
    </row>
    <row r="9303" spans="33:33">
      <c r="AG9303" s="14"/>
    </row>
    <row r="9304" spans="33:33">
      <c r="AG9304" s="14"/>
    </row>
    <row r="9305" spans="33:33">
      <c r="AG9305" s="14"/>
    </row>
    <row r="9306" spans="33:33">
      <c r="AG9306" s="14"/>
    </row>
    <row r="9307" spans="33:33">
      <c r="AG9307" s="14"/>
    </row>
    <row r="9308" spans="33:33">
      <c r="AG9308" s="14"/>
    </row>
    <row r="9309" spans="33:33">
      <c r="AG9309" s="14"/>
    </row>
    <row r="9310" spans="33:33">
      <c r="AG9310" s="14"/>
    </row>
    <row r="9311" spans="33:33">
      <c r="AG9311" s="14"/>
    </row>
    <row r="9312" spans="33:33">
      <c r="AG9312" s="14"/>
    </row>
    <row r="9313" spans="33:33">
      <c r="AG9313" s="14"/>
    </row>
    <row r="9314" spans="33:33">
      <c r="AG9314" s="14"/>
    </row>
    <row r="9315" spans="33:33">
      <c r="AG9315" s="14"/>
    </row>
    <row r="9316" spans="33:33">
      <c r="AG9316" s="14"/>
    </row>
    <row r="9317" spans="33:33">
      <c r="AG9317" s="14"/>
    </row>
    <row r="9318" spans="33:33">
      <c r="AG9318" s="14"/>
    </row>
    <row r="9319" spans="33:33">
      <c r="AG9319" s="14"/>
    </row>
    <row r="9320" spans="33:33">
      <c r="AG9320" s="14"/>
    </row>
    <row r="9321" spans="33:33">
      <c r="AG9321" s="14"/>
    </row>
    <row r="9322" spans="33:33">
      <c r="AG9322" s="14"/>
    </row>
    <row r="9323" spans="33:33">
      <c r="AG9323" s="14"/>
    </row>
    <row r="9324" spans="33:33">
      <c r="AG9324" s="14"/>
    </row>
    <row r="9325" spans="33:33">
      <c r="AG9325" s="14"/>
    </row>
    <row r="9326" spans="33:33">
      <c r="AG9326" s="14"/>
    </row>
    <row r="9327" spans="33:33">
      <c r="AG9327" s="14"/>
    </row>
    <row r="9328" spans="33:33">
      <c r="AG9328" s="14"/>
    </row>
    <row r="9329" spans="33:33">
      <c r="AG9329" s="14"/>
    </row>
    <row r="9330" spans="33:33">
      <c r="AG9330" s="14"/>
    </row>
    <row r="9331" spans="33:33">
      <c r="AG9331" s="14"/>
    </row>
    <row r="9332" spans="33:33">
      <c r="AG9332" s="14"/>
    </row>
    <row r="9333" spans="33:33">
      <c r="AG9333" s="14"/>
    </row>
    <row r="9334" spans="33:33">
      <c r="AG9334" s="14"/>
    </row>
    <row r="9335" spans="33:33">
      <c r="AG9335" s="14"/>
    </row>
    <row r="9336" spans="33:33">
      <c r="AG9336" s="14"/>
    </row>
    <row r="9337" spans="33:33">
      <c r="AG9337" s="14"/>
    </row>
    <row r="9338" spans="33:33">
      <c r="AG9338" s="14"/>
    </row>
    <row r="9339" spans="33:33">
      <c r="AG9339" s="14"/>
    </row>
    <row r="9340" spans="33:33">
      <c r="AG9340" s="14"/>
    </row>
    <row r="9341" spans="33:33">
      <c r="AG9341" s="14"/>
    </row>
    <row r="9342" spans="33:33">
      <c r="AG9342" s="14"/>
    </row>
    <row r="9343" spans="33:33">
      <c r="AG9343" s="14"/>
    </row>
    <row r="9344" spans="33:33">
      <c r="AG9344" s="14"/>
    </row>
    <row r="9345" spans="33:33">
      <c r="AG9345" s="14"/>
    </row>
    <row r="9346" spans="33:33">
      <c r="AG9346" s="14"/>
    </row>
    <row r="9347" spans="33:33">
      <c r="AG9347" s="14"/>
    </row>
    <row r="9348" spans="33:33">
      <c r="AG9348" s="14"/>
    </row>
    <row r="9349" spans="33:33">
      <c r="AG9349" s="14"/>
    </row>
    <row r="9350" spans="33:33">
      <c r="AG9350" s="14"/>
    </row>
    <row r="9351" spans="33:33">
      <c r="AG9351" s="14"/>
    </row>
    <row r="9352" spans="33:33">
      <c r="AG9352" s="14"/>
    </row>
    <row r="9353" spans="33:33">
      <c r="AG9353" s="14"/>
    </row>
    <row r="9354" spans="33:33">
      <c r="AG9354" s="14"/>
    </row>
    <row r="9355" spans="33:33">
      <c r="AG9355" s="14"/>
    </row>
    <row r="9356" spans="33:33">
      <c r="AG9356" s="14"/>
    </row>
    <row r="9357" spans="33:33">
      <c r="AG9357" s="14"/>
    </row>
    <row r="9358" spans="33:33">
      <c r="AG9358" s="14"/>
    </row>
    <row r="9359" spans="33:33">
      <c r="AG9359" s="14"/>
    </row>
    <row r="9360" spans="33:33">
      <c r="AG9360" s="14"/>
    </row>
    <row r="9361" spans="33:33">
      <c r="AG9361" s="14"/>
    </row>
    <row r="9362" spans="33:33">
      <c r="AG9362" s="14"/>
    </row>
    <row r="9363" spans="33:33">
      <c r="AG9363" s="14"/>
    </row>
    <row r="9364" spans="33:33">
      <c r="AG9364" s="14"/>
    </row>
    <row r="9365" spans="33:33">
      <c r="AG9365" s="14"/>
    </row>
    <row r="9366" spans="33:33">
      <c r="AG9366" s="14"/>
    </row>
    <row r="9367" spans="33:33">
      <c r="AG9367" s="14"/>
    </row>
    <row r="9368" spans="33:33">
      <c r="AG9368" s="14"/>
    </row>
    <row r="9369" spans="33:33">
      <c r="AG9369" s="14"/>
    </row>
    <row r="9370" spans="33:33">
      <c r="AG9370" s="14"/>
    </row>
    <row r="9371" spans="33:33">
      <c r="AG9371" s="14"/>
    </row>
    <row r="9372" spans="33:33">
      <c r="AG9372" s="14"/>
    </row>
    <row r="9373" spans="33:33">
      <c r="AG9373" s="14"/>
    </row>
    <row r="9374" spans="33:33">
      <c r="AG9374" s="14"/>
    </row>
    <row r="9375" spans="33:33">
      <c r="AG9375" s="14"/>
    </row>
    <row r="9376" spans="33:33">
      <c r="AG9376" s="14"/>
    </row>
    <row r="9377" spans="33:33">
      <c r="AG9377" s="14"/>
    </row>
    <row r="9378" spans="33:33">
      <c r="AG9378" s="14"/>
    </row>
    <row r="9379" spans="33:33">
      <c r="AG9379" s="14"/>
    </row>
    <row r="9380" spans="33:33">
      <c r="AG9380" s="14"/>
    </row>
    <row r="9381" spans="33:33">
      <c r="AG9381" s="14"/>
    </row>
    <row r="9382" spans="33:33">
      <c r="AG9382" s="14"/>
    </row>
    <row r="9383" spans="33:33">
      <c r="AG9383" s="14"/>
    </row>
    <row r="9384" spans="33:33">
      <c r="AG9384" s="14"/>
    </row>
    <row r="9385" spans="33:33">
      <c r="AG9385" s="14"/>
    </row>
    <row r="9386" spans="33:33">
      <c r="AG9386" s="14"/>
    </row>
    <row r="9387" spans="33:33">
      <c r="AG9387" s="14"/>
    </row>
    <row r="9388" spans="33:33">
      <c r="AG9388" s="14"/>
    </row>
    <row r="9389" spans="33:33">
      <c r="AG9389" s="14"/>
    </row>
    <row r="9390" spans="33:33">
      <c r="AG9390" s="14"/>
    </row>
    <row r="9391" spans="33:33">
      <c r="AG9391" s="14"/>
    </row>
    <row r="9392" spans="33:33">
      <c r="AG9392" s="14"/>
    </row>
    <row r="9393" spans="33:33">
      <c r="AG9393" s="14"/>
    </row>
    <row r="9394" spans="33:33">
      <c r="AG9394" s="14"/>
    </row>
    <row r="9395" spans="33:33">
      <c r="AG9395" s="14"/>
    </row>
    <row r="9396" spans="33:33">
      <c r="AG9396" s="14"/>
    </row>
    <row r="9397" spans="33:33">
      <c r="AG9397" s="14"/>
    </row>
    <row r="9398" spans="33:33">
      <c r="AG9398" s="14"/>
    </row>
    <row r="9399" spans="33:33">
      <c r="AG9399" s="14"/>
    </row>
    <row r="9400" spans="33:33">
      <c r="AG9400" s="14"/>
    </row>
    <row r="9401" spans="33:33">
      <c r="AG9401" s="14"/>
    </row>
    <row r="9402" spans="33:33">
      <c r="AG9402" s="14"/>
    </row>
    <row r="9403" spans="33:33">
      <c r="AG9403" s="14"/>
    </row>
    <row r="9404" spans="33:33">
      <c r="AG9404" s="14"/>
    </row>
    <row r="9405" spans="33:33">
      <c r="AG9405" s="14"/>
    </row>
    <row r="9406" spans="33:33">
      <c r="AG9406" s="14"/>
    </row>
    <row r="9407" spans="33:33">
      <c r="AG9407" s="14"/>
    </row>
    <row r="9408" spans="33:33">
      <c r="AG9408" s="14"/>
    </row>
    <row r="9409" spans="33:33">
      <c r="AG9409" s="14"/>
    </row>
    <row r="9410" spans="33:33">
      <c r="AG9410" s="14"/>
    </row>
    <row r="9411" spans="33:33">
      <c r="AG9411" s="14"/>
    </row>
    <row r="9412" spans="33:33">
      <c r="AG9412" s="14"/>
    </row>
    <row r="9413" spans="33:33">
      <c r="AG9413" s="14"/>
    </row>
    <row r="9414" spans="33:33">
      <c r="AG9414" s="14"/>
    </row>
    <row r="9415" spans="33:33">
      <c r="AG9415" s="14"/>
    </row>
    <row r="9416" spans="33:33">
      <c r="AG9416" s="14"/>
    </row>
    <row r="9417" spans="33:33">
      <c r="AG9417" s="14"/>
    </row>
    <row r="9418" spans="33:33">
      <c r="AG9418" s="14"/>
    </row>
    <row r="9419" spans="33:33">
      <c r="AG9419" s="14"/>
    </row>
    <row r="9420" spans="33:33">
      <c r="AG9420" s="14"/>
    </row>
    <row r="9421" spans="33:33">
      <c r="AG9421" s="14"/>
    </row>
    <row r="9422" spans="33:33">
      <c r="AG9422" s="14"/>
    </row>
    <row r="9423" spans="33:33">
      <c r="AG9423" s="14"/>
    </row>
    <row r="9424" spans="33:33">
      <c r="AG9424" s="14"/>
    </row>
    <row r="9425" spans="33:33">
      <c r="AG9425" s="14"/>
    </row>
    <row r="9426" spans="33:33">
      <c r="AG9426" s="14"/>
    </row>
    <row r="9427" spans="33:33">
      <c r="AG9427" s="14"/>
    </row>
    <row r="9428" spans="33:33">
      <c r="AG9428" s="14"/>
    </row>
    <row r="9429" spans="33:33">
      <c r="AG9429" s="14"/>
    </row>
    <row r="9430" spans="33:33">
      <c r="AG9430" s="14"/>
    </row>
    <row r="9431" spans="33:33">
      <c r="AG9431" s="14"/>
    </row>
    <row r="9432" spans="33:33">
      <c r="AG9432" s="14"/>
    </row>
    <row r="9433" spans="33:33">
      <c r="AG9433" s="14"/>
    </row>
    <row r="9434" spans="33:33">
      <c r="AG9434" s="14"/>
    </row>
    <row r="9435" spans="33:33">
      <c r="AG9435" s="14"/>
    </row>
    <row r="9436" spans="33:33">
      <c r="AG9436" s="14"/>
    </row>
    <row r="9437" spans="33:33">
      <c r="AG9437" s="14"/>
    </row>
    <row r="9438" spans="33:33">
      <c r="AG9438" s="14"/>
    </row>
    <row r="9439" spans="33:33">
      <c r="AG9439" s="14"/>
    </row>
    <row r="9440" spans="33:33">
      <c r="AG9440" s="14"/>
    </row>
    <row r="9441" spans="33:33">
      <c r="AG9441" s="14"/>
    </row>
    <row r="9442" spans="33:33">
      <c r="AG9442" s="14"/>
    </row>
    <row r="9443" spans="33:33">
      <c r="AG9443" s="14"/>
    </row>
    <row r="9444" spans="33:33">
      <c r="AG9444" s="14"/>
    </row>
    <row r="9445" spans="33:33">
      <c r="AG9445" s="14"/>
    </row>
    <row r="9446" spans="33:33">
      <c r="AG9446" s="14"/>
    </row>
    <row r="9447" spans="33:33">
      <c r="AG9447" s="14"/>
    </row>
    <row r="9448" spans="33:33">
      <c r="AG9448" s="14"/>
    </row>
    <row r="9449" spans="33:33">
      <c r="AG9449" s="14"/>
    </row>
    <row r="9450" spans="33:33">
      <c r="AG9450" s="14"/>
    </row>
    <row r="9451" spans="33:33">
      <c r="AG9451" s="14"/>
    </row>
    <row r="9452" spans="33:33">
      <c r="AG9452" s="14"/>
    </row>
    <row r="9453" spans="33:33">
      <c r="AG9453" s="14"/>
    </row>
    <row r="9454" spans="33:33">
      <c r="AG9454" s="14"/>
    </row>
    <row r="9455" spans="33:33">
      <c r="AG9455" s="14"/>
    </row>
    <row r="9456" spans="33:33">
      <c r="AG9456" s="14"/>
    </row>
    <row r="9457" spans="33:33">
      <c r="AG9457" s="14"/>
    </row>
    <row r="9458" spans="33:33">
      <c r="AG9458" s="14"/>
    </row>
    <row r="9459" spans="33:33">
      <c r="AG9459" s="14"/>
    </row>
    <row r="9460" spans="33:33">
      <c r="AG9460" s="14"/>
    </row>
    <row r="9461" spans="33:33">
      <c r="AG9461" s="14"/>
    </row>
    <row r="9462" spans="33:33">
      <c r="AG9462" s="14"/>
    </row>
    <row r="9463" spans="33:33">
      <c r="AG9463" s="14"/>
    </row>
    <row r="9464" spans="33:33">
      <c r="AG9464" s="14"/>
    </row>
    <row r="9465" spans="33:33">
      <c r="AG9465" s="14"/>
    </row>
    <row r="9466" spans="33:33">
      <c r="AG9466" s="14"/>
    </row>
    <row r="9467" spans="33:33">
      <c r="AG9467" s="14"/>
    </row>
    <row r="9468" spans="33:33">
      <c r="AG9468" s="14"/>
    </row>
    <row r="9469" spans="33:33">
      <c r="AG9469" s="14"/>
    </row>
    <row r="9470" spans="33:33">
      <c r="AG9470" s="14"/>
    </row>
    <row r="9471" spans="33:33">
      <c r="AG9471" s="14"/>
    </row>
    <row r="9472" spans="33:33">
      <c r="AG9472" s="14"/>
    </row>
    <row r="9473" spans="33:33">
      <c r="AG9473" s="14"/>
    </row>
    <row r="9474" spans="33:33">
      <c r="AG9474" s="14"/>
    </row>
    <row r="9475" spans="33:33">
      <c r="AG9475" s="14"/>
    </row>
    <row r="9476" spans="33:33">
      <c r="AG9476" s="14"/>
    </row>
    <row r="9477" spans="33:33">
      <c r="AG9477" s="14"/>
    </row>
    <row r="9478" spans="33:33">
      <c r="AG9478" s="14"/>
    </row>
    <row r="9479" spans="33:33">
      <c r="AG9479" s="14"/>
    </row>
    <row r="9480" spans="33:33">
      <c r="AG9480" s="14"/>
    </row>
    <row r="9481" spans="33:33">
      <c r="AG9481" s="14"/>
    </row>
    <row r="9482" spans="33:33">
      <c r="AG9482" s="14"/>
    </row>
    <row r="9483" spans="33:33">
      <c r="AG9483" s="14"/>
    </row>
    <row r="9484" spans="33:33">
      <c r="AG9484" s="14"/>
    </row>
    <row r="9485" spans="33:33">
      <c r="AG9485" s="14"/>
    </row>
    <row r="9486" spans="33:33">
      <c r="AG9486" s="14"/>
    </row>
    <row r="9487" spans="33:33">
      <c r="AG9487" s="14"/>
    </row>
    <row r="9488" spans="33:33">
      <c r="AG9488" s="14"/>
    </row>
    <row r="9489" spans="33:33">
      <c r="AG9489" s="14"/>
    </row>
    <row r="9490" spans="33:33">
      <c r="AG9490" s="14"/>
    </row>
    <row r="9491" spans="33:33">
      <c r="AG9491" s="14"/>
    </row>
    <row r="9492" spans="33:33">
      <c r="AG9492" s="14"/>
    </row>
    <row r="9493" spans="33:33">
      <c r="AG9493" s="14"/>
    </row>
    <row r="9494" spans="33:33">
      <c r="AG9494" s="14"/>
    </row>
    <row r="9495" spans="33:33">
      <c r="AG9495" s="14"/>
    </row>
    <row r="9496" spans="33:33">
      <c r="AG9496" s="14"/>
    </row>
    <row r="9497" spans="33:33">
      <c r="AG9497" s="14"/>
    </row>
    <row r="9498" spans="33:33">
      <c r="AG9498" s="14"/>
    </row>
    <row r="9499" spans="33:33">
      <c r="AG9499" s="14"/>
    </row>
    <row r="9500" spans="33:33">
      <c r="AG9500" s="14"/>
    </row>
    <row r="9501" spans="33:33">
      <c r="AG9501" s="14"/>
    </row>
    <row r="9502" spans="33:33">
      <c r="AG9502" s="14"/>
    </row>
    <row r="9503" spans="33:33">
      <c r="AG9503" s="14"/>
    </row>
    <row r="9504" spans="33:33">
      <c r="AG9504" s="14"/>
    </row>
    <row r="9505" spans="33:33">
      <c r="AG9505" s="14"/>
    </row>
    <row r="9506" spans="33:33">
      <c r="AG9506" s="14"/>
    </row>
    <row r="9507" spans="33:33">
      <c r="AG9507" s="14"/>
    </row>
    <row r="9508" spans="33:33">
      <c r="AG9508" s="14"/>
    </row>
    <row r="9509" spans="33:33">
      <c r="AG9509" s="14"/>
    </row>
    <row r="9510" spans="33:33">
      <c r="AG9510" s="14"/>
    </row>
    <row r="9511" spans="33:33">
      <c r="AG9511" s="14"/>
    </row>
    <row r="9512" spans="33:33">
      <c r="AG9512" s="14"/>
    </row>
    <row r="9513" spans="33:33">
      <c r="AG9513" s="14"/>
    </row>
    <row r="9514" spans="33:33">
      <c r="AG9514" s="14"/>
    </row>
    <row r="9515" spans="33:33">
      <c r="AG9515" s="14"/>
    </row>
    <row r="9516" spans="33:33">
      <c r="AG9516" s="14"/>
    </row>
    <row r="9517" spans="33:33">
      <c r="AG9517" s="14"/>
    </row>
    <row r="9518" spans="33:33">
      <c r="AG9518" s="14"/>
    </row>
    <row r="9519" spans="33:33">
      <c r="AG9519" s="14"/>
    </row>
    <row r="9520" spans="33:33">
      <c r="AG9520" s="14"/>
    </row>
    <row r="9521" spans="33:33">
      <c r="AG9521" s="14"/>
    </row>
    <row r="9522" spans="33:33">
      <c r="AG9522" s="14"/>
    </row>
    <row r="9523" spans="33:33">
      <c r="AG9523" s="14"/>
    </row>
    <row r="9524" spans="33:33">
      <c r="AG9524" s="14"/>
    </row>
    <row r="9525" spans="33:33">
      <c r="AG9525" s="14"/>
    </row>
    <row r="9526" spans="33:33">
      <c r="AG9526" s="14"/>
    </row>
    <row r="9527" spans="33:33">
      <c r="AG9527" s="14"/>
    </row>
    <row r="9528" spans="33:33">
      <c r="AG9528" s="14"/>
    </row>
    <row r="9529" spans="33:33">
      <c r="AG9529" s="14"/>
    </row>
    <row r="9530" spans="33:33">
      <c r="AG9530" s="14"/>
    </row>
    <row r="9531" spans="33:33">
      <c r="AG9531" s="14"/>
    </row>
    <row r="9532" spans="33:33">
      <c r="AG9532" s="14"/>
    </row>
    <row r="9533" spans="33:33">
      <c r="AG9533" s="14"/>
    </row>
    <row r="9534" spans="33:33">
      <c r="AG9534" s="14"/>
    </row>
    <row r="9535" spans="33:33">
      <c r="AG9535" s="14"/>
    </row>
    <row r="9536" spans="33:33">
      <c r="AG9536" s="14"/>
    </row>
    <row r="9537" spans="33:33">
      <c r="AG9537" s="14"/>
    </row>
    <row r="9538" spans="33:33">
      <c r="AG9538" s="14"/>
    </row>
    <row r="9539" spans="33:33">
      <c r="AG9539" s="14"/>
    </row>
    <row r="9540" spans="33:33">
      <c r="AG9540" s="14"/>
    </row>
    <row r="9541" spans="33:33">
      <c r="AG9541" s="14"/>
    </row>
    <row r="9542" spans="33:33">
      <c r="AG9542" s="14"/>
    </row>
    <row r="9543" spans="33:33">
      <c r="AG9543" s="14"/>
    </row>
    <row r="9544" spans="33:33">
      <c r="AG9544" s="14"/>
    </row>
    <row r="9545" spans="33:33">
      <c r="AG9545" s="14"/>
    </row>
    <row r="9546" spans="33:33">
      <c r="AG9546" s="14"/>
    </row>
    <row r="9547" spans="33:33">
      <c r="AG9547" s="14"/>
    </row>
    <row r="9548" spans="33:33">
      <c r="AG9548" s="14"/>
    </row>
    <row r="9549" spans="33:33">
      <c r="AG9549" s="14"/>
    </row>
    <row r="9550" spans="33:33">
      <c r="AG9550" s="14"/>
    </row>
    <row r="9551" spans="33:33">
      <c r="AG9551" s="14"/>
    </row>
    <row r="9552" spans="33:33">
      <c r="AG9552" s="14"/>
    </row>
    <row r="9553" spans="33:33">
      <c r="AG9553" s="14"/>
    </row>
    <row r="9554" spans="33:33">
      <c r="AG9554" s="14"/>
    </row>
    <row r="9555" spans="33:33">
      <c r="AG9555" s="14"/>
    </row>
    <row r="9556" spans="33:33">
      <c r="AG9556" s="14"/>
    </row>
    <row r="9557" spans="33:33">
      <c r="AG9557" s="14"/>
    </row>
    <row r="9558" spans="33:33">
      <c r="AG9558" s="14"/>
    </row>
    <row r="9559" spans="33:33">
      <c r="AG9559" s="14"/>
    </row>
    <row r="9560" spans="33:33">
      <c r="AG9560" s="14"/>
    </row>
    <row r="9561" spans="33:33">
      <c r="AG9561" s="14"/>
    </row>
    <row r="9562" spans="33:33">
      <c r="AG9562" s="14"/>
    </row>
    <row r="9563" spans="33:33">
      <c r="AG9563" s="14"/>
    </row>
    <row r="9564" spans="33:33">
      <c r="AG9564" s="14"/>
    </row>
    <row r="9565" spans="33:33">
      <c r="AG9565" s="14"/>
    </row>
    <row r="9566" spans="33:33">
      <c r="AG9566" s="14"/>
    </row>
    <row r="9567" spans="33:33">
      <c r="AG9567" s="14"/>
    </row>
    <row r="9568" spans="33:33">
      <c r="AG9568" s="14"/>
    </row>
    <row r="9569" spans="33:33">
      <c r="AG9569" s="14"/>
    </row>
    <row r="9570" spans="33:33">
      <c r="AG9570" s="14"/>
    </row>
    <row r="9571" spans="33:33">
      <c r="AG9571" s="14"/>
    </row>
    <row r="9572" spans="33:33">
      <c r="AG9572" s="14"/>
    </row>
    <row r="9573" spans="33:33">
      <c r="AG9573" s="14"/>
    </row>
    <row r="9574" spans="33:33">
      <c r="AG9574" s="14"/>
    </row>
    <row r="9575" spans="33:33">
      <c r="AG9575" s="14"/>
    </row>
    <row r="9576" spans="33:33">
      <c r="AG9576" s="14"/>
    </row>
    <row r="9577" spans="33:33">
      <c r="AG9577" s="14"/>
    </row>
    <row r="9578" spans="33:33">
      <c r="AG9578" s="14"/>
    </row>
    <row r="9579" spans="33:33">
      <c r="AG9579" s="14"/>
    </row>
    <row r="9580" spans="33:33">
      <c r="AG9580" s="14"/>
    </row>
    <row r="9581" spans="33:33">
      <c r="AG9581" s="14"/>
    </row>
    <row r="9582" spans="33:33">
      <c r="AG9582" s="14"/>
    </row>
    <row r="9583" spans="33:33">
      <c r="AG9583" s="14"/>
    </row>
    <row r="9584" spans="33:33">
      <c r="AG9584" s="14"/>
    </row>
    <row r="9585" spans="33:33">
      <c r="AG9585" s="14"/>
    </row>
    <row r="9586" spans="33:33">
      <c r="AG9586" s="14"/>
    </row>
    <row r="9587" spans="33:33">
      <c r="AG9587" s="14"/>
    </row>
    <row r="9588" spans="33:33">
      <c r="AG9588" s="14"/>
    </row>
    <row r="9589" spans="33:33">
      <c r="AG9589" s="14"/>
    </row>
    <row r="9590" spans="33:33">
      <c r="AG9590" s="14"/>
    </row>
    <row r="9591" spans="33:33">
      <c r="AG9591" s="14"/>
    </row>
    <row r="9592" spans="33:33">
      <c r="AG9592" s="14"/>
    </row>
    <row r="9593" spans="33:33">
      <c r="AG9593" s="14"/>
    </row>
    <row r="9594" spans="33:33">
      <c r="AG9594" s="14"/>
    </row>
    <row r="9595" spans="33:33">
      <c r="AG9595" s="14"/>
    </row>
    <row r="9596" spans="33:33">
      <c r="AG9596" s="14"/>
    </row>
    <row r="9597" spans="33:33">
      <c r="AG9597" s="14"/>
    </row>
    <row r="9598" spans="33:33">
      <c r="AG9598" s="14"/>
    </row>
    <row r="9599" spans="33:33">
      <c r="AG9599" s="14"/>
    </row>
    <row r="9600" spans="33:33">
      <c r="AG9600" s="14"/>
    </row>
    <row r="9601" spans="33:33">
      <c r="AG9601" s="14"/>
    </row>
    <row r="9602" spans="33:33">
      <c r="AG9602" s="14"/>
    </row>
    <row r="9603" spans="33:33">
      <c r="AG9603" s="14"/>
    </row>
    <row r="9604" spans="33:33">
      <c r="AG9604" s="14"/>
    </row>
    <row r="9605" spans="33:33">
      <c r="AG9605" s="14"/>
    </row>
    <row r="9606" spans="33:33">
      <c r="AG9606" s="14"/>
    </row>
    <row r="9607" spans="33:33">
      <c r="AG9607" s="14"/>
    </row>
    <row r="9608" spans="33:33">
      <c r="AG9608" s="14"/>
    </row>
    <row r="9609" spans="33:33">
      <c r="AG9609" s="14"/>
    </row>
    <row r="9610" spans="33:33">
      <c r="AG9610" s="14"/>
    </row>
    <row r="9611" spans="33:33">
      <c r="AG9611" s="14"/>
    </row>
    <row r="9612" spans="33:33">
      <c r="AG9612" s="14"/>
    </row>
    <row r="9613" spans="33:33">
      <c r="AG9613" s="14"/>
    </row>
    <row r="9614" spans="33:33">
      <c r="AG9614" s="14"/>
    </row>
    <row r="9615" spans="33:33">
      <c r="AG9615" s="14"/>
    </row>
    <row r="9616" spans="33:33">
      <c r="AG9616" s="14"/>
    </row>
    <row r="9617" spans="33:33">
      <c r="AG9617" s="14"/>
    </row>
    <row r="9618" spans="33:33">
      <c r="AG9618" s="14"/>
    </row>
    <row r="9619" spans="33:33">
      <c r="AG9619" s="14"/>
    </row>
    <row r="9620" spans="33:33">
      <c r="AG9620" s="14"/>
    </row>
    <row r="9621" spans="33:33">
      <c r="AG9621" s="14"/>
    </row>
    <row r="9622" spans="33:33">
      <c r="AG9622" s="14"/>
    </row>
    <row r="9623" spans="33:33">
      <c r="AG9623" s="14"/>
    </row>
    <row r="9624" spans="33:33">
      <c r="AG9624" s="14"/>
    </row>
    <row r="9625" spans="33:33">
      <c r="AG9625" s="14"/>
    </row>
    <row r="9626" spans="33:33">
      <c r="AG9626" s="14"/>
    </row>
    <row r="9627" spans="33:33">
      <c r="AG9627" s="14"/>
    </row>
    <row r="9628" spans="33:33">
      <c r="AG9628" s="14"/>
    </row>
    <row r="9629" spans="33:33">
      <c r="AG9629" s="14"/>
    </row>
    <row r="9630" spans="33:33">
      <c r="AG9630" s="14"/>
    </row>
    <row r="9631" spans="33:33">
      <c r="AG9631" s="14"/>
    </row>
    <row r="9632" spans="33:33">
      <c r="AG9632" s="14"/>
    </row>
    <row r="9633" spans="33:33">
      <c r="AG9633" s="14"/>
    </row>
    <row r="9634" spans="33:33">
      <c r="AG9634" s="14"/>
    </row>
    <row r="9635" spans="33:33">
      <c r="AG9635" s="14"/>
    </row>
    <row r="9636" spans="33:33">
      <c r="AG9636" s="14"/>
    </row>
    <row r="9637" spans="33:33">
      <c r="AG9637" s="14"/>
    </row>
    <row r="9638" spans="33:33">
      <c r="AG9638" s="14"/>
    </row>
    <row r="9639" spans="33:33">
      <c r="AG9639" s="14"/>
    </row>
    <row r="9640" spans="33:33">
      <c r="AG9640" s="14"/>
    </row>
    <row r="9641" spans="33:33">
      <c r="AG9641" s="14"/>
    </row>
    <row r="9642" spans="33:33">
      <c r="AG9642" s="14"/>
    </row>
    <row r="9643" spans="33:33">
      <c r="AG9643" s="14"/>
    </row>
    <row r="9644" spans="33:33">
      <c r="AG9644" s="14"/>
    </row>
    <row r="9645" spans="33:33">
      <c r="AG9645" s="14"/>
    </row>
    <row r="9646" spans="33:33">
      <c r="AG9646" s="14"/>
    </row>
    <row r="9647" spans="33:33">
      <c r="AG9647" s="14"/>
    </row>
    <row r="9648" spans="33:33">
      <c r="AG9648" s="14"/>
    </row>
    <row r="9649" spans="33:33">
      <c r="AG9649" s="14"/>
    </row>
    <row r="9650" spans="33:33">
      <c r="AG9650" s="14"/>
    </row>
    <row r="9651" spans="33:33">
      <c r="AG9651" s="14"/>
    </row>
    <row r="9652" spans="33:33">
      <c r="AG9652" s="14"/>
    </row>
    <row r="9653" spans="33:33">
      <c r="AG9653" s="14"/>
    </row>
    <row r="9654" spans="33:33">
      <c r="AG9654" s="14"/>
    </row>
    <row r="9655" spans="33:33">
      <c r="AG9655" s="14"/>
    </row>
    <row r="9656" spans="33:33">
      <c r="AG9656" s="14"/>
    </row>
    <row r="9657" spans="33:33">
      <c r="AG9657" s="14"/>
    </row>
    <row r="9658" spans="33:33">
      <c r="AG9658" s="14"/>
    </row>
    <row r="9659" spans="33:33">
      <c r="AG9659" s="14"/>
    </row>
    <row r="9660" spans="33:33">
      <c r="AG9660" s="14"/>
    </row>
    <row r="9661" spans="33:33">
      <c r="AG9661" s="14"/>
    </row>
    <row r="9662" spans="33:33">
      <c r="AG9662" s="14"/>
    </row>
    <row r="9663" spans="33:33">
      <c r="AG9663" s="14"/>
    </row>
    <row r="9664" spans="33:33">
      <c r="AG9664" s="14"/>
    </row>
    <row r="9665" spans="33:33">
      <c r="AG9665" s="14"/>
    </row>
    <row r="9666" spans="33:33">
      <c r="AG9666" s="14"/>
    </row>
    <row r="9667" spans="33:33">
      <c r="AG9667" s="14"/>
    </row>
    <row r="9668" spans="33:33">
      <c r="AG9668" s="14"/>
    </row>
    <row r="9669" spans="33:33">
      <c r="AG9669" s="14"/>
    </row>
    <row r="9670" spans="33:33">
      <c r="AG9670" s="14"/>
    </row>
    <row r="9671" spans="33:33">
      <c r="AG9671" s="14"/>
    </row>
    <row r="9672" spans="33:33">
      <c r="AG9672" s="14"/>
    </row>
    <row r="9673" spans="33:33">
      <c r="AG9673" s="14"/>
    </row>
    <row r="9674" spans="33:33">
      <c r="AG9674" s="14"/>
    </row>
    <row r="9675" spans="33:33">
      <c r="AG9675" s="14"/>
    </row>
    <row r="9676" spans="33:33">
      <c r="AG9676" s="14"/>
    </row>
    <row r="9677" spans="33:33">
      <c r="AG9677" s="14"/>
    </row>
    <row r="9678" spans="33:33">
      <c r="AG9678" s="14"/>
    </row>
    <row r="9679" spans="33:33">
      <c r="AG9679" s="14"/>
    </row>
    <row r="9680" spans="33:33">
      <c r="AG9680" s="14"/>
    </row>
    <row r="9681" spans="33:33">
      <c r="AG9681" s="14"/>
    </row>
    <row r="9682" spans="33:33">
      <c r="AG9682" s="14"/>
    </row>
    <row r="9683" spans="33:33">
      <c r="AG9683" s="14"/>
    </row>
    <row r="9684" spans="33:33">
      <c r="AG9684" s="14"/>
    </row>
    <row r="9685" spans="33:33">
      <c r="AG9685" s="14"/>
    </row>
    <row r="9686" spans="33:33">
      <c r="AG9686" s="14"/>
    </row>
    <row r="9687" spans="33:33">
      <c r="AG9687" s="14"/>
    </row>
    <row r="9688" spans="33:33">
      <c r="AG9688" s="14"/>
    </row>
    <row r="9689" spans="33:33">
      <c r="AG9689" s="14"/>
    </row>
    <row r="9690" spans="33:33">
      <c r="AG9690" s="14"/>
    </row>
    <row r="9691" spans="33:33">
      <c r="AG9691" s="14"/>
    </row>
    <row r="9692" spans="33:33">
      <c r="AG9692" s="14"/>
    </row>
    <row r="9693" spans="33:33">
      <c r="AG9693" s="14"/>
    </row>
    <row r="9694" spans="33:33">
      <c r="AG9694" s="14"/>
    </row>
    <row r="9695" spans="33:33">
      <c r="AG9695" s="14"/>
    </row>
    <row r="9696" spans="33:33">
      <c r="AG9696" s="14"/>
    </row>
    <row r="9697" spans="33:33">
      <c r="AG9697" s="14"/>
    </row>
    <row r="9698" spans="33:33">
      <c r="AG9698" s="14"/>
    </row>
    <row r="9699" spans="33:33">
      <c r="AG9699" s="14"/>
    </row>
    <row r="9700" spans="33:33">
      <c r="AG9700" s="14"/>
    </row>
    <row r="9701" spans="33:33">
      <c r="AG9701" s="14"/>
    </row>
    <row r="9702" spans="33:33">
      <c r="AG9702" s="14"/>
    </row>
    <row r="9703" spans="33:33">
      <c r="AG9703" s="14"/>
    </row>
    <row r="9704" spans="33:33">
      <c r="AG9704" s="14"/>
    </row>
    <row r="9705" spans="33:33">
      <c r="AG9705" s="14"/>
    </row>
    <row r="9706" spans="33:33">
      <c r="AG9706" s="14"/>
    </row>
    <row r="9707" spans="33:33">
      <c r="AG9707" s="14"/>
    </row>
    <row r="9708" spans="33:33">
      <c r="AG9708" s="14"/>
    </row>
    <row r="9709" spans="33:33">
      <c r="AG9709" s="14"/>
    </row>
    <row r="9710" spans="33:33">
      <c r="AG9710" s="14"/>
    </row>
    <row r="9711" spans="33:33">
      <c r="AG9711" s="14"/>
    </row>
    <row r="9712" spans="33:33">
      <c r="AG9712" s="14"/>
    </row>
    <row r="9713" spans="33:33">
      <c r="AG9713" s="14"/>
    </row>
    <row r="9714" spans="33:33">
      <c r="AG9714" s="14"/>
    </row>
    <row r="9715" spans="33:33">
      <c r="AG9715" s="14"/>
    </row>
    <row r="9716" spans="33:33">
      <c r="AG9716" s="14"/>
    </row>
    <row r="9717" spans="33:33">
      <c r="AG9717" s="14"/>
    </row>
    <row r="9718" spans="33:33">
      <c r="AG9718" s="14"/>
    </row>
    <row r="9719" spans="33:33">
      <c r="AG9719" s="14"/>
    </row>
    <row r="9720" spans="33:33">
      <c r="AG9720" s="14"/>
    </row>
    <row r="9721" spans="33:33">
      <c r="AG9721" s="14"/>
    </row>
    <row r="9722" spans="33:33">
      <c r="AG9722" s="14"/>
    </row>
    <row r="9723" spans="33:33">
      <c r="AG9723" s="14"/>
    </row>
    <row r="9724" spans="33:33">
      <c r="AG9724" s="14"/>
    </row>
    <row r="9725" spans="33:33">
      <c r="AG9725" s="14"/>
    </row>
    <row r="9726" spans="33:33">
      <c r="AG9726" s="14"/>
    </row>
    <row r="9727" spans="33:33">
      <c r="AG9727" s="14"/>
    </row>
    <row r="9728" spans="33:33">
      <c r="AG9728" s="14"/>
    </row>
    <row r="9729" spans="33:33">
      <c r="AG9729" s="14"/>
    </row>
    <row r="9730" spans="33:33">
      <c r="AG9730" s="14"/>
    </row>
    <row r="9731" spans="33:33">
      <c r="AG9731" s="14"/>
    </row>
    <row r="9732" spans="33:33">
      <c r="AG9732" s="14"/>
    </row>
    <row r="9733" spans="33:33">
      <c r="AG9733" s="14"/>
    </row>
    <row r="9734" spans="33:33">
      <c r="AG9734" s="14"/>
    </row>
    <row r="9735" spans="33:33">
      <c r="AG9735" s="14"/>
    </row>
    <row r="9736" spans="33:33">
      <c r="AG9736" s="14"/>
    </row>
    <row r="9737" spans="33:33">
      <c r="AG9737" s="14"/>
    </row>
    <row r="9738" spans="33:33">
      <c r="AG9738" s="14"/>
    </row>
    <row r="9739" spans="33:33">
      <c r="AG9739" s="14"/>
    </row>
    <row r="9740" spans="33:33">
      <c r="AG9740" s="14"/>
    </row>
    <row r="9741" spans="33:33">
      <c r="AG9741" s="14"/>
    </row>
    <row r="9742" spans="33:33">
      <c r="AG9742" s="14"/>
    </row>
    <row r="9743" spans="33:33">
      <c r="AG9743" s="14"/>
    </row>
    <row r="9744" spans="33:33">
      <c r="AG9744" s="14"/>
    </row>
    <row r="9745" spans="33:33">
      <c r="AG9745" s="14"/>
    </row>
    <row r="9746" spans="33:33">
      <c r="AG9746" s="14"/>
    </row>
    <row r="9747" spans="33:33">
      <c r="AG9747" s="14"/>
    </row>
    <row r="9748" spans="33:33">
      <c r="AG9748" s="14"/>
    </row>
    <row r="9749" spans="33:33">
      <c r="AG9749" s="14"/>
    </row>
    <row r="9750" spans="33:33">
      <c r="AG9750" s="14"/>
    </row>
    <row r="9751" spans="33:33">
      <c r="AG9751" s="14"/>
    </row>
    <row r="9752" spans="33:33">
      <c r="AG9752" s="14"/>
    </row>
    <row r="9753" spans="33:33">
      <c r="AG9753" s="14"/>
    </row>
    <row r="9754" spans="33:33">
      <c r="AG9754" s="14"/>
    </row>
    <row r="9755" spans="33:33">
      <c r="AG9755" s="14"/>
    </row>
    <row r="9756" spans="33:33">
      <c r="AG9756" s="14"/>
    </row>
    <row r="9757" spans="33:33">
      <c r="AG9757" s="14"/>
    </row>
    <row r="9758" spans="33:33">
      <c r="AG9758" s="14"/>
    </row>
    <row r="9759" spans="33:33">
      <c r="AG9759" s="14"/>
    </row>
    <row r="9760" spans="33:33">
      <c r="AG9760" s="14"/>
    </row>
    <row r="9761" spans="33:33">
      <c r="AG9761" s="14"/>
    </row>
    <row r="9762" spans="33:33">
      <c r="AG9762" s="14"/>
    </row>
    <row r="9763" spans="33:33">
      <c r="AG9763" s="14"/>
    </row>
    <row r="9764" spans="33:33">
      <c r="AG9764" s="14"/>
    </row>
    <row r="9765" spans="33:33">
      <c r="AG9765" s="14"/>
    </row>
    <row r="9766" spans="33:33">
      <c r="AG9766" s="14"/>
    </row>
    <row r="9767" spans="33:33">
      <c r="AG9767" s="14"/>
    </row>
    <row r="9768" spans="33:33">
      <c r="AG9768" s="14"/>
    </row>
    <row r="9769" spans="33:33">
      <c r="AG9769" s="14"/>
    </row>
    <row r="9770" spans="33:33">
      <c r="AG9770" s="14"/>
    </row>
    <row r="9771" spans="33:33">
      <c r="AG9771" s="14"/>
    </row>
    <row r="9772" spans="33:33">
      <c r="AG9772" s="14"/>
    </row>
    <row r="9773" spans="33:33">
      <c r="AG9773" s="14"/>
    </row>
    <row r="9774" spans="33:33">
      <c r="AG9774" s="14"/>
    </row>
    <row r="9775" spans="33:33">
      <c r="AG9775" s="14"/>
    </row>
    <row r="9776" spans="33:33">
      <c r="AG9776" s="14"/>
    </row>
    <row r="9777" spans="33:33">
      <c r="AG9777" s="14"/>
    </row>
    <row r="9778" spans="33:33">
      <c r="AG9778" s="14"/>
    </row>
    <row r="9779" spans="33:33">
      <c r="AG9779" s="14"/>
    </row>
    <row r="9780" spans="33:33">
      <c r="AG9780" s="14"/>
    </row>
    <row r="9781" spans="33:33">
      <c r="AG9781" s="14"/>
    </row>
    <row r="9782" spans="33:33">
      <c r="AG9782" s="14"/>
    </row>
    <row r="9783" spans="33:33">
      <c r="AG9783" s="14"/>
    </row>
    <row r="9784" spans="33:33">
      <c r="AG9784" s="14"/>
    </row>
    <row r="9785" spans="33:33">
      <c r="AG9785" s="14"/>
    </row>
    <row r="9786" spans="33:33">
      <c r="AG9786" s="14"/>
    </row>
    <row r="9787" spans="33:33">
      <c r="AG9787" s="14"/>
    </row>
    <row r="9788" spans="33:33">
      <c r="AG9788" s="14"/>
    </row>
    <row r="9789" spans="33:33">
      <c r="AG9789" s="14"/>
    </row>
    <row r="9790" spans="33:33">
      <c r="AG9790" s="14"/>
    </row>
    <row r="9791" spans="33:33">
      <c r="AG9791" s="14"/>
    </row>
    <row r="9792" spans="33:33">
      <c r="AG9792" s="14"/>
    </row>
    <row r="9793" spans="33:33">
      <c r="AG9793" s="14"/>
    </row>
    <row r="9794" spans="33:33">
      <c r="AG9794" s="14"/>
    </row>
    <row r="9795" spans="33:33">
      <c r="AG9795" s="14"/>
    </row>
    <row r="9796" spans="33:33">
      <c r="AG9796" s="14"/>
    </row>
    <row r="9797" spans="33:33">
      <c r="AG9797" s="14"/>
    </row>
    <row r="9798" spans="33:33">
      <c r="AG9798" s="14"/>
    </row>
    <row r="9799" spans="33:33">
      <c r="AG9799" s="14"/>
    </row>
    <row r="9800" spans="33:33">
      <c r="AG9800" s="14"/>
    </row>
    <row r="9801" spans="33:33">
      <c r="AG9801" s="14"/>
    </row>
    <row r="9802" spans="33:33">
      <c r="AG9802" s="14"/>
    </row>
    <row r="9803" spans="33:33">
      <c r="AG9803" s="14"/>
    </row>
    <row r="9804" spans="33:33">
      <c r="AG9804" s="14"/>
    </row>
    <row r="9805" spans="33:33">
      <c r="AG9805" s="14"/>
    </row>
    <row r="9806" spans="33:33">
      <c r="AG9806" s="14"/>
    </row>
    <row r="9807" spans="33:33">
      <c r="AG9807" s="14"/>
    </row>
    <row r="9808" spans="33:33">
      <c r="AG9808" s="14"/>
    </row>
    <row r="9809" spans="33:33">
      <c r="AG9809" s="14"/>
    </row>
    <row r="9810" spans="33:33">
      <c r="AG9810" s="14"/>
    </row>
    <row r="9811" spans="33:33">
      <c r="AG9811" s="14"/>
    </row>
    <row r="9812" spans="33:33">
      <c r="AG9812" s="14"/>
    </row>
    <row r="9813" spans="33:33">
      <c r="AG9813" s="14"/>
    </row>
    <row r="9814" spans="33:33">
      <c r="AG9814" s="14"/>
    </row>
    <row r="9815" spans="33:33">
      <c r="AG9815" s="14"/>
    </row>
    <row r="9816" spans="33:33">
      <c r="AG9816" s="14"/>
    </row>
    <row r="9817" spans="33:33">
      <c r="AG9817" s="14"/>
    </row>
    <row r="9818" spans="33:33">
      <c r="AG9818" s="14"/>
    </row>
    <row r="9819" spans="33:33">
      <c r="AG9819" s="14"/>
    </row>
    <row r="9820" spans="33:33">
      <c r="AG9820" s="14"/>
    </row>
    <row r="9821" spans="33:33">
      <c r="AG9821" s="14"/>
    </row>
    <row r="9822" spans="33:33">
      <c r="AG9822" s="14"/>
    </row>
    <row r="9823" spans="33:33">
      <c r="AG9823" s="14"/>
    </row>
    <row r="9824" spans="33:33">
      <c r="AG9824" s="14"/>
    </row>
    <row r="9825" spans="33:33">
      <c r="AG9825" s="14"/>
    </row>
    <row r="9826" spans="33:33">
      <c r="AG9826" s="14"/>
    </row>
    <row r="9827" spans="33:33">
      <c r="AG9827" s="14"/>
    </row>
    <row r="9828" spans="33:33">
      <c r="AG9828" s="14"/>
    </row>
    <row r="9829" spans="33:33">
      <c r="AG9829" s="14"/>
    </row>
    <row r="9830" spans="33:33">
      <c r="AG9830" s="14"/>
    </row>
    <row r="9831" spans="33:33">
      <c r="AG9831" s="14"/>
    </row>
    <row r="9832" spans="33:33">
      <c r="AG9832" s="14"/>
    </row>
    <row r="9833" spans="33:33">
      <c r="AG9833" s="14"/>
    </row>
    <row r="9834" spans="33:33">
      <c r="AG9834" s="14"/>
    </row>
    <row r="9835" spans="33:33">
      <c r="AG9835" s="14"/>
    </row>
    <row r="9836" spans="33:33">
      <c r="AG9836" s="14"/>
    </row>
    <row r="9837" spans="33:33">
      <c r="AG9837" s="14"/>
    </row>
    <row r="9838" spans="33:33">
      <c r="AG9838" s="14"/>
    </row>
    <row r="9839" spans="33:33">
      <c r="AG9839" s="14"/>
    </row>
    <row r="9840" spans="33:33">
      <c r="AG9840" s="14"/>
    </row>
    <row r="9841" spans="33:33">
      <c r="AG9841" s="14"/>
    </row>
    <row r="9842" spans="33:33">
      <c r="AG9842" s="14"/>
    </row>
    <row r="9843" spans="33:33">
      <c r="AG9843" s="14"/>
    </row>
    <row r="9844" spans="33:33">
      <c r="AG9844" s="14"/>
    </row>
    <row r="9845" spans="33:33">
      <c r="AG9845" s="14"/>
    </row>
    <row r="9846" spans="33:33">
      <c r="AG9846" s="14"/>
    </row>
    <row r="9847" spans="33:33">
      <c r="AG9847" s="14"/>
    </row>
    <row r="9848" spans="33:33">
      <c r="AG9848" s="14"/>
    </row>
    <row r="9849" spans="33:33">
      <c r="AG9849" s="14"/>
    </row>
    <row r="9850" spans="33:33">
      <c r="AG9850" s="14"/>
    </row>
    <row r="9851" spans="33:33">
      <c r="AG9851" s="14"/>
    </row>
    <row r="9852" spans="33:33">
      <c r="AG9852" s="14"/>
    </row>
    <row r="9853" spans="33:33">
      <c r="AG9853" s="14"/>
    </row>
    <row r="9854" spans="33:33">
      <c r="AG9854" s="14"/>
    </row>
    <row r="9855" spans="33:33">
      <c r="AG9855" s="14"/>
    </row>
    <row r="9856" spans="33:33">
      <c r="AG9856" s="14"/>
    </row>
    <row r="9857" spans="33:33">
      <c r="AG9857" s="14"/>
    </row>
    <row r="9858" spans="33:33">
      <c r="AG9858" s="14"/>
    </row>
    <row r="9859" spans="33:33">
      <c r="AG9859" s="14"/>
    </row>
    <row r="9860" spans="33:33">
      <c r="AG9860" s="14"/>
    </row>
    <row r="9861" spans="33:33">
      <c r="AG9861" s="14"/>
    </row>
    <row r="9862" spans="33:33">
      <c r="AG9862" s="14"/>
    </row>
    <row r="9863" spans="33:33">
      <c r="AG9863" s="14"/>
    </row>
    <row r="9864" spans="33:33">
      <c r="AG9864" s="14"/>
    </row>
    <row r="9865" spans="33:33">
      <c r="AG9865" s="14"/>
    </row>
    <row r="9866" spans="33:33">
      <c r="AG9866" s="14"/>
    </row>
    <row r="9867" spans="33:33">
      <c r="AG9867" s="14"/>
    </row>
    <row r="9868" spans="33:33">
      <c r="AG9868" s="14"/>
    </row>
    <row r="9869" spans="33:33">
      <c r="AG9869" s="14"/>
    </row>
    <row r="9870" spans="33:33">
      <c r="AG9870" s="14"/>
    </row>
    <row r="9871" spans="33:33">
      <c r="AG9871" s="14"/>
    </row>
    <row r="9872" spans="33:33">
      <c r="AG9872" s="14"/>
    </row>
    <row r="9873" spans="33:33">
      <c r="AG9873" s="14"/>
    </row>
    <row r="9874" spans="33:33">
      <c r="AG9874" s="14"/>
    </row>
    <row r="9875" spans="33:33">
      <c r="AG9875" s="14"/>
    </row>
    <row r="9876" spans="33:33">
      <c r="AG9876" s="14"/>
    </row>
    <row r="9877" spans="33:33">
      <c r="AG9877" s="14"/>
    </row>
    <row r="9878" spans="33:33">
      <c r="AG9878" s="14"/>
    </row>
    <row r="9879" spans="33:33">
      <c r="AG9879" s="14"/>
    </row>
    <row r="9880" spans="33:33">
      <c r="AG9880" s="14"/>
    </row>
    <row r="9881" spans="33:33">
      <c r="AG9881" s="14"/>
    </row>
    <row r="9882" spans="33:33">
      <c r="AG9882" s="14"/>
    </row>
    <row r="9883" spans="33:33">
      <c r="AG9883" s="14"/>
    </row>
    <row r="9884" spans="33:33">
      <c r="AG9884" s="14"/>
    </row>
    <row r="9885" spans="33:33">
      <c r="AG9885" s="14"/>
    </row>
    <row r="9886" spans="33:33">
      <c r="AG9886" s="14"/>
    </row>
    <row r="9887" spans="33:33">
      <c r="AG9887" s="14"/>
    </row>
    <row r="9888" spans="33:33">
      <c r="AG9888" s="14"/>
    </row>
    <row r="9889" spans="33:33">
      <c r="AG9889" s="14"/>
    </row>
    <row r="9890" spans="33:33">
      <c r="AG9890" s="14"/>
    </row>
    <row r="9891" spans="33:33">
      <c r="AG9891" s="14"/>
    </row>
    <row r="9892" spans="33:33">
      <c r="AG9892" s="14"/>
    </row>
    <row r="9893" spans="33:33">
      <c r="AG9893" s="14"/>
    </row>
    <row r="9894" spans="33:33">
      <c r="AG9894" s="14"/>
    </row>
    <row r="9895" spans="33:33">
      <c r="AG9895" s="14"/>
    </row>
    <row r="9896" spans="33:33">
      <c r="AG9896" s="14"/>
    </row>
    <row r="9897" spans="33:33">
      <c r="AG9897" s="14"/>
    </row>
    <row r="9898" spans="33:33">
      <c r="AG9898" s="14"/>
    </row>
    <row r="9899" spans="33:33">
      <c r="AG9899" s="14"/>
    </row>
    <row r="9900" spans="33:33">
      <c r="AG9900" s="14"/>
    </row>
    <row r="9901" spans="33:33">
      <c r="AG9901" s="14"/>
    </row>
    <row r="9902" spans="33:33">
      <c r="AG9902" s="14"/>
    </row>
    <row r="9903" spans="33:33">
      <c r="AG9903" s="14"/>
    </row>
    <row r="9904" spans="33:33">
      <c r="AG9904" s="14"/>
    </row>
    <row r="9905" spans="33:33">
      <c r="AG9905" s="14"/>
    </row>
    <row r="9906" spans="33:33">
      <c r="AG9906" s="14"/>
    </row>
    <row r="9907" spans="33:33">
      <c r="AG9907" s="14"/>
    </row>
    <row r="9908" spans="33:33">
      <c r="AG9908" s="14"/>
    </row>
    <row r="9909" spans="33:33">
      <c r="AG9909" s="14"/>
    </row>
    <row r="9910" spans="33:33">
      <c r="AG9910" s="14"/>
    </row>
    <row r="9911" spans="33:33">
      <c r="AG9911" s="14"/>
    </row>
    <row r="9912" spans="33:33">
      <c r="AG9912" s="14"/>
    </row>
    <row r="9913" spans="33:33">
      <c r="AG9913" s="14"/>
    </row>
    <row r="9914" spans="33:33">
      <c r="AG9914" s="14"/>
    </row>
    <row r="9915" spans="33:33">
      <c r="AG9915" s="14"/>
    </row>
    <row r="9916" spans="33:33">
      <c r="AG9916" s="14"/>
    </row>
    <row r="9917" spans="33:33">
      <c r="AG9917" s="14"/>
    </row>
    <row r="9918" spans="33:33">
      <c r="AG9918" s="14"/>
    </row>
    <row r="9919" spans="33:33">
      <c r="AG9919" s="14"/>
    </row>
    <row r="9920" spans="33:33">
      <c r="AG9920" s="14"/>
    </row>
    <row r="9921" spans="33:33">
      <c r="AG9921" s="14"/>
    </row>
    <row r="9922" spans="33:33">
      <c r="AG9922" s="14"/>
    </row>
    <row r="9923" spans="33:33">
      <c r="AG9923" s="14"/>
    </row>
    <row r="9924" spans="33:33">
      <c r="AG9924" s="14"/>
    </row>
    <row r="9925" spans="33:33">
      <c r="AG9925" s="14"/>
    </row>
    <row r="9926" spans="33:33">
      <c r="AG9926" s="14"/>
    </row>
    <row r="9927" spans="33:33">
      <c r="AG9927" s="14"/>
    </row>
    <row r="9928" spans="33:33">
      <c r="AG9928" s="14"/>
    </row>
    <row r="9929" spans="33:33">
      <c r="AG9929" s="14"/>
    </row>
    <row r="9930" spans="33:33">
      <c r="AG9930" s="14"/>
    </row>
    <row r="9931" spans="33:33">
      <c r="AG9931" s="14"/>
    </row>
    <row r="9932" spans="33:33">
      <c r="AG9932" s="14"/>
    </row>
    <row r="9933" spans="33:33">
      <c r="AG9933" s="14"/>
    </row>
    <row r="9934" spans="33:33">
      <c r="AG9934" s="14"/>
    </row>
    <row r="9935" spans="33:33">
      <c r="AG9935" s="14"/>
    </row>
    <row r="9936" spans="33:33">
      <c r="AG9936" s="14"/>
    </row>
    <row r="9937" spans="33:33">
      <c r="AG9937" s="14"/>
    </row>
    <row r="9938" spans="33:33">
      <c r="AG9938" s="14"/>
    </row>
    <row r="9939" spans="33:33">
      <c r="AG9939" s="14"/>
    </row>
    <row r="9940" spans="33:33">
      <c r="AG9940" s="14"/>
    </row>
    <row r="9941" spans="33:33">
      <c r="AG9941" s="14"/>
    </row>
    <row r="9942" spans="33:33">
      <c r="AG9942" s="14"/>
    </row>
    <row r="9943" spans="33:33">
      <c r="AG9943" s="14"/>
    </row>
    <row r="9944" spans="33:33">
      <c r="AG9944" s="14"/>
    </row>
    <row r="9945" spans="33:33">
      <c r="AG9945" s="14"/>
    </row>
    <row r="9946" spans="33:33">
      <c r="AG9946" s="14"/>
    </row>
    <row r="9947" spans="33:33">
      <c r="AG9947" s="14"/>
    </row>
    <row r="9948" spans="33:33">
      <c r="AG9948" s="14"/>
    </row>
    <row r="9949" spans="33:33">
      <c r="AG9949" s="14"/>
    </row>
    <row r="9950" spans="33:33">
      <c r="AG9950" s="14"/>
    </row>
    <row r="9951" spans="33:33">
      <c r="AG9951" s="14"/>
    </row>
    <row r="9952" spans="33:33">
      <c r="AG9952" s="14"/>
    </row>
    <row r="9953" spans="33:33">
      <c r="AG9953" s="14"/>
    </row>
    <row r="9954" spans="33:33">
      <c r="AG9954" s="14"/>
    </row>
    <row r="9955" spans="33:33">
      <c r="AG9955" s="14"/>
    </row>
    <row r="9956" spans="33:33">
      <c r="AG9956" s="14"/>
    </row>
    <row r="9957" spans="33:33">
      <c r="AG9957" s="14"/>
    </row>
    <row r="9958" spans="33:33">
      <c r="AG9958" s="14"/>
    </row>
    <row r="9959" spans="33:33">
      <c r="AG9959" s="14"/>
    </row>
    <row r="9960" spans="33:33">
      <c r="AG9960" s="14"/>
    </row>
    <row r="9961" spans="33:33">
      <c r="AG9961" s="14"/>
    </row>
    <row r="9962" spans="33:33">
      <c r="AG9962" s="14"/>
    </row>
    <row r="9963" spans="33:33">
      <c r="AG9963" s="14"/>
    </row>
    <row r="9964" spans="33:33">
      <c r="AG9964" s="14"/>
    </row>
    <row r="9965" spans="33:33">
      <c r="AG9965" s="14"/>
    </row>
    <row r="9966" spans="33:33">
      <c r="AG9966" s="14"/>
    </row>
    <row r="9967" spans="33:33">
      <c r="AG9967" s="14"/>
    </row>
    <row r="9968" spans="33:33">
      <c r="AG9968" s="14"/>
    </row>
    <row r="9969" spans="33:33">
      <c r="AG9969" s="14"/>
    </row>
    <row r="9970" spans="33:33">
      <c r="AG9970" s="14"/>
    </row>
    <row r="9971" spans="33:33">
      <c r="AG9971" s="14"/>
    </row>
    <row r="9972" spans="33:33">
      <c r="AG9972" s="14"/>
    </row>
    <row r="9973" spans="33:33">
      <c r="AG9973" s="14"/>
    </row>
    <row r="9974" spans="33:33">
      <c r="AG9974" s="14"/>
    </row>
    <row r="9975" spans="33:33">
      <c r="AG9975" s="14"/>
    </row>
    <row r="9976" spans="33:33">
      <c r="AG9976" s="14"/>
    </row>
    <row r="9977" spans="33:33">
      <c r="AG9977" s="14"/>
    </row>
    <row r="9978" spans="33:33">
      <c r="AG9978" s="14"/>
    </row>
    <row r="9979" spans="33:33">
      <c r="AG9979" s="14"/>
    </row>
    <row r="9980" spans="33:33">
      <c r="AG9980" s="14"/>
    </row>
    <row r="9981" spans="33:33">
      <c r="AG9981" s="14"/>
    </row>
    <row r="9982" spans="33:33">
      <c r="AG9982" s="14"/>
    </row>
    <row r="9983" spans="33:33">
      <c r="AG9983" s="14"/>
    </row>
    <row r="9984" spans="33:33">
      <c r="AG9984" s="14"/>
    </row>
    <row r="9985" spans="33:33">
      <c r="AG9985" s="14"/>
    </row>
    <row r="9986" spans="33:33">
      <c r="AG9986" s="14"/>
    </row>
    <row r="9987" spans="33:33">
      <c r="AG9987" s="14"/>
    </row>
    <row r="9988" spans="33:33">
      <c r="AG9988" s="14"/>
    </row>
    <row r="9989" spans="33:33">
      <c r="AG9989" s="14"/>
    </row>
    <row r="9990" spans="33:33">
      <c r="AG9990" s="14"/>
    </row>
    <row r="9991" spans="33:33">
      <c r="AG9991" s="14"/>
    </row>
    <row r="9992" spans="33:33">
      <c r="AG9992" s="14"/>
    </row>
    <row r="9993" spans="33:33">
      <c r="AG9993" s="14"/>
    </row>
    <row r="9994" spans="33:33">
      <c r="AG9994" s="14"/>
    </row>
    <row r="9995" spans="33:33">
      <c r="AG9995" s="14"/>
    </row>
    <row r="9996" spans="33:33">
      <c r="AG9996" s="14"/>
    </row>
    <row r="9997" spans="33:33">
      <c r="AG9997" s="14"/>
    </row>
    <row r="9998" spans="33:33">
      <c r="AG9998" s="14"/>
    </row>
    <row r="9999" spans="33:33">
      <c r="AG9999" s="14"/>
    </row>
    <row r="10000" spans="33:33">
      <c r="AG10000" s="14"/>
    </row>
    <row r="10001" spans="33:33">
      <c r="AG10001" s="14"/>
    </row>
    <row r="10002" spans="33:33">
      <c r="AG10002" s="14"/>
    </row>
    <row r="10003" spans="33:33">
      <c r="AG10003" s="14"/>
    </row>
    <row r="10004" spans="33:33">
      <c r="AG10004" s="14"/>
    </row>
    <row r="10005" spans="33:33">
      <c r="AG10005" s="14"/>
    </row>
    <row r="10006" spans="33:33">
      <c r="AG10006" s="14"/>
    </row>
    <row r="10007" spans="33:33">
      <c r="AG10007" s="14"/>
    </row>
    <row r="10008" spans="33:33">
      <c r="AG10008" s="14"/>
    </row>
    <row r="10009" spans="33:33">
      <c r="AG10009" s="14"/>
    </row>
    <row r="10010" spans="33:33">
      <c r="AG10010" s="14"/>
    </row>
    <row r="10011" spans="33:33">
      <c r="AG10011" s="14"/>
    </row>
    <row r="10012" spans="33:33">
      <c r="AG10012" s="14"/>
    </row>
    <row r="10013" spans="33:33">
      <c r="AG10013" s="14"/>
    </row>
    <row r="10014" spans="33:33">
      <c r="AG10014" s="14"/>
    </row>
    <row r="10015" spans="33:33">
      <c r="AG10015" s="14"/>
    </row>
    <row r="10016" spans="33:33">
      <c r="AG10016" s="14"/>
    </row>
    <row r="10017" spans="33:33">
      <c r="AG10017" s="14"/>
    </row>
    <row r="10018" spans="33:33">
      <c r="AG10018" s="14"/>
    </row>
    <row r="10019" spans="33:33">
      <c r="AG10019" s="14"/>
    </row>
    <row r="10020" spans="33:33">
      <c r="AG10020" s="14"/>
    </row>
    <row r="10021" spans="33:33">
      <c r="AG10021" s="14"/>
    </row>
    <row r="10022" spans="33:33">
      <c r="AG10022" s="14"/>
    </row>
    <row r="10023" spans="33:33">
      <c r="AG10023" s="14"/>
    </row>
    <row r="10024" spans="33:33">
      <c r="AG10024" s="14"/>
    </row>
    <row r="10025" spans="33:33">
      <c r="AG10025" s="14"/>
    </row>
    <row r="10026" spans="33:33">
      <c r="AG10026" s="14"/>
    </row>
    <row r="10027" spans="33:33">
      <c r="AG10027" s="14"/>
    </row>
    <row r="10028" spans="33:33">
      <c r="AG10028" s="14"/>
    </row>
    <row r="10029" spans="33:33">
      <c r="AG10029" s="14"/>
    </row>
    <row r="10030" spans="33:33">
      <c r="AG10030" s="14"/>
    </row>
    <row r="10031" spans="33:33">
      <c r="AG10031" s="14"/>
    </row>
    <row r="10032" spans="33:33">
      <c r="AG10032" s="14"/>
    </row>
    <row r="10033" spans="33:33">
      <c r="AG10033" s="14"/>
    </row>
    <row r="10034" spans="33:33">
      <c r="AG10034" s="14"/>
    </row>
    <row r="10035" spans="33:33">
      <c r="AG10035" s="14"/>
    </row>
    <row r="10036" spans="33:33">
      <c r="AG10036" s="14"/>
    </row>
    <row r="10037" spans="33:33">
      <c r="AG10037" s="14"/>
    </row>
    <row r="10038" spans="33:33">
      <c r="AG10038" s="14"/>
    </row>
    <row r="10039" spans="33:33">
      <c r="AG10039" s="14"/>
    </row>
    <row r="10040" spans="33:33">
      <c r="AG10040" s="14"/>
    </row>
    <row r="10041" spans="33:33">
      <c r="AG10041" s="14"/>
    </row>
    <row r="10042" spans="33:33">
      <c r="AG10042" s="14"/>
    </row>
    <row r="10043" spans="33:33">
      <c r="AG10043" s="14"/>
    </row>
    <row r="10044" spans="33:33">
      <c r="AG10044" s="14"/>
    </row>
    <row r="10045" spans="33:33">
      <c r="AG10045" s="14"/>
    </row>
    <row r="10046" spans="33:33">
      <c r="AG10046" s="14"/>
    </row>
    <row r="10047" spans="33:33">
      <c r="AG10047" s="14"/>
    </row>
    <row r="10048" spans="33:33">
      <c r="AG10048" s="14"/>
    </row>
    <row r="10049" spans="33:33">
      <c r="AG10049" s="14"/>
    </row>
    <row r="10050" spans="33:33">
      <c r="AG10050" s="14"/>
    </row>
    <row r="10051" spans="33:33">
      <c r="AG10051" s="14"/>
    </row>
    <row r="10052" spans="33:33">
      <c r="AG10052" s="14"/>
    </row>
    <row r="10053" spans="33:33">
      <c r="AG10053" s="14"/>
    </row>
    <row r="10054" spans="33:33">
      <c r="AG10054" s="14"/>
    </row>
    <row r="10055" spans="33:33">
      <c r="AG10055" s="14"/>
    </row>
    <row r="10056" spans="33:33">
      <c r="AG10056" s="14"/>
    </row>
    <row r="10057" spans="33:33">
      <c r="AG10057" s="14"/>
    </row>
    <row r="10058" spans="33:33">
      <c r="AG10058" s="14"/>
    </row>
    <row r="10059" spans="33:33">
      <c r="AG10059" s="14"/>
    </row>
    <row r="10060" spans="33:33">
      <c r="AG10060" s="14"/>
    </row>
    <row r="10061" spans="33:33">
      <c r="AG10061" s="14"/>
    </row>
    <row r="10062" spans="33:33">
      <c r="AG10062" s="14"/>
    </row>
    <row r="10063" spans="33:33">
      <c r="AG10063" s="14"/>
    </row>
    <row r="10064" spans="33:33">
      <c r="AG10064" s="14"/>
    </row>
    <row r="10065" spans="33:33">
      <c r="AG10065" s="14"/>
    </row>
    <row r="10066" spans="33:33">
      <c r="AG10066" s="14"/>
    </row>
    <row r="10067" spans="33:33">
      <c r="AG10067" s="14"/>
    </row>
    <row r="10068" spans="33:33">
      <c r="AG10068" s="14"/>
    </row>
    <row r="10069" spans="33:33">
      <c r="AG10069" s="14"/>
    </row>
    <row r="10070" spans="33:33">
      <c r="AG10070" s="14"/>
    </row>
    <row r="10071" spans="33:33">
      <c r="AG10071" s="14"/>
    </row>
    <row r="10072" spans="33:33">
      <c r="AG10072" s="14"/>
    </row>
    <row r="10073" spans="33:33">
      <c r="AG10073" s="14"/>
    </row>
    <row r="10074" spans="33:33">
      <c r="AG10074" s="14"/>
    </row>
    <row r="10075" spans="33:33">
      <c r="AG10075" s="14"/>
    </row>
    <row r="10076" spans="33:33">
      <c r="AG10076" s="14"/>
    </row>
    <row r="10077" spans="33:33">
      <c r="AG10077" s="14"/>
    </row>
    <row r="10078" spans="33:33">
      <c r="AG10078" s="14"/>
    </row>
    <row r="10079" spans="33:33">
      <c r="AG10079" s="14"/>
    </row>
    <row r="10080" spans="33:33">
      <c r="AG10080" s="14"/>
    </row>
    <row r="10081" spans="33:33">
      <c r="AG10081" s="14"/>
    </row>
    <row r="10082" spans="33:33">
      <c r="AG10082" s="14"/>
    </row>
    <row r="10083" spans="33:33">
      <c r="AG10083" s="14"/>
    </row>
    <row r="10084" spans="33:33">
      <c r="AG10084" s="14"/>
    </row>
    <row r="10085" spans="33:33">
      <c r="AG10085" s="14"/>
    </row>
    <row r="10086" spans="33:33">
      <c r="AG10086" s="14"/>
    </row>
    <row r="10087" spans="33:33">
      <c r="AG10087" s="14"/>
    </row>
    <row r="10088" spans="33:33">
      <c r="AG10088" s="14"/>
    </row>
    <row r="10089" spans="33:33">
      <c r="AG10089" s="14"/>
    </row>
    <row r="10090" spans="33:33">
      <c r="AG10090" s="14"/>
    </row>
    <row r="10091" spans="33:33">
      <c r="AG10091" s="14"/>
    </row>
    <row r="10092" spans="33:33">
      <c r="AG10092" s="14"/>
    </row>
    <row r="10093" spans="33:33">
      <c r="AG10093" s="14"/>
    </row>
    <row r="10094" spans="33:33">
      <c r="AG10094" s="14"/>
    </row>
    <row r="10095" spans="33:33">
      <c r="AG10095" s="14"/>
    </row>
    <row r="10096" spans="33:33">
      <c r="AG10096" s="14"/>
    </row>
    <row r="10097" spans="33:33">
      <c r="AG10097" s="14"/>
    </row>
    <row r="10098" spans="33:33">
      <c r="AG10098" s="14"/>
    </row>
    <row r="10099" spans="33:33">
      <c r="AG10099" s="14"/>
    </row>
    <row r="10100" spans="33:33">
      <c r="AG10100" s="14"/>
    </row>
    <row r="10101" spans="33:33">
      <c r="AG10101" s="14"/>
    </row>
    <row r="10102" spans="33:33">
      <c r="AG10102" s="14"/>
    </row>
    <row r="10103" spans="33:33">
      <c r="AG10103" s="14"/>
    </row>
    <row r="10104" spans="33:33">
      <c r="AG10104" s="14"/>
    </row>
    <row r="10105" spans="33:33">
      <c r="AG10105" s="14"/>
    </row>
    <row r="10106" spans="33:33">
      <c r="AG10106" s="14"/>
    </row>
    <row r="10107" spans="33:33">
      <c r="AG10107" s="14"/>
    </row>
    <row r="10108" spans="33:33">
      <c r="AG10108" s="14"/>
    </row>
    <row r="10109" spans="33:33">
      <c r="AG10109" s="14"/>
    </row>
    <row r="10110" spans="33:33">
      <c r="AG10110" s="14"/>
    </row>
    <row r="10111" spans="33:33">
      <c r="AG10111" s="14"/>
    </row>
    <row r="10112" spans="33:33">
      <c r="AG10112" s="14"/>
    </row>
    <row r="10113" spans="33:33">
      <c r="AG10113" s="14"/>
    </row>
    <row r="10114" spans="33:33">
      <c r="AG10114" s="14"/>
    </row>
    <row r="10115" spans="33:33">
      <c r="AG10115" s="14"/>
    </row>
    <row r="10116" spans="33:33">
      <c r="AG10116" s="14"/>
    </row>
    <row r="10117" spans="33:33">
      <c r="AG10117" s="14"/>
    </row>
    <row r="10118" spans="33:33">
      <c r="AG10118" s="14"/>
    </row>
    <row r="10119" spans="33:33">
      <c r="AG10119" s="14"/>
    </row>
    <row r="10120" spans="33:33">
      <c r="AG10120" s="14"/>
    </row>
    <row r="10121" spans="33:33">
      <c r="AG10121" s="14"/>
    </row>
    <row r="10122" spans="33:33">
      <c r="AG10122" s="14"/>
    </row>
    <row r="10123" spans="33:33">
      <c r="AG10123" s="14"/>
    </row>
    <row r="10124" spans="33:33">
      <c r="AG10124" s="14"/>
    </row>
    <row r="10125" spans="33:33">
      <c r="AG10125" s="14"/>
    </row>
    <row r="10126" spans="33:33">
      <c r="AG10126" s="14"/>
    </row>
    <row r="10127" spans="33:33">
      <c r="AG10127" s="14"/>
    </row>
    <row r="10128" spans="33:33">
      <c r="AG10128" s="14"/>
    </row>
    <row r="10129" spans="33:33">
      <c r="AG10129" s="14"/>
    </row>
    <row r="10130" spans="33:33">
      <c r="AG10130" s="14"/>
    </row>
    <row r="10131" spans="33:33">
      <c r="AG10131" s="14"/>
    </row>
    <row r="10132" spans="33:33">
      <c r="AG10132" s="14"/>
    </row>
    <row r="10133" spans="33:33">
      <c r="AG10133" s="14"/>
    </row>
    <row r="10134" spans="33:33">
      <c r="AG10134" s="14"/>
    </row>
    <row r="10135" spans="33:33">
      <c r="AG10135" s="14"/>
    </row>
    <row r="10136" spans="33:33">
      <c r="AG10136" s="14"/>
    </row>
    <row r="10137" spans="33:33">
      <c r="AG10137" s="14"/>
    </row>
    <row r="10138" spans="33:33">
      <c r="AG10138" s="14"/>
    </row>
    <row r="10139" spans="33:33">
      <c r="AG10139" s="14"/>
    </row>
    <row r="10140" spans="33:33">
      <c r="AG10140" s="14"/>
    </row>
    <row r="10141" spans="33:33">
      <c r="AG10141" s="14"/>
    </row>
    <row r="10142" spans="33:33">
      <c r="AG10142" s="14"/>
    </row>
    <row r="10143" spans="33:33">
      <c r="AG10143" s="14"/>
    </row>
    <row r="10144" spans="33:33">
      <c r="AG10144" s="14"/>
    </row>
    <row r="10145" spans="33:33">
      <c r="AG10145" s="14"/>
    </row>
    <row r="10146" spans="33:33">
      <c r="AG10146" s="14"/>
    </row>
    <row r="10147" spans="33:33">
      <c r="AG10147" s="14"/>
    </row>
    <row r="10148" spans="33:33">
      <c r="AG10148" s="14"/>
    </row>
    <row r="10149" spans="33:33">
      <c r="AG10149" s="14"/>
    </row>
    <row r="10150" spans="33:33">
      <c r="AG10150" s="14"/>
    </row>
    <row r="10151" spans="33:33">
      <c r="AG10151" s="14"/>
    </row>
    <row r="10152" spans="33:33">
      <c r="AG10152" s="14"/>
    </row>
    <row r="10153" spans="33:33">
      <c r="AG10153" s="14"/>
    </row>
    <row r="10154" spans="33:33">
      <c r="AG10154" s="14"/>
    </row>
    <row r="10155" spans="33:33">
      <c r="AG10155" s="14"/>
    </row>
    <row r="10156" spans="33:33">
      <c r="AG10156" s="14"/>
    </row>
    <row r="10157" spans="33:33">
      <c r="AG10157" s="14"/>
    </row>
    <row r="10158" spans="33:33">
      <c r="AG10158" s="14"/>
    </row>
    <row r="10159" spans="33:33">
      <c r="AG10159" s="14"/>
    </row>
    <row r="10160" spans="33:33">
      <c r="AG10160" s="14"/>
    </row>
    <row r="10161" spans="33:33">
      <c r="AG10161" s="14"/>
    </row>
    <row r="10162" spans="33:33">
      <c r="AG10162" s="14"/>
    </row>
    <row r="10163" spans="33:33">
      <c r="AG10163" s="14"/>
    </row>
    <row r="10164" spans="33:33">
      <c r="AG10164" s="14"/>
    </row>
    <row r="10165" spans="33:33">
      <c r="AG10165" s="14"/>
    </row>
    <row r="10166" spans="33:33">
      <c r="AG10166" s="14"/>
    </row>
    <row r="10167" spans="33:33">
      <c r="AG10167" s="14"/>
    </row>
    <row r="10168" spans="33:33">
      <c r="AG10168" s="14"/>
    </row>
    <row r="10169" spans="33:33">
      <c r="AG10169" s="14"/>
    </row>
    <row r="10170" spans="33:33">
      <c r="AG10170" s="14"/>
    </row>
    <row r="10171" spans="33:33">
      <c r="AG10171" s="14"/>
    </row>
    <row r="10172" spans="33:33">
      <c r="AG10172" s="14"/>
    </row>
    <row r="10173" spans="33:33">
      <c r="AG10173" s="14"/>
    </row>
    <row r="10174" spans="33:33">
      <c r="AG10174" s="14"/>
    </row>
    <row r="10175" spans="33:33">
      <c r="AG10175" s="14"/>
    </row>
    <row r="10176" spans="33:33">
      <c r="AG10176" s="14"/>
    </row>
    <row r="10177" spans="33:33">
      <c r="AG10177" s="14"/>
    </row>
    <row r="10178" spans="33:33">
      <c r="AG10178" s="14"/>
    </row>
    <row r="10179" spans="33:33">
      <c r="AG10179" s="14"/>
    </row>
    <row r="10180" spans="33:33">
      <c r="AG10180" s="14"/>
    </row>
    <row r="10181" spans="33:33">
      <c r="AG10181" s="14"/>
    </row>
    <row r="10182" spans="33:33">
      <c r="AG10182" s="14"/>
    </row>
    <row r="10183" spans="33:33">
      <c r="AG10183" s="14"/>
    </row>
    <row r="10184" spans="33:33">
      <c r="AG10184" s="14"/>
    </row>
    <row r="10185" spans="33:33">
      <c r="AG10185" s="14"/>
    </row>
    <row r="10186" spans="33:33">
      <c r="AG10186" s="14"/>
    </row>
    <row r="10187" spans="33:33">
      <c r="AG10187" s="14"/>
    </row>
    <row r="10188" spans="33:33">
      <c r="AG10188" s="14"/>
    </row>
    <row r="10189" spans="33:33">
      <c r="AG10189" s="14"/>
    </row>
    <row r="10190" spans="33:33">
      <c r="AG10190" s="14"/>
    </row>
    <row r="10191" spans="33:33">
      <c r="AG10191" s="14"/>
    </row>
    <row r="10192" spans="33:33">
      <c r="AG10192" s="14"/>
    </row>
    <row r="10193" spans="33:33">
      <c r="AG10193" s="14"/>
    </row>
    <row r="10194" spans="33:33">
      <c r="AG10194" s="14"/>
    </row>
    <row r="10195" spans="33:33">
      <c r="AG10195" s="14"/>
    </row>
    <row r="10196" spans="33:33">
      <c r="AG10196" s="14"/>
    </row>
    <row r="10197" spans="33:33">
      <c r="AG10197" s="14"/>
    </row>
    <row r="10198" spans="33:33">
      <c r="AG10198" s="14"/>
    </row>
    <row r="10199" spans="33:33">
      <c r="AG10199" s="14"/>
    </row>
    <row r="10200" spans="33:33">
      <c r="AG10200" s="14"/>
    </row>
    <row r="10201" spans="33:33">
      <c r="AG10201" s="14"/>
    </row>
    <row r="10202" spans="33:33">
      <c r="AG10202" s="14"/>
    </row>
    <row r="10203" spans="33:33">
      <c r="AG10203" s="14"/>
    </row>
    <row r="10204" spans="33:33">
      <c r="AG10204" s="14"/>
    </row>
    <row r="10205" spans="33:33">
      <c r="AG10205" s="14"/>
    </row>
    <row r="10206" spans="33:33">
      <c r="AG10206" s="14"/>
    </row>
    <row r="10207" spans="33:33">
      <c r="AG10207" s="14"/>
    </row>
    <row r="10208" spans="33:33">
      <c r="AG10208" s="14"/>
    </row>
    <row r="10209" spans="33:33">
      <c r="AG10209" s="14"/>
    </row>
    <row r="10210" spans="33:33">
      <c r="AG10210" s="14"/>
    </row>
    <row r="10211" spans="33:33">
      <c r="AG10211" s="14"/>
    </row>
    <row r="10212" spans="33:33">
      <c r="AG10212" s="14"/>
    </row>
    <row r="10213" spans="33:33">
      <c r="AG10213" s="14"/>
    </row>
    <row r="10214" spans="33:33">
      <c r="AG10214" s="14"/>
    </row>
    <row r="10215" spans="33:33">
      <c r="AG10215" s="14"/>
    </row>
    <row r="10216" spans="33:33">
      <c r="AG10216" s="14"/>
    </row>
    <row r="10217" spans="33:33">
      <c r="AG10217" s="14"/>
    </row>
    <row r="10218" spans="33:33">
      <c r="AG10218" s="14"/>
    </row>
    <row r="10219" spans="33:33">
      <c r="AG10219" s="14"/>
    </row>
    <row r="10220" spans="33:33">
      <c r="AG10220" s="14"/>
    </row>
    <row r="10221" spans="33:33">
      <c r="AG10221" s="14"/>
    </row>
    <row r="10222" spans="33:33">
      <c r="AG10222" s="14"/>
    </row>
    <row r="10223" spans="33:33">
      <c r="AG10223" s="14"/>
    </row>
    <row r="10224" spans="33:33">
      <c r="AG10224" s="14"/>
    </row>
    <row r="10225" spans="33:33">
      <c r="AG10225" s="14"/>
    </row>
    <row r="10226" spans="33:33">
      <c r="AG10226" s="14"/>
    </row>
    <row r="10227" spans="33:33">
      <c r="AG10227" s="14"/>
    </row>
    <row r="10228" spans="33:33">
      <c r="AG10228" s="14"/>
    </row>
    <row r="10229" spans="33:33">
      <c r="AG10229" s="14"/>
    </row>
    <row r="10230" spans="33:33">
      <c r="AG10230" s="14"/>
    </row>
    <row r="10231" spans="33:33">
      <c r="AG10231" s="14"/>
    </row>
    <row r="10232" spans="33:33">
      <c r="AG10232" s="14"/>
    </row>
    <row r="10233" spans="33:33">
      <c r="AG10233" s="14"/>
    </row>
    <row r="10234" spans="33:33">
      <c r="AG10234" s="14"/>
    </row>
    <row r="10235" spans="33:33">
      <c r="AG10235" s="14"/>
    </row>
    <row r="10236" spans="33:33">
      <c r="AG10236" s="14"/>
    </row>
    <row r="10237" spans="33:33">
      <c r="AG10237" s="14"/>
    </row>
    <row r="10238" spans="33:33">
      <c r="AG10238" s="14"/>
    </row>
    <row r="10239" spans="33:33">
      <c r="AG10239" s="14"/>
    </row>
    <row r="10240" spans="33:33">
      <c r="AG10240" s="14"/>
    </row>
    <row r="10241" spans="33:33">
      <c r="AG10241" s="14"/>
    </row>
    <row r="10242" spans="33:33">
      <c r="AG10242" s="14"/>
    </row>
    <row r="10243" spans="33:33">
      <c r="AG10243" s="14"/>
    </row>
    <row r="10244" spans="33:33">
      <c r="AG10244" s="14"/>
    </row>
    <row r="10245" spans="33:33">
      <c r="AG10245" s="14"/>
    </row>
    <row r="10246" spans="33:33">
      <c r="AG10246" s="14"/>
    </row>
    <row r="10247" spans="33:33">
      <c r="AG10247" s="14"/>
    </row>
    <row r="10248" spans="33:33">
      <c r="AG10248" s="14"/>
    </row>
    <row r="10249" spans="33:33">
      <c r="AG10249" s="14"/>
    </row>
    <row r="10250" spans="33:33">
      <c r="AG10250" s="14"/>
    </row>
    <row r="10251" spans="33:33">
      <c r="AG10251" s="14"/>
    </row>
    <row r="10252" spans="33:33">
      <c r="AG10252" s="14"/>
    </row>
    <row r="10253" spans="33:33">
      <c r="AG10253" s="14"/>
    </row>
    <row r="10254" spans="33:33">
      <c r="AG10254" s="14"/>
    </row>
    <row r="10255" spans="33:33">
      <c r="AG10255" s="14"/>
    </row>
    <row r="10256" spans="33:33">
      <c r="AG10256" s="14"/>
    </row>
    <row r="10257" spans="33:33">
      <c r="AG10257" s="14"/>
    </row>
    <row r="10258" spans="33:33">
      <c r="AG10258" s="14"/>
    </row>
    <row r="10259" spans="33:33">
      <c r="AG10259" s="14"/>
    </row>
    <row r="10260" spans="33:33">
      <c r="AG10260" s="14"/>
    </row>
    <row r="10261" spans="33:33">
      <c r="AG10261" s="14"/>
    </row>
    <row r="10262" spans="33:33">
      <c r="AG10262" s="14"/>
    </row>
    <row r="10263" spans="33:33">
      <c r="AG10263" s="14"/>
    </row>
    <row r="10264" spans="33:33">
      <c r="AG10264" s="14"/>
    </row>
    <row r="10265" spans="33:33">
      <c r="AG10265" s="14"/>
    </row>
    <row r="10266" spans="33:33">
      <c r="AG10266" s="14"/>
    </row>
    <row r="10267" spans="33:33">
      <c r="AG10267" s="14"/>
    </row>
    <row r="10268" spans="33:33">
      <c r="AG10268" s="14"/>
    </row>
    <row r="10269" spans="33:33">
      <c r="AG10269" s="14"/>
    </row>
    <row r="10270" spans="33:33">
      <c r="AG10270" s="14"/>
    </row>
    <row r="10271" spans="33:33">
      <c r="AG10271" s="14"/>
    </row>
    <row r="10272" spans="33:33">
      <c r="AG10272" s="14"/>
    </row>
    <row r="10273" spans="33:33">
      <c r="AG10273" s="14"/>
    </row>
    <row r="10274" spans="33:33">
      <c r="AG10274" s="14"/>
    </row>
    <row r="10275" spans="33:33">
      <c r="AG10275" s="14"/>
    </row>
    <row r="10276" spans="33:33">
      <c r="AG10276" s="14"/>
    </row>
    <row r="10277" spans="33:33">
      <c r="AG10277" s="14"/>
    </row>
    <row r="10278" spans="33:33">
      <c r="AG10278" s="14"/>
    </row>
    <row r="10279" spans="33:33">
      <c r="AG10279" s="14"/>
    </row>
    <row r="10280" spans="33:33">
      <c r="AG10280" s="14"/>
    </row>
    <row r="10281" spans="33:33">
      <c r="AG10281" s="14"/>
    </row>
    <row r="10282" spans="33:33">
      <c r="AG10282" s="14"/>
    </row>
    <row r="10283" spans="33:33">
      <c r="AG10283" s="14"/>
    </row>
    <row r="10284" spans="33:33">
      <c r="AG10284" s="14"/>
    </row>
    <row r="10285" spans="33:33">
      <c r="AG10285" s="14"/>
    </row>
    <row r="10286" spans="33:33">
      <c r="AG10286" s="14"/>
    </row>
    <row r="10287" spans="33:33">
      <c r="AG10287" s="14"/>
    </row>
    <row r="10288" spans="33:33">
      <c r="AG10288" s="14"/>
    </row>
    <row r="10289" spans="33:33">
      <c r="AG10289" s="14"/>
    </row>
    <row r="10290" spans="33:33">
      <c r="AG10290" s="14"/>
    </row>
    <row r="10291" spans="33:33">
      <c r="AG10291" s="14"/>
    </row>
    <row r="10292" spans="33:33">
      <c r="AG10292" s="14"/>
    </row>
    <row r="10293" spans="33:33">
      <c r="AG10293" s="14"/>
    </row>
    <row r="10294" spans="33:33">
      <c r="AG10294" s="14"/>
    </row>
    <row r="10295" spans="33:33">
      <c r="AG10295" s="14"/>
    </row>
    <row r="10296" spans="33:33">
      <c r="AG10296" s="14"/>
    </row>
    <row r="10297" spans="33:33">
      <c r="AG10297" s="14"/>
    </row>
    <row r="10298" spans="33:33">
      <c r="AG10298" s="14"/>
    </row>
    <row r="10299" spans="33:33">
      <c r="AG10299" s="14"/>
    </row>
    <row r="10300" spans="33:33">
      <c r="AG10300" s="14"/>
    </row>
    <row r="10301" spans="33:33">
      <c r="AG10301" s="14"/>
    </row>
    <row r="10302" spans="33:33">
      <c r="AG10302" s="14"/>
    </row>
    <row r="10303" spans="33:33">
      <c r="AG10303" s="14"/>
    </row>
    <row r="10304" spans="33:33">
      <c r="AG10304" s="14"/>
    </row>
    <row r="10305" spans="33:33">
      <c r="AG10305" s="14"/>
    </row>
    <row r="10306" spans="33:33">
      <c r="AG10306" s="14"/>
    </row>
    <row r="10307" spans="33:33">
      <c r="AG10307" s="14"/>
    </row>
    <row r="10308" spans="33:33">
      <c r="AG10308" s="14"/>
    </row>
    <row r="10309" spans="33:33">
      <c r="AG10309" s="14"/>
    </row>
    <row r="10310" spans="33:33">
      <c r="AG10310" s="14"/>
    </row>
    <row r="10311" spans="33:33">
      <c r="AG10311" s="14"/>
    </row>
    <row r="10312" spans="33:33">
      <c r="AG10312" s="14"/>
    </row>
    <row r="10313" spans="33:33">
      <c r="AG10313" s="14"/>
    </row>
    <row r="10314" spans="33:33">
      <c r="AG10314" s="14"/>
    </row>
    <row r="10315" spans="33:33">
      <c r="AG10315" s="14"/>
    </row>
    <row r="10316" spans="33:33">
      <c r="AG10316" s="14"/>
    </row>
    <row r="10317" spans="33:33">
      <c r="AG10317" s="14"/>
    </row>
    <row r="10318" spans="33:33">
      <c r="AG10318" s="14"/>
    </row>
    <row r="10319" spans="33:33">
      <c r="AG10319" s="14"/>
    </row>
    <row r="10320" spans="33:33">
      <c r="AG10320" s="14"/>
    </row>
    <row r="10321" spans="33:33">
      <c r="AG10321" s="14"/>
    </row>
    <row r="10322" spans="33:33">
      <c r="AG10322" s="14"/>
    </row>
    <row r="10323" spans="33:33">
      <c r="AG10323" s="14"/>
    </row>
    <row r="10324" spans="33:33">
      <c r="AG10324" s="14"/>
    </row>
    <row r="10325" spans="33:33">
      <c r="AG10325" s="14"/>
    </row>
    <row r="10326" spans="33:33">
      <c r="AG10326" s="14"/>
    </row>
    <row r="10327" spans="33:33">
      <c r="AG10327" s="14"/>
    </row>
    <row r="10328" spans="33:33">
      <c r="AG10328" s="14"/>
    </row>
    <row r="10329" spans="33:33">
      <c r="AG10329" s="14"/>
    </row>
    <row r="10330" spans="33:33">
      <c r="AG10330" s="14"/>
    </row>
    <row r="10331" spans="33:33">
      <c r="AG10331" s="14"/>
    </row>
    <row r="10332" spans="33:33">
      <c r="AG10332" s="14"/>
    </row>
    <row r="10333" spans="33:33">
      <c r="AG10333" s="14"/>
    </row>
    <row r="10334" spans="33:33">
      <c r="AG10334" s="14"/>
    </row>
    <row r="10335" spans="33:33">
      <c r="AG10335" s="14"/>
    </row>
    <row r="10336" spans="33:33">
      <c r="AG10336" s="14"/>
    </row>
    <row r="10337" spans="33:33">
      <c r="AG10337" s="14"/>
    </row>
    <row r="10338" spans="33:33">
      <c r="AG10338" s="14"/>
    </row>
    <row r="10339" spans="33:33">
      <c r="AG10339" s="14"/>
    </row>
    <row r="10340" spans="33:33">
      <c r="AG10340" s="14"/>
    </row>
    <row r="10341" spans="33:33">
      <c r="AG10341" s="14"/>
    </row>
    <row r="10342" spans="33:33">
      <c r="AG10342" s="14"/>
    </row>
    <row r="10343" spans="33:33">
      <c r="AG10343" s="14"/>
    </row>
    <row r="10344" spans="33:33">
      <c r="AG10344" s="14"/>
    </row>
    <row r="10345" spans="33:33">
      <c r="AG10345" s="14"/>
    </row>
    <row r="10346" spans="33:33">
      <c r="AG10346" s="14"/>
    </row>
    <row r="10347" spans="33:33">
      <c r="AG10347" s="14"/>
    </row>
    <row r="10348" spans="33:33">
      <c r="AG10348" s="14"/>
    </row>
    <row r="10349" spans="33:33">
      <c r="AG10349" s="14"/>
    </row>
    <row r="10350" spans="33:33">
      <c r="AG10350" s="14"/>
    </row>
    <row r="10351" spans="33:33">
      <c r="AG10351" s="14"/>
    </row>
    <row r="10352" spans="33:33">
      <c r="AG10352" s="14"/>
    </row>
    <row r="10353" spans="33:33">
      <c r="AG10353" s="14"/>
    </row>
    <row r="10354" spans="33:33">
      <c r="AG10354" s="14"/>
    </row>
    <row r="10355" spans="33:33">
      <c r="AG10355" s="14"/>
    </row>
    <row r="10356" spans="33:33">
      <c r="AG10356" s="14"/>
    </row>
    <row r="10357" spans="33:33">
      <c r="AG10357" s="14"/>
    </row>
    <row r="10358" spans="33:33">
      <c r="AG10358" s="14"/>
    </row>
    <row r="10359" spans="33:33">
      <c r="AG10359" s="14"/>
    </row>
    <row r="10360" spans="33:33">
      <c r="AG10360" s="14"/>
    </row>
    <row r="10361" spans="33:33">
      <c r="AG10361" s="14"/>
    </row>
    <row r="10362" spans="33:33">
      <c r="AG10362" s="14"/>
    </row>
    <row r="10363" spans="33:33">
      <c r="AG10363" s="14"/>
    </row>
    <row r="10364" spans="33:33">
      <c r="AG10364" s="14"/>
    </row>
    <row r="10365" spans="33:33">
      <c r="AG10365" s="14"/>
    </row>
    <row r="10366" spans="33:33">
      <c r="AG10366" s="14"/>
    </row>
    <row r="10367" spans="33:33">
      <c r="AG10367" s="14"/>
    </row>
    <row r="10368" spans="33:33">
      <c r="AG10368" s="14"/>
    </row>
    <row r="10369" spans="33:33">
      <c r="AG10369" s="14"/>
    </row>
    <row r="10370" spans="33:33">
      <c r="AG10370" s="14"/>
    </row>
    <row r="10371" spans="33:33">
      <c r="AG10371" s="14"/>
    </row>
    <row r="10372" spans="33:33">
      <c r="AG10372" s="14"/>
    </row>
    <row r="10373" spans="33:33">
      <c r="AG10373" s="14"/>
    </row>
    <row r="10374" spans="33:33">
      <c r="AG10374" s="14"/>
    </row>
    <row r="10375" spans="33:33">
      <c r="AG10375" s="14"/>
    </row>
    <row r="10376" spans="33:33">
      <c r="AG10376" s="14"/>
    </row>
    <row r="10377" spans="33:33">
      <c r="AG10377" s="14"/>
    </row>
    <row r="10378" spans="33:33">
      <c r="AG10378" s="14"/>
    </row>
    <row r="10379" spans="33:33">
      <c r="AG10379" s="14"/>
    </row>
    <row r="10380" spans="33:33">
      <c r="AG10380" s="14"/>
    </row>
    <row r="10381" spans="33:33">
      <c r="AG10381" s="14"/>
    </row>
    <row r="10382" spans="33:33">
      <c r="AG10382" s="14"/>
    </row>
    <row r="10383" spans="33:33">
      <c r="AG10383" s="14"/>
    </row>
    <row r="10384" spans="33:33">
      <c r="AG10384" s="14"/>
    </row>
    <row r="10385" spans="33:33">
      <c r="AG10385" s="14"/>
    </row>
    <row r="10386" spans="33:33">
      <c r="AG10386" s="14"/>
    </row>
    <row r="10387" spans="33:33">
      <c r="AG10387" s="14"/>
    </row>
    <row r="10388" spans="33:33">
      <c r="AG10388" s="14"/>
    </row>
    <row r="10389" spans="33:33">
      <c r="AG10389" s="14"/>
    </row>
    <row r="10390" spans="33:33">
      <c r="AG10390" s="14"/>
    </row>
    <row r="10391" spans="33:33">
      <c r="AG10391" s="14"/>
    </row>
    <row r="10392" spans="33:33">
      <c r="AG10392" s="14"/>
    </row>
    <row r="10393" spans="33:33">
      <c r="AG10393" s="14"/>
    </row>
    <row r="10394" spans="33:33">
      <c r="AG10394" s="14"/>
    </row>
    <row r="10395" spans="33:33">
      <c r="AG10395" s="14"/>
    </row>
    <row r="10396" spans="33:33">
      <c r="AG10396" s="14"/>
    </row>
    <row r="10397" spans="33:33">
      <c r="AG10397" s="14"/>
    </row>
    <row r="10398" spans="33:33">
      <c r="AG10398" s="14"/>
    </row>
    <row r="10399" spans="33:33">
      <c r="AG10399" s="14"/>
    </row>
    <row r="10400" spans="33:33">
      <c r="AG10400" s="14"/>
    </row>
    <row r="10401" spans="33:33">
      <c r="AG10401" s="14"/>
    </row>
    <row r="10402" spans="33:33">
      <c r="AG10402" s="14"/>
    </row>
    <row r="10403" spans="33:33">
      <c r="AG10403" s="14"/>
    </row>
    <row r="10404" spans="33:33">
      <c r="AG10404" s="14"/>
    </row>
    <row r="10405" spans="33:33">
      <c r="AG10405" s="14"/>
    </row>
    <row r="10406" spans="33:33">
      <c r="AG10406" s="14"/>
    </row>
    <row r="10407" spans="33:33">
      <c r="AG10407" s="14"/>
    </row>
    <row r="10408" spans="33:33">
      <c r="AG10408" s="14"/>
    </row>
    <row r="10409" spans="33:33">
      <c r="AG10409" s="14"/>
    </row>
    <row r="10410" spans="33:33">
      <c r="AG10410" s="14"/>
    </row>
    <row r="10411" spans="33:33">
      <c r="AG10411" s="14"/>
    </row>
    <row r="10412" spans="33:33">
      <c r="AG10412" s="14"/>
    </row>
    <row r="10413" spans="33:33">
      <c r="AG10413" s="14"/>
    </row>
    <row r="10414" spans="33:33">
      <c r="AG10414" s="14"/>
    </row>
    <row r="10415" spans="33:33">
      <c r="AG10415" s="14"/>
    </row>
    <row r="10416" spans="33:33">
      <c r="AG10416" s="14"/>
    </row>
    <row r="10417" spans="33:33">
      <c r="AG10417" s="14"/>
    </row>
    <row r="10418" spans="33:33">
      <c r="AG10418" s="14"/>
    </row>
    <row r="10419" spans="33:33">
      <c r="AG10419" s="14"/>
    </row>
    <row r="10420" spans="33:33">
      <c r="AG10420" s="14"/>
    </row>
    <row r="10421" spans="33:33">
      <c r="AG10421" s="14"/>
    </row>
    <row r="10422" spans="33:33">
      <c r="AG10422" s="14"/>
    </row>
    <row r="10423" spans="33:33">
      <c r="AG10423" s="14"/>
    </row>
    <row r="10424" spans="33:33">
      <c r="AG10424" s="14"/>
    </row>
    <row r="10425" spans="33:33">
      <c r="AG10425" s="14"/>
    </row>
    <row r="10426" spans="33:33">
      <c r="AG10426" s="14"/>
    </row>
    <row r="10427" spans="33:33">
      <c r="AG10427" s="14"/>
    </row>
    <row r="10428" spans="33:33">
      <c r="AG10428" s="14"/>
    </row>
    <row r="10429" spans="33:33">
      <c r="AG10429" s="14"/>
    </row>
    <row r="10430" spans="33:33">
      <c r="AG10430" s="14"/>
    </row>
    <row r="10431" spans="33:33">
      <c r="AG10431" s="14"/>
    </row>
    <row r="10432" spans="33:33">
      <c r="AG10432" s="14"/>
    </row>
    <row r="10433" spans="33:33">
      <c r="AG10433" s="14"/>
    </row>
    <row r="10434" spans="33:33">
      <c r="AG10434" s="14"/>
    </row>
    <row r="10435" spans="33:33">
      <c r="AG10435" s="14"/>
    </row>
    <row r="10436" spans="33:33">
      <c r="AG10436" s="14"/>
    </row>
    <row r="10437" spans="33:33">
      <c r="AG10437" s="14"/>
    </row>
    <row r="10438" spans="33:33">
      <c r="AG10438" s="14"/>
    </row>
    <row r="10439" spans="33:33">
      <c r="AG10439" s="14"/>
    </row>
    <row r="10440" spans="33:33">
      <c r="AG10440" s="14"/>
    </row>
    <row r="10441" spans="33:33">
      <c r="AG10441" s="14"/>
    </row>
    <row r="10442" spans="33:33">
      <c r="AG10442" s="14"/>
    </row>
    <row r="10443" spans="33:33">
      <c r="AG10443" s="14"/>
    </row>
    <row r="10444" spans="33:33">
      <c r="AG10444" s="14"/>
    </row>
    <row r="10445" spans="33:33">
      <c r="AG10445" s="14"/>
    </row>
    <row r="10446" spans="33:33">
      <c r="AG10446" s="14"/>
    </row>
    <row r="10447" spans="33:33">
      <c r="AG10447" s="14"/>
    </row>
    <row r="10448" spans="33:33">
      <c r="AG10448" s="14"/>
    </row>
    <row r="10449" spans="33:33">
      <c r="AG10449" s="14"/>
    </row>
    <row r="10450" spans="33:33">
      <c r="AG10450" s="14"/>
    </row>
    <row r="10451" spans="33:33">
      <c r="AG10451" s="14"/>
    </row>
    <row r="10452" spans="33:33">
      <c r="AG10452" s="14"/>
    </row>
    <row r="10453" spans="33:33">
      <c r="AG10453" s="14"/>
    </row>
    <row r="10454" spans="33:33">
      <c r="AG10454" s="14"/>
    </row>
    <row r="10455" spans="33:33">
      <c r="AG10455" s="14"/>
    </row>
    <row r="10456" spans="33:33">
      <c r="AG10456" s="14"/>
    </row>
    <row r="10457" spans="33:33">
      <c r="AG10457" s="14"/>
    </row>
    <row r="10458" spans="33:33">
      <c r="AG10458" s="14"/>
    </row>
    <row r="10459" spans="33:33">
      <c r="AG10459" s="14"/>
    </row>
    <row r="10460" spans="33:33">
      <c r="AG10460" s="14"/>
    </row>
    <row r="10461" spans="33:33">
      <c r="AG10461" s="14"/>
    </row>
    <row r="10462" spans="33:33">
      <c r="AG10462" s="14"/>
    </row>
    <row r="10463" spans="33:33">
      <c r="AG10463" s="14"/>
    </row>
    <row r="10464" spans="33:33">
      <c r="AG10464" s="14"/>
    </row>
    <row r="10465" spans="33:33">
      <c r="AG10465" s="14"/>
    </row>
    <row r="10466" spans="33:33">
      <c r="AG10466" s="14"/>
    </row>
    <row r="10467" spans="33:33">
      <c r="AG10467" s="14"/>
    </row>
    <row r="10468" spans="33:33">
      <c r="AG10468" s="14"/>
    </row>
    <row r="10469" spans="33:33">
      <c r="AG10469" s="14"/>
    </row>
    <row r="10470" spans="33:33">
      <c r="AG10470" s="14"/>
    </row>
    <row r="10471" spans="33:33">
      <c r="AG10471" s="14"/>
    </row>
    <row r="10472" spans="33:33">
      <c r="AG10472" s="14"/>
    </row>
    <row r="10473" spans="33:33">
      <c r="AG10473" s="14"/>
    </row>
    <row r="10474" spans="33:33">
      <c r="AG10474" s="14"/>
    </row>
    <row r="10475" spans="33:33">
      <c r="AG10475" s="14"/>
    </row>
    <row r="10476" spans="33:33">
      <c r="AG10476" s="14"/>
    </row>
    <row r="10477" spans="33:33">
      <c r="AG10477" s="14"/>
    </row>
    <row r="10478" spans="33:33">
      <c r="AG10478" s="14"/>
    </row>
    <row r="10479" spans="33:33">
      <c r="AG10479" s="14"/>
    </row>
    <row r="10480" spans="33:33">
      <c r="AG10480" s="14"/>
    </row>
    <row r="10481" spans="33:33">
      <c r="AG10481" s="14"/>
    </row>
    <row r="10482" spans="33:33">
      <c r="AG10482" s="14"/>
    </row>
    <row r="10483" spans="33:33">
      <c r="AG10483" s="14"/>
    </row>
    <row r="10484" spans="33:33">
      <c r="AG10484" s="14"/>
    </row>
    <row r="10485" spans="33:33">
      <c r="AG10485" s="14"/>
    </row>
    <row r="10486" spans="33:33">
      <c r="AG10486" s="14"/>
    </row>
    <row r="10487" spans="33:33">
      <c r="AG10487" s="14"/>
    </row>
    <row r="10488" spans="33:33">
      <c r="AG10488" s="14"/>
    </row>
    <row r="10489" spans="33:33">
      <c r="AG10489" s="14"/>
    </row>
    <row r="10490" spans="33:33">
      <c r="AG10490" s="14"/>
    </row>
    <row r="10491" spans="33:33">
      <c r="AG10491" s="14"/>
    </row>
    <row r="10492" spans="33:33">
      <c r="AG10492" s="14"/>
    </row>
    <row r="10493" spans="33:33">
      <c r="AG10493" s="14"/>
    </row>
    <row r="10494" spans="33:33">
      <c r="AG10494" s="14"/>
    </row>
    <row r="10495" spans="33:33">
      <c r="AG10495" s="14"/>
    </row>
    <row r="10496" spans="33:33">
      <c r="AG10496" s="14"/>
    </row>
    <row r="10497" spans="33:33">
      <c r="AG10497" s="14"/>
    </row>
    <row r="10498" spans="33:33">
      <c r="AG10498" s="14"/>
    </row>
    <row r="10499" spans="33:33">
      <c r="AG10499" s="14"/>
    </row>
    <row r="10500" spans="33:33">
      <c r="AG10500" s="14"/>
    </row>
    <row r="10501" spans="33:33">
      <c r="AG10501" s="14"/>
    </row>
    <row r="10502" spans="33:33">
      <c r="AG10502" s="14"/>
    </row>
    <row r="10503" spans="33:33">
      <c r="AG10503" s="14"/>
    </row>
    <row r="10504" spans="33:33">
      <c r="AG10504" s="14"/>
    </row>
    <row r="10505" spans="33:33">
      <c r="AG10505" s="14"/>
    </row>
    <row r="10506" spans="33:33">
      <c r="AG10506" s="14"/>
    </row>
    <row r="10507" spans="33:33">
      <c r="AG10507" s="14"/>
    </row>
    <row r="10508" spans="33:33">
      <c r="AG10508" s="14"/>
    </row>
    <row r="10509" spans="33:33">
      <c r="AG10509" s="14"/>
    </row>
    <row r="10510" spans="33:33">
      <c r="AG10510" s="14"/>
    </row>
    <row r="10511" spans="33:33">
      <c r="AG10511" s="14"/>
    </row>
    <row r="10512" spans="33:33">
      <c r="AG10512" s="14"/>
    </row>
    <row r="10513" spans="33:33">
      <c r="AG10513" s="14"/>
    </row>
    <row r="10514" spans="33:33">
      <c r="AG10514" s="14"/>
    </row>
    <row r="10515" spans="33:33">
      <c r="AG10515" s="14"/>
    </row>
    <row r="10516" spans="33:33">
      <c r="AG10516" s="14"/>
    </row>
    <row r="10517" spans="33:33">
      <c r="AG10517" s="14"/>
    </row>
    <row r="10518" spans="33:33">
      <c r="AG10518" s="14"/>
    </row>
    <row r="10519" spans="33:33">
      <c r="AG10519" s="14"/>
    </row>
    <row r="10520" spans="33:33">
      <c r="AG10520" s="14"/>
    </row>
    <row r="10521" spans="33:33">
      <c r="AG10521" s="14"/>
    </row>
    <row r="10522" spans="33:33">
      <c r="AG10522" s="14"/>
    </row>
    <row r="10523" spans="33:33">
      <c r="AG10523" s="14"/>
    </row>
    <row r="10524" spans="33:33">
      <c r="AG10524" s="14"/>
    </row>
    <row r="10525" spans="33:33">
      <c r="AG10525" s="14"/>
    </row>
    <row r="10526" spans="33:33">
      <c r="AG10526" s="14"/>
    </row>
    <row r="10527" spans="33:33">
      <c r="AG10527" s="14"/>
    </row>
    <row r="10528" spans="33:33">
      <c r="AG10528" s="14"/>
    </row>
    <row r="10529" spans="33:33">
      <c r="AG10529" s="14"/>
    </row>
    <row r="10530" spans="33:33">
      <c r="AG10530" s="14"/>
    </row>
    <row r="10531" spans="33:33">
      <c r="AG10531" s="14"/>
    </row>
    <row r="10532" spans="33:33">
      <c r="AG10532" s="14"/>
    </row>
    <row r="10533" spans="33:33">
      <c r="AG10533" s="14"/>
    </row>
    <row r="10534" spans="33:33">
      <c r="AG10534" s="14"/>
    </row>
    <row r="10535" spans="33:33">
      <c r="AG10535" s="14"/>
    </row>
    <row r="10536" spans="33:33">
      <c r="AG10536" s="14"/>
    </row>
    <row r="10537" spans="33:33">
      <c r="AG10537" s="14"/>
    </row>
    <row r="10538" spans="33:33">
      <c r="AG10538" s="14"/>
    </row>
    <row r="10539" spans="33:33">
      <c r="AG10539" s="14"/>
    </row>
    <row r="10540" spans="33:33">
      <c r="AG10540" s="14"/>
    </row>
    <row r="10541" spans="33:33">
      <c r="AG10541" s="14"/>
    </row>
    <row r="10542" spans="33:33">
      <c r="AG10542" s="14"/>
    </row>
    <row r="10543" spans="33:33">
      <c r="AG10543" s="14"/>
    </row>
    <row r="10544" spans="33:33">
      <c r="AG10544" s="14"/>
    </row>
    <row r="10545" spans="33:33">
      <c r="AG10545" s="14"/>
    </row>
    <row r="10546" spans="33:33">
      <c r="AG10546" s="14"/>
    </row>
    <row r="10547" spans="33:33">
      <c r="AG10547" s="14"/>
    </row>
    <row r="10548" spans="33:33">
      <c r="AG10548" s="14"/>
    </row>
    <row r="10549" spans="33:33">
      <c r="AG10549" s="14"/>
    </row>
    <row r="10550" spans="33:33">
      <c r="AG10550" s="14"/>
    </row>
    <row r="10551" spans="33:33">
      <c r="AG10551" s="14"/>
    </row>
    <row r="10552" spans="33:33">
      <c r="AG10552" s="14"/>
    </row>
    <row r="10553" spans="33:33">
      <c r="AG10553" s="14"/>
    </row>
    <row r="10554" spans="33:33">
      <c r="AG10554" s="14"/>
    </row>
    <row r="10555" spans="33:33">
      <c r="AG10555" s="14"/>
    </row>
    <row r="10556" spans="33:33">
      <c r="AG10556" s="14"/>
    </row>
    <row r="10557" spans="33:33">
      <c r="AG10557" s="14"/>
    </row>
    <row r="10558" spans="33:33">
      <c r="AG10558" s="14"/>
    </row>
    <row r="10559" spans="33:33">
      <c r="AG10559" s="14"/>
    </row>
    <row r="10560" spans="33:33">
      <c r="AG10560" s="14"/>
    </row>
    <row r="10561" spans="33:33">
      <c r="AG10561" s="14"/>
    </row>
    <row r="10562" spans="33:33">
      <c r="AG10562" s="14"/>
    </row>
    <row r="10563" spans="33:33">
      <c r="AG10563" s="14"/>
    </row>
    <row r="10564" spans="33:33">
      <c r="AG10564" s="14"/>
    </row>
    <row r="10565" spans="33:33">
      <c r="AG10565" s="14"/>
    </row>
    <row r="10566" spans="33:33">
      <c r="AG10566" s="14"/>
    </row>
    <row r="10567" spans="33:33">
      <c r="AG10567" s="14"/>
    </row>
    <row r="10568" spans="33:33">
      <c r="AG10568" s="14"/>
    </row>
    <row r="10569" spans="33:33">
      <c r="AG10569" s="14"/>
    </row>
    <row r="10570" spans="33:33">
      <c r="AG10570" s="14"/>
    </row>
    <row r="10571" spans="33:33">
      <c r="AG10571" s="14"/>
    </row>
    <row r="10572" spans="33:33">
      <c r="AG10572" s="14"/>
    </row>
    <row r="10573" spans="33:33">
      <c r="AG10573" s="14"/>
    </row>
    <row r="10574" spans="33:33">
      <c r="AG10574" s="14"/>
    </row>
    <row r="10575" spans="33:33">
      <c r="AG10575" s="14"/>
    </row>
    <row r="10576" spans="33:33">
      <c r="AG10576" s="14"/>
    </row>
    <row r="10577" spans="33:33">
      <c r="AG10577" s="14"/>
    </row>
    <row r="10578" spans="33:33">
      <c r="AG10578" s="14"/>
    </row>
    <row r="10579" spans="33:33">
      <c r="AG10579" s="14"/>
    </row>
    <row r="10580" spans="33:33">
      <c r="AG10580" s="14"/>
    </row>
    <row r="10581" spans="33:33">
      <c r="AG10581" s="14"/>
    </row>
    <row r="10582" spans="33:33">
      <c r="AG10582" s="14"/>
    </row>
    <row r="10583" spans="33:33">
      <c r="AG10583" s="14"/>
    </row>
    <row r="10584" spans="33:33">
      <c r="AG10584" s="14"/>
    </row>
    <row r="10585" spans="33:33">
      <c r="AG10585" s="14"/>
    </row>
    <row r="10586" spans="33:33">
      <c r="AG10586" s="14"/>
    </row>
    <row r="10587" spans="33:33">
      <c r="AG10587" s="14"/>
    </row>
    <row r="10588" spans="33:33">
      <c r="AG10588" s="14"/>
    </row>
    <row r="10589" spans="33:33">
      <c r="AG10589" s="14"/>
    </row>
    <row r="10590" spans="33:33">
      <c r="AG10590" s="14"/>
    </row>
    <row r="10591" spans="33:33">
      <c r="AG10591" s="14"/>
    </row>
    <row r="10592" spans="33:33">
      <c r="AG10592" s="14"/>
    </row>
    <row r="10593" spans="33:33">
      <c r="AG10593" s="14"/>
    </row>
    <row r="10594" spans="33:33">
      <c r="AG10594" s="14"/>
    </row>
    <row r="10595" spans="33:33">
      <c r="AG10595" s="14"/>
    </row>
    <row r="10596" spans="33:33">
      <c r="AG10596" s="14"/>
    </row>
    <row r="10597" spans="33:33">
      <c r="AG10597" s="14"/>
    </row>
    <row r="10598" spans="33:33">
      <c r="AG10598" s="14"/>
    </row>
    <row r="10599" spans="33:33">
      <c r="AG10599" s="14"/>
    </row>
    <row r="10600" spans="33:33">
      <c r="AG10600" s="14"/>
    </row>
    <row r="10601" spans="33:33">
      <c r="AG10601" s="14"/>
    </row>
    <row r="10602" spans="33:33">
      <c r="AG10602" s="14"/>
    </row>
    <row r="10603" spans="33:33">
      <c r="AG10603" s="14"/>
    </row>
    <row r="10604" spans="33:33">
      <c r="AG10604" s="14"/>
    </row>
    <row r="10605" spans="33:33">
      <c r="AG10605" s="14"/>
    </row>
    <row r="10606" spans="33:33">
      <c r="AG10606" s="14"/>
    </row>
    <row r="10607" spans="33:33">
      <c r="AG10607" s="14"/>
    </row>
    <row r="10608" spans="33:33">
      <c r="AG10608" s="14"/>
    </row>
    <row r="10609" spans="33:33">
      <c r="AG10609" s="14"/>
    </row>
    <row r="10610" spans="33:33">
      <c r="AG10610" s="14"/>
    </row>
    <row r="10611" spans="33:33">
      <c r="AG10611" s="14"/>
    </row>
    <row r="10612" spans="33:33">
      <c r="AG10612" s="14"/>
    </row>
    <row r="10613" spans="33:33">
      <c r="AG10613" s="14"/>
    </row>
    <row r="10614" spans="33:33">
      <c r="AG10614" s="14"/>
    </row>
    <row r="10615" spans="33:33">
      <c r="AG10615" s="14"/>
    </row>
    <row r="10616" spans="33:33">
      <c r="AG10616" s="14"/>
    </row>
    <row r="10617" spans="33:33">
      <c r="AG10617" s="14"/>
    </row>
    <row r="10618" spans="33:33">
      <c r="AG10618" s="14"/>
    </row>
    <row r="10619" spans="33:33">
      <c r="AG10619" s="14"/>
    </row>
    <row r="10620" spans="33:33">
      <c r="AG10620" s="14"/>
    </row>
    <row r="10621" spans="33:33">
      <c r="AG10621" s="14"/>
    </row>
    <row r="10622" spans="33:33">
      <c r="AG10622" s="14"/>
    </row>
    <row r="10623" spans="33:33">
      <c r="AG10623" s="14"/>
    </row>
    <row r="10624" spans="33:33">
      <c r="AG10624" s="14"/>
    </row>
    <row r="10625" spans="33:33">
      <c r="AG10625" s="14"/>
    </row>
    <row r="10626" spans="33:33">
      <c r="AG10626" s="14"/>
    </row>
    <row r="10627" spans="33:33">
      <c r="AG10627" s="14"/>
    </row>
    <row r="10628" spans="33:33">
      <c r="AG10628" s="14"/>
    </row>
    <row r="10629" spans="33:33">
      <c r="AG10629" s="14"/>
    </row>
    <row r="10630" spans="33:33">
      <c r="AG10630" s="14"/>
    </row>
    <row r="10631" spans="33:33">
      <c r="AG10631" s="14"/>
    </row>
    <row r="10632" spans="33:33">
      <c r="AG10632" s="14"/>
    </row>
    <row r="10633" spans="33:33">
      <c r="AG10633" s="14"/>
    </row>
    <row r="10634" spans="33:33">
      <c r="AG10634" s="14"/>
    </row>
    <row r="10635" spans="33:33">
      <c r="AG10635" s="14"/>
    </row>
    <row r="10636" spans="33:33">
      <c r="AG10636" s="14"/>
    </row>
    <row r="10637" spans="33:33">
      <c r="AG10637" s="14"/>
    </row>
    <row r="10638" spans="33:33">
      <c r="AG10638" s="14"/>
    </row>
    <row r="10639" spans="33:33">
      <c r="AG10639" s="14"/>
    </row>
    <row r="10640" spans="33:33">
      <c r="AG10640" s="14"/>
    </row>
    <row r="10641" spans="33:33">
      <c r="AG10641" s="14"/>
    </row>
    <row r="10642" spans="33:33">
      <c r="AG10642" s="14"/>
    </row>
    <row r="10643" spans="33:33">
      <c r="AG10643" s="14"/>
    </row>
    <row r="10644" spans="33:33">
      <c r="AG10644" s="14"/>
    </row>
    <row r="10645" spans="33:33">
      <c r="AG10645" s="14"/>
    </row>
    <row r="10646" spans="33:33">
      <c r="AG10646" s="14"/>
    </row>
    <row r="10647" spans="33:33">
      <c r="AG10647" s="14"/>
    </row>
    <row r="10648" spans="33:33">
      <c r="AG10648" s="14"/>
    </row>
    <row r="10649" spans="33:33">
      <c r="AG10649" s="14"/>
    </row>
    <row r="10650" spans="33:33">
      <c r="AG10650" s="14"/>
    </row>
    <row r="10651" spans="33:33">
      <c r="AG10651" s="14"/>
    </row>
    <row r="10652" spans="33:33">
      <c r="AG10652" s="14"/>
    </row>
    <row r="10653" spans="33:33">
      <c r="AG10653" s="14"/>
    </row>
    <row r="10654" spans="33:33">
      <c r="AG10654" s="14"/>
    </row>
    <row r="10655" spans="33:33">
      <c r="AG10655" s="14"/>
    </row>
    <row r="10656" spans="33:33">
      <c r="AG10656" s="14"/>
    </row>
    <row r="10657" spans="33:33">
      <c r="AG10657" s="14"/>
    </row>
    <row r="10658" spans="33:33">
      <c r="AG10658" s="14"/>
    </row>
    <row r="10659" spans="33:33">
      <c r="AG10659" s="14"/>
    </row>
    <row r="10660" spans="33:33">
      <c r="AG10660" s="14"/>
    </row>
    <row r="10661" spans="33:33">
      <c r="AG10661" s="14"/>
    </row>
    <row r="10662" spans="33:33">
      <c r="AG10662" s="14"/>
    </row>
    <row r="10663" spans="33:33">
      <c r="AG10663" s="14"/>
    </row>
    <row r="10664" spans="33:33">
      <c r="AG10664" s="14"/>
    </row>
    <row r="10665" spans="33:33">
      <c r="AG10665" s="14"/>
    </row>
    <row r="10666" spans="33:33">
      <c r="AG10666" s="14"/>
    </row>
    <row r="10667" spans="33:33">
      <c r="AG10667" s="14"/>
    </row>
    <row r="10668" spans="33:33">
      <c r="AG10668" s="14"/>
    </row>
    <row r="10669" spans="33:33">
      <c r="AG10669" s="14"/>
    </row>
    <row r="10670" spans="33:33">
      <c r="AG10670" s="14"/>
    </row>
    <row r="10671" spans="33:33">
      <c r="AG10671" s="14"/>
    </row>
    <row r="10672" spans="33:33">
      <c r="AG10672" s="14"/>
    </row>
    <row r="10673" spans="33:33">
      <c r="AG10673" s="14"/>
    </row>
    <row r="10674" spans="33:33">
      <c r="AG10674" s="14"/>
    </row>
    <row r="10675" spans="33:33">
      <c r="AG10675" s="14"/>
    </row>
    <row r="10676" spans="33:33">
      <c r="AG10676" s="14"/>
    </row>
    <row r="10677" spans="33:33">
      <c r="AG10677" s="14"/>
    </row>
    <row r="10678" spans="33:33">
      <c r="AG10678" s="14"/>
    </row>
    <row r="10679" spans="33:33">
      <c r="AG10679" s="14"/>
    </row>
    <row r="10680" spans="33:33">
      <c r="AG10680" s="14"/>
    </row>
    <row r="10681" spans="33:33">
      <c r="AG10681" s="14"/>
    </row>
    <row r="10682" spans="33:33">
      <c r="AG10682" s="14"/>
    </row>
    <row r="10683" spans="33:33">
      <c r="AG10683" s="14"/>
    </row>
    <row r="10684" spans="33:33">
      <c r="AG10684" s="14"/>
    </row>
    <row r="10685" spans="33:33">
      <c r="AG10685" s="14"/>
    </row>
    <row r="10686" spans="33:33">
      <c r="AG10686" s="14"/>
    </row>
    <row r="10687" spans="33:33">
      <c r="AG10687" s="14"/>
    </row>
    <row r="10688" spans="33:33">
      <c r="AG10688" s="14"/>
    </row>
    <row r="10689" spans="33:33">
      <c r="AG10689" s="14"/>
    </row>
    <row r="10690" spans="33:33">
      <c r="AG10690" s="14"/>
    </row>
    <row r="10691" spans="33:33">
      <c r="AG10691" s="14"/>
    </row>
    <row r="10692" spans="33:33">
      <c r="AG10692" s="14"/>
    </row>
    <row r="10693" spans="33:33">
      <c r="AG10693" s="14"/>
    </row>
    <row r="10694" spans="33:33">
      <c r="AG10694" s="14"/>
    </row>
    <row r="10695" spans="33:33">
      <c r="AG10695" s="14"/>
    </row>
    <row r="10696" spans="33:33">
      <c r="AG10696" s="14"/>
    </row>
    <row r="10697" spans="33:33">
      <c r="AG10697" s="14"/>
    </row>
    <row r="10698" spans="33:33">
      <c r="AG10698" s="14"/>
    </row>
    <row r="10699" spans="33:33">
      <c r="AG10699" s="14"/>
    </row>
    <row r="10700" spans="33:33">
      <c r="AG10700" s="14"/>
    </row>
    <row r="10701" spans="33:33">
      <c r="AG10701" s="14"/>
    </row>
    <row r="10702" spans="33:33">
      <c r="AG10702" s="14"/>
    </row>
    <row r="10703" spans="33:33">
      <c r="AG10703" s="14"/>
    </row>
    <row r="10704" spans="33:33">
      <c r="AG10704" s="14"/>
    </row>
    <row r="10705" spans="33:33">
      <c r="AG10705" s="14"/>
    </row>
    <row r="10706" spans="33:33">
      <c r="AG10706" s="14"/>
    </row>
    <row r="10707" spans="33:33">
      <c r="AG10707" s="14"/>
    </row>
    <row r="10708" spans="33:33">
      <c r="AG10708" s="14"/>
    </row>
    <row r="10709" spans="33:33">
      <c r="AG10709" s="14"/>
    </row>
    <row r="10710" spans="33:33">
      <c r="AG10710" s="14"/>
    </row>
    <row r="10711" spans="33:33">
      <c r="AG10711" s="14"/>
    </row>
    <row r="10712" spans="33:33">
      <c r="AG10712" s="14"/>
    </row>
    <row r="10713" spans="33:33">
      <c r="AG10713" s="14"/>
    </row>
    <row r="10714" spans="33:33">
      <c r="AG10714" s="14"/>
    </row>
    <row r="10715" spans="33:33">
      <c r="AG10715" s="14"/>
    </row>
    <row r="10716" spans="33:33">
      <c r="AG10716" s="14"/>
    </row>
    <row r="10717" spans="33:33">
      <c r="AG10717" s="14"/>
    </row>
    <row r="10718" spans="33:33">
      <c r="AG10718" s="14"/>
    </row>
    <row r="10719" spans="33:33">
      <c r="AG10719" s="14"/>
    </row>
    <row r="10720" spans="33:33">
      <c r="AG10720" s="14"/>
    </row>
    <row r="10721" spans="33:33">
      <c r="AG10721" s="14"/>
    </row>
    <row r="10722" spans="33:33">
      <c r="AG10722" s="14"/>
    </row>
    <row r="10723" spans="33:33">
      <c r="AG10723" s="14"/>
    </row>
    <row r="10724" spans="33:33">
      <c r="AG10724" s="14"/>
    </row>
    <row r="10725" spans="33:33">
      <c r="AG10725" s="14"/>
    </row>
    <row r="10726" spans="33:33">
      <c r="AG10726" s="14"/>
    </row>
    <row r="10727" spans="33:33">
      <c r="AG10727" s="14"/>
    </row>
    <row r="10728" spans="33:33">
      <c r="AG10728" s="14"/>
    </row>
    <row r="10729" spans="33:33">
      <c r="AG10729" s="14"/>
    </row>
    <row r="10730" spans="33:33">
      <c r="AG10730" s="14"/>
    </row>
    <row r="10731" spans="33:33">
      <c r="AG10731" s="14"/>
    </row>
    <row r="10732" spans="33:33">
      <c r="AG10732" s="14"/>
    </row>
    <row r="10733" spans="33:33">
      <c r="AG10733" s="14"/>
    </row>
    <row r="10734" spans="33:33">
      <c r="AG10734" s="14"/>
    </row>
    <row r="10735" spans="33:33">
      <c r="AG10735" s="14"/>
    </row>
    <row r="10736" spans="33:33">
      <c r="AG10736" s="14"/>
    </row>
    <row r="10737" spans="33:33">
      <c r="AG10737" s="14"/>
    </row>
    <row r="10738" spans="33:33">
      <c r="AG10738" s="14"/>
    </row>
    <row r="10739" spans="33:33">
      <c r="AG10739" s="14"/>
    </row>
    <row r="10740" spans="33:33">
      <c r="AG10740" s="14"/>
    </row>
    <row r="10741" spans="33:33">
      <c r="AG10741" s="14"/>
    </row>
    <row r="10742" spans="33:33">
      <c r="AG10742" s="14"/>
    </row>
    <row r="10743" spans="33:33">
      <c r="AG10743" s="14"/>
    </row>
    <row r="10744" spans="33:33">
      <c r="AG10744" s="14"/>
    </row>
    <row r="10745" spans="33:33">
      <c r="AG10745" s="14"/>
    </row>
    <row r="10746" spans="33:33">
      <c r="AG10746" s="14"/>
    </row>
    <row r="10747" spans="33:33">
      <c r="AG10747" s="14"/>
    </row>
    <row r="10748" spans="33:33">
      <c r="AG10748" s="14"/>
    </row>
    <row r="10749" spans="33:33">
      <c r="AG10749" s="14"/>
    </row>
    <row r="10750" spans="33:33">
      <c r="AG10750" s="14"/>
    </row>
    <row r="10751" spans="33:33">
      <c r="AG10751" s="14"/>
    </row>
    <row r="10752" spans="33:33">
      <c r="AG10752" s="14"/>
    </row>
    <row r="10753" spans="33:33">
      <c r="AG10753" s="14"/>
    </row>
    <row r="10754" spans="33:33">
      <c r="AG10754" s="14"/>
    </row>
    <row r="10755" spans="33:33">
      <c r="AG10755" s="14"/>
    </row>
    <row r="10756" spans="33:33">
      <c r="AG10756" s="14"/>
    </row>
    <row r="10757" spans="33:33">
      <c r="AG10757" s="14"/>
    </row>
    <row r="10758" spans="33:33">
      <c r="AG10758" s="14"/>
    </row>
    <row r="10759" spans="33:33">
      <c r="AG10759" s="14"/>
    </row>
    <row r="10760" spans="33:33">
      <c r="AG10760" s="14"/>
    </row>
    <row r="10761" spans="33:33">
      <c r="AG10761" s="14"/>
    </row>
    <row r="10762" spans="33:33">
      <c r="AG10762" s="14"/>
    </row>
    <row r="10763" spans="33:33">
      <c r="AG10763" s="14"/>
    </row>
    <row r="10764" spans="33:33">
      <c r="AG10764" s="14"/>
    </row>
    <row r="10765" spans="33:33">
      <c r="AG10765" s="14"/>
    </row>
    <row r="10766" spans="33:33">
      <c r="AG10766" s="14"/>
    </row>
    <row r="10767" spans="33:33">
      <c r="AG10767" s="14"/>
    </row>
    <row r="10768" spans="33:33">
      <c r="AG10768" s="14"/>
    </row>
    <row r="10769" spans="33:33">
      <c r="AG10769" s="14"/>
    </row>
    <row r="10770" spans="33:33">
      <c r="AG10770" s="14"/>
    </row>
    <row r="10771" spans="33:33">
      <c r="AG10771" s="14"/>
    </row>
    <row r="10772" spans="33:33">
      <c r="AG10772" s="14"/>
    </row>
    <row r="10773" spans="33:33">
      <c r="AG10773" s="14"/>
    </row>
    <row r="10774" spans="33:33">
      <c r="AG10774" s="14"/>
    </row>
    <row r="10775" spans="33:33">
      <c r="AG10775" s="14"/>
    </row>
    <row r="10776" spans="33:33">
      <c r="AG10776" s="14"/>
    </row>
    <row r="10777" spans="33:33">
      <c r="AG10777" s="14"/>
    </row>
    <row r="10778" spans="33:33">
      <c r="AG10778" s="14"/>
    </row>
    <row r="10779" spans="33:33">
      <c r="AG10779" s="14"/>
    </row>
    <row r="10780" spans="33:33">
      <c r="AG10780" s="14"/>
    </row>
    <row r="10781" spans="33:33">
      <c r="AG10781" s="14"/>
    </row>
    <row r="10782" spans="33:33">
      <c r="AG10782" s="14"/>
    </row>
    <row r="10783" spans="33:33">
      <c r="AG10783" s="14"/>
    </row>
    <row r="10784" spans="33:33">
      <c r="AG10784" s="14"/>
    </row>
    <row r="10785" spans="33:33">
      <c r="AG10785" s="14"/>
    </row>
    <row r="10786" spans="33:33">
      <c r="AG10786" s="14"/>
    </row>
    <row r="10787" spans="33:33">
      <c r="AG10787" s="14"/>
    </row>
    <row r="10788" spans="33:33">
      <c r="AG10788" s="14"/>
    </row>
    <row r="10789" spans="33:33">
      <c r="AG10789" s="14"/>
    </row>
    <row r="10790" spans="33:33">
      <c r="AG10790" s="14"/>
    </row>
    <row r="10791" spans="33:33">
      <c r="AG10791" s="14"/>
    </row>
    <row r="10792" spans="33:33">
      <c r="AG10792" s="14"/>
    </row>
    <row r="10793" spans="33:33">
      <c r="AG10793" s="14"/>
    </row>
    <row r="10794" spans="33:33">
      <c r="AG10794" s="14"/>
    </row>
    <row r="10795" spans="33:33">
      <c r="AG10795" s="14"/>
    </row>
    <row r="10796" spans="33:33">
      <c r="AG10796" s="14"/>
    </row>
    <row r="10797" spans="33:33">
      <c r="AG10797" s="14"/>
    </row>
    <row r="10798" spans="33:33">
      <c r="AG10798" s="14"/>
    </row>
    <row r="10799" spans="33:33">
      <c r="AG10799" s="14"/>
    </row>
    <row r="10800" spans="33:33">
      <c r="AG10800" s="14"/>
    </row>
    <row r="10801" spans="33:33">
      <c r="AG10801" s="14"/>
    </row>
    <row r="10802" spans="33:33">
      <c r="AG10802" s="14"/>
    </row>
    <row r="10803" spans="33:33">
      <c r="AG10803" s="14"/>
    </row>
    <row r="10804" spans="33:33">
      <c r="AG10804" s="14"/>
    </row>
    <row r="10805" spans="33:33">
      <c r="AG10805" s="14"/>
    </row>
    <row r="10806" spans="33:33">
      <c r="AG10806" s="14"/>
    </row>
    <row r="10807" spans="33:33">
      <c r="AG10807" s="14"/>
    </row>
    <row r="10808" spans="33:33">
      <c r="AG10808" s="14"/>
    </row>
    <row r="10809" spans="33:33">
      <c r="AG10809" s="14"/>
    </row>
    <row r="10810" spans="33:33">
      <c r="AG10810" s="14"/>
    </row>
    <row r="10811" spans="33:33">
      <c r="AG10811" s="14"/>
    </row>
    <row r="10812" spans="33:33">
      <c r="AG10812" s="14"/>
    </row>
    <row r="10813" spans="33:33">
      <c r="AG10813" s="14"/>
    </row>
    <row r="10814" spans="33:33">
      <c r="AG10814" s="14"/>
    </row>
    <row r="10815" spans="33:33">
      <c r="AG10815" s="14"/>
    </row>
    <row r="10816" spans="33:33">
      <c r="AG10816" s="14"/>
    </row>
    <row r="10817" spans="33:33">
      <c r="AG10817" s="14"/>
    </row>
    <row r="10818" spans="33:33">
      <c r="AG10818" s="14"/>
    </row>
    <row r="10819" spans="33:33">
      <c r="AG10819" s="14"/>
    </row>
    <row r="10820" spans="33:33">
      <c r="AG10820" s="14"/>
    </row>
    <row r="10821" spans="33:33">
      <c r="AG10821" s="14"/>
    </row>
    <row r="10822" spans="33:33">
      <c r="AG10822" s="14"/>
    </row>
    <row r="10823" spans="33:33">
      <c r="AG10823" s="14"/>
    </row>
    <row r="10824" spans="33:33">
      <c r="AG10824" s="14"/>
    </row>
    <row r="10825" spans="33:33">
      <c r="AG10825" s="14"/>
    </row>
    <row r="10826" spans="33:33">
      <c r="AG10826" s="14"/>
    </row>
    <row r="10827" spans="33:33">
      <c r="AG10827" s="14"/>
    </row>
    <row r="10828" spans="33:33">
      <c r="AG10828" s="14"/>
    </row>
    <row r="10829" spans="33:33">
      <c r="AG10829" s="14"/>
    </row>
    <row r="10830" spans="33:33">
      <c r="AG10830" s="14"/>
    </row>
    <row r="10831" spans="33:33">
      <c r="AG10831" s="14"/>
    </row>
    <row r="10832" spans="33:33">
      <c r="AG10832" s="14"/>
    </row>
    <row r="10833" spans="33:33">
      <c r="AG10833" s="14"/>
    </row>
    <row r="10834" spans="33:33">
      <c r="AG10834" s="14"/>
    </row>
    <row r="10835" spans="33:33">
      <c r="AG10835" s="14"/>
    </row>
    <row r="10836" spans="33:33">
      <c r="AG10836" s="14"/>
    </row>
    <row r="10837" spans="33:33">
      <c r="AG10837" s="14"/>
    </row>
    <row r="10838" spans="33:33">
      <c r="AG10838" s="14"/>
    </row>
    <row r="10839" spans="33:33">
      <c r="AG10839" s="14"/>
    </row>
    <row r="10840" spans="33:33">
      <c r="AG10840" s="14"/>
    </row>
    <row r="10841" spans="33:33">
      <c r="AG10841" s="14"/>
    </row>
    <row r="10842" spans="33:33">
      <c r="AG10842" s="14"/>
    </row>
    <row r="10843" spans="33:33">
      <c r="AG10843" s="14"/>
    </row>
    <row r="10844" spans="33:33">
      <c r="AG10844" s="14"/>
    </row>
    <row r="10845" spans="33:33">
      <c r="AG10845" s="14"/>
    </row>
    <row r="10846" spans="33:33">
      <c r="AG10846" s="14"/>
    </row>
    <row r="10847" spans="33:33">
      <c r="AG10847" s="14"/>
    </row>
    <row r="10848" spans="33:33">
      <c r="AG10848" s="14"/>
    </row>
    <row r="10849" spans="33:33">
      <c r="AG10849" s="14"/>
    </row>
    <row r="10850" spans="33:33">
      <c r="AG10850" s="14"/>
    </row>
    <row r="10851" spans="33:33">
      <c r="AG10851" s="14"/>
    </row>
    <row r="10852" spans="33:33">
      <c r="AG10852" s="14"/>
    </row>
    <row r="10853" spans="33:33">
      <c r="AG10853" s="14"/>
    </row>
    <row r="10854" spans="33:33">
      <c r="AG10854" s="14"/>
    </row>
    <row r="10855" spans="33:33">
      <c r="AG10855" s="14"/>
    </row>
    <row r="10856" spans="33:33">
      <c r="AG10856" s="14"/>
    </row>
    <row r="10857" spans="33:33">
      <c r="AG10857" s="14"/>
    </row>
    <row r="10858" spans="33:33">
      <c r="AG10858" s="14"/>
    </row>
    <row r="10859" spans="33:33">
      <c r="AG10859" s="14"/>
    </row>
    <row r="10860" spans="33:33">
      <c r="AG10860" s="14"/>
    </row>
    <row r="10861" spans="33:33">
      <c r="AG10861" s="14"/>
    </row>
    <row r="10862" spans="33:33">
      <c r="AG10862" s="14"/>
    </row>
    <row r="10863" spans="33:33">
      <c r="AG10863" s="14"/>
    </row>
    <row r="10864" spans="33:33">
      <c r="AG10864" s="14"/>
    </row>
    <row r="10865" spans="33:33">
      <c r="AG10865" s="14"/>
    </row>
    <row r="10866" spans="33:33">
      <c r="AG10866" s="14"/>
    </row>
    <row r="10867" spans="33:33">
      <c r="AG10867" s="14"/>
    </row>
    <row r="10868" spans="33:33">
      <c r="AG10868" s="14"/>
    </row>
    <row r="10869" spans="33:33">
      <c r="AG10869" s="14"/>
    </row>
    <row r="10870" spans="33:33">
      <c r="AG10870" s="14"/>
    </row>
    <row r="10871" spans="33:33">
      <c r="AG10871" s="14"/>
    </row>
    <row r="10872" spans="33:33">
      <c r="AG10872" s="14"/>
    </row>
    <row r="10873" spans="33:33">
      <c r="AG10873" s="14"/>
    </row>
    <row r="10874" spans="33:33">
      <c r="AG10874" s="14"/>
    </row>
    <row r="10875" spans="33:33">
      <c r="AG10875" s="14"/>
    </row>
    <row r="10876" spans="33:33">
      <c r="AG10876" s="14"/>
    </row>
    <row r="10877" spans="33:33">
      <c r="AG10877" s="14"/>
    </row>
    <row r="10878" spans="33:33">
      <c r="AG10878" s="14"/>
    </row>
    <row r="10879" spans="33:33">
      <c r="AG10879" s="14"/>
    </row>
    <row r="10880" spans="33:33">
      <c r="AG10880" s="14"/>
    </row>
    <row r="10881" spans="33:33">
      <c r="AG10881" s="14"/>
    </row>
    <row r="10882" spans="33:33">
      <c r="AG10882" s="14"/>
    </row>
    <row r="10883" spans="33:33">
      <c r="AG10883" s="14"/>
    </row>
    <row r="10884" spans="33:33">
      <c r="AG10884" s="14"/>
    </row>
    <row r="10885" spans="33:33">
      <c r="AG10885" s="14"/>
    </row>
    <row r="10886" spans="33:33">
      <c r="AG10886" s="14"/>
    </row>
    <row r="10887" spans="33:33">
      <c r="AG10887" s="14"/>
    </row>
    <row r="10888" spans="33:33">
      <c r="AG10888" s="14"/>
    </row>
    <row r="10889" spans="33:33">
      <c r="AG10889" s="14"/>
    </row>
    <row r="10890" spans="33:33">
      <c r="AG10890" s="14"/>
    </row>
    <row r="10891" spans="33:33">
      <c r="AG10891" s="14"/>
    </row>
    <row r="10892" spans="33:33">
      <c r="AG10892" s="14"/>
    </row>
    <row r="10893" spans="33:33">
      <c r="AG10893" s="14"/>
    </row>
    <row r="10894" spans="33:33">
      <c r="AG10894" s="14"/>
    </row>
    <row r="10895" spans="33:33">
      <c r="AG10895" s="14"/>
    </row>
    <row r="10896" spans="33:33">
      <c r="AG10896" s="14"/>
    </row>
    <row r="10897" spans="33:33">
      <c r="AG10897" s="14"/>
    </row>
    <row r="10898" spans="33:33">
      <c r="AG10898" s="14"/>
    </row>
    <row r="10899" spans="33:33">
      <c r="AG10899" s="14"/>
    </row>
    <row r="10900" spans="33:33">
      <c r="AG10900" s="14"/>
    </row>
    <row r="10901" spans="33:33">
      <c r="AG10901" s="14"/>
    </row>
    <row r="10902" spans="33:33">
      <c r="AG10902" s="14"/>
    </row>
    <row r="10903" spans="33:33">
      <c r="AG10903" s="14"/>
    </row>
    <row r="10904" spans="33:33">
      <c r="AG10904" s="14"/>
    </row>
    <row r="10905" spans="33:33">
      <c r="AG10905" s="14"/>
    </row>
    <row r="10906" spans="33:33">
      <c r="AG10906" s="14"/>
    </row>
    <row r="10907" spans="33:33">
      <c r="AG10907" s="14"/>
    </row>
    <row r="10908" spans="33:33">
      <c r="AG10908" s="14"/>
    </row>
    <row r="10909" spans="33:33">
      <c r="AG10909" s="14"/>
    </row>
    <row r="10910" spans="33:33">
      <c r="AG10910" s="14"/>
    </row>
    <row r="10911" spans="33:33">
      <c r="AG10911" s="14"/>
    </row>
    <row r="10912" spans="33:33">
      <c r="AG10912" s="14"/>
    </row>
    <row r="10913" spans="33:33">
      <c r="AG10913" s="14"/>
    </row>
    <row r="10914" spans="33:33">
      <c r="AG10914" s="14"/>
    </row>
    <row r="10915" spans="33:33">
      <c r="AG10915" s="14"/>
    </row>
    <row r="10916" spans="33:33">
      <c r="AG10916" s="14"/>
    </row>
    <row r="10917" spans="33:33">
      <c r="AG10917" s="14"/>
    </row>
    <row r="10918" spans="33:33">
      <c r="AG10918" s="14"/>
    </row>
    <row r="10919" spans="33:33">
      <c r="AG10919" s="14"/>
    </row>
    <row r="10920" spans="33:33">
      <c r="AG10920" s="14"/>
    </row>
    <row r="10921" spans="33:33">
      <c r="AG10921" s="14"/>
    </row>
    <row r="10922" spans="33:33">
      <c r="AG10922" s="14"/>
    </row>
    <row r="10923" spans="33:33">
      <c r="AG10923" s="14"/>
    </row>
    <row r="10924" spans="33:33">
      <c r="AG10924" s="14"/>
    </row>
    <row r="10925" spans="33:33">
      <c r="AG10925" s="14"/>
    </row>
    <row r="10926" spans="33:33">
      <c r="AG10926" s="14"/>
    </row>
    <row r="10927" spans="33:33">
      <c r="AG10927" s="14"/>
    </row>
    <row r="10928" spans="33:33">
      <c r="AG10928" s="14"/>
    </row>
    <row r="10929" spans="33:33">
      <c r="AG10929" s="14"/>
    </row>
    <row r="10930" spans="33:33">
      <c r="AG10930" s="14"/>
    </row>
    <row r="10931" spans="33:33">
      <c r="AG10931" s="14"/>
    </row>
    <row r="10932" spans="33:33">
      <c r="AG10932" s="14"/>
    </row>
    <row r="10933" spans="33:33">
      <c r="AG10933" s="14"/>
    </row>
    <row r="10934" spans="33:33">
      <c r="AG10934" s="14"/>
    </row>
    <row r="10935" spans="33:33">
      <c r="AG10935" s="14"/>
    </row>
    <row r="10936" spans="33:33">
      <c r="AG10936" s="14"/>
    </row>
    <row r="10937" spans="33:33">
      <c r="AG10937" s="14"/>
    </row>
    <row r="10938" spans="33:33">
      <c r="AG10938" s="14"/>
    </row>
    <row r="10939" spans="33:33">
      <c r="AG10939" s="14"/>
    </row>
    <row r="10940" spans="33:33">
      <c r="AG10940" s="14"/>
    </row>
    <row r="10941" spans="33:33">
      <c r="AG10941" s="14"/>
    </row>
    <row r="10942" spans="33:33">
      <c r="AG10942" s="14"/>
    </row>
    <row r="10943" spans="33:33">
      <c r="AG10943" s="14"/>
    </row>
    <row r="10944" spans="33:33">
      <c r="AG10944" s="14"/>
    </row>
    <row r="10945" spans="33:33">
      <c r="AG10945" s="14"/>
    </row>
    <row r="10946" spans="33:33">
      <c r="AG10946" s="14"/>
    </row>
    <row r="10947" spans="33:33">
      <c r="AG10947" s="14"/>
    </row>
    <row r="10948" spans="33:33">
      <c r="AG10948" s="14"/>
    </row>
    <row r="10949" spans="33:33">
      <c r="AG10949" s="14"/>
    </row>
    <row r="10950" spans="33:33">
      <c r="AG10950" s="14"/>
    </row>
    <row r="10951" spans="33:33">
      <c r="AG10951" s="14"/>
    </row>
    <row r="10952" spans="33:33">
      <c r="AG10952" s="14"/>
    </row>
    <row r="10953" spans="33:33">
      <c r="AG10953" s="14"/>
    </row>
    <row r="10954" spans="33:33">
      <c r="AG10954" s="14"/>
    </row>
    <row r="10955" spans="33:33">
      <c r="AG10955" s="14"/>
    </row>
    <row r="10956" spans="33:33">
      <c r="AG10956" s="14"/>
    </row>
    <row r="10957" spans="33:33">
      <c r="AG10957" s="14"/>
    </row>
    <row r="10958" spans="33:33">
      <c r="AG10958" s="14"/>
    </row>
    <row r="10959" spans="33:33">
      <c r="AG10959" s="14"/>
    </row>
    <row r="10960" spans="33:33">
      <c r="AG10960" s="14"/>
    </row>
    <row r="10961" spans="33:33">
      <c r="AG10961" s="14"/>
    </row>
    <row r="10962" spans="33:33">
      <c r="AG10962" s="14"/>
    </row>
    <row r="10963" spans="33:33">
      <c r="AG10963" s="14"/>
    </row>
    <row r="10964" spans="33:33">
      <c r="AG10964" s="14"/>
    </row>
    <row r="10965" spans="33:33">
      <c r="AG10965" s="14"/>
    </row>
    <row r="10966" spans="33:33">
      <c r="AG10966" s="14"/>
    </row>
    <row r="10967" spans="33:33">
      <c r="AG10967" s="14"/>
    </row>
    <row r="10968" spans="33:33">
      <c r="AG10968" s="14"/>
    </row>
    <row r="10969" spans="33:33">
      <c r="AG10969" s="14"/>
    </row>
    <row r="10970" spans="33:33">
      <c r="AG10970" s="14"/>
    </row>
    <row r="10971" spans="33:33">
      <c r="AG10971" s="14"/>
    </row>
    <row r="10972" spans="33:33">
      <c r="AG10972" s="14"/>
    </row>
    <row r="10973" spans="33:33">
      <c r="AG10973" s="14"/>
    </row>
    <row r="10974" spans="33:33">
      <c r="AG10974" s="14"/>
    </row>
    <row r="10975" spans="33:33">
      <c r="AG10975" s="14"/>
    </row>
    <row r="10976" spans="33:33">
      <c r="AG10976" s="14"/>
    </row>
    <row r="10977" spans="33:33">
      <c r="AG10977" s="14"/>
    </row>
    <row r="10978" spans="33:33">
      <c r="AG10978" s="14"/>
    </row>
    <row r="10979" spans="33:33">
      <c r="AG10979" s="14"/>
    </row>
    <row r="10980" spans="33:33">
      <c r="AG10980" s="14"/>
    </row>
    <row r="10981" spans="33:33">
      <c r="AG10981" s="14"/>
    </row>
    <row r="10982" spans="33:33">
      <c r="AG10982" s="14"/>
    </row>
    <row r="10983" spans="33:33">
      <c r="AG10983" s="14"/>
    </row>
    <row r="10984" spans="33:33">
      <c r="AG10984" s="14"/>
    </row>
    <row r="10985" spans="33:33">
      <c r="AG10985" s="14"/>
    </row>
    <row r="10986" spans="33:33">
      <c r="AG10986" s="14"/>
    </row>
    <row r="10987" spans="33:33">
      <c r="AG10987" s="14"/>
    </row>
    <row r="10988" spans="33:33">
      <c r="AG10988" s="14"/>
    </row>
    <row r="10989" spans="33:33">
      <c r="AG10989" s="14"/>
    </row>
    <row r="10990" spans="33:33">
      <c r="AG10990" s="14"/>
    </row>
    <row r="10991" spans="33:33">
      <c r="AG10991" s="14"/>
    </row>
    <row r="10992" spans="33:33">
      <c r="AG10992" s="14"/>
    </row>
    <row r="10993" spans="33:33">
      <c r="AG10993" s="14"/>
    </row>
    <row r="10994" spans="33:33">
      <c r="AG10994" s="14"/>
    </row>
    <row r="10995" spans="33:33">
      <c r="AG10995" s="14"/>
    </row>
    <row r="10996" spans="33:33">
      <c r="AG10996" s="14"/>
    </row>
    <row r="10997" spans="33:33">
      <c r="AG10997" s="14"/>
    </row>
    <row r="10998" spans="33:33">
      <c r="AG10998" s="14"/>
    </row>
    <row r="10999" spans="33:33">
      <c r="AG10999" s="14"/>
    </row>
    <row r="11000" spans="33:33">
      <c r="AG11000" s="14"/>
    </row>
    <row r="11001" spans="33:33">
      <c r="AG11001" s="14"/>
    </row>
    <row r="11002" spans="33:33">
      <c r="AG11002" s="14"/>
    </row>
    <row r="11003" spans="33:33">
      <c r="AG11003" s="14"/>
    </row>
    <row r="11004" spans="33:33">
      <c r="AG11004" s="14"/>
    </row>
    <row r="11005" spans="33:33">
      <c r="AG11005" s="14"/>
    </row>
    <row r="11006" spans="33:33">
      <c r="AG11006" s="14"/>
    </row>
    <row r="11007" spans="33:33">
      <c r="AG11007" s="14"/>
    </row>
    <row r="11008" spans="33:33">
      <c r="AG11008" s="14"/>
    </row>
    <row r="11009" spans="33:33">
      <c r="AG11009" s="14"/>
    </row>
    <row r="11010" spans="33:33">
      <c r="AG11010" s="14"/>
    </row>
    <row r="11011" spans="33:33">
      <c r="AG11011" s="14"/>
    </row>
    <row r="11012" spans="33:33">
      <c r="AG11012" s="14"/>
    </row>
    <row r="11013" spans="33:33">
      <c r="AG11013" s="14"/>
    </row>
    <row r="11014" spans="33:33">
      <c r="AG11014" s="14"/>
    </row>
    <row r="11015" spans="33:33">
      <c r="AG11015" s="14"/>
    </row>
    <row r="11016" spans="33:33">
      <c r="AG11016" s="14"/>
    </row>
    <row r="11017" spans="33:33">
      <c r="AG11017" s="14"/>
    </row>
    <row r="11018" spans="33:33">
      <c r="AG11018" s="14"/>
    </row>
    <row r="11019" spans="33:33">
      <c r="AG11019" s="14"/>
    </row>
    <row r="11020" spans="33:33">
      <c r="AG11020" s="14"/>
    </row>
    <row r="11021" spans="33:33">
      <c r="AG11021" s="14"/>
    </row>
    <row r="11022" spans="33:33">
      <c r="AG11022" s="14"/>
    </row>
    <row r="11023" spans="33:33">
      <c r="AG11023" s="14"/>
    </row>
    <row r="11024" spans="33:33">
      <c r="AG11024" s="14"/>
    </row>
    <row r="11025" spans="33:33">
      <c r="AG11025" s="14"/>
    </row>
    <row r="11026" spans="33:33">
      <c r="AG11026" s="14"/>
    </row>
    <row r="11027" spans="33:33">
      <c r="AG11027" s="14"/>
    </row>
    <row r="11028" spans="33:33">
      <c r="AG11028" s="14"/>
    </row>
    <row r="11029" spans="33:33">
      <c r="AG11029" s="14"/>
    </row>
    <row r="11030" spans="33:33">
      <c r="AG11030" s="14"/>
    </row>
    <row r="11031" spans="33:33">
      <c r="AG11031" s="14"/>
    </row>
    <row r="11032" spans="33:33">
      <c r="AG11032" s="14"/>
    </row>
    <row r="11033" spans="33:33">
      <c r="AG11033" s="14"/>
    </row>
    <row r="11034" spans="33:33">
      <c r="AG11034" s="14"/>
    </row>
    <row r="11035" spans="33:33">
      <c r="AG11035" s="14"/>
    </row>
    <row r="11036" spans="33:33">
      <c r="AG11036" s="14"/>
    </row>
    <row r="11037" spans="33:33">
      <c r="AG11037" s="14"/>
    </row>
    <row r="11038" spans="33:33">
      <c r="AG11038" s="14"/>
    </row>
    <row r="11039" spans="33:33">
      <c r="AG11039" s="14"/>
    </row>
    <row r="11040" spans="33:33">
      <c r="AG11040" s="14"/>
    </row>
    <row r="11041" spans="33:33">
      <c r="AG11041" s="14"/>
    </row>
    <row r="11042" spans="33:33">
      <c r="AG11042" s="14"/>
    </row>
    <row r="11043" spans="33:33">
      <c r="AG11043" s="14"/>
    </row>
    <row r="11044" spans="33:33">
      <c r="AG11044" s="14"/>
    </row>
    <row r="11045" spans="33:33">
      <c r="AG11045" s="14"/>
    </row>
    <row r="11046" spans="33:33">
      <c r="AG11046" s="14"/>
    </row>
    <row r="11047" spans="33:33">
      <c r="AG11047" s="14"/>
    </row>
    <row r="11048" spans="33:33">
      <c r="AG11048" s="14"/>
    </row>
    <row r="11049" spans="33:33">
      <c r="AG11049" s="14"/>
    </row>
    <row r="11050" spans="33:33">
      <c r="AG11050" s="14"/>
    </row>
    <row r="11051" spans="33:33">
      <c r="AG11051" s="14"/>
    </row>
    <row r="11052" spans="33:33">
      <c r="AG11052" s="14"/>
    </row>
    <row r="11053" spans="33:33">
      <c r="AG11053" s="14"/>
    </row>
    <row r="11054" spans="33:33">
      <c r="AG11054" s="14"/>
    </row>
    <row r="11055" spans="33:33">
      <c r="AG11055" s="14"/>
    </row>
    <row r="11056" spans="33:33">
      <c r="AG11056" s="14"/>
    </row>
    <row r="11057" spans="33:33">
      <c r="AG11057" s="14"/>
    </row>
    <row r="11058" spans="33:33">
      <c r="AG11058" s="14"/>
    </row>
    <row r="11059" spans="33:33">
      <c r="AG11059" s="14"/>
    </row>
    <row r="11060" spans="33:33">
      <c r="AG11060" s="14"/>
    </row>
    <row r="11061" spans="33:33">
      <c r="AG11061" s="14"/>
    </row>
    <row r="11062" spans="33:33">
      <c r="AG11062" s="14"/>
    </row>
    <row r="11063" spans="33:33">
      <c r="AG11063" s="14"/>
    </row>
    <row r="11064" spans="33:33">
      <c r="AG11064" s="14"/>
    </row>
    <row r="11065" spans="33:33">
      <c r="AG11065" s="14"/>
    </row>
    <row r="11066" spans="33:33">
      <c r="AG11066" s="14"/>
    </row>
    <row r="11067" spans="33:33">
      <c r="AG11067" s="14"/>
    </row>
    <row r="11068" spans="33:33">
      <c r="AG11068" s="14"/>
    </row>
    <row r="11069" spans="33:33">
      <c r="AG11069" s="14"/>
    </row>
    <row r="11070" spans="33:33">
      <c r="AG11070" s="14"/>
    </row>
    <row r="11071" spans="33:33">
      <c r="AG11071" s="14"/>
    </row>
    <row r="11072" spans="33:33">
      <c r="AG11072" s="14"/>
    </row>
    <row r="11073" spans="33:33">
      <c r="AG11073" s="14"/>
    </row>
    <row r="11074" spans="33:33">
      <c r="AG11074" s="14"/>
    </row>
    <row r="11075" spans="33:33">
      <c r="AG11075" s="14"/>
    </row>
    <row r="11076" spans="33:33">
      <c r="AG11076" s="14"/>
    </row>
    <row r="11077" spans="33:33">
      <c r="AG11077" s="14"/>
    </row>
    <row r="11078" spans="33:33">
      <c r="AG11078" s="14"/>
    </row>
    <row r="11079" spans="33:33">
      <c r="AG11079" s="14"/>
    </row>
    <row r="11080" spans="33:33">
      <c r="AG11080" s="14"/>
    </row>
    <row r="11081" spans="33:33">
      <c r="AG11081" s="14"/>
    </row>
    <row r="11082" spans="33:33">
      <c r="AG11082" s="14"/>
    </row>
    <row r="11083" spans="33:33">
      <c r="AG11083" s="14"/>
    </row>
    <row r="11084" spans="33:33">
      <c r="AG11084" s="14"/>
    </row>
    <row r="11085" spans="33:33">
      <c r="AG11085" s="14"/>
    </row>
    <row r="11086" spans="33:33">
      <c r="AG11086" s="14"/>
    </row>
    <row r="11087" spans="33:33">
      <c r="AG11087" s="14"/>
    </row>
    <row r="11088" spans="33:33">
      <c r="AG11088" s="14"/>
    </row>
    <row r="11089" spans="33:33">
      <c r="AG11089" s="14"/>
    </row>
    <row r="11090" spans="33:33">
      <c r="AG11090" s="14"/>
    </row>
    <row r="11091" spans="33:33">
      <c r="AG11091" s="14"/>
    </row>
    <row r="11092" spans="33:33">
      <c r="AG11092" s="14"/>
    </row>
    <row r="11093" spans="33:33">
      <c r="AG11093" s="14"/>
    </row>
    <row r="11094" spans="33:33">
      <c r="AG11094" s="14"/>
    </row>
    <row r="11095" spans="33:33">
      <c r="AG11095" s="14"/>
    </row>
    <row r="11096" spans="33:33">
      <c r="AG11096" s="14"/>
    </row>
    <row r="11097" spans="33:33">
      <c r="AG11097" s="14"/>
    </row>
    <row r="11098" spans="33:33">
      <c r="AG11098" s="14"/>
    </row>
    <row r="11099" spans="33:33">
      <c r="AG11099" s="14"/>
    </row>
    <row r="11100" spans="33:33">
      <c r="AG11100" s="14"/>
    </row>
    <row r="11101" spans="33:33">
      <c r="AG11101" s="14"/>
    </row>
    <row r="11102" spans="33:33">
      <c r="AG11102" s="14"/>
    </row>
    <row r="11103" spans="33:33">
      <c r="AG11103" s="14"/>
    </row>
    <row r="11104" spans="33:33">
      <c r="AG11104" s="14"/>
    </row>
    <row r="11105" spans="33:33">
      <c r="AG11105" s="14"/>
    </row>
    <row r="11106" spans="33:33">
      <c r="AG11106" s="14"/>
    </row>
    <row r="11107" spans="33:33">
      <c r="AG11107" s="14"/>
    </row>
    <row r="11108" spans="33:33">
      <c r="AG11108" s="14"/>
    </row>
    <row r="11109" spans="33:33">
      <c r="AG11109" s="14"/>
    </row>
    <row r="11110" spans="33:33">
      <c r="AG11110" s="14"/>
    </row>
    <row r="11111" spans="33:33">
      <c r="AG11111" s="14"/>
    </row>
    <row r="11112" spans="33:33">
      <c r="AG11112" s="14"/>
    </row>
    <row r="11113" spans="33:33">
      <c r="AG11113" s="14"/>
    </row>
    <row r="11114" spans="33:33">
      <c r="AG11114" s="14"/>
    </row>
    <row r="11115" spans="33:33">
      <c r="AG11115" s="14"/>
    </row>
    <row r="11116" spans="33:33">
      <c r="AG11116" s="14"/>
    </row>
    <row r="11117" spans="33:33">
      <c r="AG11117" s="14"/>
    </row>
    <row r="11118" spans="33:33">
      <c r="AG11118" s="14"/>
    </row>
    <row r="11119" spans="33:33">
      <c r="AG11119" s="14"/>
    </row>
    <row r="11120" spans="33:33">
      <c r="AG11120" s="14"/>
    </row>
    <row r="11121" spans="33:33">
      <c r="AG11121" s="14"/>
    </row>
    <row r="11122" spans="33:33">
      <c r="AG11122" s="14"/>
    </row>
    <row r="11123" spans="33:33">
      <c r="AG11123" s="14"/>
    </row>
    <row r="11124" spans="33:33">
      <c r="AG11124" s="14"/>
    </row>
    <row r="11125" spans="33:33">
      <c r="AG11125" s="14"/>
    </row>
    <row r="11126" spans="33:33">
      <c r="AG11126" s="14"/>
    </row>
    <row r="11127" spans="33:33">
      <c r="AG11127" s="14"/>
    </row>
    <row r="11128" spans="33:33">
      <c r="AG11128" s="14"/>
    </row>
    <row r="11129" spans="33:33">
      <c r="AG11129" s="14"/>
    </row>
    <row r="11130" spans="33:33">
      <c r="AG11130" s="14"/>
    </row>
    <row r="11131" spans="33:33">
      <c r="AG11131" s="14"/>
    </row>
    <row r="11132" spans="33:33">
      <c r="AG11132" s="14"/>
    </row>
    <row r="11133" spans="33:33">
      <c r="AG11133" s="14"/>
    </row>
    <row r="11134" spans="33:33">
      <c r="AG11134" s="14"/>
    </row>
    <row r="11135" spans="33:33">
      <c r="AG11135" s="14"/>
    </row>
    <row r="11136" spans="33:33">
      <c r="AG11136" s="14"/>
    </row>
    <row r="11137" spans="33:33">
      <c r="AG11137" s="14"/>
    </row>
    <row r="11138" spans="33:33">
      <c r="AG11138" s="14"/>
    </row>
    <row r="11139" spans="33:33">
      <c r="AG11139" s="14"/>
    </row>
    <row r="11140" spans="33:33">
      <c r="AG11140" s="14"/>
    </row>
    <row r="11141" spans="33:33">
      <c r="AG11141" s="14"/>
    </row>
    <row r="11142" spans="33:33">
      <c r="AG11142" s="14"/>
    </row>
    <row r="11143" spans="33:33">
      <c r="AG11143" s="14"/>
    </row>
    <row r="11144" spans="33:33">
      <c r="AG11144" s="14"/>
    </row>
    <row r="11145" spans="33:33">
      <c r="AG11145" s="14"/>
    </row>
    <row r="11146" spans="33:33">
      <c r="AG11146" s="14"/>
    </row>
    <row r="11147" spans="33:33">
      <c r="AG11147" s="14"/>
    </row>
    <row r="11148" spans="33:33">
      <c r="AG11148" s="14"/>
    </row>
    <row r="11149" spans="33:33">
      <c r="AG11149" s="14"/>
    </row>
    <row r="11150" spans="33:33">
      <c r="AG11150" s="14"/>
    </row>
    <row r="11151" spans="33:33">
      <c r="AG11151" s="14"/>
    </row>
    <row r="11152" spans="33:33">
      <c r="AG11152" s="14"/>
    </row>
    <row r="11153" spans="33:33">
      <c r="AG11153" s="14"/>
    </row>
    <row r="11154" spans="33:33">
      <c r="AG11154" s="14"/>
    </row>
    <row r="11155" spans="33:33">
      <c r="AG11155" s="14"/>
    </row>
    <row r="11156" spans="33:33">
      <c r="AG11156" s="14"/>
    </row>
    <row r="11157" spans="33:33">
      <c r="AG11157" s="14"/>
    </row>
    <row r="11158" spans="33:33">
      <c r="AG11158" s="14"/>
    </row>
    <row r="11159" spans="33:33">
      <c r="AG11159" s="14"/>
    </row>
    <row r="11160" spans="33:33">
      <c r="AG11160" s="14"/>
    </row>
    <row r="11161" spans="33:33">
      <c r="AG11161" s="14"/>
    </row>
    <row r="11162" spans="33:33">
      <c r="AG11162" s="14"/>
    </row>
    <row r="11163" spans="33:33">
      <c r="AG11163" s="14"/>
    </row>
    <row r="11164" spans="33:33">
      <c r="AG11164" s="14"/>
    </row>
    <row r="11165" spans="33:33">
      <c r="AG11165" s="14"/>
    </row>
    <row r="11166" spans="33:33">
      <c r="AG11166" s="14"/>
    </row>
    <row r="11167" spans="33:33">
      <c r="AG11167" s="14"/>
    </row>
    <row r="11168" spans="33:33">
      <c r="AG11168" s="14"/>
    </row>
    <row r="11169" spans="33:33">
      <c r="AG11169" s="14"/>
    </row>
    <row r="11170" spans="33:33">
      <c r="AG11170" s="14"/>
    </row>
    <row r="11171" spans="33:33">
      <c r="AG11171" s="14"/>
    </row>
    <row r="11172" spans="33:33">
      <c r="AG11172" s="14"/>
    </row>
    <row r="11173" spans="33:33">
      <c r="AG11173" s="14"/>
    </row>
    <row r="11174" spans="33:33">
      <c r="AG11174" s="14"/>
    </row>
    <row r="11175" spans="33:33">
      <c r="AG11175" s="14"/>
    </row>
    <row r="11176" spans="33:33">
      <c r="AG11176" s="14"/>
    </row>
    <row r="11177" spans="33:33">
      <c r="AG11177" s="14"/>
    </row>
    <row r="11178" spans="33:33">
      <c r="AG11178" s="14"/>
    </row>
    <row r="11179" spans="33:33">
      <c r="AG11179" s="14"/>
    </row>
    <row r="11180" spans="33:33">
      <c r="AG11180" s="14"/>
    </row>
    <row r="11181" spans="33:33">
      <c r="AG11181" s="14"/>
    </row>
    <row r="11182" spans="33:33">
      <c r="AG11182" s="14"/>
    </row>
    <row r="11183" spans="33:33">
      <c r="AG11183" s="14"/>
    </row>
    <row r="11184" spans="33:33">
      <c r="AG11184" s="14"/>
    </row>
    <row r="11185" spans="33:33">
      <c r="AG11185" s="14"/>
    </row>
    <row r="11186" spans="33:33">
      <c r="AG11186" s="14"/>
    </row>
    <row r="11187" spans="33:33">
      <c r="AG11187" s="14"/>
    </row>
    <row r="11188" spans="33:33">
      <c r="AG11188" s="14"/>
    </row>
    <row r="11189" spans="33:33">
      <c r="AG11189" s="14"/>
    </row>
    <row r="11190" spans="33:33">
      <c r="AG11190" s="14"/>
    </row>
    <row r="11191" spans="33:33">
      <c r="AG11191" s="14"/>
    </row>
    <row r="11192" spans="33:33">
      <c r="AG11192" s="14"/>
    </row>
    <row r="11193" spans="33:33">
      <c r="AG11193" s="14"/>
    </row>
    <row r="11194" spans="33:33">
      <c r="AG11194" s="14"/>
    </row>
    <row r="11195" spans="33:33">
      <c r="AG11195" s="14"/>
    </row>
    <row r="11196" spans="33:33">
      <c r="AG11196" s="14"/>
    </row>
    <row r="11197" spans="33:33">
      <c r="AG11197" s="14"/>
    </row>
    <row r="11198" spans="33:33">
      <c r="AG11198" s="14"/>
    </row>
    <row r="11199" spans="33:33">
      <c r="AG11199" s="14"/>
    </row>
    <row r="11200" spans="33:33">
      <c r="AG11200" s="14"/>
    </row>
    <row r="11201" spans="33:33">
      <c r="AG11201" s="14"/>
    </row>
    <row r="11202" spans="33:33">
      <c r="AG11202" s="14"/>
    </row>
    <row r="11203" spans="33:33">
      <c r="AG11203" s="14"/>
    </row>
    <row r="11204" spans="33:33">
      <c r="AG11204" s="14"/>
    </row>
    <row r="11205" spans="33:33">
      <c r="AG11205" s="14"/>
    </row>
    <row r="11206" spans="33:33">
      <c r="AG11206" s="14"/>
    </row>
    <row r="11207" spans="33:33">
      <c r="AG11207" s="14"/>
    </row>
    <row r="11208" spans="33:33">
      <c r="AG11208" s="14"/>
    </row>
    <row r="11209" spans="33:33">
      <c r="AG11209" s="14"/>
    </row>
    <row r="11210" spans="33:33">
      <c r="AG11210" s="14"/>
    </row>
    <row r="11211" spans="33:33">
      <c r="AG11211" s="14"/>
    </row>
    <row r="11212" spans="33:33">
      <c r="AG11212" s="14"/>
    </row>
    <row r="11213" spans="33:33">
      <c r="AG11213" s="14"/>
    </row>
    <row r="11214" spans="33:33">
      <c r="AG11214" s="14"/>
    </row>
    <row r="11215" spans="33:33">
      <c r="AG11215" s="14"/>
    </row>
    <row r="11216" spans="33:33">
      <c r="AG11216" s="14"/>
    </row>
    <row r="11217" spans="33:33">
      <c r="AG11217" s="14"/>
    </row>
    <row r="11218" spans="33:33">
      <c r="AG11218" s="14"/>
    </row>
    <row r="11219" spans="33:33">
      <c r="AG11219" s="14"/>
    </row>
    <row r="11220" spans="33:33">
      <c r="AG11220" s="14"/>
    </row>
    <row r="11221" spans="33:33">
      <c r="AG11221" s="14"/>
    </row>
    <row r="11222" spans="33:33">
      <c r="AG11222" s="14"/>
    </row>
    <row r="11223" spans="33:33">
      <c r="AG11223" s="14"/>
    </row>
    <row r="11224" spans="33:33">
      <c r="AG11224" s="14"/>
    </row>
    <row r="11225" spans="33:33">
      <c r="AG11225" s="14"/>
    </row>
    <row r="11226" spans="33:33">
      <c r="AG11226" s="14"/>
    </row>
    <row r="11227" spans="33:33">
      <c r="AG11227" s="14"/>
    </row>
    <row r="11228" spans="33:33">
      <c r="AG11228" s="14"/>
    </row>
    <row r="11229" spans="33:33">
      <c r="AG11229" s="14"/>
    </row>
    <row r="11230" spans="33:33">
      <c r="AG11230" s="14"/>
    </row>
    <row r="11231" spans="33:33">
      <c r="AG11231" s="14"/>
    </row>
    <row r="11232" spans="33:33">
      <c r="AG11232" s="14"/>
    </row>
    <row r="11233" spans="33:33">
      <c r="AG11233" s="14"/>
    </row>
    <row r="11234" spans="33:33">
      <c r="AG11234" s="14"/>
    </row>
    <row r="11235" spans="33:33">
      <c r="AG11235" s="14"/>
    </row>
    <row r="11236" spans="33:33">
      <c r="AG11236" s="14"/>
    </row>
    <row r="11237" spans="33:33">
      <c r="AG11237" s="14"/>
    </row>
    <row r="11238" spans="33:33">
      <c r="AG11238" s="14"/>
    </row>
    <row r="11239" spans="33:33">
      <c r="AG11239" s="14"/>
    </row>
    <row r="11240" spans="33:33">
      <c r="AG11240" s="14"/>
    </row>
    <row r="11241" spans="33:33">
      <c r="AG11241" s="14"/>
    </row>
    <row r="11242" spans="33:33">
      <c r="AG11242" s="14"/>
    </row>
    <row r="11243" spans="33:33">
      <c r="AG11243" s="14"/>
    </row>
    <row r="11244" spans="33:33">
      <c r="AG11244" s="14"/>
    </row>
    <row r="11245" spans="33:33">
      <c r="AG11245" s="14"/>
    </row>
    <row r="11246" spans="33:33">
      <c r="AG11246" s="14"/>
    </row>
    <row r="11247" spans="33:33">
      <c r="AG11247" s="14"/>
    </row>
    <row r="11248" spans="33:33">
      <c r="AG11248" s="14"/>
    </row>
    <row r="11249" spans="33:33">
      <c r="AG11249" s="14"/>
    </row>
    <row r="11250" spans="33:33">
      <c r="AG11250" s="14"/>
    </row>
    <row r="11251" spans="33:33">
      <c r="AG11251" s="14"/>
    </row>
    <row r="11252" spans="33:33">
      <c r="AG11252" s="14"/>
    </row>
    <row r="11253" spans="33:33">
      <c r="AG11253" s="14"/>
    </row>
    <row r="11254" spans="33:33">
      <c r="AG11254" s="14"/>
    </row>
    <row r="11255" spans="33:33">
      <c r="AG11255" s="14"/>
    </row>
    <row r="11256" spans="33:33">
      <c r="AG11256" s="14"/>
    </row>
    <row r="11257" spans="33:33">
      <c r="AG11257" s="14"/>
    </row>
    <row r="11258" spans="33:33">
      <c r="AG11258" s="14"/>
    </row>
    <row r="11259" spans="33:33">
      <c r="AG11259" s="14"/>
    </row>
    <row r="11260" spans="33:33">
      <c r="AG11260" s="14"/>
    </row>
    <row r="11261" spans="33:33">
      <c r="AG11261" s="14"/>
    </row>
    <row r="11262" spans="33:33">
      <c r="AG11262" s="14"/>
    </row>
    <row r="11263" spans="33:33">
      <c r="AG11263" s="14"/>
    </row>
    <row r="11264" spans="33:33">
      <c r="AG11264" s="14"/>
    </row>
    <row r="11265" spans="33:33">
      <c r="AG11265" s="14"/>
    </row>
    <row r="11266" spans="33:33">
      <c r="AG11266" s="14"/>
    </row>
    <row r="11267" spans="33:33">
      <c r="AG11267" s="14"/>
    </row>
    <row r="11268" spans="33:33">
      <c r="AG11268" s="14"/>
    </row>
    <row r="11269" spans="33:33">
      <c r="AG11269" s="14"/>
    </row>
    <row r="11270" spans="33:33">
      <c r="AG11270" s="14"/>
    </row>
    <row r="11271" spans="33:33">
      <c r="AG11271" s="14"/>
    </row>
    <row r="11272" spans="33:33">
      <c r="AG11272" s="14"/>
    </row>
    <row r="11273" spans="33:33">
      <c r="AG11273" s="14"/>
    </row>
    <row r="11274" spans="33:33">
      <c r="AG11274" s="14"/>
    </row>
    <row r="11275" spans="33:33">
      <c r="AG11275" s="14"/>
    </row>
    <row r="11276" spans="33:33">
      <c r="AG11276" s="14"/>
    </row>
    <row r="11277" spans="33:33">
      <c r="AG11277" s="14"/>
    </row>
    <row r="11278" spans="33:33">
      <c r="AG11278" s="14"/>
    </row>
    <row r="11279" spans="33:33">
      <c r="AG11279" s="14"/>
    </row>
    <row r="11280" spans="33:33">
      <c r="AG11280" s="14"/>
    </row>
    <row r="11281" spans="33:33">
      <c r="AG11281" s="14"/>
    </row>
    <row r="11282" spans="33:33">
      <c r="AG11282" s="14"/>
    </row>
    <row r="11283" spans="33:33">
      <c r="AG11283" s="14"/>
    </row>
    <row r="11284" spans="33:33">
      <c r="AG11284" s="14"/>
    </row>
    <row r="11285" spans="33:33">
      <c r="AG11285" s="14"/>
    </row>
    <row r="11286" spans="33:33">
      <c r="AG11286" s="14"/>
    </row>
    <row r="11287" spans="33:33">
      <c r="AG11287" s="14"/>
    </row>
    <row r="11288" spans="33:33">
      <c r="AG11288" s="14"/>
    </row>
    <row r="11289" spans="33:33">
      <c r="AG11289" s="14"/>
    </row>
    <row r="11290" spans="33:33">
      <c r="AG11290" s="14"/>
    </row>
    <row r="11291" spans="33:33">
      <c r="AG11291" s="14"/>
    </row>
    <row r="11292" spans="33:33">
      <c r="AG11292" s="14"/>
    </row>
    <row r="11293" spans="33:33">
      <c r="AG11293" s="14"/>
    </row>
    <row r="11294" spans="33:33">
      <c r="AG11294" s="14"/>
    </row>
    <row r="11295" spans="33:33">
      <c r="AG11295" s="14"/>
    </row>
    <row r="11296" spans="33:33">
      <c r="AG11296" s="14"/>
    </row>
    <row r="11297" spans="33:33">
      <c r="AG11297" s="14"/>
    </row>
    <row r="11298" spans="33:33">
      <c r="AG11298" s="14"/>
    </row>
    <row r="11299" spans="33:33">
      <c r="AG11299" s="14"/>
    </row>
    <row r="11300" spans="33:33">
      <c r="AG11300" s="14"/>
    </row>
    <row r="11301" spans="33:33">
      <c r="AG11301" s="14"/>
    </row>
    <row r="11302" spans="33:33">
      <c r="AG11302" s="14"/>
    </row>
    <row r="11303" spans="33:33">
      <c r="AG11303" s="14"/>
    </row>
    <row r="11304" spans="33:33">
      <c r="AG11304" s="14"/>
    </row>
    <row r="11305" spans="33:33">
      <c r="AG11305" s="14"/>
    </row>
    <row r="11306" spans="33:33">
      <c r="AG11306" s="14"/>
    </row>
    <row r="11307" spans="33:33">
      <c r="AG11307" s="14"/>
    </row>
    <row r="11308" spans="33:33">
      <c r="AG11308" s="14"/>
    </row>
    <row r="11309" spans="33:33">
      <c r="AG11309" s="14"/>
    </row>
    <row r="11310" spans="33:33">
      <c r="AG11310" s="14"/>
    </row>
    <row r="11311" spans="33:33">
      <c r="AG11311" s="14"/>
    </row>
    <row r="11312" spans="33:33">
      <c r="AG11312" s="14"/>
    </row>
    <row r="11313" spans="33:33">
      <c r="AG11313" s="14"/>
    </row>
    <row r="11314" spans="33:33">
      <c r="AG11314" s="14"/>
    </row>
    <row r="11315" spans="33:33">
      <c r="AG11315" s="14"/>
    </row>
    <row r="11316" spans="33:33">
      <c r="AG11316" s="14"/>
    </row>
    <row r="11317" spans="33:33">
      <c r="AG11317" s="14"/>
    </row>
    <row r="11318" spans="33:33">
      <c r="AG11318" s="14"/>
    </row>
    <row r="11319" spans="33:33">
      <c r="AG11319" s="14"/>
    </row>
    <row r="11320" spans="33:33">
      <c r="AG11320" s="14"/>
    </row>
    <row r="11321" spans="33:33">
      <c r="AG11321" s="14"/>
    </row>
    <row r="11322" spans="33:33">
      <c r="AG11322" s="14"/>
    </row>
    <row r="11323" spans="33:33">
      <c r="AG11323" s="14"/>
    </row>
    <row r="11324" spans="33:33">
      <c r="AG11324" s="14"/>
    </row>
    <row r="11325" spans="33:33">
      <c r="AG11325" s="14"/>
    </row>
    <row r="11326" spans="33:33">
      <c r="AG11326" s="14"/>
    </row>
    <row r="11327" spans="33:33">
      <c r="AG11327" s="14"/>
    </row>
    <row r="11328" spans="33:33">
      <c r="AG11328" s="14"/>
    </row>
    <row r="11329" spans="33:33">
      <c r="AG11329" s="14"/>
    </row>
    <row r="11330" spans="33:33">
      <c r="AG11330" s="14"/>
    </row>
    <row r="11331" spans="33:33">
      <c r="AG11331" s="14"/>
    </row>
    <row r="11332" spans="33:33">
      <c r="AG11332" s="14"/>
    </row>
    <row r="11333" spans="33:33">
      <c r="AG11333" s="14"/>
    </row>
    <row r="11334" spans="33:33">
      <c r="AG11334" s="14"/>
    </row>
    <row r="11335" spans="33:33">
      <c r="AG11335" s="14"/>
    </row>
    <row r="11336" spans="33:33">
      <c r="AG11336" s="14"/>
    </row>
    <row r="11337" spans="33:33">
      <c r="AG11337" s="14"/>
    </row>
    <row r="11338" spans="33:33">
      <c r="AG11338" s="14"/>
    </row>
    <row r="11339" spans="33:33">
      <c r="AG11339" s="14"/>
    </row>
    <row r="11340" spans="33:33">
      <c r="AG11340" s="14"/>
    </row>
    <row r="11341" spans="33:33">
      <c r="AG11341" s="14"/>
    </row>
    <row r="11342" spans="33:33">
      <c r="AG11342" s="14"/>
    </row>
    <row r="11343" spans="33:33">
      <c r="AG11343" s="14"/>
    </row>
    <row r="11344" spans="33:33">
      <c r="AG11344" s="14"/>
    </row>
    <row r="11345" spans="33:33">
      <c r="AG11345" s="14"/>
    </row>
    <row r="11346" spans="33:33">
      <c r="AG11346" s="14"/>
    </row>
    <row r="11347" spans="33:33">
      <c r="AG11347" s="14"/>
    </row>
    <row r="11348" spans="33:33">
      <c r="AG11348" s="14"/>
    </row>
    <row r="11349" spans="33:33">
      <c r="AG11349" s="14"/>
    </row>
    <row r="11350" spans="33:33">
      <c r="AG11350" s="14"/>
    </row>
    <row r="11351" spans="33:33">
      <c r="AG11351" s="14"/>
    </row>
    <row r="11352" spans="33:33">
      <c r="AG11352" s="14"/>
    </row>
    <row r="11353" spans="33:33">
      <c r="AG11353" s="14"/>
    </row>
    <row r="11354" spans="33:33">
      <c r="AG11354" s="14"/>
    </row>
    <row r="11355" spans="33:33">
      <c r="AG11355" s="14"/>
    </row>
    <row r="11356" spans="33:33">
      <c r="AG11356" s="14"/>
    </row>
    <row r="11357" spans="33:33">
      <c r="AG11357" s="14"/>
    </row>
    <row r="11358" spans="33:33">
      <c r="AG11358" s="14"/>
    </row>
    <row r="11359" spans="33:33">
      <c r="AG11359" s="14"/>
    </row>
    <row r="11360" spans="33:33">
      <c r="AG11360" s="14"/>
    </row>
    <row r="11361" spans="33:33">
      <c r="AG11361" s="14"/>
    </row>
    <row r="11362" spans="33:33">
      <c r="AG11362" s="14"/>
    </row>
    <row r="11363" spans="33:33">
      <c r="AG11363" s="14"/>
    </row>
    <row r="11364" spans="33:33">
      <c r="AG11364" s="14"/>
    </row>
    <row r="11365" spans="33:33">
      <c r="AG11365" s="14"/>
    </row>
    <row r="11366" spans="33:33">
      <c r="AG11366" s="14"/>
    </row>
    <row r="11367" spans="33:33">
      <c r="AG11367" s="14"/>
    </row>
    <row r="11368" spans="33:33">
      <c r="AG11368" s="14"/>
    </row>
    <row r="11369" spans="33:33">
      <c r="AG11369" s="14"/>
    </row>
    <row r="11370" spans="33:33">
      <c r="AG11370" s="14"/>
    </row>
    <row r="11371" spans="33:33">
      <c r="AG11371" s="14"/>
    </row>
    <row r="11372" spans="33:33">
      <c r="AG11372" s="14"/>
    </row>
    <row r="11373" spans="33:33">
      <c r="AG11373" s="14"/>
    </row>
    <row r="11374" spans="33:33">
      <c r="AG11374" s="14"/>
    </row>
    <row r="11375" spans="33:33">
      <c r="AG11375" s="14"/>
    </row>
    <row r="11376" spans="33:33">
      <c r="AG11376" s="14"/>
    </row>
    <row r="11377" spans="33:33">
      <c r="AG11377" s="14"/>
    </row>
    <row r="11378" spans="33:33">
      <c r="AG11378" s="14"/>
    </row>
    <row r="11379" spans="33:33">
      <c r="AG11379" s="14"/>
    </row>
    <row r="11380" spans="33:33">
      <c r="AG11380" s="14"/>
    </row>
    <row r="11381" spans="33:33">
      <c r="AG11381" s="14"/>
    </row>
    <row r="11382" spans="33:33">
      <c r="AG11382" s="14"/>
    </row>
    <row r="11383" spans="33:33">
      <c r="AG11383" s="14"/>
    </row>
    <row r="11384" spans="33:33">
      <c r="AG11384" s="14"/>
    </row>
    <row r="11385" spans="33:33">
      <c r="AG11385" s="14"/>
    </row>
    <row r="11386" spans="33:33">
      <c r="AG11386" s="14"/>
    </row>
    <row r="11387" spans="33:33">
      <c r="AG11387" s="14"/>
    </row>
    <row r="11388" spans="33:33">
      <c r="AG11388" s="14"/>
    </row>
    <row r="11389" spans="33:33">
      <c r="AG11389" s="14"/>
    </row>
    <row r="11390" spans="33:33">
      <c r="AG11390" s="14"/>
    </row>
    <row r="11391" spans="33:33">
      <c r="AG11391" s="14"/>
    </row>
    <row r="11392" spans="33:33">
      <c r="AG11392" s="14"/>
    </row>
    <row r="11393" spans="33:33">
      <c r="AG11393" s="14"/>
    </row>
    <row r="11394" spans="33:33">
      <c r="AG11394" s="14"/>
    </row>
    <row r="11395" spans="33:33">
      <c r="AG11395" s="14"/>
    </row>
    <row r="11396" spans="33:33">
      <c r="AG11396" s="14"/>
    </row>
    <row r="11397" spans="33:33">
      <c r="AG11397" s="14"/>
    </row>
    <row r="11398" spans="33:33">
      <c r="AG11398" s="14"/>
    </row>
    <row r="11399" spans="33:33">
      <c r="AG11399" s="14"/>
    </row>
    <row r="11400" spans="33:33">
      <c r="AG11400" s="14"/>
    </row>
    <row r="11401" spans="33:33">
      <c r="AG11401" s="14"/>
    </row>
    <row r="11402" spans="33:33">
      <c r="AG11402" s="14"/>
    </row>
    <row r="11403" spans="33:33">
      <c r="AG11403" s="14"/>
    </row>
    <row r="11404" spans="33:33">
      <c r="AG11404" s="14"/>
    </row>
    <row r="11405" spans="33:33">
      <c r="AG11405" s="14"/>
    </row>
    <row r="11406" spans="33:33">
      <c r="AG11406" s="14"/>
    </row>
    <row r="11407" spans="33:33">
      <c r="AG11407" s="14"/>
    </row>
    <row r="11408" spans="33:33">
      <c r="AG11408" s="14"/>
    </row>
    <row r="11409" spans="33:33">
      <c r="AG11409" s="14"/>
    </row>
    <row r="11410" spans="33:33">
      <c r="AG11410" s="14"/>
    </row>
    <row r="11411" spans="33:33">
      <c r="AG11411" s="14"/>
    </row>
    <row r="11412" spans="33:33">
      <c r="AG11412" s="14"/>
    </row>
    <row r="11413" spans="33:33">
      <c r="AG11413" s="14"/>
    </row>
    <row r="11414" spans="33:33">
      <c r="AG11414" s="14"/>
    </row>
    <row r="11415" spans="33:33">
      <c r="AG11415" s="14"/>
    </row>
    <row r="11416" spans="33:33">
      <c r="AG11416" s="14"/>
    </row>
    <row r="11417" spans="33:33">
      <c r="AG11417" s="14"/>
    </row>
    <row r="11418" spans="33:33">
      <c r="AG11418" s="14"/>
    </row>
    <row r="11419" spans="33:33">
      <c r="AG11419" s="14"/>
    </row>
    <row r="11420" spans="33:33">
      <c r="AG11420" s="14"/>
    </row>
    <row r="11421" spans="33:33">
      <c r="AG11421" s="14"/>
    </row>
    <row r="11422" spans="33:33">
      <c r="AG11422" s="14"/>
    </row>
    <row r="11423" spans="33:33">
      <c r="AG11423" s="14"/>
    </row>
    <row r="11424" spans="33:33">
      <c r="AG11424" s="14"/>
    </row>
    <row r="11425" spans="33:33">
      <c r="AG11425" s="14"/>
    </row>
    <row r="11426" spans="33:33">
      <c r="AG11426" s="14"/>
    </row>
    <row r="11427" spans="33:33">
      <c r="AG11427" s="14"/>
    </row>
    <row r="11428" spans="33:33">
      <c r="AG11428" s="14"/>
    </row>
    <row r="11429" spans="33:33">
      <c r="AG11429" s="14"/>
    </row>
    <row r="11430" spans="33:33">
      <c r="AG11430" s="14"/>
    </row>
    <row r="11431" spans="33:33">
      <c r="AG11431" s="14"/>
    </row>
    <row r="11432" spans="33:33">
      <c r="AG11432" s="14"/>
    </row>
    <row r="11433" spans="33:33">
      <c r="AG11433" s="14"/>
    </row>
    <row r="11434" spans="33:33">
      <c r="AG11434" s="14"/>
    </row>
    <row r="11435" spans="33:33">
      <c r="AG11435" s="14"/>
    </row>
    <row r="11436" spans="33:33">
      <c r="AG11436" s="14"/>
    </row>
    <row r="11437" spans="33:33">
      <c r="AG11437" s="14"/>
    </row>
    <row r="11438" spans="33:33">
      <c r="AG11438" s="14"/>
    </row>
    <row r="11439" spans="33:33">
      <c r="AG11439" s="14"/>
    </row>
    <row r="11440" spans="33:33">
      <c r="AG11440" s="14"/>
    </row>
    <row r="11441" spans="33:33">
      <c r="AG11441" s="14"/>
    </row>
    <row r="11442" spans="33:33">
      <c r="AG11442" s="14"/>
    </row>
    <row r="11443" spans="33:33">
      <c r="AG11443" s="14"/>
    </row>
    <row r="11444" spans="33:33">
      <c r="AG11444" s="14"/>
    </row>
    <row r="11445" spans="33:33">
      <c r="AG11445" s="14"/>
    </row>
    <row r="11446" spans="33:33">
      <c r="AG11446" s="14"/>
    </row>
    <row r="11447" spans="33:33">
      <c r="AG11447" s="14"/>
    </row>
    <row r="11448" spans="33:33">
      <c r="AG11448" s="14"/>
    </row>
    <row r="11449" spans="33:33">
      <c r="AG11449" s="14"/>
    </row>
    <row r="11450" spans="33:33">
      <c r="AG11450" s="14"/>
    </row>
    <row r="11451" spans="33:33">
      <c r="AG11451" s="14"/>
    </row>
    <row r="11452" spans="33:33">
      <c r="AG11452" s="14"/>
    </row>
    <row r="11453" spans="33:33">
      <c r="AG11453" s="14"/>
    </row>
    <row r="11454" spans="33:33">
      <c r="AG11454" s="14"/>
    </row>
    <row r="11455" spans="33:33">
      <c r="AG11455" s="14"/>
    </row>
    <row r="11456" spans="33:33">
      <c r="AG11456" s="14"/>
    </row>
    <row r="11457" spans="33:33">
      <c r="AG11457" s="14"/>
    </row>
    <row r="11458" spans="33:33">
      <c r="AG11458" s="14"/>
    </row>
    <row r="11459" spans="33:33">
      <c r="AG11459" s="14"/>
    </row>
    <row r="11460" spans="33:33">
      <c r="AG11460" s="14"/>
    </row>
    <row r="11461" spans="33:33">
      <c r="AG11461" s="14"/>
    </row>
    <row r="11462" spans="33:33">
      <c r="AG11462" s="14"/>
    </row>
    <row r="11463" spans="33:33">
      <c r="AG11463" s="14"/>
    </row>
    <row r="11464" spans="33:33">
      <c r="AG11464" s="14"/>
    </row>
    <row r="11465" spans="33:33">
      <c r="AG11465" s="14"/>
    </row>
    <row r="11466" spans="33:33">
      <c r="AG11466" s="14"/>
    </row>
    <row r="11467" spans="33:33">
      <c r="AG11467" s="14"/>
    </row>
    <row r="11468" spans="33:33">
      <c r="AG11468" s="14"/>
    </row>
    <row r="11469" spans="33:33">
      <c r="AG11469" s="14"/>
    </row>
    <row r="11470" spans="33:33">
      <c r="AG11470" s="14"/>
    </row>
    <row r="11471" spans="33:33">
      <c r="AG11471" s="14"/>
    </row>
    <row r="11472" spans="33:33">
      <c r="AG11472" s="14"/>
    </row>
    <row r="11473" spans="33:33">
      <c r="AG11473" s="14"/>
    </row>
    <row r="11474" spans="33:33">
      <c r="AG11474" s="14"/>
    </row>
    <row r="11475" spans="33:33">
      <c r="AG11475" s="14"/>
    </row>
    <row r="11476" spans="33:33">
      <c r="AG11476" s="14"/>
    </row>
    <row r="11477" spans="33:33">
      <c r="AG11477" s="14"/>
    </row>
    <row r="11478" spans="33:33">
      <c r="AG11478" s="14"/>
    </row>
    <row r="11479" spans="33:33">
      <c r="AG11479" s="14"/>
    </row>
    <row r="11480" spans="33:33">
      <c r="AG11480" s="14"/>
    </row>
    <row r="11481" spans="33:33">
      <c r="AG11481" s="14"/>
    </row>
    <row r="11482" spans="33:33">
      <c r="AG11482" s="14"/>
    </row>
    <row r="11483" spans="33:33">
      <c r="AG11483" s="14"/>
    </row>
    <row r="11484" spans="33:33">
      <c r="AG11484" s="14"/>
    </row>
    <row r="11485" spans="33:33">
      <c r="AG11485" s="14"/>
    </row>
    <row r="11486" spans="33:33">
      <c r="AG11486" s="14"/>
    </row>
    <row r="11487" spans="33:33">
      <c r="AG11487" s="14"/>
    </row>
    <row r="11488" spans="33:33">
      <c r="AG11488" s="14"/>
    </row>
    <row r="11489" spans="33:33">
      <c r="AG11489" s="14"/>
    </row>
    <row r="11490" spans="33:33">
      <c r="AG11490" s="14"/>
    </row>
    <row r="11491" spans="33:33">
      <c r="AG11491" s="14"/>
    </row>
    <row r="11492" spans="33:33">
      <c r="AG11492" s="14"/>
    </row>
    <row r="11493" spans="33:33">
      <c r="AG11493" s="14"/>
    </row>
    <row r="11494" spans="33:33">
      <c r="AG11494" s="14"/>
    </row>
    <row r="11495" spans="33:33">
      <c r="AG11495" s="14"/>
    </row>
    <row r="11496" spans="33:33">
      <c r="AG11496" s="14"/>
    </row>
    <row r="11497" spans="33:33">
      <c r="AG11497" s="14"/>
    </row>
    <row r="11498" spans="33:33">
      <c r="AG11498" s="14"/>
    </row>
    <row r="11499" spans="33:33">
      <c r="AG11499" s="14"/>
    </row>
    <row r="11500" spans="33:33">
      <c r="AG11500" s="14"/>
    </row>
    <row r="11501" spans="33:33">
      <c r="AG11501" s="14"/>
    </row>
    <row r="11502" spans="33:33">
      <c r="AG11502" s="14"/>
    </row>
    <row r="11503" spans="33:33">
      <c r="AG11503" s="14"/>
    </row>
    <row r="11504" spans="33:33">
      <c r="AG11504" s="14"/>
    </row>
    <row r="11505" spans="33:33">
      <c r="AG11505" s="14"/>
    </row>
    <row r="11506" spans="33:33">
      <c r="AG11506" s="14"/>
    </row>
    <row r="11507" spans="33:33">
      <c r="AG11507" s="14"/>
    </row>
    <row r="11508" spans="33:33">
      <c r="AG11508" s="14"/>
    </row>
    <row r="11509" spans="33:33">
      <c r="AG11509" s="14"/>
    </row>
    <row r="11510" spans="33:33">
      <c r="AG11510" s="14"/>
    </row>
    <row r="11511" spans="33:33">
      <c r="AG11511" s="14"/>
    </row>
    <row r="11512" spans="33:33">
      <c r="AG11512" s="14"/>
    </row>
    <row r="11513" spans="33:33">
      <c r="AG11513" s="14"/>
    </row>
    <row r="11514" spans="33:33">
      <c r="AG11514" s="14"/>
    </row>
    <row r="11515" spans="33:33">
      <c r="AG11515" s="14"/>
    </row>
    <row r="11516" spans="33:33">
      <c r="AG11516" s="14"/>
    </row>
    <row r="11517" spans="33:33">
      <c r="AG11517" s="14"/>
    </row>
    <row r="11518" spans="33:33">
      <c r="AG11518" s="14"/>
    </row>
    <row r="11519" spans="33:33">
      <c r="AG11519" s="14"/>
    </row>
    <row r="11520" spans="33:33">
      <c r="AG11520" s="14"/>
    </row>
    <row r="11521" spans="33:33">
      <c r="AG11521" s="14"/>
    </row>
    <row r="11522" spans="33:33">
      <c r="AG11522" s="14"/>
    </row>
    <row r="11523" spans="33:33">
      <c r="AG11523" s="14"/>
    </row>
    <row r="11524" spans="33:33">
      <c r="AG11524" s="14"/>
    </row>
    <row r="11525" spans="33:33">
      <c r="AG11525" s="14"/>
    </row>
    <row r="11526" spans="33:33">
      <c r="AG11526" s="14"/>
    </row>
    <row r="11527" spans="33:33">
      <c r="AG11527" s="14"/>
    </row>
    <row r="11528" spans="33:33">
      <c r="AG11528" s="14"/>
    </row>
    <row r="11529" spans="33:33">
      <c r="AG11529" s="14"/>
    </row>
    <row r="11530" spans="33:33">
      <c r="AG11530" s="14"/>
    </row>
    <row r="11531" spans="33:33">
      <c r="AG11531" s="14"/>
    </row>
    <row r="11532" spans="33:33">
      <c r="AG11532" s="14"/>
    </row>
    <row r="11533" spans="33:33">
      <c r="AG11533" s="14"/>
    </row>
    <row r="11534" spans="33:33">
      <c r="AG11534" s="14"/>
    </row>
    <row r="11535" spans="33:33">
      <c r="AG11535" s="14"/>
    </row>
    <row r="11536" spans="33:33">
      <c r="AG11536" s="14"/>
    </row>
    <row r="11537" spans="33:33">
      <c r="AG11537" s="14"/>
    </row>
    <row r="11538" spans="33:33">
      <c r="AG11538" s="14"/>
    </row>
    <row r="11539" spans="33:33">
      <c r="AG11539" s="14"/>
    </row>
    <row r="11540" spans="33:33">
      <c r="AG11540" s="14"/>
    </row>
    <row r="11541" spans="33:33">
      <c r="AG11541" s="14"/>
    </row>
    <row r="11542" spans="33:33">
      <c r="AG11542" s="14"/>
    </row>
    <row r="11543" spans="33:33">
      <c r="AG11543" s="14"/>
    </row>
    <row r="11544" spans="33:33">
      <c r="AG11544" s="14"/>
    </row>
    <row r="11545" spans="33:33">
      <c r="AG11545" s="14"/>
    </row>
    <row r="11546" spans="33:33">
      <c r="AG11546" s="14"/>
    </row>
    <row r="11547" spans="33:33">
      <c r="AG11547" s="14"/>
    </row>
    <row r="11548" spans="33:33">
      <c r="AG11548" s="14"/>
    </row>
    <row r="11549" spans="33:33">
      <c r="AG11549" s="14"/>
    </row>
    <row r="11550" spans="33:33">
      <c r="AG11550" s="14"/>
    </row>
    <row r="11551" spans="33:33">
      <c r="AG11551" s="14"/>
    </row>
    <row r="11552" spans="33:33">
      <c r="AG11552" s="14"/>
    </row>
    <row r="11553" spans="33:33">
      <c r="AG11553" s="14"/>
    </row>
    <row r="11554" spans="33:33">
      <c r="AG11554" s="14"/>
    </row>
    <row r="11555" spans="33:33">
      <c r="AG11555" s="14"/>
    </row>
    <row r="11556" spans="33:33">
      <c r="AG11556" s="14"/>
    </row>
    <row r="11557" spans="33:33">
      <c r="AG11557" s="14"/>
    </row>
    <row r="11558" spans="33:33">
      <c r="AG11558" s="14"/>
    </row>
    <row r="11559" spans="33:33">
      <c r="AG11559" s="14"/>
    </row>
    <row r="11560" spans="33:33">
      <c r="AG11560" s="14"/>
    </row>
    <row r="11561" spans="33:33">
      <c r="AG11561" s="14"/>
    </row>
    <row r="11562" spans="33:33">
      <c r="AG11562" s="14"/>
    </row>
    <row r="11563" spans="33:33">
      <c r="AG11563" s="14"/>
    </row>
    <row r="11564" spans="33:33">
      <c r="AG11564" s="14"/>
    </row>
    <row r="11565" spans="33:33">
      <c r="AG11565" s="14"/>
    </row>
    <row r="11566" spans="33:33">
      <c r="AG11566" s="14"/>
    </row>
    <row r="11567" spans="33:33">
      <c r="AG11567" s="14"/>
    </row>
    <row r="11568" spans="33:33">
      <c r="AG11568" s="14"/>
    </row>
    <row r="11569" spans="33:33">
      <c r="AG11569" s="14"/>
    </row>
    <row r="11570" spans="33:33">
      <c r="AG11570" s="14"/>
    </row>
    <row r="11571" spans="33:33">
      <c r="AG11571" s="14"/>
    </row>
    <row r="11572" spans="33:33">
      <c r="AG11572" s="14"/>
    </row>
    <row r="11573" spans="33:33">
      <c r="AG11573" s="14"/>
    </row>
    <row r="11574" spans="33:33">
      <c r="AG11574" s="14"/>
    </row>
    <row r="11575" spans="33:33">
      <c r="AG11575" s="14"/>
    </row>
    <row r="11576" spans="33:33">
      <c r="AG11576" s="14"/>
    </row>
    <row r="11577" spans="33:33">
      <c r="AG11577" s="14"/>
    </row>
    <row r="11578" spans="33:33">
      <c r="AG11578" s="14"/>
    </row>
    <row r="11579" spans="33:33">
      <c r="AG11579" s="14"/>
    </row>
    <row r="11580" spans="33:33">
      <c r="AG11580" s="14"/>
    </row>
    <row r="11581" spans="33:33">
      <c r="AG11581" s="14"/>
    </row>
    <row r="11582" spans="33:33">
      <c r="AG11582" s="14"/>
    </row>
    <row r="11583" spans="33:33">
      <c r="AG11583" s="14"/>
    </row>
    <row r="11584" spans="33:33">
      <c r="AG11584" s="14"/>
    </row>
    <row r="11585" spans="33:33">
      <c r="AG11585" s="14"/>
    </row>
    <row r="11586" spans="33:33">
      <c r="AG11586" s="14"/>
    </row>
    <row r="11587" spans="33:33">
      <c r="AG11587" s="14"/>
    </row>
    <row r="11588" spans="33:33">
      <c r="AG11588" s="14"/>
    </row>
    <row r="11589" spans="33:33">
      <c r="AG11589" s="14"/>
    </row>
    <row r="11590" spans="33:33">
      <c r="AG11590" s="14"/>
    </row>
    <row r="11591" spans="33:33">
      <c r="AG11591" s="14"/>
    </row>
    <row r="11592" spans="33:33">
      <c r="AG11592" s="14"/>
    </row>
    <row r="11593" spans="33:33">
      <c r="AG11593" s="14"/>
    </row>
    <row r="11594" spans="33:33">
      <c r="AG11594" s="14"/>
    </row>
    <row r="11595" spans="33:33">
      <c r="AG11595" s="14"/>
    </row>
    <row r="11596" spans="33:33">
      <c r="AG11596" s="14"/>
    </row>
    <row r="11597" spans="33:33">
      <c r="AG11597" s="14"/>
    </row>
    <row r="11598" spans="33:33">
      <c r="AG11598" s="14"/>
    </row>
    <row r="11599" spans="33:33">
      <c r="AG11599" s="14"/>
    </row>
    <row r="11600" spans="33:33">
      <c r="AG11600" s="14"/>
    </row>
    <row r="11601" spans="33:33">
      <c r="AG11601" s="14"/>
    </row>
    <row r="11602" spans="33:33">
      <c r="AG11602" s="14"/>
    </row>
    <row r="11603" spans="33:33">
      <c r="AG11603" s="14"/>
    </row>
    <row r="11604" spans="33:33">
      <c r="AG11604" s="14"/>
    </row>
    <row r="11605" spans="33:33">
      <c r="AG11605" s="14"/>
    </row>
    <row r="11606" spans="33:33">
      <c r="AG11606" s="14"/>
    </row>
    <row r="11607" spans="33:33">
      <c r="AG11607" s="14"/>
    </row>
    <row r="11608" spans="33:33">
      <c r="AG11608" s="14"/>
    </row>
    <row r="11609" spans="33:33">
      <c r="AG11609" s="14"/>
    </row>
    <row r="11610" spans="33:33">
      <c r="AG11610" s="14"/>
    </row>
    <row r="11611" spans="33:33">
      <c r="AG11611" s="14"/>
    </row>
    <row r="11612" spans="33:33">
      <c r="AG11612" s="14"/>
    </row>
    <row r="11613" spans="33:33">
      <c r="AG11613" s="14"/>
    </row>
    <row r="11614" spans="33:33">
      <c r="AG11614" s="14"/>
    </row>
    <row r="11615" spans="33:33">
      <c r="AG11615" s="14"/>
    </row>
    <row r="11616" spans="33:33">
      <c r="AG11616" s="14"/>
    </row>
    <row r="11617" spans="33:33">
      <c r="AG11617" s="14"/>
    </row>
    <row r="11618" spans="33:33">
      <c r="AG11618" s="14"/>
    </row>
    <row r="11619" spans="33:33">
      <c r="AG11619" s="14"/>
    </row>
    <row r="11620" spans="33:33">
      <c r="AG11620" s="14"/>
    </row>
    <row r="11621" spans="33:33">
      <c r="AG11621" s="14"/>
    </row>
    <row r="11622" spans="33:33">
      <c r="AG11622" s="14"/>
    </row>
    <row r="11623" spans="33:33">
      <c r="AG11623" s="14"/>
    </row>
    <row r="11624" spans="33:33">
      <c r="AG11624" s="14"/>
    </row>
    <row r="11625" spans="33:33">
      <c r="AG11625" s="14"/>
    </row>
    <row r="11626" spans="33:33">
      <c r="AG11626" s="14"/>
    </row>
    <row r="11627" spans="33:33">
      <c r="AG11627" s="14"/>
    </row>
    <row r="11628" spans="33:33">
      <c r="AG11628" s="14"/>
    </row>
    <row r="11629" spans="33:33">
      <c r="AG11629" s="14"/>
    </row>
    <row r="11630" spans="33:33">
      <c r="AG11630" s="14"/>
    </row>
    <row r="11631" spans="33:33">
      <c r="AG11631" s="14"/>
    </row>
    <row r="11632" spans="33:33">
      <c r="AG11632" s="14"/>
    </row>
    <row r="11633" spans="33:33">
      <c r="AG11633" s="14"/>
    </row>
    <row r="11634" spans="33:33">
      <c r="AG11634" s="14"/>
    </row>
    <row r="11635" spans="33:33">
      <c r="AG11635" s="14"/>
    </row>
    <row r="11636" spans="33:33">
      <c r="AG11636" s="14"/>
    </row>
    <row r="11637" spans="33:33">
      <c r="AG11637" s="14"/>
    </row>
    <row r="11638" spans="33:33">
      <c r="AG11638" s="14"/>
    </row>
    <row r="11639" spans="33:33">
      <c r="AG11639" s="14"/>
    </row>
    <row r="11640" spans="33:33">
      <c r="AG11640" s="14"/>
    </row>
    <row r="11641" spans="33:33">
      <c r="AG11641" s="14"/>
    </row>
    <row r="11642" spans="33:33">
      <c r="AG11642" s="14"/>
    </row>
    <row r="11643" spans="33:33">
      <c r="AG11643" s="14"/>
    </row>
    <row r="11644" spans="33:33">
      <c r="AG11644" s="14"/>
    </row>
    <row r="11645" spans="33:33">
      <c r="AG11645" s="14"/>
    </row>
    <row r="11646" spans="33:33">
      <c r="AG11646" s="14"/>
    </row>
    <row r="11647" spans="33:33">
      <c r="AG11647" s="14"/>
    </row>
    <row r="11648" spans="33:33">
      <c r="AG11648" s="14"/>
    </row>
    <row r="11649" spans="33:33">
      <c r="AG11649" s="14"/>
    </row>
    <row r="11650" spans="33:33">
      <c r="AG11650" s="14"/>
    </row>
    <row r="11651" spans="33:33">
      <c r="AG11651" s="14"/>
    </row>
    <row r="11652" spans="33:33">
      <c r="AG11652" s="14"/>
    </row>
    <row r="11653" spans="33:33">
      <c r="AG11653" s="14"/>
    </row>
    <row r="11654" spans="33:33">
      <c r="AG11654" s="14"/>
    </row>
    <row r="11655" spans="33:33">
      <c r="AG11655" s="14"/>
    </row>
    <row r="11656" spans="33:33">
      <c r="AG11656" s="14"/>
    </row>
    <row r="11657" spans="33:33">
      <c r="AG11657" s="14"/>
    </row>
    <row r="11658" spans="33:33">
      <c r="AG11658" s="14"/>
    </row>
    <row r="11659" spans="33:33">
      <c r="AG11659" s="14"/>
    </row>
    <row r="11660" spans="33:33">
      <c r="AG11660" s="14"/>
    </row>
    <row r="11661" spans="33:33">
      <c r="AG11661" s="14"/>
    </row>
    <row r="11662" spans="33:33">
      <c r="AG11662" s="14"/>
    </row>
    <row r="11663" spans="33:33">
      <c r="AG11663" s="14"/>
    </row>
    <row r="11664" spans="33:33">
      <c r="AG11664" s="14"/>
    </row>
    <row r="11665" spans="33:33">
      <c r="AG11665" s="14"/>
    </row>
    <row r="11666" spans="33:33">
      <c r="AG11666" s="14"/>
    </row>
    <row r="11667" spans="33:33">
      <c r="AG11667" s="14"/>
    </row>
    <row r="11668" spans="33:33">
      <c r="AG11668" s="14"/>
    </row>
    <row r="11669" spans="33:33">
      <c r="AG11669" s="14"/>
    </row>
    <row r="11670" spans="33:33">
      <c r="AG11670" s="14"/>
    </row>
    <row r="11671" spans="33:33">
      <c r="AG11671" s="14"/>
    </row>
    <row r="11672" spans="33:33">
      <c r="AG11672" s="14"/>
    </row>
    <row r="11673" spans="33:33">
      <c r="AG11673" s="14"/>
    </row>
    <row r="11674" spans="33:33">
      <c r="AG11674" s="14"/>
    </row>
    <row r="11675" spans="33:33">
      <c r="AG11675" s="14"/>
    </row>
    <row r="11676" spans="33:33">
      <c r="AG11676" s="14"/>
    </row>
    <row r="11677" spans="33:33">
      <c r="AG11677" s="14"/>
    </row>
    <row r="11678" spans="33:33">
      <c r="AG11678" s="14"/>
    </row>
    <row r="11679" spans="33:33">
      <c r="AG11679" s="14"/>
    </row>
    <row r="11680" spans="33:33">
      <c r="AG11680" s="14"/>
    </row>
    <row r="11681" spans="33:33">
      <c r="AG11681" s="14"/>
    </row>
    <row r="11682" spans="33:33">
      <c r="AG11682" s="14"/>
    </row>
    <row r="11683" spans="33:33">
      <c r="AG11683" s="14"/>
    </row>
    <row r="11684" spans="33:33">
      <c r="AG11684" s="14"/>
    </row>
    <row r="11685" spans="33:33">
      <c r="AG11685" s="14"/>
    </row>
    <row r="11686" spans="33:33">
      <c r="AG11686" s="14"/>
    </row>
    <row r="11687" spans="33:33">
      <c r="AG11687" s="14"/>
    </row>
    <row r="11688" spans="33:33">
      <c r="AG11688" s="14"/>
    </row>
    <row r="11689" spans="33:33">
      <c r="AG11689" s="14"/>
    </row>
    <row r="11690" spans="33:33">
      <c r="AG11690" s="14"/>
    </row>
    <row r="11691" spans="33:33">
      <c r="AG11691" s="14"/>
    </row>
    <row r="11692" spans="33:33">
      <c r="AG11692" s="14"/>
    </row>
    <row r="11693" spans="33:33">
      <c r="AG11693" s="14"/>
    </row>
    <row r="11694" spans="33:33">
      <c r="AG11694" s="14"/>
    </row>
    <row r="11695" spans="33:33">
      <c r="AG11695" s="14"/>
    </row>
    <row r="11696" spans="33:33">
      <c r="AG11696" s="14"/>
    </row>
    <row r="11697" spans="33:33">
      <c r="AG11697" s="14"/>
    </row>
    <row r="11698" spans="33:33">
      <c r="AG11698" s="14"/>
    </row>
    <row r="11699" spans="33:33">
      <c r="AG11699" s="14"/>
    </row>
    <row r="11700" spans="33:33">
      <c r="AG11700" s="14"/>
    </row>
    <row r="11701" spans="33:33">
      <c r="AG11701" s="14"/>
    </row>
    <row r="11702" spans="33:33">
      <c r="AG11702" s="14"/>
    </row>
    <row r="11703" spans="33:33">
      <c r="AG11703" s="14"/>
    </row>
    <row r="11704" spans="33:33">
      <c r="AG11704" s="14"/>
    </row>
    <row r="11705" spans="33:33">
      <c r="AG11705" s="14"/>
    </row>
    <row r="11706" spans="33:33">
      <c r="AG11706" s="14"/>
    </row>
    <row r="11707" spans="33:33">
      <c r="AG11707" s="14"/>
    </row>
    <row r="11708" spans="33:33">
      <c r="AG11708" s="14"/>
    </row>
    <row r="11709" spans="33:33">
      <c r="AG11709" s="14"/>
    </row>
    <row r="11710" spans="33:33">
      <c r="AG11710" s="14"/>
    </row>
    <row r="11711" spans="33:33">
      <c r="AG11711" s="14"/>
    </row>
    <row r="11712" spans="33:33">
      <c r="AG11712" s="14"/>
    </row>
    <row r="11713" spans="33:33">
      <c r="AG11713" s="14"/>
    </row>
    <row r="11714" spans="33:33">
      <c r="AG11714" s="14"/>
    </row>
    <row r="11715" spans="33:33">
      <c r="AG11715" s="14"/>
    </row>
    <row r="11716" spans="33:33">
      <c r="AG11716" s="14"/>
    </row>
    <row r="11717" spans="33:33">
      <c r="AG11717" s="14"/>
    </row>
    <row r="11718" spans="33:33">
      <c r="AG11718" s="14"/>
    </row>
    <row r="11719" spans="33:33">
      <c r="AG11719" s="14"/>
    </row>
    <row r="11720" spans="33:33">
      <c r="AG11720" s="14"/>
    </row>
    <row r="11721" spans="33:33">
      <c r="AG11721" s="14"/>
    </row>
    <row r="11722" spans="33:33">
      <c r="AG11722" s="14"/>
    </row>
    <row r="11723" spans="33:33">
      <c r="AG11723" s="14"/>
    </row>
    <row r="11724" spans="33:33">
      <c r="AG11724" s="14"/>
    </row>
    <row r="11725" spans="33:33">
      <c r="AG11725" s="14"/>
    </row>
    <row r="11726" spans="33:33">
      <c r="AG11726" s="14"/>
    </row>
    <row r="11727" spans="33:33">
      <c r="AG11727" s="14"/>
    </row>
    <row r="11728" spans="33:33">
      <c r="AG11728" s="14"/>
    </row>
    <row r="11729" spans="33:33">
      <c r="AG11729" s="14"/>
    </row>
    <row r="11730" spans="33:33">
      <c r="AG11730" s="14"/>
    </row>
    <row r="11731" spans="33:33">
      <c r="AG11731" s="14"/>
    </row>
    <row r="11732" spans="33:33">
      <c r="AG11732" s="14"/>
    </row>
    <row r="11733" spans="33:33">
      <c r="AG11733" s="14"/>
    </row>
    <row r="11734" spans="33:33">
      <c r="AG11734" s="14"/>
    </row>
    <row r="11735" spans="33:33">
      <c r="AG11735" s="14"/>
    </row>
    <row r="11736" spans="33:33">
      <c r="AG11736" s="14"/>
    </row>
    <row r="11737" spans="33:33">
      <c r="AG11737" s="14"/>
    </row>
    <row r="11738" spans="33:33">
      <c r="AG11738" s="14"/>
    </row>
    <row r="11739" spans="33:33">
      <c r="AG11739" s="14"/>
    </row>
    <row r="11740" spans="33:33">
      <c r="AG11740" s="14"/>
    </row>
    <row r="11741" spans="33:33">
      <c r="AG11741" s="14"/>
    </row>
    <row r="11742" spans="33:33">
      <c r="AG11742" s="14"/>
    </row>
    <row r="11743" spans="33:33">
      <c r="AG11743" s="14"/>
    </row>
    <row r="11744" spans="33:33">
      <c r="AG11744" s="14"/>
    </row>
    <row r="11745" spans="33:33">
      <c r="AG11745" s="14"/>
    </row>
    <row r="11746" spans="33:33">
      <c r="AG11746" s="14"/>
    </row>
    <row r="11747" spans="33:33">
      <c r="AG11747" s="14"/>
    </row>
    <row r="11748" spans="33:33">
      <c r="AG11748" s="14"/>
    </row>
    <row r="11749" spans="33:33">
      <c r="AG11749" s="14"/>
    </row>
    <row r="11750" spans="33:33">
      <c r="AG11750" s="14"/>
    </row>
    <row r="11751" spans="33:33">
      <c r="AG11751" s="14"/>
    </row>
    <row r="11752" spans="33:33">
      <c r="AG11752" s="14"/>
    </row>
    <row r="11753" spans="33:33">
      <c r="AG11753" s="14"/>
    </row>
    <row r="11754" spans="33:33">
      <c r="AG11754" s="14"/>
    </row>
    <row r="11755" spans="33:33">
      <c r="AG11755" s="14"/>
    </row>
    <row r="11756" spans="33:33">
      <c r="AG11756" s="14"/>
    </row>
    <row r="11757" spans="33:33">
      <c r="AG11757" s="14"/>
    </row>
    <row r="11758" spans="33:33">
      <c r="AG11758" s="14"/>
    </row>
    <row r="11759" spans="33:33">
      <c r="AG11759" s="14"/>
    </row>
    <row r="11760" spans="33:33">
      <c r="AG11760" s="14"/>
    </row>
    <row r="11761" spans="33:33">
      <c r="AG11761" s="14"/>
    </row>
    <row r="11762" spans="33:33">
      <c r="AG11762" s="14"/>
    </row>
    <row r="11763" spans="33:33">
      <c r="AG11763" s="14"/>
    </row>
    <row r="11764" spans="33:33">
      <c r="AG11764" s="14"/>
    </row>
    <row r="11765" spans="33:33">
      <c r="AG11765" s="14"/>
    </row>
    <row r="11766" spans="33:33">
      <c r="AG11766" s="14"/>
    </row>
    <row r="11767" spans="33:33">
      <c r="AG11767" s="14"/>
    </row>
    <row r="11768" spans="33:33">
      <c r="AG11768" s="14"/>
    </row>
    <row r="11769" spans="33:33">
      <c r="AG11769" s="14"/>
    </row>
    <row r="11770" spans="33:33">
      <c r="AG11770" s="14"/>
    </row>
    <row r="11771" spans="33:33">
      <c r="AG11771" s="14"/>
    </row>
    <row r="11772" spans="33:33">
      <c r="AG11772" s="14"/>
    </row>
    <row r="11773" spans="33:33">
      <c r="AG11773" s="14"/>
    </row>
    <row r="11774" spans="33:33">
      <c r="AG11774" s="14"/>
    </row>
    <row r="11775" spans="33:33">
      <c r="AG11775" s="14"/>
    </row>
    <row r="11776" spans="33:33">
      <c r="AG11776" s="14"/>
    </row>
    <row r="11777" spans="33:33">
      <c r="AG11777" s="14"/>
    </row>
    <row r="11778" spans="33:33">
      <c r="AG11778" s="14"/>
    </row>
    <row r="11779" spans="33:33">
      <c r="AG11779" s="14"/>
    </row>
    <row r="11780" spans="33:33">
      <c r="AG11780" s="14"/>
    </row>
    <row r="11781" spans="33:33">
      <c r="AG11781" s="14"/>
    </row>
    <row r="11782" spans="33:33">
      <c r="AG11782" s="14"/>
    </row>
    <row r="11783" spans="33:33">
      <c r="AG11783" s="14"/>
    </row>
    <row r="11784" spans="33:33">
      <c r="AG11784" s="14"/>
    </row>
    <row r="11785" spans="33:33">
      <c r="AG11785" s="14"/>
    </row>
    <row r="11786" spans="33:33">
      <c r="AG11786" s="14"/>
    </row>
    <row r="11787" spans="33:33">
      <c r="AG11787" s="14"/>
    </row>
    <row r="11788" spans="33:33">
      <c r="AG11788" s="14"/>
    </row>
    <row r="11789" spans="33:33">
      <c r="AG11789" s="14"/>
    </row>
    <row r="11790" spans="33:33">
      <c r="AG11790" s="14"/>
    </row>
    <row r="11791" spans="33:33">
      <c r="AG11791" s="14"/>
    </row>
    <row r="11792" spans="33:33">
      <c r="AG11792" s="14"/>
    </row>
    <row r="11793" spans="33:33">
      <c r="AG11793" s="14"/>
    </row>
    <row r="11794" spans="33:33">
      <c r="AG11794" s="14"/>
    </row>
    <row r="11795" spans="33:33">
      <c r="AG11795" s="14"/>
    </row>
    <row r="11796" spans="33:33">
      <c r="AG11796" s="14"/>
    </row>
    <row r="11797" spans="33:33">
      <c r="AG11797" s="14"/>
    </row>
    <row r="11798" spans="33:33">
      <c r="AG11798" s="14"/>
    </row>
    <row r="11799" spans="33:33">
      <c r="AG11799" s="14"/>
    </row>
    <row r="11800" spans="33:33">
      <c r="AG11800" s="14"/>
    </row>
    <row r="11801" spans="33:33">
      <c r="AG11801" s="14"/>
    </row>
    <row r="11802" spans="33:33">
      <c r="AG11802" s="14"/>
    </row>
    <row r="11803" spans="33:33">
      <c r="AG11803" s="14"/>
    </row>
    <row r="11804" spans="33:33">
      <c r="AG11804" s="14"/>
    </row>
    <row r="11805" spans="33:33">
      <c r="AG11805" s="14"/>
    </row>
    <row r="11806" spans="33:33">
      <c r="AG11806" s="14"/>
    </row>
    <row r="11807" spans="33:33">
      <c r="AG11807" s="14"/>
    </row>
    <row r="11808" spans="33:33">
      <c r="AG11808" s="14"/>
    </row>
    <row r="11809" spans="33:33">
      <c r="AG11809" s="14"/>
    </row>
    <row r="11810" spans="33:33">
      <c r="AG11810" s="14"/>
    </row>
    <row r="11811" spans="33:33">
      <c r="AG11811" s="14"/>
    </row>
    <row r="11812" spans="33:33">
      <c r="AG11812" s="14"/>
    </row>
    <row r="11813" spans="33:33">
      <c r="AG11813" s="14"/>
    </row>
    <row r="11814" spans="33:33">
      <c r="AG11814" s="14"/>
    </row>
    <row r="11815" spans="33:33">
      <c r="AG11815" s="14"/>
    </row>
    <row r="11816" spans="33:33">
      <c r="AG11816" s="14"/>
    </row>
    <row r="11817" spans="33:33">
      <c r="AG11817" s="14"/>
    </row>
    <row r="11818" spans="33:33">
      <c r="AG11818" s="14"/>
    </row>
    <row r="11819" spans="33:33">
      <c r="AG11819" s="14"/>
    </row>
    <row r="11820" spans="33:33">
      <c r="AG11820" s="14"/>
    </row>
    <row r="11821" spans="33:33">
      <c r="AG11821" s="14"/>
    </row>
    <row r="11822" spans="33:33">
      <c r="AG11822" s="14"/>
    </row>
    <row r="11823" spans="33:33">
      <c r="AG11823" s="14"/>
    </row>
    <row r="11824" spans="33:33">
      <c r="AG11824" s="14"/>
    </row>
    <row r="11825" spans="33:33">
      <c r="AG11825" s="14"/>
    </row>
    <row r="11826" spans="33:33">
      <c r="AG11826" s="14"/>
    </row>
    <row r="11827" spans="33:33">
      <c r="AG11827" s="14"/>
    </row>
    <row r="11828" spans="33:33">
      <c r="AG11828" s="14"/>
    </row>
    <row r="11829" spans="33:33">
      <c r="AG11829" s="14"/>
    </row>
    <row r="11830" spans="33:33">
      <c r="AG11830" s="14"/>
    </row>
    <row r="11831" spans="33:33">
      <c r="AG11831" s="14"/>
    </row>
    <row r="11832" spans="33:33">
      <c r="AG11832" s="14"/>
    </row>
    <row r="11833" spans="33:33">
      <c r="AG11833" s="14"/>
    </row>
    <row r="11834" spans="33:33">
      <c r="AG11834" s="14"/>
    </row>
    <row r="11835" spans="33:33">
      <c r="AG11835" s="14"/>
    </row>
    <row r="11836" spans="33:33">
      <c r="AG11836" s="14"/>
    </row>
    <row r="11837" spans="33:33">
      <c r="AG11837" s="14"/>
    </row>
    <row r="11838" spans="33:33">
      <c r="AG11838" s="14"/>
    </row>
    <row r="11839" spans="33:33">
      <c r="AG11839" s="14"/>
    </row>
    <row r="11840" spans="33:33">
      <c r="AG11840" s="14"/>
    </row>
    <row r="11841" spans="33:33">
      <c r="AG11841" s="14"/>
    </row>
    <row r="11842" spans="33:33">
      <c r="AG11842" s="14"/>
    </row>
    <row r="11843" spans="33:33">
      <c r="AG11843" s="14"/>
    </row>
    <row r="11844" spans="33:33">
      <c r="AG11844" s="14"/>
    </row>
    <row r="11845" spans="33:33">
      <c r="AG11845" s="14"/>
    </row>
    <row r="11846" spans="33:33">
      <c r="AG11846" s="14"/>
    </row>
    <row r="11847" spans="33:33">
      <c r="AG11847" s="14"/>
    </row>
    <row r="11848" spans="33:33">
      <c r="AG11848" s="14"/>
    </row>
    <row r="11849" spans="33:33">
      <c r="AG11849" s="14"/>
    </row>
    <row r="11850" spans="33:33">
      <c r="AG11850" s="14"/>
    </row>
    <row r="11851" spans="33:33">
      <c r="AG11851" s="14"/>
    </row>
    <row r="11852" spans="33:33">
      <c r="AG11852" s="14"/>
    </row>
    <row r="11853" spans="33:33">
      <c r="AG11853" s="14"/>
    </row>
    <row r="11854" spans="33:33">
      <c r="AG11854" s="14"/>
    </row>
    <row r="11855" spans="33:33">
      <c r="AG11855" s="14"/>
    </row>
    <row r="11856" spans="33:33">
      <c r="AG11856" s="14"/>
    </row>
    <row r="11857" spans="33:33">
      <c r="AG11857" s="14"/>
    </row>
    <row r="11858" spans="33:33">
      <c r="AG11858" s="14"/>
    </row>
    <row r="11859" spans="33:33">
      <c r="AG11859" s="14"/>
    </row>
    <row r="11860" spans="33:33">
      <c r="AG11860" s="14"/>
    </row>
    <row r="11861" spans="33:33">
      <c r="AG11861" s="14"/>
    </row>
    <row r="11862" spans="33:33">
      <c r="AG11862" s="14"/>
    </row>
    <row r="11863" spans="33:33">
      <c r="AG11863" s="14"/>
    </row>
    <row r="11864" spans="33:33">
      <c r="AG11864" s="14"/>
    </row>
    <row r="11865" spans="33:33">
      <c r="AG11865" s="14"/>
    </row>
    <row r="11866" spans="33:33">
      <c r="AG11866" s="14"/>
    </row>
    <row r="11867" spans="33:33">
      <c r="AG11867" s="14"/>
    </row>
    <row r="11868" spans="33:33">
      <c r="AG11868" s="14"/>
    </row>
    <row r="11869" spans="33:33">
      <c r="AG11869" s="14"/>
    </row>
    <row r="11870" spans="33:33">
      <c r="AG11870" s="14"/>
    </row>
    <row r="11871" spans="33:33">
      <c r="AG11871" s="14"/>
    </row>
    <row r="11872" spans="33:33">
      <c r="AG11872" s="14"/>
    </row>
    <row r="11873" spans="33:33">
      <c r="AG11873" s="14"/>
    </row>
    <row r="11874" spans="33:33">
      <c r="AG11874" s="14"/>
    </row>
    <row r="11875" spans="33:33">
      <c r="AG11875" s="14"/>
    </row>
    <row r="11876" spans="33:33">
      <c r="AG11876" s="14"/>
    </row>
    <row r="11877" spans="33:33">
      <c r="AG11877" s="14"/>
    </row>
    <row r="11878" spans="33:33">
      <c r="AG11878" s="14"/>
    </row>
    <row r="11879" spans="33:33">
      <c r="AG11879" s="14"/>
    </row>
    <row r="11880" spans="33:33">
      <c r="AG11880" s="14"/>
    </row>
    <row r="11881" spans="33:33">
      <c r="AG11881" s="14"/>
    </row>
    <row r="11882" spans="33:33">
      <c r="AG11882" s="14"/>
    </row>
    <row r="11883" spans="33:33">
      <c r="AG11883" s="14"/>
    </row>
    <row r="11884" spans="33:33">
      <c r="AG11884" s="14"/>
    </row>
    <row r="11885" spans="33:33">
      <c r="AG11885" s="14"/>
    </row>
    <row r="11886" spans="33:33">
      <c r="AG11886" s="14"/>
    </row>
    <row r="11887" spans="33:33">
      <c r="AG11887" s="14"/>
    </row>
    <row r="11888" spans="33:33">
      <c r="AG11888" s="14"/>
    </row>
    <row r="11889" spans="33:33">
      <c r="AG11889" s="14"/>
    </row>
    <row r="11890" spans="33:33">
      <c r="AG11890" s="14"/>
    </row>
    <row r="11891" spans="33:33">
      <c r="AG11891" s="14"/>
    </row>
    <row r="11892" spans="33:33">
      <c r="AG11892" s="14"/>
    </row>
    <row r="11893" spans="33:33">
      <c r="AG11893" s="14"/>
    </row>
    <row r="11894" spans="33:33">
      <c r="AG11894" s="14"/>
    </row>
    <row r="11895" spans="33:33">
      <c r="AG11895" s="14"/>
    </row>
    <row r="11896" spans="33:33">
      <c r="AG11896" s="14"/>
    </row>
    <row r="11897" spans="33:33">
      <c r="AG11897" s="14"/>
    </row>
    <row r="11898" spans="33:33">
      <c r="AG11898" s="14"/>
    </row>
    <row r="11899" spans="33:33">
      <c r="AG11899" s="14"/>
    </row>
    <row r="11900" spans="33:33">
      <c r="AG11900" s="14"/>
    </row>
    <row r="11901" spans="33:33">
      <c r="AG11901" s="14"/>
    </row>
    <row r="11902" spans="33:33">
      <c r="AG11902" s="14"/>
    </row>
    <row r="11903" spans="33:33">
      <c r="AG11903" s="14"/>
    </row>
    <row r="11904" spans="33:33">
      <c r="AG11904" s="14"/>
    </row>
    <row r="11905" spans="33:33">
      <c r="AG11905" s="14"/>
    </row>
    <row r="11906" spans="33:33">
      <c r="AG11906" s="14"/>
    </row>
    <row r="11907" spans="33:33">
      <c r="AG11907" s="14"/>
    </row>
    <row r="11908" spans="33:33">
      <c r="AG11908" s="14"/>
    </row>
    <row r="11909" spans="33:33">
      <c r="AG11909" s="14"/>
    </row>
    <row r="11910" spans="33:33">
      <c r="AG11910" s="14"/>
    </row>
    <row r="11911" spans="33:33">
      <c r="AG11911" s="14"/>
    </row>
    <row r="11912" spans="33:33">
      <c r="AG11912" s="14"/>
    </row>
    <row r="11913" spans="33:33">
      <c r="AG11913" s="14"/>
    </row>
    <row r="11914" spans="33:33">
      <c r="AG11914" s="14"/>
    </row>
    <row r="11915" spans="33:33">
      <c r="AG11915" s="14"/>
    </row>
    <row r="11916" spans="33:33">
      <c r="AG11916" s="14"/>
    </row>
    <row r="11917" spans="33:33">
      <c r="AG11917" s="14"/>
    </row>
    <row r="11918" spans="33:33">
      <c r="AG11918" s="14"/>
    </row>
    <row r="11919" spans="33:33">
      <c r="AG11919" s="14"/>
    </row>
    <row r="11920" spans="33:33">
      <c r="AG11920" s="14"/>
    </row>
    <row r="11921" spans="33:33">
      <c r="AG11921" s="14"/>
    </row>
    <row r="11922" spans="33:33">
      <c r="AG11922" s="14"/>
    </row>
    <row r="11923" spans="33:33">
      <c r="AG11923" s="14"/>
    </row>
    <row r="11924" spans="33:33">
      <c r="AG11924" s="14"/>
    </row>
    <row r="11925" spans="33:33">
      <c r="AG11925" s="14"/>
    </row>
    <row r="11926" spans="33:33">
      <c r="AG11926" s="14"/>
    </row>
    <row r="11927" spans="33:33">
      <c r="AG11927" s="14"/>
    </row>
    <row r="11928" spans="33:33">
      <c r="AG11928" s="14"/>
    </row>
    <row r="11929" spans="33:33">
      <c r="AG11929" s="14"/>
    </row>
    <row r="11930" spans="33:33">
      <c r="AG11930" s="14"/>
    </row>
    <row r="11931" spans="33:33">
      <c r="AG11931" s="14"/>
    </row>
    <row r="11932" spans="33:33">
      <c r="AG11932" s="14"/>
    </row>
    <row r="11933" spans="33:33">
      <c r="AG11933" s="14"/>
    </row>
    <row r="11934" spans="33:33">
      <c r="AG11934" s="14"/>
    </row>
    <row r="11935" spans="33:33">
      <c r="AG11935" s="14"/>
    </row>
    <row r="11936" spans="33:33">
      <c r="AG11936" s="14"/>
    </row>
    <row r="11937" spans="33:33">
      <c r="AG11937" s="14"/>
    </row>
    <row r="11938" spans="33:33">
      <c r="AG11938" s="14"/>
    </row>
    <row r="11939" spans="33:33">
      <c r="AG11939" s="14"/>
    </row>
    <row r="11940" spans="33:33">
      <c r="AG11940" s="14"/>
    </row>
    <row r="11941" spans="33:33">
      <c r="AG11941" s="14"/>
    </row>
    <row r="11942" spans="33:33">
      <c r="AG11942" s="14"/>
    </row>
    <row r="11943" spans="33:33">
      <c r="AG11943" s="14"/>
    </row>
    <row r="11944" spans="33:33">
      <c r="AG11944" s="14"/>
    </row>
    <row r="11945" spans="33:33">
      <c r="AG11945" s="14"/>
    </row>
    <row r="11946" spans="33:33">
      <c r="AG11946" s="14"/>
    </row>
    <row r="11947" spans="33:33">
      <c r="AG11947" s="14"/>
    </row>
    <row r="11948" spans="33:33">
      <c r="AG11948" s="14"/>
    </row>
    <row r="11949" spans="33:33">
      <c r="AG11949" s="14"/>
    </row>
    <row r="11950" spans="33:33">
      <c r="AG11950" s="14"/>
    </row>
    <row r="11951" spans="33:33">
      <c r="AG11951" s="14"/>
    </row>
    <row r="11952" spans="33:33">
      <c r="AG11952" s="14"/>
    </row>
    <row r="11953" spans="33:33">
      <c r="AG11953" s="14"/>
    </row>
    <row r="11954" spans="33:33">
      <c r="AG11954" s="14"/>
    </row>
    <row r="11955" spans="33:33">
      <c r="AG11955" s="14"/>
    </row>
    <row r="11956" spans="33:33">
      <c r="AG11956" s="14"/>
    </row>
    <row r="11957" spans="33:33">
      <c r="AG11957" s="14"/>
    </row>
    <row r="11958" spans="33:33">
      <c r="AG11958" s="14"/>
    </row>
    <row r="11959" spans="33:33">
      <c r="AG11959" s="14"/>
    </row>
    <row r="11960" spans="33:33">
      <c r="AG11960" s="14"/>
    </row>
    <row r="11961" spans="33:33">
      <c r="AG11961" s="14"/>
    </row>
    <row r="11962" spans="33:33">
      <c r="AG11962" s="14"/>
    </row>
    <row r="11963" spans="33:33">
      <c r="AG11963" s="14"/>
    </row>
    <row r="11964" spans="33:33">
      <c r="AG11964" s="14"/>
    </row>
    <row r="11965" spans="33:33">
      <c r="AG11965" s="14"/>
    </row>
    <row r="11966" spans="33:33">
      <c r="AG11966" s="14"/>
    </row>
    <row r="11967" spans="33:33">
      <c r="AG11967" s="14"/>
    </row>
    <row r="11968" spans="33:33">
      <c r="AG11968" s="14"/>
    </row>
    <row r="11969" spans="33:33">
      <c r="AG11969" s="14"/>
    </row>
    <row r="11970" spans="33:33">
      <c r="AG11970" s="14"/>
    </row>
    <row r="11971" spans="33:33">
      <c r="AG11971" s="14"/>
    </row>
    <row r="11972" spans="33:33">
      <c r="AG11972" s="14"/>
    </row>
    <row r="11973" spans="33:33">
      <c r="AG11973" s="14"/>
    </row>
    <row r="11974" spans="33:33">
      <c r="AG11974" s="14"/>
    </row>
    <row r="11975" spans="33:33">
      <c r="AG11975" s="14"/>
    </row>
    <row r="11976" spans="33:33">
      <c r="AG11976" s="14"/>
    </row>
    <row r="11977" spans="33:33">
      <c r="AG11977" s="14"/>
    </row>
    <row r="11978" spans="33:33">
      <c r="AG11978" s="14"/>
    </row>
    <row r="11979" spans="33:33">
      <c r="AG11979" s="14"/>
    </row>
    <row r="11980" spans="33:33">
      <c r="AG11980" s="14"/>
    </row>
    <row r="11981" spans="33:33">
      <c r="AG11981" s="14"/>
    </row>
    <row r="11982" spans="33:33">
      <c r="AG11982" s="14"/>
    </row>
    <row r="11983" spans="33:33">
      <c r="AG11983" s="14"/>
    </row>
    <row r="11984" spans="33:33">
      <c r="AG11984" s="14"/>
    </row>
    <row r="11985" spans="33:33">
      <c r="AG11985" s="14"/>
    </row>
    <row r="11986" spans="33:33">
      <c r="AG11986" s="14"/>
    </row>
    <row r="11987" spans="33:33">
      <c r="AG11987" s="14"/>
    </row>
    <row r="11988" spans="33:33">
      <c r="AG11988" s="14"/>
    </row>
    <row r="11989" spans="33:33">
      <c r="AG11989" s="14"/>
    </row>
    <row r="11990" spans="33:33">
      <c r="AG11990" s="14"/>
    </row>
    <row r="11991" spans="33:33">
      <c r="AG11991" s="14"/>
    </row>
    <row r="11992" spans="33:33">
      <c r="AG11992" s="14"/>
    </row>
    <row r="11993" spans="33:33">
      <c r="AG11993" s="14"/>
    </row>
    <row r="11994" spans="33:33">
      <c r="AG11994" s="14"/>
    </row>
    <row r="11995" spans="33:33">
      <c r="AG11995" s="14"/>
    </row>
    <row r="11996" spans="33:33">
      <c r="AG11996" s="14"/>
    </row>
    <row r="11997" spans="33:33">
      <c r="AG11997" s="14"/>
    </row>
    <row r="11998" spans="33:33">
      <c r="AG11998" s="14"/>
    </row>
    <row r="11999" spans="33:33">
      <c r="AG11999" s="14"/>
    </row>
    <row r="12000" spans="33:33">
      <c r="AG12000" s="14"/>
    </row>
    <row r="12001" spans="33:33">
      <c r="AG12001" s="14"/>
    </row>
    <row r="12002" spans="33:33">
      <c r="AG12002" s="14"/>
    </row>
    <row r="12003" spans="33:33">
      <c r="AG12003" s="14"/>
    </row>
    <row r="12004" spans="33:33">
      <c r="AG12004" s="14"/>
    </row>
    <row r="12005" spans="33:33">
      <c r="AG12005" s="14"/>
    </row>
    <row r="12006" spans="33:33">
      <c r="AG12006" s="14"/>
    </row>
    <row r="12007" spans="33:33">
      <c r="AG12007" s="14"/>
    </row>
    <row r="12008" spans="33:33">
      <c r="AG12008" s="14"/>
    </row>
    <row r="12009" spans="33:33">
      <c r="AG12009" s="14"/>
    </row>
    <row r="12010" spans="33:33">
      <c r="AG12010" s="14"/>
    </row>
    <row r="12011" spans="33:33">
      <c r="AG12011" s="14"/>
    </row>
    <row r="12012" spans="33:33">
      <c r="AG12012" s="14"/>
    </row>
    <row r="12013" spans="33:33">
      <c r="AG12013" s="14"/>
    </row>
    <row r="12014" spans="33:33">
      <c r="AG12014" s="14"/>
    </row>
    <row r="12015" spans="33:33">
      <c r="AG12015" s="14"/>
    </row>
    <row r="12016" spans="33:33">
      <c r="AG12016" s="14"/>
    </row>
    <row r="12017" spans="33:33">
      <c r="AG12017" s="14"/>
    </row>
    <row r="12018" spans="33:33">
      <c r="AG12018" s="14"/>
    </row>
    <row r="12019" spans="33:33">
      <c r="AG12019" s="14"/>
    </row>
    <row r="12020" spans="33:33">
      <c r="AG12020" s="14"/>
    </row>
    <row r="12021" spans="33:33">
      <c r="AG12021" s="14"/>
    </row>
    <row r="12022" spans="33:33">
      <c r="AG12022" s="14"/>
    </row>
    <row r="12023" spans="33:33">
      <c r="AG12023" s="14"/>
    </row>
    <row r="12024" spans="33:33">
      <c r="AG12024" s="14"/>
    </row>
    <row r="12025" spans="33:33">
      <c r="AG12025" s="14"/>
    </row>
    <row r="12026" spans="33:33">
      <c r="AG12026" s="14"/>
    </row>
    <row r="12027" spans="33:33">
      <c r="AG12027" s="14"/>
    </row>
    <row r="12028" spans="33:33">
      <c r="AG12028" s="14"/>
    </row>
    <row r="12029" spans="33:33">
      <c r="AG12029" s="14"/>
    </row>
    <row r="12030" spans="33:33">
      <c r="AG12030" s="14"/>
    </row>
    <row r="12031" spans="33:33">
      <c r="AG12031" s="14"/>
    </row>
    <row r="12032" spans="33:33">
      <c r="AG12032" s="14"/>
    </row>
    <row r="12033" spans="33:33">
      <c r="AG12033" s="14"/>
    </row>
    <row r="12034" spans="33:33">
      <c r="AG12034" s="14"/>
    </row>
    <row r="12035" spans="33:33">
      <c r="AG12035" s="14"/>
    </row>
    <row r="12036" spans="33:33">
      <c r="AG12036" s="14"/>
    </row>
    <row r="12037" spans="33:33">
      <c r="AG12037" s="14"/>
    </row>
    <row r="12038" spans="33:33">
      <c r="AG12038" s="14"/>
    </row>
    <row r="12039" spans="33:33">
      <c r="AG12039" s="14"/>
    </row>
    <row r="12040" spans="33:33">
      <c r="AG12040" s="14"/>
    </row>
    <row r="12041" spans="33:33">
      <c r="AG12041" s="14"/>
    </row>
    <row r="12042" spans="33:33">
      <c r="AG12042" s="14"/>
    </row>
    <row r="12043" spans="33:33">
      <c r="AG12043" s="14"/>
    </row>
    <row r="12044" spans="33:33">
      <c r="AG12044" s="14"/>
    </row>
    <row r="12045" spans="33:33">
      <c r="AG12045" s="14"/>
    </row>
    <row r="12046" spans="33:33">
      <c r="AG12046" s="14"/>
    </row>
    <row r="12047" spans="33:33">
      <c r="AG12047" s="14"/>
    </row>
    <row r="12048" spans="33:33">
      <c r="AG12048" s="14"/>
    </row>
    <row r="12049" spans="33:33">
      <c r="AG12049" s="14"/>
    </row>
    <row r="12050" spans="33:33">
      <c r="AG12050" s="14"/>
    </row>
    <row r="12051" spans="33:33">
      <c r="AG12051" s="14"/>
    </row>
    <row r="12052" spans="33:33">
      <c r="AG12052" s="14"/>
    </row>
    <row r="12053" spans="33:33">
      <c r="AG12053" s="14"/>
    </row>
    <row r="12054" spans="33:33">
      <c r="AG12054" s="14"/>
    </row>
    <row r="12055" spans="33:33">
      <c r="AG12055" s="14"/>
    </row>
    <row r="12056" spans="33:33">
      <c r="AG12056" s="14"/>
    </row>
    <row r="12057" spans="33:33">
      <c r="AG12057" s="14"/>
    </row>
    <row r="12058" spans="33:33">
      <c r="AG12058" s="14"/>
    </row>
    <row r="12059" spans="33:33">
      <c r="AG12059" s="14"/>
    </row>
    <row r="12060" spans="33:33">
      <c r="AG12060" s="14"/>
    </row>
    <row r="12061" spans="33:33">
      <c r="AG12061" s="14"/>
    </row>
    <row r="12062" spans="33:33">
      <c r="AG12062" s="14"/>
    </row>
    <row r="12063" spans="33:33">
      <c r="AG12063" s="14"/>
    </row>
    <row r="12064" spans="33:33">
      <c r="AG12064" s="14"/>
    </row>
    <row r="12065" spans="33:33">
      <c r="AG12065" s="14"/>
    </row>
    <row r="12066" spans="33:33">
      <c r="AG12066" s="14"/>
    </row>
    <row r="12067" spans="33:33">
      <c r="AG12067" s="14"/>
    </row>
    <row r="12068" spans="33:33">
      <c r="AG12068" s="14"/>
    </row>
    <row r="12069" spans="33:33">
      <c r="AG12069" s="14"/>
    </row>
    <row r="12070" spans="33:33">
      <c r="AG12070" s="14"/>
    </row>
    <row r="12071" spans="33:33">
      <c r="AG12071" s="14"/>
    </row>
    <row r="12072" spans="33:33">
      <c r="AG12072" s="14"/>
    </row>
    <row r="12073" spans="33:33">
      <c r="AG12073" s="14"/>
    </row>
    <row r="12074" spans="33:33">
      <c r="AG12074" s="14"/>
    </row>
    <row r="12075" spans="33:33">
      <c r="AG12075" s="14"/>
    </row>
    <row r="12076" spans="33:33">
      <c r="AG12076" s="14"/>
    </row>
    <row r="12077" spans="33:33">
      <c r="AG12077" s="14"/>
    </row>
    <row r="12078" spans="33:33">
      <c r="AG12078" s="14"/>
    </row>
    <row r="12079" spans="33:33">
      <c r="AG12079" s="14"/>
    </row>
    <row r="12080" spans="33:33">
      <c r="AG12080" s="14"/>
    </row>
    <row r="12081" spans="33:33">
      <c r="AG12081" s="14"/>
    </row>
    <row r="12082" spans="33:33">
      <c r="AG12082" s="14"/>
    </row>
    <row r="12083" spans="33:33">
      <c r="AG12083" s="14"/>
    </row>
    <row r="12084" spans="33:33">
      <c r="AG12084" s="14"/>
    </row>
    <row r="12085" spans="33:33">
      <c r="AG12085" s="14"/>
    </row>
    <row r="12086" spans="33:33">
      <c r="AG12086" s="14"/>
    </row>
    <row r="12087" spans="33:33">
      <c r="AG12087" s="14"/>
    </row>
    <row r="12088" spans="33:33">
      <c r="AG12088" s="14"/>
    </row>
    <row r="12089" spans="33:33">
      <c r="AG12089" s="14"/>
    </row>
    <row r="12090" spans="33:33">
      <c r="AG12090" s="14"/>
    </row>
    <row r="12091" spans="33:33">
      <c r="AG12091" s="14"/>
    </row>
    <row r="12092" spans="33:33">
      <c r="AG12092" s="14"/>
    </row>
    <row r="12093" spans="33:33">
      <c r="AG12093" s="14"/>
    </row>
    <row r="12094" spans="33:33">
      <c r="AG12094" s="14"/>
    </row>
    <row r="12095" spans="33:33">
      <c r="AG12095" s="14"/>
    </row>
    <row r="12096" spans="33:33">
      <c r="AG12096" s="14"/>
    </row>
    <row r="12097" spans="33:33">
      <c r="AG12097" s="14"/>
    </row>
    <row r="12098" spans="33:33">
      <c r="AG12098" s="14"/>
    </row>
    <row r="12099" spans="33:33">
      <c r="AG12099" s="14"/>
    </row>
    <row r="12100" spans="33:33">
      <c r="AG12100" s="14"/>
    </row>
    <row r="12101" spans="33:33">
      <c r="AG12101" s="14"/>
    </row>
    <row r="12102" spans="33:33">
      <c r="AG12102" s="14"/>
    </row>
    <row r="12103" spans="33:33">
      <c r="AG12103" s="14"/>
    </row>
    <row r="12104" spans="33:33">
      <c r="AG12104" s="14"/>
    </row>
    <row r="12105" spans="33:33">
      <c r="AG12105" s="14"/>
    </row>
    <row r="12106" spans="33:33">
      <c r="AG12106" s="14"/>
    </row>
    <row r="12107" spans="33:33">
      <c r="AG12107" s="14"/>
    </row>
    <row r="12108" spans="33:33">
      <c r="AG12108" s="14"/>
    </row>
    <row r="12109" spans="33:33">
      <c r="AG12109" s="14"/>
    </row>
    <row r="12110" spans="33:33">
      <c r="AG12110" s="14"/>
    </row>
    <row r="12111" spans="33:33">
      <c r="AG12111" s="14"/>
    </row>
    <row r="12112" spans="33:33">
      <c r="AG12112" s="14"/>
    </row>
    <row r="12113" spans="33:33">
      <c r="AG12113" s="14"/>
    </row>
    <row r="12114" spans="33:33">
      <c r="AG12114" s="14"/>
    </row>
    <row r="12115" spans="33:33">
      <c r="AG12115" s="14"/>
    </row>
    <row r="12116" spans="33:33">
      <c r="AG12116" s="14"/>
    </row>
    <row r="12117" spans="33:33">
      <c r="AG12117" s="14"/>
    </row>
    <row r="12118" spans="33:33">
      <c r="AG12118" s="14"/>
    </row>
    <row r="12119" spans="33:33">
      <c r="AG12119" s="14"/>
    </row>
    <row r="12120" spans="33:33">
      <c r="AG12120" s="14"/>
    </row>
    <row r="12121" spans="33:33">
      <c r="AG12121" s="14"/>
    </row>
    <row r="12122" spans="33:33">
      <c r="AG12122" s="14"/>
    </row>
    <row r="12123" spans="33:33">
      <c r="AG12123" s="14"/>
    </row>
    <row r="12124" spans="33:33">
      <c r="AG12124" s="14"/>
    </row>
    <row r="12125" spans="33:33">
      <c r="AG12125" s="14"/>
    </row>
    <row r="12126" spans="33:33">
      <c r="AG12126" s="14"/>
    </row>
    <row r="12127" spans="33:33">
      <c r="AG12127" s="14"/>
    </row>
    <row r="12128" spans="33:33">
      <c r="AG12128" s="14"/>
    </row>
    <row r="12129" spans="33:33">
      <c r="AG12129" s="14"/>
    </row>
    <row r="12130" spans="33:33">
      <c r="AG12130" s="14"/>
    </row>
    <row r="12131" spans="33:33">
      <c r="AG12131" s="14"/>
    </row>
    <row r="12132" spans="33:33">
      <c r="AG12132" s="14"/>
    </row>
    <row r="12133" spans="33:33">
      <c r="AG12133" s="14"/>
    </row>
    <row r="12134" spans="33:33">
      <c r="AG12134" s="14"/>
    </row>
    <row r="12135" spans="33:33">
      <c r="AG12135" s="14"/>
    </row>
    <row r="12136" spans="33:33">
      <c r="AG12136" s="14"/>
    </row>
    <row r="12137" spans="33:33">
      <c r="AG12137" s="14"/>
    </row>
    <row r="12138" spans="33:33">
      <c r="AG12138" s="14"/>
    </row>
    <row r="12139" spans="33:33">
      <c r="AG12139" s="14"/>
    </row>
    <row r="12140" spans="33:33">
      <c r="AG12140" s="14"/>
    </row>
    <row r="12141" spans="33:33">
      <c r="AG12141" s="14"/>
    </row>
    <row r="12142" spans="33:33">
      <c r="AG12142" s="14"/>
    </row>
    <row r="12143" spans="33:33">
      <c r="AG12143" s="14"/>
    </row>
    <row r="12144" spans="33:33">
      <c r="AG12144" s="14"/>
    </row>
    <row r="12145" spans="33:33">
      <c r="AG12145" s="14"/>
    </row>
    <row r="12146" spans="33:33">
      <c r="AG12146" s="14"/>
    </row>
    <row r="12147" spans="33:33">
      <c r="AG12147" s="14"/>
    </row>
    <row r="12148" spans="33:33">
      <c r="AG12148" s="14"/>
    </row>
    <row r="12149" spans="33:33">
      <c r="AG12149" s="14"/>
    </row>
    <row r="12150" spans="33:33">
      <c r="AG12150" s="14"/>
    </row>
    <row r="12151" spans="33:33">
      <c r="AG12151" s="14"/>
    </row>
    <row r="12152" spans="33:33">
      <c r="AG12152" s="14"/>
    </row>
    <row r="12153" spans="33:33">
      <c r="AG12153" s="14"/>
    </row>
    <row r="12154" spans="33:33">
      <c r="AG12154" s="14"/>
    </row>
    <row r="12155" spans="33:33">
      <c r="AG12155" s="14"/>
    </row>
    <row r="12156" spans="33:33">
      <c r="AG12156" s="14"/>
    </row>
    <row r="12157" spans="33:33">
      <c r="AG12157" s="14"/>
    </row>
    <row r="12158" spans="33:33">
      <c r="AG12158" s="14"/>
    </row>
    <row r="12159" spans="33:33">
      <c r="AG12159" s="14"/>
    </row>
    <row r="12160" spans="33:33">
      <c r="AG12160" s="14"/>
    </row>
    <row r="12161" spans="33:33">
      <c r="AG12161" s="14"/>
    </row>
    <row r="12162" spans="33:33">
      <c r="AG12162" s="14"/>
    </row>
    <row r="12163" spans="33:33">
      <c r="AG12163" s="14"/>
    </row>
    <row r="12164" spans="33:33">
      <c r="AG12164" s="14"/>
    </row>
    <row r="12165" spans="33:33">
      <c r="AG12165" s="14"/>
    </row>
    <row r="12166" spans="33:33">
      <c r="AG12166" s="14"/>
    </row>
    <row r="12167" spans="33:33">
      <c r="AG12167" s="14"/>
    </row>
    <row r="12168" spans="33:33">
      <c r="AG12168" s="14"/>
    </row>
    <row r="12169" spans="33:33">
      <c r="AG12169" s="14"/>
    </row>
    <row r="12170" spans="33:33">
      <c r="AG12170" s="14"/>
    </row>
    <row r="12171" spans="33:33">
      <c r="AG12171" s="14"/>
    </row>
    <row r="12172" spans="33:33">
      <c r="AG12172" s="14"/>
    </row>
    <row r="12173" spans="33:33">
      <c r="AG12173" s="14"/>
    </row>
    <row r="12174" spans="33:33">
      <c r="AG12174" s="14"/>
    </row>
    <row r="12175" spans="33:33">
      <c r="AG12175" s="14"/>
    </row>
    <row r="12176" spans="33:33">
      <c r="AG12176" s="14"/>
    </row>
    <row r="12177" spans="33:33">
      <c r="AG12177" s="14"/>
    </row>
    <row r="12178" spans="33:33">
      <c r="AG12178" s="14"/>
    </row>
    <row r="12179" spans="33:33">
      <c r="AG12179" s="14"/>
    </row>
    <row r="12180" spans="33:33">
      <c r="AG12180" s="14"/>
    </row>
    <row r="12181" spans="33:33">
      <c r="AG12181" s="14"/>
    </row>
    <row r="12182" spans="33:33">
      <c r="AG12182" s="14"/>
    </row>
    <row r="12183" spans="33:33">
      <c r="AG12183" s="14"/>
    </row>
    <row r="12184" spans="33:33">
      <c r="AG12184" s="14"/>
    </row>
    <row r="12185" spans="33:33">
      <c r="AG12185" s="14"/>
    </row>
    <row r="12186" spans="33:33">
      <c r="AG12186" s="14"/>
    </row>
    <row r="12187" spans="33:33">
      <c r="AG12187" s="14"/>
    </row>
    <row r="12188" spans="33:33">
      <c r="AG12188" s="14"/>
    </row>
    <row r="12189" spans="33:33">
      <c r="AG12189" s="14"/>
    </row>
    <row r="12190" spans="33:33">
      <c r="AG12190" s="14"/>
    </row>
    <row r="12191" spans="33:33">
      <c r="AG12191" s="14"/>
    </row>
    <row r="12192" spans="33:33">
      <c r="AG12192" s="14"/>
    </row>
    <row r="12193" spans="33:33">
      <c r="AG12193" s="14"/>
    </row>
    <row r="12194" spans="33:33">
      <c r="AG12194" s="14"/>
    </row>
    <row r="12195" spans="33:33">
      <c r="AG12195" s="14"/>
    </row>
    <row r="12196" spans="33:33">
      <c r="AG12196" s="14"/>
    </row>
    <row r="12197" spans="33:33">
      <c r="AG12197" s="14"/>
    </row>
    <row r="12198" spans="33:33">
      <c r="AG12198" s="14"/>
    </row>
    <row r="12199" spans="33:33">
      <c r="AG12199" s="14"/>
    </row>
    <row r="12200" spans="33:33">
      <c r="AG12200" s="14"/>
    </row>
    <row r="12201" spans="33:33">
      <c r="AG12201" s="14"/>
    </row>
    <row r="12202" spans="33:33">
      <c r="AG12202" s="14"/>
    </row>
    <row r="12203" spans="33:33">
      <c r="AG12203" s="14"/>
    </row>
    <row r="12204" spans="33:33">
      <c r="AG12204" s="14"/>
    </row>
    <row r="12205" spans="33:33">
      <c r="AG12205" s="14"/>
    </row>
    <row r="12206" spans="33:33">
      <c r="AG12206" s="14"/>
    </row>
    <row r="12207" spans="33:33">
      <c r="AG12207" s="14"/>
    </row>
    <row r="12208" spans="33:33">
      <c r="AG12208" s="14"/>
    </row>
    <row r="12209" spans="33:33">
      <c r="AG12209" s="14"/>
    </row>
    <row r="12210" spans="33:33">
      <c r="AG12210" s="14"/>
    </row>
    <row r="12211" spans="33:33">
      <c r="AG12211" s="14"/>
    </row>
    <row r="12212" spans="33:33">
      <c r="AG12212" s="14"/>
    </row>
    <row r="12213" spans="33:33">
      <c r="AG12213" s="14"/>
    </row>
    <row r="12214" spans="33:33">
      <c r="AG12214" s="14"/>
    </row>
    <row r="12215" spans="33:33">
      <c r="AG12215" s="14"/>
    </row>
    <row r="12216" spans="33:33">
      <c r="AG12216" s="14"/>
    </row>
    <row r="12217" spans="33:33">
      <c r="AG12217" s="14"/>
    </row>
    <row r="12218" spans="33:33">
      <c r="AG12218" s="14"/>
    </row>
    <row r="12219" spans="33:33">
      <c r="AG12219" s="14"/>
    </row>
    <row r="12220" spans="33:33">
      <c r="AG12220" s="14"/>
    </row>
    <row r="12221" spans="33:33">
      <c r="AG12221" s="14"/>
    </row>
    <row r="12222" spans="33:33">
      <c r="AG12222" s="14"/>
    </row>
    <row r="12223" spans="33:33">
      <c r="AG12223" s="14"/>
    </row>
    <row r="12224" spans="33:33">
      <c r="AG12224" s="14"/>
    </row>
    <row r="12225" spans="33:33">
      <c r="AG12225" s="14"/>
    </row>
    <row r="12226" spans="33:33">
      <c r="AG12226" s="14"/>
    </row>
    <row r="12227" spans="33:33">
      <c r="AG12227" s="14"/>
    </row>
    <row r="12228" spans="33:33">
      <c r="AG12228" s="14"/>
    </row>
    <row r="12229" spans="33:33">
      <c r="AG12229" s="14"/>
    </row>
    <row r="12230" spans="33:33">
      <c r="AG12230" s="14"/>
    </row>
    <row r="12231" spans="33:33">
      <c r="AG12231" s="14"/>
    </row>
    <row r="12232" spans="33:33">
      <c r="AG12232" s="14"/>
    </row>
    <row r="12233" spans="33:33">
      <c r="AG12233" s="14"/>
    </row>
    <row r="12234" spans="33:33">
      <c r="AG12234" s="14"/>
    </row>
    <row r="12235" spans="33:33">
      <c r="AG12235" s="14"/>
    </row>
    <row r="12236" spans="33:33">
      <c r="AG12236" s="14"/>
    </row>
    <row r="12237" spans="33:33">
      <c r="AG12237" s="14"/>
    </row>
    <row r="12238" spans="33:33">
      <c r="AG12238" s="14"/>
    </row>
    <row r="12239" spans="33:33">
      <c r="AG12239" s="14"/>
    </row>
    <row r="12240" spans="33:33">
      <c r="AG12240" s="14"/>
    </row>
    <row r="12241" spans="33:33">
      <c r="AG12241" s="14"/>
    </row>
    <row r="12242" spans="33:33">
      <c r="AG12242" s="14"/>
    </row>
    <row r="12243" spans="33:33">
      <c r="AG12243" s="14"/>
    </row>
    <row r="12244" spans="33:33">
      <c r="AG12244" s="14"/>
    </row>
    <row r="12245" spans="33:33">
      <c r="AG12245" s="14"/>
    </row>
    <row r="12246" spans="33:33">
      <c r="AG12246" s="14"/>
    </row>
    <row r="12247" spans="33:33">
      <c r="AG12247" s="14"/>
    </row>
    <row r="12248" spans="33:33">
      <c r="AG12248" s="14"/>
    </row>
    <row r="12249" spans="33:33">
      <c r="AG12249" s="14"/>
    </row>
    <row r="12250" spans="33:33">
      <c r="AG12250" s="14"/>
    </row>
    <row r="12251" spans="33:33">
      <c r="AG12251" s="14"/>
    </row>
    <row r="12252" spans="33:33">
      <c r="AG12252" s="14"/>
    </row>
    <row r="12253" spans="33:33">
      <c r="AG12253" s="14"/>
    </row>
    <row r="12254" spans="33:33">
      <c r="AG12254" s="14"/>
    </row>
    <row r="12255" spans="33:33">
      <c r="AG12255" s="14"/>
    </row>
    <row r="12256" spans="33:33">
      <c r="AG12256" s="14"/>
    </row>
    <row r="12257" spans="33:33">
      <c r="AG12257" s="14"/>
    </row>
    <row r="12258" spans="33:33">
      <c r="AG12258" s="14"/>
    </row>
    <row r="12259" spans="33:33">
      <c r="AG12259" s="14"/>
    </row>
    <row r="12260" spans="33:33">
      <c r="AG12260" s="14"/>
    </row>
    <row r="12261" spans="33:33">
      <c r="AG12261" s="14"/>
    </row>
    <row r="12262" spans="33:33">
      <c r="AG12262" s="14"/>
    </row>
    <row r="12263" spans="33:33">
      <c r="AG12263" s="14"/>
    </row>
    <row r="12264" spans="33:33">
      <c r="AG12264" s="14"/>
    </row>
    <row r="12265" spans="33:33">
      <c r="AG12265" s="14"/>
    </row>
    <row r="12266" spans="33:33">
      <c r="AG12266" s="14"/>
    </row>
    <row r="12267" spans="33:33">
      <c r="AG12267" s="14"/>
    </row>
    <row r="12268" spans="33:33">
      <c r="AG12268" s="14"/>
    </row>
    <row r="12269" spans="33:33">
      <c r="AG12269" s="14"/>
    </row>
    <row r="12270" spans="33:33">
      <c r="AG12270" s="14"/>
    </row>
    <row r="12271" spans="33:33">
      <c r="AG12271" s="14"/>
    </row>
    <row r="12272" spans="33:33">
      <c r="AG12272" s="14"/>
    </row>
    <row r="12273" spans="33:33">
      <c r="AG12273" s="14"/>
    </row>
    <row r="12274" spans="33:33">
      <c r="AG12274" s="14"/>
    </row>
    <row r="12275" spans="33:33">
      <c r="AG12275" s="14"/>
    </row>
    <row r="12276" spans="33:33">
      <c r="AG12276" s="14"/>
    </row>
    <row r="12277" spans="33:33">
      <c r="AG12277" s="14"/>
    </row>
    <row r="12278" spans="33:33">
      <c r="AG12278" s="14"/>
    </row>
    <row r="12279" spans="33:33">
      <c r="AG12279" s="14"/>
    </row>
    <row r="12280" spans="33:33">
      <c r="AG12280" s="14"/>
    </row>
    <row r="12281" spans="33:33">
      <c r="AG12281" s="14"/>
    </row>
    <row r="12282" spans="33:33">
      <c r="AG12282" s="14"/>
    </row>
    <row r="12283" spans="33:33">
      <c r="AG12283" s="14"/>
    </row>
    <row r="12284" spans="33:33">
      <c r="AG12284" s="14"/>
    </row>
    <row r="12285" spans="33:33">
      <c r="AG12285" s="14"/>
    </row>
    <row r="12286" spans="33:33">
      <c r="AG12286" s="14"/>
    </row>
    <row r="12287" spans="33:33">
      <c r="AG12287" s="14"/>
    </row>
    <row r="12288" spans="33:33">
      <c r="AG12288" s="14"/>
    </row>
    <row r="12289" spans="33:33">
      <c r="AG12289" s="14"/>
    </row>
    <row r="12290" spans="33:33">
      <c r="AG12290" s="14"/>
    </row>
    <row r="12291" spans="33:33">
      <c r="AG12291" s="14"/>
    </row>
    <row r="12292" spans="33:33">
      <c r="AG12292" s="14"/>
    </row>
    <row r="12293" spans="33:33">
      <c r="AG12293" s="14"/>
    </row>
    <row r="12294" spans="33:33">
      <c r="AG12294" s="14"/>
    </row>
    <row r="12295" spans="33:33">
      <c r="AG12295" s="14"/>
    </row>
    <row r="12296" spans="33:33">
      <c r="AG12296" s="14"/>
    </row>
    <row r="12297" spans="33:33">
      <c r="AG12297" s="14"/>
    </row>
    <row r="12298" spans="33:33">
      <c r="AG12298" s="14"/>
    </row>
    <row r="12299" spans="33:33">
      <c r="AG12299" s="14"/>
    </row>
    <row r="12300" spans="33:33">
      <c r="AG12300" s="14"/>
    </row>
    <row r="12301" spans="33:33">
      <c r="AG12301" s="14"/>
    </row>
    <row r="12302" spans="33:33">
      <c r="AG12302" s="14"/>
    </row>
    <row r="12303" spans="33:33">
      <c r="AG12303" s="14"/>
    </row>
    <row r="12304" spans="33:33">
      <c r="AG12304" s="14"/>
    </row>
    <row r="12305" spans="33:33">
      <c r="AG12305" s="14"/>
    </row>
    <row r="12306" spans="33:33">
      <c r="AG12306" s="14"/>
    </row>
    <row r="12307" spans="33:33">
      <c r="AG12307" s="14"/>
    </row>
    <row r="12308" spans="33:33">
      <c r="AG12308" s="14"/>
    </row>
    <row r="12309" spans="33:33">
      <c r="AG12309" s="14"/>
    </row>
    <row r="12310" spans="33:33">
      <c r="AG12310" s="14"/>
    </row>
    <row r="12311" spans="33:33">
      <c r="AG12311" s="14"/>
    </row>
    <row r="12312" spans="33:33">
      <c r="AG12312" s="14"/>
    </row>
    <row r="12313" spans="33:33">
      <c r="AG12313" s="14"/>
    </row>
    <row r="12314" spans="33:33">
      <c r="AG12314" s="14"/>
    </row>
    <row r="12315" spans="33:33">
      <c r="AG12315" s="14"/>
    </row>
    <row r="12316" spans="33:33">
      <c r="AG12316" s="14"/>
    </row>
    <row r="12317" spans="33:33">
      <c r="AG12317" s="14"/>
    </row>
    <row r="12318" spans="33:33">
      <c r="AG12318" s="14"/>
    </row>
    <row r="12319" spans="33:33">
      <c r="AG12319" s="14"/>
    </row>
    <row r="12320" spans="33:33">
      <c r="AG12320" s="14"/>
    </row>
    <row r="12321" spans="33:33">
      <c r="AG12321" s="14"/>
    </row>
    <row r="12322" spans="33:33">
      <c r="AG12322" s="14"/>
    </row>
    <row r="12323" spans="33:33">
      <c r="AG12323" s="14"/>
    </row>
    <row r="12324" spans="33:33">
      <c r="AG12324" s="14"/>
    </row>
    <row r="12325" spans="33:33">
      <c r="AG12325" s="14"/>
    </row>
    <row r="12326" spans="33:33">
      <c r="AG12326" s="14"/>
    </row>
    <row r="12327" spans="33:33">
      <c r="AG12327" s="14"/>
    </row>
    <row r="12328" spans="33:33">
      <c r="AG12328" s="14"/>
    </row>
    <row r="12329" spans="33:33">
      <c r="AG12329" s="14"/>
    </row>
    <row r="12330" spans="33:33">
      <c r="AG12330" s="14"/>
    </row>
    <row r="12331" spans="33:33">
      <c r="AG12331" s="14"/>
    </row>
    <row r="12332" spans="33:33">
      <c r="AG12332" s="14"/>
    </row>
    <row r="12333" spans="33:33">
      <c r="AG12333" s="14"/>
    </row>
    <row r="12334" spans="33:33">
      <c r="AG12334" s="14"/>
    </row>
    <row r="12335" spans="33:33">
      <c r="AG12335" s="14"/>
    </row>
    <row r="12336" spans="33:33">
      <c r="AG12336" s="14"/>
    </row>
    <row r="12337" spans="33:33">
      <c r="AG12337" s="14"/>
    </row>
    <row r="12338" spans="33:33">
      <c r="AG12338" s="14"/>
    </row>
    <row r="12339" spans="33:33">
      <c r="AG12339" s="14"/>
    </row>
    <row r="12340" spans="33:33">
      <c r="AG12340" s="14"/>
    </row>
    <row r="12341" spans="33:33">
      <c r="AG12341" s="14"/>
    </row>
    <row r="12342" spans="33:33">
      <c r="AG12342" s="14"/>
    </row>
    <row r="12343" spans="33:33">
      <c r="AG12343" s="14"/>
    </row>
    <row r="12344" spans="33:33">
      <c r="AG12344" s="14"/>
    </row>
    <row r="12345" spans="33:33">
      <c r="AG12345" s="14"/>
    </row>
    <row r="12346" spans="33:33">
      <c r="AG12346" s="14"/>
    </row>
    <row r="12347" spans="33:33">
      <c r="AG12347" s="14"/>
    </row>
    <row r="12348" spans="33:33">
      <c r="AG12348" s="14"/>
    </row>
    <row r="12349" spans="33:33">
      <c r="AG12349" s="14"/>
    </row>
    <row r="12350" spans="33:33">
      <c r="AG12350" s="14"/>
    </row>
    <row r="12351" spans="33:33">
      <c r="AG12351" s="14"/>
    </row>
    <row r="12352" spans="33:33">
      <c r="AG12352" s="14"/>
    </row>
    <row r="12353" spans="33:33">
      <c r="AG12353" s="14"/>
    </row>
    <row r="12354" spans="33:33">
      <c r="AG12354" s="14"/>
    </row>
    <row r="12355" spans="33:33">
      <c r="AG12355" s="14"/>
    </row>
    <row r="12356" spans="33:33">
      <c r="AG12356" s="14"/>
    </row>
    <row r="12357" spans="33:33">
      <c r="AG12357" s="14"/>
    </row>
    <row r="12358" spans="33:33">
      <c r="AG12358" s="14"/>
    </row>
    <row r="12359" spans="33:33">
      <c r="AG12359" s="14"/>
    </row>
    <row r="12360" spans="33:33">
      <c r="AG12360" s="14"/>
    </row>
    <row r="12361" spans="33:33">
      <c r="AG12361" s="14"/>
    </row>
    <row r="12362" spans="33:33">
      <c r="AG12362" s="14"/>
    </row>
    <row r="12363" spans="33:33">
      <c r="AG12363" s="14"/>
    </row>
    <row r="12364" spans="33:33">
      <c r="AG12364" s="14"/>
    </row>
    <row r="12365" spans="33:33">
      <c r="AG12365" s="14"/>
    </row>
    <row r="12366" spans="33:33">
      <c r="AG12366" s="14"/>
    </row>
    <row r="12367" spans="33:33">
      <c r="AG12367" s="14"/>
    </row>
    <row r="12368" spans="33:33">
      <c r="AG12368" s="14"/>
    </row>
    <row r="12369" spans="33:33">
      <c r="AG12369" s="14"/>
    </row>
    <row r="12370" spans="33:33">
      <c r="AG12370" s="14"/>
    </row>
    <row r="12371" spans="33:33">
      <c r="AG12371" s="14"/>
    </row>
    <row r="12372" spans="33:33">
      <c r="AG12372" s="14"/>
    </row>
    <row r="12373" spans="33:33">
      <c r="AG12373" s="14"/>
    </row>
    <row r="12374" spans="33:33">
      <c r="AG12374" s="14"/>
    </row>
    <row r="12375" spans="33:33">
      <c r="AG12375" s="14"/>
    </row>
    <row r="12376" spans="33:33">
      <c r="AG12376" s="14"/>
    </row>
    <row r="12377" spans="33:33">
      <c r="AG12377" s="14"/>
    </row>
    <row r="12378" spans="33:33">
      <c r="AG12378" s="14"/>
    </row>
    <row r="12379" spans="33:33">
      <c r="AG12379" s="14"/>
    </row>
    <row r="12380" spans="33:33">
      <c r="AG12380" s="14"/>
    </row>
    <row r="12381" spans="33:33">
      <c r="AG12381" s="14"/>
    </row>
    <row r="12382" spans="33:33">
      <c r="AG12382" s="14"/>
    </row>
    <row r="12383" spans="33:33">
      <c r="AG12383" s="14"/>
    </row>
    <row r="12384" spans="33:33">
      <c r="AG12384" s="14"/>
    </row>
    <row r="12385" spans="33:33">
      <c r="AG12385" s="14"/>
    </row>
    <row r="12386" spans="33:33">
      <c r="AG12386" s="14"/>
    </row>
    <row r="12387" spans="33:33">
      <c r="AG12387" s="14"/>
    </row>
    <row r="12388" spans="33:33">
      <c r="AG12388" s="14"/>
    </row>
    <row r="12389" spans="33:33">
      <c r="AG12389" s="14"/>
    </row>
    <row r="12390" spans="33:33">
      <c r="AG12390" s="14"/>
    </row>
    <row r="12391" spans="33:33">
      <c r="AG12391" s="14"/>
    </row>
    <row r="12392" spans="33:33">
      <c r="AG12392" s="14"/>
    </row>
    <row r="12393" spans="33:33">
      <c r="AG12393" s="14"/>
    </row>
    <row r="12394" spans="33:33">
      <c r="AG12394" s="14"/>
    </row>
    <row r="12395" spans="33:33">
      <c r="AG12395" s="14"/>
    </row>
    <row r="12396" spans="33:33">
      <c r="AG12396" s="14"/>
    </row>
    <row r="12397" spans="33:33">
      <c r="AG12397" s="14"/>
    </row>
    <row r="12398" spans="33:33">
      <c r="AG12398" s="14"/>
    </row>
    <row r="12399" spans="33:33">
      <c r="AG12399" s="14"/>
    </row>
    <row r="12400" spans="33:33">
      <c r="AG12400" s="14"/>
    </row>
    <row r="12401" spans="33:33">
      <c r="AG12401" s="14"/>
    </row>
    <row r="12402" spans="33:33">
      <c r="AG12402" s="14"/>
    </row>
    <row r="12403" spans="33:33">
      <c r="AG12403" s="14"/>
    </row>
    <row r="12404" spans="33:33">
      <c r="AG12404" s="14"/>
    </row>
    <row r="12405" spans="33:33">
      <c r="AG12405" s="14"/>
    </row>
    <row r="12406" spans="33:33">
      <c r="AG12406" s="14"/>
    </row>
    <row r="12407" spans="33:33">
      <c r="AG12407" s="14"/>
    </row>
    <row r="12408" spans="33:33">
      <c r="AG12408" s="14"/>
    </row>
    <row r="12409" spans="33:33">
      <c r="AG12409" s="14"/>
    </row>
    <row r="12410" spans="33:33">
      <c r="AG12410" s="14"/>
    </row>
    <row r="12411" spans="33:33">
      <c r="AG12411" s="14"/>
    </row>
    <row r="12412" spans="33:33">
      <c r="AG12412" s="14"/>
    </row>
    <row r="12413" spans="33:33">
      <c r="AG12413" s="14"/>
    </row>
    <row r="12414" spans="33:33">
      <c r="AG12414" s="14"/>
    </row>
    <row r="12415" spans="33:33">
      <c r="AG12415" s="14"/>
    </row>
    <row r="12416" spans="33:33">
      <c r="AG12416" s="14"/>
    </row>
    <row r="12417" spans="33:33">
      <c r="AG12417" s="14"/>
    </row>
    <row r="12418" spans="33:33">
      <c r="AG12418" s="14"/>
    </row>
    <row r="12419" spans="33:33">
      <c r="AG12419" s="14"/>
    </row>
    <row r="12420" spans="33:33">
      <c r="AG12420" s="14"/>
    </row>
    <row r="12421" spans="33:33">
      <c r="AG12421" s="14"/>
    </row>
    <row r="12422" spans="33:33">
      <c r="AG12422" s="14"/>
    </row>
    <row r="12423" spans="33:33">
      <c r="AG12423" s="14"/>
    </row>
    <row r="12424" spans="33:33">
      <c r="AG12424" s="14"/>
    </row>
    <row r="12425" spans="33:33">
      <c r="AG12425" s="14"/>
    </row>
    <row r="12426" spans="33:33">
      <c r="AG12426" s="14"/>
    </row>
    <row r="12427" spans="33:33">
      <c r="AG12427" s="14"/>
    </row>
    <row r="12428" spans="33:33">
      <c r="AG12428" s="14"/>
    </row>
    <row r="12429" spans="33:33">
      <c r="AG12429" s="14"/>
    </row>
    <row r="12430" spans="33:33">
      <c r="AG12430" s="14"/>
    </row>
    <row r="12431" spans="33:33">
      <c r="AG12431" s="14"/>
    </row>
    <row r="12432" spans="33:33">
      <c r="AG12432" s="14"/>
    </row>
    <row r="12433" spans="33:33">
      <c r="AG12433" s="14"/>
    </row>
    <row r="12434" spans="33:33">
      <c r="AG12434" s="14"/>
    </row>
    <row r="12435" spans="33:33">
      <c r="AG12435" s="14"/>
    </row>
    <row r="12436" spans="33:33">
      <c r="AG12436" s="14"/>
    </row>
    <row r="12437" spans="33:33">
      <c r="AG12437" s="14"/>
    </row>
    <row r="12438" spans="33:33">
      <c r="AG12438" s="14"/>
    </row>
    <row r="12439" spans="33:33">
      <c r="AG12439" s="14"/>
    </row>
    <row r="12440" spans="33:33">
      <c r="AG12440" s="14"/>
    </row>
    <row r="12441" spans="33:33">
      <c r="AG12441" s="14"/>
    </row>
    <row r="12442" spans="33:33">
      <c r="AG12442" s="14"/>
    </row>
    <row r="12443" spans="33:33">
      <c r="AG12443" s="14"/>
    </row>
    <row r="12444" spans="33:33">
      <c r="AG12444" s="14"/>
    </row>
    <row r="12445" spans="33:33">
      <c r="AG12445" s="14"/>
    </row>
    <row r="12446" spans="33:33">
      <c r="AG12446" s="14"/>
    </row>
    <row r="12447" spans="33:33">
      <c r="AG12447" s="14"/>
    </row>
    <row r="12448" spans="33:33">
      <c r="AG12448" s="14"/>
    </row>
    <row r="12449" spans="33:33">
      <c r="AG12449" s="14"/>
    </row>
    <row r="12450" spans="33:33">
      <c r="AG12450" s="14"/>
    </row>
    <row r="12451" spans="33:33">
      <c r="AG12451" s="14"/>
    </row>
    <row r="12452" spans="33:33">
      <c r="AG12452" s="14"/>
    </row>
    <row r="12453" spans="33:33">
      <c r="AG12453" s="14"/>
    </row>
    <row r="12454" spans="33:33">
      <c r="AG12454" s="14"/>
    </row>
    <row r="12455" spans="33:33">
      <c r="AG12455" s="14"/>
    </row>
    <row r="12456" spans="33:33">
      <c r="AG12456" s="14"/>
    </row>
    <row r="12457" spans="33:33">
      <c r="AG12457" s="14"/>
    </row>
    <row r="12458" spans="33:33">
      <c r="AG12458" s="14"/>
    </row>
    <row r="12459" spans="33:33">
      <c r="AG12459" s="14"/>
    </row>
    <row r="12460" spans="33:33">
      <c r="AG12460" s="14"/>
    </row>
    <row r="12461" spans="33:33">
      <c r="AG12461" s="14"/>
    </row>
    <row r="12462" spans="33:33">
      <c r="AG12462" s="14"/>
    </row>
    <row r="12463" spans="33:33">
      <c r="AG12463" s="14"/>
    </row>
    <row r="12464" spans="33:33">
      <c r="AG12464" s="14"/>
    </row>
    <row r="12465" spans="33:33">
      <c r="AG12465" s="14"/>
    </row>
    <row r="12466" spans="33:33">
      <c r="AG12466" s="14"/>
    </row>
    <row r="12467" spans="33:33">
      <c r="AG12467" s="14"/>
    </row>
    <row r="12468" spans="33:33">
      <c r="AG12468" s="14"/>
    </row>
    <row r="12469" spans="33:33">
      <c r="AG12469" s="14"/>
    </row>
    <row r="12470" spans="33:33">
      <c r="AG12470" s="14"/>
    </row>
    <row r="12471" spans="33:33">
      <c r="AG12471" s="14"/>
    </row>
    <row r="12472" spans="33:33">
      <c r="AG12472" s="14"/>
    </row>
    <row r="12473" spans="33:33">
      <c r="AG12473" s="14"/>
    </row>
    <row r="12474" spans="33:33">
      <c r="AG12474" s="14"/>
    </row>
    <row r="12475" spans="33:33">
      <c r="AG12475" s="14"/>
    </row>
    <row r="12476" spans="33:33">
      <c r="AG12476" s="14"/>
    </row>
    <row r="12477" spans="33:33">
      <c r="AG12477" s="14"/>
    </row>
    <row r="12478" spans="33:33">
      <c r="AG12478" s="14"/>
    </row>
    <row r="12479" spans="33:33">
      <c r="AG12479" s="14"/>
    </row>
    <row r="12480" spans="33:33">
      <c r="AG12480" s="14"/>
    </row>
    <row r="12481" spans="33:33">
      <c r="AG12481" s="14"/>
    </row>
    <row r="12482" spans="33:33">
      <c r="AG12482" s="14"/>
    </row>
    <row r="12483" spans="33:33">
      <c r="AG12483" s="14"/>
    </row>
    <row r="12484" spans="33:33">
      <c r="AG12484" s="14"/>
    </row>
    <row r="12485" spans="33:33">
      <c r="AG12485" s="14"/>
    </row>
    <row r="12486" spans="33:33">
      <c r="AG12486" s="14"/>
    </row>
    <row r="12487" spans="33:33">
      <c r="AG12487" s="14"/>
    </row>
    <row r="12488" spans="33:33">
      <c r="AG12488" s="14"/>
    </row>
    <row r="12489" spans="33:33">
      <c r="AG12489" s="14"/>
    </row>
    <row r="12490" spans="33:33">
      <c r="AG12490" s="14"/>
    </row>
    <row r="12491" spans="33:33">
      <c r="AG12491" s="14"/>
    </row>
    <row r="12492" spans="33:33">
      <c r="AG12492" s="14"/>
    </row>
    <row r="12493" spans="33:33">
      <c r="AG12493" s="14"/>
    </row>
    <row r="12494" spans="33:33">
      <c r="AG12494" s="14"/>
    </row>
    <row r="12495" spans="33:33">
      <c r="AG12495" s="14"/>
    </row>
    <row r="12496" spans="33:33">
      <c r="AG12496" s="14"/>
    </row>
    <row r="12497" spans="33:33">
      <c r="AG12497" s="14"/>
    </row>
    <row r="12498" spans="33:33">
      <c r="AG12498" s="14"/>
    </row>
    <row r="12499" spans="33:33">
      <c r="AG12499" s="14"/>
    </row>
    <row r="12500" spans="33:33">
      <c r="AG12500" s="14"/>
    </row>
    <row r="12501" spans="33:33">
      <c r="AG12501" s="14"/>
    </row>
    <row r="12502" spans="33:33">
      <c r="AG12502" s="14"/>
    </row>
    <row r="12503" spans="33:33">
      <c r="AG12503" s="14"/>
    </row>
    <row r="12504" spans="33:33">
      <c r="AG12504" s="14"/>
    </row>
    <row r="12505" spans="33:33">
      <c r="AG12505" s="14"/>
    </row>
    <row r="12506" spans="33:33">
      <c r="AG12506" s="14"/>
    </row>
    <row r="12507" spans="33:33">
      <c r="AG12507" s="14"/>
    </row>
    <row r="12508" spans="33:33">
      <c r="AG12508" s="14"/>
    </row>
    <row r="12509" spans="33:33">
      <c r="AG12509" s="14"/>
    </row>
    <row r="12510" spans="33:33">
      <c r="AG12510" s="14"/>
    </row>
    <row r="12511" spans="33:33">
      <c r="AG12511" s="14"/>
    </row>
    <row r="12512" spans="33:33">
      <c r="AG12512" s="14"/>
    </row>
    <row r="12513" spans="33:33">
      <c r="AG12513" s="14"/>
    </row>
    <row r="12514" spans="33:33">
      <c r="AG12514" s="14"/>
    </row>
    <row r="12515" spans="33:33">
      <c r="AG12515" s="14"/>
    </row>
    <row r="12516" spans="33:33">
      <c r="AG12516" s="14"/>
    </row>
    <row r="12517" spans="33:33">
      <c r="AG12517" s="14"/>
    </row>
    <row r="12518" spans="33:33">
      <c r="AG12518" s="14"/>
    </row>
    <row r="12519" spans="33:33">
      <c r="AG12519" s="14"/>
    </row>
    <row r="12520" spans="33:33">
      <c r="AG12520" s="14"/>
    </row>
    <row r="12521" spans="33:33">
      <c r="AG12521" s="14"/>
    </row>
    <row r="12522" spans="33:33">
      <c r="AG12522" s="14"/>
    </row>
    <row r="12523" spans="33:33">
      <c r="AG12523" s="14"/>
    </row>
    <row r="12524" spans="33:33">
      <c r="AG12524" s="14"/>
    </row>
    <row r="12525" spans="33:33">
      <c r="AG12525" s="14"/>
    </row>
    <row r="12526" spans="33:33">
      <c r="AG12526" s="14"/>
    </row>
    <row r="12527" spans="33:33">
      <c r="AG12527" s="14"/>
    </row>
    <row r="12528" spans="33:33">
      <c r="AG12528" s="14"/>
    </row>
    <row r="12529" spans="33:33">
      <c r="AG12529" s="14"/>
    </row>
    <row r="12530" spans="33:33">
      <c r="AG12530" s="14"/>
    </row>
    <row r="12531" spans="33:33">
      <c r="AG12531" s="14"/>
    </row>
    <row r="12532" spans="33:33">
      <c r="AG12532" s="14"/>
    </row>
    <row r="12533" spans="33:33">
      <c r="AG12533" s="14"/>
    </row>
    <row r="12534" spans="33:33">
      <c r="AG12534" s="14"/>
    </row>
    <row r="12535" spans="33:33">
      <c r="AG12535" s="14"/>
    </row>
    <row r="12536" spans="33:33">
      <c r="AG12536" s="14"/>
    </row>
    <row r="12537" spans="33:33">
      <c r="AG12537" s="14"/>
    </row>
    <row r="12538" spans="33:33">
      <c r="AG12538" s="14"/>
    </row>
    <row r="12539" spans="33:33">
      <c r="AG12539" s="14"/>
    </row>
    <row r="12540" spans="33:33">
      <c r="AG12540" s="14"/>
    </row>
    <row r="12541" spans="33:33">
      <c r="AG12541" s="14"/>
    </row>
    <row r="12542" spans="33:33">
      <c r="AG12542" s="14"/>
    </row>
    <row r="12543" spans="33:33">
      <c r="AG12543" s="14"/>
    </row>
    <row r="12544" spans="33:33">
      <c r="AG12544" s="14"/>
    </row>
    <row r="12545" spans="33:33">
      <c r="AG12545" s="14"/>
    </row>
    <row r="12546" spans="33:33">
      <c r="AG12546" s="14"/>
    </row>
    <row r="12547" spans="33:33">
      <c r="AG12547" s="14"/>
    </row>
    <row r="12548" spans="33:33">
      <c r="AG12548" s="14"/>
    </row>
    <row r="12549" spans="33:33">
      <c r="AG12549" s="14"/>
    </row>
    <row r="12550" spans="33:33">
      <c r="AG12550" s="14"/>
    </row>
    <row r="12551" spans="33:33">
      <c r="AG12551" s="14"/>
    </row>
    <row r="12552" spans="33:33">
      <c r="AG12552" s="14"/>
    </row>
    <row r="12553" spans="33:33">
      <c r="AG12553" s="14"/>
    </row>
    <row r="12554" spans="33:33">
      <c r="AG12554" s="14"/>
    </row>
    <row r="12555" spans="33:33">
      <c r="AG12555" s="14"/>
    </row>
    <row r="12556" spans="33:33">
      <c r="AG12556" s="14"/>
    </row>
    <row r="12557" spans="33:33">
      <c r="AG12557" s="14"/>
    </row>
    <row r="12558" spans="33:33">
      <c r="AG12558" s="14"/>
    </row>
    <row r="12559" spans="33:33">
      <c r="AG12559" s="14"/>
    </row>
    <row r="12560" spans="33:33">
      <c r="AG12560" s="14"/>
    </row>
    <row r="12561" spans="33:33">
      <c r="AG12561" s="14"/>
    </row>
    <row r="12562" spans="33:33">
      <c r="AG12562" s="14"/>
    </row>
    <row r="12563" spans="33:33">
      <c r="AG12563" s="14"/>
    </row>
    <row r="12564" spans="33:33">
      <c r="AG12564" s="14"/>
    </row>
    <row r="12565" spans="33:33">
      <c r="AG12565" s="14"/>
    </row>
    <row r="12566" spans="33:33">
      <c r="AG12566" s="14"/>
    </row>
    <row r="12567" spans="33:33">
      <c r="AG12567" s="14"/>
    </row>
    <row r="12568" spans="33:33">
      <c r="AG12568" s="14"/>
    </row>
    <row r="12569" spans="33:33">
      <c r="AG12569" s="14"/>
    </row>
    <row r="12570" spans="33:33">
      <c r="AG12570" s="14"/>
    </row>
    <row r="12571" spans="33:33">
      <c r="AG12571" s="14"/>
    </row>
    <row r="12572" spans="33:33">
      <c r="AG12572" s="14"/>
    </row>
    <row r="12573" spans="33:33">
      <c r="AG12573" s="14"/>
    </row>
    <row r="12574" spans="33:33">
      <c r="AG12574" s="14"/>
    </row>
    <row r="12575" spans="33:33">
      <c r="AG12575" s="14"/>
    </row>
    <row r="12576" spans="33:33">
      <c r="AG12576" s="14"/>
    </row>
    <row r="12577" spans="33:33">
      <c r="AG12577" s="14"/>
    </row>
    <row r="12578" spans="33:33">
      <c r="AG12578" s="14"/>
    </row>
    <row r="12579" spans="33:33">
      <c r="AG12579" s="14"/>
    </row>
    <row r="12580" spans="33:33">
      <c r="AG12580" s="14"/>
    </row>
    <row r="12581" spans="33:33">
      <c r="AG12581" s="14"/>
    </row>
    <row r="12582" spans="33:33">
      <c r="AG12582" s="14"/>
    </row>
    <row r="12583" spans="33:33">
      <c r="AG12583" s="14"/>
    </row>
    <row r="12584" spans="33:33">
      <c r="AG12584" s="14"/>
    </row>
    <row r="12585" spans="33:33">
      <c r="AG12585" s="14"/>
    </row>
    <row r="12586" spans="33:33">
      <c r="AG12586" s="14"/>
    </row>
    <row r="12587" spans="33:33">
      <c r="AG12587" s="14"/>
    </row>
    <row r="12588" spans="33:33">
      <c r="AG12588" s="14"/>
    </row>
    <row r="12589" spans="33:33">
      <c r="AG12589" s="14"/>
    </row>
    <row r="12590" spans="33:33">
      <c r="AG12590" s="14"/>
    </row>
    <row r="12591" spans="33:33">
      <c r="AG12591" s="14"/>
    </row>
    <row r="12592" spans="33:33">
      <c r="AG12592" s="14"/>
    </row>
    <row r="12593" spans="33:33">
      <c r="AG12593" s="14"/>
    </row>
    <row r="12594" spans="33:33">
      <c r="AG12594" s="14"/>
    </row>
    <row r="12595" spans="33:33">
      <c r="AG12595" s="14"/>
    </row>
    <row r="12596" spans="33:33">
      <c r="AG12596" s="14"/>
    </row>
    <row r="12597" spans="33:33">
      <c r="AG12597" s="14"/>
    </row>
    <row r="12598" spans="33:33">
      <c r="AG12598" s="14"/>
    </row>
    <row r="12599" spans="33:33">
      <c r="AG12599" s="14"/>
    </row>
    <row r="12600" spans="33:33">
      <c r="AG12600" s="14"/>
    </row>
    <row r="12601" spans="33:33">
      <c r="AG12601" s="14"/>
    </row>
    <row r="12602" spans="33:33">
      <c r="AG12602" s="14"/>
    </row>
    <row r="12603" spans="33:33">
      <c r="AG12603" s="14"/>
    </row>
    <row r="12604" spans="33:33">
      <c r="AG12604" s="14"/>
    </row>
    <row r="12605" spans="33:33">
      <c r="AG12605" s="14"/>
    </row>
    <row r="12606" spans="33:33">
      <c r="AG12606" s="14"/>
    </row>
    <row r="12607" spans="33:33">
      <c r="AG12607" s="14"/>
    </row>
    <row r="12608" spans="33:33">
      <c r="AG12608" s="14"/>
    </row>
    <row r="12609" spans="33:33">
      <c r="AG12609" s="14"/>
    </row>
    <row r="12610" spans="33:33">
      <c r="AG12610" s="14"/>
    </row>
    <row r="12611" spans="33:33">
      <c r="AG12611" s="14"/>
    </row>
    <row r="12612" spans="33:33">
      <c r="AG12612" s="14"/>
    </row>
    <row r="12613" spans="33:33">
      <c r="AG12613" s="14"/>
    </row>
    <row r="12614" spans="33:33">
      <c r="AG12614" s="14"/>
    </row>
    <row r="12615" spans="33:33">
      <c r="AG12615" s="14"/>
    </row>
    <row r="12616" spans="33:33">
      <c r="AG12616" s="14"/>
    </row>
    <row r="12617" spans="33:33">
      <c r="AG12617" s="14"/>
    </row>
    <row r="12618" spans="33:33">
      <c r="AG12618" s="14"/>
    </row>
    <row r="12619" spans="33:33">
      <c r="AG12619" s="14"/>
    </row>
    <row r="12620" spans="33:33">
      <c r="AG12620" s="14"/>
    </row>
    <row r="12621" spans="33:33">
      <c r="AG12621" s="14"/>
    </row>
    <row r="12622" spans="33:33">
      <c r="AG12622" s="14"/>
    </row>
    <row r="12623" spans="33:33">
      <c r="AG12623" s="14"/>
    </row>
    <row r="12624" spans="33:33">
      <c r="AG12624" s="14"/>
    </row>
    <row r="12625" spans="33:33">
      <c r="AG12625" s="14"/>
    </row>
    <row r="12626" spans="33:33">
      <c r="AG12626" s="14"/>
    </row>
    <row r="12627" spans="33:33">
      <c r="AG12627" s="14"/>
    </row>
    <row r="12628" spans="33:33">
      <c r="AG12628" s="14"/>
    </row>
    <row r="12629" spans="33:33">
      <c r="AG12629" s="14"/>
    </row>
    <row r="12630" spans="33:33">
      <c r="AG12630" s="14"/>
    </row>
    <row r="12631" spans="33:33">
      <c r="AG12631" s="14"/>
    </row>
    <row r="12632" spans="33:33">
      <c r="AG12632" s="14"/>
    </row>
    <row r="12633" spans="33:33">
      <c r="AG12633" s="14"/>
    </row>
    <row r="12634" spans="33:33">
      <c r="AG12634" s="14"/>
    </row>
    <row r="12635" spans="33:33">
      <c r="AG12635" s="14"/>
    </row>
    <row r="12636" spans="33:33">
      <c r="AG12636" s="14"/>
    </row>
    <row r="12637" spans="33:33">
      <c r="AG12637" s="14"/>
    </row>
    <row r="12638" spans="33:33">
      <c r="AG12638" s="14"/>
    </row>
    <row r="12639" spans="33:33">
      <c r="AG12639" s="14"/>
    </row>
    <row r="12640" spans="33:33">
      <c r="AG12640" s="14"/>
    </row>
    <row r="12641" spans="33:33">
      <c r="AG12641" s="14"/>
    </row>
    <row r="12642" spans="33:33">
      <c r="AG12642" s="14"/>
    </row>
    <row r="12643" spans="33:33">
      <c r="AG12643" s="14"/>
    </row>
    <row r="12644" spans="33:33">
      <c r="AG12644" s="14"/>
    </row>
    <row r="12645" spans="33:33">
      <c r="AG12645" s="14"/>
    </row>
    <row r="12646" spans="33:33">
      <c r="AG12646" s="14"/>
    </row>
    <row r="12647" spans="33:33">
      <c r="AG12647" s="14"/>
    </row>
    <row r="12648" spans="33:33">
      <c r="AG12648" s="14"/>
    </row>
    <row r="12649" spans="33:33">
      <c r="AG12649" s="14"/>
    </row>
    <row r="12650" spans="33:33">
      <c r="AG12650" s="14"/>
    </row>
    <row r="12651" spans="33:33">
      <c r="AG12651" s="14"/>
    </row>
    <row r="12652" spans="33:33">
      <c r="AG12652" s="14"/>
    </row>
    <row r="12653" spans="33:33">
      <c r="AG12653" s="14"/>
    </row>
    <row r="12654" spans="33:33">
      <c r="AG12654" s="14"/>
    </row>
    <row r="12655" spans="33:33">
      <c r="AG12655" s="14"/>
    </row>
    <row r="12656" spans="33:33">
      <c r="AG12656" s="14"/>
    </row>
    <row r="12657" spans="33:33">
      <c r="AG12657" s="14"/>
    </row>
    <row r="12658" spans="33:33">
      <c r="AG12658" s="14"/>
    </row>
    <row r="12659" spans="33:33">
      <c r="AG12659" s="14"/>
    </row>
    <row r="12660" spans="33:33">
      <c r="AG12660" s="14"/>
    </row>
    <row r="12661" spans="33:33">
      <c r="AG12661" s="14"/>
    </row>
    <row r="12662" spans="33:33">
      <c r="AG12662" s="14"/>
    </row>
    <row r="12663" spans="33:33">
      <c r="AG12663" s="14"/>
    </row>
    <row r="12664" spans="33:33">
      <c r="AG12664" s="14"/>
    </row>
    <row r="12665" spans="33:33">
      <c r="AG12665" s="14"/>
    </row>
    <row r="12666" spans="33:33">
      <c r="AG12666" s="14"/>
    </row>
    <row r="12667" spans="33:33">
      <c r="AG12667" s="14"/>
    </row>
    <row r="12668" spans="33:33">
      <c r="AG12668" s="14"/>
    </row>
    <row r="12669" spans="33:33">
      <c r="AG12669" s="14"/>
    </row>
    <row r="12670" spans="33:33">
      <c r="AG12670" s="14"/>
    </row>
    <row r="12671" spans="33:33">
      <c r="AG12671" s="14"/>
    </row>
    <row r="12672" spans="33:33">
      <c r="AG12672" s="14"/>
    </row>
    <row r="12673" spans="33:33">
      <c r="AG12673" s="14"/>
    </row>
    <row r="12674" spans="33:33">
      <c r="AG12674" s="14"/>
    </row>
    <row r="12675" spans="33:33">
      <c r="AG12675" s="14"/>
    </row>
    <row r="12676" spans="33:33">
      <c r="AG12676" s="14"/>
    </row>
    <row r="12677" spans="33:33">
      <c r="AG12677" s="14"/>
    </row>
    <row r="12678" spans="33:33">
      <c r="AG12678" s="14"/>
    </row>
    <row r="12679" spans="33:33">
      <c r="AG12679" s="14"/>
    </row>
    <row r="12680" spans="33:33">
      <c r="AG12680" s="14"/>
    </row>
    <row r="12681" spans="33:33">
      <c r="AG12681" s="14"/>
    </row>
    <row r="12682" spans="33:33">
      <c r="AG12682" s="14"/>
    </row>
    <row r="12683" spans="33:33">
      <c r="AG12683" s="14"/>
    </row>
    <row r="12684" spans="33:33">
      <c r="AG12684" s="14"/>
    </row>
    <row r="12685" spans="33:33">
      <c r="AG12685" s="14"/>
    </row>
    <row r="12686" spans="33:33">
      <c r="AG12686" s="14"/>
    </row>
    <row r="12687" spans="33:33">
      <c r="AG12687" s="14"/>
    </row>
    <row r="12688" spans="33:33">
      <c r="AG12688" s="14"/>
    </row>
    <row r="12689" spans="33:33">
      <c r="AG12689" s="14"/>
    </row>
    <row r="12690" spans="33:33">
      <c r="AG12690" s="14"/>
    </row>
    <row r="12691" spans="33:33">
      <c r="AG12691" s="14"/>
    </row>
    <row r="12692" spans="33:33">
      <c r="AG12692" s="14"/>
    </row>
    <row r="12693" spans="33:33">
      <c r="AG12693" s="14"/>
    </row>
    <row r="12694" spans="33:33">
      <c r="AG12694" s="14"/>
    </row>
    <row r="12695" spans="33:33">
      <c r="AG12695" s="14"/>
    </row>
    <row r="12696" spans="33:33">
      <c r="AG12696" s="14"/>
    </row>
    <row r="12697" spans="33:33">
      <c r="AG12697" s="14"/>
    </row>
    <row r="12698" spans="33:33">
      <c r="AG12698" s="14"/>
    </row>
    <row r="12699" spans="33:33">
      <c r="AG12699" s="14"/>
    </row>
    <row r="12700" spans="33:33">
      <c r="AG12700" s="14"/>
    </row>
    <row r="12701" spans="33:33">
      <c r="AG12701" s="14"/>
    </row>
    <row r="12702" spans="33:33">
      <c r="AG12702" s="14"/>
    </row>
    <row r="12703" spans="33:33">
      <c r="AG12703" s="14"/>
    </row>
    <row r="12704" spans="33:33">
      <c r="AG12704" s="14"/>
    </row>
    <row r="12705" spans="33:33">
      <c r="AG12705" s="14"/>
    </row>
    <row r="12706" spans="33:33">
      <c r="AG12706" s="14"/>
    </row>
    <row r="12707" spans="33:33">
      <c r="AG12707" s="14"/>
    </row>
    <row r="12708" spans="33:33">
      <c r="AG12708" s="14"/>
    </row>
    <row r="12709" spans="33:33">
      <c r="AG12709" s="14"/>
    </row>
    <row r="12710" spans="33:33">
      <c r="AG12710" s="14"/>
    </row>
    <row r="12711" spans="33:33">
      <c r="AG12711" s="14"/>
    </row>
    <row r="12712" spans="33:33">
      <c r="AG12712" s="14"/>
    </row>
    <row r="12713" spans="33:33">
      <c r="AG12713" s="14"/>
    </row>
    <row r="12714" spans="33:33">
      <c r="AG12714" s="14"/>
    </row>
    <row r="12715" spans="33:33">
      <c r="AG12715" s="14"/>
    </row>
    <row r="12716" spans="33:33">
      <c r="AG12716" s="14"/>
    </row>
    <row r="12717" spans="33:33">
      <c r="AG12717" s="14"/>
    </row>
    <row r="12718" spans="33:33">
      <c r="AG12718" s="14"/>
    </row>
    <row r="12719" spans="33:33">
      <c r="AG12719" s="14"/>
    </row>
    <row r="12720" spans="33:33">
      <c r="AG12720" s="14"/>
    </row>
    <row r="12721" spans="33:33">
      <c r="AG12721" s="14"/>
    </row>
    <row r="12722" spans="33:33">
      <c r="AG12722" s="14"/>
    </row>
    <row r="12723" spans="33:33">
      <c r="AG12723" s="14"/>
    </row>
    <row r="12724" spans="33:33">
      <c r="AG12724" s="14"/>
    </row>
    <row r="12725" spans="33:33">
      <c r="AG12725" s="14"/>
    </row>
    <row r="12726" spans="33:33">
      <c r="AG12726" s="14"/>
    </row>
    <row r="12727" spans="33:33">
      <c r="AG12727" s="14"/>
    </row>
    <row r="12728" spans="33:33">
      <c r="AG12728" s="14"/>
    </row>
    <row r="12729" spans="33:33">
      <c r="AG12729" s="14"/>
    </row>
    <row r="12730" spans="33:33">
      <c r="AG12730" s="14"/>
    </row>
    <row r="12731" spans="33:33">
      <c r="AG12731" s="14"/>
    </row>
    <row r="12732" spans="33:33">
      <c r="AG12732" s="14"/>
    </row>
    <row r="12733" spans="33:33">
      <c r="AG12733" s="14"/>
    </row>
    <row r="12734" spans="33:33">
      <c r="AG12734" s="14"/>
    </row>
    <row r="12735" spans="33:33">
      <c r="AG12735" s="14"/>
    </row>
    <row r="12736" spans="33:33">
      <c r="AG12736" s="14"/>
    </row>
    <row r="12737" spans="33:33">
      <c r="AG12737" s="14"/>
    </row>
    <row r="12738" spans="33:33">
      <c r="AG12738" s="14"/>
    </row>
    <row r="12739" spans="33:33">
      <c r="AG12739" s="14"/>
    </row>
    <row r="12740" spans="33:33">
      <c r="AG12740" s="14"/>
    </row>
    <row r="12741" spans="33:33">
      <c r="AG12741" s="14"/>
    </row>
    <row r="12742" spans="33:33">
      <c r="AG12742" s="14"/>
    </row>
    <row r="12743" spans="33:33">
      <c r="AG12743" s="14"/>
    </row>
    <row r="12744" spans="33:33">
      <c r="AG12744" s="14"/>
    </row>
    <row r="12745" spans="33:33">
      <c r="AG12745" s="14"/>
    </row>
    <row r="12746" spans="33:33">
      <c r="AG12746" s="14"/>
    </row>
    <row r="12747" spans="33:33">
      <c r="AG12747" s="14"/>
    </row>
    <row r="12748" spans="33:33">
      <c r="AG12748" s="14"/>
    </row>
    <row r="12749" spans="33:33">
      <c r="AG12749" s="14"/>
    </row>
    <row r="12750" spans="33:33">
      <c r="AG12750" s="14"/>
    </row>
    <row r="12751" spans="33:33">
      <c r="AG12751" s="14"/>
    </row>
    <row r="12752" spans="33:33">
      <c r="AG12752" s="14"/>
    </row>
    <row r="12753" spans="33:33">
      <c r="AG12753" s="14"/>
    </row>
    <row r="12754" spans="33:33">
      <c r="AG12754" s="14"/>
    </row>
    <row r="12755" spans="33:33">
      <c r="AG12755" s="14"/>
    </row>
    <row r="12756" spans="33:33">
      <c r="AG12756" s="14"/>
    </row>
    <row r="12757" spans="33:33">
      <c r="AG12757" s="14"/>
    </row>
    <row r="12758" spans="33:33">
      <c r="AG12758" s="14"/>
    </row>
    <row r="12759" spans="33:33">
      <c r="AG12759" s="14"/>
    </row>
    <row r="12760" spans="33:33">
      <c r="AG12760" s="14"/>
    </row>
    <row r="12761" spans="33:33">
      <c r="AG12761" s="14"/>
    </row>
    <row r="12762" spans="33:33">
      <c r="AG12762" s="14"/>
    </row>
    <row r="12763" spans="33:33">
      <c r="AG12763" s="14"/>
    </row>
    <row r="12764" spans="33:33">
      <c r="AG12764" s="14"/>
    </row>
    <row r="12765" spans="33:33">
      <c r="AG12765" s="14"/>
    </row>
    <row r="12766" spans="33:33">
      <c r="AG12766" s="14"/>
    </row>
    <row r="12767" spans="33:33">
      <c r="AG12767" s="14"/>
    </row>
    <row r="12768" spans="33:33">
      <c r="AG12768" s="14"/>
    </row>
    <row r="12769" spans="33:33">
      <c r="AG12769" s="14"/>
    </row>
    <row r="12770" spans="33:33">
      <c r="AG12770" s="14"/>
    </row>
    <row r="12771" spans="33:33">
      <c r="AG12771" s="14"/>
    </row>
    <row r="12772" spans="33:33">
      <c r="AG12772" s="14"/>
    </row>
    <row r="12773" spans="33:33">
      <c r="AG12773" s="14"/>
    </row>
    <row r="12774" spans="33:33">
      <c r="AG12774" s="14"/>
    </row>
    <row r="12775" spans="33:33">
      <c r="AG12775" s="14"/>
    </row>
    <row r="12776" spans="33:33">
      <c r="AG12776" s="14"/>
    </row>
    <row r="12777" spans="33:33">
      <c r="AG12777" s="14"/>
    </row>
    <row r="12778" spans="33:33">
      <c r="AG12778" s="14"/>
    </row>
    <row r="12779" spans="33:33">
      <c r="AG12779" s="14"/>
    </row>
    <row r="12780" spans="33:33">
      <c r="AG12780" s="14"/>
    </row>
    <row r="12781" spans="33:33">
      <c r="AG12781" s="14"/>
    </row>
    <row r="12782" spans="33:33">
      <c r="AG12782" s="14"/>
    </row>
    <row r="12783" spans="33:33">
      <c r="AG12783" s="14"/>
    </row>
    <row r="12784" spans="33:33">
      <c r="AG12784" s="14"/>
    </row>
    <row r="12785" spans="33:33">
      <c r="AG12785" s="14"/>
    </row>
    <row r="12786" spans="33:33">
      <c r="AG12786" s="14"/>
    </row>
    <row r="12787" spans="33:33">
      <c r="AG12787" s="14"/>
    </row>
    <row r="12788" spans="33:33">
      <c r="AG12788" s="14"/>
    </row>
    <row r="12789" spans="33:33">
      <c r="AG12789" s="14"/>
    </row>
    <row r="12790" spans="33:33">
      <c r="AG12790" s="14"/>
    </row>
    <row r="12791" spans="33:33">
      <c r="AG12791" s="14"/>
    </row>
    <row r="12792" spans="33:33">
      <c r="AG12792" s="14"/>
    </row>
    <row r="12793" spans="33:33">
      <c r="AG12793" s="14"/>
    </row>
    <row r="12794" spans="33:33">
      <c r="AG12794" s="14"/>
    </row>
    <row r="12795" spans="33:33">
      <c r="AG12795" s="14"/>
    </row>
    <row r="12796" spans="33:33">
      <c r="AG12796" s="14"/>
    </row>
    <row r="12797" spans="33:33">
      <c r="AG12797" s="14"/>
    </row>
    <row r="12798" spans="33:33">
      <c r="AG12798" s="14"/>
    </row>
    <row r="12799" spans="33:33">
      <c r="AG12799" s="14"/>
    </row>
    <row r="12800" spans="33:33">
      <c r="AG12800" s="14"/>
    </row>
    <row r="12801" spans="33:33">
      <c r="AG12801" s="14"/>
    </row>
    <row r="12802" spans="33:33">
      <c r="AG12802" s="14"/>
    </row>
    <row r="12803" spans="33:33">
      <c r="AG12803" s="14"/>
    </row>
    <row r="12804" spans="33:33">
      <c r="AG12804" s="14"/>
    </row>
    <row r="12805" spans="33:33">
      <c r="AG12805" s="14"/>
    </row>
    <row r="12806" spans="33:33">
      <c r="AG12806" s="14"/>
    </row>
    <row r="12807" spans="33:33">
      <c r="AG12807" s="14"/>
    </row>
    <row r="12808" spans="33:33">
      <c r="AG12808" s="14"/>
    </row>
    <row r="12809" spans="33:33">
      <c r="AG12809" s="14"/>
    </row>
    <row r="12810" spans="33:33">
      <c r="AG12810" s="14"/>
    </row>
    <row r="12811" spans="33:33">
      <c r="AG12811" s="14"/>
    </row>
    <row r="12812" spans="33:33">
      <c r="AG12812" s="14"/>
    </row>
    <row r="12813" spans="33:33">
      <c r="AG12813" s="14"/>
    </row>
    <row r="12814" spans="33:33">
      <c r="AG12814" s="14"/>
    </row>
    <row r="12815" spans="33:33">
      <c r="AG12815" s="14"/>
    </row>
    <row r="12816" spans="33:33">
      <c r="AG12816" s="14"/>
    </row>
    <row r="12817" spans="33:33">
      <c r="AG12817" s="14"/>
    </row>
    <row r="12818" spans="33:33">
      <c r="AG12818" s="14"/>
    </row>
    <row r="12819" spans="33:33">
      <c r="AG12819" s="14"/>
    </row>
    <row r="12820" spans="33:33">
      <c r="AG12820" s="14"/>
    </row>
    <row r="12821" spans="33:33">
      <c r="AG12821" s="14"/>
    </row>
    <row r="12822" spans="33:33">
      <c r="AG12822" s="14"/>
    </row>
    <row r="12823" spans="33:33">
      <c r="AG12823" s="14"/>
    </row>
    <row r="12824" spans="33:33">
      <c r="AG12824" s="14"/>
    </row>
    <row r="12825" spans="33:33">
      <c r="AG12825" s="14"/>
    </row>
    <row r="12826" spans="33:33">
      <c r="AG12826" s="14"/>
    </row>
    <row r="12827" spans="33:33">
      <c r="AG12827" s="14"/>
    </row>
    <row r="12828" spans="33:33">
      <c r="AG12828" s="14"/>
    </row>
    <row r="12829" spans="33:33">
      <c r="AG12829" s="14"/>
    </row>
    <row r="12830" spans="33:33">
      <c r="AG12830" s="14"/>
    </row>
    <row r="12831" spans="33:33">
      <c r="AG12831" s="14"/>
    </row>
    <row r="12832" spans="33:33">
      <c r="AG12832" s="14"/>
    </row>
    <row r="12833" spans="33:33">
      <c r="AG12833" s="14"/>
    </row>
    <row r="12834" spans="33:33">
      <c r="AG12834" s="14"/>
    </row>
    <row r="12835" spans="33:33">
      <c r="AG12835" s="14"/>
    </row>
    <row r="12836" spans="33:33">
      <c r="AG12836" s="14"/>
    </row>
    <row r="12837" spans="33:33">
      <c r="AG12837" s="14"/>
    </row>
    <row r="12838" spans="33:33">
      <c r="AG12838" s="14"/>
    </row>
    <row r="12839" spans="33:33">
      <c r="AG12839" s="14"/>
    </row>
    <row r="12840" spans="33:33">
      <c r="AG12840" s="14"/>
    </row>
    <row r="12841" spans="33:33">
      <c r="AG12841" s="14"/>
    </row>
    <row r="12842" spans="33:33">
      <c r="AG12842" s="14"/>
    </row>
    <row r="12843" spans="33:33">
      <c r="AG12843" s="14"/>
    </row>
    <row r="12844" spans="33:33">
      <c r="AG12844" s="14"/>
    </row>
    <row r="12845" spans="33:33">
      <c r="AG12845" s="14"/>
    </row>
    <row r="12846" spans="33:33">
      <c r="AG12846" s="14"/>
    </row>
    <row r="12847" spans="33:33">
      <c r="AG12847" s="14"/>
    </row>
    <row r="12848" spans="33:33">
      <c r="AG12848" s="14"/>
    </row>
    <row r="12849" spans="33:33">
      <c r="AG12849" s="14"/>
    </row>
    <row r="12850" spans="33:33">
      <c r="AG12850" s="14"/>
    </row>
    <row r="12851" spans="33:33">
      <c r="AG12851" s="14"/>
    </row>
    <row r="12852" spans="33:33">
      <c r="AG12852" s="14"/>
    </row>
    <row r="12853" spans="33:33">
      <c r="AG12853" s="14"/>
    </row>
    <row r="12854" spans="33:33">
      <c r="AG12854" s="14"/>
    </row>
    <row r="12855" spans="33:33">
      <c r="AG12855" s="14"/>
    </row>
    <row r="12856" spans="33:33">
      <c r="AG12856" s="14"/>
    </row>
    <row r="12857" spans="33:33">
      <c r="AG12857" s="14"/>
    </row>
    <row r="12858" spans="33:33">
      <c r="AG12858" s="14"/>
    </row>
    <row r="12859" spans="33:33">
      <c r="AG12859" s="14"/>
    </row>
    <row r="12860" spans="33:33">
      <c r="AG12860" s="14"/>
    </row>
    <row r="12861" spans="33:33">
      <c r="AG12861" s="14"/>
    </row>
    <row r="12862" spans="33:33">
      <c r="AG12862" s="14"/>
    </row>
    <row r="12863" spans="33:33">
      <c r="AG12863" s="14"/>
    </row>
    <row r="12864" spans="33:33">
      <c r="AG12864" s="14"/>
    </row>
    <row r="12865" spans="33:33">
      <c r="AG12865" s="14"/>
    </row>
    <row r="12866" spans="33:33">
      <c r="AG12866" s="14"/>
    </row>
    <row r="12867" spans="33:33">
      <c r="AG12867" s="14"/>
    </row>
    <row r="12868" spans="33:33">
      <c r="AG12868" s="14"/>
    </row>
    <row r="12869" spans="33:33">
      <c r="AG12869" s="14"/>
    </row>
    <row r="12870" spans="33:33">
      <c r="AG12870" s="14"/>
    </row>
    <row r="12871" spans="33:33">
      <c r="AG12871" s="14"/>
    </row>
    <row r="12872" spans="33:33">
      <c r="AG12872" s="14"/>
    </row>
    <row r="12873" spans="33:33">
      <c r="AG12873" s="14"/>
    </row>
    <row r="12874" spans="33:33">
      <c r="AG12874" s="14"/>
    </row>
    <row r="12875" spans="33:33">
      <c r="AG12875" s="14"/>
    </row>
    <row r="12876" spans="33:33">
      <c r="AG12876" s="14"/>
    </row>
    <row r="12877" spans="33:33">
      <c r="AG12877" s="14"/>
    </row>
    <row r="12878" spans="33:33">
      <c r="AG12878" s="14"/>
    </row>
    <row r="12879" spans="33:33">
      <c r="AG12879" s="14"/>
    </row>
    <row r="12880" spans="33:33">
      <c r="AG12880" s="14"/>
    </row>
    <row r="12881" spans="33:33">
      <c r="AG12881" s="14"/>
    </row>
    <row r="12882" spans="33:33">
      <c r="AG12882" s="14"/>
    </row>
    <row r="12883" spans="33:33">
      <c r="AG12883" s="14"/>
    </row>
    <row r="12884" spans="33:33">
      <c r="AG12884" s="14"/>
    </row>
    <row r="12885" spans="33:33">
      <c r="AG12885" s="14"/>
    </row>
    <row r="12886" spans="33:33">
      <c r="AG12886" s="14"/>
    </row>
    <row r="12887" spans="33:33">
      <c r="AG12887" s="14"/>
    </row>
    <row r="12888" spans="33:33">
      <c r="AG12888" s="14"/>
    </row>
    <row r="12889" spans="33:33">
      <c r="AG12889" s="14"/>
    </row>
    <row r="12890" spans="33:33">
      <c r="AG12890" s="14"/>
    </row>
    <row r="12891" spans="33:33">
      <c r="AG12891" s="14"/>
    </row>
    <row r="12892" spans="33:33">
      <c r="AG12892" s="14"/>
    </row>
    <row r="12893" spans="33:33">
      <c r="AG12893" s="14"/>
    </row>
    <row r="12894" spans="33:33">
      <c r="AG12894" s="14"/>
    </row>
    <row r="12895" spans="33:33">
      <c r="AG12895" s="14"/>
    </row>
    <row r="12896" spans="33:33">
      <c r="AG12896" s="14"/>
    </row>
    <row r="12897" spans="33:33">
      <c r="AG12897" s="14"/>
    </row>
    <row r="12898" spans="33:33">
      <c r="AG12898" s="14"/>
    </row>
    <row r="12899" spans="33:33">
      <c r="AG12899" s="14"/>
    </row>
    <row r="12900" spans="33:33">
      <c r="AG12900" s="14"/>
    </row>
    <row r="12901" spans="33:33">
      <c r="AG12901" s="14"/>
    </row>
    <row r="12902" spans="33:33">
      <c r="AG12902" s="14"/>
    </row>
    <row r="12903" spans="33:33">
      <c r="AG12903" s="14"/>
    </row>
    <row r="12904" spans="33:33">
      <c r="AG12904" s="14"/>
    </row>
    <row r="12905" spans="33:33">
      <c r="AG12905" s="14"/>
    </row>
    <row r="12906" spans="33:33">
      <c r="AG12906" s="14"/>
    </row>
    <row r="12907" spans="33:33">
      <c r="AG12907" s="14"/>
    </row>
    <row r="12908" spans="33:33">
      <c r="AG12908" s="14"/>
    </row>
    <row r="12909" spans="33:33">
      <c r="AG12909" s="14"/>
    </row>
    <row r="12910" spans="33:33">
      <c r="AG12910" s="14"/>
    </row>
    <row r="12911" spans="33:33">
      <c r="AG12911" s="14"/>
    </row>
    <row r="12912" spans="33:33">
      <c r="AG12912" s="14"/>
    </row>
    <row r="12913" spans="33:33">
      <c r="AG12913" s="14"/>
    </row>
    <row r="12914" spans="33:33">
      <c r="AG12914" s="14"/>
    </row>
    <row r="12915" spans="33:33">
      <c r="AG12915" s="14"/>
    </row>
    <row r="12916" spans="33:33">
      <c r="AG12916" s="14"/>
    </row>
    <row r="12917" spans="33:33">
      <c r="AG12917" s="14"/>
    </row>
    <row r="12918" spans="33:33">
      <c r="AG12918" s="14"/>
    </row>
    <row r="12919" spans="33:33">
      <c r="AG12919" s="14"/>
    </row>
    <row r="12920" spans="33:33">
      <c r="AG12920" s="14"/>
    </row>
    <row r="12921" spans="33:33">
      <c r="AG12921" s="14"/>
    </row>
    <row r="12922" spans="33:33">
      <c r="AG12922" s="14"/>
    </row>
    <row r="12923" spans="33:33">
      <c r="AG12923" s="14"/>
    </row>
    <row r="12924" spans="33:33">
      <c r="AG12924" s="14"/>
    </row>
    <row r="12925" spans="33:33">
      <c r="AG12925" s="14"/>
    </row>
    <row r="12926" spans="33:33">
      <c r="AG12926" s="14"/>
    </row>
    <row r="12927" spans="33:33">
      <c r="AG12927" s="14"/>
    </row>
    <row r="12928" spans="33:33">
      <c r="AG12928" s="14"/>
    </row>
    <row r="12929" spans="33:33">
      <c r="AG12929" s="14"/>
    </row>
    <row r="12930" spans="33:33">
      <c r="AG12930" s="14"/>
    </row>
    <row r="12931" spans="33:33">
      <c r="AG12931" s="14"/>
    </row>
    <row r="12932" spans="33:33">
      <c r="AG12932" s="14"/>
    </row>
    <row r="12933" spans="33:33">
      <c r="AG12933" s="14"/>
    </row>
    <row r="12934" spans="33:33">
      <c r="AG12934" s="14"/>
    </row>
    <row r="12935" spans="33:33">
      <c r="AG12935" s="14"/>
    </row>
    <row r="12936" spans="33:33">
      <c r="AG12936" s="14"/>
    </row>
    <row r="12937" spans="33:33">
      <c r="AG12937" s="14"/>
    </row>
    <row r="12938" spans="33:33">
      <c r="AG12938" s="14"/>
    </row>
    <row r="12939" spans="33:33">
      <c r="AG12939" s="14"/>
    </row>
    <row r="12940" spans="33:33">
      <c r="AG12940" s="14"/>
    </row>
    <row r="12941" spans="33:33">
      <c r="AG12941" s="14"/>
    </row>
    <row r="12942" spans="33:33">
      <c r="AG12942" s="14"/>
    </row>
    <row r="12943" spans="33:33">
      <c r="AG12943" s="14"/>
    </row>
    <row r="12944" spans="33:33">
      <c r="AG12944" s="14"/>
    </row>
    <row r="12945" spans="33:33">
      <c r="AG12945" s="14"/>
    </row>
    <row r="12946" spans="33:33">
      <c r="AG12946" s="14"/>
    </row>
    <row r="12947" spans="33:33">
      <c r="AG12947" s="14"/>
    </row>
    <row r="12948" spans="33:33">
      <c r="AG12948" s="14"/>
    </row>
    <row r="12949" spans="33:33">
      <c r="AG12949" s="14"/>
    </row>
    <row r="12950" spans="33:33">
      <c r="AG12950" s="14"/>
    </row>
    <row r="12951" spans="33:33">
      <c r="AG12951" s="14"/>
    </row>
    <row r="12952" spans="33:33">
      <c r="AG12952" s="14"/>
    </row>
    <row r="12953" spans="33:33">
      <c r="AG12953" s="14"/>
    </row>
    <row r="12954" spans="33:33">
      <c r="AG12954" s="14"/>
    </row>
    <row r="12955" spans="33:33">
      <c r="AG12955" s="14"/>
    </row>
    <row r="12956" spans="33:33">
      <c r="AG12956" s="14"/>
    </row>
    <row r="12957" spans="33:33">
      <c r="AG12957" s="14"/>
    </row>
    <row r="12958" spans="33:33">
      <c r="AG12958" s="14"/>
    </row>
    <row r="12959" spans="33:33">
      <c r="AG12959" s="14"/>
    </row>
    <row r="12960" spans="33:33">
      <c r="AG12960" s="14"/>
    </row>
    <row r="12961" spans="33:33">
      <c r="AG12961" s="14"/>
    </row>
    <row r="12962" spans="33:33">
      <c r="AG12962" s="14"/>
    </row>
    <row r="12963" spans="33:33">
      <c r="AG12963" s="14"/>
    </row>
    <row r="12964" spans="33:33">
      <c r="AG12964" s="14"/>
    </row>
    <row r="12965" spans="33:33">
      <c r="AG12965" s="14"/>
    </row>
    <row r="12966" spans="33:33">
      <c r="AG12966" s="14"/>
    </row>
    <row r="12967" spans="33:33">
      <c r="AG12967" s="14"/>
    </row>
    <row r="12968" spans="33:33">
      <c r="AG12968" s="14"/>
    </row>
    <row r="12969" spans="33:33">
      <c r="AG12969" s="14"/>
    </row>
    <row r="12970" spans="33:33">
      <c r="AG12970" s="14"/>
    </row>
    <row r="12971" spans="33:33">
      <c r="AG12971" s="14"/>
    </row>
    <row r="12972" spans="33:33">
      <c r="AG12972" s="14"/>
    </row>
    <row r="12973" spans="33:33">
      <c r="AG12973" s="14"/>
    </row>
    <row r="12974" spans="33:33">
      <c r="AG12974" s="14"/>
    </row>
    <row r="12975" spans="33:33">
      <c r="AG12975" s="14"/>
    </row>
    <row r="12976" spans="33:33">
      <c r="AG12976" s="14"/>
    </row>
    <row r="12977" spans="33:33">
      <c r="AG12977" s="14"/>
    </row>
    <row r="12978" spans="33:33">
      <c r="AG12978" s="14"/>
    </row>
    <row r="12979" spans="33:33">
      <c r="AG12979" s="14"/>
    </row>
    <row r="12980" spans="33:33">
      <c r="AG12980" s="14"/>
    </row>
    <row r="12981" spans="33:33">
      <c r="AG12981" s="14"/>
    </row>
    <row r="12982" spans="33:33">
      <c r="AG12982" s="14"/>
    </row>
    <row r="12983" spans="33:33">
      <c r="AG12983" s="14"/>
    </row>
    <row r="12984" spans="33:33">
      <c r="AG12984" s="14"/>
    </row>
    <row r="12985" spans="33:33">
      <c r="AG12985" s="14"/>
    </row>
    <row r="12986" spans="33:33">
      <c r="AG12986" s="14"/>
    </row>
    <row r="12987" spans="33:33">
      <c r="AG12987" s="14"/>
    </row>
    <row r="12988" spans="33:33">
      <c r="AG12988" s="14"/>
    </row>
    <row r="12989" spans="33:33">
      <c r="AG12989" s="14"/>
    </row>
    <row r="12990" spans="33:33">
      <c r="AG12990" s="14"/>
    </row>
    <row r="12991" spans="33:33">
      <c r="AG12991" s="14"/>
    </row>
    <row r="12992" spans="33:33">
      <c r="AG12992" s="14"/>
    </row>
    <row r="12993" spans="33:33">
      <c r="AG12993" s="14"/>
    </row>
    <row r="12994" spans="33:33">
      <c r="AG12994" s="14"/>
    </row>
    <row r="12995" spans="33:33">
      <c r="AG12995" s="14"/>
    </row>
    <row r="12996" spans="33:33">
      <c r="AG12996" s="14"/>
    </row>
    <row r="12997" spans="33:33">
      <c r="AG12997" s="14"/>
    </row>
    <row r="12998" spans="33:33">
      <c r="AG12998" s="14"/>
    </row>
    <row r="12999" spans="33:33">
      <c r="AG12999" s="14"/>
    </row>
    <row r="13000" spans="33:33">
      <c r="AG13000" s="14"/>
    </row>
    <row r="13001" spans="33:33">
      <c r="AG13001" s="14"/>
    </row>
    <row r="13002" spans="33:33">
      <c r="AG13002" s="14"/>
    </row>
    <row r="13003" spans="33:33">
      <c r="AG13003" s="14"/>
    </row>
    <row r="13004" spans="33:33">
      <c r="AG13004" s="14"/>
    </row>
    <row r="13005" spans="33:33">
      <c r="AG13005" s="14"/>
    </row>
    <row r="13006" spans="33:33">
      <c r="AG13006" s="14"/>
    </row>
    <row r="13007" spans="33:33">
      <c r="AG13007" s="14"/>
    </row>
    <row r="13008" spans="33:33">
      <c r="AG13008" s="14"/>
    </row>
    <row r="13009" spans="33:33">
      <c r="AG13009" s="14"/>
    </row>
    <row r="13010" spans="33:33">
      <c r="AG13010" s="14"/>
    </row>
    <row r="13011" spans="33:33">
      <c r="AG13011" s="14"/>
    </row>
    <row r="13012" spans="33:33">
      <c r="AG13012" s="14"/>
    </row>
    <row r="13013" spans="33:33">
      <c r="AG13013" s="14"/>
    </row>
    <row r="13014" spans="33:33">
      <c r="AG13014" s="14"/>
    </row>
    <row r="13015" spans="33:33">
      <c r="AG13015" s="14"/>
    </row>
    <row r="13016" spans="33:33">
      <c r="AG13016" s="14"/>
    </row>
    <row r="13017" spans="33:33">
      <c r="AG13017" s="14"/>
    </row>
    <row r="13018" spans="33:33">
      <c r="AG13018" s="14"/>
    </row>
    <row r="13019" spans="33:33">
      <c r="AG13019" s="14"/>
    </row>
    <row r="13020" spans="33:33">
      <c r="AG13020" s="14"/>
    </row>
    <row r="13021" spans="33:33">
      <c r="AG13021" s="14"/>
    </row>
    <row r="13022" spans="33:33">
      <c r="AG13022" s="14"/>
    </row>
    <row r="13023" spans="33:33">
      <c r="AG13023" s="14"/>
    </row>
    <row r="13024" spans="33:33">
      <c r="AG13024" s="14"/>
    </row>
    <row r="13025" spans="33:33">
      <c r="AG13025" s="14"/>
    </row>
    <row r="13026" spans="33:33">
      <c r="AG13026" s="14"/>
    </row>
    <row r="13027" spans="33:33">
      <c r="AG13027" s="14"/>
    </row>
    <row r="13028" spans="33:33">
      <c r="AG13028" s="14"/>
    </row>
    <row r="13029" spans="33:33">
      <c r="AG13029" s="14"/>
    </row>
    <row r="13030" spans="33:33">
      <c r="AG13030" s="14"/>
    </row>
    <row r="13031" spans="33:33">
      <c r="AG13031" s="14"/>
    </row>
    <row r="13032" spans="33:33">
      <c r="AG13032" s="14"/>
    </row>
    <row r="13033" spans="33:33">
      <c r="AG13033" s="14"/>
    </row>
    <row r="13034" spans="33:33">
      <c r="AG13034" s="14"/>
    </row>
    <row r="13035" spans="33:33">
      <c r="AG13035" s="14"/>
    </row>
    <row r="13036" spans="33:33">
      <c r="AG13036" s="14"/>
    </row>
    <row r="13037" spans="33:33">
      <c r="AG13037" s="14"/>
    </row>
    <row r="13038" spans="33:33">
      <c r="AG13038" s="14"/>
    </row>
    <row r="13039" spans="33:33">
      <c r="AG13039" s="14"/>
    </row>
    <row r="13040" spans="33:33">
      <c r="AG13040" s="14"/>
    </row>
    <row r="13041" spans="33:33">
      <c r="AG13041" s="14"/>
    </row>
    <row r="13042" spans="33:33">
      <c r="AG13042" s="14"/>
    </row>
    <row r="13043" spans="33:33">
      <c r="AG13043" s="14"/>
    </row>
    <row r="13044" spans="33:33">
      <c r="AG13044" s="14"/>
    </row>
    <row r="13045" spans="33:33">
      <c r="AG13045" s="14"/>
    </row>
    <row r="13046" spans="33:33">
      <c r="AG13046" s="14"/>
    </row>
    <row r="13047" spans="33:33">
      <c r="AG13047" s="14"/>
    </row>
    <row r="13048" spans="33:33">
      <c r="AG13048" s="14"/>
    </row>
    <row r="13049" spans="33:33">
      <c r="AG13049" s="14"/>
    </row>
    <row r="13050" spans="33:33">
      <c r="AG13050" s="14"/>
    </row>
    <row r="13051" spans="33:33">
      <c r="AG13051" s="14"/>
    </row>
    <row r="13052" spans="33:33">
      <c r="AG13052" s="14"/>
    </row>
    <row r="13053" spans="33:33">
      <c r="AG13053" s="14"/>
    </row>
    <row r="13054" spans="33:33">
      <c r="AG13054" s="14"/>
    </row>
    <row r="13055" spans="33:33">
      <c r="AG13055" s="14"/>
    </row>
    <row r="13056" spans="33:33">
      <c r="AG13056" s="14"/>
    </row>
    <row r="13057" spans="33:33">
      <c r="AG13057" s="14"/>
    </row>
    <row r="13058" spans="33:33">
      <c r="AG13058" s="14"/>
    </row>
    <row r="13059" spans="33:33">
      <c r="AG13059" s="14"/>
    </row>
    <row r="13060" spans="33:33">
      <c r="AG13060" s="14"/>
    </row>
    <row r="13061" spans="33:33">
      <c r="AG13061" s="14"/>
    </row>
    <row r="13062" spans="33:33">
      <c r="AG13062" s="14"/>
    </row>
    <row r="13063" spans="33:33">
      <c r="AG13063" s="14"/>
    </row>
    <row r="13064" spans="33:33">
      <c r="AG13064" s="14"/>
    </row>
    <row r="13065" spans="33:33">
      <c r="AG13065" s="14"/>
    </row>
    <row r="13066" spans="33:33">
      <c r="AG13066" s="14"/>
    </row>
    <row r="13067" spans="33:33">
      <c r="AG13067" s="14"/>
    </row>
    <row r="13068" spans="33:33">
      <c r="AG13068" s="14"/>
    </row>
    <row r="13069" spans="33:33">
      <c r="AG13069" s="14"/>
    </row>
    <row r="13070" spans="33:33">
      <c r="AG13070" s="14"/>
    </row>
    <row r="13071" spans="33:33">
      <c r="AG13071" s="14"/>
    </row>
    <row r="13072" spans="33:33">
      <c r="AG13072" s="14"/>
    </row>
    <row r="13073" spans="33:33">
      <c r="AG13073" s="14"/>
    </row>
    <row r="13074" spans="33:33">
      <c r="AG13074" s="14"/>
    </row>
    <row r="13075" spans="33:33">
      <c r="AG13075" s="14"/>
    </row>
    <row r="13076" spans="33:33">
      <c r="AG13076" s="14"/>
    </row>
    <row r="13077" spans="33:33">
      <c r="AG13077" s="14"/>
    </row>
    <row r="13078" spans="33:33">
      <c r="AG13078" s="14"/>
    </row>
    <row r="13079" spans="33:33">
      <c r="AG13079" s="14"/>
    </row>
    <row r="13080" spans="33:33">
      <c r="AG13080" s="14"/>
    </row>
    <row r="13081" spans="33:33">
      <c r="AG13081" s="14"/>
    </row>
    <row r="13082" spans="33:33">
      <c r="AG13082" s="14"/>
    </row>
    <row r="13083" spans="33:33">
      <c r="AG13083" s="14"/>
    </row>
    <row r="13084" spans="33:33">
      <c r="AG13084" s="14"/>
    </row>
    <row r="13085" spans="33:33">
      <c r="AG13085" s="14"/>
    </row>
    <row r="13086" spans="33:33">
      <c r="AG13086" s="14"/>
    </row>
    <row r="13087" spans="33:33">
      <c r="AG13087" s="14"/>
    </row>
    <row r="13088" spans="33:33">
      <c r="AG13088" s="14"/>
    </row>
    <row r="13089" spans="33:33">
      <c r="AG13089" s="14"/>
    </row>
    <row r="13090" spans="33:33">
      <c r="AG13090" s="14"/>
    </row>
    <row r="13091" spans="33:33">
      <c r="AG13091" s="14"/>
    </row>
    <row r="13092" spans="33:33">
      <c r="AG13092" s="14"/>
    </row>
    <row r="13093" spans="33:33">
      <c r="AG13093" s="14"/>
    </row>
    <row r="13094" spans="33:33">
      <c r="AG13094" s="14"/>
    </row>
    <row r="13095" spans="33:33">
      <c r="AG13095" s="14"/>
    </row>
    <row r="13096" spans="33:33">
      <c r="AG13096" s="14"/>
    </row>
    <row r="13097" spans="33:33">
      <c r="AG13097" s="14"/>
    </row>
    <row r="13098" spans="33:33">
      <c r="AG13098" s="14"/>
    </row>
    <row r="13099" spans="33:33">
      <c r="AG13099" s="14"/>
    </row>
    <row r="13100" spans="33:33">
      <c r="AG13100" s="14"/>
    </row>
    <row r="13101" spans="33:33">
      <c r="AG13101" s="14"/>
    </row>
    <row r="13102" spans="33:33">
      <c r="AG13102" s="14"/>
    </row>
    <row r="13103" spans="33:33">
      <c r="AG13103" s="14"/>
    </row>
    <row r="13104" spans="33:33">
      <c r="AG13104" s="14"/>
    </row>
    <row r="13105" spans="33:33">
      <c r="AG13105" s="14"/>
    </row>
    <row r="13106" spans="33:33">
      <c r="AG13106" s="14"/>
    </row>
    <row r="13107" spans="33:33">
      <c r="AG13107" s="14"/>
    </row>
    <row r="13108" spans="33:33">
      <c r="AG13108" s="14"/>
    </row>
    <row r="13109" spans="33:33">
      <c r="AG13109" s="14"/>
    </row>
    <row r="13110" spans="33:33">
      <c r="AG13110" s="14"/>
    </row>
    <row r="13111" spans="33:33">
      <c r="AG13111" s="14"/>
    </row>
    <row r="13112" spans="33:33">
      <c r="AG13112" s="14"/>
    </row>
    <row r="13113" spans="33:33">
      <c r="AG13113" s="14"/>
    </row>
    <row r="13114" spans="33:33">
      <c r="AG13114" s="14"/>
    </row>
    <row r="13115" spans="33:33">
      <c r="AG13115" s="14"/>
    </row>
    <row r="13116" spans="33:33">
      <c r="AG13116" s="14"/>
    </row>
    <row r="13117" spans="33:33">
      <c r="AG13117" s="14"/>
    </row>
    <row r="13118" spans="33:33">
      <c r="AG13118" s="14"/>
    </row>
    <row r="13119" spans="33:33">
      <c r="AG13119" s="14"/>
    </row>
    <row r="13120" spans="33:33">
      <c r="AG13120" s="14"/>
    </row>
    <row r="13121" spans="33:33">
      <c r="AG13121" s="14"/>
    </row>
    <row r="13122" spans="33:33">
      <c r="AG13122" s="14"/>
    </row>
    <row r="13123" spans="33:33">
      <c r="AG13123" s="14"/>
    </row>
    <row r="13124" spans="33:33">
      <c r="AG13124" s="14"/>
    </row>
    <row r="13125" spans="33:33">
      <c r="AG13125" s="14"/>
    </row>
    <row r="13126" spans="33:33">
      <c r="AG13126" s="14"/>
    </row>
    <row r="13127" spans="33:33">
      <c r="AG13127" s="14"/>
    </row>
    <row r="13128" spans="33:33">
      <c r="AG13128" s="14"/>
    </row>
    <row r="13129" spans="33:33">
      <c r="AG13129" s="14"/>
    </row>
    <row r="13130" spans="33:33">
      <c r="AG13130" s="14"/>
    </row>
    <row r="13131" spans="33:33">
      <c r="AG13131" s="14"/>
    </row>
    <row r="13132" spans="33:33">
      <c r="AG13132" s="14"/>
    </row>
    <row r="13133" spans="33:33">
      <c r="AG13133" s="14"/>
    </row>
    <row r="13134" spans="33:33">
      <c r="AG13134" s="14"/>
    </row>
    <row r="13135" spans="33:33">
      <c r="AG13135" s="14"/>
    </row>
    <row r="13136" spans="33:33">
      <c r="AG13136" s="14"/>
    </row>
    <row r="13137" spans="33:33">
      <c r="AG13137" s="14"/>
    </row>
    <row r="13138" spans="33:33">
      <c r="AG13138" s="14"/>
    </row>
    <row r="13139" spans="33:33">
      <c r="AG13139" s="14"/>
    </row>
    <row r="13140" spans="33:33">
      <c r="AG13140" s="14"/>
    </row>
    <row r="13141" spans="33:33">
      <c r="AG13141" s="14"/>
    </row>
    <row r="13142" spans="33:33">
      <c r="AG13142" s="14"/>
    </row>
    <row r="13143" spans="33:33">
      <c r="AG13143" s="14"/>
    </row>
    <row r="13144" spans="33:33">
      <c r="AG13144" s="14"/>
    </row>
    <row r="13145" spans="33:33">
      <c r="AG13145" s="14"/>
    </row>
    <row r="13146" spans="33:33">
      <c r="AG13146" s="14"/>
    </row>
    <row r="13147" spans="33:33">
      <c r="AG13147" s="14"/>
    </row>
    <row r="13148" spans="33:33">
      <c r="AG13148" s="14"/>
    </row>
    <row r="13149" spans="33:33">
      <c r="AG13149" s="14"/>
    </row>
    <row r="13150" spans="33:33">
      <c r="AG13150" s="14"/>
    </row>
    <row r="13151" spans="33:33">
      <c r="AG13151" s="14"/>
    </row>
    <row r="13152" spans="33:33">
      <c r="AG13152" s="14"/>
    </row>
    <row r="13153" spans="33:33">
      <c r="AG13153" s="14"/>
    </row>
    <row r="13154" spans="33:33">
      <c r="AG13154" s="14"/>
    </row>
    <row r="13155" spans="33:33">
      <c r="AG13155" s="14"/>
    </row>
    <row r="13156" spans="33:33">
      <c r="AG13156" s="14"/>
    </row>
    <row r="13157" spans="33:33">
      <c r="AG13157" s="14"/>
    </row>
    <row r="13158" spans="33:33">
      <c r="AG13158" s="14"/>
    </row>
    <row r="13159" spans="33:33">
      <c r="AG13159" s="14"/>
    </row>
    <row r="13160" spans="33:33">
      <c r="AG13160" s="14"/>
    </row>
    <row r="13161" spans="33:33">
      <c r="AG13161" s="14"/>
    </row>
    <row r="13162" spans="33:33">
      <c r="AG13162" s="14"/>
    </row>
    <row r="13163" spans="33:33">
      <c r="AG13163" s="14"/>
    </row>
    <row r="13164" spans="33:33">
      <c r="AG13164" s="14"/>
    </row>
    <row r="13165" spans="33:33">
      <c r="AG13165" s="14"/>
    </row>
    <row r="13166" spans="33:33">
      <c r="AG13166" s="14"/>
    </row>
    <row r="13167" spans="33:33">
      <c r="AG13167" s="14"/>
    </row>
    <row r="13168" spans="33:33">
      <c r="AG13168" s="14"/>
    </row>
    <row r="13169" spans="33:33">
      <c r="AG13169" s="14"/>
    </row>
    <row r="13170" spans="33:33">
      <c r="AG13170" s="14"/>
    </row>
    <row r="13171" spans="33:33">
      <c r="AG13171" s="14"/>
    </row>
    <row r="13172" spans="33:33">
      <c r="AG13172" s="14"/>
    </row>
    <row r="13173" spans="33:33">
      <c r="AG13173" s="14"/>
    </row>
    <row r="13174" spans="33:33">
      <c r="AG13174" s="14"/>
    </row>
    <row r="13175" spans="33:33">
      <c r="AG13175" s="14"/>
    </row>
    <row r="13176" spans="33:33">
      <c r="AG13176" s="14"/>
    </row>
    <row r="13177" spans="33:33">
      <c r="AG13177" s="14"/>
    </row>
    <row r="13178" spans="33:33">
      <c r="AG13178" s="14"/>
    </row>
    <row r="13179" spans="33:33">
      <c r="AG13179" s="14"/>
    </row>
    <row r="13180" spans="33:33">
      <c r="AG13180" s="14"/>
    </row>
    <row r="13181" spans="33:33">
      <c r="AG13181" s="14"/>
    </row>
    <row r="13182" spans="33:33">
      <c r="AG13182" s="14"/>
    </row>
    <row r="13183" spans="33:33">
      <c r="AG13183" s="14"/>
    </row>
    <row r="13184" spans="33:33">
      <c r="AG13184" s="14"/>
    </row>
    <row r="13185" spans="33:33">
      <c r="AG13185" s="14"/>
    </row>
    <row r="13186" spans="33:33">
      <c r="AG13186" s="14"/>
    </row>
    <row r="13187" spans="33:33">
      <c r="AG13187" s="14"/>
    </row>
    <row r="13188" spans="33:33">
      <c r="AG13188" s="14"/>
    </row>
    <row r="13189" spans="33:33">
      <c r="AG13189" s="14"/>
    </row>
    <row r="13190" spans="33:33">
      <c r="AG13190" s="14"/>
    </row>
    <row r="13191" spans="33:33">
      <c r="AG13191" s="14"/>
    </row>
    <row r="13192" spans="33:33">
      <c r="AG13192" s="14"/>
    </row>
    <row r="13193" spans="33:33">
      <c r="AG13193" s="14"/>
    </row>
    <row r="13194" spans="33:33">
      <c r="AG13194" s="14"/>
    </row>
    <row r="13195" spans="33:33">
      <c r="AG13195" s="14"/>
    </row>
    <row r="13196" spans="33:33">
      <c r="AG13196" s="14"/>
    </row>
    <row r="13197" spans="33:33">
      <c r="AG13197" s="14"/>
    </row>
    <row r="13198" spans="33:33">
      <c r="AG13198" s="14"/>
    </row>
    <row r="13199" spans="33:33">
      <c r="AG13199" s="14"/>
    </row>
    <row r="13200" spans="33:33">
      <c r="AG13200" s="14"/>
    </row>
    <row r="13201" spans="33:33">
      <c r="AG13201" s="14"/>
    </row>
    <row r="13202" spans="33:33">
      <c r="AG13202" s="14"/>
    </row>
    <row r="13203" spans="33:33">
      <c r="AG13203" s="14"/>
    </row>
    <row r="13204" spans="33:33">
      <c r="AG13204" s="14"/>
    </row>
    <row r="13205" spans="33:33">
      <c r="AG13205" s="14"/>
    </row>
    <row r="13206" spans="33:33">
      <c r="AG13206" s="14"/>
    </row>
    <row r="13207" spans="33:33">
      <c r="AG13207" s="14"/>
    </row>
    <row r="13208" spans="33:33">
      <c r="AG13208" s="14"/>
    </row>
    <row r="13209" spans="33:33">
      <c r="AG13209" s="14"/>
    </row>
    <row r="13210" spans="33:33">
      <c r="AG13210" s="14"/>
    </row>
    <row r="13211" spans="33:33">
      <c r="AG13211" s="14"/>
    </row>
    <row r="13212" spans="33:33">
      <c r="AG13212" s="14"/>
    </row>
    <row r="13213" spans="33:33">
      <c r="AG13213" s="14"/>
    </row>
    <row r="13214" spans="33:33">
      <c r="AG13214" s="14"/>
    </row>
    <row r="13215" spans="33:33">
      <c r="AG13215" s="14"/>
    </row>
    <row r="13216" spans="33:33">
      <c r="AG13216" s="14"/>
    </row>
    <row r="13217" spans="33:33">
      <c r="AG13217" s="14"/>
    </row>
    <row r="13218" spans="33:33">
      <c r="AG13218" s="14"/>
    </row>
    <row r="13219" spans="33:33">
      <c r="AG13219" s="14"/>
    </row>
    <row r="13220" spans="33:33">
      <c r="AG13220" s="14"/>
    </row>
    <row r="13221" spans="33:33">
      <c r="AG13221" s="14"/>
    </row>
    <row r="13222" spans="33:33">
      <c r="AG13222" s="14"/>
    </row>
    <row r="13223" spans="33:33">
      <c r="AG13223" s="14"/>
    </row>
    <row r="13224" spans="33:33">
      <c r="AG13224" s="14"/>
    </row>
    <row r="13225" spans="33:33">
      <c r="AG13225" s="14"/>
    </row>
    <row r="13226" spans="33:33">
      <c r="AG13226" s="14"/>
    </row>
    <row r="13227" spans="33:33">
      <c r="AG13227" s="14"/>
    </row>
    <row r="13228" spans="33:33">
      <c r="AG13228" s="14"/>
    </row>
    <row r="13229" spans="33:33">
      <c r="AG13229" s="14"/>
    </row>
    <row r="13230" spans="33:33">
      <c r="AG13230" s="14"/>
    </row>
    <row r="13231" spans="33:33">
      <c r="AG13231" s="14"/>
    </row>
    <row r="13232" spans="33:33">
      <c r="AG13232" s="14"/>
    </row>
    <row r="13233" spans="33:33">
      <c r="AG13233" s="14"/>
    </row>
    <row r="13234" spans="33:33">
      <c r="AG13234" s="14"/>
    </row>
    <row r="13235" spans="33:33">
      <c r="AG13235" s="14"/>
    </row>
    <row r="13236" spans="33:33">
      <c r="AG13236" s="14"/>
    </row>
    <row r="13237" spans="33:33">
      <c r="AG13237" s="14"/>
    </row>
    <row r="13238" spans="33:33">
      <c r="AG13238" s="14"/>
    </row>
    <row r="13239" spans="33:33">
      <c r="AG13239" s="14"/>
    </row>
    <row r="13240" spans="33:33">
      <c r="AG13240" s="14"/>
    </row>
    <row r="13241" spans="33:33">
      <c r="AG13241" s="14"/>
    </row>
    <row r="13242" spans="33:33">
      <c r="AG13242" s="14"/>
    </row>
    <row r="13243" spans="33:33">
      <c r="AG13243" s="14"/>
    </row>
    <row r="13244" spans="33:33">
      <c r="AG13244" s="14"/>
    </row>
    <row r="13245" spans="33:33">
      <c r="AG13245" s="14"/>
    </row>
    <row r="13246" spans="33:33">
      <c r="AG13246" s="14"/>
    </row>
    <row r="13247" spans="33:33">
      <c r="AG13247" s="14"/>
    </row>
    <row r="13248" spans="33:33">
      <c r="AG13248" s="14"/>
    </row>
    <row r="13249" spans="33:33">
      <c r="AG13249" s="14"/>
    </row>
    <row r="13250" spans="33:33">
      <c r="AG13250" s="14"/>
    </row>
    <row r="13251" spans="33:33">
      <c r="AG13251" s="14"/>
    </row>
    <row r="13252" spans="33:33">
      <c r="AG13252" s="14"/>
    </row>
    <row r="13253" spans="33:33">
      <c r="AG13253" s="14"/>
    </row>
    <row r="13254" spans="33:33">
      <c r="AG13254" s="14"/>
    </row>
    <row r="13255" spans="33:33">
      <c r="AG13255" s="14"/>
    </row>
    <row r="13256" spans="33:33">
      <c r="AG13256" s="14"/>
    </row>
    <row r="13257" spans="33:33">
      <c r="AG13257" s="14"/>
    </row>
    <row r="13258" spans="33:33">
      <c r="AG13258" s="14"/>
    </row>
    <row r="13259" spans="33:33">
      <c r="AG13259" s="14"/>
    </row>
    <row r="13260" spans="33:33">
      <c r="AG13260" s="14"/>
    </row>
    <row r="13261" spans="33:33">
      <c r="AG13261" s="14"/>
    </row>
    <row r="13262" spans="33:33">
      <c r="AG13262" s="14"/>
    </row>
    <row r="13263" spans="33:33">
      <c r="AG13263" s="14"/>
    </row>
    <row r="13264" spans="33:33">
      <c r="AG13264" s="14"/>
    </row>
    <row r="13265" spans="33:33">
      <c r="AG13265" s="14"/>
    </row>
    <row r="13266" spans="33:33">
      <c r="AG13266" s="14"/>
    </row>
    <row r="13267" spans="33:33">
      <c r="AG13267" s="14"/>
    </row>
    <row r="13268" spans="33:33">
      <c r="AG13268" s="14"/>
    </row>
    <row r="13269" spans="33:33">
      <c r="AG13269" s="14"/>
    </row>
    <row r="13270" spans="33:33">
      <c r="AG13270" s="14"/>
    </row>
    <row r="13271" spans="33:33">
      <c r="AG13271" s="14"/>
    </row>
    <row r="13272" spans="33:33">
      <c r="AG13272" s="14"/>
    </row>
    <row r="13273" spans="33:33">
      <c r="AG13273" s="14"/>
    </row>
    <row r="13274" spans="33:33">
      <c r="AG13274" s="14"/>
    </row>
    <row r="13275" spans="33:33">
      <c r="AG13275" s="14"/>
    </row>
    <row r="13276" spans="33:33">
      <c r="AG13276" s="14"/>
    </row>
    <row r="13277" spans="33:33">
      <c r="AG13277" s="14"/>
    </row>
    <row r="13278" spans="33:33">
      <c r="AG13278" s="14"/>
    </row>
    <row r="13279" spans="33:33">
      <c r="AG13279" s="14"/>
    </row>
    <row r="13280" spans="33:33">
      <c r="AG13280" s="14"/>
    </row>
    <row r="13281" spans="33:33">
      <c r="AG13281" s="14"/>
    </row>
    <row r="13282" spans="33:33">
      <c r="AG13282" s="14"/>
    </row>
    <row r="13283" spans="33:33">
      <c r="AG13283" s="14"/>
    </row>
    <row r="13284" spans="33:33">
      <c r="AG13284" s="14"/>
    </row>
    <row r="13285" spans="33:33">
      <c r="AG13285" s="14"/>
    </row>
    <row r="13286" spans="33:33">
      <c r="AG13286" s="14"/>
    </row>
    <row r="13287" spans="33:33">
      <c r="AG13287" s="14"/>
    </row>
    <row r="13288" spans="33:33">
      <c r="AG13288" s="14"/>
    </row>
    <row r="13289" spans="33:33">
      <c r="AG13289" s="14"/>
    </row>
    <row r="13290" spans="33:33">
      <c r="AG13290" s="14"/>
    </row>
    <row r="13291" spans="33:33">
      <c r="AG13291" s="14"/>
    </row>
    <row r="13292" spans="33:33">
      <c r="AG13292" s="14"/>
    </row>
    <row r="13293" spans="33:33">
      <c r="AG13293" s="14"/>
    </row>
    <row r="13294" spans="33:33">
      <c r="AG13294" s="14"/>
    </row>
    <row r="13295" spans="33:33">
      <c r="AG13295" s="14"/>
    </row>
    <row r="13296" spans="33:33">
      <c r="AG13296" s="14"/>
    </row>
    <row r="13297" spans="33:33">
      <c r="AG13297" s="14"/>
    </row>
    <row r="13298" spans="33:33">
      <c r="AG13298" s="14"/>
    </row>
    <row r="13299" spans="33:33">
      <c r="AG13299" s="14"/>
    </row>
    <row r="13300" spans="33:33">
      <c r="AG13300" s="14"/>
    </row>
    <row r="13301" spans="33:33">
      <c r="AG13301" s="14"/>
    </row>
    <row r="13302" spans="33:33">
      <c r="AG13302" s="14"/>
    </row>
    <row r="13303" spans="33:33">
      <c r="AG13303" s="14"/>
    </row>
    <row r="13304" spans="33:33">
      <c r="AG13304" s="14"/>
    </row>
    <row r="13305" spans="33:33">
      <c r="AG13305" s="14"/>
    </row>
    <row r="13306" spans="33:33">
      <c r="AG13306" s="14"/>
    </row>
    <row r="13307" spans="33:33">
      <c r="AG13307" s="14"/>
    </row>
    <row r="13308" spans="33:33">
      <c r="AG13308" s="14"/>
    </row>
    <row r="13309" spans="33:33">
      <c r="AG13309" s="14"/>
    </row>
    <row r="13310" spans="33:33">
      <c r="AG13310" s="14"/>
    </row>
    <row r="13311" spans="33:33">
      <c r="AG13311" s="14"/>
    </row>
    <row r="13312" spans="33:33">
      <c r="AG13312" s="14"/>
    </row>
    <row r="13313" spans="33:33">
      <c r="AG13313" s="14"/>
    </row>
    <row r="13314" spans="33:33">
      <c r="AG13314" s="14"/>
    </row>
    <row r="13315" spans="33:33">
      <c r="AG13315" s="14"/>
    </row>
    <row r="13316" spans="33:33">
      <c r="AG13316" s="14"/>
    </row>
    <row r="13317" spans="33:33">
      <c r="AG13317" s="14"/>
    </row>
    <row r="13318" spans="33:33">
      <c r="AG13318" s="14"/>
    </row>
    <row r="13319" spans="33:33">
      <c r="AG13319" s="14"/>
    </row>
    <row r="13320" spans="33:33">
      <c r="AG13320" s="14"/>
    </row>
    <row r="13321" spans="33:33">
      <c r="AG13321" s="14"/>
    </row>
    <row r="13322" spans="33:33">
      <c r="AG13322" s="14"/>
    </row>
    <row r="13323" spans="33:33">
      <c r="AG13323" s="14"/>
    </row>
    <row r="13324" spans="33:33">
      <c r="AG13324" s="14"/>
    </row>
    <row r="13325" spans="33:33">
      <c r="AG13325" s="14"/>
    </row>
    <row r="13326" spans="33:33">
      <c r="AG13326" s="14"/>
    </row>
    <row r="13327" spans="33:33">
      <c r="AG13327" s="14"/>
    </row>
    <row r="13328" spans="33:33">
      <c r="AG13328" s="14"/>
    </row>
    <row r="13329" spans="33:33">
      <c r="AG13329" s="14"/>
    </row>
    <row r="13330" spans="33:33">
      <c r="AG13330" s="14"/>
    </row>
    <row r="13331" spans="33:33">
      <c r="AG13331" s="14"/>
    </row>
    <row r="13332" spans="33:33">
      <c r="AG13332" s="14"/>
    </row>
    <row r="13333" spans="33:33">
      <c r="AG13333" s="14"/>
    </row>
    <row r="13334" spans="33:33">
      <c r="AG13334" s="14"/>
    </row>
    <row r="13335" spans="33:33">
      <c r="AG13335" s="14"/>
    </row>
    <row r="13336" spans="33:33">
      <c r="AG13336" s="14"/>
    </row>
    <row r="13337" spans="33:33">
      <c r="AG13337" s="14"/>
    </row>
    <row r="13338" spans="33:33">
      <c r="AG13338" s="14"/>
    </row>
    <row r="13339" spans="33:33">
      <c r="AG13339" s="14"/>
    </row>
    <row r="13340" spans="33:33">
      <c r="AG13340" s="14"/>
    </row>
    <row r="13341" spans="33:33">
      <c r="AG13341" s="14"/>
    </row>
    <row r="13342" spans="33:33">
      <c r="AG13342" s="14"/>
    </row>
    <row r="13343" spans="33:33">
      <c r="AG13343" s="14"/>
    </row>
    <row r="13344" spans="33:33">
      <c r="AG13344" s="14"/>
    </row>
    <row r="13345" spans="33:33">
      <c r="AG13345" s="14"/>
    </row>
    <row r="13346" spans="33:33">
      <c r="AG13346" s="14"/>
    </row>
    <row r="13347" spans="33:33">
      <c r="AG13347" s="14"/>
    </row>
    <row r="13348" spans="33:33">
      <c r="AG13348" s="14"/>
    </row>
    <row r="13349" spans="33:33">
      <c r="AG13349" s="14"/>
    </row>
    <row r="13350" spans="33:33">
      <c r="AG13350" s="14"/>
    </row>
    <row r="13351" spans="33:33">
      <c r="AG13351" s="14"/>
    </row>
    <row r="13352" spans="33:33">
      <c r="AG13352" s="14"/>
    </row>
    <row r="13353" spans="33:33">
      <c r="AG13353" s="14"/>
    </row>
    <row r="13354" spans="33:33">
      <c r="AG13354" s="14"/>
    </row>
    <row r="13355" spans="33:33">
      <c r="AG13355" s="14"/>
    </row>
    <row r="13356" spans="33:33">
      <c r="AG13356" s="14"/>
    </row>
    <row r="13357" spans="33:33">
      <c r="AG13357" s="14"/>
    </row>
    <row r="13358" spans="33:33">
      <c r="AG13358" s="14"/>
    </row>
    <row r="13359" spans="33:33">
      <c r="AG13359" s="14"/>
    </row>
    <row r="13360" spans="33:33">
      <c r="AG13360" s="14"/>
    </row>
    <row r="13361" spans="33:33">
      <c r="AG13361" s="14"/>
    </row>
    <row r="13362" spans="33:33">
      <c r="AG13362" s="14"/>
    </row>
    <row r="13363" spans="33:33">
      <c r="AG13363" s="14"/>
    </row>
    <row r="13364" spans="33:33">
      <c r="AG13364" s="14"/>
    </row>
    <row r="13365" spans="33:33">
      <c r="AG13365" s="14"/>
    </row>
    <row r="13366" spans="33:33">
      <c r="AG13366" s="14"/>
    </row>
    <row r="13367" spans="33:33">
      <c r="AG13367" s="14"/>
    </row>
    <row r="13368" spans="33:33">
      <c r="AG13368" s="14"/>
    </row>
    <row r="13369" spans="33:33">
      <c r="AG13369" s="14"/>
    </row>
    <row r="13370" spans="33:33">
      <c r="AG13370" s="14"/>
    </row>
    <row r="13371" spans="33:33">
      <c r="AG13371" s="14"/>
    </row>
    <row r="13372" spans="33:33">
      <c r="AG13372" s="14"/>
    </row>
    <row r="13373" spans="33:33">
      <c r="AG13373" s="14"/>
    </row>
    <row r="13374" spans="33:33">
      <c r="AG13374" s="14"/>
    </row>
    <row r="13375" spans="33:33">
      <c r="AG13375" s="14"/>
    </row>
    <row r="13376" spans="33:33">
      <c r="AG13376" s="14"/>
    </row>
    <row r="13377" spans="33:33">
      <c r="AG13377" s="14"/>
    </row>
    <row r="13378" spans="33:33">
      <c r="AG13378" s="14"/>
    </row>
    <row r="13379" spans="33:33">
      <c r="AG13379" s="14"/>
    </row>
    <row r="13380" spans="33:33">
      <c r="AG13380" s="14"/>
    </row>
    <row r="13381" spans="33:33">
      <c r="AG13381" s="14"/>
    </row>
    <row r="13382" spans="33:33">
      <c r="AG13382" s="14"/>
    </row>
    <row r="13383" spans="33:33">
      <c r="AG13383" s="14"/>
    </row>
    <row r="13384" spans="33:33">
      <c r="AG13384" s="14"/>
    </row>
    <row r="13385" spans="33:33">
      <c r="AG13385" s="14"/>
    </row>
    <row r="13386" spans="33:33">
      <c r="AG13386" s="14"/>
    </row>
    <row r="13387" spans="33:33">
      <c r="AG13387" s="14"/>
    </row>
    <row r="13388" spans="33:33">
      <c r="AG13388" s="14"/>
    </row>
    <row r="13389" spans="33:33">
      <c r="AG13389" s="14"/>
    </row>
    <row r="13390" spans="33:33">
      <c r="AG13390" s="14"/>
    </row>
    <row r="13391" spans="33:33">
      <c r="AG13391" s="14"/>
    </row>
    <row r="13392" spans="33:33">
      <c r="AG13392" s="14"/>
    </row>
    <row r="13393" spans="33:33">
      <c r="AG13393" s="14"/>
    </row>
    <row r="13394" spans="33:33">
      <c r="AG13394" s="14"/>
    </row>
    <row r="13395" spans="33:33">
      <c r="AG13395" s="14"/>
    </row>
    <row r="13396" spans="33:33">
      <c r="AG13396" s="14"/>
    </row>
    <row r="13397" spans="33:33">
      <c r="AG13397" s="14"/>
    </row>
    <row r="13398" spans="33:33">
      <c r="AG13398" s="14"/>
    </row>
    <row r="13399" spans="33:33">
      <c r="AG13399" s="14"/>
    </row>
    <row r="13400" spans="33:33">
      <c r="AG13400" s="14"/>
    </row>
    <row r="13401" spans="33:33">
      <c r="AG13401" s="14"/>
    </row>
    <row r="13402" spans="33:33">
      <c r="AG13402" s="14"/>
    </row>
    <row r="13403" spans="33:33">
      <c r="AG13403" s="14"/>
    </row>
    <row r="13404" spans="33:33">
      <c r="AG13404" s="14"/>
    </row>
    <row r="13405" spans="33:33">
      <c r="AG13405" s="14"/>
    </row>
    <row r="13406" spans="33:33">
      <c r="AG13406" s="14"/>
    </row>
    <row r="13407" spans="33:33">
      <c r="AG13407" s="14"/>
    </row>
    <row r="13408" spans="33:33">
      <c r="AG13408" s="14"/>
    </row>
    <row r="13409" spans="33:33">
      <c r="AG13409" s="14"/>
    </row>
    <row r="13410" spans="33:33">
      <c r="AG13410" s="14"/>
    </row>
    <row r="13411" spans="33:33">
      <c r="AG13411" s="14"/>
    </row>
    <row r="13412" spans="33:33">
      <c r="AG13412" s="14"/>
    </row>
    <row r="13413" spans="33:33">
      <c r="AG13413" s="14"/>
    </row>
    <row r="13414" spans="33:33">
      <c r="AG13414" s="14"/>
    </row>
    <row r="13415" spans="33:33">
      <c r="AG13415" s="14"/>
    </row>
    <row r="13416" spans="33:33">
      <c r="AG13416" s="14"/>
    </row>
    <row r="13417" spans="33:33">
      <c r="AG13417" s="14"/>
    </row>
    <row r="13418" spans="33:33">
      <c r="AG13418" s="14"/>
    </row>
    <row r="13419" spans="33:33">
      <c r="AG13419" s="14"/>
    </row>
    <row r="13420" spans="33:33">
      <c r="AG13420" s="14"/>
    </row>
    <row r="13421" spans="33:33">
      <c r="AG13421" s="14"/>
    </row>
    <row r="13422" spans="33:33">
      <c r="AG13422" s="14"/>
    </row>
    <row r="13423" spans="33:33">
      <c r="AG13423" s="14"/>
    </row>
    <row r="13424" spans="33:33">
      <c r="AG13424" s="14"/>
    </row>
    <row r="13425" spans="33:33">
      <c r="AG13425" s="14"/>
    </row>
    <row r="13426" spans="33:33">
      <c r="AG13426" s="14"/>
    </row>
    <row r="13427" spans="33:33">
      <c r="AG13427" s="14"/>
    </row>
    <row r="13428" spans="33:33">
      <c r="AG13428" s="14"/>
    </row>
    <row r="13429" spans="33:33">
      <c r="AG13429" s="14"/>
    </row>
    <row r="13430" spans="33:33">
      <c r="AG13430" s="14"/>
    </row>
    <row r="13431" spans="33:33">
      <c r="AG13431" s="14"/>
    </row>
    <row r="13432" spans="33:33">
      <c r="AG13432" s="14"/>
    </row>
    <row r="13433" spans="33:33">
      <c r="AG13433" s="14"/>
    </row>
    <row r="13434" spans="33:33">
      <c r="AG13434" s="14"/>
    </row>
    <row r="13435" spans="33:33">
      <c r="AG13435" s="14"/>
    </row>
    <row r="13436" spans="33:33">
      <c r="AG13436" s="14"/>
    </row>
    <row r="13437" spans="33:33">
      <c r="AG13437" s="14"/>
    </row>
    <row r="13438" spans="33:33">
      <c r="AG13438" s="14"/>
    </row>
    <row r="13439" spans="33:33">
      <c r="AG13439" s="14"/>
    </row>
    <row r="13440" spans="33:33">
      <c r="AG13440" s="14"/>
    </row>
    <row r="13441" spans="33:33">
      <c r="AG13441" s="14"/>
    </row>
    <row r="13442" spans="33:33">
      <c r="AG13442" s="14"/>
    </row>
    <row r="13443" spans="33:33">
      <c r="AG13443" s="14"/>
    </row>
    <row r="13444" spans="33:33">
      <c r="AG13444" s="14"/>
    </row>
    <row r="13445" spans="33:33">
      <c r="AG13445" s="14"/>
    </row>
    <row r="13446" spans="33:33">
      <c r="AG13446" s="14"/>
    </row>
    <row r="13447" spans="33:33">
      <c r="AG13447" s="14"/>
    </row>
    <row r="13448" spans="33:33">
      <c r="AG13448" s="14"/>
    </row>
    <row r="13449" spans="33:33">
      <c r="AG13449" s="14"/>
    </row>
    <row r="13450" spans="33:33">
      <c r="AG13450" s="14"/>
    </row>
    <row r="13451" spans="33:33">
      <c r="AG13451" s="14"/>
    </row>
    <row r="13452" spans="33:33">
      <c r="AG13452" s="14"/>
    </row>
    <row r="13453" spans="33:33">
      <c r="AG13453" s="14"/>
    </row>
    <row r="13454" spans="33:33">
      <c r="AG13454" s="14"/>
    </row>
    <row r="13455" spans="33:33">
      <c r="AG13455" s="14"/>
    </row>
    <row r="13456" spans="33:33">
      <c r="AG13456" s="14"/>
    </row>
    <row r="13457" spans="33:33">
      <c r="AG13457" s="14"/>
    </row>
    <row r="13458" spans="33:33">
      <c r="AG13458" s="14"/>
    </row>
    <row r="13459" spans="33:33">
      <c r="AG13459" s="14"/>
    </row>
    <row r="13460" spans="33:33">
      <c r="AG13460" s="14"/>
    </row>
    <row r="13461" spans="33:33">
      <c r="AG13461" s="14"/>
    </row>
    <row r="13462" spans="33:33">
      <c r="AG13462" s="14"/>
    </row>
    <row r="13463" spans="33:33">
      <c r="AG13463" s="14"/>
    </row>
    <row r="13464" spans="33:33">
      <c r="AG13464" s="14"/>
    </row>
    <row r="13465" spans="33:33">
      <c r="AG13465" s="14"/>
    </row>
    <row r="13466" spans="33:33">
      <c r="AG13466" s="14"/>
    </row>
    <row r="13467" spans="33:33">
      <c r="AG13467" s="14"/>
    </row>
    <row r="13468" spans="33:33">
      <c r="AG13468" s="14"/>
    </row>
    <row r="13469" spans="33:33">
      <c r="AG13469" s="14"/>
    </row>
    <row r="13470" spans="33:33">
      <c r="AG13470" s="14"/>
    </row>
    <row r="13471" spans="33:33">
      <c r="AG13471" s="14"/>
    </row>
    <row r="13472" spans="33:33">
      <c r="AG13472" s="14"/>
    </row>
    <row r="13473" spans="33:33">
      <c r="AG13473" s="14"/>
    </row>
    <row r="13474" spans="33:33">
      <c r="AG13474" s="14"/>
    </row>
    <row r="13475" spans="33:33">
      <c r="AG13475" s="14"/>
    </row>
    <row r="13476" spans="33:33">
      <c r="AG13476" s="14"/>
    </row>
    <row r="13477" spans="33:33">
      <c r="AG13477" s="14"/>
    </row>
    <row r="13478" spans="33:33">
      <c r="AG13478" s="14"/>
    </row>
    <row r="13479" spans="33:33">
      <c r="AG13479" s="14"/>
    </row>
    <row r="13480" spans="33:33">
      <c r="AG13480" s="14"/>
    </row>
    <row r="13481" spans="33:33">
      <c r="AG13481" s="14"/>
    </row>
    <row r="13482" spans="33:33">
      <c r="AG13482" s="14"/>
    </row>
    <row r="13483" spans="33:33">
      <c r="AG13483" s="14"/>
    </row>
    <row r="13484" spans="33:33">
      <c r="AG13484" s="14"/>
    </row>
    <row r="13485" spans="33:33">
      <c r="AG13485" s="14"/>
    </row>
    <row r="13486" spans="33:33">
      <c r="AG13486" s="14"/>
    </row>
    <row r="13487" spans="33:33">
      <c r="AG13487" s="14"/>
    </row>
    <row r="13488" spans="33:33">
      <c r="AG13488" s="14"/>
    </row>
    <row r="13489" spans="33:33">
      <c r="AG13489" s="14"/>
    </row>
    <row r="13490" spans="33:33">
      <c r="AG13490" s="14"/>
    </row>
    <row r="13491" spans="33:33">
      <c r="AG13491" s="14"/>
    </row>
    <row r="13492" spans="33:33">
      <c r="AG13492" s="14"/>
    </row>
    <row r="13493" spans="33:33">
      <c r="AG13493" s="14"/>
    </row>
    <row r="13494" spans="33:33">
      <c r="AG13494" s="14"/>
    </row>
    <row r="13495" spans="33:33">
      <c r="AG13495" s="14"/>
    </row>
    <row r="13496" spans="33:33">
      <c r="AG13496" s="14"/>
    </row>
    <row r="13497" spans="33:33">
      <c r="AG13497" s="14"/>
    </row>
    <row r="13498" spans="33:33">
      <c r="AG13498" s="14"/>
    </row>
    <row r="13499" spans="33:33">
      <c r="AG13499" s="14"/>
    </row>
    <row r="13500" spans="33:33">
      <c r="AG13500" s="14"/>
    </row>
    <row r="13501" spans="33:33">
      <c r="AG13501" s="14"/>
    </row>
    <row r="13502" spans="33:33">
      <c r="AG13502" s="14"/>
    </row>
    <row r="13503" spans="33:33">
      <c r="AG13503" s="14"/>
    </row>
    <row r="13504" spans="33:33">
      <c r="AG13504" s="14"/>
    </row>
    <row r="13505" spans="33:33">
      <c r="AG13505" s="14"/>
    </row>
    <row r="13506" spans="33:33">
      <c r="AG13506" s="14"/>
    </row>
    <row r="13507" spans="33:33">
      <c r="AG13507" s="14"/>
    </row>
    <row r="13508" spans="33:33">
      <c r="AG13508" s="14"/>
    </row>
    <row r="13509" spans="33:33">
      <c r="AG13509" s="14"/>
    </row>
    <row r="13510" spans="33:33">
      <c r="AG13510" s="14"/>
    </row>
    <row r="13511" spans="33:33">
      <c r="AG13511" s="14"/>
    </row>
    <row r="13512" spans="33:33">
      <c r="AG13512" s="14"/>
    </row>
    <row r="13513" spans="33:33">
      <c r="AG13513" s="14"/>
    </row>
    <row r="13514" spans="33:33">
      <c r="AG13514" s="14"/>
    </row>
    <row r="13515" spans="33:33">
      <c r="AG13515" s="14"/>
    </row>
    <row r="13516" spans="33:33">
      <c r="AG13516" s="14"/>
    </row>
    <row r="13517" spans="33:33">
      <c r="AG13517" s="14"/>
    </row>
    <row r="13518" spans="33:33">
      <c r="AG13518" s="14"/>
    </row>
    <row r="13519" spans="33:33">
      <c r="AG13519" s="14"/>
    </row>
    <row r="13520" spans="33:33">
      <c r="AG13520" s="14"/>
    </row>
    <row r="13521" spans="33:33">
      <c r="AG13521" s="14"/>
    </row>
    <row r="13522" spans="33:33">
      <c r="AG13522" s="14"/>
    </row>
    <row r="13523" spans="33:33">
      <c r="AG13523" s="14"/>
    </row>
    <row r="13524" spans="33:33">
      <c r="AG13524" s="14"/>
    </row>
    <row r="13525" spans="33:33">
      <c r="AG13525" s="14"/>
    </row>
    <row r="13526" spans="33:33">
      <c r="AG13526" s="14"/>
    </row>
    <row r="13527" spans="33:33">
      <c r="AG13527" s="14"/>
    </row>
    <row r="13528" spans="33:33">
      <c r="AG13528" s="14"/>
    </row>
    <row r="13529" spans="33:33">
      <c r="AG13529" s="14"/>
    </row>
    <row r="13530" spans="33:33">
      <c r="AG13530" s="14"/>
    </row>
    <row r="13531" spans="33:33">
      <c r="AG13531" s="14"/>
    </row>
    <row r="13532" spans="33:33">
      <c r="AG13532" s="14"/>
    </row>
    <row r="13533" spans="33:33">
      <c r="AG13533" s="14"/>
    </row>
    <row r="13534" spans="33:33">
      <c r="AG13534" s="14"/>
    </row>
    <row r="13535" spans="33:33">
      <c r="AG13535" s="14"/>
    </row>
    <row r="13536" spans="33:33">
      <c r="AG13536" s="14"/>
    </row>
    <row r="13537" spans="33:33">
      <c r="AG13537" s="14"/>
    </row>
    <row r="13538" spans="33:33">
      <c r="AG13538" s="14"/>
    </row>
    <row r="13539" spans="33:33">
      <c r="AG13539" s="14"/>
    </row>
    <row r="13540" spans="33:33">
      <c r="AG13540" s="14"/>
    </row>
    <row r="13541" spans="33:33">
      <c r="AG13541" s="14"/>
    </row>
    <row r="13542" spans="33:33">
      <c r="AG13542" s="14"/>
    </row>
    <row r="13543" spans="33:33">
      <c r="AG13543" s="14"/>
    </row>
    <row r="13544" spans="33:33">
      <c r="AG13544" s="14"/>
    </row>
    <row r="13545" spans="33:33">
      <c r="AG13545" s="14"/>
    </row>
    <row r="13546" spans="33:33">
      <c r="AG13546" s="14"/>
    </row>
    <row r="13547" spans="33:33">
      <c r="AG13547" s="14"/>
    </row>
    <row r="13548" spans="33:33">
      <c r="AG13548" s="14"/>
    </row>
    <row r="13549" spans="33:33">
      <c r="AG13549" s="14"/>
    </row>
    <row r="13550" spans="33:33">
      <c r="AG13550" s="14"/>
    </row>
    <row r="13551" spans="33:33">
      <c r="AG13551" s="14"/>
    </row>
    <row r="13552" spans="33:33">
      <c r="AG13552" s="14"/>
    </row>
    <row r="13553" spans="33:33">
      <c r="AG13553" s="14"/>
    </row>
    <row r="13554" spans="33:33">
      <c r="AG13554" s="14"/>
    </row>
    <row r="13555" spans="33:33">
      <c r="AG13555" s="14"/>
    </row>
    <row r="13556" spans="33:33">
      <c r="AG13556" s="14"/>
    </row>
    <row r="13557" spans="33:33">
      <c r="AG13557" s="14"/>
    </row>
    <row r="13558" spans="33:33">
      <c r="AG13558" s="14"/>
    </row>
    <row r="13559" spans="33:33">
      <c r="AG13559" s="14"/>
    </row>
    <row r="13560" spans="33:33">
      <c r="AG13560" s="14"/>
    </row>
    <row r="13561" spans="33:33">
      <c r="AG13561" s="14"/>
    </row>
    <row r="13562" spans="33:33">
      <c r="AG13562" s="14"/>
    </row>
    <row r="13563" spans="33:33">
      <c r="AG13563" s="14"/>
    </row>
    <row r="13564" spans="33:33">
      <c r="AG13564" s="14"/>
    </row>
    <row r="13565" spans="33:33">
      <c r="AG13565" s="14"/>
    </row>
    <row r="13566" spans="33:33">
      <c r="AG13566" s="14"/>
    </row>
    <row r="13567" spans="33:33">
      <c r="AG13567" s="14"/>
    </row>
    <row r="13568" spans="33:33">
      <c r="AG13568" s="14"/>
    </row>
    <row r="13569" spans="33:33">
      <c r="AG13569" s="14"/>
    </row>
    <row r="13570" spans="33:33">
      <c r="AG13570" s="14"/>
    </row>
    <row r="13571" spans="33:33">
      <c r="AG13571" s="14"/>
    </row>
    <row r="13572" spans="33:33">
      <c r="AG13572" s="14"/>
    </row>
    <row r="13573" spans="33:33">
      <c r="AG13573" s="14"/>
    </row>
    <row r="13574" spans="33:33">
      <c r="AG13574" s="14"/>
    </row>
    <row r="13575" spans="33:33">
      <c r="AG13575" s="14"/>
    </row>
    <row r="13576" spans="33:33">
      <c r="AG13576" s="14"/>
    </row>
    <row r="13577" spans="33:33">
      <c r="AG13577" s="14"/>
    </row>
    <row r="13578" spans="33:33">
      <c r="AG13578" s="14"/>
    </row>
    <row r="13579" spans="33:33">
      <c r="AG13579" s="14"/>
    </row>
    <row r="13580" spans="33:33">
      <c r="AG13580" s="14"/>
    </row>
    <row r="13581" spans="33:33">
      <c r="AG13581" s="14"/>
    </row>
    <row r="13582" spans="33:33">
      <c r="AG13582" s="14"/>
    </row>
    <row r="13583" spans="33:33">
      <c r="AG13583" s="14"/>
    </row>
    <row r="13584" spans="33:33">
      <c r="AG13584" s="14"/>
    </row>
    <row r="13585" spans="33:33">
      <c r="AG13585" s="14"/>
    </row>
    <row r="13586" spans="33:33">
      <c r="AG13586" s="14"/>
    </row>
    <row r="13587" spans="33:33">
      <c r="AG13587" s="14"/>
    </row>
    <row r="13588" spans="33:33">
      <c r="AG13588" s="14"/>
    </row>
    <row r="13589" spans="33:33">
      <c r="AG13589" s="14"/>
    </row>
    <row r="13590" spans="33:33">
      <c r="AG13590" s="14"/>
    </row>
    <row r="13591" spans="33:33">
      <c r="AG13591" s="14"/>
    </row>
    <row r="13592" spans="33:33">
      <c r="AG13592" s="14"/>
    </row>
    <row r="13593" spans="33:33">
      <c r="AG13593" s="14"/>
    </row>
    <row r="13594" spans="33:33">
      <c r="AG13594" s="14"/>
    </row>
    <row r="13595" spans="33:33">
      <c r="AG13595" s="14"/>
    </row>
    <row r="13596" spans="33:33">
      <c r="AG13596" s="14"/>
    </row>
    <row r="13597" spans="33:33">
      <c r="AG13597" s="14"/>
    </row>
    <row r="13598" spans="33:33">
      <c r="AG13598" s="14"/>
    </row>
    <row r="13599" spans="33:33">
      <c r="AG13599" s="14"/>
    </row>
    <row r="13600" spans="33:33">
      <c r="AG13600" s="14"/>
    </row>
    <row r="13601" spans="33:33">
      <c r="AG13601" s="14"/>
    </row>
    <row r="13602" spans="33:33">
      <c r="AG13602" s="14"/>
    </row>
    <row r="13603" spans="33:33">
      <c r="AG13603" s="14"/>
    </row>
    <row r="13604" spans="33:33">
      <c r="AG13604" s="14"/>
    </row>
    <row r="13605" spans="33:33">
      <c r="AG13605" s="14"/>
    </row>
    <row r="13606" spans="33:33">
      <c r="AG13606" s="14"/>
    </row>
    <row r="13607" spans="33:33">
      <c r="AG13607" s="14"/>
    </row>
    <row r="13608" spans="33:33">
      <c r="AG13608" s="14"/>
    </row>
    <row r="13609" spans="33:33">
      <c r="AG13609" s="14"/>
    </row>
    <row r="13610" spans="33:33">
      <c r="AG13610" s="14"/>
    </row>
    <row r="13611" spans="33:33">
      <c r="AG13611" s="14"/>
    </row>
    <row r="13612" spans="33:33">
      <c r="AG13612" s="14"/>
    </row>
    <row r="13613" spans="33:33">
      <c r="AG13613" s="14"/>
    </row>
    <row r="13614" spans="33:33">
      <c r="AG13614" s="14"/>
    </row>
    <row r="13615" spans="33:33">
      <c r="AG13615" s="14"/>
    </row>
    <row r="13616" spans="33:33">
      <c r="AG13616" s="14"/>
    </row>
    <row r="13617" spans="33:33">
      <c r="AG13617" s="14"/>
    </row>
    <row r="13618" spans="33:33">
      <c r="AG13618" s="14"/>
    </row>
    <row r="13619" spans="33:33">
      <c r="AG13619" s="14"/>
    </row>
    <row r="13620" spans="33:33">
      <c r="AG13620" s="14"/>
    </row>
    <row r="13621" spans="33:33">
      <c r="AG13621" s="14"/>
    </row>
    <row r="13622" spans="33:33">
      <c r="AG13622" s="14"/>
    </row>
    <row r="13623" spans="33:33">
      <c r="AG13623" s="14"/>
    </row>
    <row r="13624" spans="33:33">
      <c r="AG13624" s="14"/>
    </row>
    <row r="13625" spans="33:33">
      <c r="AG13625" s="14"/>
    </row>
    <row r="13626" spans="33:33">
      <c r="AG13626" s="14"/>
    </row>
    <row r="13627" spans="33:33">
      <c r="AG13627" s="14"/>
    </row>
    <row r="13628" spans="33:33">
      <c r="AG13628" s="14"/>
    </row>
    <row r="13629" spans="33:33">
      <c r="AG13629" s="14"/>
    </row>
    <row r="13630" spans="33:33">
      <c r="AG13630" s="14"/>
    </row>
    <row r="13631" spans="33:33">
      <c r="AG13631" s="14"/>
    </row>
    <row r="13632" spans="33:33">
      <c r="AG13632" s="14"/>
    </row>
    <row r="13633" spans="33:33">
      <c r="AG13633" s="14"/>
    </row>
    <row r="13634" spans="33:33">
      <c r="AG13634" s="14"/>
    </row>
    <row r="13635" spans="33:33">
      <c r="AG13635" s="14"/>
    </row>
    <row r="13636" spans="33:33">
      <c r="AG13636" s="14"/>
    </row>
    <row r="13637" spans="33:33">
      <c r="AG13637" s="14"/>
    </row>
    <row r="13638" spans="33:33">
      <c r="AG13638" s="14"/>
    </row>
    <row r="13639" spans="33:33">
      <c r="AG13639" s="14"/>
    </row>
    <row r="13640" spans="33:33">
      <c r="AG13640" s="14"/>
    </row>
    <row r="13641" spans="33:33">
      <c r="AG13641" s="14"/>
    </row>
    <row r="13642" spans="33:33">
      <c r="AG13642" s="14"/>
    </row>
    <row r="13643" spans="33:33">
      <c r="AG13643" s="14"/>
    </row>
    <row r="13644" spans="33:33">
      <c r="AG13644" s="14"/>
    </row>
    <row r="13645" spans="33:33">
      <c r="AG13645" s="14"/>
    </row>
    <row r="13646" spans="33:33">
      <c r="AG13646" s="14"/>
    </row>
    <row r="13647" spans="33:33">
      <c r="AG13647" s="14"/>
    </row>
    <row r="13648" spans="33:33">
      <c r="AG13648" s="14"/>
    </row>
    <row r="13649" spans="33:33">
      <c r="AG13649" s="14"/>
    </row>
    <row r="13650" spans="33:33">
      <c r="AG13650" s="14"/>
    </row>
    <row r="13651" spans="33:33">
      <c r="AG13651" s="14"/>
    </row>
    <row r="13652" spans="33:33">
      <c r="AG13652" s="14"/>
    </row>
    <row r="13653" spans="33:33">
      <c r="AG13653" s="14"/>
    </row>
    <row r="13654" spans="33:33">
      <c r="AG13654" s="14"/>
    </row>
    <row r="13655" spans="33:33">
      <c r="AG13655" s="14"/>
    </row>
    <row r="13656" spans="33:33">
      <c r="AG13656" s="14"/>
    </row>
    <row r="13657" spans="33:33">
      <c r="AG13657" s="14"/>
    </row>
    <row r="13658" spans="33:33">
      <c r="AG13658" s="14"/>
    </row>
    <row r="13659" spans="33:33">
      <c r="AG13659" s="14"/>
    </row>
    <row r="13660" spans="33:33">
      <c r="AG13660" s="14"/>
    </row>
    <row r="13661" spans="33:33">
      <c r="AG13661" s="14"/>
    </row>
    <row r="13662" spans="33:33">
      <c r="AG13662" s="14"/>
    </row>
    <row r="13663" spans="33:33">
      <c r="AG13663" s="14"/>
    </row>
    <row r="13664" spans="33:33">
      <c r="AG13664" s="14"/>
    </row>
    <row r="13665" spans="33:33">
      <c r="AG13665" s="14"/>
    </row>
    <row r="13666" spans="33:33">
      <c r="AG13666" s="14"/>
    </row>
    <row r="13667" spans="33:33">
      <c r="AG13667" s="14"/>
    </row>
    <row r="13668" spans="33:33">
      <c r="AG13668" s="14"/>
    </row>
    <row r="13669" spans="33:33">
      <c r="AG13669" s="14"/>
    </row>
    <row r="13670" spans="33:33">
      <c r="AG13670" s="14"/>
    </row>
    <row r="13671" spans="33:33">
      <c r="AG13671" s="14"/>
    </row>
    <row r="13672" spans="33:33">
      <c r="AG13672" s="14"/>
    </row>
    <row r="13673" spans="33:33">
      <c r="AG13673" s="14"/>
    </row>
    <row r="13674" spans="33:33">
      <c r="AG13674" s="14"/>
    </row>
    <row r="13675" spans="33:33">
      <c r="AG13675" s="14"/>
    </row>
    <row r="13676" spans="33:33">
      <c r="AG13676" s="14"/>
    </row>
    <row r="13677" spans="33:33">
      <c r="AG13677" s="14"/>
    </row>
    <row r="13678" spans="33:33">
      <c r="AG13678" s="14"/>
    </row>
    <row r="13679" spans="33:33">
      <c r="AG13679" s="14"/>
    </row>
    <row r="13680" spans="33:33">
      <c r="AG13680" s="14"/>
    </row>
    <row r="13681" spans="33:33">
      <c r="AG13681" s="14"/>
    </row>
    <row r="13682" spans="33:33">
      <c r="AG13682" s="14"/>
    </row>
    <row r="13683" spans="33:33">
      <c r="AG13683" s="14"/>
    </row>
    <row r="13684" spans="33:33">
      <c r="AG13684" s="14"/>
    </row>
    <row r="13685" spans="33:33">
      <c r="AG13685" s="14"/>
    </row>
    <row r="13686" spans="33:33">
      <c r="AG13686" s="14"/>
    </row>
    <row r="13687" spans="33:33">
      <c r="AG13687" s="14"/>
    </row>
    <row r="13688" spans="33:33">
      <c r="AG13688" s="14"/>
    </row>
    <row r="13689" spans="33:33">
      <c r="AG13689" s="14"/>
    </row>
    <row r="13690" spans="33:33">
      <c r="AG13690" s="14"/>
    </row>
    <row r="13691" spans="33:33">
      <c r="AG13691" s="14"/>
    </row>
    <row r="13692" spans="33:33">
      <c r="AG13692" s="14"/>
    </row>
    <row r="13693" spans="33:33">
      <c r="AG13693" s="14"/>
    </row>
    <row r="13694" spans="33:33">
      <c r="AG13694" s="14"/>
    </row>
    <row r="13695" spans="33:33">
      <c r="AG13695" s="14"/>
    </row>
    <row r="13696" spans="33:33">
      <c r="AG13696" s="14"/>
    </row>
    <row r="13697" spans="33:33">
      <c r="AG13697" s="14"/>
    </row>
    <row r="13698" spans="33:33">
      <c r="AG13698" s="14"/>
    </row>
    <row r="13699" spans="33:33">
      <c r="AG13699" s="14"/>
    </row>
    <row r="13700" spans="33:33">
      <c r="AG13700" s="14"/>
    </row>
    <row r="13701" spans="33:33">
      <c r="AG13701" s="14"/>
    </row>
    <row r="13702" spans="33:33">
      <c r="AG13702" s="14"/>
    </row>
    <row r="13703" spans="33:33">
      <c r="AG13703" s="14"/>
    </row>
    <row r="13704" spans="33:33">
      <c r="AG13704" s="14"/>
    </row>
    <row r="13705" spans="33:33">
      <c r="AG13705" s="14"/>
    </row>
    <row r="13706" spans="33:33">
      <c r="AG13706" s="14"/>
    </row>
    <row r="13707" spans="33:33">
      <c r="AG13707" s="14"/>
    </row>
    <row r="13708" spans="33:33">
      <c r="AG13708" s="14"/>
    </row>
    <row r="13709" spans="33:33">
      <c r="AG13709" s="14"/>
    </row>
    <row r="13710" spans="33:33">
      <c r="AG13710" s="14"/>
    </row>
    <row r="13711" spans="33:33">
      <c r="AG13711" s="14"/>
    </row>
    <row r="13712" spans="33:33">
      <c r="AG13712" s="14"/>
    </row>
    <row r="13713" spans="33:33">
      <c r="AG13713" s="14"/>
    </row>
    <row r="13714" spans="33:33">
      <c r="AG13714" s="14"/>
    </row>
    <row r="13715" spans="33:33">
      <c r="AG13715" s="14"/>
    </row>
    <row r="13716" spans="33:33">
      <c r="AG13716" s="14"/>
    </row>
    <row r="13717" spans="33:33">
      <c r="AG13717" s="14"/>
    </row>
    <row r="13718" spans="33:33">
      <c r="AG13718" s="14"/>
    </row>
    <row r="13719" spans="33:33">
      <c r="AG13719" s="14"/>
    </row>
    <row r="13720" spans="33:33">
      <c r="AG13720" s="14"/>
    </row>
    <row r="13721" spans="33:33">
      <c r="AG13721" s="14"/>
    </row>
    <row r="13722" spans="33:33">
      <c r="AG13722" s="14"/>
    </row>
    <row r="13723" spans="33:33">
      <c r="AG13723" s="14"/>
    </row>
    <row r="13724" spans="33:33">
      <c r="AG13724" s="14"/>
    </row>
    <row r="13725" spans="33:33">
      <c r="AG13725" s="14"/>
    </row>
    <row r="13726" spans="33:33">
      <c r="AG13726" s="14"/>
    </row>
    <row r="13727" spans="33:33">
      <c r="AG13727" s="14"/>
    </row>
    <row r="13728" spans="33:33">
      <c r="AG13728" s="14"/>
    </row>
    <row r="13729" spans="33:33">
      <c r="AG13729" s="14"/>
    </row>
    <row r="13730" spans="33:33">
      <c r="AG13730" s="14"/>
    </row>
    <row r="13731" spans="33:33">
      <c r="AG13731" s="14"/>
    </row>
    <row r="13732" spans="33:33">
      <c r="AG13732" s="14"/>
    </row>
    <row r="13733" spans="33:33">
      <c r="AG13733" s="14"/>
    </row>
    <row r="13734" spans="33:33">
      <c r="AG13734" s="14"/>
    </row>
    <row r="13735" spans="33:33">
      <c r="AG13735" s="14"/>
    </row>
    <row r="13736" spans="33:33">
      <c r="AG13736" s="14"/>
    </row>
    <row r="13737" spans="33:33">
      <c r="AG13737" s="14"/>
    </row>
    <row r="13738" spans="33:33">
      <c r="AG13738" s="14"/>
    </row>
    <row r="13739" spans="33:33">
      <c r="AG13739" s="14"/>
    </row>
    <row r="13740" spans="33:33">
      <c r="AG13740" s="14"/>
    </row>
    <row r="13741" spans="33:33">
      <c r="AG13741" s="14"/>
    </row>
    <row r="13742" spans="33:33">
      <c r="AG13742" s="14"/>
    </row>
    <row r="13743" spans="33:33">
      <c r="AG13743" s="14"/>
    </row>
    <row r="13744" spans="33:33">
      <c r="AG13744" s="14"/>
    </row>
    <row r="13745" spans="33:33">
      <c r="AG13745" s="14"/>
    </row>
    <row r="13746" spans="33:33">
      <c r="AG13746" s="14"/>
    </row>
    <row r="13747" spans="33:33">
      <c r="AG13747" s="14"/>
    </row>
    <row r="13748" spans="33:33">
      <c r="AG13748" s="14"/>
    </row>
    <row r="13749" spans="33:33">
      <c r="AG13749" s="14"/>
    </row>
    <row r="13750" spans="33:33">
      <c r="AG13750" s="14"/>
    </row>
    <row r="13751" spans="33:33">
      <c r="AG13751" s="14"/>
    </row>
    <row r="13752" spans="33:33">
      <c r="AG13752" s="14"/>
    </row>
    <row r="13753" spans="33:33">
      <c r="AG13753" s="14"/>
    </row>
    <row r="13754" spans="33:33">
      <c r="AG13754" s="14"/>
    </row>
    <row r="13755" spans="33:33">
      <c r="AG13755" s="14"/>
    </row>
    <row r="13756" spans="33:33">
      <c r="AG13756" s="14"/>
    </row>
    <row r="13757" spans="33:33">
      <c r="AG13757" s="14"/>
    </row>
    <row r="13758" spans="33:33">
      <c r="AG13758" s="14"/>
    </row>
    <row r="13759" spans="33:33">
      <c r="AG13759" s="14"/>
    </row>
    <row r="13760" spans="33:33">
      <c r="AG13760" s="14"/>
    </row>
    <row r="13761" spans="33:33">
      <c r="AG13761" s="14"/>
    </row>
    <row r="13762" spans="33:33">
      <c r="AG13762" s="14"/>
    </row>
    <row r="13763" spans="33:33">
      <c r="AG13763" s="14"/>
    </row>
    <row r="13764" spans="33:33">
      <c r="AG13764" s="14"/>
    </row>
    <row r="13765" spans="33:33">
      <c r="AG13765" s="14"/>
    </row>
    <row r="13766" spans="33:33">
      <c r="AG13766" s="14"/>
    </row>
    <row r="13767" spans="33:33">
      <c r="AG13767" s="14"/>
    </row>
    <row r="13768" spans="33:33">
      <c r="AG13768" s="14"/>
    </row>
    <row r="13769" spans="33:33">
      <c r="AG13769" s="14"/>
    </row>
    <row r="13770" spans="33:33">
      <c r="AG13770" s="14"/>
    </row>
    <row r="13771" spans="33:33">
      <c r="AG13771" s="14"/>
    </row>
    <row r="13772" spans="33:33">
      <c r="AG13772" s="14"/>
    </row>
    <row r="13773" spans="33:33">
      <c r="AG13773" s="14"/>
    </row>
    <row r="13774" spans="33:33">
      <c r="AG13774" s="14"/>
    </row>
    <row r="13775" spans="33:33">
      <c r="AG13775" s="14"/>
    </row>
    <row r="13776" spans="33:33">
      <c r="AG13776" s="14"/>
    </row>
    <row r="13777" spans="33:33">
      <c r="AG13777" s="14"/>
    </row>
    <row r="13778" spans="33:33">
      <c r="AG13778" s="14"/>
    </row>
    <row r="13779" spans="33:33">
      <c r="AG13779" s="14"/>
    </row>
    <row r="13780" spans="33:33">
      <c r="AG13780" s="14"/>
    </row>
    <row r="13781" spans="33:33">
      <c r="AG13781" s="14"/>
    </row>
    <row r="13782" spans="33:33">
      <c r="AG13782" s="14"/>
    </row>
    <row r="13783" spans="33:33">
      <c r="AG13783" s="14"/>
    </row>
    <row r="13784" spans="33:33">
      <c r="AG13784" s="14"/>
    </row>
    <row r="13785" spans="33:33">
      <c r="AG13785" s="14"/>
    </row>
    <row r="13786" spans="33:33">
      <c r="AG13786" s="14"/>
    </row>
    <row r="13787" spans="33:33">
      <c r="AG13787" s="14"/>
    </row>
    <row r="13788" spans="33:33">
      <c r="AG13788" s="14"/>
    </row>
    <row r="13789" spans="33:33">
      <c r="AG13789" s="14"/>
    </row>
    <row r="13790" spans="33:33">
      <c r="AG13790" s="14"/>
    </row>
    <row r="13791" spans="33:33">
      <c r="AG13791" s="14"/>
    </row>
    <row r="13792" spans="33:33">
      <c r="AG13792" s="14"/>
    </row>
    <row r="13793" spans="33:33">
      <c r="AG13793" s="14"/>
    </row>
    <row r="13794" spans="33:33">
      <c r="AG13794" s="14"/>
    </row>
    <row r="13795" spans="33:33">
      <c r="AG13795" s="14"/>
    </row>
    <row r="13796" spans="33:33">
      <c r="AG13796" s="14"/>
    </row>
    <row r="13797" spans="33:33">
      <c r="AG13797" s="14"/>
    </row>
    <row r="13798" spans="33:33">
      <c r="AG13798" s="14"/>
    </row>
    <row r="13799" spans="33:33">
      <c r="AG13799" s="14"/>
    </row>
    <row r="13800" spans="33:33">
      <c r="AG13800" s="14"/>
    </row>
    <row r="13801" spans="33:33">
      <c r="AG13801" s="14"/>
    </row>
    <row r="13802" spans="33:33">
      <c r="AG13802" s="14"/>
    </row>
    <row r="13803" spans="33:33">
      <c r="AG13803" s="14"/>
    </row>
    <row r="13804" spans="33:33">
      <c r="AG13804" s="14"/>
    </row>
    <row r="13805" spans="33:33">
      <c r="AG13805" s="14"/>
    </row>
    <row r="13806" spans="33:33">
      <c r="AG13806" s="14"/>
    </row>
    <row r="13807" spans="33:33">
      <c r="AG13807" s="14"/>
    </row>
    <row r="13808" spans="33:33">
      <c r="AG13808" s="14"/>
    </row>
    <row r="13809" spans="33:33">
      <c r="AG13809" s="14"/>
    </row>
    <row r="13810" spans="33:33">
      <c r="AG13810" s="14"/>
    </row>
    <row r="13811" spans="33:33">
      <c r="AG13811" s="14"/>
    </row>
    <row r="13812" spans="33:33">
      <c r="AG13812" s="14"/>
    </row>
    <row r="13813" spans="33:33">
      <c r="AG13813" s="14"/>
    </row>
    <row r="13814" spans="33:33">
      <c r="AG13814" s="14"/>
    </row>
    <row r="13815" spans="33:33">
      <c r="AG13815" s="14"/>
    </row>
    <row r="13816" spans="33:33">
      <c r="AG13816" s="14"/>
    </row>
    <row r="13817" spans="33:33">
      <c r="AG13817" s="14"/>
    </row>
    <row r="13818" spans="33:33">
      <c r="AG13818" s="14"/>
    </row>
    <row r="13819" spans="33:33">
      <c r="AG13819" s="14"/>
    </row>
    <row r="13820" spans="33:33">
      <c r="AG13820" s="14"/>
    </row>
    <row r="13821" spans="33:33">
      <c r="AG13821" s="14"/>
    </row>
    <row r="13822" spans="33:33">
      <c r="AG13822" s="14"/>
    </row>
    <row r="13823" spans="33:33">
      <c r="AG13823" s="14"/>
    </row>
    <row r="13824" spans="33:33">
      <c r="AG13824" s="14"/>
    </row>
    <row r="13825" spans="33:33">
      <c r="AG13825" s="14"/>
    </row>
    <row r="13826" spans="33:33">
      <c r="AG13826" s="14"/>
    </row>
    <row r="13827" spans="33:33">
      <c r="AG13827" s="14"/>
    </row>
    <row r="13828" spans="33:33">
      <c r="AG13828" s="14"/>
    </row>
    <row r="13829" spans="33:33">
      <c r="AG13829" s="14"/>
    </row>
    <row r="13830" spans="33:33">
      <c r="AG13830" s="14"/>
    </row>
    <row r="13831" spans="33:33">
      <c r="AG13831" s="14"/>
    </row>
    <row r="13832" spans="33:33">
      <c r="AG13832" s="14"/>
    </row>
    <row r="13833" spans="33:33">
      <c r="AG13833" s="14"/>
    </row>
    <row r="13834" spans="33:33">
      <c r="AG13834" s="14"/>
    </row>
    <row r="13835" spans="33:33">
      <c r="AG13835" s="14"/>
    </row>
    <row r="13836" spans="33:33">
      <c r="AG13836" s="14"/>
    </row>
    <row r="13837" spans="33:33">
      <c r="AG13837" s="14"/>
    </row>
    <row r="13838" spans="33:33">
      <c r="AG13838" s="14"/>
    </row>
    <row r="13839" spans="33:33">
      <c r="AG13839" s="14"/>
    </row>
    <row r="13840" spans="33:33">
      <c r="AG13840" s="14"/>
    </row>
    <row r="13841" spans="33:33">
      <c r="AG13841" s="14"/>
    </row>
    <row r="13842" spans="33:33">
      <c r="AG13842" s="14"/>
    </row>
    <row r="13843" spans="33:33">
      <c r="AG13843" s="14"/>
    </row>
    <row r="13844" spans="33:33">
      <c r="AG13844" s="14"/>
    </row>
    <row r="13845" spans="33:33">
      <c r="AG13845" s="14"/>
    </row>
    <row r="13846" spans="33:33">
      <c r="AG13846" s="14"/>
    </row>
    <row r="13847" spans="33:33">
      <c r="AG13847" s="14"/>
    </row>
    <row r="13848" spans="33:33">
      <c r="AG13848" s="14"/>
    </row>
    <row r="13849" spans="33:33">
      <c r="AG13849" s="14"/>
    </row>
    <row r="13850" spans="33:33">
      <c r="AG13850" s="14"/>
    </row>
    <row r="13851" spans="33:33">
      <c r="AG13851" s="14"/>
    </row>
    <row r="13852" spans="33:33">
      <c r="AG13852" s="14"/>
    </row>
    <row r="13853" spans="33:33">
      <c r="AG13853" s="14"/>
    </row>
    <row r="13854" spans="33:33">
      <c r="AG13854" s="14"/>
    </row>
    <row r="13855" spans="33:33">
      <c r="AG13855" s="14"/>
    </row>
    <row r="13856" spans="33:33">
      <c r="AG13856" s="14"/>
    </row>
    <row r="13857" spans="33:33">
      <c r="AG13857" s="14"/>
    </row>
    <row r="13858" spans="33:33">
      <c r="AG13858" s="14"/>
    </row>
    <row r="13859" spans="33:33">
      <c r="AG13859" s="14"/>
    </row>
    <row r="13860" spans="33:33">
      <c r="AG13860" s="14"/>
    </row>
    <row r="13861" spans="33:33">
      <c r="AG13861" s="14"/>
    </row>
    <row r="13862" spans="33:33">
      <c r="AG13862" s="14"/>
    </row>
    <row r="13863" spans="33:33">
      <c r="AG13863" s="14"/>
    </row>
    <row r="13864" spans="33:33">
      <c r="AG13864" s="14"/>
    </row>
    <row r="13865" spans="33:33">
      <c r="AG13865" s="14"/>
    </row>
    <row r="13866" spans="33:33">
      <c r="AG13866" s="14"/>
    </row>
    <row r="13867" spans="33:33">
      <c r="AG13867" s="14"/>
    </row>
    <row r="13868" spans="33:33">
      <c r="AG13868" s="14"/>
    </row>
    <row r="13869" spans="33:33">
      <c r="AG13869" s="14"/>
    </row>
    <row r="13870" spans="33:33">
      <c r="AG13870" s="14"/>
    </row>
    <row r="13871" spans="33:33">
      <c r="AG13871" s="14"/>
    </row>
    <row r="13872" spans="33:33">
      <c r="AG13872" s="14"/>
    </row>
    <row r="13873" spans="33:33">
      <c r="AG13873" s="14"/>
    </row>
    <row r="13874" spans="33:33">
      <c r="AG13874" s="14"/>
    </row>
    <row r="13875" spans="33:33">
      <c r="AG13875" s="14"/>
    </row>
    <row r="13876" spans="33:33">
      <c r="AG13876" s="14"/>
    </row>
    <row r="13877" spans="33:33">
      <c r="AG13877" s="14"/>
    </row>
    <row r="13878" spans="33:33">
      <c r="AG13878" s="14"/>
    </row>
    <row r="13879" spans="33:33">
      <c r="AG13879" s="14"/>
    </row>
    <row r="13880" spans="33:33">
      <c r="AG13880" s="14"/>
    </row>
    <row r="13881" spans="33:33">
      <c r="AG13881" s="14"/>
    </row>
    <row r="13882" spans="33:33">
      <c r="AG13882" s="14"/>
    </row>
    <row r="13883" spans="33:33">
      <c r="AG13883" s="14"/>
    </row>
    <row r="13884" spans="33:33">
      <c r="AG13884" s="14"/>
    </row>
    <row r="13885" spans="33:33">
      <c r="AG13885" s="14"/>
    </row>
    <row r="13886" spans="33:33">
      <c r="AG13886" s="14"/>
    </row>
    <row r="13887" spans="33:33">
      <c r="AG13887" s="14"/>
    </row>
    <row r="13888" spans="33:33">
      <c r="AG13888" s="14"/>
    </row>
    <row r="13889" spans="33:33">
      <c r="AG13889" s="14"/>
    </row>
    <row r="13890" spans="33:33">
      <c r="AG13890" s="14"/>
    </row>
    <row r="13891" spans="33:33">
      <c r="AG13891" s="14"/>
    </row>
    <row r="13892" spans="33:33">
      <c r="AG13892" s="14"/>
    </row>
    <row r="13893" spans="33:33">
      <c r="AG13893" s="14"/>
    </row>
    <row r="13894" spans="33:33">
      <c r="AG13894" s="14"/>
    </row>
    <row r="13895" spans="33:33">
      <c r="AG13895" s="14"/>
    </row>
    <row r="13896" spans="33:33">
      <c r="AG13896" s="14"/>
    </row>
    <row r="13897" spans="33:33">
      <c r="AG13897" s="14"/>
    </row>
    <row r="13898" spans="33:33">
      <c r="AG13898" s="14"/>
    </row>
    <row r="13899" spans="33:33">
      <c r="AG13899" s="14"/>
    </row>
    <row r="13900" spans="33:33">
      <c r="AG13900" s="14"/>
    </row>
    <row r="13901" spans="33:33">
      <c r="AG13901" s="14"/>
    </row>
    <row r="13902" spans="33:33">
      <c r="AG13902" s="14"/>
    </row>
    <row r="13903" spans="33:33">
      <c r="AG13903" s="14"/>
    </row>
    <row r="13904" spans="33:33">
      <c r="AG13904" s="14"/>
    </row>
    <row r="13905" spans="33:33">
      <c r="AG13905" s="14"/>
    </row>
    <row r="13906" spans="33:33">
      <c r="AG13906" s="14"/>
    </row>
    <row r="13907" spans="33:33">
      <c r="AG13907" s="14"/>
    </row>
    <row r="13908" spans="33:33">
      <c r="AG13908" s="14"/>
    </row>
    <row r="13909" spans="33:33">
      <c r="AG13909" s="14"/>
    </row>
    <row r="13910" spans="33:33">
      <c r="AG13910" s="14"/>
    </row>
    <row r="13911" spans="33:33">
      <c r="AG13911" s="14"/>
    </row>
    <row r="13912" spans="33:33">
      <c r="AG13912" s="14"/>
    </row>
    <row r="13913" spans="33:33">
      <c r="AG13913" s="14"/>
    </row>
    <row r="13914" spans="33:33">
      <c r="AG13914" s="14"/>
    </row>
    <row r="13915" spans="33:33">
      <c r="AG13915" s="14"/>
    </row>
    <row r="13916" spans="33:33">
      <c r="AG13916" s="14"/>
    </row>
    <row r="13917" spans="33:33">
      <c r="AG13917" s="14"/>
    </row>
    <row r="13918" spans="33:33">
      <c r="AG13918" s="14"/>
    </row>
    <row r="13919" spans="33:33">
      <c r="AG13919" s="14"/>
    </row>
    <row r="13920" spans="33:33">
      <c r="AG13920" s="14"/>
    </row>
    <row r="13921" spans="33:33">
      <c r="AG13921" s="14"/>
    </row>
    <row r="13922" spans="33:33">
      <c r="AG13922" s="14"/>
    </row>
    <row r="13923" spans="33:33">
      <c r="AG13923" s="14"/>
    </row>
    <row r="13924" spans="33:33">
      <c r="AG13924" s="14"/>
    </row>
    <row r="13925" spans="33:33">
      <c r="AG13925" s="14"/>
    </row>
    <row r="13926" spans="33:33">
      <c r="AG13926" s="14"/>
    </row>
    <row r="13927" spans="33:33">
      <c r="AG13927" s="14"/>
    </row>
    <row r="13928" spans="33:33">
      <c r="AG13928" s="14"/>
    </row>
    <row r="13929" spans="33:33">
      <c r="AG13929" s="14"/>
    </row>
    <row r="13930" spans="33:33">
      <c r="AG13930" s="14"/>
    </row>
    <row r="13931" spans="33:33">
      <c r="AG13931" s="14"/>
    </row>
    <row r="13932" spans="33:33">
      <c r="AG13932" s="14"/>
    </row>
    <row r="13933" spans="33:33">
      <c r="AG13933" s="14"/>
    </row>
    <row r="13934" spans="33:33">
      <c r="AG13934" s="14"/>
    </row>
    <row r="13935" spans="33:33">
      <c r="AG13935" s="14"/>
    </row>
    <row r="13936" spans="33:33">
      <c r="AG13936" s="14"/>
    </row>
    <row r="13937" spans="33:33">
      <c r="AG13937" s="14"/>
    </row>
    <row r="13938" spans="33:33">
      <c r="AG13938" s="14"/>
    </row>
    <row r="13939" spans="33:33">
      <c r="AG13939" s="14"/>
    </row>
    <row r="13940" spans="33:33">
      <c r="AG13940" s="14"/>
    </row>
    <row r="13941" spans="33:33">
      <c r="AG13941" s="14"/>
    </row>
    <row r="13942" spans="33:33">
      <c r="AG13942" s="14"/>
    </row>
    <row r="13943" spans="33:33">
      <c r="AG13943" s="14"/>
    </row>
    <row r="13944" spans="33:33">
      <c r="AG13944" s="14"/>
    </row>
    <row r="13945" spans="33:33">
      <c r="AG13945" s="14"/>
    </row>
    <row r="13946" spans="33:33">
      <c r="AG13946" s="14"/>
    </row>
    <row r="13947" spans="33:33">
      <c r="AG13947" s="14"/>
    </row>
    <row r="13948" spans="33:33">
      <c r="AG13948" s="14"/>
    </row>
    <row r="13949" spans="33:33">
      <c r="AG13949" s="14"/>
    </row>
    <row r="13950" spans="33:33">
      <c r="AG13950" s="14"/>
    </row>
    <row r="13951" spans="33:33">
      <c r="AG13951" s="14"/>
    </row>
    <row r="13952" spans="33:33">
      <c r="AG13952" s="14"/>
    </row>
    <row r="13953" spans="33:33">
      <c r="AG13953" s="14"/>
    </row>
    <row r="13954" spans="33:33">
      <c r="AG13954" s="14"/>
    </row>
    <row r="13955" spans="33:33">
      <c r="AG13955" s="14"/>
    </row>
    <row r="13956" spans="33:33">
      <c r="AG13956" s="14"/>
    </row>
    <row r="13957" spans="33:33">
      <c r="AG13957" s="14"/>
    </row>
    <row r="13958" spans="33:33">
      <c r="AG13958" s="14"/>
    </row>
    <row r="13959" spans="33:33">
      <c r="AG13959" s="14"/>
    </row>
    <row r="13960" spans="33:33">
      <c r="AG13960" s="14"/>
    </row>
    <row r="13961" spans="33:33">
      <c r="AG13961" s="14"/>
    </row>
    <row r="13962" spans="33:33">
      <c r="AG13962" s="14"/>
    </row>
    <row r="13963" spans="33:33">
      <c r="AG13963" s="14"/>
    </row>
    <row r="13964" spans="33:33">
      <c r="AG13964" s="14"/>
    </row>
    <row r="13965" spans="33:33">
      <c r="AG13965" s="14"/>
    </row>
    <row r="13966" spans="33:33">
      <c r="AG13966" s="14"/>
    </row>
    <row r="13967" spans="33:33">
      <c r="AG13967" s="14"/>
    </row>
    <row r="13968" spans="33:33">
      <c r="AG13968" s="14"/>
    </row>
    <row r="13969" spans="33:33">
      <c r="AG13969" s="14"/>
    </row>
    <row r="13970" spans="33:33">
      <c r="AG13970" s="14"/>
    </row>
    <row r="13971" spans="33:33">
      <c r="AG13971" s="14"/>
    </row>
    <row r="13972" spans="33:33">
      <c r="AG13972" s="14"/>
    </row>
    <row r="13973" spans="33:33">
      <c r="AG13973" s="14"/>
    </row>
    <row r="13974" spans="33:33">
      <c r="AG13974" s="14"/>
    </row>
    <row r="13975" spans="33:33">
      <c r="AG13975" s="14"/>
    </row>
    <row r="13976" spans="33:33">
      <c r="AG13976" s="14"/>
    </row>
    <row r="13977" spans="33:33">
      <c r="AG13977" s="14"/>
    </row>
    <row r="13978" spans="33:33">
      <c r="AG13978" s="14"/>
    </row>
    <row r="13979" spans="33:33">
      <c r="AG13979" s="14"/>
    </row>
    <row r="13980" spans="33:33">
      <c r="AG13980" s="14"/>
    </row>
    <row r="13981" spans="33:33">
      <c r="AG13981" s="14"/>
    </row>
    <row r="13982" spans="33:33">
      <c r="AG13982" s="14"/>
    </row>
    <row r="13983" spans="33:33">
      <c r="AG13983" s="14"/>
    </row>
    <row r="13984" spans="33:33">
      <c r="AG13984" s="14"/>
    </row>
    <row r="13985" spans="33:33">
      <c r="AG13985" s="14"/>
    </row>
    <row r="13986" spans="33:33">
      <c r="AG13986" s="14"/>
    </row>
    <row r="13987" spans="33:33">
      <c r="AG13987" s="14"/>
    </row>
    <row r="13988" spans="33:33">
      <c r="AG13988" s="14"/>
    </row>
    <row r="13989" spans="33:33">
      <c r="AG13989" s="14"/>
    </row>
    <row r="13990" spans="33:33">
      <c r="AG13990" s="14"/>
    </row>
    <row r="13991" spans="33:33">
      <c r="AG13991" s="14"/>
    </row>
    <row r="13992" spans="33:33">
      <c r="AG13992" s="14"/>
    </row>
    <row r="13993" spans="33:33">
      <c r="AG13993" s="14"/>
    </row>
    <row r="13994" spans="33:33">
      <c r="AG13994" s="14"/>
    </row>
    <row r="13995" spans="33:33">
      <c r="AG13995" s="14"/>
    </row>
    <row r="13996" spans="33:33">
      <c r="AG13996" s="14"/>
    </row>
    <row r="13997" spans="33:33">
      <c r="AG13997" s="14"/>
    </row>
    <row r="13998" spans="33:33">
      <c r="AG13998" s="14"/>
    </row>
    <row r="13999" spans="33:33">
      <c r="AG13999" s="14"/>
    </row>
    <row r="14000" spans="33:33">
      <c r="AG14000" s="14"/>
    </row>
    <row r="14001" spans="33:33">
      <c r="AG14001" s="14"/>
    </row>
    <row r="14002" spans="33:33">
      <c r="AG14002" s="14"/>
    </row>
    <row r="14003" spans="33:33">
      <c r="AG14003" s="14"/>
    </row>
    <row r="14004" spans="33:33">
      <c r="AG14004" s="14"/>
    </row>
    <row r="14005" spans="33:33">
      <c r="AG14005" s="14"/>
    </row>
    <row r="14006" spans="33:33">
      <c r="AG14006" s="14"/>
    </row>
    <row r="14007" spans="33:33">
      <c r="AG14007" s="14"/>
    </row>
    <row r="14008" spans="33:33">
      <c r="AG14008" s="14"/>
    </row>
    <row r="14009" spans="33:33">
      <c r="AG14009" s="14"/>
    </row>
    <row r="14010" spans="33:33">
      <c r="AG14010" s="14"/>
    </row>
    <row r="14011" spans="33:33">
      <c r="AG14011" s="14"/>
    </row>
    <row r="14012" spans="33:33">
      <c r="AG14012" s="14"/>
    </row>
    <row r="14013" spans="33:33">
      <c r="AG14013" s="14"/>
    </row>
    <row r="14014" spans="33:33">
      <c r="AG14014" s="14"/>
    </row>
    <row r="14015" spans="33:33">
      <c r="AG14015" s="14"/>
    </row>
    <row r="14016" spans="33:33">
      <c r="AG14016" s="14"/>
    </row>
    <row r="14017" spans="33:33">
      <c r="AG14017" s="14"/>
    </row>
    <row r="14018" spans="33:33">
      <c r="AG14018" s="14"/>
    </row>
    <row r="14019" spans="33:33">
      <c r="AG14019" s="14"/>
    </row>
    <row r="14020" spans="33:33">
      <c r="AG14020" s="14"/>
    </row>
    <row r="14021" spans="33:33">
      <c r="AG14021" s="14"/>
    </row>
    <row r="14022" spans="33:33">
      <c r="AG14022" s="14"/>
    </row>
    <row r="14023" spans="33:33">
      <c r="AG14023" s="14"/>
    </row>
    <row r="14024" spans="33:33">
      <c r="AG14024" s="14"/>
    </row>
    <row r="14025" spans="33:33">
      <c r="AG14025" s="14"/>
    </row>
    <row r="14026" spans="33:33">
      <c r="AG14026" s="14"/>
    </row>
    <row r="14027" spans="33:33">
      <c r="AG14027" s="14"/>
    </row>
    <row r="14028" spans="33:33">
      <c r="AG14028" s="14"/>
    </row>
    <row r="14029" spans="33:33">
      <c r="AG14029" s="14"/>
    </row>
    <row r="14030" spans="33:33">
      <c r="AG14030" s="14"/>
    </row>
    <row r="14031" spans="33:33">
      <c r="AG14031" s="14"/>
    </row>
    <row r="14032" spans="33:33">
      <c r="AG14032" s="14"/>
    </row>
    <row r="14033" spans="33:33">
      <c r="AG14033" s="14"/>
    </row>
    <row r="14034" spans="33:33">
      <c r="AG14034" s="14"/>
    </row>
    <row r="14035" spans="33:33">
      <c r="AG14035" s="14"/>
    </row>
    <row r="14036" spans="33:33">
      <c r="AG14036" s="14"/>
    </row>
    <row r="14037" spans="33:33">
      <c r="AG14037" s="14"/>
    </row>
    <row r="14038" spans="33:33">
      <c r="AG14038" s="14"/>
    </row>
    <row r="14039" spans="33:33">
      <c r="AG14039" s="14"/>
    </row>
    <row r="14040" spans="33:33">
      <c r="AG14040" s="14"/>
    </row>
    <row r="14041" spans="33:33">
      <c r="AG14041" s="14"/>
    </row>
    <row r="14042" spans="33:33">
      <c r="AG14042" s="14"/>
    </row>
    <row r="14043" spans="33:33">
      <c r="AG14043" s="14"/>
    </row>
    <row r="14044" spans="33:33">
      <c r="AG14044" s="14"/>
    </row>
    <row r="14045" spans="33:33">
      <c r="AG14045" s="14"/>
    </row>
    <row r="14046" spans="33:33">
      <c r="AG14046" s="14"/>
    </row>
    <row r="14047" spans="33:33">
      <c r="AG14047" s="14"/>
    </row>
    <row r="14048" spans="33:33">
      <c r="AG14048" s="14"/>
    </row>
    <row r="14049" spans="33:33">
      <c r="AG14049" s="14"/>
    </row>
    <row r="14050" spans="33:33">
      <c r="AG14050" s="14"/>
    </row>
    <row r="14051" spans="33:33">
      <c r="AG14051" s="14"/>
    </row>
    <row r="14052" spans="33:33">
      <c r="AG14052" s="14"/>
    </row>
    <row r="14053" spans="33:33">
      <c r="AG14053" s="14"/>
    </row>
    <row r="14054" spans="33:33">
      <c r="AG14054" s="14"/>
    </row>
    <row r="14055" spans="33:33">
      <c r="AG14055" s="14"/>
    </row>
    <row r="14056" spans="33:33">
      <c r="AG14056" s="14"/>
    </row>
    <row r="14057" spans="33:33">
      <c r="AG14057" s="14"/>
    </row>
    <row r="14058" spans="33:33">
      <c r="AG14058" s="14"/>
    </row>
    <row r="14059" spans="33:33">
      <c r="AG14059" s="14"/>
    </row>
    <row r="14060" spans="33:33">
      <c r="AG14060" s="14"/>
    </row>
    <row r="14061" spans="33:33">
      <c r="AG14061" s="14"/>
    </row>
    <row r="14062" spans="33:33">
      <c r="AG14062" s="14"/>
    </row>
    <row r="14063" spans="33:33">
      <c r="AG14063" s="14"/>
    </row>
    <row r="14064" spans="33:33">
      <c r="AG14064" s="14"/>
    </row>
    <row r="14065" spans="33:33">
      <c r="AG14065" s="14"/>
    </row>
    <row r="14066" spans="33:33">
      <c r="AG14066" s="14"/>
    </row>
    <row r="14067" spans="33:33">
      <c r="AG14067" s="14"/>
    </row>
    <row r="14068" spans="33:33">
      <c r="AG14068" s="14"/>
    </row>
    <row r="14069" spans="33:33">
      <c r="AG14069" s="14"/>
    </row>
    <row r="14070" spans="33:33">
      <c r="AG14070" s="14"/>
    </row>
    <row r="14071" spans="33:33">
      <c r="AG14071" s="14"/>
    </row>
    <row r="14072" spans="33:33">
      <c r="AG14072" s="14"/>
    </row>
    <row r="14073" spans="33:33">
      <c r="AG14073" s="14"/>
    </row>
    <row r="14074" spans="33:33">
      <c r="AG14074" s="14"/>
    </row>
    <row r="14075" spans="33:33">
      <c r="AG14075" s="14"/>
    </row>
    <row r="14076" spans="33:33">
      <c r="AG14076" s="14"/>
    </row>
    <row r="14077" spans="33:33">
      <c r="AG14077" s="14"/>
    </row>
    <row r="14078" spans="33:33">
      <c r="AG14078" s="14"/>
    </row>
    <row r="14079" spans="33:33">
      <c r="AG14079" s="14"/>
    </row>
    <row r="14080" spans="33:33">
      <c r="AG14080" s="14"/>
    </row>
    <row r="14081" spans="33:33">
      <c r="AG14081" s="14"/>
    </row>
    <row r="14082" spans="33:33">
      <c r="AG14082" s="14"/>
    </row>
    <row r="14083" spans="33:33">
      <c r="AG14083" s="14"/>
    </row>
    <row r="14084" spans="33:33">
      <c r="AG14084" s="14"/>
    </row>
    <row r="14085" spans="33:33">
      <c r="AG14085" s="14"/>
    </row>
    <row r="14086" spans="33:33">
      <c r="AG14086" s="14"/>
    </row>
    <row r="14087" spans="33:33">
      <c r="AG14087" s="14"/>
    </row>
    <row r="14088" spans="33:33">
      <c r="AG14088" s="14"/>
    </row>
    <row r="14089" spans="33:33">
      <c r="AG14089" s="14"/>
    </row>
    <row r="14090" spans="33:33">
      <c r="AG14090" s="14"/>
    </row>
    <row r="14091" spans="33:33">
      <c r="AG14091" s="14"/>
    </row>
    <row r="14092" spans="33:33">
      <c r="AG14092" s="14"/>
    </row>
    <row r="14093" spans="33:33">
      <c r="AG14093" s="14"/>
    </row>
    <row r="14094" spans="33:33">
      <c r="AG14094" s="14"/>
    </row>
    <row r="14095" spans="33:33">
      <c r="AG14095" s="14"/>
    </row>
    <row r="14096" spans="33:33">
      <c r="AG14096" s="14"/>
    </row>
    <row r="14097" spans="33:33">
      <c r="AG14097" s="14"/>
    </row>
    <row r="14098" spans="33:33">
      <c r="AG14098" s="14"/>
    </row>
    <row r="14099" spans="33:33">
      <c r="AG14099" s="14"/>
    </row>
    <row r="14100" spans="33:33">
      <c r="AG14100" s="14"/>
    </row>
    <row r="14101" spans="33:33">
      <c r="AG14101" s="14"/>
    </row>
    <row r="14102" spans="33:33">
      <c r="AG14102" s="14"/>
    </row>
    <row r="14103" spans="33:33">
      <c r="AG14103" s="14"/>
    </row>
    <row r="14104" spans="33:33">
      <c r="AG14104" s="14"/>
    </row>
    <row r="14105" spans="33:33">
      <c r="AG14105" s="14"/>
    </row>
    <row r="14106" spans="33:33">
      <c r="AG14106" s="14"/>
    </row>
    <row r="14107" spans="33:33">
      <c r="AG14107" s="14"/>
    </row>
    <row r="14108" spans="33:33">
      <c r="AG14108" s="14"/>
    </row>
    <row r="14109" spans="33:33">
      <c r="AG14109" s="14"/>
    </row>
    <row r="14110" spans="33:33">
      <c r="AG14110" s="14"/>
    </row>
    <row r="14111" spans="33:33">
      <c r="AG14111" s="14"/>
    </row>
    <row r="14112" spans="33:33">
      <c r="AG14112" s="14"/>
    </row>
    <row r="14113" spans="33:33">
      <c r="AG14113" s="14"/>
    </row>
    <row r="14114" spans="33:33">
      <c r="AG14114" s="14"/>
    </row>
    <row r="14115" spans="33:33">
      <c r="AG14115" s="14"/>
    </row>
    <row r="14116" spans="33:33">
      <c r="AG14116" s="14"/>
    </row>
    <row r="14117" spans="33:33">
      <c r="AG14117" s="14"/>
    </row>
    <row r="14118" spans="33:33">
      <c r="AG14118" s="14"/>
    </row>
    <row r="14119" spans="33:33">
      <c r="AG14119" s="14"/>
    </row>
    <row r="14120" spans="33:33">
      <c r="AG14120" s="14"/>
    </row>
    <row r="14121" spans="33:33">
      <c r="AG14121" s="14"/>
    </row>
    <row r="14122" spans="33:33">
      <c r="AG14122" s="14"/>
    </row>
    <row r="14123" spans="33:33">
      <c r="AG14123" s="14"/>
    </row>
    <row r="14124" spans="33:33">
      <c r="AG14124" s="14"/>
    </row>
    <row r="14125" spans="33:33">
      <c r="AG14125" s="14"/>
    </row>
    <row r="14126" spans="33:33">
      <c r="AG14126" s="14"/>
    </row>
    <row r="14127" spans="33:33">
      <c r="AG14127" s="14"/>
    </row>
    <row r="14128" spans="33:33">
      <c r="AG14128" s="14"/>
    </row>
    <row r="14129" spans="33:33">
      <c r="AG14129" s="14"/>
    </row>
    <row r="14130" spans="33:33">
      <c r="AG14130" s="14"/>
    </row>
    <row r="14131" spans="33:33">
      <c r="AG14131" s="14"/>
    </row>
    <row r="14132" spans="33:33">
      <c r="AG14132" s="14"/>
    </row>
    <row r="14133" spans="33:33">
      <c r="AG14133" s="14"/>
    </row>
    <row r="14134" spans="33:33">
      <c r="AG14134" s="14"/>
    </row>
    <row r="14135" spans="33:33">
      <c r="AG14135" s="14"/>
    </row>
    <row r="14136" spans="33:33">
      <c r="AG14136" s="14"/>
    </row>
    <row r="14137" spans="33:33">
      <c r="AG14137" s="14"/>
    </row>
    <row r="14138" spans="33:33">
      <c r="AG14138" s="14"/>
    </row>
    <row r="14139" spans="33:33">
      <c r="AG14139" s="14"/>
    </row>
    <row r="14140" spans="33:33">
      <c r="AG14140" s="14"/>
    </row>
    <row r="14141" spans="33:33">
      <c r="AG14141" s="14"/>
    </row>
    <row r="14142" spans="33:33">
      <c r="AG14142" s="14"/>
    </row>
    <row r="14143" spans="33:33">
      <c r="AG14143" s="14"/>
    </row>
    <row r="14144" spans="33:33">
      <c r="AG14144" s="14"/>
    </row>
    <row r="14145" spans="33:33">
      <c r="AG14145" s="14"/>
    </row>
    <row r="14146" spans="33:33">
      <c r="AG14146" s="14"/>
    </row>
    <row r="14147" spans="33:33">
      <c r="AG14147" s="14"/>
    </row>
    <row r="14148" spans="33:33">
      <c r="AG14148" s="14"/>
    </row>
    <row r="14149" spans="33:33">
      <c r="AG14149" s="14"/>
    </row>
    <row r="14150" spans="33:33">
      <c r="AG14150" s="14"/>
    </row>
    <row r="14151" spans="33:33">
      <c r="AG14151" s="14"/>
    </row>
    <row r="14152" spans="33:33">
      <c r="AG14152" s="14"/>
    </row>
    <row r="14153" spans="33:33">
      <c r="AG14153" s="14"/>
    </row>
    <row r="14154" spans="33:33">
      <c r="AG14154" s="14"/>
    </row>
    <row r="14155" spans="33:33">
      <c r="AG14155" s="14"/>
    </row>
    <row r="14156" spans="33:33">
      <c r="AG14156" s="14"/>
    </row>
    <row r="14157" spans="33:33">
      <c r="AG14157" s="14"/>
    </row>
    <row r="14158" spans="33:33">
      <c r="AG14158" s="14"/>
    </row>
    <row r="14159" spans="33:33">
      <c r="AG14159" s="14"/>
    </row>
    <row r="14160" spans="33:33">
      <c r="AG14160" s="14"/>
    </row>
    <row r="14161" spans="33:33">
      <c r="AG14161" s="14"/>
    </row>
    <row r="14162" spans="33:33">
      <c r="AG14162" s="14"/>
    </row>
    <row r="14163" spans="33:33">
      <c r="AG14163" s="14"/>
    </row>
    <row r="14164" spans="33:33">
      <c r="AG14164" s="14"/>
    </row>
    <row r="14165" spans="33:33">
      <c r="AG14165" s="14"/>
    </row>
    <row r="14166" spans="33:33">
      <c r="AG14166" s="14"/>
    </row>
    <row r="14167" spans="33:33">
      <c r="AG14167" s="14"/>
    </row>
    <row r="14168" spans="33:33">
      <c r="AG14168" s="14"/>
    </row>
    <row r="14169" spans="33:33">
      <c r="AG14169" s="14"/>
    </row>
    <row r="14170" spans="33:33">
      <c r="AG14170" s="14"/>
    </row>
    <row r="14171" spans="33:33">
      <c r="AG14171" s="14"/>
    </row>
    <row r="14172" spans="33:33">
      <c r="AG14172" s="14"/>
    </row>
    <row r="14173" spans="33:33">
      <c r="AG14173" s="14"/>
    </row>
    <row r="14174" spans="33:33">
      <c r="AG14174" s="14"/>
    </row>
    <row r="14175" spans="33:33">
      <c r="AG14175" s="14"/>
    </row>
    <row r="14176" spans="33:33">
      <c r="AG14176" s="14"/>
    </row>
    <row r="14177" spans="33:33">
      <c r="AG14177" s="14"/>
    </row>
    <row r="14178" spans="33:33">
      <c r="AG14178" s="14"/>
    </row>
    <row r="14179" spans="33:33">
      <c r="AG14179" s="14"/>
    </row>
    <row r="14180" spans="33:33">
      <c r="AG14180" s="14"/>
    </row>
    <row r="14181" spans="33:33">
      <c r="AG14181" s="14"/>
    </row>
    <row r="14182" spans="33:33">
      <c r="AG14182" s="14"/>
    </row>
    <row r="14183" spans="33:33">
      <c r="AG14183" s="14"/>
    </row>
    <row r="14184" spans="33:33">
      <c r="AG14184" s="14"/>
    </row>
    <row r="14185" spans="33:33">
      <c r="AG14185" s="14"/>
    </row>
    <row r="14186" spans="33:33">
      <c r="AG14186" s="14"/>
    </row>
    <row r="14187" spans="33:33">
      <c r="AG14187" s="14"/>
    </row>
    <row r="14188" spans="33:33">
      <c r="AG14188" s="14"/>
    </row>
    <row r="14189" spans="33:33">
      <c r="AG14189" s="14"/>
    </row>
    <row r="14190" spans="33:33">
      <c r="AG14190" s="14"/>
    </row>
    <row r="14191" spans="33:33">
      <c r="AG14191" s="14"/>
    </row>
    <row r="14192" spans="33:33">
      <c r="AG14192" s="14"/>
    </row>
    <row r="14193" spans="33:33">
      <c r="AG14193" s="14"/>
    </row>
    <row r="14194" spans="33:33">
      <c r="AG14194" s="14"/>
    </row>
    <row r="14195" spans="33:33">
      <c r="AG14195" s="14"/>
    </row>
    <row r="14196" spans="33:33">
      <c r="AG14196" s="14"/>
    </row>
    <row r="14197" spans="33:33">
      <c r="AG14197" s="14"/>
    </row>
    <row r="14198" spans="33:33">
      <c r="AG14198" s="14"/>
    </row>
    <row r="14199" spans="33:33">
      <c r="AG14199" s="14"/>
    </row>
    <row r="14200" spans="33:33">
      <c r="AG14200" s="14"/>
    </row>
    <row r="14201" spans="33:33">
      <c r="AG14201" s="14"/>
    </row>
    <row r="14202" spans="33:33">
      <c r="AG14202" s="14"/>
    </row>
    <row r="14203" spans="33:33">
      <c r="AG14203" s="14"/>
    </row>
    <row r="14204" spans="33:33">
      <c r="AG14204" s="14"/>
    </row>
    <row r="14205" spans="33:33">
      <c r="AG14205" s="14"/>
    </row>
    <row r="14206" spans="33:33">
      <c r="AG14206" s="14"/>
    </row>
    <row r="14207" spans="33:33">
      <c r="AG14207" s="14"/>
    </row>
    <row r="14208" spans="33:33">
      <c r="AG14208" s="14"/>
    </row>
    <row r="14209" spans="33:33">
      <c r="AG14209" s="14"/>
    </row>
    <row r="14210" spans="33:33">
      <c r="AG14210" s="14"/>
    </row>
    <row r="14211" spans="33:33">
      <c r="AG14211" s="14"/>
    </row>
    <row r="14212" spans="33:33">
      <c r="AG14212" s="14"/>
    </row>
    <row r="14213" spans="33:33">
      <c r="AG14213" s="14"/>
    </row>
    <row r="14214" spans="33:33">
      <c r="AG14214" s="14"/>
    </row>
    <row r="14215" spans="33:33">
      <c r="AG14215" s="14"/>
    </row>
    <row r="14216" spans="33:33">
      <c r="AG14216" s="14"/>
    </row>
    <row r="14217" spans="33:33">
      <c r="AG14217" s="14"/>
    </row>
    <row r="14218" spans="33:33">
      <c r="AG14218" s="14"/>
    </row>
    <row r="14219" spans="33:33">
      <c r="AG14219" s="14"/>
    </row>
    <row r="14220" spans="33:33">
      <c r="AG14220" s="14"/>
    </row>
    <row r="14221" spans="33:33">
      <c r="AG14221" s="14"/>
    </row>
    <row r="14222" spans="33:33">
      <c r="AG14222" s="14"/>
    </row>
    <row r="14223" spans="33:33">
      <c r="AG14223" s="14"/>
    </row>
    <row r="14224" spans="33:33">
      <c r="AG14224" s="14"/>
    </row>
    <row r="14225" spans="33:33">
      <c r="AG14225" s="14"/>
    </row>
    <row r="14226" spans="33:33">
      <c r="AG14226" s="14"/>
    </row>
    <row r="14227" spans="33:33">
      <c r="AG14227" s="14"/>
    </row>
    <row r="14228" spans="33:33">
      <c r="AG14228" s="14"/>
    </row>
    <row r="14229" spans="33:33">
      <c r="AG14229" s="14"/>
    </row>
    <row r="14230" spans="33:33">
      <c r="AG14230" s="14"/>
    </row>
    <row r="14231" spans="33:33">
      <c r="AG14231" s="14"/>
    </row>
    <row r="14232" spans="33:33">
      <c r="AG14232" s="14"/>
    </row>
    <row r="14233" spans="33:33">
      <c r="AG14233" s="14"/>
    </row>
    <row r="14234" spans="33:33">
      <c r="AG14234" s="14"/>
    </row>
    <row r="14235" spans="33:33">
      <c r="AG14235" s="14"/>
    </row>
    <row r="14236" spans="33:33">
      <c r="AG14236" s="14"/>
    </row>
    <row r="14237" spans="33:33">
      <c r="AG14237" s="14"/>
    </row>
    <row r="14238" spans="33:33">
      <c r="AG14238" s="14"/>
    </row>
    <row r="14239" spans="33:33">
      <c r="AG14239" s="14"/>
    </row>
    <row r="14240" spans="33:33">
      <c r="AG14240" s="14"/>
    </row>
    <row r="14241" spans="33:33">
      <c r="AG14241" s="14"/>
    </row>
    <row r="14242" spans="33:33">
      <c r="AG14242" s="14"/>
    </row>
    <row r="14243" spans="33:33">
      <c r="AG14243" s="14"/>
    </row>
    <row r="14244" spans="33:33">
      <c r="AG14244" s="14"/>
    </row>
    <row r="14245" spans="33:33">
      <c r="AG14245" s="14"/>
    </row>
    <row r="14246" spans="33:33">
      <c r="AG14246" s="14"/>
    </row>
    <row r="14247" spans="33:33">
      <c r="AG14247" s="14"/>
    </row>
    <row r="14248" spans="33:33">
      <c r="AG14248" s="14"/>
    </row>
    <row r="14249" spans="33:33">
      <c r="AG14249" s="14"/>
    </row>
    <row r="14250" spans="33:33">
      <c r="AG14250" s="14"/>
    </row>
    <row r="14251" spans="33:33">
      <c r="AG14251" s="14"/>
    </row>
    <row r="14252" spans="33:33">
      <c r="AG14252" s="14"/>
    </row>
    <row r="14253" spans="33:33">
      <c r="AG14253" s="14"/>
    </row>
    <row r="14254" spans="33:33">
      <c r="AG14254" s="14"/>
    </row>
    <row r="14255" spans="33:33">
      <c r="AG14255" s="14"/>
    </row>
    <row r="14256" spans="33:33">
      <c r="AG14256" s="14"/>
    </row>
    <row r="14257" spans="33:33">
      <c r="AG14257" s="14"/>
    </row>
    <row r="14258" spans="33:33">
      <c r="AG14258" s="14"/>
    </row>
    <row r="14259" spans="33:33">
      <c r="AG14259" s="14"/>
    </row>
    <row r="14260" spans="33:33">
      <c r="AG14260" s="14"/>
    </row>
    <row r="14261" spans="33:33">
      <c r="AG14261" s="14"/>
    </row>
    <row r="14262" spans="33:33">
      <c r="AG14262" s="14"/>
    </row>
    <row r="14263" spans="33:33">
      <c r="AG14263" s="14"/>
    </row>
    <row r="14264" spans="33:33">
      <c r="AG14264" s="14"/>
    </row>
    <row r="14265" spans="33:33">
      <c r="AG14265" s="14"/>
    </row>
    <row r="14266" spans="33:33">
      <c r="AG14266" s="14"/>
    </row>
    <row r="14267" spans="33:33">
      <c r="AG14267" s="14"/>
    </row>
    <row r="14268" spans="33:33">
      <c r="AG14268" s="14"/>
    </row>
    <row r="14269" spans="33:33">
      <c r="AG14269" s="14"/>
    </row>
    <row r="14270" spans="33:33">
      <c r="AG14270" s="14"/>
    </row>
    <row r="14271" spans="33:33">
      <c r="AG14271" s="14"/>
    </row>
    <row r="14272" spans="33:33">
      <c r="AG14272" s="14"/>
    </row>
    <row r="14273" spans="33:33">
      <c r="AG14273" s="14"/>
    </row>
    <row r="14274" spans="33:33">
      <c r="AG14274" s="14"/>
    </row>
    <row r="14275" spans="33:33">
      <c r="AG14275" s="14"/>
    </row>
    <row r="14276" spans="33:33">
      <c r="AG14276" s="14"/>
    </row>
    <row r="14277" spans="33:33">
      <c r="AG14277" s="14"/>
    </row>
    <row r="14278" spans="33:33">
      <c r="AG14278" s="14"/>
    </row>
    <row r="14279" spans="33:33">
      <c r="AG14279" s="14"/>
    </row>
    <row r="14280" spans="33:33">
      <c r="AG14280" s="14"/>
    </row>
    <row r="14281" spans="33:33">
      <c r="AG14281" s="14"/>
    </row>
    <row r="14282" spans="33:33">
      <c r="AG14282" s="14"/>
    </row>
    <row r="14283" spans="33:33">
      <c r="AG14283" s="14"/>
    </row>
    <row r="14284" spans="33:33">
      <c r="AG14284" s="14"/>
    </row>
    <row r="14285" spans="33:33">
      <c r="AG14285" s="14"/>
    </row>
    <row r="14286" spans="33:33">
      <c r="AG14286" s="14"/>
    </row>
    <row r="14287" spans="33:33">
      <c r="AG14287" s="14"/>
    </row>
    <row r="14288" spans="33:33">
      <c r="AG14288" s="14"/>
    </row>
    <row r="14289" spans="33:33">
      <c r="AG14289" s="14"/>
    </row>
    <row r="14290" spans="33:33">
      <c r="AG14290" s="14"/>
    </row>
    <row r="14291" spans="33:33">
      <c r="AG14291" s="14"/>
    </row>
    <row r="14292" spans="33:33">
      <c r="AG14292" s="14"/>
    </row>
    <row r="14293" spans="33:33">
      <c r="AG14293" s="14"/>
    </row>
    <row r="14294" spans="33:33">
      <c r="AG14294" s="14"/>
    </row>
    <row r="14295" spans="33:33">
      <c r="AG14295" s="14"/>
    </row>
    <row r="14296" spans="33:33">
      <c r="AG14296" s="14"/>
    </row>
    <row r="14297" spans="33:33">
      <c r="AG14297" s="14"/>
    </row>
    <row r="14298" spans="33:33">
      <c r="AG14298" s="14"/>
    </row>
    <row r="14299" spans="33:33">
      <c r="AG14299" s="14"/>
    </row>
    <row r="14300" spans="33:33">
      <c r="AG14300" s="14"/>
    </row>
    <row r="14301" spans="33:33">
      <c r="AG14301" s="14"/>
    </row>
    <row r="14302" spans="33:33">
      <c r="AG14302" s="14"/>
    </row>
    <row r="14303" spans="33:33">
      <c r="AG14303" s="14"/>
    </row>
    <row r="14304" spans="33:33">
      <c r="AG14304" s="14"/>
    </row>
    <row r="14305" spans="33:33">
      <c r="AG14305" s="14"/>
    </row>
    <row r="14306" spans="33:33">
      <c r="AG14306" s="14"/>
    </row>
    <row r="14307" spans="33:33">
      <c r="AG14307" s="14"/>
    </row>
    <row r="14308" spans="33:33">
      <c r="AG14308" s="14"/>
    </row>
    <row r="14309" spans="33:33">
      <c r="AG14309" s="14"/>
    </row>
    <row r="14310" spans="33:33">
      <c r="AG14310" s="14"/>
    </row>
    <row r="14311" spans="33:33">
      <c r="AG14311" s="14"/>
    </row>
    <row r="14312" spans="33:33">
      <c r="AG14312" s="14"/>
    </row>
    <row r="14313" spans="33:33">
      <c r="AG14313" s="14"/>
    </row>
    <row r="14314" spans="33:33">
      <c r="AG14314" s="14"/>
    </row>
    <row r="14315" spans="33:33">
      <c r="AG14315" s="14"/>
    </row>
    <row r="14316" spans="33:33">
      <c r="AG14316" s="14"/>
    </row>
    <row r="14317" spans="33:33">
      <c r="AG14317" s="14"/>
    </row>
    <row r="14318" spans="33:33">
      <c r="AG14318" s="14"/>
    </row>
    <row r="14319" spans="33:33">
      <c r="AG14319" s="14"/>
    </row>
    <row r="14320" spans="33:33">
      <c r="AG14320" s="14"/>
    </row>
    <row r="14321" spans="33:33">
      <c r="AG14321" s="14"/>
    </row>
    <row r="14322" spans="33:33">
      <c r="AG14322" s="14"/>
    </row>
    <row r="14323" spans="33:33">
      <c r="AG14323" s="14"/>
    </row>
    <row r="14324" spans="33:33">
      <c r="AG14324" s="14"/>
    </row>
    <row r="14325" spans="33:33">
      <c r="AG14325" s="14"/>
    </row>
    <row r="14326" spans="33:33">
      <c r="AG14326" s="14"/>
    </row>
    <row r="14327" spans="33:33">
      <c r="AG14327" s="14"/>
    </row>
    <row r="14328" spans="33:33">
      <c r="AG14328" s="14"/>
    </row>
    <row r="14329" spans="33:33">
      <c r="AG14329" s="14"/>
    </row>
    <row r="14330" spans="33:33">
      <c r="AG14330" s="14"/>
    </row>
    <row r="14331" spans="33:33">
      <c r="AG14331" s="14"/>
    </row>
    <row r="14332" spans="33:33">
      <c r="AG14332" s="14"/>
    </row>
    <row r="14333" spans="33:33">
      <c r="AG14333" s="14"/>
    </row>
    <row r="14334" spans="33:33">
      <c r="AG14334" s="14"/>
    </row>
    <row r="14335" spans="33:33">
      <c r="AG14335" s="14"/>
    </row>
    <row r="14336" spans="33:33">
      <c r="AG14336" s="14"/>
    </row>
    <row r="14337" spans="33:33">
      <c r="AG14337" s="14"/>
    </row>
    <row r="14338" spans="33:33">
      <c r="AG14338" s="14"/>
    </row>
    <row r="14339" spans="33:33">
      <c r="AG14339" s="14"/>
    </row>
    <row r="14340" spans="33:33">
      <c r="AG14340" s="14"/>
    </row>
    <row r="14341" spans="33:33">
      <c r="AG14341" s="14"/>
    </row>
    <row r="14342" spans="33:33">
      <c r="AG14342" s="14"/>
    </row>
    <row r="14343" spans="33:33">
      <c r="AG14343" s="14"/>
    </row>
    <row r="14344" spans="33:33">
      <c r="AG14344" s="14"/>
    </row>
    <row r="14345" spans="33:33">
      <c r="AG14345" s="14"/>
    </row>
    <row r="14346" spans="33:33">
      <c r="AG14346" s="14"/>
    </row>
    <row r="14347" spans="33:33">
      <c r="AG14347" s="14"/>
    </row>
    <row r="14348" spans="33:33">
      <c r="AG14348" s="14"/>
    </row>
    <row r="14349" spans="33:33">
      <c r="AG14349" s="14"/>
    </row>
    <row r="14350" spans="33:33">
      <c r="AG14350" s="14"/>
    </row>
    <row r="14351" spans="33:33">
      <c r="AG14351" s="14"/>
    </row>
    <row r="14352" spans="33:33">
      <c r="AG14352" s="14"/>
    </row>
    <row r="14353" spans="33:33">
      <c r="AG14353" s="14"/>
    </row>
    <row r="14354" spans="33:33">
      <c r="AG14354" s="14"/>
    </row>
    <row r="14355" spans="33:33">
      <c r="AG14355" s="14"/>
    </row>
    <row r="14356" spans="33:33">
      <c r="AG14356" s="14"/>
    </row>
    <row r="14357" spans="33:33">
      <c r="AG14357" s="14"/>
    </row>
    <row r="14358" spans="33:33">
      <c r="AG14358" s="14"/>
    </row>
    <row r="14359" spans="33:33">
      <c r="AG14359" s="14"/>
    </row>
    <row r="14360" spans="33:33">
      <c r="AG14360" s="14"/>
    </row>
    <row r="14361" spans="33:33">
      <c r="AG14361" s="14"/>
    </row>
    <row r="14362" spans="33:33">
      <c r="AG14362" s="14"/>
    </row>
    <row r="14363" spans="33:33">
      <c r="AG14363" s="14"/>
    </row>
    <row r="14364" spans="33:33">
      <c r="AG14364" s="14"/>
    </row>
    <row r="14365" spans="33:33">
      <c r="AG14365" s="14"/>
    </row>
    <row r="14366" spans="33:33">
      <c r="AG14366" s="14"/>
    </row>
    <row r="14367" spans="33:33">
      <c r="AG14367" s="14"/>
    </row>
    <row r="14368" spans="33:33">
      <c r="AG14368" s="14"/>
    </row>
    <row r="14369" spans="33:33">
      <c r="AG14369" s="14"/>
    </row>
    <row r="14370" spans="33:33">
      <c r="AG14370" s="14"/>
    </row>
    <row r="14371" spans="33:33">
      <c r="AG14371" s="14"/>
    </row>
    <row r="14372" spans="33:33">
      <c r="AG14372" s="14"/>
    </row>
    <row r="14373" spans="33:33">
      <c r="AG14373" s="14"/>
    </row>
    <row r="14374" spans="33:33">
      <c r="AG14374" s="14"/>
    </row>
    <row r="14375" spans="33:33">
      <c r="AG14375" s="14"/>
    </row>
    <row r="14376" spans="33:33">
      <c r="AG14376" s="14"/>
    </row>
    <row r="14377" spans="33:33">
      <c r="AG14377" s="14"/>
    </row>
    <row r="14378" spans="33:33">
      <c r="AG14378" s="14"/>
    </row>
    <row r="14379" spans="33:33">
      <c r="AG14379" s="14"/>
    </row>
    <row r="14380" spans="33:33">
      <c r="AG14380" s="14"/>
    </row>
    <row r="14381" spans="33:33">
      <c r="AG14381" s="14"/>
    </row>
    <row r="14382" spans="33:33">
      <c r="AG14382" s="14"/>
    </row>
    <row r="14383" spans="33:33">
      <c r="AG14383" s="14"/>
    </row>
    <row r="14384" spans="33:33">
      <c r="AG14384" s="14"/>
    </row>
    <row r="14385" spans="33:33">
      <c r="AG14385" s="14"/>
    </row>
    <row r="14386" spans="33:33">
      <c r="AG14386" s="14"/>
    </row>
    <row r="14387" spans="33:33">
      <c r="AG14387" s="14"/>
    </row>
    <row r="14388" spans="33:33">
      <c r="AG14388" s="14"/>
    </row>
    <row r="14389" spans="33:33">
      <c r="AG14389" s="14"/>
    </row>
    <row r="14390" spans="33:33">
      <c r="AG14390" s="14"/>
    </row>
    <row r="14391" spans="33:33">
      <c r="AG14391" s="14"/>
    </row>
    <row r="14392" spans="33:33">
      <c r="AG14392" s="14"/>
    </row>
    <row r="14393" spans="33:33">
      <c r="AG14393" s="14"/>
    </row>
    <row r="14394" spans="33:33">
      <c r="AG14394" s="14"/>
    </row>
    <row r="14395" spans="33:33">
      <c r="AG14395" s="14"/>
    </row>
    <row r="14396" spans="33:33">
      <c r="AG14396" s="14"/>
    </row>
    <row r="14397" spans="33:33">
      <c r="AG14397" s="14"/>
    </row>
    <row r="14398" spans="33:33">
      <c r="AG14398" s="14"/>
    </row>
    <row r="14399" spans="33:33">
      <c r="AG14399" s="14"/>
    </row>
    <row r="14400" spans="33:33">
      <c r="AG14400" s="14"/>
    </row>
    <row r="14401" spans="33:33">
      <c r="AG14401" s="14"/>
    </row>
    <row r="14402" spans="33:33">
      <c r="AG14402" s="14"/>
    </row>
    <row r="14403" spans="33:33">
      <c r="AG14403" s="14"/>
    </row>
    <row r="14404" spans="33:33">
      <c r="AG14404" s="14"/>
    </row>
    <row r="14405" spans="33:33">
      <c r="AG14405" s="14"/>
    </row>
    <row r="14406" spans="33:33">
      <c r="AG14406" s="14"/>
    </row>
    <row r="14407" spans="33:33">
      <c r="AG14407" s="14"/>
    </row>
    <row r="14408" spans="33:33">
      <c r="AG14408" s="14"/>
    </row>
    <row r="14409" spans="33:33">
      <c r="AG14409" s="14"/>
    </row>
    <row r="14410" spans="33:33">
      <c r="AG14410" s="14"/>
    </row>
    <row r="14411" spans="33:33">
      <c r="AG14411" s="14"/>
    </row>
    <row r="14412" spans="33:33">
      <c r="AG14412" s="14"/>
    </row>
    <row r="14413" spans="33:33">
      <c r="AG14413" s="14"/>
    </row>
    <row r="14414" spans="33:33">
      <c r="AG14414" s="14"/>
    </row>
    <row r="14415" spans="33:33">
      <c r="AG14415" s="14"/>
    </row>
    <row r="14416" spans="33:33">
      <c r="AG14416" s="14"/>
    </row>
    <row r="14417" spans="33:33">
      <c r="AG14417" s="14"/>
    </row>
    <row r="14418" spans="33:33">
      <c r="AG14418" s="14"/>
    </row>
    <row r="14419" spans="33:33">
      <c r="AG14419" s="14"/>
    </row>
    <row r="14420" spans="33:33">
      <c r="AG14420" s="14"/>
    </row>
    <row r="14421" spans="33:33">
      <c r="AG14421" s="14"/>
    </row>
    <row r="14422" spans="33:33">
      <c r="AG14422" s="14"/>
    </row>
    <row r="14423" spans="33:33">
      <c r="AG14423" s="14"/>
    </row>
    <row r="14424" spans="33:33">
      <c r="AG14424" s="14"/>
    </row>
    <row r="14425" spans="33:33">
      <c r="AG14425" s="14"/>
    </row>
    <row r="14426" spans="33:33">
      <c r="AG14426" s="14"/>
    </row>
    <row r="14427" spans="33:33">
      <c r="AG14427" s="14"/>
    </row>
    <row r="14428" spans="33:33">
      <c r="AG14428" s="14"/>
    </row>
    <row r="14429" spans="33:33">
      <c r="AG14429" s="14"/>
    </row>
    <row r="14430" spans="33:33">
      <c r="AG14430" s="14"/>
    </row>
    <row r="14431" spans="33:33">
      <c r="AG14431" s="14"/>
    </row>
    <row r="14432" spans="33:33">
      <c r="AG14432" s="14"/>
    </row>
    <row r="14433" spans="33:33">
      <c r="AG14433" s="14"/>
    </row>
    <row r="14434" spans="33:33">
      <c r="AG14434" s="14"/>
    </row>
    <row r="14435" spans="33:33">
      <c r="AG14435" s="14"/>
    </row>
    <row r="14436" spans="33:33">
      <c r="AG14436" s="14"/>
    </row>
    <row r="14437" spans="33:33">
      <c r="AG14437" s="14"/>
    </row>
    <row r="14438" spans="33:33">
      <c r="AG14438" s="14"/>
    </row>
    <row r="14439" spans="33:33">
      <c r="AG14439" s="14"/>
    </row>
    <row r="14440" spans="33:33">
      <c r="AG14440" s="14"/>
    </row>
    <row r="14441" spans="33:33">
      <c r="AG14441" s="14"/>
    </row>
    <row r="14442" spans="33:33">
      <c r="AG14442" s="14"/>
    </row>
    <row r="14443" spans="33:33">
      <c r="AG14443" s="14"/>
    </row>
    <row r="14444" spans="33:33">
      <c r="AG14444" s="14"/>
    </row>
    <row r="14445" spans="33:33">
      <c r="AG14445" s="14"/>
    </row>
    <row r="14446" spans="33:33">
      <c r="AG14446" s="14"/>
    </row>
    <row r="14447" spans="33:33">
      <c r="AG14447" s="14"/>
    </row>
    <row r="14448" spans="33:33">
      <c r="AG14448" s="14"/>
    </row>
    <row r="14449" spans="33:33">
      <c r="AG14449" s="14"/>
    </row>
    <row r="14450" spans="33:33">
      <c r="AG14450" s="14"/>
    </row>
    <row r="14451" spans="33:33">
      <c r="AG14451" s="14"/>
    </row>
    <row r="14452" spans="33:33">
      <c r="AG14452" s="14"/>
    </row>
    <row r="14453" spans="33:33">
      <c r="AG14453" s="14"/>
    </row>
    <row r="14454" spans="33:33">
      <c r="AG14454" s="14"/>
    </row>
    <row r="14455" spans="33:33">
      <c r="AG14455" s="14"/>
    </row>
    <row r="14456" spans="33:33">
      <c r="AG14456" s="14"/>
    </row>
    <row r="14457" spans="33:33">
      <c r="AG14457" s="14"/>
    </row>
    <row r="14458" spans="33:33">
      <c r="AG14458" s="14"/>
    </row>
    <row r="14459" spans="33:33">
      <c r="AG14459" s="14"/>
    </row>
    <row r="14460" spans="33:33">
      <c r="AG14460" s="14"/>
    </row>
    <row r="14461" spans="33:33">
      <c r="AG14461" s="14"/>
    </row>
    <row r="14462" spans="33:33">
      <c r="AG14462" s="14"/>
    </row>
    <row r="14463" spans="33:33">
      <c r="AG14463" s="14"/>
    </row>
    <row r="14464" spans="33:33">
      <c r="AG14464" s="14"/>
    </row>
    <row r="14465" spans="33:33">
      <c r="AG14465" s="14"/>
    </row>
    <row r="14466" spans="33:33">
      <c r="AG14466" s="14"/>
    </row>
    <row r="14467" spans="33:33">
      <c r="AG14467" s="14"/>
    </row>
    <row r="14468" spans="33:33">
      <c r="AG14468" s="14"/>
    </row>
    <row r="14469" spans="33:33">
      <c r="AG14469" s="14"/>
    </row>
    <row r="14470" spans="33:33">
      <c r="AG14470" s="14"/>
    </row>
    <row r="14471" spans="33:33">
      <c r="AG14471" s="14"/>
    </row>
    <row r="14472" spans="33:33">
      <c r="AG14472" s="14"/>
    </row>
    <row r="14473" spans="33:33">
      <c r="AG14473" s="14"/>
    </row>
    <row r="14474" spans="33:33">
      <c r="AG14474" s="14"/>
    </row>
    <row r="14475" spans="33:33">
      <c r="AG14475" s="14"/>
    </row>
    <row r="14476" spans="33:33">
      <c r="AG14476" s="14"/>
    </row>
    <row r="14477" spans="33:33">
      <c r="AG14477" s="14"/>
    </row>
    <row r="14478" spans="33:33">
      <c r="AG14478" s="14"/>
    </row>
    <row r="14479" spans="33:33">
      <c r="AG14479" s="14"/>
    </row>
    <row r="14480" spans="33:33">
      <c r="AG14480" s="14"/>
    </row>
    <row r="14481" spans="33:33">
      <c r="AG14481" s="14"/>
    </row>
    <row r="14482" spans="33:33">
      <c r="AG14482" s="14"/>
    </row>
    <row r="14483" spans="33:33">
      <c r="AG14483" s="14"/>
    </row>
    <row r="14484" spans="33:33">
      <c r="AG14484" s="14"/>
    </row>
    <row r="14485" spans="33:33">
      <c r="AG14485" s="14"/>
    </row>
    <row r="14486" spans="33:33">
      <c r="AG14486" s="14"/>
    </row>
    <row r="14487" spans="33:33">
      <c r="AG14487" s="14"/>
    </row>
    <row r="14488" spans="33:33">
      <c r="AG14488" s="14"/>
    </row>
    <row r="14489" spans="33:33">
      <c r="AG14489" s="14"/>
    </row>
    <row r="14490" spans="33:33">
      <c r="AG14490" s="14"/>
    </row>
    <row r="14491" spans="33:33">
      <c r="AG14491" s="14"/>
    </row>
    <row r="14492" spans="33:33">
      <c r="AG14492" s="14"/>
    </row>
    <row r="14493" spans="33:33">
      <c r="AG14493" s="14"/>
    </row>
    <row r="14494" spans="33:33">
      <c r="AG14494" s="14"/>
    </row>
    <row r="14495" spans="33:33">
      <c r="AG14495" s="14"/>
    </row>
    <row r="14496" spans="33:33">
      <c r="AG14496" s="14"/>
    </row>
    <row r="14497" spans="33:33">
      <c r="AG14497" s="14"/>
    </row>
    <row r="14498" spans="33:33">
      <c r="AG14498" s="14"/>
    </row>
    <row r="14499" spans="33:33">
      <c r="AG14499" s="14"/>
    </row>
    <row r="14500" spans="33:33">
      <c r="AG14500" s="14"/>
    </row>
    <row r="14501" spans="33:33">
      <c r="AG14501" s="14"/>
    </row>
    <row r="14502" spans="33:33">
      <c r="AG14502" s="14"/>
    </row>
    <row r="14503" spans="33:33">
      <c r="AG14503" s="14"/>
    </row>
    <row r="14504" spans="33:33">
      <c r="AG14504" s="14"/>
    </row>
    <row r="14505" spans="33:33">
      <c r="AG14505" s="14"/>
    </row>
    <row r="14506" spans="33:33">
      <c r="AG14506" s="14"/>
    </row>
    <row r="14507" spans="33:33">
      <c r="AG14507" s="14"/>
    </row>
    <row r="14508" spans="33:33">
      <c r="AG14508" s="14"/>
    </row>
    <row r="14509" spans="33:33">
      <c r="AG14509" s="14"/>
    </row>
    <row r="14510" spans="33:33">
      <c r="AG14510" s="14"/>
    </row>
    <row r="14511" spans="33:33">
      <c r="AG14511" s="14"/>
    </row>
    <row r="14512" spans="33:33">
      <c r="AG14512" s="14"/>
    </row>
    <row r="14513" spans="33:33">
      <c r="AG14513" s="14"/>
    </row>
    <row r="14514" spans="33:33">
      <c r="AG14514" s="14"/>
    </row>
    <row r="14515" spans="33:33">
      <c r="AG14515" s="14"/>
    </row>
    <row r="14516" spans="33:33">
      <c r="AG14516" s="14"/>
    </row>
    <row r="14517" spans="33:33">
      <c r="AG14517" s="14"/>
    </row>
    <row r="14518" spans="33:33">
      <c r="AG14518" s="14"/>
    </row>
    <row r="14519" spans="33:33">
      <c r="AG14519" s="14"/>
    </row>
    <row r="14520" spans="33:33">
      <c r="AG14520" s="14"/>
    </row>
    <row r="14521" spans="33:33">
      <c r="AG14521" s="14"/>
    </row>
    <row r="14522" spans="33:33">
      <c r="AG14522" s="14"/>
    </row>
    <row r="14523" spans="33:33">
      <c r="AG14523" s="14"/>
    </row>
    <row r="14524" spans="33:33">
      <c r="AG14524" s="14"/>
    </row>
    <row r="14525" spans="33:33">
      <c r="AG14525" s="14"/>
    </row>
    <row r="14526" spans="33:33">
      <c r="AG14526" s="14"/>
    </row>
    <row r="14527" spans="33:33">
      <c r="AG14527" s="14"/>
    </row>
    <row r="14528" spans="33:33">
      <c r="AG14528" s="14"/>
    </row>
    <row r="14529" spans="33:33">
      <c r="AG14529" s="14"/>
    </row>
    <row r="14530" spans="33:33">
      <c r="AG14530" s="14"/>
    </row>
    <row r="14531" spans="33:33">
      <c r="AG14531" s="14"/>
    </row>
    <row r="14532" spans="33:33">
      <c r="AG14532" s="14"/>
    </row>
    <row r="14533" spans="33:33">
      <c r="AG14533" s="14"/>
    </row>
    <row r="14534" spans="33:33">
      <c r="AG14534" s="14"/>
    </row>
    <row r="14535" spans="33:33">
      <c r="AG14535" s="14"/>
    </row>
    <row r="14536" spans="33:33">
      <c r="AG14536" s="14"/>
    </row>
    <row r="14537" spans="33:33">
      <c r="AG14537" s="14"/>
    </row>
    <row r="14538" spans="33:33">
      <c r="AG14538" s="14"/>
    </row>
    <row r="14539" spans="33:33">
      <c r="AG14539" s="14"/>
    </row>
    <row r="14540" spans="33:33">
      <c r="AG14540" s="14"/>
    </row>
    <row r="14541" spans="33:33">
      <c r="AG14541" s="14"/>
    </row>
    <row r="14542" spans="33:33">
      <c r="AG14542" s="14"/>
    </row>
    <row r="14543" spans="33:33">
      <c r="AG14543" s="14"/>
    </row>
    <row r="14544" spans="33:33">
      <c r="AG14544" s="14"/>
    </row>
    <row r="14545" spans="33:33">
      <c r="AG14545" s="14"/>
    </row>
    <row r="14546" spans="33:33">
      <c r="AG14546" s="14"/>
    </row>
    <row r="14547" spans="33:33">
      <c r="AG14547" s="14"/>
    </row>
    <row r="14548" spans="33:33">
      <c r="AG14548" s="14"/>
    </row>
    <row r="14549" spans="33:33">
      <c r="AG14549" s="14"/>
    </row>
    <row r="14550" spans="33:33">
      <c r="AG14550" s="14"/>
    </row>
    <row r="14551" spans="33:33">
      <c r="AG14551" s="14"/>
    </row>
    <row r="14552" spans="33:33">
      <c r="AG14552" s="14"/>
    </row>
    <row r="14553" spans="33:33">
      <c r="AG14553" s="14"/>
    </row>
    <row r="14554" spans="33:33">
      <c r="AG14554" s="14"/>
    </row>
    <row r="14555" spans="33:33">
      <c r="AG14555" s="14"/>
    </row>
    <row r="14556" spans="33:33">
      <c r="AG14556" s="14"/>
    </row>
    <row r="14557" spans="33:33">
      <c r="AG14557" s="14"/>
    </row>
    <row r="14558" spans="33:33">
      <c r="AG14558" s="14"/>
    </row>
    <row r="14559" spans="33:33">
      <c r="AG14559" s="14"/>
    </row>
    <row r="14560" spans="33:33">
      <c r="AG14560" s="14"/>
    </row>
    <row r="14561" spans="33:33">
      <c r="AG14561" s="14"/>
    </row>
    <row r="14562" spans="33:33">
      <c r="AG14562" s="14"/>
    </row>
    <row r="14563" spans="33:33">
      <c r="AG14563" s="14"/>
    </row>
    <row r="14564" spans="33:33">
      <c r="AG14564" s="14"/>
    </row>
    <row r="14565" spans="33:33">
      <c r="AG14565" s="14"/>
    </row>
    <row r="14566" spans="33:33">
      <c r="AG14566" s="14"/>
    </row>
    <row r="14567" spans="33:33">
      <c r="AG14567" s="14"/>
    </row>
    <row r="14568" spans="33:33">
      <c r="AG14568" s="14"/>
    </row>
    <row r="14569" spans="33:33">
      <c r="AG14569" s="14"/>
    </row>
    <row r="14570" spans="33:33">
      <c r="AG14570" s="14"/>
    </row>
    <row r="14571" spans="33:33">
      <c r="AG14571" s="14"/>
    </row>
    <row r="14572" spans="33:33">
      <c r="AG14572" s="14"/>
    </row>
    <row r="14573" spans="33:33">
      <c r="AG14573" s="14"/>
    </row>
    <row r="14574" spans="33:33">
      <c r="AG14574" s="14"/>
    </row>
    <row r="14575" spans="33:33">
      <c r="AG14575" s="14"/>
    </row>
    <row r="14576" spans="33:33">
      <c r="AG14576" s="14"/>
    </row>
    <row r="14577" spans="33:33">
      <c r="AG14577" s="14"/>
    </row>
    <row r="14578" spans="33:33">
      <c r="AG14578" s="14"/>
    </row>
    <row r="14579" spans="33:33">
      <c r="AG14579" s="14"/>
    </row>
    <row r="14580" spans="33:33">
      <c r="AG14580" s="14"/>
    </row>
    <row r="14581" spans="33:33">
      <c r="AG14581" s="14"/>
    </row>
    <row r="14582" spans="33:33">
      <c r="AG14582" s="14"/>
    </row>
    <row r="14583" spans="33:33">
      <c r="AG14583" s="14"/>
    </row>
    <row r="14584" spans="33:33">
      <c r="AG14584" s="14"/>
    </row>
    <row r="14585" spans="33:33">
      <c r="AG14585" s="14"/>
    </row>
    <row r="14586" spans="33:33">
      <c r="AG14586" s="14"/>
    </row>
    <row r="14587" spans="33:33">
      <c r="AG14587" s="14"/>
    </row>
    <row r="14588" spans="33:33">
      <c r="AG14588" s="14"/>
    </row>
    <row r="14589" spans="33:33">
      <c r="AG14589" s="14"/>
    </row>
    <row r="14590" spans="33:33">
      <c r="AG14590" s="14"/>
    </row>
    <row r="14591" spans="33:33">
      <c r="AG14591" s="14"/>
    </row>
    <row r="14592" spans="33:33">
      <c r="AG14592" s="14"/>
    </row>
    <row r="14593" spans="33:33">
      <c r="AG14593" s="14"/>
    </row>
    <row r="14594" spans="33:33">
      <c r="AG14594" s="14"/>
    </row>
    <row r="14595" spans="33:33">
      <c r="AG14595" s="14"/>
    </row>
    <row r="14596" spans="33:33">
      <c r="AG14596" s="14"/>
    </row>
    <row r="14597" spans="33:33">
      <c r="AG14597" s="14"/>
    </row>
    <row r="14598" spans="33:33">
      <c r="AG14598" s="14"/>
    </row>
    <row r="14599" spans="33:33">
      <c r="AG14599" s="14"/>
    </row>
    <row r="14600" spans="33:33">
      <c r="AG14600" s="14"/>
    </row>
    <row r="14601" spans="33:33">
      <c r="AG14601" s="14"/>
    </row>
    <row r="14602" spans="33:33">
      <c r="AG14602" s="14"/>
    </row>
    <row r="14603" spans="33:33">
      <c r="AG14603" s="14"/>
    </row>
    <row r="14604" spans="33:33">
      <c r="AG14604" s="14"/>
    </row>
    <row r="14605" spans="33:33">
      <c r="AG14605" s="14"/>
    </row>
    <row r="14606" spans="33:33">
      <c r="AG14606" s="14"/>
    </row>
    <row r="14607" spans="33:33">
      <c r="AG14607" s="14"/>
    </row>
    <row r="14608" spans="33:33">
      <c r="AG14608" s="14"/>
    </row>
    <row r="14609" spans="33:33">
      <c r="AG14609" s="14"/>
    </row>
    <row r="14610" spans="33:33">
      <c r="AG14610" s="14"/>
    </row>
    <row r="14611" spans="33:33">
      <c r="AG14611" s="14"/>
    </row>
    <row r="14612" spans="33:33">
      <c r="AG14612" s="14"/>
    </row>
    <row r="14613" spans="33:33">
      <c r="AG14613" s="14"/>
    </row>
    <row r="14614" spans="33:33">
      <c r="AG14614" s="14"/>
    </row>
    <row r="14615" spans="33:33">
      <c r="AG14615" s="14"/>
    </row>
    <row r="14616" spans="33:33">
      <c r="AG14616" s="14"/>
    </row>
    <row r="14617" spans="33:33">
      <c r="AG14617" s="14"/>
    </row>
    <row r="14618" spans="33:33">
      <c r="AG14618" s="14"/>
    </row>
    <row r="14619" spans="33:33">
      <c r="AG14619" s="14"/>
    </row>
    <row r="14620" spans="33:33">
      <c r="AG14620" s="14"/>
    </row>
    <row r="14621" spans="33:33">
      <c r="AG14621" s="14"/>
    </row>
    <row r="14622" spans="33:33">
      <c r="AG14622" s="14"/>
    </row>
    <row r="14623" spans="33:33">
      <c r="AG14623" s="14"/>
    </row>
    <row r="14624" spans="33:33">
      <c r="AG14624" s="14"/>
    </row>
    <row r="14625" spans="33:33">
      <c r="AG14625" s="14"/>
    </row>
    <row r="14626" spans="33:33">
      <c r="AG14626" s="14"/>
    </row>
    <row r="14627" spans="33:33">
      <c r="AG14627" s="14"/>
    </row>
    <row r="14628" spans="33:33">
      <c r="AG14628" s="14"/>
    </row>
    <row r="14629" spans="33:33">
      <c r="AG14629" s="14"/>
    </row>
    <row r="14630" spans="33:33">
      <c r="AG14630" s="14"/>
    </row>
    <row r="14631" spans="33:33">
      <c r="AG14631" s="14"/>
    </row>
    <row r="14632" spans="33:33">
      <c r="AG14632" s="14"/>
    </row>
    <row r="14633" spans="33:33">
      <c r="AG14633" s="14"/>
    </row>
    <row r="14634" spans="33:33">
      <c r="AG14634" s="14"/>
    </row>
    <row r="14635" spans="33:33">
      <c r="AG14635" s="14"/>
    </row>
    <row r="14636" spans="33:33">
      <c r="AG14636" s="14"/>
    </row>
    <row r="14637" spans="33:33">
      <c r="AG14637" s="14"/>
    </row>
    <row r="14638" spans="33:33">
      <c r="AG14638" s="14"/>
    </row>
    <row r="14639" spans="33:33">
      <c r="AG14639" s="14"/>
    </row>
    <row r="14640" spans="33:33">
      <c r="AG14640" s="14"/>
    </row>
    <row r="14641" spans="33:33">
      <c r="AG14641" s="14"/>
    </row>
    <row r="14642" spans="33:33">
      <c r="AG14642" s="14"/>
    </row>
    <row r="14643" spans="33:33">
      <c r="AG14643" s="14"/>
    </row>
    <row r="14644" spans="33:33">
      <c r="AG14644" s="14"/>
    </row>
    <row r="14645" spans="33:33">
      <c r="AG14645" s="14"/>
    </row>
    <row r="14646" spans="33:33">
      <c r="AG14646" s="14"/>
    </row>
    <row r="14647" spans="33:33">
      <c r="AG14647" s="14"/>
    </row>
    <row r="14648" spans="33:33">
      <c r="AG14648" s="14"/>
    </row>
    <row r="14649" spans="33:33">
      <c r="AG14649" s="14"/>
    </row>
    <row r="14650" spans="33:33">
      <c r="AG14650" s="14"/>
    </row>
    <row r="14651" spans="33:33">
      <c r="AG14651" s="14"/>
    </row>
    <row r="14652" spans="33:33">
      <c r="AG14652" s="14"/>
    </row>
    <row r="14653" spans="33:33">
      <c r="AG14653" s="14"/>
    </row>
    <row r="14654" spans="33:33">
      <c r="AG14654" s="14"/>
    </row>
    <row r="14655" spans="33:33">
      <c r="AG14655" s="14"/>
    </row>
    <row r="14656" spans="33:33">
      <c r="AG14656" s="14"/>
    </row>
    <row r="14657" spans="33:33">
      <c r="AG14657" s="14"/>
    </row>
    <row r="14658" spans="33:33">
      <c r="AG14658" s="14"/>
    </row>
    <row r="14659" spans="33:33">
      <c r="AG14659" s="14"/>
    </row>
    <row r="14660" spans="33:33">
      <c r="AG14660" s="14"/>
    </row>
    <row r="14661" spans="33:33">
      <c r="AG14661" s="14"/>
    </row>
    <row r="14662" spans="33:33">
      <c r="AG14662" s="14"/>
    </row>
    <row r="14663" spans="33:33">
      <c r="AG14663" s="14"/>
    </row>
    <row r="14664" spans="33:33">
      <c r="AG14664" s="14"/>
    </row>
    <row r="14665" spans="33:33">
      <c r="AG14665" s="14"/>
    </row>
    <row r="14666" spans="33:33">
      <c r="AG14666" s="14"/>
    </row>
    <row r="14667" spans="33:33">
      <c r="AG14667" s="14"/>
    </row>
    <row r="14668" spans="33:33">
      <c r="AG14668" s="14"/>
    </row>
    <row r="14669" spans="33:33">
      <c r="AG14669" s="14"/>
    </row>
    <row r="14670" spans="33:33">
      <c r="AG14670" s="14"/>
    </row>
    <row r="14671" spans="33:33">
      <c r="AG14671" s="14"/>
    </row>
    <row r="14672" spans="33:33">
      <c r="AG14672" s="14"/>
    </row>
    <row r="14673" spans="33:33">
      <c r="AG14673" s="14"/>
    </row>
    <row r="14674" spans="33:33">
      <c r="AG14674" s="14"/>
    </row>
    <row r="14675" spans="33:33">
      <c r="AG14675" s="14"/>
    </row>
    <row r="14676" spans="33:33">
      <c r="AG14676" s="14"/>
    </row>
    <row r="14677" spans="33:33">
      <c r="AG14677" s="14"/>
    </row>
    <row r="14678" spans="33:33">
      <c r="AG14678" s="14"/>
    </row>
    <row r="14679" spans="33:33">
      <c r="AG14679" s="14"/>
    </row>
    <row r="14680" spans="33:33">
      <c r="AG14680" s="14"/>
    </row>
    <row r="14681" spans="33:33">
      <c r="AG14681" s="14"/>
    </row>
    <row r="14682" spans="33:33">
      <c r="AG14682" s="14"/>
    </row>
    <row r="14683" spans="33:33">
      <c r="AG14683" s="14"/>
    </row>
    <row r="14684" spans="33:33">
      <c r="AG14684" s="14"/>
    </row>
    <row r="14685" spans="33:33">
      <c r="AG14685" s="14"/>
    </row>
    <row r="14686" spans="33:33">
      <c r="AG14686" s="14"/>
    </row>
    <row r="14687" spans="33:33">
      <c r="AG14687" s="14"/>
    </row>
    <row r="14688" spans="33:33">
      <c r="AG14688" s="14"/>
    </row>
    <row r="14689" spans="33:33">
      <c r="AG14689" s="14"/>
    </row>
    <row r="14690" spans="33:33">
      <c r="AG14690" s="14"/>
    </row>
    <row r="14691" spans="33:33">
      <c r="AG14691" s="14"/>
    </row>
    <row r="14692" spans="33:33">
      <c r="AG14692" s="14"/>
    </row>
    <row r="14693" spans="33:33">
      <c r="AG14693" s="14"/>
    </row>
    <row r="14694" spans="33:33">
      <c r="AG14694" s="14"/>
    </row>
    <row r="14695" spans="33:33">
      <c r="AG14695" s="14"/>
    </row>
    <row r="14696" spans="33:33">
      <c r="AG14696" s="14"/>
    </row>
    <row r="14697" spans="33:33">
      <c r="AG14697" s="14"/>
    </row>
    <row r="14698" spans="33:33">
      <c r="AG14698" s="14"/>
    </row>
    <row r="14699" spans="33:33">
      <c r="AG14699" s="14"/>
    </row>
    <row r="14700" spans="33:33">
      <c r="AG14700" s="14"/>
    </row>
    <row r="14701" spans="33:33">
      <c r="AG14701" s="14"/>
    </row>
    <row r="14702" spans="33:33">
      <c r="AG14702" s="14"/>
    </row>
    <row r="14703" spans="33:33">
      <c r="AG14703" s="14"/>
    </row>
    <row r="14704" spans="33:33">
      <c r="AG14704" s="14"/>
    </row>
    <row r="14705" spans="33:33">
      <c r="AG14705" s="14"/>
    </row>
    <row r="14706" spans="33:33">
      <c r="AG14706" s="14"/>
    </row>
    <row r="14707" spans="33:33">
      <c r="AG14707" s="14"/>
    </row>
    <row r="14708" spans="33:33">
      <c r="AG14708" s="14"/>
    </row>
    <row r="14709" spans="33:33">
      <c r="AG14709" s="14"/>
    </row>
    <row r="14710" spans="33:33">
      <c r="AG14710" s="14"/>
    </row>
    <row r="14711" spans="33:33">
      <c r="AG14711" s="14"/>
    </row>
    <row r="14712" spans="33:33">
      <c r="AG14712" s="14"/>
    </row>
    <row r="14713" spans="33:33">
      <c r="AG14713" s="14"/>
    </row>
    <row r="14714" spans="33:33">
      <c r="AG14714" s="14"/>
    </row>
    <row r="14715" spans="33:33">
      <c r="AG14715" s="14"/>
    </row>
    <row r="14716" spans="33:33">
      <c r="AG14716" s="14"/>
    </row>
    <row r="14717" spans="33:33">
      <c r="AG14717" s="14"/>
    </row>
    <row r="14718" spans="33:33">
      <c r="AG14718" s="14"/>
    </row>
    <row r="14719" spans="33:33">
      <c r="AG14719" s="14"/>
    </row>
    <row r="14720" spans="33:33">
      <c r="AG14720" s="14"/>
    </row>
    <row r="14721" spans="33:33">
      <c r="AG14721" s="14"/>
    </row>
    <row r="14722" spans="33:33">
      <c r="AG14722" s="14"/>
    </row>
    <row r="14723" spans="33:33">
      <c r="AG14723" s="14"/>
    </row>
    <row r="14724" spans="33:33">
      <c r="AG14724" s="14"/>
    </row>
    <row r="14725" spans="33:33">
      <c r="AG14725" s="14"/>
    </row>
    <row r="14726" spans="33:33">
      <c r="AG14726" s="14"/>
    </row>
    <row r="14727" spans="33:33">
      <c r="AG14727" s="14"/>
    </row>
    <row r="14728" spans="33:33">
      <c r="AG14728" s="14"/>
    </row>
    <row r="14729" spans="33:33">
      <c r="AG14729" s="14"/>
    </row>
    <row r="14730" spans="33:33">
      <c r="AG14730" s="14"/>
    </row>
    <row r="14731" spans="33:33">
      <c r="AG14731" s="14"/>
    </row>
    <row r="14732" spans="33:33">
      <c r="AG14732" s="14"/>
    </row>
    <row r="14733" spans="33:33">
      <c r="AG14733" s="14"/>
    </row>
    <row r="14734" spans="33:33">
      <c r="AG14734" s="14"/>
    </row>
    <row r="14735" spans="33:33">
      <c r="AG14735" s="14"/>
    </row>
    <row r="14736" spans="33:33">
      <c r="AG14736" s="14"/>
    </row>
    <row r="14737" spans="33:33">
      <c r="AG14737" s="14"/>
    </row>
    <row r="14738" spans="33:33">
      <c r="AG14738" s="14"/>
    </row>
    <row r="14739" spans="33:33">
      <c r="AG14739" s="14"/>
    </row>
    <row r="14740" spans="33:33">
      <c r="AG14740" s="14"/>
    </row>
    <row r="14741" spans="33:33">
      <c r="AG14741" s="14"/>
    </row>
    <row r="14742" spans="33:33">
      <c r="AG14742" s="14"/>
    </row>
    <row r="14743" spans="33:33">
      <c r="AG14743" s="14"/>
    </row>
    <row r="14744" spans="33:33">
      <c r="AG14744" s="14"/>
    </row>
    <row r="14745" spans="33:33">
      <c r="AG14745" s="14"/>
    </row>
    <row r="14746" spans="33:33">
      <c r="AG14746" s="14"/>
    </row>
    <row r="14747" spans="33:33">
      <c r="AG14747" s="14"/>
    </row>
    <row r="14748" spans="33:33">
      <c r="AG14748" s="14"/>
    </row>
    <row r="14749" spans="33:33">
      <c r="AG14749" s="14"/>
    </row>
    <row r="14750" spans="33:33">
      <c r="AG14750" s="14"/>
    </row>
    <row r="14751" spans="33:33">
      <c r="AG14751" s="14"/>
    </row>
    <row r="14752" spans="33:33">
      <c r="AG14752" s="14"/>
    </row>
    <row r="14753" spans="33:33">
      <c r="AG14753" s="14"/>
    </row>
    <row r="14754" spans="33:33">
      <c r="AG14754" s="14"/>
    </row>
    <row r="14755" spans="33:33">
      <c r="AG14755" s="14"/>
    </row>
    <row r="14756" spans="33:33">
      <c r="AG14756" s="14"/>
    </row>
    <row r="14757" spans="33:33">
      <c r="AG14757" s="14"/>
    </row>
    <row r="14758" spans="33:33">
      <c r="AG14758" s="14"/>
    </row>
    <row r="14759" spans="33:33">
      <c r="AG14759" s="14"/>
    </row>
    <row r="14760" spans="33:33">
      <c r="AG14760" s="14"/>
    </row>
    <row r="14761" spans="33:33">
      <c r="AG14761" s="14"/>
    </row>
    <row r="14762" spans="33:33">
      <c r="AG14762" s="14"/>
    </row>
    <row r="14763" spans="33:33">
      <c r="AG14763" s="14"/>
    </row>
    <row r="14764" spans="33:33">
      <c r="AG14764" s="14"/>
    </row>
    <row r="14765" spans="33:33">
      <c r="AG14765" s="14"/>
    </row>
    <row r="14766" spans="33:33">
      <c r="AG14766" s="14"/>
    </row>
    <row r="14767" spans="33:33">
      <c r="AG14767" s="14"/>
    </row>
    <row r="14768" spans="33:33">
      <c r="AG14768" s="14"/>
    </row>
    <row r="14769" spans="33:33">
      <c r="AG14769" s="14"/>
    </row>
    <row r="14770" spans="33:33">
      <c r="AG14770" s="14"/>
    </row>
    <row r="14771" spans="33:33">
      <c r="AG14771" s="14"/>
    </row>
    <row r="14772" spans="33:33">
      <c r="AG14772" s="14"/>
    </row>
    <row r="14773" spans="33:33">
      <c r="AG14773" s="14"/>
    </row>
    <row r="14774" spans="33:33">
      <c r="AG14774" s="14"/>
    </row>
    <row r="14775" spans="33:33">
      <c r="AG14775" s="14"/>
    </row>
    <row r="14776" spans="33:33">
      <c r="AG14776" s="14"/>
    </row>
    <row r="14777" spans="33:33">
      <c r="AG14777" s="14"/>
    </row>
    <row r="14778" spans="33:33">
      <c r="AG14778" s="14"/>
    </row>
    <row r="14779" spans="33:33">
      <c r="AG14779" s="14"/>
    </row>
    <row r="14780" spans="33:33">
      <c r="AG14780" s="14"/>
    </row>
    <row r="14781" spans="33:33">
      <c r="AG14781" s="14"/>
    </row>
    <row r="14782" spans="33:33">
      <c r="AG14782" s="14"/>
    </row>
    <row r="14783" spans="33:33">
      <c r="AG14783" s="14"/>
    </row>
    <row r="14784" spans="33:33">
      <c r="AG14784" s="14"/>
    </row>
    <row r="14785" spans="33:33">
      <c r="AG14785" s="14"/>
    </row>
    <row r="14786" spans="33:33">
      <c r="AG14786" s="14"/>
    </row>
    <row r="14787" spans="33:33">
      <c r="AG14787" s="14"/>
    </row>
    <row r="14788" spans="33:33">
      <c r="AG14788" s="14"/>
    </row>
    <row r="14789" spans="33:33">
      <c r="AG14789" s="14"/>
    </row>
    <row r="14790" spans="33:33">
      <c r="AG14790" s="14"/>
    </row>
    <row r="14791" spans="33:33">
      <c r="AG14791" s="14"/>
    </row>
    <row r="14792" spans="33:33">
      <c r="AG14792" s="14"/>
    </row>
    <row r="14793" spans="33:33">
      <c r="AG14793" s="14"/>
    </row>
    <row r="14794" spans="33:33">
      <c r="AG14794" s="14"/>
    </row>
    <row r="14795" spans="33:33">
      <c r="AG14795" s="14"/>
    </row>
    <row r="14796" spans="33:33">
      <c r="AG14796" s="14"/>
    </row>
    <row r="14797" spans="33:33">
      <c r="AG14797" s="14"/>
    </row>
    <row r="14798" spans="33:33">
      <c r="AG14798" s="14"/>
    </row>
    <row r="14799" spans="33:33">
      <c r="AG14799" s="14"/>
    </row>
    <row r="14800" spans="33:33">
      <c r="AG14800" s="14"/>
    </row>
    <row r="14801" spans="33:33">
      <c r="AG14801" s="14"/>
    </row>
    <row r="14802" spans="33:33">
      <c r="AG14802" s="14"/>
    </row>
    <row r="14803" spans="33:33">
      <c r="AG14803" s="14"/>
    </row>
    <row r="14804" spans="33:33">
      <c r="AG14804" s="14"/>
    </row>
    <row r="14805" spans="33:33">
      <c r="AG14805" s="14"/>
    </row>
    <row r="14806" spans="33:33">
      <c r="AG14806" s="14"/>
    </row>
    <row r="14807" spans="33:33">
      <c r="AG14807" s="14"/>
    </row>
    <row r="14808" spans="33:33">
      <c r="AG14808" s="14"/>
    </row>
    <row r="14809" spans="33:33">
      <c r="AG14809" s="14"/>
    </row>
    <row r="14810" spans="33:33">
      <c r="AG14810" s="14"/>
    </row>
    <row r="14811" spans="33:33">
      <c r="AG14811" s="14"/>
    </row>
    <row r="14812" spans="33:33">
      <c r="AG14812" s="14"/>
    </row>
    <row r="14813" spans="33:33">
      <c r="AG14813" s="14"/>
    </row>
    <row r="14814" spans="33:33">
      <c r="AG14814" s="14"/>
    </row>
    <row r="14815" spans="33:33">
      <c r="AG14815" s="14"/>
    </row>
    <row r="14816" spans="33:33">
      <c r="AG14816" s="14"/>
    </row>
    <row r="14817" spans="33:33">
      <c r="AG14817" s="14"/>
    </row>
    <row r="14818" spans="33:33">
      <c r="AG14818" s="14"/>
    </row>
    <row r="14819" spans="33:33">
      <c r="AG14819" s="14"/>
    </row>
    <row r="14820" spans="33:33">
      <c r="AG14820" s="14"/>
    </row>
    <row r="14821" spans="33:33">
      <c r="AG14821" s="14"/>
    </row>
    <row r="14822" spans="33:33">
      <c r="AG14822" s="14"/>
    </row>
    <row r="14823" spans="33:33">
      <c r="AG14823" s="14"/>
    </row>
    <row r="14824" spans="33:33">
      <c r="AG14824" s="14"/>
    </row>
    <row r="14825" spans="33:33">
      <c r="AG14825" s="14"/>
    </row>
    <row r="14826" spans="33:33">
      <c r="AG14826" s="14"/>
    </row>
    <row r="14827" spans="33:33">
      <c r="AG14827" s="14"/>
    </row>
    <row r="14828" spans="33:33">
      <c r="AG14828" s="14"/>
    </row>
    <row r="14829" spans="33:33">
      <c r="AG14829" s="14"/>
    </row>
    <row r="14830" spans="33:33">
      <c r="AG14830" s="14"/>
    </row>
    <row r="14831" spans="33:33">
      <c r="AG14831" s="14"/>
    </row>
    <row r="14832" spans="33:33">
      <c r="AG14832" s="14"/>
    </row>
    <row r="14833" spans="33:33">
      <c r="AG14833" s="14"/>
    </row>
    <row r="14834" spans="33:33">
      <c r="AG14834" s="14"/>
    </row>
    <row r="14835" spans="33:33">
      <c r="AG14835" s="14"/>
    </row>
    <row r="14836" spans="33:33">
      <c r="AG14836" s="14"/>
    </row>
    <row r="14837" spans="33:33">
      <c r="AG14837" s="14"/>
    </row>
    <row r="14838" spans="33:33">
      <c r="AG14838" s="14"/>
    </row>
    <row r="14839" spans="33:33">
      <c r="AG14839" s="14"/>
    </row>
    <row r="14840" spans="33:33">
      <c r="AG14840" s="14"/>
    </row>
    <row r="14841" spans="33:33">
      <c r="AG14841" s="14"/>
    </row>
    <row r="14842" spans="33:33">
      <c r="AG14842" s="14"/>
    </row>
    <row r="14843" spans="33:33">
      <c r="AG14843" s="14"/>
    </row>
    <row r="14844" spans="33:33">
      <c r="AG14844" s="14"/>
    </row>
    <row r="14845" spans="33:33">
      <c r="AG14845" s="14"/>
    </row>
    <row r="14846" spans="33:33">
      <c r="AG14846" s="14"/>
    </row>
    <row r="14847" spans="33:33">
      <c r="AG14847" s="14"/>
    </row>
    <row r="14848" spans="33:33">
      <c r="AG14848" s="14"/>
    </row>
    <row r="14849" spans="33:33">
      <c r="AG14849" s="14"/>
    </row>
    <row r="14850" spans="33:33">
      <c r="AG14850" s="14"/>
    </row>
    <row r="14851" spans="33:33">
      <c r="AG14851" s="14"/>
    </row>
    <row r="14852" spans="33:33">
      <c r="AG14852" s="14"/>
    </row>
    <row r="14853" spans="33:33">
      <c r="AG14853" s="14"/>
    </row>
    <row r="14854" spans="33:33">
      <c r="AG14854" s="14"/>
    </row>
    <row r="14855" spans="33:33">
      <c r="AG14855" s="14"/>
    </row>
    <row r="14856" spans="33:33">
      <c r="AG14856" s="14"/>
    </row>
    <row r="14857" spans="33:33">
      <c r="AG14857" s="14"/>
    </row>
    <row r="14858" spans="33:33">
      <c r="AG14858" s="14"/>
    </row>
    <row r="14859" spans="33:33">
      <c r="AG14859" s="14"/>
    </row>
    <row r="14860" spans="33:33">
      <c r="AG14860" s="14"/>
    </row>
    <row r="14861" spans="33:33">
      <c r="AG14861" s="14"/>
    </row>
    <row r="14862" spans="33:33">
      <c r="AG14862" s="14"/>
    </row>
    <row r="14863" spans="33:33">
      <c r="AG14863" s="14"/>
    </row>
    <row r="14864" spans="33:33">
      <c r="AG14864" s="14"/>
    </row>
    <row r="14865" spans="33:33">
      <c r="AG14865" s="14"/>
    </row>
    <row r="14866" spans="33:33">
      <c r="AG14866" s="14"/>
    </row>
    <row r="14867" spans="33:33">
      <c r="AG14867" s="14"/>
    </row>
    <row r="14868" spans="33:33">
      <c r="AG14868" s="14"/>
    </row>
    <row r="14869" spans="33:33">
      <c r="AG14869" s="14"/>
    </row>
    <row r="14870" spans="33:33">
      <c r="AG14870" s="14"/>
    </row>
    <row r="14871" spans="33:33">
      <c r="AG14871" s="14"/>
    </row>
    <row r="14872" spans="33:33">
      <c r="AG14872" s="14"/>
    </row>
    <row r="14873" spans="33:33">
      <c r="AG14873" s="14"/>
    </row>
    <row r="14874" spans="33:33">
      <c r="AG14874" s="14"/>
    </row>
    <row r="14875" spans="33:33">
      <c r="AG14875" s="14"/>
    </row>
    <row r="14876" spans="33:33">
      <c r="AG14876" s="14"/>
    </row>
    <row r="14877" spans="33:33">
      <c r="AG14877" s="14"/>
    </row>
    <row r="14878" spans="33:33">
      <c r="AG14878" s="14"/>
    </row>
    <row r="14879" spans="33:33">
      <c r="AG14879" s="14"/>
    </row>
    <row r="14880" spans="33:33">
      <c r="AG14880" s="14"/>
    </row>
    <row r="14881" spans="33:33">
      <c r="AG14881" s="14"/>
    </row>
    <row r="14882" spans="33:33">
      <c r="AG14882" s="14"/>
    </row>
    <row r="14883" spans="33:33">
      <c r="AG14883" s="14"/>
    </row>
    <row r="14884" spans="33:33">
      <c r="AG14884" s="14"/>
    </row>
    <row r="14885" spans="33:33">
      <c r="AG14885" s="14"/>
    </row>
    <row r="14886" spans="33:33">
      <c r="AG14886" s="14"/>
    </row>
    <row r="14887" spans="33:33">
      <c r="AG14887" s="14"/>
    </row>
    <row r="14888" spans="33:33">
      <c r="AG14888" s="14"/>
    </row>
    <row r="14889" spans="33:33">
      <c r="AG14889" s="14"/>
    </row>
    <row r="14890" spans="33:33">
      <c r="AG14890" s="14"/>
    </row>
    <row r="14891" spans="33:33">
      <c r="AG14891" s="14"/>
    </row>
    <row r="14892" spans="33:33">
      <c r="AG14892" s="14"/>
    </row>
    <row r="14893" spans="33:33">
      <c r="AG14893" s="14"/>
    </row>
    <row r="14894" spans="33:33">
      <c r="AG14894" s="14"/>
    </row>
    <row r="14895" spans="33:33">
      <c r="AG14895" s="14"/>
    </row>
    <row r="14896" spans="33:33">
      <c r="AG14896" s="14"/>
    </row>
    <row r="14897" spans="33:33">
      <c r="AG14897" s="14"/>
    </row>
    <row r="14898" spans="33:33">
      <c r="AG14898" s="14"/>
    </row>
    <row r="14899" spans="33:33">
      <c r="AG14899" s="14"/>
    </row>
    <row r="14900" spans="33:33">
      <c r="AG14900" s="14"/>
    </row>
    <row r="14901" spans="33:33">
      <c r="AG14901" s="14"/>
    </row>
    <row r="14902" spans="33:33">
      <c r="AG14902" s="14"/>
    </row>
    <row r="14903" spans="33:33">
      <c r="AG14903" s="14"/>
    </row>
    <row r="14904" spans="33:33">
      <c r="AG14904" s="14"/>
    </row>
    <row r="14905" spans="33:33">
      <c r="AG14905" s="14"/>
    </row>
    <row r="14906" spans="33:33">
      <c r="AG14906" s="14"/>
    </row>
    <row r="14907" spans="33:33">
      <c r="AG14907" s="14"/>
    </row>
    <row r="14908" spans="33:33">
      <c r="AG14908" s="14"/>
    </row>
    <row r="14909" spans="33:33">
      <c r="AG14909" s="14"/>
    </row>
    <row r="14910" spans="33:33">
      <c r="AG14910" s="14"/>
    </row>
    <row r="14911" spans="33:33">
      <c r="AG14911" s="14"/>
    </row>
    <row r="14912" spans="33:33">
      <c r="AG14912" s="14"/>
    </row>
    <row r="14913" spans="33:33">
      <c r="AG14913" s="14"/>
    </row>
    <row r="14914" spans="33:33">
      <c r="AG14914" s="14"/>
    </row>
    <row r="14915" spans="33:33">
      <c r="AG14915" s="14"/>
    </row>
    <row r="14916" spans="33:33">
      <c r="AG14916" s="14"/>
    </row>
    <row r="14917" spans="33:33">
      <c r="AG14917" s="14"/>
    </row>
    <row r="14918" spans="33:33">
      <c r="AG14918" s="14"/>
    </row>
    <row r="14919" spans="33:33">
      <c r="AG14919" s="14"/>
    </row>
    <row r="14920" spans="33:33">
      <c r="AG14920" s="14"/>
    </row>
    <row r="14921" spans="33:33">
      <c r="AG14921" s="14"/>
    </row>
    <row r="14922" spans="33:33">
      <c r="AG14922" s="14"/>
    </row>
    <row r="14923" spans="33:33">
      <c r="AG14923" s="14"/>
    </row>
    <row r="14924" spans="33:33">
      <c r="AG14924" s="14"/>
    </row>
    <row r="14925" spans="33:33">
      <c r="AG14925" s="14"/>
    </row>
    <row r="14926" spans="33:33">
      <c r="AG14926" s="14"/>
    </row>
    <row r="14927" spans="33:33">
      <c r="AG14927" s="14"/>
    </row>
    <row r="14928" spans="33:33">
      <c r="AG14928" s="14"/>
    </row>
    <row r="14929" spans="33:33">
      <c r="AG14929" s="14"/>
    </row>
    <row r="14930" spans="33:33">
      <c r="AG14930" s="14"/>
    </row>
    <row r="14931" spans="33:33">
      <c r="AG14931" s="14"/>
    </row>
    <row r="14932" spans="33:33">
      <c r="AG14932" s="14"/>
    </row>
    <row r="14933" spans="33:33">
      <c r="AG14933" s="14"/>
    </row>
    <row r="14934" spans="33:33">
      <c r="AG14934" s="14"/>
    </row>
    <row r="14935" spans="33:33">
      <c r="AG14935" s="14"/>
    </row>
    <row r="14936" spans="33:33">
      <c r="AG14936" s="14"/>
    </row>
    <row r="14937" spans="33:33">
      <c r="AG14937" s="14"/>
    </row>
    <row r="14938" spans="33:33">
      <c r="AG14938" s="14"/>
    </row>
    <row r="14939" spans="33:33">
      <c r="AG14939" s="14"/>
    </row>
    <row r="14940" spans="33:33">
      <c r="AG14940" s="14"/>
    </row>
    <row r="14941" spans="33:33">
      <c r="AG14941" s="14"/>
    </row>
    <row r="14942" spans="33:33">
      <c r="AG14942" s="14"/>
    </row>
    <row r="14943" spans="33:33">
      <c r="AG14943" s="14"/>
    </row>
    <row r="14944" spans="33:33">
      <c r="AG14944" s="14"/>
    </row>
    <row r="14945" spans="33:33">
      <c r="AG14945" s="14"/>
    </row>
    <row r="14946" spans="33:33">
      <c r="AG14946" s="14"/>
    </row>
    <row r="14947" spans="33:33">
      <c r="AG14947" s="14"/>
    </row>
    <row r="14948" spans="33:33">
      <c r="AG14948" s="14"/>
    </row>
    <row r="14949" spans="33:33">
      <c r="AG14949" s="14"/>
    </row>
    <row r="14950" spans="33:33">
      <c r="AG14950" s="14"/>
    </row>
    <row r="14951" spans="33:33">
      <c r="AG14951" s="14"/>
    </row>
    <row r="14952" spans="33:33">
      <c r="AG14952" s="14"/>
    </row>
    <row r="14953" spans="33:33">
      <c r="AG14953" s="14"/>
    </row>
    <row r="14954" spans="33:33">
      <c r="AG14954" s="14"/>
    </row>
    <row r="14955" spans="33:33">
      <c r="AG14955" s="14"/>
    </row>
    <row r="14956" spans="33:33">
      <c r="AG14956" s="14"/>
    </row>
    <row r="14957" spans="33:33">
      <c r="AG14957" s="14"/>
    </row>
    <row r="14958" spans="33:33">
      <c r="AG14958" s="14"/>
    </row>
    <row r="14959" spans="33:33">
      <c r="AG14959" s="14"/>
    </row>
    <row r="14960" spans="33:33">
      <c r="AG14960" s="14"/>
    </row>
    <row r="14961" spans="33:33">
      <c r="AG14961" s="14"/>
    </row>
    <row r="14962" spans="33:33">
      <c r="AG14962" s="14"/>
    </row>
    <row r="14963" spans="33:33">
      <c r="AG14963" s="14"/>
    </row>
    <row r="14964" spans="33:33">
      <c r="AG14964" s="14"/>
    </row>
    <row r="14965" spans="33:33">
      <c r="AG14965" s="14"/>
    </row>
    <row r="14966" spans="33:33">
      <c r="AG14966" s="14"/>
    </row>
    <row r="14967" spans="33:33">
      <c r="AG14967" s="14"/>
    </row>
    <row r="14968" spans="33:33">
      <c r="AG14968" s="14"/>
    </row>
    <row r="14969" spans="33:33">
      <c r="AG14969" s="14"/>
    </row>
    <row r="14970" spans="33:33">
      <c r="AG14970" s="14"/>
    </row>
    <row r="14971" spans="33:33">
      <c r="AG14971" s="14"/>
    </row>
    <row r="14972" spans="33:33">
      <c r="AG14972" s="14"/>
    </row>
    <row r="14973" spans="33:33">
      <c r="AG14973" s="14"/>
    </row>
    <row r="14974" spans="33:33">
      <c r="AG14974" s="14"/>
    </row>
    <row r="14975" spans="33:33">
      <c r="AG14975" s="14"/>
    </row>
    <row r="14976" spans="33:33">
      <c r="AG14976" s="14"/>
    </row>
    <row r="14977" spans="33:33">
      <c r="AG14977" s="14"/>
    </row>
    <row r="14978" spans="33:33">
      <c r="AG14978" s="14"/>
    </row>
    <row r="14979" spans="33:33">
      <c r="AG14979" s="14"/>
    </row>
    <row r="14980" spans="33:33">
      <c r="AG14980" s="14"/>
    </row>
    <row r="14981" spans="33:33">
      <c r="AG14981" s="14"/>
    </row>
    <row r="14982" spans="33:33">
      <c r="AG14982" s="14"/>
    </row>
    <row r="14983" spans="33:33">
      <c r="AG14983" s="14"/>
    </row>
    <row r="14984" spans="33:33">
      <c r="AG14984" s="14"/>
    </row>
    <row r="14985" spans="33:33">
      <c r="AG14985" s="14"/>
    </row>
    <row r="14986" spans="33:33">
      <c r="AG14986" s="14"/>
    </row>
    <row r="14987" spans="33:33">
      <c r="AG14987" s="14"/>
    </row>
    <row r="14988" spans="33:33">
      <c r="AG14988" s="14"/>
    </row>
    <row r="14989" spans="33:33">
      <c r="AG14989" s="14"/>
    </row>
    <row r="14990" spans="33:33">
      <c r="AG14990" s="14"/>
    </row>
    <row r="14991" spans="33:33">
      <c r="AG14991" s="14"/>
    </row>
    <row r="14992" spans="33:33">
      <c r="AG14992" s="14"/>
    </row>
    <row r="14993" spans="33:33">
      <c r="AG14993" s="14"/>
    </row>
    <row r="14994" spans="33:33">
      <c r="AG14994" s="14"/>
    </row>
    <row r="14995" spans="33:33">
      <c r="AG14995" s="14"/>
    </row>
    <row r="14996" spans="33:33">
      <c r="AG14996" s="14"/>
    </row>
    <row r="14997" spans="33:33">
      <c r="AG14997" s="14"/>
    </row>
    <row r="14998" spans="33:33">
      <c r="AG14998" s="14"/>
    </row>
    <row r="14999" spans="33:33">
      <c r="AG14999" s="14"/>
    </row>
    <row r="15000" spans="33:33">
      <c r="AG15000" s="14"/>
    </row>
    <row r="15001" spans="33:33">
      <c r="AG15001" s="14"/>
    </row>
    <row r="15002" spans="33:33">
      <c r="AG15002" s="14"/>
    </row>
    <row r="15003" spans="33:33">
      <c r="AG15003" s="14"/>
    </row>
    <row r="15004" spans="33:33">
      <c r="AG15004" s="14"/>
    </row>
    <row r="15005" spans="33:33">
      <c r="AG15005" s="14"/>
    </row>
    <row r="15006" spans="33:33">
      <c r="AG15006" s="14"/>
    </row>
    <row r="15007" spans="33:33">
      <c r="AG15007" s="14"/>
    </row>
    <row r="15008" spans="33:33">
      <c r="AG15008" s="14"/>
    </row>
    <row r="15009" spans="33:33">
      <c r="AG15009" s="14"/>
    </row>
    <row r="15010" spans="33:33">
      <c r="AG15010" s="14"/>
    </row>
    <row r="15011" spans="33:33">
      <c r="AG15011" s="14"/>
    </row>
    <row r="15012" spans="33:33">
      <c r="AG15012" s="14"/>
    </row>
    <row r="15013" spans="33:33">
      <c r="AG15013" s="14"/>
    </row>
    <row r="15014" spans="33:33">
      <c r="AG15014" s="14"/>
    </row>
    <row r="15015" spans="33:33">
      <c r="AG15015" s="14"/>
    </row>
    <row r="15016" spans="33:33">
      <c r="AG15016" s="14"/>
    </row>
    <row r="15017" spans="33:33">
      <c r="AG15017" s="14"/>
    </row>
    <row r="15018" spans="33:33">
      <c r="AG15018" s="14"/>
    </row>
    <row r="15019" spans="33:33">
      <c r="AG15019" s="14"/>
    </row>
    <row r="15020" spans="33:33">
      <c r="AG15020" s="14"/>
    </row>
    <row r="15021" spans="33:33">
      <c r="AG15021" s="14"/>
    </row>
    <row r="15022" spans="33:33">
      <c r="AG15022" s="14"/>
    </row>
    <row r="15023" spans="33:33">
      <c r="AG15023" s="14"/>
    </row>
    <row r="15024" spans="33:33">
      <c r="AG15024" s="14"/>
    </row>
    <row r="15025" spans="33:33">
      <c r="AG15025" s="14"/>
    </row>
    <row r="15026" spans="33:33">
      <c r="AG15026" s="14"/>
    </row>
    <row r="15027" spans="33:33">
      <c r="AG15027" s="14"/>
    </row>
    <row r="15028" spans="33:33">
      <c r="AG15028" s="14"/>
    </row>
    <row r="15029" spans="33:33">
      <c r="AG15029" s="14"/>
    </row>
    <row r="15030" spans="33:33">
      <c r="AG15030" s="14"/>
    </row>
    <row r="15031" spans="33:33">
      <c r="AG15031" s="14"/>
    </row>
    <row r="15032" spans="33:33">
      <c r="AG15032" s="14"/>
    </row>
    <row r="15033" spans="33:33">
      <c r="AG15033" s="14"/>
    </row>
    <row r="15034" spans="33:33">
      <c r="AG15034" s="14"/>
    </row>
    <row r="15035" spans="33:33">
      <c r="AG15035" s="14"/>
    </row>
    <row r="15036" spans="33:33">
      <c r="AG15036" s="14"/>
    </row>
    <row r="15037" spans="33:33">
      <c r="AG15037" s="14"/>
    </row>
    <row r="15038" spans="33:33">
      <c r="AG15038" s="14"/>
    </row>
    <row r="15039" spans="33:33">
      <c r="AG15039" s="14"/>
    </row>
    <row r="15040" spans="33:33">
      <c r="AG15040" s="14"/>
    </row>
    <row r="15041" spans="33:33">
      <c r="AG15041" s="14"/>
    </row>
    <row r="15042" spans="33:33">
      <c r="AG15042" s="14"/>
    </row>
    <row r="15043" spans="33:33">
      <c r="AG15043" s="14"/>
    </row>
    <row r="15044" spans="33:33">
      <c r="AG15044" s="14"/>
    </row>
    <row r="15045" spans="33:33">
      <c r="AG15045" s="14"/>
    </row>
    <row r="15046" spans="33:33">
      <c r="AG15046" s="14"/>
    </row>
    <row r="15047" spans="33:33">
      <c r="AG15047" s="14"/>
    </row>
    <row r="15048" spans="33:33">
      <c r="AG15048" s="14"/>
    </row>
    <row r="15049" spans="33:33">
      <c r="AG15049" s="14"/>
    </row>
    <row r="15050" spans="33:33">
      <c r="AG15050" s="14"/>
    </row>
    <row r="15051" spans="33:33">
      <c r="AG15051" s="14"/>
    </row>
    <row r="15052" spans="33:33">
      <c r="AG15052" s="14"/>
    </row>
    <row r="15053" spans="33:33">
      <c r="AG15053" s="14"/>
    </row>
    <row r="15054" spans="33:33">
      <c r="AG15054" s="14"/>
    </row>
    <row r="15055" spans="33:33">
      <c r="AG15055" s="14"/>
    </row>
    <row r="15056" spans="33:33">
      <c r="AG15056" s="14"/>
    </row>
    <row r="15057" spans="33:33">
      <c r="AG15057" s="14"/>
    </row>
    <row r="15058" spans="33:33">
      <c r="AG15058" s="14"/>
    </row>
    <row r="15059" spans="33:33">
      <c r="AG15059" s="14"/>
    </row>
    <row r="15060" spans="33:33">
      <c r="AG15060" s="14"/>
    </row>
    <row r="15061" spans="33:33">
      <c r="AG15061" s="14"/>
    </row>
    <row r="15062" spans="33:33">
      <c r="AG15062" s="14"/>
    </row>
    <row r="15063" spans="33:33">
      <c r="AG15063" s="14"/>
    </row>
    <row r="15064" spans="33:33">
      <c r="AG15064" s="14"/>
    </row>
    <row r="15065" spans="33:33">
      <c r="AG15065" s="14"/>
    </row>
    <row r="15066" spans="33:33">
      <c r="AG15066" s="14"/>
    </row>
    <row r="15067" spans="33:33">
      <c r="AG15067" s="14"/>
    </row>
    <row r="15068" spans="33:33">
      <c r="AG15068" s="14"/>
    </row>
    <row r="15069" spans="33:33">
      <c r="AG15069" s="14"/>
    </row>
    <row r="15070" spans="33:33">
      <c r="AG15070" s="14"/>
    </row>
    <row r="15071" spans="33:33">
      <c r="AG15071" s="14"/>
    </row>
    <row r="15072" spans="33:33">
      <c r="AG15072" s="14"/>
    </row>
    <row r="15073" spans="33:33">
      <c r="AG15073" s="14"/>
    </row>
    <row r="15074" spans="33:33">
      <c r="AG15074" s="14"/>
    </row>
    <row r="15075" spans="33:33">
      <c r="AG15075" s="14"/>
    </row>
    <row r="15076" spans="33:33">
      <c r="AG15076" s="14"/>
    </row>
    <row r="15077" spans="33:33">
      <c r="AG15077" s="14"/>
    </row>
    <row r="15078" spans="33:33">
      <c r="AG15078" s="14"/>
    </row>
    <row r="15079" spans="33:33">
      <c r="AG15079" s="14"/>
    </row>
    <row r="15080" spans="33:33">
      <c r="AG15080" s="14"/>
    </row>
    <row r="15081" spans="33:33">
      <c r="AG15081" s="14"/>
    </row>
    <row r="15082" spans="33:33">
      <c r="AG15082" s="14"/>
    </row>
    <row r="15083" spans="33:33">
      <c r="AG15083" s="14"/>
    </row>
    <row r="15084" spans="33:33">
      <c r="AG15084" s="14"/>
    </row>
    <row r="15085" spans="33:33">
      <c r="AG15085" s="14"/>
    </row>
    <row r="15086" spans="33:33">
      <c r="AG15086" s="14"/>
    </row>
    <row r="15087" spans="33:33">
      <c r="AG15087" s="14"/>
    </row>
    <row r="15088" spans="33:33">
      <c r="AG15088" s="14"/>
    </row>
    <row r="15089" spans="33:33">
      <c r="AG15089" s="14"/>
    </row>
    <row r="15090" spans="33:33">
      <c r="AG15090" s="14"/>
    </row>
    <row r="15091" spans="33:33">
      <c r="AG15091" s="14"/>
    </row>
    <row r="15092" spans="33:33">
      <c r="AG15092" s="14"/>
    </row>
    <row r="15093" spans="33:33">
      <c r="AG15093" s="14"/>
    </row>
    <row r="15094" spans="33:33">
      <c r="AG15094" s="14"/>
    </row>
    <row r="15095" spans="33:33">
      <c r="AG15095" s="14"/>
    </row>
    <row r="15096" spans="33:33">
      <c r="AG15096" s="14"/>
    </row>
    <row r="15097" spans="33:33">
      <c r="AG15097" s="14"/>
    </row>
    <row r="15098" spans="33:33">
      <c r="AG15098" s="14"/>
    </row>
    <row r="15099" spans="33:33">
      <c r="AG15099" s="14"/>
    </row>
    <row r="15100" spans="33:33">
      <c r="AG15100" s="14"/>
    </row>
    <row r="15101" spans="33:33">
      <c r="AG15101" s="14"/>
    </row>
    <row r="15102" spans="33:33">
      <c r="AG15102" s="14"/>
    </row>
    <row r="15103" spans="33:33">
      <c r="AG15103" s="14"/>
    </row>
    <row r="15104" spans="33:33">
      <c r="AG15104" s="14"/>
    </row>
    <row r="15105" spans="33:33">
      <c r="AG15105" s="14"/>
    </row>
    <row r="15106" spans="33:33">
      <c r="AG15106" s="14"/>
    </row>
    <row r="15107" spans="33:33">
      <c r="AG15107" s="14"/>
    </row>
    <row r="15108" spans="33:33">
      <c r="AG15108" s="14"/>
    </row>
    <row r="15109" spans="33:33">
      <c r="AG15109" s="14"/>
    </row>
    <row r="15110" spans="33:33">
      <c r="AG15110" s="14"/>
    </row>
    <row r="15111" spans="33:33">
      <c r="AG15111" s="14"/>
    </row>
    <row r="15112" spans="33:33">
      <c r="AG15112" s="14"/>
    </row>
    <row r="15113" spans="33:33">
      <c r="AG15113" s="14"/>
    </row>
    <row r="15114" spans="33:33">
      <c r="AG15114" s="14"/>
    </row>
    <row r="15115" spans="33:33">
      <c r="AG15115" s="14"/>
    </row>
    <row r="15116" spans="33:33">
      <c r="AG15116" s="14"/>
    </row>
    <row r="15117" spans="33:33">
      <c r="AG15117" s="14"/>
    </row>
    <row r="15118" spans="33:33">
      <c r="AG15118" s="14"/>
    </row>
    <row r="15119" spans="33:33">
      <c r="AG15119" s="14"/>
    </row>
    <row r="15120" spans="33:33">
      <c r="AG15120" s="14"/>
    </row>
    <row r="15121" spans="33:33">
      <c r="AG15121" s="14"/>
    </row>
    <row r="15122" spans="33:33">
      <c r="AG15122" s="14"/>
    </row>
    <row r="15123" spans="33:33">
      <c r="AG15123" s="14"/>
    </row>
    <row r="15124" spans="33:33">
      <c r="AG15124" s="14"/>
    </row>
    <row r="15125" spans="33:33">
      <c r="AG15125" s="14"/>
    </row>
    <row r="15126" spans="33:33">
      <c r="AG15126" s="14"/>
    </row>
    <row r="15127" spans="33:33">
      <c r="AG15127" s="14"/>
    </row>
    <row r="15128" spans="33:33">
      <c r="AG15128" s="14"/>
    </row>
    <row r="15129" spans="33:33">
      <c r="AG15129" s="14"/>
    </row>
    <row r="15130" spans="33:33">
      <c r="AG15130" s="14"/>
    </row>
    <row r="15131" spans="33:33">
      <c r="AG15131" s="14"/>
    </row>
    <row r="15132" spans="33:33">
      <c r="AG15132" s="14"/>
    </row>
    <row r="15133" spans="33:33">
      <c r="AG15133" s="14"/>
    </row>
    <row r="15134" spans="33:33">
      <c r="AG15134" s="14"/>
    </row>
    <row r="15135" spans="33:33">
      <c r="AG15135" s="14"/>
    </row>
    <row r="15136" spans="33:33">
      <c r="AG15136" s="14"/>
    </row>
    <row r="15137" spans="33:33">
      <c r="AG15137" s="14"/>
    </row>
    <row r="15138" spans="33:33">
      <c r="AG15138" s="14"/>
    </row>
    <row r="15139" spans="33:33">
      <c r="AG15139" s="14"/>
    </row>
    <row r="15140" spans="33:33">
      <c r="AG15140" s="14"/>
    </row>
    <row r="15141" spans="33:33">
      <c r="AG15141" s="14"/>
    </row>
    <row r="15142" spans="33:33">
      <c r="AG15142" s="14"/>
    </row>
    <row r="15143" spans="33:33">
      <c r="AG15143" s="14"/>
    </row>
    <row r="15144" spans="33:33">
      <c r="AG15144" s="14"/>
    </row>
    <row r="15145" spans="33:33">
      <c r="AG15145" s="14"/>
    </row>
    <row r="15146" spans="33:33">
      <c r="AG15146" s="14"/>
    </row>
    <row r="15147" spans="33:33">
      <c r="AG15147" s="14"/>
    </row>
    <row r="15148" spans="33:33">
      <c r="AG15148" s="14"/>
    </row>
    <row r="15149" spans="33:33">
      <c r="AG15149" s="14"/>
    </row>
    <row r="15150" spans="33:33">
      <c r="AG15150" s="14"/>
    </row>
    <row r="15151" spans="33:33">
      <c r="AG15151" s="14"/>
    </row>
    <row r="15152" spans="33:33">
      <c r="AG15152" s="14"/>
    </row>
    <row r="15153" spans="33:33">
      <c r="AG15153" s="14"/>
    </row>
    <row r="15154" spans="33:33">
      <c r="AG15154" s="14"/>
    </row>
    <row r="15155" spans="33:33">
      <c r="AG15155" s="14"/>
    </row>
    <row r="15156" spans="33:33">
      <c r="AG15156" s="14"/>
    </row>
    <row r="15157" spans="33:33">
      <c r="AG15157" s="14"/>
    </row>
    <row r="15158" spans="33:33">
      <c r="AG15158" s="14"/>
    </row>
    <row r="15159" spans="33:33">
      <c r="AG15159" s="14"/>
    </row>
    <row r="15160" spans="33:33">
      <c r="AG15160" s="14"/>
    </row>
    <row r="15161" spans="33:33">
      <c r="AG15161" s="14"/>
    </row>
    <row r="15162" spans="33:33">
      <c r="AG15162" s="14"/>
    </row>
    <row r="15163" spans="33:33">
      <c r="AG15163" s="14"/>
    </row>
    <row r="15164" spans="33:33">
      <c r="AG15164" s="14"/>
    </row>
    <row r="15165" spans="33:33">
      <c r="AG15165" s="14"/>
    </row>
    <row r="15166" spans="33:33">
      <c r="AG15166" s="14"/>
    </row>
    <row r="15167" spans="33:33">
      <c r="AG15167" s="14"/>
    </row>
    <row r="15168" spans="33:33">
      <c r="AG15168" s="14"/>
    </row>
    <row r="15169" spans="33:33">
      <c r="AG15169" s="14"/>
    </row>
    <row r="15170" spans="33:33">
      <c r="AG15170" s="14"/>
    </row>
    <row r="15171" spans="33:33">
      <c r="AG15171" s="14"/>
    </row>
    <row r="15172" spans="33:33">
      <c r="AG15172" s="14"/>
    </row>
    <row r="15173" spans="33:33">
      <c r="AG15173" s="14"/>
    </row>
    <row r="15174" spans="33:33">
      <c r="AG15174" s="14"/>
    </row>
    <row r="15175" spans="33:33">
      <c r="AG15175" s="14"/>
    </row>
    <row r="15176" spans="33:33">
      <c r="AG15176" s="14"/>
    </row>
    <row r="15177" spans="33:33">
      <c r="AG15177" s="14"/>
    </row>
    <row r="15178" spans="33:33">
      <c r="AG15178" s="14"/>
    </row>
    <row r="15179" spans="33:33">
      <c r="AG15179" s="14"/>
    </row>
    <row r="15180" spans="33:33">
      <c r="AG15180" s="14"/>
    </row>
    <row r="15181" spans="33:33">
      <c r="AG15181" s="14"/>
    </row>
    <row r="15182" spans="33:33">
      <c r="AG15182" s="14"/>
    </row>
    <row r="15183" spans="33:33">
      <c r="AG15183" s="14"/>
    </row>
    <row r="15184" spans="33:33">
      <c r="AG15184" s="14"/>
    </row>
    <row r="15185" spans="33:33">
      <c r="AG15185" s="14"/>
    </row>
    <row r="15186" spans="33:33">
      <c r="AG15186" s="14"/>
    </row>
    <row r="15187" spans="33:33">
      <c r="AG15187" s="14"/>
    </row>
    <row r="15188" spans="33:33">
      <c r="AG15188" s="14"/>
    </row>
    <row r="15189" spans="33:33">
      <c r="AG15189" s="14"/>
    </row>
    <row r="15190" spans="33:33">
      <c r="AG15190" s="14"/>
    </row>
    <row r="15191" spans="33:33">
      <c r="AG15191" s="14"/>
    </row>
    <row r="15192" spans="33:33">
      <c r="AG15192" s="14"/>
    </row>
    <row r="15193" spans="33:33">
      <c r="AG15193" s="14"/>
    </row>
    <row r="15194" spans="33:33">
      <c r="AG15194" s="14"/>
    </row>
    <row r="15195" spans="33:33">
      <c r="AG15195" s="14"/>
    </row>
    <row r="15196" spans="33:33">
      <c r="AG15196" s="14"/>
    </row>
    <row r="15197" spans="33:33">
      <c r="AG15197" s="14"/>
    </row>
    <row r="15198" spans="33:33">
      <c r="AG15198" s="14"/>
    </row>
    <row r="15199" spans="33:33">
      <c r="AG15199" s="14"/>
    </row>
    <row r="15200" spans="33:33">
      <c r="AG15200" s="14"/>
    </row>
    <row r="15201" spans="33:33">
      <c r="AG15201" s="14"/>
    </row>
    <row r="15202" spans="33:33">
      <c r="AG15202" s="14"/>
    </row>
    <row r="15203" spans="33:33">
      <c r="AG15203" s="14"/>
    </row>
    <row r="15204" spans="33:33">
      <c r="AG15204" s="14"/>
    </row>
    <row r="15205" spans="33:33">
      <c r="AG15205" s="14"/>
    </row>
    <row r="15206" spans="33:33">
      <c r="AG15206" s="14"/>
    </row>
    <row r="15207" spans="33:33">
      <c r="AG15207" s="14"/>
    </row>
    <row r="15208" spans="33:33">
      <c r="AG15208" s="14"/>
    </row>
    <row r="15209" spans="33:33">
      <c r="AG15209" s="14"/>
    </row>
    <row r="15210" spans="33:33">
      <c r="AG15210" s="14"/>
    </row>
    <row r="15211" spans="33:33">
      <c r="AG15211" s="14"/>
    </row>
    <row r="15212" spans="33:33">
      <c r="AG15212" s="14"/>
    </row>
    <row r="15213" spans="33:33">
      <c r="AG15213" s="14"/>
    </row>
    <row r="15214" spans="33:33">
      <c r="AG15214" s="14"/>
    </row>
    <row r="15215" spans="33:33">
      <c r="AG15215" s="14"/>
    </row>
    <row r="15216" spans="33:33">
      <c r="AG15216" s="14"/>
    </row>
    <row r="15217" spans="33:33">
      <c r="AG15217" s="14"/>
    </row>
    <row r="15218" spans="33:33">
      <c r="AG15218" s="14"/>
    </row>
    <row r="15219" spans="33:33">
      <c r="AG15219" s="14"/>
    </row>
    <row r="15220" spans="33:33">
      <c r="AG15220" s="14"/>
    </row>
    <row r="15221" spans="33:33">
      <c r="AG15221" s="14"/>
    </row>
    <row r="15222" spans="33:33">
      <c r="AG15222" s="14"/>
    </row>
    <row r="15223" spans="33:33">
      <c r="AG15223" s="14"/>
    </row>
    <row r="15224" spans="33:33">
      <c r="AG15224" s="14"/>
    </row>
    <row r="15225" spans="33:33">
      <c r="AG15225" s="14"/>
    </row>
    <row r="15226" spans="33:33">
      <c r="AG15226" s="14"/>
    </row>
    <row r="15227" spans="33:33">
      <c r="AG15227" s="14"/>
    </row>
    <row r="15228" spans="33:33">
      <c r="AG15228" s="14"/>
    </row>
    <row r="15229" spans="33:33">
      <c r="AG15229" s="14"/>
    </row>
    <row r="15230" spans="33:33">
      <c r="AG15230" s="14"/>
    </row>
    <row r="15231" spans="33:33">
      <c r="AG15231" s="14"/>
    </row>
    <row r="15232" spans="33:33">
      <c r="AG15232" s="14"/>
    </row>
    <row r="15233" spans="33:33">
      <c r="AG15233" s="14"/>
    </row>
    <row r="15234" spans="33:33">
      <c r="AG15234" s="14"/>
    </row>
    <row r="15235" spans="33:33">
      <c r="AG15235" s="14"/>
    </row>
    <row r="15236" spans="33:33">
      <c r="AG15236" s="14"/>
    </row>
    <row r="15237" spans="33:33">
      <c r="AG15237" s="14"/>
    </row>
    <row r="15238" spans="33:33">
      <c r="AG15238" s="14"/>
    </row>
    <row r="15239" spans="33:33">
      <c r="AG15239" s="14"/>
    </row>
    <row r="15240" spans="33:33">
      <c r="AG15240" s="14"/>
    </row>
    <row r="15241" spans="33:33">
      <c r="AG15241" s="14"/>
    </row>
    <row r="15242" spans="33:33">
      <c r="AG15242" s="14"/>
    </row>
    <row r="15243" spans="33:33">
      <c r="AG15243" s="14"/>
    </row>
    <row r="15244" spans="33:33">
      <c r="AG15244" s="14"/>
    </row>
    <row r="15245" spans="33:33">
      <c r="AG15245" s="14"/>
    </row>
    <row r="15246" spans="33:33">
      <c r="AG15246" s="14"/>
    </row>
    <row r="15247" spans="33:33">
      <c r="AG15247" s="14"/>
    </row>
    <row r="15248" spans="33:33">
      <c r="AG15248" s="14"/>
    </row>
    <row r="15249" spans="33:33">
      <c r="AG15249" s="14"/>
    </row>
    <row r="15250" spans="33:33">
      <c r="AG15250" s="14"/>
    </row>
    <row r="15251" spans="33:33">
      <c r="AG15251" s="14"/>
    </row>
    <row r="15252" spans="33:33">
      <c r="AG15252" s="14"/>
    </row>
    <row r="15253" spans="33:33">
      <c r="AG15253" s="14"/>
    </row>
    <row r="15254" spans="33:33">
      <c r="AG15254" s="14"/>
    </row>
    <row r="15255" spans="33:33">
      <c r="AG15255" s="14"/>
    </row>
    <row r="15256" spans="33:33">
      <c r="AG15256" s="14"/>
    </row>
    <row r="15257" spans="33:33">
      <c r="AG15257" s="14"/>
    </row>
    <row r="15258" spans="33:33">
      <c r="AG15258" s="14"/>
    </row>
    <row r="15259" spans="33:33">
      <c r="AG15259" s="14"/>
    </row>
    <row r="15260" spans="33:33">
      <c r="AG15260" s="14"/>
    </row>
    <row r="15261" spans="33:33">
      <c r="AG15261" s="14"/>
    </row>
    <row r="15262" spans="33:33">
      <c r="AG15262" s="14"/>
    </row>
    <row r="15263" spans="33:33">
      <c r="AG15263" s="14"/>
    </row>
    <row r="15264" spans="33:33">
      <c r="AG15264" s="14"/>
    </row>
    <row r="15265" spans="33:33">
      <c r="AG15265" s="14"/>
    </row>
    <row r="15266" spans="33:33">
      <c r="AG15266" s="14"/>
    </row>
    <row r="15267" spans="33:33">
      <c r="AG15267" s="14"/>
    </row>
    <row r="15268" spans="33:33">
      <c r="AG15268" s="14"/>
    </row>
    <row r="15269" spans="33:33">
      <c r="AG15269" s="14"/>
    </row>
    <row r="15270" spans="33:33">
      <c r="AG15270" s="14"/>
    </row>
    <row r="15271" spans="33:33">
      <c r="AG15271" s="14"/>
    </row>
    <row r="15272" spans="33:33">
      <c r="AG15272" s="14"/>
    </row>
    <row r="15273" spans="33:33">
      <c r="AG15273" s="14"/>
    </row>
    <row r="15274" spans="33:33">
      <c r="AG15274" s="14"/>
    </row>
    <row r="15275" spans="33:33">
      <c r="AG15275" s="14"/>
    </row>
    <row r="15276" spans="33:33">
      <c r="AG15276" s="14"/>
    </row>
    <row r="15277" spans="33:33">
      <c r="AG15277" s="14"/>
    </row>
    <row r="15278" spans="33:33">
      <c r="AG15278" s="14"/>
    </row>
    <row r="15279" spans="33:33">
      <c r="AG15279" s="14"/>
    </row>
    <row r="15280" spans="33:33">
      <c r="AG15280" s="14"/>
    </row>
    <row r="15281" spans="33:33">
      <c r="AG15281" s="14"/>
    </row>
    <row r="15282" spans="33:33">
      <c r="AG15282" s="14"/>
    </row>
    <row r="15283" spans="33:33">
      <c r="AG15283" s="14"/>
    </row>
    <row r="15284" spans="33:33">
      <c r="AG15284" s="14"/>
    </row>
    <row r="15285" spans="33:33">
      <c r="AG15285" s="14"/>
    </row>
    <row r="15286" spans="33:33">
      <c r="AG15286" s="14"/>
    </row>
    <row r="15287" spans="33:33">
      <c r="AG15287" s="14"/>
    </row>
    <row r="15288" spans="33:33">
      <c r="AG15288" s="14"/>
    </row>
    <row r="15289" spans="33:33">
      <c r="AG15289" s="14"/>
    </row>
    <row r="15290" spans="33:33">
      <c r="AG15290" s="14"/>
    </row>
    <row r="15291" spans="33:33">
      <c r="AG15291" s="14"/>
    </row>
    <row r="15292" spans="33:33">
      <c r="AG15292" s="14"/>
    </row>
    <row r="15293" spans="33:33">
      <c r="AG15293" s="14"/>
    </row>
    <row r="15294" spans="33:33">
      <c r="AG15294" s="14"/>
    </row>
    <row r="15295" spans="33:33">
      <c r="AG15295" s="14"/>
    </row>
    <row r="15296" spans="33:33">
      <c r="AG15296" s="14"/>
    </row>
    <row r="15297" spans="33:33">
      <c r="AG15297" s="14"/>
    </row>
    <row r="15298" spans="33:33">
      <c r="AG15298" s="14"/>
    </row>
    <row r="15299" spans="33:33">
      <c r="AG15299" s="14"/>
    </row>
    <row r="15300" spans="33:33">
      <c r="AG15300" s="14"/>
    </row>
    <row r="15301" spans="33:33">
      <c r="AG15301" s="14"/>
    </row>
    <row r="15302" spans="33:33">
      <c r="AG15302" s="14"/>
    </row>
    <row r="15303" spans="33:33">
      <c r="AG15303" s="14"/>
    </row>
    <row r="15304" spans="33:33">
      <c r="AG15304" s="14"/>
    </row>
    <row r="15305" spans="33:33">
      <c r="AG15305" s="14"/>
    </row>
    <row r="15306" spans="33:33">
      <c r="AG15306" s="14"/>
    </row>
    <row r="15307" spans="33:33">
      <c r="AG15307" s="14"/>
    </row>
    <row r="15308" spans="33:33">
      <c r="AG15308" s="14"/>
    </row>
    <row r="15309" spans="33:33">
      <c r="AG15309" s="14"/>
    </row>
    <row r="15310" spans="33:33">
      <c r="AG15310" s="14"/>
    </row>
    <row r="15311" spans="33:33">
      <c r="AG15311" s="14"/>
    </row>
    <row r="15312" spans="33:33">
      <c r="AG15312" s="14"/>
    </row>
    <row r="15313" spans="33:33">
      <c r="AG15313" s="14"/>
    </row>
    <row r="15314" spans="33:33">
      <c r="AG15314" s="14"/>
    </row>
    <row r="15315" spans="33:33">
      <c r="AG15315" s="14"/>
    </row>
    <row r="15316" spans="33:33">
      <c r="AG15316" s="14"/>
    </row>
    <row r="15317" spans="33:33">
      <c r="AG15317" s="14"/>
    </row>
    <row r="15318" spans="33:33">
      <c r="AG15318" s="14"/>
    </row>
    <row r="15319" spans="33:33">
      <c r="AG15319" s="14"/>
    </row>
    <row r="15320" spans="33:33">
      <c r="AG15320" s="14"/>
    </row>
    <row r="15321" spans="33:33">
      <c r="AG15321" s="14"/>
    </row>
    <row r="15322" spans="33:33">
      <c r="AG15322" s="14"/>
    </row>
    <row r="15323" spans="33:33">
      <c r="AG15323" s="14"/>
    </row>
    <row r="15324" spans="33:33">
      <c r="AG15324" s="14"/>
    </row>
    <row r="15325" spans="33:33">
      <c r="AG15325" s="14"/>
    </row>
    <row r="15326" spans="33:33">
      <c r="AG15326" s="14"/>
    </row>
    <row r="15327" spans="33:33">
      <c r="AG15327" s="14"/>
    </row>
    <row r="15328" spans="33:33">
      <c r="AG15328" s="14"/>
    </row>
    <row r="15329" spans="33:33">
      <c r="AG15329" s="14"/>
    </row>
    <row r="15330" spans="33:33">
      <c r="AG15330" s="14"/>
    </row>
    <row r="15331" spans="33:33">
      <c r="AG15331" s="14"/>
    </row>
    <row r="15332" spans="33:33">
      <c r="AG15332" s="14"/>
    </row>
    <row r="15333" spans="33:33">
      <c r="AG15333" s="14"/>
    </row>
    <row r="15334" spans="33:33">
      <c r="AG15334" s="14"/>
    </row>
    <row r="15335" spans="33:33">
      <c r="AG15335" s="14"/>
    </row>
    <row r="15336" spans="33:33">
      <c r="AG15336" s="14"/>
    </row>
    <row r="15337" spans="33:33">
      <c r="AG15337" s="14"/>
    </row>
    <row r="15338" spans="33:33">
      <c r="AG15338" s="14"/>
    </row>
    <row r="15339" spans="33:33">
      <c r="AG15339" s="14"/>
    </row>
    <row r="15340" spans="33:33">
      <c r="AG15340" s="14"/>
    </row>
    <row r="15341" spans="33:33">
      <c r="AG15341" s="14"/>
    </row>
    <row r="15342" spans="33:33">
      <c r="AG15342" s="14"/>
    </row>
    <row r="15343" spans="33:33">
      <c r="AG15343" s="14"/>
    </row>
    <row r="15344" spans="33:33">
      <c r="AG15344" s="14"/>
    </row>
    <row r="15345" spans="33:33">
      <c r="AG15345" s="14"/>
    </row>
    <row r="15346" spans="33:33">
      <c r="AG15346" s="14"/>
    </row>
    <row r="15347" spans="33:33">
      <c r="AG15347" s="14"/>
    </row>
    <row r="15348" spans="33:33">
      <c r="AG15348" s="14"/>
    </row>
    <row r="15349" spans="33:33">
      <c r="AG15349" s="14"/>
    </row>
    <row r="15350" spans="33:33">
      <c r="AG15350" s="14"/>
    </row>
    <row r="15351" spans="33:33">
      <c r="AG15351" s="14"/>
    </row>
    <row r="15352" spans="33:33">
      <c r="AG15352" s="14"/>
    </row>
    <row r="15353" spans="33:33">
      <c r="AG15353" s="14"/>
    </row>
    <row r="15354" spans="33:33">
      <c r="AG15354" s="14"/>
    </row>
    <row r="15355" spans="33:33">
      <c r="AG15355" s="14"/>
    </row>
    <row r="15356" spans="33:33">
      <c r="AG15356" s="14"/>
    </row>
    <row r="15357" spans="33:33">
      <c r="AG15357" s="14"/>
    </row>
    <row r="15358" spans="33:33">
      <c r="AG15358" s="14"/>
    </row>
    <row r="15359" spans="33:33">
      <c r="AG15359" s="14"/>
    </row>
    <row r="15360" spans="33:33">
      <c r="AG15360" s="14"/>
    </row>
    <row r="15361" spans="33:33">
      <c r="AG15361" s="14"/>
    </row>
    <row r="15362" spans="33:33">
      <c r="AG15362" s="14"/>
    </row>
    <row r="15363" spans="33:33">
      <c r="AG15363" s="14"/>
    </row>
    <row r="15364" spans="33:33">
      <c r="AG15364" s="14"/>
    </row>
    <row r="15365" spans="33:33">
      <c r="AG15365" s="14"/>
    </row>
    <row r="15366" spans="33:33">
      <c r="AG15366" s="14"/>
    </row>
    <row r="15367" spans="33:33">
      <c r="AG15367" s="14"/>
    </row>
    <row r="15368" spans="33:33">
      <c r="AG15368" s="14"/>
    </row>
    <row r="15369" spans="33:33">
      <c r="AG15369" s="14"/>
    </row>
    <row r="15370" spans="33:33">
      <c r="AG15370" s="14"/>
    </row>
    <row r="15371" spans="33:33">
      <c r="AG15371" s="14"/>
    </row>
    <row r="15372" spans="33:33">
      <c r="AG15372" s="14"/>
    </row>
    <row r="15373" spans="33:33">
      <c r="AG15373" s="14"/>
    </row>
    <row r="15374" spans="33:33">
      <c r="AG15374" s="14"/>
    </row>
    <row r="15375" spans="33:33">
      <c r="AG15375" s="14"/>
    </row>
    <row r="15376" spans="33:33">
      <c r="AG15376" s="14"/>
    </row>
    <row r="15377" spans="33:33">
      <c r="AG15377" s="14"/>
    </row>
    <row r="15378" spans="33:33">
      <c r="AG15378" s="14"/>
    </row>
    <row r="15379" spans="33:33">
      <c r="AG15379" s="14"/>
    </row>
    <row r="15380" spans="33:33">
      <c r="AG15380" s="14"/>
    </row>
    <row r="15381" spans="33:33">
      <c r="AG15381" s="14"/>
    </row>
    <row r="15382" spans="33:33">
      <c r="AG15382" s="14"/>
    </row>
    <row r="15383" spans="33:33">
      <c r="AG15383" s="14"/>
    </row>
    <row r="15384" spans="33:33">
      <c r="AG15384" s="14"/>
    </row>
    <row r="15385" spans="33:33">
      <c r="AG15385" s="14"/>
    </row>
    <row r="15386" spans="33:33">
      <c r="AG15386" s="14"/>
    </row>
    <row r="15387" spans="33:33">
      <c r="AG15387" s="14"/>
    </row>
    <row r="15388" spans="33:33">
      <c r="AG15388" s="14"/>
    </row>
    <row r="15389" spans="33:33">
      <c r="AG15389" s="14"/>
    </row>
    <row r="15390" spans="33:33">
      <c r="AG15390" s="14"/>
    </row>
    <row r="15391" spans="33:33">
      <c r="AG15391" s="14"/>
    </row>
    <row r="15392" spans="33:33">
      <c r="AG15392" s="14"/>
    </row>
    <row r="15393" spans="33:33">
      <c r="AG15393" s="14"/>
    </row>
    <row r="15394" spans="33:33">
      <c r="AG15394" s="14"/>
    </row>
    <row r="15395" spans="33:33">
      <c r="AG15395" s="14"/>
    </row>
    <row r="15396" spans="33:33">
      <c r="AG15396" s="14"/>
    </row>
    <row r="15397" spans="33:33">
      <c r="AG15397" s="14"/>
    </row>
    <row r="15398" spans="33:33">
      <c r="AG15398" s="14"/>
    </row>
    <row r="15399" spans="33:33">
      <c r="AG15399" s="14"/>
    </row>
    <row r="15400" spans="33:33">
      <c r="AG15400" s="14"/>
    </row>
    <row r="15401" spans="33:33">
      <c r="AG15401" s="14"/>
    </row>
    <row r="15402" spans="33:33">
      <c r="AG15402" s="14"/>
    </row>
    <row r="15403" spans="33:33">
      <c r="AG15403" s="14"/>
    </row>
    <row r="15404" spans="33:33">
      <c r="AG15404" s="14"/>
    </row>
    <row r="15405" spans="33:33">
      <c r="AG15405" s="14"/>
    </row>
    <row r="15406" spans="33:33">
      <c r="AG15406" s="14"/>
    </row>
    <row r="15407" spans="33:33">
      <c r="AG15407" s="14"/>
    </row>
    <row r="15408" spans="33:33">
      <c r="AG15408" s="14"/>
    </row>
    <row r="15409" spans="33:33">
      <c r="AG15409" s="14"/>
    </row>
    <row r="15410" spans="33:33">
      <c r="AG15410" s="14"/>
    </row>
    <row r="15411" spans="33:33">
      <c r="AG15411" s="14"/>
    </row>
    <row r="15412" spans="33:33">
      <c r="AG15412" s="14"/>
    </row>
    <row r="15413" spans="33:33">
      <c r="AG15413" s="14"/>
    </row>
    <row r="15414" spans="33:33">
      <c r="AG15414" s="14"/>
    </row>
    <row r="15415" spans="33:33">
      <c r="AG15415" s="14"/>
    </row>
    <row r="15416" spans="33:33">
      <c r="AG15416" s="14"/>
    </row>
    <row r="15417" spans="33:33">
      <c r="AG15417" s="14"/>
    </row>
    <row r="15418" spans="33:33">
      <c r="AG15418" s="14"/>
    </row>
    <row r="15419" spans="33:33">
      <c r="AG15419" s="14"/>
    </row>
    <row r="15420" spans="33:33">
      <c r="AG15420" s="14"/>
    </row>
    <row r="15421" spans="33:33">
      <c r="AG15421" s="14"/>
    </row>
    <row r="15422" spans="33:33">
      <c r="AG15422" s="14"/>
    </row>
    <row r="15423" spans="33:33">
      <c r="AG15423" s="14"/>
    </row>
    <row r="15424" spans="33:33">
      <c r="AG15424" s="14"/>
    </row>
    <row r="15425" spans="33:33">
      <c r="AG15425" s="14"/>
    </row>
    <row r="15426" spans="33:33">
      <c r="AG15426" s="14"/>
    </row>
    <row r="15427" spans="33:33">
      <c r="AG15427" s="14"/>
    </row>
    <row r="15428" spans="33:33">
      <c r="AG15428" s="14"/>
    </row>
    <row r="15429" spans="33:33">
      <c r="AG15429" s="14"/>
    </row>
    <row r="15430" spans="33:33">
      <c r="AG15430" s="14"/>
    </row>
    <row r="15431" spans="33:33">
      <c r="AG15431" s="14"/>
    </row>
    <row r="15432" spans="33:33">
      <c r="AG15432" s="14"/>
    </row>
    <row r="15433" spans="33:33">
      <c r="AG15433" s="14"/>
    </row>
    <row r="15434" spans="33:33">
      <c r="AG15434" s="14"/>
    </row>
    <row r="15435" spans="33:33">
      <c r="AG15435" s="14"/>
    </row>
    <row r="15436" spans="33:33">
      <c r="AG15436" s="14"/>
    </row>
    <row r="15437" spans="33:33">
      <c r="AG15437" s="14"/>
    </row>
    <row r="15438" spans="33:33">
      <c r="AG15438" s="14"/>
    </row>
    <row r="15439" spans="33:33">
      <c r="AG15439" s="14"/>
    </row>
    <row r="15440" spans="33:33">
      <c r="AG15440" s="14"/>
    </row>
    <row r="15441" spans="33:33">
      <c r="AG15441" s="14"/>
    </row>
    <row r="15442" spans="33:33">
      <c r="AG15442" s="14"/>
    </row>
    <row r="15443" spans="33:33">
      <c r="AG15443" s="14"/>
    </row>
    <row r="15444" spans="33:33">
      <c r="AG15444" s="14"/>
    </row>
    <row r="15445" spans="33:33">
      <c r="AG15445" s="14"/>
    </row>
    <row r="15446" spans="33:33">
      <c r="AG15446" s="14"/>
    </row>
    <row r="15447" spans="33:33">
      <c r="AG15447" s="14"/>
    </row>
    <row r="15448" spans="33:33">
      <c r="AG15448" s="14"/>
    </row>
    <row r="15449" spans="33:33">
      <c r="AG15449" s="14"/>
    </row>
    <row r="15450" spans="33:33">
      <c r="AG15450" s="14"/>
    </row>
    <row r="15451" spans="33:33">
      <c r="AG15451" s="14"/>
    </row>
    <row r="15452" spans="33:33">
      <c r="AG15452" s="14"/>
    </row>
    <row r="15453" spans="33:33">
      <c r="AG15453" s="14"/>
    </row>
    <row r="15454" spans="33:33">
      <c r="AG15454" s="14"/>
    </row>
    <row r="15455" spans="33:33">
      <c r="AG15455" s="14"/>
    </row>
    <row r="15456" spans="33:33">
      <c r="AG15456" s="14"/>
    </row>
    <row r="15457" spans="33:33">
      <c r="AG15457" s="14"/>
    </row>
    <row r="15458" spans="33:33">
      <c r="AG15458" s="14"/>
    </row>
    <row r="15459" spans="33:33">
      <c r="AG15459" s="14"/>
    </row>
    <row r="15460" spans="33:33">
      <c r="AG15460" s="14"/>
    </row>
    <row r="15461" spans="33:33">
      <c r="AG15461" s="14"/>
    </row>
    <row r="15462" spans="33:33">
      <c r="AG15462" s="14"/>
    </row>
    <row r="15463" spans="33:33">
      <c r="AG15463" s="14"/>
    </row>
    <row r="15464" spans="33:33">
      <c r="AG15464" s="14"/>
    </row>
    <row r="15465" spans="33:33">
      <c r="AG15465" s="14"/>
    </row>
    <row r="15466" spans="33:33">
      <c r="AG15466" s="14"/>
    </row>
    <row r="15467" spans="33:33">
      <c r="AG15467" s="14"/>
    </row>
    <row r="15468" spans="33:33">
      <c r="AG15468" s="14"/>
    </row>
    <row r="15469" spans="33:33">
      <c r="AG15469" s="14"/>
    </row>
    <row r="15470" spans="33:33">
      <c r="AG15470" s="14"/>
    </row>
    <row r="15471" spans="33:33">
      <c r="AG15471" s="14"/>
    </row>
    <row r="15472" spans="33:33">
      <c r="AG15472" s="14"/>
    </row>
    <row r="15473" spans="33:33">
      <c r="AG15473" s="14"/>
    </row>
    <row r="15474" spans="33:33">
      <c r="AG15474" s="14"/>
    </row>
    <row r="15475" spans="33:33">
      <c r="AG15475" s="14"/>
    </row>
    <row r="15476" spans="33:33">
      <c r="AG15476" s="14"/>
    </row>
    <row r="15477" spans="33:33">
      <c r="AG15477" s="14"/>
    </row>
    <row r="15478" spans="33:33">
      <c r="AG15478" s="14"/>
    </row>
    <row r="15479" spans="33:33">
      <c r="AG15479" s="14"/>
    </row>
    <row r="15480" spans="33:33">
      <c r="AG15480" s="14"/>
    </row>
    <row r="15481" spans="33:33">
      <c r="AG15481" s="14"/>
    </row>
    <row r="15482" spans="33:33">
      <c r="AG15482" s="14"/>
    </row>
    <row r="15483" spans="33:33">
      <c r="AG15483" s="14"/>
    </row>
    <row r="15484" spans="33:33">
      <c r="AG15484" s="14"/>
    </row>
    <row r="15485" spans="33:33">
      <c r="AG15485" s="14"/>
    </row>
    <row r="15486" spans="33:33">
      <c r="AG15486" s="14"/>
    </row>
    <row r="15487" spans="33:33">
      <c r="AG15487" s="14"/>
    </row>
    <row r="15488" spans="33:33">
      <c r="AG15488" s="14"/>
    </row>
    <row r="15489" spans="33:33">
      <c r="AG15489" s="14"/>
    </row>
    <row r="15490" spans="33:33">
      <c r="AG15490" s="14"/>
    </row>
    <row r="15491" spans="33:33">
      <c r="AG15491" s="14"/>
    </row>
    <row r="15492" spans="33:33">
      <c r="AG15492" s="14"/>
    </row>
    <row r="15493" spans="33:33">
      <c r="AG15493" s="14"/>
    </row>
    <row r="15494" spans="33:33">
      <c r="AG15494" s="14"/>
    </row>
    <row r="15495" spans="33:33">
      <c r="AG15495" s="14"/>
    </row>
    <row r="15496" spans="33:33">
      <c r="AG15496" s="14"/>
    </row>
    <row r="15497" spans="33:33">
      <c r="AG15497" s="14"/>
    </row>
    <row r="15498" spans="33:33">
      <c r="AG15498" s="14"/>
    </row>
    <row r="15499" spans="33:33">
      <c r="AG15499" s="14"/>
    </row>
    <row r="15500" spans="33:33">
      <c r="AG15500" s="14"/>
    </row>
    <row r="15501" spans="33:33">
      <c r="AG15501" s="14"/>
    </row>
    <row r="15502" spans="33:33">
      <c r="AG15502" s="14"/>
    </row>
    <row r="15503" spans="33:33">
      <c r="AG15503" s="14"/>
    </row>
    <row r="15504" spans="33:33">
      <c r="AG15504" s="14"/>
    </row>
    <row r="15505" spans="33:33">
      <c r="AG15505" s="14"/>
    </row>
    <row r="15506" spans="33:33">
      <c r="AG15506" s="14"/>
    </row>
    <row r="15507" spans="33:33">
      <c r="AG15507" s="14"/>
    </row>
    <row r="15508" spans="33:33">
      <c r="AG15508" s="14"/>
    </row>
    <row r="15509" spans="33:33">
      <c r="AG15509" s="14"/>
    </row>
    <row r="15510" spans="33:33">
      <c r="AG15510" s="14"/>
    </row>
    <row r="15511" spans="33:33">
      <c r="AG15511" s="14"/>
    </row>
    <row r="15512" spans="33:33">
      <c r="AG15512" s="14"/>
    </row>
    <row r="15513" spans="33:33">
      <c r="AG15513" s="14"/>
    </row>
    <row r="15514" spans="33:33">
      <c r="AG15514" s="14"/>
    </row>
    <row r="15515" spans="33:33">
      <c r="AG15515" s="14"/>
    </row>
    <row r="15516" spans="33:33">
      <c r="AG15516" s="14"/>
    </row>
    <row r="15517" spans="33:33">
      <c r="AG15517" s="14"/>
    </row>
    <row r="15518" spans="33:33">
      <c r="AG15518" s="14"/>
    </row>
    <row r="15519" spans="33:33">
      <c r="AG15519" s="14"/>
    </row>
    <row r="15520" spans="33:33">
      <c r="AG15520" s="14"/>
    </row>
    <row r="15521" spans="33:33">
      <c r="AG15521" s="14"/>
    </row>
    <row r="15522" spans="33:33">
      <c r="AG15522" s="14"/>
    </row>
    <row r="15523" spans="33:33">
      <c r="AG15523" s="14"/>
    </row>
    <row r="15524" spans="33:33">
      <c r="AG15524" s="14"/>
    </row>
    <row r="15525" spans="33:33">
      <c r="AG15525" s="14"/>
    </row>
    <row r="15526" spans="33:33">
      <c r="AG15526" s="14"/>
    </row>
    <row r="15527" spans="33:33">
      <c r="AG15527" s="14"/>
    </row>
    <row r="15528" spans="33:33">
      <c r="AG15528" s="14"/>
    </row>
    <row r="15529" spans="33:33">
      <c r="AG15529" s="14"/>
    </row>
    <row r="15530" spans="33:33">
      <c r="AG15530" s="14"/>
    </row>
    <row r="15531" spans="33:33">
      <c r="AG15531" s="14"/>
    </row>
    <row r="15532" spans="33:33">
      <c r="AG15532" s="14"/>
    </row>
    <row r="15533" spans="33:33">
      <c r="AG15533" s="14"/>
    </row>
    <row r="15534" spans="33:33">
      <c r="AG15534" s="14"/>
    </row>
    <row r="15535" spans="33:33">
      <c r="AG15535" s="14"/>
    </row>
    <row r="15536" spans="33:33">
      <c r="AG15536" s="14"/>
    </row>
    <row r="15537" spans="33:33">
      <c r="AG15537" s="14"/>
    </row>
    <row r="15538" spans="33:33">
      <c r="AG15538" s="14"/>
    </row>
    <row r="15539" spans="33:33">
      <c r="AG15539" s="14"/>
    </row>
    <row r="15540" spans="33:33">
      <c r="AG15540" s="14"/>
    </row>
    <row r="15541" spans="33:33">
      <c r="AG15541" s="14"/>
    </row>
    <row r="15542" spans="33:33">
      <c r="AG15542" s="14"/>
    </row>
    <row r="15543" spans="33:33">
      <c r="AG15543" s="14"/>
    </row>
    <row r="15544" spans="33:33">
      <c r="AG15544" s="14"/>
    </row>
    <row r="15545" spans="33:33">
      <c r="AG15545" s="14"/>
    </row>
    <row r="15546" spans="33:33">
      <c r="AG15546" s="14"/>
    </row>
    <row r="15547" spans="33:33">
      <c r="AG15547" s="14"/>
    </row>
    <row r="15548" spans="33:33">
      <c r="AG15548" s="14"/>
    </row>
    <row r="15549" spans="33:33">
      <c r="AG15549" s="14"/>
    </row>
    <row r="15550" spans="33:33">
      <c r="AG15550" s="14"/>
    </row>
    <row r="15551" spans="33:33">
      <c r="AG15551" s="14"/>
    </row>
    <row r="15552" spans="33:33">
      <c r="AG15552" s="14"/>
    </row>
    <row r="15553" spans="33:33">
      <c r="AG15553" s="14"/>
    </row>
    <row r="15554" spans="33:33">
      <c r="AG15554" s="14"/>
    </row>
    <row r="15555" spans="33:33">
      <c r="AG15555" s="14"/>
    </row>
    <row r="15556" spans="33:33">
      <c r="AG15556" s="14"/>
    </row>
    <row r="15557" spans="33:33">
      <c r="AG15557" s="14"/>
    </row>
    <row r="15558" spans="33:33">
      <c r="AG15558" s="14"/>
    </row>
    <row r="15559" spans="33:33">
      <c r="AG15559" s="14"/>
    </row>
    <row r="15560" spans="33:33">
      <c r="AG15560" s="14"/>
    </row>
    <row r="15561" spans="33:33">
      <c r="AG15561" s="14"/>
    </row>
    <row r="15562" spans="33:33">
      <c r="AG15562" s="14"/>
    </row>
    <row r="15563" spans="33:33">
      <c r="AG15563" s="14"/>
    </row>
    <row r="15564" spans="33:33">
      <c r="AG15564" s="14"/>
    </row>
    <row r="15565" spans="33:33">
      <c r="AG15565" s="14"/>
    </row>
    <row r="15566" spans="33:33">
      <c r="AG15566" s="14"/>
    </row>
    <row r="15567" spans="33:33">
      <c r="AG15567" s="14"/>
    </row>
    <row r="15568" spans="33:33">
      <c r="AG15568" s="14"/>
    </row>
    <row r="15569" spans="33:33">
      <c r="AG15569" s="14"/>
    </row>
    <row r="15570" spans="33:33">
      <c r="AG15570" s="14"/>
    </row>
    <row r="15571" spans="33:33">
      <c r="AG15571" s="14"/>
    </row>
    <row r="15572" spans="33:33">
      <c r="AG15572" s="14"/>
    </row>
    <row r="15573" spans="33:33">
      <c r="AG15573" s="14"/>
    </row>
    <row r="15574" spans="33:33">
      <c r="AG15574" s="14"/>
    </row>
    <row r="15575" spans="33:33">
      <c r="AG15575" s="14"/>
    </row>
    <row r="15576" spans="33:33">
      <c r="AG15576" s="14"/>
    </row>
    <row r="15577" spans="33:33">
      <c r="AG15577" s="14"/>
    </row>
    <row r="15578" spans="33:33">
      <c r="AG15578" s="14"/>
    </row>
    <row r="15579" spans="33:33">
      <c r="AG15579" s="14"/>
    </row>
    <row r="15580" spans="33:33">
      <c r="AG15580" s="14"/>
    </row>
    <row r="15581" spans="33:33">
      <c r="AG15581" s="14"/>
    </row>
    <row r="15582" spans="33:33">
      <c r="AG15582" s="14"/>
    </row>
    <row r="15583" spans="33:33">
      <c r="AG15583" s="14"/>
    </row>
    <row r="15584" spans="33:33">
      <c r="AG15584" s="14"/>
    </row>
    <row r="15585" spans="33:33">
      <c r="AG15585" s="14"/>
    </row>
    <row r="15586" spans="33:33">
      <c r="AG15586" s="14"/>
    </row>
    <row r="15587" spans="33:33">
      <c r="AG15587" s="14"/>
    </row>
    <row r="15588" spans="33:33">
      <c r="AG15588" s="14"/>
    </row>
    <row r="15589" spans="33:33">
      <c r="AG15589" s="14"/>
    </row>
    <row r="15590" spans="33:33">
      <c r="AG15590" s="14"/>
    </row>
    <row r="15591" spans="33:33">
      <c r="AG15591" s="14"/>
    </row>
    <row r="15592" spans="33:33">
      <c r="AG15592" s="14"/>
    </row>
    <row r="15593" spans="33:33">
      <c r="AG15593" s="14"/>
    </row>
    <row r="15594" spans="33:33">
      <c r="AG15594" s="14"/>
    </row>
    <row r="15595" spans="33:33">
      <c r="AG15595" s="14"/>
    </row>
    <row r="15596" spans="33:33">
      <c r="AG15596" s="14"/>
    </row>
    <row r="15597" spans="33:33">
      <c r="AG15597" s="14"/>
    </row>
    <row r="15598" spans="33:33">
      <c r="AG15598" s="14"/>
    </row>
    <row r="15599" spans="33:33">
      <c r="AG15599" s="14"/>
    </row>
    <row r="15600" spans="33:33">
      <c r="AG15600" s="14"/>
    </row>
    <row r="15601" spans="33:33">
      <c r="AG15601" s="14"/>
    </row>
    <row r="15602" spans="33:33">
      <c r="AG15602" s="14"/>
    </row>
    <row r="15603" spans="33:33">
      <c r="AG15603" s="14"/>
    </row>
    <row r="15604" spans="33:33">
      <c r="AG15604" s="14"/>
    </row>
    <row r="15605" spans="33:33">
      <c r="AG15605" s="14"/>
    </row>
    <row r="15606" spans="33:33">
      <c r="AG15606" s="14"/>
    </row>
    <row r="15607" spans="33:33">
      <c r="AG15607" s="14"/>
    </row>
    <row r="15608" spans="33:33">
      <c r="AG15608" s="14"/>
    </row>
    <row r="15609" spans="33:33">
      <c r="AG15609" s="14"/>
    </row>
    <row r="15610" spans="33:33">
      <c r="AG15610" s="14"/>
    </row>
    <row r="15611" spans="33:33">
      <c r="AG15611" s="14"/>
    </row>
    <row r="15612" spans="33:33">
      <c r="AG15612" s="14"/>
    </row>
    <row r="15613" spans="33:33">
      <c r="AG15613" s="14"/>
    </row>
    <row r="15614" spans="33:33">
      <c r="AG15614" s="14"/>
    </row>
    <row r="15615" spans="33:33">
      <c r="AG15615" s="14"/>
    </row>
    <row r="15616" spans="33:33">
      <c r="AG15616" s="14"/>
    </row>
    <row r="15617" spans="33:33">
      <c r="AG15617" s="14"/>
    </row>
    <row r="15618" spans="33:33">
      <c r="AG15618" s="14"/>
    </row>
    <row r="15619" spans="33:33">
      <c r="AG15619" s="14"/>
    </row>
    <row r="15620" spans="33:33">
      <c r="AG15620" s="14"/>
    </row>
    <row r="15621" spans="33:33">
      <c r="AG15621" s="14"/>
    </row>
    <row r="15622" spans="33:33">
      <c r="AG15622" s="14"/>
    </row>
    <row r="15623" spans="33:33">
      <c r="AG15623" s="14"/>
    </row>
    <row r="15624" spans="33:33">
      <c r="AG15624" s="14"/>
    </row>
    <row r="15625" spans="33:33">
      <c r="AG15625" s="14"/>
    </row>
    <row r="15626" spans="33:33">
      <c r="AG15626" s="14"/>
    </row>
    <row r="15627" spans="33:33">
      <c r="AG15627" s="14"/>
    </row>
    <row r="15628" spans="33:33">
      <c r="AG15628" s="14"/>
    </row>
    <row r="15629" spans="33:33">
      <c r="AG15629" s="14"/>
    </row>
    <row r="15630" spans="33:33">
      <c r="AG15630" s="14"/>
    </row>
    <row r="15631" spans="33:33">
      <c r="AG15631" s="14"/>
    </row>
    <row r="15632" spans="33:33">
      <c r="AG15632" s="14"/>
    </row>
    <row r="15633" spans="33:33">
      <c r="AG15633" s="14"/>
    </row>
    <row r="15634" spans="33:33">
      <c r="AG15634" s="14"/>
    </row>
    <row r="15635" spans="33:33">
      <c r="AG15635" s="14"/>
    </row>
    <row r="15636" spans="33:33">
      <c r="AG15636" s="14"/>
    </row>
    <row r="15637" spans="33:33">
      <c r="AG15637" s="14"/>
    </row>
    <row r="15638" spans="33:33">
      <c r="AG15638" s="14"/>
    </row>
    <row r="15639" spans="33:33">
      <c r="AG15639" s="14"/>
    </row>
    <row r="15640" spans="33:33">
      <c r="AG15640" s="14"/>
    </row>
    <row r="15641" spans="33:33">
      <c r="AG15641" s="14"/>
    </row>
    <row r="15642" spans="33:33">
      <c r="AG15642" s="14"/>
    </row>
    <row r="15643" spans="33:33">
      <c r="AG15643" s="14"/>
    </row>
    <row r="15644" spans="33:33">
      <c r="AG15644" s="14"/>
    </row>
    <row r="15645" spans="33:33">
      <c r="AG15645" s="14"/>
    </row>
    <row r="15646" spans="33:33">
      <c r="AG15646" s="14"/>
    </row>
    <row r="15647" spans="33:33">
      <c r="AG15647" s="14"/>
    </row>
    <row r="15648" spans="33:33">
      <c r="AG15648" s="14"/>
    </row>
    <row r="15649" spans="33:33">
      <c r="AG15649" s="14"/>
    </row>
    <row r="15650" spans="33:33">
      <c r="AG15650" s="14"/>
    </row>
    <row r="15651" spans="33:33">
      <c r="AG15651" s="14"/>
    </row>
    <row r="15652" spans="33:33">
      <c r="AG15652" s="14"/>
    </row>
    <row r="15653" spans="33:33">
      <c r="AG15653" s="14"/>
    </row>
    <row r="15654" spans="33:33">
      <c r="AG15654" s="14"/>
    </row>
    <row r="15655" spans="33:33">
      <c r="AG15655" s="14"/>
    </row>
    <row r="15656" spans="33:33">
      <c r="AG15656" s="14"/>
    </row>
    <row r="15657" spans="33:33">
      <c r="AG15657" s="14"/>
    </row>
    <row r="15658" spans="33:33">
      <c r="AG15658" s="14"/>
    </row>
    <row r="15659" spans="33:33">
      <c r="AG15659" s="14"/>
    </row>
    <row r="15660" spans="33:33">
      <c r="AG15660" s="14"/>
    </row>
    <row r="15661" spans="33:33">
      <c r="AG15661" s="14"/>
    </row>
    <row r="15662" spans="33:33">
      <c r="AG15662" s="14"/>
    </row>
    <row r="15663" spans="33:33">
      <c r="AG15663" s="14"/>
    </row>
    <row r="15664" spans="33:33">
      <c r="AG15664" s="14"/>
    </row>
    <row r="15665" spans="33:33">
      <c r="AG15665" s="14"/>
    </row>
    <row r="15666" spans="33:33">
      <c r="AG15666" s="14"/>
    </row>
    <row r="15667" spans="33:33">
      <c r="AG15667" s="14"/>
    </row>
    <row r="15668" spans="33:33">
      <c r="AG15668" s="14"/>
    </row>
    <row r="15669" spans="33:33">
      <c r="AG15669" s="14"/>
    </row>
    <row r="15670" spans="33:33">
      <c r="AG15670" s="14"/>
    </row>
    <row r="15671" spans="33:33">
      <c r="AG15671" s="14"/>
    </row>
    <row r="15672" spans="33:33">
      <c r="AG15672" s="14"/>
    </row>
    <row r="15673" spans="33:33">
      <c r="AG15673" s="14"/>
    </row>
    <row r="15674" spans="33:33">
      <c r="AG15674" s="14"/>
    </row>
    <row r="15675" spans="33:33">
      <c r="AG15675" s="14"/>
    </row>
    <row r="15676" spans="33:33">
      <c r="AG15676" s="14"/>
    </row>
    <row r="15677" spans="33:33">
      <c r="AG15677" s="14"/>
    </row>
    <row r="15678" spans="33:33">
      <c r="AG15678" s="14"/>
    </row>
    <row r="15679" spans="33:33">
      <c r="AG15679" s="14"/>
    </row>
    <row r="15680" spans="33:33">
      <c r="AG15680" s="14"/>
    </row>
    <row r="15681" spans="33:33">
      <c r="AG15681" s="14"/>
    </row>
    <row r="15682" spans="33:33">
      <c r="AG15682" s="14"/>
    </row>
    <row r="15683" spans="33:33">
      <c r="AG15683" s="14"/>
    </row>
    <row r="15684" spans="33:33">
      <c r="AG15684" s="14"/>
    </row>
    <row r="15685" spans="33:33">
      <c r="AG15685" s="14"/>
    </row>
    <row r="15686" spans="33:33">
      <c r="AG15686" s="14"/>
    </row>
    <row r="15687" spans="33:33">
      <c r="AG15687" s="14"/>
    </row>
    <row r="15688" spans="33:33">
      <c r="AG15688" s="14"/>
    </row>
    <row r="15689" spans="33:33">
      <c r="AG15689" s="14"/>
    </row>
    <row r="15690" spans="33:33">
      <c r="AG15690" s="14"/>
    </row>
    <row r="15691" spans="33:33">
      <c r="AG15691" s="14"/>
    </row>
    <row r="15692" spans="33:33">
      <c r="AG15692" s="14"/>
    </row>
    <row r="15693" spans="33:33">
      <c r="AG15693" s="14"/>
    </row>
    <row r="15694" spans="33:33">
      <c r="AG15694" s="14"/>
    </row>
    <row r="15695" spans="33:33">
      <c r="AG15695" s="14"/>
    </row>
    <row r="15696" spans="33:33">
      <c r="AG15696" s="14"/>
    </row>
    <row r="15697" spans="33:33">
      <c r="AG15697" s="14"/>
    </row>
    <row r="15698" spans="33:33">
      <c r="AG15698" s="14"/>
    </row>
    <row r="15699" spans="33:33">
      <c r="AG15699" s="14"/>
    </row>
    <row r="15700" spans="33:33">
      <c r="AG15700" s="14"/>
    </row>
    <row r="15701" spans="33:33">
      <c r="AG15701" s="14"/>
    </row>
    <row r="15702" spans="33:33">
      <c r="AG15702" s="14"/>
    </row>
    <row r="15703" spans="33:33">
      <c r="AG15703" s="14"/>
    </row>
    <row r="15704" spans="33:33">
      <c r="AG15704" s="14"/>
    </row>
    <row r="15705" spans="33:33">
      <c r="AG15705" s="14"/>
    </row>
    <row r="15706" spans="33:33">
      <c r="AG15706" s="14"/>
    </row>
    <row r="15707" spans="33:33">
      <c r="AG15707" s="14"/>
    </row>
    <row r="15708" spans="33:33">
      <c r="AG15708" s="14"/>
    </row>
    <row r="15709" spans="33:33">
      <c r="AG15709" s="14"/>
    </row>
    <row r="15710" spans="33:33">
      <c r="AG15710" s="14"/>
    </row>
    <row r="15711" spans="33:33">
      <c r="AG15711" s="14"/>
    </row>
    <row r="15712" spans="33:33">
      <c r="AG15712" s="14"/>
    </row>
    <row r="15713" spans="33:33">
      <c r="AG15713" s="14"/>
    </row>
    <row r="15714" spans="33:33">
      <c r="AG15714" s="14"/>
    </row>
    <row r="15715" spans="33:33">
      <c r="AG15715" s="14"/>
    </row>
    <row r="15716" spans="33:33">
      <c r="AG15716" s="14"/>
    </row>
    <row r="15717" spans="33:33">
      <c r="AG15717" s="14"/>
    </row>
    <row r="15718" spans="33:33">
      <c r="AG15718" s="14"/>
    </row>
    <row r="15719" spans="33:33">
      <c r="AG15719" s="14"/>
    </row>
    <row r="15720" spans="33:33">
      <c r="AG15720" s="14"/>
    </row>
    <row r="15721" spans="33:33">
      <c r="AG15721" s="14"/>
    </row>
    <row r="15722" spans="33:33">
      <c r="AG15722" s="14"/>
    </row>
    <row r="15723" spans="33:33">
      <c r="AG15723" s="14"/>
    </row>
    <row r="15724" spans="33:33">
      <c r="AG15724" s="14"/>
    </row>
    <row r="15725" spans="33:33">
      <c r="AG15725" s="14"/>
    </row>
    <row r="15726" spans="33:33">
      <c r="AG15726" s="14"/>
    </row>
    <row r="15727" spans="33:33">
      <c r="AG15727" s="14"/>
    </row>
    <row r="15728" spans="33:33">
      <c r="AG15728" s="14"/>
    </row>
    <row r="15729" spans="33:33">
      <c r="AG15729" s="14"/>
    </row>
    <row r="15730" spans="33:33">
      <c r="AG15730" s="14"/>
    </row>
    <row r="15731" spans="33:33">
      <c r="AG15731" s="14"/>
    </row>
    <row r="15732" spans="33:33">
      <c r="AG15732" s="14"/>
    </row>
    <row r="15733" spans="33:33">
      <c r="AG15733" s="14"/>
    </row>
    <row r="15734" spans="33:33">
      <c r="AG15734" s="14"/>
    </row>
    <row r="15735" spans="33:33">
      <c r="AG15735" s="14"/>
    </row>
    <row r="15736" spans="33:33">
      <c r="AG15736" s="14"/>
    </row>
    <row r="15737" spans="33:33">
      <c r="AG15737" s="14"/>
    </row>
    <row r="15738" spans="33:33">
      <c r="AG15738" s="14"/>
    </row>
    <row r="15739" spans="33:33">
      <c r="AG15739" s="14"/>
    </row>
    <row r="15740" spans="33:33">
      <c r="AG15740" s="14"/>
    </row>
    <row r="15741" spans="33:33">
      <c r="AG15741" s="14"/>
    </row>
    <row r="15742" spans="33:33">
      <c r="AG15742" s="14"/>
    </row>
    <row r="15743" spans="33:33">
      <c r="AG15743" s="14"/>
    </row>
    <row r="15744" spans="33:33">
      <c r="AG15744" s="14"/>
    </row>
    <row r="15745" spans="33:33">
      <c r="AG15745" s="14"/>
    </row>
    <row r="15746" spans="33:33">
      <c r="AG15746" s="14"/>
    </row>
    <row r="15747" spans="33:33">
      <c r="AG15747" s="14"/>
    </row>
    <row r="15748" spans="33:33">
      <c r="AG15748" s="14"/>
    </row>
    <row r="15749" spans="33:33">
      <c r="AG15749" s="14"/>
    </row>
    <row r="15750" spans="33:33">
      <c r="AG15750" s="14"/>
    </row>
    <row r="15751" spans="33:33">
      <c r="AG15751" s="14"/>
    </row>
    <row r="15752" spans="33:33">
      <c r="AG15752" s="14"/>
    </row>
    <row r="15753" spans="33:33">
      <c r="AG15753" s="14"/>
    </row>
    <row r="15754" spans="33:33">
      <c r="AG15754" s="14"/>
    </row>
    <row r="15755" spans="33:33">
      <c r="AG15755" s="14"/>
    </row>
    <row r="15756" spans="33:33">
      <c r="AG15756" s="14"/>
    </row>
    <row r="15757" spans="33:33">
      <c r="AG15757" s="14"/>
    </row>
    <row r="15758" spans="33:33">
      <c r="AG15758" s="14"/>
    </row>
    <row r="15759" spans="33:33">
      <c r="AG15759" s="14"/>
    </row>
    <row r="15760" spans="33:33">
      <c r="AG15760" s="14"/>
    </row>
    <row r="15761" spans="33:33">
      <c r="AG15761" s="14"/>
    </row>
    <row r="15762" spans="33:33">
      <c r="AG15762" s="14"/>
    </row>
    <row r="15763" spans="33:33">
      <c r="AG15763" s="14"/>
    </row>
    <row r="15764" spans="33:33">
      <c r="AG15764" s="14"/>
    </row>
    <row r="15765" spans="33:33">
      <c r="AG15765" s="14"/>
    </row>
    <row r="15766" spans="33:33">
      <c r="AG15766" s="14"/>
    </row>
    <row r="15767" spans="33:33">
      <c r="AG15767" s="14"/>
    </row>
    <row r="15768" spans="33:33">
      <c r="AG15768" s="14"/>
    </row>
    <row r="15769" spans="33:33">
      <c r="AG15769" s="14"/>
    </row>
    <row r="15770" spans="33:33">
      <c r="AG15770" s="14"/>
    </row>
    <row r="15771" spans="33:33">
      <c r="AG15771" s="14"/>
    </row>
    <row r="15772" spans="33:33">
      <c r="AG15772" s="14"/>
    </row>
    <row r="15773" spans="33:33">
      <c r="AG15773" s="14"/>
    </row>
    <row r="15774" spans="33:33">
      <c r="AG15774" s="14"/>
    </row>
    <row r="15775" spans="33:33">
      <c r="AG15775" s="14"/>
    </row>
    <row r="15776" spans="33:33">
      <c r="AG15776" s="14"/>
    </row>
    <row r="15777" spans="33:33">
      <c r="AG15777" s="14"/>
    </row>
    <row r="15778" spans="33:33">
      <c r="AG15778" s="14"/>
    </row>
    <row r="15779" spans="33:33">
      <c r="AG15779" s="14"/>
    </row>
    <row r="15780" spans="33:33">
      <c r="AG15780" s="14"/>
    </row>
    <row r="15781" spans="33:33">
      <c r="AG15781" s="14"/>
    </row>
    <row r="15782" spans="33:33">
      <c r="AG15782" s="14"/>
    </row>
    <row r="15783" spans="33:33">
      <c r="AG15783" s="14"/>
    </row>
    <row r="15784" spans="33:33">
      <c r="AG15784" s="14"/>
    </row>
    <row r="15785" spans="33:33">
      <c r="AG15785" s="14"/>
    </row>
    <row r="15786" spans="33:33">
      <c r="AG15786" s="14"/>
    </row>
    <row r="15787" spans="33:33">
      <c r="AG15787" s="14"/>
    </row>
    <row r="15788" spans="33:33">
      <c r="AG15788" s="14"/>
    </row>
    <row r="15789" spans="33:33">
      <c r="AG15789" s="14"/>
    </row>
    <row r="15790" spans="33:33">
      <c r="AG15790" s="14"/>
    </row>
    <row r="15791" spans="33:33">
      <c r="AG15791" s="14"/>
    </row>
    <row r="15792" spans="33:33">
      <c r="AG15792" s="14"/>
    </row>
    <row r="15793" spans="33:33">
      <c r="AG15793" s="14"/>
    </row>
    <row r="15794" spans="33:33">
      <c r="AG15794" s="14"/>
    </row>
    <row r="15795" spans="33:33">
      <c r="AG15795" s="14"/>
    </row>
    <row r="15796" spans="33:33">
      <c r="AG15796" s="14"/>
    </row>
    <row r="15797" spans="33:33">
      <c r="AG15797" s="14"/>
    </row>
    <row r="15798" spans="33:33">
      <c r="AG15798" s="14"/>
    </row>
    <row r="15799" spans="33:33">
      <c r="AG15799" s="14"/>
    </row>
    <row r="15800" spans="33:33">
      <c r="AG15800" s="14"/>
    </row>
    <row r="15801" spans="33:33">
      <c r="AG15801" s="14"/>
    </row>
    <row r="15802" spans="33:33">
      <c r="AG15802" s="14"/>
    </row>
    <row r="15803" spans="33:33">
      <c r="AG15803" s="14"/>
    </row>
    <row r="15804" spans="33:33">
      <c r="AG15804" s="14"/>
    </row>
    <row r="15805" spans="33:33">
      <c r="AG15805" s="14"/>
    </row>
    <row r="15806" spans="33:33">
      <c r="AG15806" s="14"/>
    </row>
    <row r="15807" spans="33:33">
      <c r="AG15807" s="14"/>
    </row>
    <row r="15808" spans="33:33">
      <c r="AG15808" s="14"/>
    </row>
    <row r="15809" spans="33:33">
      <c r="AG15809" s="14"/>
    </row>
    <row r="15810" spans="33:33">
      <c r="AG15810" s="14"/>
    </row>
    <row r="15811" spans="33:33">
      <c r="AG15811" s="14"/>
    </row>
    <row r="15812" spans="33:33">
      <c r="AG15812" s="14"/>
    </row>
    <row r="15813" spans="33:33">
      <c r="AG15813" s="14"/>
    </row>
    <row r="15814" spans="33:33">
      <c r="AG15814" s="14"/>
    </row>
    <row r="15815" spans="33:33">
      <c r="AG15815" s="14"/>
    </row>
    <row r="15816" spans="33:33">
      <c r="AG15816" s="14"/>
    </row>
    <row r="15817" spans="33:33">
      <c r="AG15817" s="14"/>
    </row>
    <row r="15818" spans="33:33">
      <c r="AG15818" s="14"/>
    </row>
    <row r="15819" spans="33:33">
      <c r="AG15819" s="14"/>
    </row>
    <row r="15820" spans="33:33">
      <c r="AG15820" s="14"/>
    </row>
    <row r="15821" spans="33:33">
      <c r="AG15821" s="14"/>
    </row>
    <row r="15822" spans="33:33">
      <c r="AG15822" s="14"/>
    </row>
    <row r="15823" spans="33:33">
      <c r="AG15823" s="14"/>
    </row>
    <row r="15824" spans="33:33">
      <c r="AG15824" s="14"/>
    </row>
    <row r="15825" spans="33:33">
      <c r="AG15825" s="14"/>
    </row>
    <row r="15826" spans="33:33">
      <c r="AG15826" s="14"/>
    </row>
    <row r="15827" spans="33:33">
      <c r="AG15827" s="14"/>
    </row>
    <row r="15828" spans="33:33">
      <c r="AG15828" s="14"/>
    </row>
    <row r="15829" spans="33:33">
      <c r="AG15829" s="14"/>
    </row>
    <row r="15830" spans="33:33">
      <c r="AG15830" s="14"/>
    </row>
    <row r="15831" spans="33:33">
      <c r="AG15831" s="14"/>
    </row>
    <row r="15832" spans="33:33">
      <c r="AG15832" s="14"/>
    </row>
    <row r="15833" spans="33:33">
      <c r="AG15833" s="14"/>
    </row>
    <row r="15834" spans="33:33">
      <c r="AG15834" s="14"/>
    </row>
    <row r="15835" spans="33:33">
      <c r="AG15835" s="14"/>
    </row>
    <row r="15836" spans="33:33">
      <c r="AG15836" s="14"/>
    </row>
    <row r="15837" spans="33:33">
      <c r="AG15837" s="14"/>
    </row>
    <row r="15838" spans="33:33">
      <c r="AG15838" s="14"/>
    </row>
    <row r="15839" spans="33:33">
      <c r="AG15839" s="14"/>
    </row>
    <row r="15840" spans="33:33">
      <c r="AG15840" s="14"/>
    </row>
    <row r="15841" spans="33:33">
      <c r="AG15841" s="14"/>
    </row>
    <row r="15842" spans="33:33">
      <c r="AG15842" s="14"/>
    </row>
    <row r="15843" spans="33:33">
      <c r="AG15843" s="14"/>
    </row>
    <row r="15844" spans="33:33">
      <c r="AG15844" s="14"/>
    </row>
    <row r="15845" spans="33:33">
      <c r="AG15845" s="14"/>
    </row>
    <row r="15846" spans="33:33">
      <c r="AG15846" s="14"/>
    </row>
    <row r="15847" spans="33:33">
      <c r="AG15847" s="14"/>
    </row>
    <row r="15848" spans="33:33">
      <c r="AG15848" s="14"/>
    </row>
    <row r="15849" spans="33:33">
      <c r="AG15849" s="14"/>
    </row>
    <row r="15850" spans="33:33">
      <c r="AG15850" s="14"/>
    </row>
    <row r="15851" spans="33:33">
      <c r="AG15851" s="14"/>
    </row>
    <row r="15852" spans="33:33">
      <c r="AG15852" s="14"/>
    </row>
    <row r="15853" spans="33:33">
      <c r="AG15853" s="14"/>
    </row>
    <row r="15854" spans="33:33">
      <c r="AG15854" s="14"/>
    </row>
    <row r="15855" spans="33:33">
      <c r="AG15855" s="14"/>
    </row>
    <row r="15856" spans="33:33">
      <c r="AG15856" s="14"/>
    </row>
    <row r="15857" spans="33:33">
      <c r="AG15857" s="14"/>
    </row>
    <row r="15858" spans="33:33">
      <c r="AG15858" s="14"/>
    </row>
    <row r="15859" spans="33:33">
      <c r="AG15859" s="14"/>
    </row>
    <row r="15860" spans="33:33">
      <c r="AG15860" s="14"/>
    </row>
    <row r="15861" spans="33:33">
      <c r="AG15861" s="14"/>
    </row>
    <row r="15862" spans="33:33">
      <c r="AG15862" s="14"/>
    </row>
    <row r="15863" spans="33:33">
      <c r="AG15863" s="14"/>
    </row>
    <row r="15864" spans="33:33">
      <c r="AG15864" s="14"/>
    </row>
    <row r="15865" spans="33:33">
      <c r="AG15865" s="14"/>
    </row>
    <row r="15866" spans="33:33">
      <c r="AG15866" s="14"/>
    </row>
    <row r="15867" spans="33:33">
      <c r="AG15867" s="14"/>
    </row>
    <row r="15868" spans="33:33">
      <c r="AG15868" s="14"/>
    </row>
    <row r="15869" spans="33:33">
      <c r="AG15869" s="14"/>
    </row>
    <row r="15870" spans="33:33">
      <c r="AG15870" s="14"/>
    </row>
    <row r="15871" spans="33:33">
      <c r="AG15871" s="14"/>
    </row>
    <row r="15872" spans="33:33">
      <c r="AG15872" s="14"/>
    </row>
    <row r="15873" spans="33:33">
      <c r="AG15873" s="14"/>
    </row>
    <row r="15874" spans="33:33">
      <c r="AG15874" s="14"/>
    </row>
    <row r="15875" spans="33:33">
      <c r="AG15875" s="14"/>
    </row>
    <row r="15876" spans="33:33">
      <c r="AG15876" s="14"/>
    </row>
    <row r="15877" spans="33:33">
      <c r="AG15877" s="14"/>
    </row>
    <row r="15878" spans="33:33">
      <c r="AG15878" s="14"/>
    </row>
    <row r="15879" spans="33:33">
      <c r="AG15879" s="14"/>
    </row>
    <row r="15880" spans="33:33">
      <c r="AG15880" s="14"/>
    </row>
    <row r="15881" spans="33:33">
      <c r="AG15881" s="14"/>
    </row>
    <row r="15882" spans="33:33">
      <c r="AG15882" s="14"/>
    </row>
    <row r="15883" spans="33:33">
      <c r="AG15883" s="14"/>
    </row>
    <row r="15884" spans="33:33">
      <c r="AG15884" s="14"/>
    </row>
    <row r="15885" spans="33:33">
      <c r="AG15885" s="14"/>
    </row>
    <row r="15886" spans="33:33">
      <c r="AG15886" s="14"/>
    </row>
    <row r="15887" spans="33:33">
      <c r="AG15887" s="14"/>
    </row>
    <row r="15888" spans="33:33">
      <c r="AG15888" s="14"/>
    </row>
    <row r="15889" spans="33:33">
      <c r="AG15889" s="14"/>
    </row>
    <row r="15890" spans="33:33">
      <c r="AG15890" s="14"/>
    </row>
    <row r="15891" spans="33:33">
      <c r="AG15891" s="14"/>
    </row>
    <row r="15892" spans="33:33">
      <c r="AG15892" s="14"/>
    </row>
    <row r="15893" spans="33:33">
      <c r="AG15893" s="14"/>
    </row>
    <row r="15894" spans="33:33">
      <c r="AG15894" s="14"/>
    </row>
    <row r="15895" spans="33:33">
      <c r="AG15895" s="14"/>
    </row>
    <row r="15896" spans="33:33">
      <c r="AG15896" s="14"/>
    </row>
    <row r="15897" spans="33:33">
      <c r="AG15897" s="14"/>
    </row>
    <row r="15898" spans="33:33">
      <c r="AG15898" s="14"/>
    </row>
    <row r="15899" spans="33:33">
      <c r="AG15899" s="14"/>
    </row>
    <row r="15900" spans="33:33">
      <c r="AG15900" s="14"/>
    </row>
    <row r="15901" spans="33:33">
      <c r="AG15901" s="14"/>
    </row>
    <row r="15902" spans="33:33">
      <c r="AG15902" s="14"/>
    </row>
    <row r="15903" spans="33:33">
      <c r="AG15903" s="14"/>
    </row>
    <row r="15904" spans="33:33">
      <c r="AG15904" s="14"/>
    </row>
    <row r="15905" spans="33:33">
      <c r="AG15905" s="14"/>
    </row>
    <row r="15906" spans="33:33">
      <c r="AG15906" s="14"/>
    </row>
    <row r="15907" spans="33:33">
      <c r="AG15907" s="14"/>
    </row>
    <row r="15908" spans="33:33">
      <c r="AG15908" s="14"/>
    </row>
    <row r="15909" spans="33:33">
      <c r="AG15909" s="14"/>
    </row>
    <row r="15910" spans="33:33">
      <c r="AG15910" s="14"/>
    </row>
    <row r="15911" spans="33:33">
      <c r="AG15911" s="14"/>
    </row>
    <row r="15912" spans="33:33">
      <c r="AG15912" s="14"/>
    </row>
    <row r="15913" spans="33:33">
      <c r="AG15913" s="14"/>
    </row>
    <row r="15914" spans="33:33">
      <c r="AG15914" s="14"/>
    </row>
    <row r="15915" spans="33:33">
      <c r="AG15915" s="14"/>
    </row>
    <row r="15916" spans="33:33">
      <c r="AG15916" s="14"/>
    </row>
    <row r="15917" spans="33:33">
      <c r="AG15917" s="14"/>
    </row>
    <row r="15918" spans="33:33">
      <c r="AG15918" s="14"/>
    </row>
    <row r="15919" spans="33:33">
      <c r="AG15919" s="14"/>
    </row>
    <row r="15920" spans="33:33">
      <c r="AG15920" s="14"/>
    </row>
    <row r="15921" spans="33:33">
      <c r="AG15921" s="14"/>
    </row>
    <row r="15922" spans="33:33">
      <c r="AG15922" s="14"/>
    </row>
    <row r="15923" spans="33:33">
      <c r="AG15923" s="14"/>
    </row>
    <row r="15924" spans="33:33">
      <c r="AG15924" s="14"/>
    </row>
    <row r="15925" spans="33:33">
      <c r="AG15925" s="14"/>
    </row>
    <row r="15926" spans="33:33">
      <c r="AG15926" s="14"/>
    </row>
    <row r="15927" spans="33:33">
      <c r="AG15927" s="14"/>
    </row>
    <row r="15928" spans="33:33">
      <c r="AG15928" s="14"/>
    </row>
    <row r="15929" spans="33:33">
      <c r="AG15929" s="14"/>
    </row>
    <row r="15930" spans="33:33">
      <c r="AG15930" s="14"/>
    </row>
    <row r="15931" spans="33:33">
      <c r="AG15931" s="14"/>
    </row>
    <row r="15932" spans="33:33">
      <c r="AG15932" s="14"/>
    </row>
    <row r="15933" spans="33:33">
      <c r="AG15933" s="14"/>
    </row>
    <row r="15934" spans="33:33">
      <c r="AG15934" s="14"/>
    </row>
    <row r="15935" spans="33:33">
      <c r="AG15935" s="14"/>
    </row>
    <row r="15936" spans="33:33">
      <c r="AG15936" s="14"/>
    </row>
    <row r="15937" spans="33:33">
      <c r="AG15937" s="14"/>
    </row>
    <row r="15938" spans="33:33">
      <c r="AG15938" s="14"/>
    </row>
    <row r="15939" spans="33:33">
      <c r="AG15939" s="14"/>
    </row>
    <row r="15940" spans="33:33">
      <c r="AG15940" s="14"/>
    </row>
    <row r="15941" spans="33:33">
      <c r="AG15941" s="14"/>
    </row>
    <row r="15942" spans="33:33">
      <c r="AG15942" s="14"/>
    </row>
    <row r="15943" spans="33:33">
      <c r="AG15943" s="14"/>
    </row>
    <row r="15944" spans="33:33">
      <c r="AG15944" s="14"/>
    </row>
    <row r="15945" spans="33:33">
      <c r="AG15945" s="14"/>
    </row>
    <row r="15946" spans="33:33">
      <c r="AG15946" s="14"/>
    </row>
    <row r="15947" spans="33:33">
      <c r="AG15947" s="14"/>
    </row>
    <row r="15948" spans="33:33">
      <c r="AG15948" s="14"/>
    </row>
    <row r="15949" spans="33:33">
      <c r="AG15949" s="14"/>
    </row>
    <row r="15950" spans="33:33">
      <c r="AG15950" s="14"/>
    </row>
    <row r="15951" spans="33:33">
      <c r="AG15951" s="14"/>
    </row>
    <row r="15952" spans="33:33">
      <c r="AG15952" s="14"/>
    </row>
    <row r="15953" spans="33:33">
      <c r="AG15953" s="14"/>
    </row>
    <row r="15954" spans="33:33">
      <c r="AG15954" s="14"/>
    </row>
    <row r="15955" spans="33:33">
      <c r="AG15955" s="14"/>
    </row>
    <row r="15956" spans="33:33">
      <c r="AG15956" s="14"/>
    </row>
    <row r="15957" spans="33:33">
      <c r="AG15957" s="14"/>
    </row>
    <row r="15958" spans="33:33">
      <c r="AG15958" s="14"/>
    </row>
    <row r="15959" spans="33:33">
      <c r="AG15959" s="14"/>
    </row>
    <row r="15960" spans="33:33">
      <c r="AG15960" s="14"/>
    </row>
    <row r="15961" spans="33:33">
      <c r="AG15961" s="14"/>
    </row>
    <row r="15962" spans="33:33">
      <c r="AG15962" s="14"/>
    </row>
    <row r="15963" spans="33:33">
      <c r="AG15963" s="14"/>
    </row>
    <row r="15964" spans="33:33">
      <c r="AG15964" s="14"/>
    </row>
    <row r="15965" spans="33:33">
      <c r="AG15965" s="14"/>
    </row>
    <row r="15966" spans="33:33">
      <c r="AG15966" s="14"/>
    </row>
    <row r="15967" spans="33:33">
      <c r="AG15967" s="14"/>
    </row>
    <row r="15968" spans="33:33">
      <c r="AG15968" s="14"/>
    </row>
    <row r="15969" spans="33:33">
      <c r="AG15969" s="14"/>
    </row>
    <row r="15970" spans="33:33">
      <c r="AG15970" s="14"/>
    </row>
    <row r="15971" spans="33:33">
      <c r="AG15971" s="14"/>
    </row>
    <row r="15972" spans="33:33">
      <c r="AG15972" s="14"/>
    </row>
    <row r="15973" spans="33:33">
      <c r="AG15973" s="14"/>
    </row>
    <row r="15974" spans="33:33">
      <c r="AG15974" s="14"/>
    </row>
    <row r="15975" spans="33:33">
      <c r="AG15975" s="14"/>
    </row>
    <row r="15976" spans="33:33">
      <c r="AG15976" s="14"/>
    </row>
    <row r="15977" spans="33:33">
      <c r="AG15977" s="14"/>
    </row>
    <row r="15978" spans="33:33">
      <c r="AG15978" s="14"/>
    </row>
    <row r="15979" spans="33:33">
      <c r="AG15979" s="14"/>
    </row>
    <row r="15980" spans="33:33">
      <c r="AG15980" s="14"/>
    </row>
    <row r="15981" spans="33:33">
      <c r="AG15981" s="14"/>
    </row>
    <row r="15982" spans="33:33">
      <c r="AG15982" s="14"/>
    </row>
    <row r="15983" spans="33:33">
      <c r="AG15983" s="14"/>
    </row>
    <row r="15984" spans="33:33">
      <c r="AG15984" s="14"/>
    </row>
    <row r="15985" spans="33:33">
      <c r="AG15985" s="14"/>
    </row>
    <row r="15986" spans="33:33">
      <c r="AG15986" s="14"/>
    </row>
    <row r="15987" spans="33:33">
      <c r="AG15987" s="14"/>
    </row>
    <row r="15988" spans="33:33">
      <c r="AG15988" s="14"/>
    </row>
    <row r="15989" spans="33:33">
      <c r="AG15989" s="14"/>
    </row>
    <row r="15990" spans="33:33">
      <c r="AG15990" s="14"/>
    </row>
    <row r="15991" spans="33:33">
      <c r="AG15991" s="14"/>
    </row>
    <row r="15992" spans="33:33">
      <c r="AG15992" s="14"/>
    </row>
    <row r="15993" spans="33:33">
      <c r="AG15993" s="14"/>
    </row>
    <row r="15994" spans="33:33">
      <c r="AG15994" s="14"/>
    </row>
    <row r="15995" spans="33:33">
      <c r="AG15995" s="14"/>
    </row>
    <row r="15996" spans="33:33">
      <c r="AG15996" s="14"/>
    </row>
    <row r="15997" spans="33:33">
      <c r="AG15997" s="14"/>
    </row>
    <row r="15998" spans="33:33">
      <c r="AG15998" s="14"/>
    </row>
    <row r="15999" spans="33:33">
      <c r="AG15999" s="14"/>
    </row>
    <row r="16000" spans="33:33">
      <c r="AG16000" s="14"/>
    </row>
    <row r="16001" spans="33:33">
      <c r="AG16001" s="14"/>
    </row>
    <row r="16002" spans="33:33">
      <c r="AG16002" s="14"/>
    </row>
    <row r="16003" spans="33:33">
      <c r="AG16003" s="14"/>
    </row>
    <row r="16004" spans="33:33">
      <c r="AG16004" s="14"/>
    </row>
    <row r="16005" spans="33:33">
      <c r="AG16005" s="14"/>
    </row>
    <row r="16006" spans="33:33">
      <c r="AG16006" s="14"/>
    </row>
    <row r="16007" spans="33:33">
      <c r="AG16007" s="14"/>
    </row>
    <row r="16008" spans="33:33">
      <c r="AG16008" s="14"/>
    </row>
    <row r="16009" spans="33:33">
      <c r="AG16009" s="14"/>
    </row>
    <row r="16010" spans="33:33">
      <c r="AG16010" s="14"/>
    </row>
    <row r="16011" spans="33:33">
      <c r="AG16011" s="14"/>
    </row>
    <row r="16012" spans="33:33">
      <c r="AG16012" s="14"/>
    </row>
    <row r="16013" spans="33:33">
      <c r="AG16013" s="14"/>
    </row>
    <row r="16014" spans="33:33">
      <c r="AG16014" s="14"/>
    </row>
    <row r="16015" spans="33:33">
      <c r="AG16015" s="14"/>
    </row>
    <row r="16016" spans="33:33">
      <c r="AG16016" s="14"/>
    </row>
    <row r="16017" spans="33:33">
      <c r="AG16017" s="14"/>
    </row>
    <row r="16018" spans="33:33">
      <c r="AG16018" s="14"/>
    </row>
    <row r="16019" spans="33:33">
      <c r="AG16019" s="14"/>
    </row>
    <row r="16020" spans="33:33">
      <c r="AG16020" s="14"/>
    </row>
    <row r="16021" spans="33:33">
      <c r="AG16021" s="14"/>
    </row>
    <row r="16022" spans="33:33">
      <c r="AG16022" s="14"/>
    </row>
    <row r="16023" spans="33:33">
      <c r="AG16023" s="14"/>
    </row>
    <row r="16024" spans="33:33">
      <c r="AG16024" s="14"/>
    </row>
    <row r="16025" spans="33:33">
      <c r="AG16025" s="14"/>
    </row>
    <row r="16026" spans="33:33">
      <c r="AG16026" s="14"/>
    </row>
    <row r="16027" spans="33:33">
      <c r="AG16027" s="14"/>
    </row>
    <row r="16028" spans="33:33">
      <c r="AG16028" s="14"/>
    </row>
    <row r="16029" spans="33:33">
      <c r="AG16029" s="14"/>
    </row>
    <row r="16030" spans="33:33">
      <c r="AG16030" s="14"/>
    </row>
    <row r="16031" spans="33:33">
      <c r="AG16031" s="14"/>
    </row>
    <row r="16032" spans="33:33">
      <c r="AG16032" s="14"/>
    </row>
    <row r="16033" spans="33:33">
      <c r="AG16033" s="14"/>
    </row>
    <row r="16034" spans="33:33">
      <c r="AG16034" s="14"/>
    </row>
    <row r="16035" spans="33:33">
      <c r="AG16035" s="14"/>
    </row>
    <row r="16036" spans="33:33">
      <c r="AG16036" s="14"/>
    </row>
    <row r="16037" spans="33:33">
      <c r="AG16037" s="14"/>
    </row>
    <row r="16038" spans="33:33">
      <c r="AG16038" s="14"/>
    </row>
    <row r="16039" spans="33:33">
      <c r="AG16039" s="14"/>
    </row>
    <row r="16040" spans="33:33">
      <c r="AG16040" s="14"/>
    </row>
    <row r="16041" spans="33:33">
      <c r="AG16041" s="14"/>
    </row>
    <row r="16042" spans="33:33">
      <c r="AG16042" s="14"/>
    </row>
    <row r="16043" spans="33:33">
      <c r="AG16043" s="14"/>
    </row>
    <row r="16044" spans="33:33">
      <c r="AG16044" s="14"/>
    </row>
    <row r="16045" spans="33:33">
      <c r="AG16045" s="14"/>
    </row>
    <row r="16046" spans="33:33">
      <c r="AG16046" s="14"/>
    </row>
    <row r="16047" spans="33:33">
      <c r="AG16047" s="14"/>
    </row>
    <row r="16048" spans="33:33">
      <c r="AG16048" s="14"/>
    </row>
    <row r="16049" spans="33:33">
      <c r="AG16049" s="14"/>
    </row>
    <row r="16050" spans="33:33">
      <c r="AG16050" s="14"/>
    </row>
    <row r="16051" spans="33:33">
      <c r="AG16051" s="14"/>
    </row>
    <row r="16052" spans="33:33">
      <c r="AG16052" s="14"/>
    </row>
    <row r="16053" spans="33:33">
      <c r="AG16053" s="14"/>
    </row>
    <row r="16054" spans="33:33">
      <c r="AG16054" s="14"/>
    </row>
    <row r="16055" spans="33:33">
      <c r="AG16055" s="14"/>
    </row>
    <row r="16056" spans="33:33">
      <c r="AG16056" s="14"/>
    </row>
    <row r="16057" spans="33:33">
      <c r="AG16057" s="14"/>
    </row>
    <row r="16058" spans="33:33">
      <c r="AG16058" s="14"/>
    </row>
    <row r="16059" spans="33:33">
      <c r="AG16059" s="14"/>
    </row>
    <row r="16060" spans="33:33">
      <c r="AG16060" s="14"/>
    </row>
    <row r="16061" spans="33:33">
      <c r="AG16061" s="14"/>
    </row>
    <row r="16062" spans="33:33">
      <c r="AG16062" s="14"/>
    </row>
    <row r="16063" spans="33:33">
      <c r="AG16063" s="14"/>
    </row>
    <row r="16064" spans="33:33">
      <c r="AG16064" s="14"/>
    </row>
    <row r="16065" spans="33:33">
      <c r="AG16065" s="14"/>
    </row>
    <row r="16066" spans="33:33">
      <c r="AG16066" s="14"/>
    </row>
    <row r="16067" spans="33:33">
      <c r="AG16067" s="14"/>
    </row>
    <row r="16068" spans="33:33">
      <c r="AG16068" s="14"/>
    </row>
    <row r="16069" spans="33:33">
      <c r="AG16069" s="14"/>
    </row>
    <row r="16070" spans="33:33">
      <c r="AG16070" s="14"/>
    </row>
    <row r="16071" spans="33:33">
      <c r="AG16071" s="14"/>
    </row>
    <row r="16072" spans="33:33">
      <c r="AG16072" s="14"/>
    </row>
    <row r="16073" spans="33:33">
      <c r="AG16073" s="14"/>
    </row>
    <row r="16074" spans="33:33">
      <c r="AG16074" s="14"/>
    </row>
    <row r="16075" spans="33:33">
      <c r="AG16075" s="14"/>
    </row>
    <row r="16076" spans="33:33">
      <c r="AG16076" s="14"/>
    </row>
    <row r="16077" spans="33:33">
      <c r="AG16077" s="14"/>
    </row>
    <row r="16078" spans="33:33">
      <c r="AG16078" s="14"/>
    </row>
    <row r="16079" spans="33:33">
      <c r="AG16079" s="14"/>
    </row>
    <row r="16080" spans="33:33">
      <c r="AG16080" s="14"/>
    </row>
    <row r="16081" spans="33:33">
      <c r="AG16081" s="14"/>
    </row>
    <row r="16082" spans="33:33">
      <c r="AG16082" s="14"/>
    </row>
    <row r="16083" spans="33:33">
      <c r="AG16083" s="14"/>
    </row>
    <row r="16084" spans="33:33">
      <c r="AG16084" s="14"/>
    </row>
    <row r="16085" spans="33:33">
      <c r="AG16085" s="14"/>
    </row>
    <row r="16086" spans="33:33">
      <c r="AG16086" s="14"/>
    </row>
    <row r="16087" spans="33:33">
      <c r="AG16087" s="14"/>
    </row>
    <row r="16088" spans="33:33">
      <c r="AG16088" s="14"/>
    </row>
    <row r="16089" spans="33:33">
      <c r="AG16089" s="14"/>
    </row>
    <row r="16090" spans="33:33">
      <c r="AG16090" s="14"/>
    </row>
    <row r="16091" spans="33:33">
      <c r="AG16091" s="14"/>
    </row>
    <row r="16092" spans="33:33">
      <c r="AG16092" s="14"/>
    </row>
    <row r="16093" spans="33:33">
      <c r="AG16093" s="14"/>
    </row>
    <row r="16094" spans="33:33">
      <c r="AG16094" s="14"/>
    </row>
    <row r="16095" spans="33:33">
      <c r="AG16095" s="14"/>
    </row>
    <row r="16096" spans="33:33">
      <c r="AG16096" s="14"/>
    </row>
    <row r="16097" spans="33:33">
      <c r="AG16097" s="14"/>
    </row>
    <row r="16098" spans="33:33">
      <c r="AG16098" s="14"/>
    </row>
    <row r="16099" spans="33:33">
      <c r="AG16099" s="14"/>
    </row>
    <row r="16100" spans="33:33">
      <c r="AG16100" s="14"/>
    </row>
    <row r="16101" spans="33:33">
      <c r="AG16101" s="14"/>
    </row>
    <row r="16102" spans="33:33">
      <c r="AG16102" s="14"/>
    </row>
    <row r="16103" spans="33:33">
      <c r="AG16103" s="14"/>
    </row>
    <row r="16104" spans="33:33">
      <c r="AG16104" s="14"/>
    </row>
    <row r="16105" spans="33:33">
      <c r="AG16105" s="14"/>
    </row>
    <row r="16106" spans="33:33">
      <c r="AG16106" s="14"/>
    </row>
    <row r="16107" spans="33:33">
      <c r="AG16107" s="14"/>
    </row>
    <row r="16108" spans="33:33">
      <c r="AG16108" s="14"/>
    </row>
    <row r="16109" spans="33:33">
      <c r="AG16109" s="14"/>
    </row>
    <row r="16110" spans="33:33">
      <c r="AG16110" s="14"/>
    </row>
    <row r="16111" spans="33:33">
      <c r="AG16111" s="14"/>
    </row>
    <row r="16112" spans="33:33">
      <c r="AG16112" s="14"/>
    </row>
    <row r="16113" spans="33:33">
      <c r="AG16113" s="14"/>
    </row>
    <row r="16114" spans="33:33">
      <c r="AG16114" s="14"/>
    </row>
    <row r="16115" spans="33:33">
      <c r="AG16115" s="14"/>
    </row>
    <row r="16116" spans="33:33">
      <c r="AG16116" s="14"/>
    </row>
    <row r="16117" spans="33:33">
      <c r="AG16117" s="14"/>
    </row>
    <row r="16118" spans="33:33">
      <c r="AG16118" s="14"/>
    </row>
    <row r="16119" spans="33:33">
      <c r="AG16119" s="14"/>
    </row>
    <row r="16120" spans="33:33">
      <c r="AG16120" s="14"/>
    </row>
    <row r="16121" spans="33:33">
      <c r="AG16121" s="14"/>
    </row>
    <row r="16122" spans="33:33">
      <c r="AG16122" s="14"/>
    </row>
    <row r="16123" spans="33:33">
      <c r="AG16123" s="14"/>
    </row>
    <row r="16124" spans="33:33">
      <c r="AG16124" s="14"/>
    </row>
    <row r="16125" spans="33:33">
      <c r="AG16125" s="14"/>
    </row>
    <row r="16126" spans="33:33">
      <c r="AG16126" s="14"/>
    </row>
    <row r="16127" spans="33:33">
      <c r="AG16127" s="14"/>
    </row>
    <row r="16128" spans="33:33">
      <c r="AG16128" s="14"/>
    </row>
    <row r="16129" spans="33:33">
      <c r="AG16129" s="14"/>
    </row>
    <row r="16130" spans="33:33">
      <c r="AG16130" s="14"/>
    </row>
    <row r="16131" spans="33:33">
      <c r="AG16131" s="14"/>
    </row>
    <row r="16132" spans="33:33">
      <c r="AG16132" s="14"/>
    </row>
    <row r="16133" spans="33:33">
      <c r="AG16133" s="14"/>
    </row>
    <row r="16134" spans="33:33">
      <c r="AG16134" s="14"/>
    </row>
    <row r="16135" spans="33:33">
      <c r="AG16135" s="14"/>
    </row>
    <row r="16136" spans="33:33">
      <c r="AG16136" s="14"/>
    </row>
    <row r="16137" spans="33:33">
      <c r="AG16137" s="14"/>
    </row>
    <row r="16138" spans="33:33">
      <c r="AG16138" s="14"/>
    </row>
    <row r="16139" spans="33:33">
      <c r="AG16139" s="14"/>
    </row>
    <row r="16140" spans="33:33">
      <c r="AG16140" s="14"/>
    </row>
    <row r="16141" spans="33:33">
      <c r="AG16141" s="14"/>
    </row>
    <row r="16142" spans="33:33">
      <c r="AG16142" s="14"/>
    </row>
    <row r="16143" spans="33:33">
      <c r="AG16143" s="14"/>
    </row>
    <row r="16144" spans="33:33">
      <c r="AG16144" s="14"/>
    </row>
    <row r="16145" spans="33:33">
      <c r="AG16145" s="14"/>
    </row>
    <row r="16146" spans="33:33">
      <c r="AG16146" s="14"/>
    </row>
    <row r="16147" spans="33:33">
      <c r="AG16147" s="14"/>
    </row>
    <row r="16148" spans="33:33">
      <c r="AG16148" s="14"/>
    </row>
    <row r="16149" spans="33:33">
      <c r="AG16149" s="14"/>
    </row>
    <row r="16150" spans="33:33">
      <c r="AG16150" s="14"/>
    </row>
    <row r="16151" spans="33:33">
      <c r="AG16151" s="14"/>
    </row>
    <row r="16152" spans="33:33">
      <c r="AG16152" s="14"/>
    </row>
    <row r="16153" spans="33:33">
      <c r="AG16153" s="14"/>
    </row>
    <row r="16154" spans="33:33">
      <c r="AG16154" s="14"/>
    </row>
    <row r="16155" spans="33:33">
      <c r="AG16155" s="14"/>
    </row>
    <row r="16156" spans="33:33">
      <c r="AG16156" s="14"/>
    </row>
    <row r="16157" spans="33:33">
      <c r="AG16157" s="14"/>
    </row>
    <row r="16158" spans="33:33">
      <c r="AG16158" s="14"/>
    </row>
    <row r="16159" spans="33:33">
      <c r="AG16159" s="14"/>
    </row>
    <row r="16160" spans="33:33">
      <c r="AG16160" s="14"/>
    </row>
    <row r="16161" spans="33:33">
      <c r="AG16161" s="14"/>
    </row>
    <row r="16162" spans="33:33">
      <c r="AG16162" s="14"/>
    </row>
    <row r="16163" spans="33:33">
      <c r="AG16163" s="14"/>
    </row>
    <row r="16164" spans="33:33">
      <c r="AG16164" s="14"/>
    </row>
    <row r="16165" spans="33:33">
      <c r="AG16165" s="14"/>
    </row>
    <row r="16166" spans="33:33">
      <c r="AG16166" s="14"/>
    </row>
    <row r="16167" spans="33:33">
      <c r="AG16167" s="14"/>
    </row>
    <row r="16168" spans="33:33">
      <c r="AG16168" s="14"/>
    </row>
    <row r="16169" spans="33:33">
      <c r="AG16169" s="14"/>
    </row>
    <row r="16170" spans="33:33">
      <c r="AG16170" s="14"/>
    </row>
    <row r="16171" spans="33:33">
      <c r="AG16171" s="14"/>
    </row>
    <row r="16172" spans="33:33">
      <c r="AG16172" s="14"/>
    </row>
    <row r="16173" spans="33:33">
      <c r="AG16173" s="14"/>
    </row>
    <row r="16174" spans="33:33">
      <c r="AG16174" s="14"/>
    </row>
    <row r="16175" spans="33:33">
      <c r="AG16175" s="14"/>
    </row>
    <row r="16176" spans="33:33">
      <c r="AG16176" s="14"/>
    </row>
    <row r="16177" spans="33:33">
      <c r="AG16177" s="14"/>
    </row>
    <row r="16178" spans="33:33">
      <c r="AG16178" s="14"/>
    </row>
    <row r="16179" spans="33:33">
      <c r="AG16179" s="14"/>
    </row>
    <row r="16180" spans="33:33">
      <c r="AG16180" s="14"/>
    </row>
    <row r="16181" spans="33:33">
      <c r="AG16181" s="14"/>
    </row>
    <row r="16182" spans="33:33">
      <c r="AG16182" s="14"/>
    </row>
    <row r="16183" spans="33:33">
      <c r="AG16183" s="14"/>
    </row>
    <row r="16184" spans="33:33">
      <c r="AG16184" s="14"/>
    </row>
    <row r="16185" spans="33:33">
      <c r="AG16185" s="14"/>
    </row>
    <row r="16186" spans="33:33">
      <c r="AG16186" s="14"/>
    </row>
    <row r="16187" spans="33:33">
      <c r="AG16187" s="14"/>
    </row>
    <row r="16188" spans="33:33">
      <c r="AG16188" s="14"/>
    </row>
    <row r="16189" spans="33:33">
      <c r="AG16189" s="14"/>
    </row>
    <row r="16190" spans="33:33">
      <c r="AG16190" s="14"/>
    </row>
    <row r="16191" spans="33:33">
      <c r="AG16191" s="14"/>
    </row>
    <row r="16192" spans="33:33">
      <c r="AG16192" s="14"/>
    </row>
    <row r="16193" spans="33:33">
      <c r="AG16193" s="14"/>
    </row>
    <row r="16194" spans="33:33">
      <c r="AG16194" s="14"/>
    </row>
    <row r="16195" spans="33:33">
      <c r="AG16195" s="14"/>
    </row>
    <row r="16196" spans="33:33">
      <c r="AG16196" s="14"/>
    </row>
    <row r="16197" spans="33:33">
      <c r="AG16197" s="14"/>
    </row>
    <row r="16198" spans="33:33">
      <c r="AG16198" s="14"/>
    </row>
    <row r="16199" spans="33:33">
      <c r="AG16199" s="14"/>
    </row>
    <row r="16200" spans="33:33">
      <c r="AG16200" s="14"/>
    </row>
    <row r="16201" spans="33:33">
      <c r="AG16201" s="14"/>
    </row>
    <row r="16202" spans="33:33">
      <c r="AG16202" s="14"/>
    </row>
    <row r="16203" spans="33:33">
      <c r="AG16203" s="14"/>
    </row>
    <row r="16204" spans="33:33">
      <c r="AG16204" s="14"/>
    </row>
    <row r="16205" spans="33:33">
      <c r="AG16205" s="14"/>
    </row>
    <row r="16206" spans="33:33">
      <c r="AG16206" s="14"/>
    </row>
    <row r="16207" spans="33:33">
      <c r="AG16207" s="14"/>
    </row>
    <row r="16208" spans="33:33">
      <c r="AG16208" s="14"/>
    </row>
    <row r="16209" spans="33:33">
      <c r="AG16209" s="14"/>
    </row>
    <row r="16210" spans="33:33">
      <c r="AG16210" s="14"/>
    </row>
    <row r="16211" spans="33:33">
      <c r="AG16211" s="14"/>
    </row>
    <row r="16212" spans="33:33">
      <c r="AG16212" s="14"/>
    </row>
    <row r="16213" spans="33:33">
      <c r="AG16213" s="14"/>
    </row>
    <row r="16214" spans="33:33">
      <c r="AG16214" s="14"/>
    </row>
    <row r="16215" spans="33:33">
      <c r="AG16215" s="14"/>
    </row>
    <row r="16216" spans="33:33">
      <c r="AG16216" s="14"/>
    </row>
    <row r="16217" spans="33:33">
      <c r="AG16217" s="14"/>
    </row>
    <row r="16218" spans="33:33">
      <c r="AG16218" s="14"/>
    </row>
    <row r="16219" spans="33:33">
      <c r="AG16219" s="14"/>
    </row>
    <row r="16220" spans="33:33">
      <c r="AG16220" s="14"/>
    </row>
    <row r="16221" spans="33:33">
      <c r="AG16221" s="14"/>
    </row>
    <row r="16222" spans="33:33">
      <c r="AG16222" s="14"/>
    </row>
    <row r="16223" spans="33:33">
      <c r="AG16223" s="14"/>
    </row>
    <row r="16224" spans="33:33">
      <c r="AG16224" s="14"/>
    </row>
    <row r="16225" spans="33:33">
      <c r="AG16225" s="14"/>
    </row>
    <row r="16226" spans="33:33">
      <c r="AG16226" s="14"/>
    </row>
    <row r="16227" spans="33:33">
      <c r="AG16227" s="14"/>
    </row>
    <row r="16228" spans="33:33">
      <c r="AG16228" s="14"/>
    </row>
    <row r="16229" spans="33:33">
      <c r="AG16229" s="14"/>
    </row>
    <row r="16230" spans="33:33">
      <c r="AG16230" s="14"/>
    </row>
    <row r="16231" spans="33:33">
      <c r="AG16231" s="14"/>
    </row>
    <row r="16232" spans="33:33">
      <c r="AG16232" s="14"/>
    </row>
    <row r="16233" spans="33:33">
      <c r="AG16233" s="14"/>
    </row>
    <row r="16234" spans="33:33">
      <c r="AG16234" s="14"/>
    </row>
    <row r="16235" spans="33:33">
      <c r="AG16235" s="14"/>
    </row>
    <row r="16236" spans="33:33">
      <c r="AG16236" s="14"/>
    </row>
    <row r="16237" spans="33:33">
      <c r="AG16237" s="14"/>
    </row>
    <row r="16238" spans="33:33">
      <c r="AG16238" s="14"/>
    </row>
    <row r="16239" spans="33:33">
      <c r="AG16239" s="14"/>
    </row>
    <row r="16240" spans="33:33">
      <c r="AG16240" s="14"/>
    </row>
    <row r="16241" spans="33:33">
      <c r="AG16241" s="14"/>
    </row>
    <row r="16242" spans="33:33">
      <c r="AG16242" s="14"/>
    </row>
    <row r="16243" spans="33:33">
      <c r="AG16243" s="14"/>
    </row>
    <row r="16244" spans="33:33">
      <c r="AG16244" s="14"/>
    </row>
    <row r="16245" spans="33:33">
      <c r="AG16245" s="14"/>
    </row>
    <row r="16246" spans="33:33">
      <c r="AG16246" s="14"/>
    </row>
    <row r="16247" spans="33:33">
      <c r="AG16247" s="14"/>
    </row>
    <row r="16248" spans="33:33">
      <c r="AG16248" s="14"/>
    </row>
    <row r="16249" spans="33:33">
      <c r="AG16249" s="14"/>
    </row>
    <row r="16250" spans="33:33">
      <c r="AG16250" s="14"/>
    </row>
    <row r="16251" spans="33:33">
      <c r="AG16251" s="14"/>
    </row>
    <row r="16252" spans="33:33">
      <c r="AG16252" s="14"/>
    </row>
    <row r="16253" spans="33:33">
      <c r="AG16253" s="14"/>
    </row>
    <row r="16254" spans="33:33">
      <c r="AG16254" s="14"/>
    </row>
    <row r="16255" spans="33:33">
      <c r="AG16255" s="14"/>
    </row>
    <row r="16256" spans="33:33">
      <c r="AG16256" s="14"/>
    </row>
    <row r="16257" spans="33:33">
      <c r="AG16257" s="14"/>
    </row>
    <row r="16258" spans="33:33">
      <c r="AG16258" s="14"/>
    </row>
    <row r="16259" spans="33:33">
      <c r="AG16259" s="14"/>
    </row>
    <row r="16260" spans="33:33">
      <c r="AG16260" s="14"/>
    </row>
    <row r="16261" spans="33:33">
      <c r="AG16261" s="14"/>
    </row>
    <row r="16262" spans="33:33">
      <c r="AG16262" s="14"/>
    </row>
    <row r="16263" spans="33:33">
      <c r="AG16263" s="14"/>
    </row>
    <row r="16264" spans="33:33">
      <c r="AG16264" s="14"/>
    </row>
    <row r="16265" spans="33:33">
      <c r="AG16265" s="14"/>
    </row>
    <row r="16266" spans="33:33">
      <c r="AG16266" s="14"/>
    </row>
    <row r="16267" spans="33:33">
      <c r="AG16267" s="14"/>
    </row>
    <row r="16268" spans="33:33">
      <c r="AG16268" s="14"/>
    </row>
    <row r="16269" spans="33:33">
      <c r="AG16269" s="14"/>
    </row>
    <row r="16270" spans="33:33">
      <c r="AG16270" s="14"/>
    </row>
    <row r="16271" spans="33:33">
      <c r="AG16271" s="14"/>
    </row>
    <row r="16272" spans="33:33">
      <c r="AG16272" s="14"/>
    </row>
    <row r="16273" spans="33:33">
      <c r="AG16273" s="14"/>
    </row>
    <row r="16274" spans="33:33">
      <c r="AG16274" s="14"/>
    </row>
    <row r="16275" spans="33:33">
      <c r="AG16275" s="14"/>
    </row>
    <row r="16276" spans="33:33">
      <c r="AG16276" s="14"/>
    </row>
    <row r="16277" spans="33:33">
      <c r="AG16277" s="14"/>
    </row>
    <row r="16278" spans="33:33">
      <c r="AG16278" s="14"/>
    </row>
    <row r="16279" spans="33:33">
      <c r="AG16279" s="14"/>
    </row>
    <row r="16280" spans="33:33">
      <c r="AG16280" s="14"/>
    </row>
    <row r="16281" spans="33:33">
      <c r="AG16281" s="14"/>
    </row>
    <row r="16282" spans="33:33">
      <c r="AG16282" s="14"/>
    </row>
    <row r="16283" spans="33:33">
      <c r="AG16283" s="14"/>
    </row>
    <row r="16284" spans="33:33">
      <c r="AG16284" s="14"/>
    </row>
    <row r="16285" spans="33:33">
      <c r="AG16285" s="14"/>
    </row>
    <row r="16286" spans="33:33">
      <c r="AG16286" s="14"/>
    </row>
    <row r="16287" spans="33:33">
      <c r="AG16287" s="14"/>
    </row>
    <row r="16288" spans="33:33">
      <c r="AG16288" s="14"/>
    </row>
    <row r="16289" spans="33:33">
      <c r="AG16289" s="14"/>
    </row>
    <row r="16290" spans="33:33">
      <c r="AG16290" s="14"/>
    </row>
    <row r="16291" spans="33:33">
      <c r="AG16291" s="14"/>
    </row>
    <row r="16292" spans="33:33">
      <c r="AG16292" s="14"/>
    </row>
    <row r="16293" spans="33:33">
      <c r="AG16293" s="14"/>
    </row>
    <row r="16294" spans="33:33">
      <c r="AG16294" s="14"/>
    </row>
    <row r="16295" spans="33:33">
      <c r="AG16295" s="14"/>
    </row>
    <row r="16296" spans="33:33">
      <c r="AG16296" s="14"/>
    </row>
    <row r="16297" spans="33:33">
      <c r="AG16297" s="14"/>
    </row>
    <row r="16298" spans="33:33">
      <c r="AG16298" s="14"/>
    </row>
    <row r="16299" spans="33:33">
      <c r="AG16299" s="14"/>
    </row>
    <row r="16300" spans="33:33">
      <c r="AG16300" s="14"/>
    </row>
    <row r="16301" spans="33:33">
      <c r="AG16301" s="14"/>
    </row>
    <row r="16302" spans="33:33">
      <c r="AG16302" s="14"/>
    </row>
    <row r="16303" spans="33:33">
      <c r="AG16303" s="14"/>
    </row>
    <row r="16304" spans="33:33">
      <c r="AG16304" s="14"/>
    </row>
    <row r="16305" spans="33:33">
      <c r="AG16305" s="14"/>
    </row>
    <row r="16306" spans="33:33">
      <c r="AG16306" s="14"/>
    </row>
    <row r="16307" spans="33:33">
      <c r="AG16307" s="14"/>
    </row>
    <row r="16308" spans="33:33">
      <c r="AG16308" s="14"/>
    </row>
    <row r="16309" spans="33:33">
      <c r="AG16309" s="14"/>
    </row>
    <row r="16310" spans="33:33">
      <c r="AG16310" s="14"/>
    </row>
    <row r="16311" spans="33:33">
      <c r="AG16311" s="14"/>
    </row>
    <row r="16312" spans="33:33">
      <c r="AG16312" s="14"/>
    </row>
    <row r="16313" spans="33:33">
      <c r="AG16313" s="14"/>
    </row>
    <row r="16314" spans="33:33">
      <c r="AG16314" s="14"/>
    </row>
    <row r="16315" spans="33:33">
      <c r="AG16315" s="14"/>
    </row>
    <row r="16316" spans="33:33">
      <c r="AG16316" s="14"/>
    </row>
    <row r="16317" spans="33:33">
      <c r="AG16317" s="14"/>
    </row>
    <row r="16318" spans="33:33">
      <c r="AG16318" s="14"/>
    </row>
    <row r="16319" spans="33:33">
      <c r="AG16319" s="14"/>
    </row>
    <row r="16320" spans="33:33">
      <c r="AG16320" s="14"/>
    </row>
    <row r="16321" spans="33:33">
      <c r="AG16321" s="14"/>
    </row>
    <row r="16322" spans="33:33">
      <c r="AG16322" s="14"/>
    </row>
    <row r="16323" spans="33:33">
      <c r="AG16323" s="14"/>
    </row>
    <row r="16324" spans="33:33">
      <c r="AG16324" s="14"/>
    </row>
    <row r="16325" spans="33:33">
      <c r="AG16325" s="14"/>
    </row>
    <row r="16326" spans="33:33">
      <c r="AG16326" s="14"/>
    </row>
    <row r="16327" spans="33:33">
      <c r="AG16327" s="14"/>
    </row>
    <row r="16328" spans="33:33">
      <c r="AG16328" s="14"/>
    </row>
    <row r="16329" spans="33:33">
      <c r="AG16329" s="14"/>
    </row>
    <row r="16330" spans="33:33">
      <c r="AG16330" s="14"/>
    </row>
    <row r="16331" spans="33:33">
      <c r="AG16331" s="14"/>
    </row>
    <row r="16332" spans="33:33">
      <c r="AG16332" s="14"/>
    </row>
    <row r="16333" spans="33:33">
      <c r="AG16333" s="14"/>
    </row>
    <row r="16334" spans="33:33">
      <c r="AG16334" s="14"/>
    </row>
    <row r="16335" spans="33:33">
      <c r="AG16335" s="14"/>
    </row>
    <row r="16336" spans="33:33">
      <c r="AG16336" s="14"/>
    </row>
    <row r="16337" spans="33:33">
      <c r="AG16337" s="14"/>
    </row>
    <row r="16338" spans="33:33">
      <c r="AG16338" s="14"/>
    </row>
    <row r="16339" spans="33:33">
      <c r="AG16339" s="14"/>
    </row>
    <row r="16340" spans="33:33">
      <c r="AG16340" s="14"/>
    </row>
    <row r="16341" spans="33:33">
      <c r="AG16341" s="14"/>
    </row>
    <row r="16342" spans="33:33">
      <c r="AG16342" s="14"/>
    </row>
    <row r="16343" spans="33:33">
      <c r="AG16343" s="14"/>
    </row>
    <row r="16344" spans="33:33">
      <c r="AG16344" s="14"/>
    </row>
    <row r="16345" spans="33:33">
      <c r="AG16345" s="14"/>
    </row>
    <row r="16346" spans="33:33">
      <c r="AG16346" s="14"/>
    </row>
    <row r="16347" spans="33:33">
      <c r="AG16347" s="14"/>
    </row>
    <row r="16348" spans="33:33">
      <c r="AG16348" s="14"/>
    </row>
    <row r="16349" spans="33:33">
      <c r="AG16349" s="14"/>
    </row>
    <row r="16350" spans="33:33">
      <c r="AG16350" s="14"/>
    </row>
    <row r="16351" spans="33:33">
      <c r="AG16351" s="14"/>
    </row>
    <row r="16352" spans="33:33">
      <c r="AG16352" s="14"/>
    </row>
    <row r="16353" spans="33:33">
      <c r="AG16353" s="14"/>
    </row>
    <row r="16354" spans="33:33">
      <c r="AG16354" s="14"/>
    </row>
    <row r="16355" spans="33:33">
      <c r="AG16355" s="14"/>
    </row>
    <row r="16356" spans="33:33">
      <c r="AG16356" s="14"/>
    </row>
    <row r="16357" spans="33:33">
      <c r="AG16357" s="14"/>
    </row>
    <row r="16358" spans="33:33">
      <c r="AG16358" s="14"/>
    </row>
    <row r="16359" spans="33:33">
      <c r="AG16359" s="14"/>
    </row>
    <row r="16360" spans="33:33">
      <c r="AG16360" s="14"/>
    </row>
    <row r="16361" spans="33:33">
      <c r="AG16361" s="14"/>
    </row>
    <row r="16362" spans="33:33">
      <c r="AG16362" s="14"/>
    </row>
    <row r="16363" spans="33:33">
      <c r="AG16363" s="14"/>
    </row>
    <row r="16364" spans="33:33">
      <c r="AG16364" s="14"/>
    </row>
    <row r="16365" spans="33:33">
      <c r="AG16365" s="14"/>
    </row>
    <row r="16366" spans="33:33">
      <c r="AG16366" s="14"/>
    </row>
    <row r="16367" spans="33:33">
      <c r="AG16367" s="14"/>
    </row>
    <row r="16368" spans="33:33">
      <c r="AG16368" s="14"/>
    </row>
    <row r="16369" spans="33:33">
      <c r="AG16369" s="14"/>
    </row>
    <row r="16370" spans="33:33">
      <c r="AG16370" s="14"/>
    </row>
    <row r="16371" spans="33:33">
      <c r="AG16371" s="14"/>
    </row>
    <row r="16372" spans="33:33">
      <c r="AG16372" s="14"/>
    </row>
    <row r="16373" spans="33:33">
      <c r="AG16373" s="14"/>
    </row>
    <row r="16374" spans="33:33">
      <c r="AG16374" s="14"/>
    </row>
    <row r="16375" spans="33:33">
      <c r="AG16375" s="14"/>
    </row>
    <row r="16376" spans="33:33">
      <c r="AG16376" s="14"/>
    </row>
    <row r="16377" spans="33:33">
      <c r="AG16377" s="14"/>
    </row>
    <row r="16378" spans="33:33">
      <c r="AG16378" s="14"/>
    </row>
    <row r="16379" spans="33:33">
      <c r="AG16379" s="14"/>
    </row>
    <row r="16380" spans="33:33">
      <c r="AG16380" s="14"/>
    </row>
    <row r="16381" spans="33:33">
      <c r="AG16381" s="14"/>
    </row>
    <row r="16382" spans="33:33">
      <c r="AG16382" s="14"/>
    </row>
    <row r="16383" spans="33:33">
      <c r="AG16383" s="14"/>
    </row>
    <row r="16384" spans="33:33">
      <c r="AG16384" s="14"/>
    </row>
    <row r="16385" spans="33:33">
      <c r="AG16385" s="14"/>
    </row>
    <row r="16386" spans="33:33">
      <c r="AG16386" s="14"/>
    </row>
    <row r="16387" spans="33:33">
      <c r="AG16387" s="14"/>
    </row>
    <row r="16388" spans="33:33">
      <c r="AG16388" s="14"/>
    </row>
    <row r="16389" spans="33:33">
      <c r="AG16389" s="14"/>
    </row>
    <row r="16390" spans="33:33">
      <c r="AG16390" s="14"/>
    </row>
    <row r="16391" spans="33:33">
      <c r="AG16391" s="14"/>
    </row>
    <row r="16392" spans="33:33">
      <c r="AG16392" s="14"/>
    </row>
    <row r="16393" spans="33:33">
      <c r="AG16393" s="14"/>
    </row>
    <row r="16394" spans="33:33">
      <c r="AG16394" s="14"/>
    </row>
    <row r="16395" spans="33:33">
      <c r="AG16395" s="14"/>
    </row>
    <row r="16396" spans="33:33">
      <c r="AG16396" s="14"/>
    </row>
    <row r="16397" spans="33:33">
      <c r="AG16397" s="14"/>
    </row>
    <row r="16398" spans="33:33">
      <c r="AG16398" s="14"/>
    </row>
    <row r="16399" spans="33:33">
      <c r="AG16399" s="14"/>
    </row>
    <row r="16400" spans="33:33">
      <c r="AG16400" s="14"/>
    </row>
    <row r="16401" spans="33:33">
      <c r="AG16401" s="14"/>
    </row>
    <row r="16402" spans="33:33">
      <c r="AG16402" s="14"/>
    </row>
    <row r="16403" spans="33:33">
      <c r="AG16403" s="14"/>
    </row>
    <row r="16404" spans="33:33">
      <c r="AG16404" s="14"/>
    </row>
    <row r="16405" spans="33:33">
      <c r="AG16405" s="14"/>
    </row>
    <row r="16406" spans="33:33">
      <c r="AG16406" s="14"/>
    </row>
    <row r="16407" spans="33:33">
      <c r="AG16407" s="14"/>
    </row>
    <row r="16408" spans="33:33">
      <c r="AG16408" s="14"/>
    </row>
    <row r="16409" spans="33:33">
      <c r="AG16409" s="14"/>
    </row>
    <row r="16410" spans="33:33">
      <c r="AG16410" s="14"/>
    </row>
    <row r="16411" spans="33:33">
      <c r="AG16411" s="14"/>
    </row>
    <row r="16412" spans="33:33">
      <c r="AG16412" s="14"/>
    </row>
    <row r="16413" spans="33:33">
      <c r="AG16413" s="14"/>
    </row>
    <row r="16414" spans="33:33">
      <c r="AG16414" s="14"/>
    </row>
    <row r="16415" spans="33:33">
      <c r="AG16415" s="14"/>
    </row>
    <row r="16416" spans="33:33">
      <c r="AG16416" s="14"/>
    </row>
    <row r="16417" spans="33:33">
      <c r="AG16417" s="14"/>
    </row>
    <row r="16418" spans="33:33">
      <c r="AG16418" s="14"/>
    </row>
    <row r="16419" spans="33:33">
      <c r="AG16419" s="14"/>
    </row>
    <row r="16420" spans="33:33">
      <c r="AG16420" s="14"/>
    </row>
    <row r="16421" spans="33:33">
      <c r="AG16421" s="14"/>
    </row>
    <row r="16422" spans="33:33">
      <c r="AG16422" s="14"/>
    </row>
    <row r="16423" spans="33:33">
      <c r="AG16423" s="14"/>
    </row>
    <row r="16424" spans="33:33">
      <c r="AG16424" s="14"/>
    </row>
    <row r="16425" spans="33:33">
      <c r="AG16425" s="14"/>
    </row>
    <row r="16426" spans="33:33">
      <c r="AG16426" s="14"/>
    </row>
    <row r="16427" spans="33:33">
      <c r="AG16427" s="14"/>
    </row>
    <row r="16428" spans="33:33">
      <c r="AG16428" s="14"/>
    </row>
    <row r="16429" spans="33:33">
      <c r="AG16429" s="14"/>
    </row>
    <row r="16430" spans="33:33">
      <c r="AG16430" s="14"/>
    </row>
    <row r="16431" spans="33:33">
      <c r="AG16431" s="14"/>
    </row>
    <row r="16432" spans="33:33">
      <c r="AG16432" s="14"/>
    </row>
    <row r="16433" spans="33:33">
      <c r="AG16433" s="14"/>
    </row>
    <row r="16434" spans="33:33">
      <c r="AG16434" s="14"/>
    </row>
    <row r="16435" spans="33:33">
      <c r="AG16435" s="14"/>
    </row>
    <row r="16436" spans="33:33">
      <c r="AG16436" s="14"/>
    </row>
    <row r="16437" spans="33:33">
      <c r="AG16437" s="14"/>
    </row>
    <row r="16438" spans="33:33">
      <c r="AG16438" s="14"/>
    </row>
    <row r="16439" spans="33:33">
      <c r="AG16439" s="14"/>
    </row>
    <row r="16440" spans="33:33">
      <c r="AG16440" s="14"/>
    </row>
    <row r="16441" spans="33:33">
      <c r="AG16441" s="14"/>
    </row>
    <row r="16442" spans="33:33">
      <c r="AG16442" s="14"/>
    </row>
    <row r="16443" spans="33:33">
      <c r="AG16443" s="14"/>
    </row>
    <row r="16444" spans="33:33">
      <c r="AG16444" s="14"/>
    </row>
    <row r="16445" spans="33:33">
      <c r="AG16445" s="14"/>
    </row>
    <row r="16446" spans="33:33">
      <c r="AG16446" s="14"/>
    </row>
    <row r="16447" spans="33:33">
      <c r="AG16447" s="14"/>
    </row>
    <row r="16448" spans="33:33">
      <c r="AG16448" s="14"/>
    </row>
    <row r="16449" spans="33:33">
      <c r="AG16449" s="14"/>
    </row>
    <row r="16450" spans="33:33">
      <c r="AG16450" s="14"/>
    </row>
    <row r="16451" spans="33:33">
      <c r="AG16451" s="14"/>
    </row>
    <row r="16452" spans="33:33">
      <c r="AG16452" s="14"/>
    </row>
    <row r="16453" spans="33:33">
      <c r="AG16453" s="14"/>
    </row>
    <row r="16454" spans="33:33">
      <c r="AG16454" s="14"/>
    </row>
    <row r="16455" spans="33:33">
      <c r="AG16455" s="14"/>
    </row>
    <row r="16456" spans="33:33">
      <c r="AG16456" s="14"/>
    </row>
    <row r="16457" spans="33:33">
      <c r="AG16457" s="14"/>
    </row>
    <row r="16458" spans="33:33">
      <c r="AG16458" s="14"/>
    </row>
    <row r="16459" spans="33:33">
      <c r="AG16459" s="14"/>
    </row>
    <row r="16460" spans="33:33">
      <c r="AG16460" s="14"/>
    </row>
    <row r="16461" spans="33:33">
      <c r="AG16461" s="14"/>
    </row>
    <row r="16462" spans="33:33">
      <c r="AG16462" s="14"/>
    </row>
    <row r="16463" spans="33:33">
      <c r="AG16463" s="14"/>
    </row>
    <row r="16464" spans="33:33">
      <c r="AG16464" s="14"/>
    </row>
    <row r="16465" spans="33:33">
      <c r="AG16465" s="14"/>
    </row>
    <row r="16466" spans="33:33">
      <c r="AG16466" s="14"/>
    </row>
    <row r="16467" spans="33:33">
      <c r="AG16467" s="14"/>
    </row>
    <row r="16468" spans="33:33">
      <c r="AG16468" s="14"/>
    </row>
    <row r="16469" spans="33:33">
      <c r="AG16469" s="14"/>
    </row>
    <row r="16470" spans="33:33">
      <c r="AG16470" s="14"/>
    </row>
    <row r="16471" spans="33:33">
      <c r="AG16471" s="14"/>
    </row>
    <row r="16472" spans="33:33">
      <c r="AG16472" s="14"/>
    </row>
    <row r="16473" spans="33:33">
      <c r="AG16473" s="14"/>
    </row>
    <row r="16474" spans="33:33">
      <c r="AG16474" s="14"/>
    </row>
    <row r="16475" spans="33:33">
      <c r="AG16475" s="14"/>
    </row>
    <row r="16476" spans="33:33">
      <c r="AG16476" s="14"/>
    </row>
    <row r="16477" spans="33:33">
      <c r="AG16477" s="14"/>
    </row>
    <row r="16478" spans="33:33">
      <c r="AG16478" s="14"/>
    </row>
    <row r="16479" spans="33:33">
      <c r="AG16479" s="14"/>
    </row>
    <row r="16480" spans="33:33">
      <c r="AG16480" s="14"/>
    </row>
    <row r="16481" spans="33:33">
      <c r="AG16481" s="14"/>
    </row>
    <row r="16482" spans="33:33">
      <c r="AG16482" s="14"/>
    </row>
    <row r="16483" spans="33:33">
      <c r="AG16483" s="14"/>
    </row>
    <row r="16484" spans="33:33">
      <c r="AG16484" s="14"/>
    </row>
    <row r="16485" spans="33:33">
      <c r="AG16485" s="14"/>
    </row>
    <row r="16486" spans="33:33">
      <c r="AG16486" s="14"/>
    </row>
    <row r="16487" spans="33:33">
      <c r="AG16487" s="14"/>
    </row>
    <row r="16488" spans="33:33">
      <c r="AG16488" s="14"/>
    </row>
    <row r="16489" spans="33:33">
      <c r="AG16489" s="14"/>
    </row>
    <row r="16490" spans="33:33">
      <c r="AG16490" s="14"/>
    </row>
    <row r="16491" spans="33:33">
      <c r="AG16491" s="14"/>
    </row>
    <row r="16492" spans="33:33">
      <c r="AG16492" s="14"/>
    </row>
    <row r="16493" spans="33:33">
      <c r="AG16493" s="14"/>
    </row>
    <row r="16494" spans="33:33">
      <c r="AG16494" s="14"/>
    </row>
    <row r="16495" spans="33:33">
      <c r="AG16495" s="14"/>
    </row>
    <row r="16496" spans="33:33">
      <c r="AG16496" s="14"/>
    </row>
    <row r="16497" spans="33:33">
      <c r="AG16497" s="14"/>
    </row>
    <row r="16498" spans="33:33">
      <c r="AG16498" s="14"/>
    </row>
    <row r="16499" spans="33:33">
      <c r="AG16499" s="14"/>
    </row>
    <row r="16500" spans="33:33">
      <c r="AG16500" s="14"/>
    </row>
    <row r="16501" spans="33:33">
      <c r="AG16501" s="14"/>
    </row>
    <row r="16502" spans="33:33">
      <c r="AG16502" s="14"/>
    </row>
    <row r="16503" spans="33:33">
      <c r="AG16503" s="14"/>
    </row>
    <row r="16504" spans="33:33">
      <c r="AG16504" s="14"/>
    </row>
    <row r="16505" spans="33:33">
      <c r="AG16505" s="14"/>
    </row>
    <row r="16506" spans="33:33">
      <c r="AG16506" s="14"/>
    </row>
    <row r="16507" spans="33:33">
      <c r="AG16507" s="14"/>
    </row>
    <row r="16508" spans="33:33">
      <c r="AG16508" s="14"/>
    </row>
    <row r="16509" spans="33:33">
      <c r="AG16509" s="14"/>
    </row>
    <row r="16510" spans="33:33">
      <c r="AG16510" s="14"/>
    </row>
    <row r="16511" spans="33:33">
      <c r="AG16511" s="14"/>
    </row>
    <row r="16512" spans="33:33">
      <c r="AG16512" s="14"/>
    </row>
    <row r="16513" spans="33:33">
      <c r="AG16513" s="14"/>
    </row>
    <row r="16514" spans="33:33">
      <c r="AG16514" s="14"/>
    </row>
    <row r="16515" spans="33:33">
      <c r="AG16515" s="14"/>
    </row>
    <row r="16516" spans="33:33">
      <c r="AG16516" s="14"/>
    </row>
    <row r="16517" spans="33:33">
      <c r="AG16517" s="14"/>
    </row>
    <row r="16518" spans="33:33">
      <c r="AG16518" s="14"/>
    </row>
    <row r="16519" spans="33:33">
      <c r="AG16519" s="14"/>
    </row>
    <row r="16520" spans="33:33">
      <c r="AG16520" s="14"/>
    </row>
    <row r="16521" spans="33:33">
      <c r="AG16521" s="14"/>
    </row>
    <row r="16522" spans="33:33">
      <c r="AG16522" s="14"/>
    </row>
    <row r="16523" spans="33:33">
      <c r="AG16523" s="14"/>
    </row>
    <row r="16524" spans="33:33">
      <c r="AG16524" s="14"/>
    </row>
    <row r="16525" spans="33:33">
      <c r="AG16525" s="14"/>
    </row>
    <row r="16526" spans="33:33">
      <c r="AG16526" s="14"/>
    </row>
    <row r="16527" spans="33:33">
      <c r="AG16527" s="14"/>
    </row>
    <row r="16528" spans="33:33">
      <c r="AG16528" s="14"/>
    </row>
    <row r="16529" spans="33:33">
      <c r="AG16529" s="14"/>
    </row>
    <row r="16530" spans="33:33">
      <c r="AG16530" s="14"/>
    </row>
    <row r="16531" spans="33:33">
      <c r="AG16531" s="14"/>
    </row>
    <row r="16532" spans="33:33">
      <c r="AG16532" s="14"/>
    </row>
    <row r="16533" spans="33:33">
      <c r="AG16533" s="14"/>
    </row>
    <row r="16534" spans="33:33">
      <c r="AG16534" s="14"/>
    </row>
    <row r="16535" spans="33:33">
      <c r="AG16535" s="14"/>
    </row>
    <row r="16536" spans="33:33">
      <c r="AG16536" s="14"/>
    </row>
    <row r="16537" spans="33:33">
      <c r="AG16537" s="14"/>
    </row>
    <row r="16538" spans="33:33">
      <c r="AG16538" s="14"/>
    </row>
    <row r="16539" spans="33:33">
      <c r="AG16539" s="14"/>
    </row>
    <row r="16540" spans="33:33">
      <c r="AG16540" s="14"/>
    </row>
    <row r="16541" spans="33:33">
      <c r="AG16541" s="14"/>
    </row>
  </sheetData>
  <autoFilter ref="A1:AG170">
    <extLst/>
  </autoFilter>
  <sortState ref="A2:AG170">
    <sortCondition ref="AG1"/>
  </sortState>
  <pageMargins left="0.699305555555556" right="0.699305555555556" top="0.75" bottom="0.75" header="0.3" footer="0.3"/>
  <pageSetup paperSize="1" orientation="portrait"/>
  <headerFooter/>
  <drawing r:id="rId1"/>
  <legacyDrawing r:id="rId2"/>
  <controls>
    <mc:AlternateContent xmlns:mc="http://schemas.openxmlformats.org/markup-compatibility/2006">
      <mc:Choice Requires="x14">
        <control shapeId="3073" r:id="rId3" name="CommandButton1">
          <controlPr defaultSize="0" r:id="rId4">
            <anchor moveWithCells="1">
              <from>
                <xdr:col>33</xdr:col>
                <xdr:colOff>28575</xdr:colOff>
                <xdr:row>1</xdr:row>
                <xdr:rowOff>9525</xdr:rowOff>
              </from>
              <to>
                <xdr:col>35</xdr:col>
                <xdr:colOff>28575</xdr:colOff>
                <xdr:row>2</xdr:row>
                <xdr:rowOff>161925</xdr:rowOff>
              </to>
            </anchor>
          </controlPr>
        </control>
      </mc:Choice>
      <mc:Fallback>
        <control shapeId="3073" r:id="rId3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C1352"/>
  <sheetViews>
    <sheetView workbookViewId="0">
      <selection activeCell="E29" sqref="E29"/>
    </sheetView>
  </sheetViews>
  <sheetFormatPr defaultColWidth="9" defaultRowHeight="14.25" outlineLevelCol="2"/>
  <cols>
    <col min="1" max="1" width="24.7083333333333" customWidth="1"/>
    <col min="2" max="2" width="11.8583333333333" customWidth="1"/>
    <col min="3" max="3" width="13.7083333333333"/>
  </cols>
  <sheetData>
    <row r="1" spans="1:3">
      <c r="A1" t="s">
        <v>11</v>
      </c>
      <c r="B1" t="s">
        <v>1131</v>
      </c>
      <c r="C1" t="s">
        <v>1132</v>
      </c>
    </row>
    <row r="2" spans="1:2">
      <c r="A2" t="s">
        <v>1133</v>
      </c>
      <c r="B2">
        <f>SUM(B3:B5000)</f>
        <v>0</v>
      </c>
    </row>
    <row r="3" spans="2:3">
      <c r="B3">
        <f>SUMIFS(allorders!O:O,allorders!L:L,'数据处理(仓储使用)'!$A3,allorders!$AG:$AG,"&lt;="&amp;日期!$B$2,allorders!$AG:$AG,"&gt;="&amp;日期!$B$1)</f>
        <v>0</v>
      </c>
      <c r="C3">
        <f>B3/(日期!$B$2-日期!$B$1+1)</f>
        <v>0</v>
      </c>
    </row>
    <row r="4" spans="2:3">
      <c r="B4">
        <f>SUMIFS(allorders!O:O,allorders!L:L,'数据处理(仓储使用)'!$A4,allorders!$AG:$AG,"&lt;="&amp;日期!$B$2,allorders!$AG:$AG,"&gt;="&amp;日期!$B$1)</f>
        <v>0</v>
      </c>
      <c r="C4">
        <f>B4/(日期!$B$2-日期!$B$1+1)</f>
        <v>0</v>
      </c>
    </row>
    <row r="5" spans="2:3">
      <c r="B5">
        <f>SUMIFS(allorders!O:O,allorders!L:L,'数据处理(仓储使用)'!$A5,allorders!$AG:$AG,"&lt;="&amp;日期!$B$2,allorders!$AG:$AG,"&gt;="&amp;日期!$B$1)</f>
        <v>0</v>
      </c>
      <c r="C5">
        <f>B5/(日期!$B$2-日期!$B$1+1)</f>
        <v>0</v>
      </c>
    </row>
    <row r="6" spans="2:3">
      <c r="B6">
        <f>SUMIFS(allorders!O:O,allorders!L:L,'数据处理(仓储使用)'!$A6,allorders!$AG:$AG,"&lt;="&amp;日期!$B$2,allorders!$AG:$AG,"&gt;="&amp;日期!$B$1)</f>
        <v>0</v>
      </c>
      <c r="C6">
        <f>B6/(日期!$B$2-日期!$B$1+1)</f>
        <v>0</v>
      </c>
    </row>
    <row r="7" spans="2:3">
      <c r="B7">
        <f>SUMIFS(allorders!O:O,allorders!L:L,'数据处理(仓储使用)'!$A7,allorders!$AG:$AG,"&lt;="&amp;日期!$B$2,allorders!$AG:$AG,"&gt;="&amp;日期!$B$1)</f>
        <v>0</v>
      </c>
      <c r="C7">
        <f>B7/(日期!$B$2-日期!$B$1+1)</f>
        <v>0</v>
      </c>
    </row>
    <row r="8" spans="2:3">
      <c r="B8">
        <f>SUMIFS(allorders!O:O,allorders!L:L,'数据处理(仓储使用)'!$A8,allorders!$AG:$AG,"&lt;="&amp;日期!$B$2,allorders!$AG:$AG,"&gt;="&amp;日期!$B$1)</f>
        <v>0</v>
      </c>
      <c r="C8">
        <f>B8/(日期!$B$2-日期!$B$1+1)</f>
        <v>0</v>
      </c>
    </row>
    <row r="9" spans="2:3">
      <c r="B9">
        <f>SUMIFS(allorders!O:O,allorders!L:L,'数据处理(仓储使用)'!$A9,allorders!$AG:$AG,"&lt;="&amp;日期!$B$2,allorders!$AG:$AG,"&gt;="&amp;日期!$B$1)</f>
        <v>0</v>
      </c>
      <c r="C9">
        <f>B9/(日期!$B$2-日期!$B$1+1)</f>
        <v>0</v>
      </c>
    </row>
    <row r="10" spans="2:3">
      <c r="B10">
        <f>SUMIFS(allorders!O:O,allorders!L:L,'数据处理(仓储使用)'!$A10,allorders!$AG:$AG,"&lt;="&amp;日期!$B$2,allorders!$AG:$AG,"&gt;="&amp;日期!$B$1)</f>
        <v>0</v>
      </c>
      <c r="C10">
        <f>B10/(日期!$B$2-日期!$B$1+1)</f>
        <v>0</v>
      </c>
    </row>
    <row r="11" spans="2:3">
      <c r="B11">
        <f>SUMIFS(allorders!O:O,allorders!L:L,'数据处理(仓储使用)'!$A11,allorders!$AG:$AG,"&lt;="&amp;日期!$B$2,allorders!$AG:$AG,"&gt;="&amp;日期!$B$1)</f>
        <v>0</v>
      </c>
      <c r="C11">
        <f>B11/(日期!$B$2-日期!$B$1+1)</f>
        <v>0</v>
      </c>
    </row>
    <row r="12" spans="2:3">
      <c r="B12">
        <f>SUMIFS(allorders!O:O,allorders!L:L,'数据处理(仓储使用)'!$A12,allorders!$AG:$AG,"&lt;="&amp;日期!$B$2,allorders!$AG:$AG,"&gt;="&amp;日期!$B$1)</f>
        <v>0</v>
      </c>
      <c r="C12">
        <f>B12/(日期!$B$2-日期!$B$1+1)</f>
        <v>0</v>
      </c>
    </row>
    <row r="13" spans="2:3">
      <c r="B13">
        <f>SUMIFS(allorders!O:O,allorders!L:L,'数据处理(仓储使用)'!$A13,allorders!$AG:$AG,"&lt;="&amp;日期!$B$2,allorders!$AG:$AG,"&gt;="&amp;日期!$B$1)</f>
        <v>0</v>
      </c>
      <c r="C13">
        <f>B13/(日期!$B$2-日期!$B$1+1)</f>
        <v>0</v>
      </c>
    </row>
    <row r="14" spans="2:3">
      <c r="B14">
        <f>SUMIFS(allorders!O:O,allorders!L:L,'数据处理(仓储使用)'!$A14,allorders!$AG:$AG,"&lt;="&amp;日期!$B$2,allorders!$AG:$AG,"&gt;="&amp;日期!$B$1)</f>
        <v>0</v>
      </c>
      <c r="C14">
        <f>B14/(日期!$B$2-日期!$B$1+1)</f>
        <v>0</v>
      </c>
    </row>
    <row r="15" spans="2:3">
      <c r="B15">
        <f>SUMIFS(allorders!O:O,allorders!L:L,'数据处理(仓储使用)'!$A15,allorders!$AG:$AG,"&lt;="&amp;日期!$B$2,allorders!$AG:$AG,"&gt;="&amp;日期!$B$1)</f>
        <v>0</v>
      </c>
      <c r="C15">
        <f>B15/(日期!$B$2-日期!$B$1+1)</f>
        <v>0</v>
      </c>
    </row>
    <row r="16" spans="2:3">
      <c r="B16">
        <f>SUMIFS(allorders!O:O,allorders!L:L,'数据处理(仓储使用)'!$A16,allorders!$AG:$AG,"&lt;="&amp;日期!$B$2,allorders!$AG:$AG,"&gt;="&amp;日期!$B$1)</f>
        <v>0</v>
      </c>
      <c r="C16">
        <f>B16/(日期!$B$2-日期!$B$1+1)</f>
        <v>0</v>
      </c>
    </row>
    <row r="17" spans="2:3">
      <c r="B17">
        <f>SUMIFS(allorders!O:O,allorders!L:L,'数据处理(仓储使用)'!$A17,allorders!$AG:$AG,"&lt;="&amp;日期!$B$2,allorders!$AG:$AG,"&gt;="&amp;日期!$B$1)</f>
        <v>0</v>
      </c>
      <c r="C17">
        <f>B17/(日期!$B$2-日期!$B$1+1)</f>
        <v>0</v>
      </c>
    </row>
    <row r="18" spans="2:3">
      <c r="B18">
        <f>SUMIFS(allorders!O:O,allorders!L:L,'数据处理(仓储使用)'!$A18,allorders!$AG:$AG,"&lt;="&amp;日期!$B$2,allorders!$AG:$AG,"&gt;="&amp;日期!$B$1)</f>
        <v>0</v>
      </c>
      <c r="C18">
        <f>B18/(日期!$B$2-日期!$B$1+1)</f>
        <v>0</v>
      </c>
    </row>
    <row r="19" spans="2:3">
      <c r="B19">
        <f>SUMIFS(allorders!O:O,allorders!L:L,'数据处理(仓储使用)'!$A19,allorders!$AG:$AG,"&lt;="&amp;日期!$B$2,allorders!$AG:$AG,"&gt;="&amp;日期!$B$1)</f>
        <v>0</v>
      </c>
      <c r="C19">
        <f>B19/(日期!$B$2-日期!$B$1+1)</f>
        <v>0</v>
      </c>
    </row>
    <row r="20" spans="2:3">
      <c r="B20">
        <f>SUMIFS(allorders!O:O,allorders!L:L,'数据处理(仓储使用)'!$A20,allorders!$AG:$AG,"&lt;="&amp;日期!$B$2,allorders!$AG:$AG,"&gt;="&amp;日期!$B$1)</f>
        <v>0</v>
      </c>
      <c r="C20">
        <f>B20/(日期!$B$2-日期!$B$1+1)</f>
        <v>0</v>
      </c>
    </row>
    <row r="21" spans="2:3">
      <c r="B21">
        <f>SUMIFS(allorders!O:O,allorders!L:L,'数据处理(仓储使用)'!$A21,allorders!$AG:$AG,"&lt;="&amp;日期!$B$2,allorders!$AG:$AG,"&gt;="&amp;日期!$B$1)</f>
        <v>0</v>
      </c>
      <c r="C21">
        <f>B21/(日期!$B$2-日期!$B$1+1)</f>
        <v>0</v>
      </c>
    </row>
    <row r="22" spans="2:3">
      <c r="B22">
        <f>SUMIFS(allorders!O:O,allorders!L:L,'数据处理(仓储使用)'!$A22,allorders!$AG:$AG,"&lt;="&amp;日期!$B$2,allorders!$AG:$AG,"&gt;="&amp;日期!$B$1)</f>
        <v>0</v>
      </c>
      <c r="C22">
        <f>B22/(日期!$B$2-日期!$B$1+1)</f>
        <v>0</v>
      </c>
    </row>
    <row r="23" spans="2:3">
      <c r="B23">
        <f>SUMIFS(allorders!O:O,allorders!L:L,'数据处理(仓储使用)'!$A23,allorders!$AG:$AG,"&lt;="&amp;日期!$B$2,allorders!$AG:$AG,"&gt;="&amp;日期!$B$1)</f>
        <v>0</v>
      </c>
      <c r="C23">
        <f>B23/(日期!$B$2-日期!$B$1+1)</f>
        <v>0</v>
      </c>
    </row>
    <row r="24" spans="2:3">
      <c r="B24">
        <f>SUMIFS(allorders!O:O,allorders!L:L,'数据处理(仓储使用)'!$A24,allorders!$AG:$AG,"&lt;="&amp;日期!$B$2,allorders!$AG:$AG,"&gt;="&amp;日期!$B$1)</f>
        <v>0</v>
      </c>
      <c r="C24">
        <f>B24/(日期!$B$2-日期!$B$1+1)</f>
        <v>0</v>
      </c>
    </row>
    <row r="25" spans="2:3">
      <c r="B25">
        <f>SUMIFS(allorders!O:O,allorders!L:L,'数据处理(仓储使用)'!$A25,allorders!$AG:$AG,"&lt;="&amp;日期!$B$2,allorders!$AG:$AG,"&gt;="&amp;日期!$B$1)</f>
        <v>0</v>
      </c>
      <c r="C25">
        <f>B25/(日期!$B$2-日期!$B$1+1)</f>
        <v>0</v>
      </c>
    </row>
    <row r="26" spans="2:3">
      <c r="B26">
        <f>SUMIFS(allorders!O:O,allorders!L:L,'数据处理(仓储使用)'!$A26,allorders!$AG:$AG,"&lt;="&amp;日期!$B$2,allorders!$AG:$AG,"&gt;="&amp;日期!$B$1)</f>
        <v>0</v>
      </c>
      <c r="C26">
        <f>B26/(日期!$B$2-日期!$B$1+1)</f>
        <v>0</v>
      </c>
    </row>
    <row r="27" spans="2:3">
      <c r="B27">
        <f>SUMIFS(allorders!O:O,allorders!L:L,'数据处理(仓储使用)'!$A27,allorders!$AG:$AG,"&lt;="&amp;日期!$B$2,allorders!$AG:$AG,"&gt;="&amp;日期!$B$1)</f>
        <v>0</v>
      </c>
      <c r="C27">
        <f>B27/(日期!$B$2-日期!$B$1+1)</f>
        <v>0</v>
      </c>
    </row>
    <row r="28" spans="2:3">
      <c r="B28">
        <f>SUMIFS(allorders!O:O,allorders!L:L,'数据处理(仓储使用)'!$A28,allorders!$AG:$AG,"&lt;="&amp;日期!$B$2,allorders!$AG:$AG,"&gt;="&amp;日期!$B$1)</f>
        <v>0</v>
      </c>
      <c r="C28">
        <f>B28/(日期!$B$2-日期!$B$1+1)</f>
        <v>0</v>
      </c>
    </row>
    <row r="29" spans="2:3">
      <c r="B29">
        <f>SUMIFS(allorders!O:O,allorders!L:L,'数据处理(仓储使用)'!$A29,allorders!$AG:$AG,"&lt;="&amp;日期!$B$2,allorders!$AG:$AG,"&gt;="&amp;日期!$B$1)</f>
        <v>0</v>
      </c>
      <c r="C29">
        <f>B29/(日期!$B$2-日期!$B$1+1)</f>
        <v>0</v>
      </c>
    </row>
    <row r="30" spans="2:3">
      <c r="B30">
        <f>SUMIFS(allorders!O:O,allorders!L:L,'数据处理(仓储使用)'!$A30,allorders!$AG:$AG,"&lt;="&amp;日期!$B$2,allorders!$AG:$AG,"&gt;="&amp;日期!$B$1)</f>
        <v>0</v>
      </c>
      <c r="C30">
        <f>B30/(日期!$B$2-日期!$B$1+1)</f>
        <v>0</v>
      </c>
    </row>
    <row r="31" spans="2:3">
      <c r="B31">
        <f>SUMIFS(allorders!O:O,allorders!L:L,'数据处理(仓储使用)'!$A31,allorders!$AG:$AG,"&lt;="&amp;日期!$B$2,allorders!$AG:$AG,"&gt;="&amp;日期!$B$1)</f>
        <v>0</v>
      </c>
      <c r="C31">
        <f>B31/(日期!$B$2-日期!$B$1+1)</f>
        <v>0</v>
      </c>
    </row>
    <row r="32" spans="2:3">
      <c r="B32">
        <f>SUMIFS(allorders!O:O,allorders!L:L,'数据处理(仓储使用)'!$A32,allorders!$AG:$AG,"&lt;="&amp;日期!$B$2,allorders!$AG:$AG,"&gt;="&amp;日期!$B$1)</f>
        <v>0</v>
      </c>
      <c r="C32">
        <f>B32/(日期!$B$2-日期!$B$1+1)</f>
        <v>0</v>
      </c>
    </row>
    <row r="33" spans="2:3">
      <c r="B33">
        <f>SUMIFS(allorders!O:O,allorders!L:L,'数据处理(仓储使用)'!$A33,allorders!$AG:$AG,"&lt;="&amp;日期!$B$2,allorders!$AG:$AG,"&gt;="&amp;日期!$B$1)</f>
        <v>0</v>
      </c>
      <c r="C33">
        <f>B33/(日期!$B$2-日期!$B$1+1)</f>
        <v>0</v>
      </c>
    </row>
    <row r="34" spans="2:3">
      <c r="B34">
        <f>SUMIFS(allorders!O:O,allorders!L:L,'数据处理(仓储使用)'!$A34,allorders!$AG:$AG,"&lt;="&amp;日期!$B$2,allorders!$AG:$AG,"&gt;="&amp;日期!$B$1)</f>
        <v>0</v>
      </c>
      <c r="C34">
        <f>B34/(日期!$B$2-日期!$B$1+1)</f>
        <v>0</v>
      </c>
    </row>
    <row r="35" spans="2:3">
      <c r="B35">
        <f>SUMIFS(allorders!O:O,allorders!L:L,'数据处理(仓储使用)'!$A35,allorders!$AG:$AG,"&lt;="&amp;日期!$B$2,allorders!$AG:$AG,"&gt;="&amp;日期!$B$1)</f>
        <v>0</v>
      </c>
      <c r="C35">
        <f>B35/(日期!$B$2-日期!$B$1+1)</f>
        <v>0</v>
      </c>
    </row>
    <row r="36" spans="2:3">
      <c r="B36">
        <f>SUMIFS(allorders!O:O,allorders!L:L,'数据处理(仓储使用)'!$A36,allorders!$AG:$AG,"&lt;="&amp;日期!$B$2,allorders!$AG:$AG,"&gt;="&amp;日期!$B$1)</f>
        <v>0</v>
      </c>
      <c r="C36">
        <f>B36/(日期!$B$2-日期!$B$1+1)</f>
        <v>0</v>
      </c>
    </row>
    <row r="37" spans="2:3">
      <c r="B37">
        <f>SUMIFS(allorders!O:O,allorders!L:L,'数据处理(仓储使用)'!$A37,allorders!$AG:$AG,"&lt;="&amp;日期!$B$2,allorders!$AG:$AG,"&gt;="&amp;日期!$B$1)</f>
        <v>0</v>
      </c>
      <c r="C37">
        <f>B37/(日期!$B$2-日期!$B$1+1)</f>
        <v>0</v>
      </c>
    </row>
    <row r="38" spans="2:3">
      <c r="B38">
        <f>SUMIFS(allorders!O:O,allorders!L:L,'数据处理(仓储使用)'!$A38,allorders!$AG:$AG,"&lt;="&amp;日期!$B$2,allorders!$AG:$AG,"&gt;="&amp;日期!$B$1)</f>
        <v>0</v>
      </c>
      <c r="C38">
        <f>B38/(日期!$B$2-日期!$B$1+1)</f>
        <v>0</v>
      </c>
    </row>
    <row r="39" spans="2:3">
      <c r="B39">
        <f>SUMIFS(allorders!O:O,allorders!L:L,'数据处理(仓储使用)'!$A39,allorders!$AG:$AG,"&lt;="&amp;日期!$B$2,allorders!$AG:$AG,"&gt;="&amp;日期!$B$1)</f>
        <v>0</v>
      </c>
      <c r="C39">
        <f>B39/(日期!$B$2-日期!$B$1+1)</f>
        <v>0</v>
      </c>
    </row>
    <row r="40" spans="2:3">
      <c r="B40">
        <f>SUMIFS(allorders!O:O,allorders!L:L,'数据处理(仓储使用)'!$A40,allorders!$AG:$AG,"&lt;="&amp;日期!$B$2,allorders!$AG:$AG,"&gt;="&amp;日期!$B$1)</f>
        <v>0</v>
      </c>
      <c r="C40">
        <f>B40/(日期!$B$2-日期!$B$1+1)</f>
        <v>0</v>
      </c>
    </row>
    <row r="41" spans="2:3">
      <c r="B41">
        <f>SUMIFS(allorders!O:O,allorders!L:L,'数据处理(仓储使用)'!$A41,allorders!$AG:$AG,"&lt;="&amp;日期!$B$2,allorders!$AG:$AG,"&gt;="&amp;日期!$B$1)</f>
        <v>0</v>
      </c>
      <c r="C41">
        <f>B41/(日期!$B$2-日期!$B$1+1)</f>
        <v>0</v>
      </c>
    </row>
    <row r="42" spans="2:3">
      <c r="B42">
        <f>SUMIFS(allorders!O:O,allorders!L:L,'数据处理(仓储使用)'!$A42,allorders!$AG:$AG,"&lt;="&amp;日期!$B$2,allorders!$AG:$AG,"&gt;="&amp;日期!$B$1)</f>
        <v>0</v>
      </c>
      <c r="C42">
        <f>B42/(日期!$B$2-日期!$B$1+1)</f>
        <v>0</v>
      </c>
    </row>
    <row r="43" spans="2:3">
      <c r="B43">
        <f>SUMIFS(allorders!O:O,allorders!L:L,'数据处理(仓储使用)'!$A43,allorders!$AG:$AG,"&lt;="&amp;日期!$B$2,allorders!$AG:$AG,"&gt;="&amp;日期!$B$1)</f>
        <v>0</v>
      </c>
      <c r="C43">
        <f>B43/(日期!$B$2-日期!$B$1+1)</f>
        <v>0</v>
      </c>
    </row>
    <row r="44" spans="2:3">
      <c r="B44">
        <f>SUMIFS(allorders!O:O,allorders!L:L,'数据处理(仓储使用)'!$A44,allorders!$AG:$AG,"&lt;="&amp;日期!$B$2,allorders!$AG:$AG,"&gt;="&amp;日期!$B$1)</f>
        <v>0</v>
      </c>
      <c r="C44">
        <f>B44/(日期!$B$2-日期!$B$1+1)</f>
        <v>0</v>
      </c>
    </row>
    <row r="45" spans="2:3">
      <c r="B45">
        <f>SUMIFS(allorders!O:O,allorders!L:L,'数据处理(仓储使用)'!$A45,allorders!$AG:$AG,"&lt;="&amp;日期!$B$2,allorders!$AG:$AG,"&gt;="&amp;日期!$B$1)</f>
        <v>0</v>
      </c>
      <c r="C45">
        <f>B45/(日期!$B$2-日期!$B$1+1)</f>
        <v>0</v>
      </c>
    </row>
    <row r="46" spans="2:3">
      <c r="B46">
        <f>SUMIFS(allorders!O:O,allorders!L:L,'数据处理(仓储使用)'!$A46,allorders!$AG:$AG,"&lt;="&amp;日期!$B$2,allorders!$AG:$AG,"&gt;="&amp;日期!$B$1)</f>
        <v>0</v>
      </c>
      <c r="C46">
        <f>B46/(日期!$B$2-日期!$B$1+1)</f>
        <v>0</v>
      </c>
    </row>
    <row r="47" spans="2:3">
      <c r="B47">
        <f>SUMIFS(allorders!O:O,allorders!L:L,'数据处理(仓储使用)'!$A47,allorders!$AG:$AG,"&lt;="&amp;日期!$B$2,allorders!$AG:$AG,"&gt;="&amp;日期!$B$1)</f>
        <v>0</v>
      </c>
      <c r="C47">
        <f>B47/(日期!$B$2-日期!$B$1+1)</f>
        <v>0</v>
      </c>
    </row>
    <row r="48" spans="2:3">
      <c r="B48">
        <f>SUMIFS(allorders!O:O,allorders!L:L,'数据处理(仓储使用)'!$A48,allorders!$AG:$AG,"&lt;="&amp;日期!$B$2,allorders!$AG:$AG,"&gt;="&amp;日期!$B$1)</f>
        <v>0</v>
      </c>
      <c r="C48">
        <f>B48/(日期!$B$2-日期!$B$1+1)</f>
        <v>0</v>
      </c>
    </row>
    <row r="49" spans="2:3">
      <c r="B49">
        <f>SUMIFS(allorders!O:O,allorders!L:L,'数据处理(仓储使用)'!$A49,allorders!$AG:$AG,"&lt;="&amp;日期!$B$2,allorders!$AG:$AG,"&gt;="&amp;日期!$B$1)</f>
        <v>0</v>
      </c>
      <c r="C49">
        <f>B49/(日期!$B$2-日期!$B$1+1)</f>
        <v>0</v>
      </c>
    </row>
    <row r="50" spans="2:3">
      <c r="B50">
        <f>SUMIFS(allorders!O:O,allorders!L:L,'数据处理(仓储使用)'!$A50,allorders!$AG:$AG,"&lt;="&amp;日期!$B$2,allorders!$AG:$AG,"&gt;="&amp;日期!$B$1)</f>
        <v>0</v>
      </c>
      <c r="C50">
        <f>B50/(日期!$B$2-日期!$B$1+1)</f>
        <v>0</v>
      </c>
    </row>
    <row r="51" spans="2:3">
      <c r="B51">
        <f>SUMIFS(allorders!O:O,allorders!L:L,'数据处理(仓储使用)'!$A51,allorders!$AG:$AG,"&lt;="&amp;日期!$B$2,allorders!$AG:$AG,"&gt;="&amp;日期!$B$1)</f>
        <v>0</v>
      </c>
      <c r="C51">
        <f>B51/(日期!$B$2-日期!$B$1+1)</f>
        <v>0</v>
      </c>
    </row>
    <row r="52" spans="2:3">
      <c r="B52">
        <f>SUMIFS(allorders!O:O,allorders!L:L,'数据处理(仓储使用)'!$A52,allorders!$AG:$AG,"&lt;="&amp;日期!$B$2,allorders!$AG:$AG,"&gt;="&amp;日期!$B$1)</f>
        <v>0</v>
      </c>
      <c r="C52">
        <f>B52/(日期!$B$2-日期!$B$1+1)</f>
        <v>0</v>
      </c>
    </row>
    <row r="53" spans="2:3">
      <c r="B53">
        <f>SUMIFS(allorders!O:O,allorders!L:L,'数据处理(仓储使用)'!$A53,allorders!$AG:$AG,"&lt;="&amp;日期!$B$2,allorders!$AG:$AG,"&gt;="&amp;日期!$B$1)</f>
        <v>0</v>
      </c>
      <c r="C53">
        <f>B53/(日期!$B$2-日期!$B$1+1)</f>
        <v>0</v>
      </c>
    </row>
    <row r="54" spans="2:3">
      <c r="B54">
        <f>SUMIFS(allorders!O:O,allorders!L:L,'数据处理(仓储使用)'!$A54,allorders!$AG:$AG,"&lt;="&amp;日期!$B$2,allorders!$AG:$AG,"&gt;="&amp;日期!$B$1)</f>
        <v>0</v>
      </c>
      <c r="C54">
        <f>B54/(日期!$B$2-日期!$B$1+1)</f>
        <v>0</v>
      </c>
    </row>
    <row r="55" spans="2:3">
      <c r="B55">
        <f>SUMIFS(allorders!O:O,allorders!L:L,'数据处理(仓储使用)'!$A55,allorders!$AG:$AG,"&lt;="&amp;日期!$B$2,allorders!$AG:$AG,"&gt;="&amp;日期!$B$1)</f>
        <v>0</v>
      </c>
      <c r="C55">
        <f>B55/(日期!$B$2-日期!$B$1+1)</f>
        <v>0</v>
      </c>
    </row>
    <row r="56" spans="2:3">
      <c r="B56">
        <f>SUMIFS(allorders!O:O,allorders!L:L,'数据处理(仓储使用)'!$A56,allorders!$AG:$AG,"&lt;="&amp;日期!$B$2,allorders!$AG:$AG,"&gt;="&amp;日期!$B$1)</f>
        <v>0</v>
      </c>
      <c r="C56">
        <f>B56/(日期!$B$2-日期!$B$1+1)</f>
        <v>0</v>
      </c>
    </row>
    <row r="57" spans="2:3">
      <c r="B57">
        <f>SUMIFS(allorders!O:O,allorders!L:L,'数据处理(仓储使用)'!$A57,allorders!$AG:$AG,"&lt;="&amp;日期!$B$2,allorders!$AG:$AG,"&gt;="&amp;日期!$B$1)</f>
        <v>0</v>
      </c>
      <c r="C57">
        <f>B57/(日期!$B$2-日期!$B$1+1)</f>
        <v>0</v>
      </c>
    </row>
    <row r="58" spans="2:3">
      <c r="B58">
        <f>SUMIFS(allorders!O:O,allorders!L:L,'数据处理(仓储使用)'!$A58,allorders!$AG:$AG,"&lt;="&amp;日期!$B$2,allorders!$AG:$AG,"&gt;="&amp;日期!$B$1)</f>
        <v>0</v>
      </c>
      <c r="C58">
        <f>B58/(日期!$B$2-日期!$B$1+1)</f>
        <v>0</v>
      </c>
    </row>
    <row r="59" spans="2:3">
      <c r="B59">
        <f>SUMIFS(allorders!O:O,allorders!L:L,'数据处理(仓储使用)'!$A59,allorders!$AG:$AG,"&lt;="&amp;日期!$B$2,allorders!$AG:$AG,"&gt;="&amp;日期!$B$1)</f>
        <v>0</v>
      </c>
      <c r="C59">
        <f>B59/(日期!$B$2-日期!$B$1+1)</f>
        <v>0</v>
      </c>
    </row>
    <row r="60" spans="2:3">
      <c r="B60">
        <f>SUMIFS(allorders!O:O,allorders!L:L,'数据处理(仓储使用)'!$A60,allorders!$AG:$AG,"&lt;="&amp;日期!$B$2,allorders!$AG:$AG,"&gt;="&amp;日期!$B$1)</f>
        <v>0</v>
      </c>
      <c r="C60">
        <f>B60/(日期!$B$2-日期!$B$1+1)</f>
        <v>0</v>
      </c>
    </row>
    <row r="61" spans="2:3">
      <c r="B61">
        <f>SUMIFS(allorders!O:O,allorders!L:L,'数据处理(仓储使用)'!$A61,allorders!$AG:$AG,"&lt;="&amp;日期!$B$2,allorders!$AG:$AG,"&gt;="&amp;日期!$B$1)</f>
        <v>0</v>
      </c>
      <c r="C61">
        <f>B61/(日期!$B$2-日期!$B$1+1)</f>
        <v>0</v>
      </c>
    </row>
    <row r="62" spans="2:3">
      <c r="B62">
        <f>SUMIFS(allorders!O:O,allorders!L:L,'数据处理(仓储使用)'!$A62,allorders!$AG:$AG,"&lt;="&amp;日期!$B$2,allorders!$AG:$AG,"&gt;="&amp;日期!$B$1)</f>
        <v>0</v>
      </c>
      <c r="C62">
        <f>B62/(日期!$B$2-日期!$B$1+1)</f>
        <v>0</v>
      </c>
    </row>
    <row r="63" spans="2:3">
      <c r="B63">
        <f>SUMIFS(allorders!O:O,allorders!L:L,'数据处理(仓储使用)'!$A63,allorders!$AG:$AG,"&lt;="&amp;日期!$B$2,allorders!$AG:$AG,"&gt;="&amp;日期!$B$1)</f>
        <v>0</v>
      </c>
      <c r="C63">
        <f>B63/(日期!$B$2-日期!$B$1+1)</f>
        <v>0</v>
      </c>
    </row>
    <row r="64" spans="2:3">
      <c r="B64">
        <f>SUMIFS(allorders!O:O,allorders!L:L,'数据处理(仓储使用)'!$A64,allorders!$AG:$AG,"&lt;="&amp;日期!$B$2,allorders!$AG:$AG,"&gt;="&amp;日期!$B$1)</f>
        <v>0</v>
      </c>
      <c r="C64">
        <f>B64/(日期!$B$2-日期!$B$1+1)</f>
        <v>0</v>
      </c>
    </row>
    <row r="65" spans="2:3">
      <c r="B65">
        <f>SUMIFS(allorders!O:O,allorders!L:L,'数据处理(仓储使用)'!$A65,allorders!$AG:$AG,"&lt;="&amp;日期!$B$2,allorders!$AG:$AG,"&gt;="&amp;日期!$B$1)</f>
        <v>0</v>
      </c>
      <c r="C65">
        <f>B65/(日期!$B$2-日期!$B$1+1)</f>
        <v>0</v>
      </c>
    </row>
    <row r="66" spans="2:3">
      <c r="B66">
        <f>SUMIFS(allorders!O:O,allorders!L:L,'数据处理(仓储使用)'!$A66,allorders!$AG:$AG,"&lt;="&amp;日期!$B$2,allorders!$AG:$AG,"&gt;="&amp;日期!$B$1)</f>
        <v>0</v>
      </c>
      <c r="C66">
        <f>B66/(日期!$B$2-日期!$B$1+1)</f>
        <v>0</v>
      </c>
    </row>
    <row r="67" spans="2:3">
      <c r="B67">
        <f>SUMIFS(allorders!O:O,allorders!L:L,'数据处理(仓储使用)'!$A67,allorders!$AG:$AG,"&lt;="&amp;日期!$B$2,allorders!$AG:$AG,"&gt;="&amp;日期!$B$1)</f>
        <v>0</v>
      </c>
      <c r="C67">
        <f>B67/(日期!$B$2-日期!$B$1+1)</f>
        <v>0</v>
      </c>
    </row>
    <row r="68" spans="2:3">
      <c r="B68">
        <f>SUMIFS(allorders!O:O,allorders!L:L,'数据处理(仓储使用)'!$A68,allorders!$AG:$AG,"&lt;="&amp;日期!$B$2,allorders!$AG:$AG,"&gt;="&amp;日期!$B$1)</f>
        <v>0</v>
      </c>
      <c r="C68">
        <f>B68/(日期!$B$2-日期!$B$1+1)</f>
        <v>0</v>
      </c>
    </row>
    <row r="69" spans="2:3">
      <c r="B69">
        <f>SUMIFS(allorders!O:O,allorders!L:L,'数据处理(仓储使用)'!$A69,allorders!$AG:$AG,"&lt;="&amp;日期!$B$2,allorders!$AG:$AG,"&gt;="&amp;日期!$B$1)</f>
        <v>0</v>
      </c>
      <c r="C69">
        <f>B69/(日期!$B$2-日期!$B$1+1)</f>
        <v>0</v>
      </c>
    </row>
    <row r="70" spans="2:3">
      <c r="B70">
        <f>SUMIFS(allorders!O:O,allorders!L:L,'数据处理(仓储使用)'!$A70,allorders!$AG:$AG,"&lt;="&amp;日期!$B$2,allorders!$AG:$AG,"&gt;="&amp;日期!$B$1)</f>
        <v>0</v>
      </c>
      <c r="C70">
        <f>B70/(日期!$B$2-日期!$B$1+1)</f>
        <v>0</v>
      </c>
    </row>
    <row r="71" spans="2:3">
      <c r="B71">
        <f>SUMIFS(allorders!O:O,allorders!L:L,'数据处理(仓储使用)'!$A71,allorders!$AG:$AG,"&lt;="&amp;日期!$B$2,allorders!$AG:$AG,"&gt;="&amp;日期!$B$1)</f>
        <v>0</v>
      </c>
      <c r="C71">
        <f>B71/(日期!$B$2-日期!$B$1+1)</f>
        <v>0</v>
      </c>
    </row>
    <row r="72" spans="2:3">
      <c r="B72">
        <f>SUMIFS(allorders!O:O,allorders!L:L,'数据处理(仓储使用)'!$A72,allorders!$AG:$AG,"&lt;="&amp;日期!$B$2,allorders!$AG:$AG,"&gt;="&amp;日期!$B$1)</f>
        <v>0</v>
      </c>
      <c r="C72">
        <f>B72/(日期!$B$2-日期!$B$1+1)</f>
        <v>0</v>
      </c>
    </row>
    <row r="73" spans="2:3">
      <c r="B73">
        <f>SUMIFS(allorders!O:O,allorders!L:L,'数据处理(仓储使用)'!$A73,allorders!$AG:$AG,"&lt;="&amp;日期!$B$2,allorders!$AG:$AG,"&gt;="&amp;日期!$B$1)</f>
        <v>0</v>
      </c>
      <c r="C73">
        <f>B73/(日期!$B$2-日期!$B$1+1)</f>
        <v>0</v>
      </c>
    </row>
    <row r="74" spans="2:3">
      <c r="B74">
        <f>SUMIFS(allorders!O:O,allorders!L:L,'数据处理(仓储使用)'!$A74,allorders!$AG:$AG,"&lt;="&amp;日期!$B$2,allorders!$AG:$AG,"&gt;="&amp;日期!$B$1)</f>
        <v>0</v>
      </c>
      <c r="C74">
        <f>B74/(日期!$B$2-日期!$B$1+1)</f>
        <v>0</v>
      </c>
    </row>
    <row r="75" spans="2:3">
      <c r="B75">
        <f>SUMIFS(allorders!O:O,allorders!L:L,'数据处理(仓储使用)'!$A75,allorders!$AG:$AG,"&lt;="&amp;日期!$B$2,allorders!$AG:$AG,"&gt;="&amp;日期!$B$1)</f>
        <v>0</v>
      </c>
      <c r="C75">
        <f>B75/(日期!$B$2-日期!$B$1+1)</f>
        <v>0</v>
      </c>
    </row>
    <row r="76" spans="2:3">
      <c r="B76">
        <f>SUMIFS(allorders!O:O,allorders!L:L,'数据处理(仓储使用)'!$A76,allorders!$AG:$AG,"&lt;="&amp;日期!$B$2,allorders!$AG:$AG,"&gt;="&amp;日期!$B$1)</f>
        <v>0</v>
      </c>
      <c r="C76">
        <f>B76/(日期!$B$2-日期!$B$1+1)</f>
        <v>0</v>
      </c>
    </row>
    <row r="77" spans="2:3">
      <c r="B77">
        <f>SUMIFS(allorders!O:O,allorders!L:L,'数据处理(仓储使用)'!$A77,allorders!$AG:$AG,"&lt;="&amp;日期!$B$2,allorders!$AG:$AG,"&gt;="&amp;日期!$B$1)</f>
        <v>0</v>
      </c>
      <c r="C77">
        <f>B77/(日期!$B$2-日期!$B$1+1)</f>
        <v>0</v>
      </c>
    </row>
    <row r="78" spans="2:3">
      <c r="B78">
        <f>SUMIFS(allorders!O:O,allorders!L:L,'数据处理(仓储使用)'!$A78,allorders!$AG:$AG,"&lt;="&amp;日期!$B$2,allorders!$AG:$AG,"&gt;="&amp;日期!$B$1)</f>
        <v>0</v>
      </c>
      <c r="C78">
        <f>B78/(日期!$B$2-日期!$B$1+1)</f>
        <v>0</v>
      </c>
    </row>
    <row r="79" spans="2:3">
      <c r="B79">
        <f>SUMIFS(allorders!O:O,allorders!L:L,'数据处理(仓储使用)'!$A79,allorders!$AG:$AG,"&lt;="&amp;日期!$B$2,allorders!$AG:$AG,"&gt;="&amp;日期!$B$1)</f>
        <v>0</v>
      </c>
      <c r="C79">
        <f>B79/(日期!$B$2-日期!$B$1+1)</f>
        <v>0</v>
      </c>
    </row>
    <row r="80" spans="2:3">
      <c r="B80">
        <f>SUMIFS(allorders!O:O,allorders!L:L,'数据处理(仓储使用)'!$A80,allorders!$AG:$AG,"&lt;="&amp;日期!$B$2,allorders!$AG:$AG,"&gt;="&amp;日期!$B$1)</f>
        <v>0</v>
      </c>
      <c r="C80">
        <f>B80/(日期!$B$2-日期!$B$1+1)</f>
        <v>0</v>
      </c>
    </row>
    <row r="81" spans="2:3">
      <c r="B81">
        <f>SUMIFS(allorders!O:O,allorders!L:L,'数据处理(仓储使用)'!$A81,allorders!$AG:$AG,"&lt;="&amp;日期!$B$2,allorders!$AG:$AG,"&gt;="&amp;日期!$B$1)</f>
        <v>0</v>
      </c>
      <c r="C81">
        <f>B81/(日期!$B$2-日期!$B$1+1)</f>
        <v>0</v>
      </c>
    </row>
    <row r="82" spans="2:3">
      <c r="B82">
        <f>SUMIFS(allorders!O:O,allorders!L:L,'数据处理(仓储使用)'!$A82,allorders!$AG:$AG,"&lt;="&amp;日期!$B$2,allorders!$AG:$AG,"&gt;="&amp;日期!$B$1)</f>
        <v>0</v>
      </c>
      <c r="C82">
        <f>B82/(日期!$B$2-日期!$B$1+1)</f>
        <v>0</v>
      </c>
    </row>
    <row r="83" spans="2:3">
      <c r="B83">
        <f>SUMIFS(allorders!O:O,allorders!L:L,'数据处理(仓储使用)'!$A83,allorders!$AG:$AG,"&lt;="&amp;日期!$B$2,allorders!$AG:$AG,"&gt;="&amp;日期!$B$1)</f>
        <v>0</v>
      </c>
      <c r="C83">
        <f>B83/(日期!$B$2-日期!$B$1+1)</f>
        <v>0</v>
      </c>
    </row>
    <row r="84" spans="2:3">
      <c r="B84">
        <f>SUMIFS(allorders!O:O,allorders!L:L,'数据处理(仓储使用)'!$A84,allorders!$AG:$AG,"&lt;="&amp;日期!$B$2,allorders!$AG:$AG,"&gt;="&amp;日期!$B$1)</f>
        <v>0</v>
      </c>
      <c r="C84">
        <f>B84/(日期!$B$2-日期!$B$1+1)</f>
        <v>0</v>
      </c>
    </row>
    <row r="85" spans="2:3">
      <c r="B85">
        <f>SUMIFS(allorders!O:O,allorders!L:L,'数据处理(仓储使用)'!$A85,allorders!$AG:$AG,"&lt;="&amp;日期!$B$2,allorders!$AG:$AG,"&gt;="&amp;日期!$B$1)</f>
        <v>0</v>
      </c>
      <c r="C85">
        <f>B85/(日期!$B$2-日期!$B$1+1)</f>
        <v>0</v>
      </c>
    </row>
    <row r="86" spans="2:3">
      <c r="B86">
        <f>SUMIFS(allorders!O:O,allorders!L:L,'数据处理(仓储使用)'!$A86,allorders!$AG:$AG,"&lt;="&amp;日期!$B$2,allorders!$AG:$AG,"&gt;="&amp;日期!$B$1)</f>
        <v>0</v>
      </c>
      <c r="C86">
        <f>B86/(日期!$B$2-日期!$B$1+1)</f>
        <v>0</v>
      </c>
    </row>
    <row r="87" spans="2:3">
      <c r="B87">
        <f>SUMIFS(allorders!O:O,allorders!L:L,'数据处理(仓储使用)'!$A87,allorders!$AG:$AG,"&lt;="&amp;日期!$B$2,allorders!$AG:$AG,"&gt;="&amp;日期!$B$1)</f>
        <v>0</v>
      </c>
      <c r="C87">
        <f>B87/(日期!$B$2-日期!$B$1+1)</f>
        <v>0</v>
      </c>
    </row>
    <row r="88" spans="2:3">
      <c r="B88">
        <f>SUMIFS(allorders!O:O,allorders!L:L,'数据处理(仓储使用)'!$A88,allorders!$AG:$AG,"&lt;="&amp;日期!$B$2,allorders!$AG:$AG,"&gt;="&amp;日期!$B$1)</f>
        <v>0</v>
      </c>
      <c r="C88">
        <f>B88/(日期!$B$2-日期!$B$1+1)</f>
        <v>0</v>
      </c>
    </row>
    <row r="89" spans="2:3">
      <c r="B89">
        <f>SUMIFS(allorders!O:O,allorders!L:L,'数据处理(仓储使用)'!$A89,allorders!$AG:$AG,"&lt;="&amp;日期!$B$2,allorders!$AG:$AG,"&gt;="&amp;日期!$B$1)</f>
        <v>0</v>
      </c>
      <c r="C89">
        <f>B89/(日期!$B$2-日期!$B$1+1)</f>
        <v>0</v>
      </c>
    </row>
    <row r="90" spans="2:3">
      <c r="B90">
        <f>SUMIFS(allorders!O:O,allorders!L:L,'数据处理(仓储使用)'!$A90,allorders!$AG:$AG,"&lt;="&amp;日期!$B$2,allorders!$AG:$AG,"&gt;="&amp;日期!$B$1)</f>
        <v>0</v>
      </c>
      <c r="C90">
        <f>B90/(日期!$B$2-日期!$B$1+1)</f>
        <v>0</v>
      </c>
    </row>
    <row r="91" spans="2:3">
      <c r="B91">
        <f>SUMIFS(allorders!O:O,allorders!L:L,'数据处理(仓储使用)'!$A91,allorders!$AG:$AG,"&lt;="&amp;日期!$B$2,allorders!$AG:$AG,"&gt;="&amp;日期!$B$1)</f>
        <v>0</v>
      </c>
      <c r="C91">
        <f>B91/(日期!$B$2-日期!$B$1+1)</f>
        <v>0</v>
      </c>
    </row>
    <row r="92" spans="2:3">
      <c r="B92">
        <f>SUMIFS(allorders!O:O,allorders!L:L,'数据处理(仓储使用)'!$A92,allorders!$AG:$AG,"&lt;="&amp;日期!$B$2,allorders!$AG:$AG,"&gt;="&amp;日期!$B$1)</f>
        <v>0</v>
      </c>
      <c r="C92">
        <f>B92/(日期!$B$2-日期!$B$1+1)</f>
        <v>0</v>
      </c>
    </row>
    <row r="93" spans="2:3">
      <c r="B93">
        <f>SUMIFS(allorders!O:O,allorders!L:L,'数据处理(仓储使用)'!$A93,allorders!$AG:$AG,"&lt;="&amp;日期!$B$2,allorders!$AG:$AG,"&gt;="&amp;日期!$B$1)</f>
        <v>0</v>
      </c>
      <c r="C93">
        <f>B93/(日期!$B$2-日期!$B$1+1)</f>
        <v>0</v>
      </c>
    </row>
    <row r="94" spans="2:3">
      <c r="B94">
        <f>SUMIFS(allorders!O:O,allorders!L:L,'数据处理(仓储使用)'!$A94,allorders!$AG:$AG,"&lt;="&amp;日期!$B$2,allorders!$AG:$AG,"&gt;="&amp;日期!$B$1)</f>
        <v>0</v>
      </c>
      <c r="C94">
        <f>B94/(日期!$B$2-日期!$B$1+1)</f>
        <v>0</v>
      </c>
    </row>
    <row r="95" spans="2:3">
      <c r="B95">
        <f>SUMIFS(allorders!O:O,allorders!L:L,'数据处理(仓储使用)'!$A95,allorders!$AG:$AG,"&lt;="&amp;日期!$B$2,allorders!$AG:$AG,"&gt;="&amp;日期!$B$1)</f>
        <v>0</v>
      </c>
      <c r="C95">
        <f>B95/(日期!$B$2-日期!$B$1+1)</f>
        <v>0</v>
      </c>
    </row>
    <row r="96" spans="2:3">
      <c r="B96">
        <f>SUMIFS(allorders!O:O,allorders!L:L,'数据处理(仓储使用)'!$A96,allorders!$AG:$AG,"&lt;="&amp;日期!$B$2,allorders!$AG:$AG,"&gt;="&amp;日期!$B$1)</f>
        <v>0</v>
      </c>
      <c r="C96">
        <f>B96/(日期!$B$2-日期!$B$1+1)</f>
        <v>0</v>
      </c>
    </row>
    <row r="97" spans="2:3">
      <c r="B97">
        <f>SUMIFS(allorders!O:O,allorders!L:L,'数据处理(仓储使用)'!$A97,allorders!$AG:$AG,"&lt;="&amp;日期!$B$2,allorders!$AG:$AG,"&gt;="&amp;日期!$B$1)</f>
        <v>0</v>
      </c>
      <c r="C97">
        <f>B97/(日期!$B$2-日期!$B$1+1)</f>
        <v>0</v>
      </c>
    </row>
    <row r="98" spans="2:3">
      <c r="B98">
        <f>SUMIFS(allorders!O:O,allorders!L:L,'数据处理(仓储使用)'!$A98,allorders!$AG:$AG,"&lt;="&amp;日期!$B$2,allorders!$AG:$AG,"&gt;="&amp;日期!$B$1)</f>
        <v>0</v>
      </c>
      <c r="C98">
        <f>B98/(日期!$B$2-日期!$B$1+1)</f>
        <v>0</v>
      </c>
    </row>
    <row r="99" spans="2:3">
      <c r="B99">
        <f>SUMIFS(allorders!O:O,allorders!L:L,'数据处理(仓储使用)'!$A99,allorders!$AG:$AG,"&lt;="&amp;日期!$B$2,allorders!$AG:$AG,"&gt;="&amp;日期!$B$1)</f>
        <v>0</v>
      </c>
      <c r="C99">
        <f>B99/(日期!$B$2-日期!$B$1+1)</f>
        <v>0</v>
      </c>
    </row>
    <row r="100" spans="2:3">
      <c r="B100">
        <f>SUMIFS(allorders!O:O,allorders!L:L,'数据处理(仓储使用)'!$A100,allorders!$AG:$AG,"&lt;="&amp;日期!$B$2,allorders!$AG:$AG,"&gt;="&amp;日期!$B$1)</f>
        <v>0</v>
      </c>
      <c r="C100">
        <f>B100/(日期!$B$2-日期!$B$1+1)</f>
        <v>0</v>
      </c>
    </row>
    <row r="101" spans="2:3">
      <c r="B101">
        <f>SUMIFS(allorders!O:O,allorders!L:L,'数据处理(仓储使用)'!$A101,allorders!$AG:$AG,"&lt;="&amp;日期!$B$2,allorders!$AG:$AG,"&gt;="&amp;日期!$B$1)</f>
        <v>0</v>
      </c>
      <c r="C101">
        <f>B101/(日期!$B$2-日期!$B$1+1)</f>
        <v>0</v>
      </c>
    </row>
    <row r="102" spans="2:3">
      <c r="B102">
        <f>SUMIFS(allorders!O:O,allorders!L:L,'数据处理(仓储使用)'!$A102,allorders!$AG:$AG,"&lt;="&amp;日期!$B$2,allorders!$AG:$AG,"&gt;="&amp;日期!$B$1)</f>
        <v>0</v>
      </c>
      <c r="C102">
        <f>B102/(日期!$B$2-日期!$B$1+1)</f>
        <v>0</v>
      </c>
    </row>
    <row r="103" spans="2:3">
      <c r="B103">
        <f>SUMIFS(allorders!O:O,allorders!L:L,'数据处理(仓储使用)'!$A103,allorders!$AG:$AG,"&lt;="&amp;日期!$B$2,allorders!$AG:$AG,"&gt;="&amp;日期!$B$1)</f>
        <v>0</v>
      </c>
      <c r="C103">
        <f>B103/(日期!$B$2-日期!$B$1+1)</f>
        <v>0</v>
      </c>
    </row>
    <row r="104" spans="2:3">
      <c r="B104">
        <f>SUMIFS(allorders!O:O,allorders!L:L,'数据处理(仓储使用)'!$A104,allorders!$AG:$AG,"&lt;="&amp;日期!$B$2,allorders!$AG:$AG,"&gt;="&amp;日期!$B$1)</f>
        <v>0</v>
      </c>
      <c r="C104">
        <f>B104/(日期!$B$2-日期!$B$1+1)</f>
        <v>0</v>
      </c>
    </row>
    <row r="105" spans="2:3">
      <c r="B105">
        <f>SUMIFS(allorders!O:O,allorders!L:L,'数据处理(仓储使用)'!$A105,allorders!$AG:$AG,"&lt;="&amp;日期!$B$2,allorders!$AG:$AG,"&gt;="&amp;日期!$B$1)</f>
        <v>0</v>
      </c>
      <c r="C105">
        <f>B105/(日期!$B$2-日期!$B$1+1)</f>
        <v>0</v>
      </c>
    </row>
    <row r="106" spans="2:3">
      <c r="B106">
        <f>SUMIFS(allorders!O:O,allorders!L:L,'数据处理(仓储使用)'!$A106,allorders!$AG:$AG,"&lt;="&amp;日期!$B$2,allorders!$AG:$AG,"&gt;="&amp;日期!$B$1)</f>
        <v>0</v>
      </c>
      <c r="C106">
        <f>B106/(日期!$B$2-日期!$B$1+1)</f>
        <v>0</v>
      </c>
    </row>
    <row r="107" spans="2:3">
      <c r="B107">
        <f>SUMIFS(allorders!O:O,allorders!L:L,'数据处理(仓储使用)'!$A107,allorders!$AG:$AG,"&lt;="&amp;日期!$B$2,allorders!$AG:$AG,"&gt;="&amp;日期!$B$1)</f>
        <v>0</v>
      </c>
      <c r="C107">
        <f>B107/(日期!$B$2-日期!$B$1+1)</f>
        <v>0</v>
      </c>
    </row>
    <row r="108" spans="2:3">
      <c r="B108">
        <f>SUMIFS(allorders!O:O,allorders!L:L,'数据处理(仓储使用)'!$A108,allorders!$AG:$AG,"&lt;="&amp;日期!$B$2,allorders!$AG:$AG,"&gt;="&amp;日期!$B$1)</f>
        <v>0</v>
      </c>
      <c r="C108">
        <f>B108/(日期!$B$2-日期!$B$1+1)</f>
        <v>0</v>
      </c>
    </row>
    <row r="109" spans="2:3">
      <c r="B109">
        <f>SUMIFS(allorders!O:O,allorders!L:L,'数据处理(仓储使用)'!$A109,allorders!$AG:$AG,"&lt;="&amp;日期!$B$2,allorders!$AG:$AG,"&gt;="&amp;日期!$B$1)</f>
        <v>0</v>
      </c>
      <c r="C109">
        <f>B109/(日期!$B$2-日期!$B$1+1)</f>
        <v>0</v>
      </c>
    </row>
    <row r="110" spans="2:3">
      <c r="B110">
        <f>SUMIFS(allorders!O:O,allorders!L:L,'数据处理(仓储使用)'!$A110,allorders!$AG:$AG,"&lt;="&amp;日期!$B$2,allorders!$AG:$AG,"&gt;="&amp;日期!$B$1)</f>
        <v>0</v>
      </c>
      <c r="C110">
        <f>B110/(日期!$B$2-日期!$B$1+1)</f>
        <v>0</v>
      </c>
    </row>
    <row r="111" spans="2:3">
      <c r="B111">
        <f>SUMIFS(allorders!O:O,allorders!L:L,'数据处理(仓储使用)'!$A111,allorders!$AG:$AG,"&lt;="&amp;日期!$B$2,allorders!$AG:$AG,"&gt;="&amp;日期!$B$1)</f>
        <v>0</v>
      </c>
      <c r="C111">
        <f>B111/(日期!$B$2-日期!$B$1+1)</f>
        <v>0</v>
      </c>
    </row>
    <row r="112" spans="2:3">
      <c r="B112">
        <f>SUMIFS(allorders!O:O,allorders!L:L,'数据处理(仓储使用)'!$A112,allorders!$AG:$AG,"&lt;="&amp;日期!$B$2,allorders!$AG:$AG,"&gt;="&amp;日期!$B$1)</f>
        <v>0</v>
      </c>
      <c r="C112">
        <f>B112/(日期!$B$2-日期!$B$1+1)</f>
        <v>0</v>
      </c>
    </row>
    <row r="113" spans="2:3">
      <c r="B113">
        <f>SUMIFS(allorders!O:O,allorders!L:L,'数据处理(仓储使用)'!$A113,allorders!$AG:$AG,"&lt;="&amp;日期!$B$2,allorders!$AG:$AG,"&gt;="&amp;日期!$B$1)</f>
        <v>0</v>
      </c>
      <c r="C113">
        <f>B113/(日期!$B$2-日期!$B$1+1)</f>
        <v>0</v>
      </c>
    </row>
    <row r="114" spans="2:3">
      <c r="B114">
        <f>SUMIFS(allorders!O:O,allorders!L:L,'数据处理(仓储使用)'!$A114,allorders!$AG:$AG,"&lt;="&amp;日期!$B$2,allorders!$AG:$AG,"&gt;="&amp;日期!$B$1)</f>
        <v>0</v>
      </c>
      <c r="C114">
        <f>B114/(日期!$B$2-日期!$B$1+1)</f>
        <v>0</v>
      </c>
    </row>
    <row r="115" spans="2:3">
      <c r="B115">
        <f>SUMIFS(allorders!O:O,allorders!L:L,'数据处理(仓储使用)'!$A115,allorders!$AG:$AG,"&lt;="&amp;日期!$B$2,allorders!$AG:$AG,"&gt;="&amp;日期!$B$1)</f>
        <v>0</v>
      </c>
      <c r="C115">
        <f>B115/(日期!$B$2-日期!$B$1+1)</f>
        <v>0</v>
      </c>
    </row>
    <row r="116" spans="2:3">
      <c r="B116">
        <f>SUMIFS(allorders!O:O,allorders!L:L,'数据处理(仓储使用)'!$A116,allorders!$AG:$AG,"&lt;="&amp;日期!$B$2,allorders!$AG:$AG,"&gt;="&amp;日期!$B$1)</f>
        <v>0</v>
      </c>
      <c r="C116">
        <f>B116/(日期!$B$2-日期!$B$1+1)</f>
        <v>0</v>
      </c>
    </row>
    <row r="117" spans="2:3">
      <c r="B117">
        <f>SUMIFS(allorders!O:O,allorders!L:L,'数据处理(仓储使用)'!$A117,allorders!$AG:$AG,"&lt;="&amp;日期!$B$2,allorders!$AG:$AG,"&gt;="&amp;日期!$B$1)</f>
        <v>0</v>
      </c>
      <c r="C117">
        <f>B117/(日期!$B$2-日期!$B$1+1)</f>
        <v>0</v>
      </c>
    </row>
    <row r="118" spans="2:3">
      <c r="B118">
        <f>SUMIFS(allorders!O:O,allorders!L:L,'数据处理(仓储使用)'!$A118,allorders!$AG:$AG,"&lt;="&amp;日期!$B$2,allorders!$AG:$AG,"&gt;="&amp;日期!$B$1)</f>
        <v>0</v>
      </c>
      <c r="C118">
        <f>B118/(日期!$B$2-日期!$B$1+1)</f>
        <v>0</v>
      </c>
    </row>
    <row r="119" spans="2:3">
      <c r="B119">
        <f>SUMIFS(allorders!O:O,allorders!L:L,'数据处理(仓储使用)'!$A119,allorders!$AG:$AG,"&lt;="&amp;日期!$B$2,allorders!$AG:$AG,"&gt;="&amp;日期!$B$1)</f>
        <v>0</v>
      </c>
      <c r="C119">
        <f>B119/(日期!$B$2-日期!$B$1+1)</f>
        <v>0</v>
      </c>
    </row>
    <row r="120" spans="2:3">
      <c r="B120">
        <f>SUMIFS(allorders!O:O,allorders!L:L,'数据处理(仓储使用)'!$A120,allorders!$AG:$AG,"&lt;="&amp;日期!$B$2,allorders!$AG:$AG,"&gt;="&amp;日期!$B$1)</f>
        <v>0</v>
      </c>
      <c r="C120">
        <f>B120/(日期!$B$2-日期!$B$1+1)</f>
        <v>0</v>
      </c>
    </row>
    <row r="121" spans="2:3">
      <c r="B121">
        <f>SUMIFS(allorders!O:O,allorders!L:L,'数据处理(仓储使用)'!$A121,allorders!$AG:$AG,"&lt;="&amp;日期!$B$2,allorders!$AG:$AG,"&gt;="&amp;日期!$B$1)</f>
        <v>0</v>
      </c>
      <c r="C121">
        <f>B121/(日期!$B$2-日期!$B$1+1)</f>
        <v>0</v>
      </c>
    </row>
    <row r="122" spans="2:3">
      <c r="B122">
        <f>SUMIFS(allorders!O:O,allorders!L:L,'数据处理(仓储使用)'!$A122,allorders!$AG:$AG,"&lt;="&amp;日期!$B$2,allorders!$AG:$AG,"&gt;="&amp;日期!$B$1)</f>
        <v>0</v>
      </c>
      <c r="C122">
        <f>B122/(日期!$B$2-日期!$B$1+1)</f>
        <v>0</v>
      </c>
    </row>
    <row r="123" spans="2:3">
      <c r="B123">
        <f>SUMIFS(allorders!O:O,allorders!L:L,'数据处理(仓储使用)'!$A123,allorders!$AG:$AG,"&lt;="&amp;日期!$B$2,allorders!$AG:$AG,"&gt;="&amp;日期!$B$1)</f>
        <v>0</v>
      </c>
      <c r="C123">
        <f>B123/(日期!$B$2-日期!$B$1+1)</f>
        <v>0</v>
      </c>
    </row>
    <row r="124" spans="2:3">
      <c r="B124">
        <f>SUMIFS(allorders!O:O,allorders!L:L,'数据处理(仓储使用)'!$A124,allorders!$AG:$AG,"&lt;="&amp;日期!$B$2,allorders!$AG:$AG,"&gt;="&amp;日期!$B$1)</f>
        <v>0</v>
      </c>
      <c r="C124">
        <f>B124/(日期!$B$2-日期!$B$1+1)</f>
        <v>0</v>
      </c>
    </row>
    <row r="125" spans="2:3">
      <c r="B125">
        <f>SUMIFS(allorders!O:O,allorders!L:L,'数据处理(仓储使用)'!$A125,allorders!$AG:$AG,"&lt;="&amp;日期!$B$2,allorders!$AG:$AG,"&gt;="&amp;日期!$B$1)</f>
        <v>0</v>
      </c>
      <c r="C125">
        <f>B125/(日期!$B$2-日期!$B$1+1)</f>
        <v>0</v>
      </c>
    </row>
    <row r="126" spans="2:3">
      <c r="B126">
        <f>SUMIFS(allorders!O:O,allorders!L:L,'数据处理(仓储使用)'!$A126,allorders!$AG:$AG,"&lt;="&amp;日期!$B$2,allorders!$AG:$AG,"&gt;="&amp;日期!$B$1)</f>
        <v>0</v>
      </c>
      <c r="C126">
        <f>B126/(日期!$B$2-日期!$B$1+1)</f>
        <v>0</v>
      </c>
    </row>
    <row r="127" spans="2:3">
      <c r="B127">
        <f>SUMIFS(allorders!O:O,allorders!L:L,'数据处理(仓储使用)'!$A127,allorders!$AG:$AG,"&lt;="&amp;日期!$B$2,allorders!$AG:$AG,"&gt;="&amp;日期!$B$1)</f>
        <v>0</v>
      </c>
      <c r="C127">
        <f>B127/(日期!$B$2-日期!$B$1+1)</f>
        <v>0</v>
      </c>
    </row>
    <row r="128" spans="2:3">
      <c r="B128">
        <f>SUMIFS(allorders!O:O,allorders!L:L,'数据处理(仓储使用)'!$A128,allorders!$AG:$AG,"&lt;="&amp;日期!$B$2,allorders!$AG:$AG,"&gt;="&amp;日期!$B$1)</f>
        <v>0</v>
      </c>
      <c r="C128">
        <f>B128/(日期!$B$2-日期!$B$1+1)</f>
        <v>0</v>
      </c>
    </row>
    <row r="129" spans="2:3">
      <c r="B129">
        <f>SUMIFS(allorders!O:O,allorders!L:L,'数据处理(仓储使用)'!$A129,allorders!$AG:$AG,"&lt;="&amp;日期!$B$2,allorders!$AG:$AG,"&gt;="&amp;日期!$B$1)</f>
        <v>0</v>
      </c>
      <c r="C129">
        <f>B129/(日期!$B$2-日期!$B$1+1)</f>
        <v>0</v>
      </c>
    </row>
    <row r="130" spans="2:3">
      <c r="B130">
        <f>SUMIFS(allorders!O:O,allorders!L:L,'数据处理(仓储使用)'!$A130,allorders!$AG:$AG,"&lt;="&amp;日期!$B$2,allorders!$AG:$AG,"&gt;="&amp;日期!$B$1)</f>
        <v>0</v>
      </c>
      <c r="C130">
        <f>B130/(日期!$B$2-日期!$B$1+1)</f>
        <v>0</v>
      </c>
    </row>
    <row r="131" spans="2:3">
      <c r="B131">
        <f>SUMIFS(allorders!O:O,allorders!L:L,'数据处理(仓储使用)'!$A131,allorders!$AG:$AG,"&lt;="&amp;日期!$B$2,allorders!$AG:$AG,"&gt;="&amp;日期!$B$1)</f>
        <v>0</v>
      </c>
      <c r="C131">
        <f>B131/(日期!$B$2-日期!$B$1+1)</f>
        <v>0</v>
      </c>
    </row>
    <row r="132" spans="2:3">
      <c r="B132">
        <f>SUMIFS(allorders!O:O,allorders!L:L,'数据处理(仓储使用)'!$A132,allorders!$AG:$AG,"&lt;="&amp;日期!$B$2,allorders!$AG:$AG,"&gt;="&amp;日期!$B$1)</f>
        <v>0</v>
      </c>
      <c r="C132">
        <f>B132/(日期!$B$2-日期!$B$1+1)</f>
        <v>0</v>
      </c>
    </row>
    <row r="133" spans="2:3">
      <c r="B133">
        <f>SUMIFS(allorders!O:O,allorders!L:L,'数据处理(仓储使用)'!$A133,allorders!$AG:$AG,"&lt;="&amp;日期!$B$2,allorders!$AG:$AG,"&gt;="&amp;日期!$B$1)</f>
        <v>0</v>
      </c>
      <c r="C133">
        <f>B133/(日期!$B$2-日期!$B$1+1)</f>
        <v>0</v>
      </c>
    </row>
    <row r="134" spans="2:3">
      <c r="B134">
        <f>SUMIFS(allorders!O:O,allorders!L:L,'数据处理(仓储使用)'!$A134,allorders!$AG:$AG,"&lt;="&amp;日期!$B$2,allorders!$AG:$AG,"&gt;="&amp;日期!$B$1)</f>
        <v>0</v>
      </c>
      <c r="C134">
        <f>B134/(日期!$B$2-日期!$B$1+1)</f>
        <v>0</v>
      </c>
    </row>
    <row r="135" spans="2:3">
      <c r="B135">
        <f>SUMIFS(allorders!O:O,allorders!L:L,'数据处理(仓储使用)'!$A135,allorders!$AG:$AG,"&lt;="&amp;日期!$B$2,allorders!$AG:$AG,"&gt;="&amp;日期!$B$1)</f>
        <v>0</v>
      </c>
      <c r="C135">
        <f>B135/(日期!$B$2-日期!$B$1+1)</f>
        <v>0</v>
      </c>
    </row>
    <row r="136" spans="2:3">
      <c r="B136">
        <f>SUMIFS(allorders!O:O,allorders!L:L,'数据处理(仓储使用)'!$A136,allorders!$AG:$AG,"&lt;="&amp;日期!$B$2,allorders!$AG:$AG,"&gt;="&amp;日期!$B$1)</f>
        <v>0</v>
      </c>
      <c r="C136">
        <f>B136/(日期!$B$2-日期!$B$1+1)</f>
        <v>0</v>
      </c>
    </row>
    <row r="137" spans="2:3">
      <c r="B137">
        <f>SUMIFS(allorders!O:O,allorders!L:L,'数据处理(仓储使用)'!$A137,allorders!$AG:$AG,"&lt;="&amp;日期!$B$2,allorders!$AG:$AG,"&gt;="&amp;日期!$B$1)</f>
        <v>0</v>
      </c>
      <c r="C137">
        <f>B137/(日期!$B$2-日期!$B$1+1)</f>
        <v>0</v>
      </c>
    </row>
    <row r="138" spans="2:3">
      <c r="B138">
        <f>SUMIFS(allorders!O:O,allorders!L:L,'数据处理(仓储使用)'!$A138,allorders!$AG:$AG,"&lt;="&amp;日期!$B$2,allorders!$AG:$AG,"&gt;="&amp;日期!$B$1)</f>
        <v>0</v>
      </c>
      <c r="C138">
        <f>B138/(日期!$B$2-日期!$B$1+1)</f>
        <v>0</v>
      </c>
    </row>
    <row r="139" spans="2:3">
      <c r="B139">
        <f>SUMIFS(allorders!O:O,allorders!L:L,'数据处理(仓储使用)'!$A139,allorders!$AG:$AG,"&lt;="&amp;日期!$B$2,allorders!$AG:$AG,"&gt;="&amp;日期!$B$1)</f>
        <v>0</v>
      </c>
      <c r="C139">
        <f>B139/(日期!$B$2-日期!$B$1+1)</f>
        <v>0</v>
      </c>
    </row>
    <row r="140" spans="2:3">
      <c r="B140">
        <f>SUMIFS(allorders!O:O,allorders!L:L,'数据处理(仓储使用)'!$A140,allorders!$AG:$AG,"&lt;="&amp;日期!$B$2,allorders!$AG:$AG,"&gt;="&amp;日期!$B$1)</f>
        <v>0</v>
      </c>
      <c r="C140">
        <f>B140/(日期!$B$2-日期!$B$1+1)</f>
        <v>0</v>
      </c>
    </row>
    <row r="141" spans="2:3">
      <c r="B141">
        <f>SUMIFS(allorders!O:O,allorders!L:L,'数据处理(仓储使用)'!$A141,allorders!$AG:$AG,"&lt;="&amp;日期!$B$2,allorders!$AG:$AG,"&gt;="&amp;日期!$B$1)</f>
        <v>0</v>
      </c>
      <c r="C141">
        <f>B141/(日期!$B$2-日期!$B$1+1)</f>
        <v>0</v>
      </c>
    </row>
    <row r="142" spans="2:3">
      <c r="B142">
        <f>SUMIFS(allorders!O:O,allorders!L:L,'数据处理(仓储使用)'!$A142,allorders!$AG:$AG,"&lt;="&amp;日期!$B$2,allorders!$AG:$AG,"&gt;="&amp;日期!$B$1)</f>
        <v>0</v>
      </c>
      <c r="C142">
        <f>B142/(日期!$B$2-日期!$B$1+1)</f>
        <v>0</v>
      </c>
    </row>
    <row r="143" spans="2:3">
      <c r="B143">
        <f>SUMIFS(allorders!O:O,allorders!L:L,'数据处理(仓储使用)'!$A143,allorders!$AG:$AG,"&lt;="&amp;日期!$B$2,allorders!$AG:$AG,"&gt;="&amp;日期!$B$1)</f>
        <v>0</v>
      </c>
      <c r="C143">
        <f>B143/(日期!$B$2-日期!$B$1+1)</f>
        <v>0</v>
      </c>
    </row>
    <row r="144" spans="2:3">
      <c r="B144">
        <f>SUMIFS(allorders!O:O,allorders!L:L,'数据处理(仓储使用)'!$A144,allorders!$AG:$AG,"&lt;="&amp;日期!$B$2,allorders!$AG:$AG,"&gt;="&amp;日期!$B$1)</f>
        <v>0</v>
      </c>
      <c r="C144">
        <f>B144/(日期!$B$2-日期!$B$1+1)</f>
        <v>0</v>
      </c>
    </row>
    <row r="145" spans="2:3">
      <c r="B145">
        <f>SUMIFS(allorders!O:O,allorders!L:L,'数据处理(仓储使用)'!$A145,allorders!$AG:$AG,"&lt;="&amp;日期!$B$2,allorders!$AG:$AG,"&gt;="&amp;日期!$B$1)</f>
        <v>0</v>
      </c>
      <c r="C145">
        <f>B145/(日期!$B$2-日期!$B$1+1)</f>
        <v>0</v>
      </c>
    </row>
    <row r="146" spans="2:3">
      <c r="B146">
        <f>SUMIFS(allorders!O:O,allorders!L:L,'数据处理(仓储使用)'!$A146,allorders!$AG:$AG,"&lt;="&amp;日期!$B$2,allorders!$AG:$AG,"&gt;="&amp;日期!$B$1)</f>
        <v>0</v>
      </c>
      <c r="C146">
        <f>B146/(日期!$B$2-日期!$B$1+1)</f>
        <v>0</v>
      </c>
    </row>
    <row r="147" spans="2:3">
      <c r="B147">
        <f>SUMIFS(allorders!O:O,allorders!L:L,'数据处理(仓储使用)'!$A147,allorders!$AG:$AG,"&lt;="&amp;日期!$B$2,allorders!$AG:$AG,"&gt;="&amp;日期!$B$1)</f>
        <v>0</v>
      </c>
      <c r="C147">
        <f>B147/(日期!$B$2-日期!$B$1+1)</f>
        <v>0</v>
      </c>
    </row>
    <row r="148" spans="2:3">
      <c r="B148">
        <f>SUMIFS(allorders!O:O,allorders!L:L,'数据处理(仓储使用)'!$A148,allorders!$AG:$AG,"&lt;="&amp;日期!$B$2,allorders!$AG:$AG,"&gt;="&amp;日期!$B$1)</f>
        <v>0</v>
      </c>
      <c r="C148">
        <f>B148/(日期!$B$2-日期!$B$1+1)</f>
        <v>0</v>
      </c>
    </row>
    <row r="149" spans="2:3">
      <c r="B149">
        <f>SUMIFS(allorders!O:O,allorders!L:L,'数据处理(仓储使用)'!$A149,allorders!$AG:$AG,"&lt;="&amp;日期!$B$2,allorders!$AG:$AG,"&gt;="&amp;日期!$B$1)</f>
        <v>0</v>
      </c>
      <c r="C149">
        <f>B149/(日期!$B$2-日期!$B$1+1)</f>
        <v>0</v>
      </c>
    </row>
    <row r="150" spans="2:3">
      <c r="B150">
        <f>SUMIFS(allorders!O:O,allorders!L:L,'数据处理(仓储使用)'!$A150,allorders!$AG:$AG,"&lt;="&amp;日期!$B$2,allorders!$AG:$AG,"&gt;="&amp;日期!$B$1)</f>
        <v>0</v>
      </c>
      <c r="C150">
        <f>B150/(日期!$B$2-日期!$B$1+1)</f>
        <v>0</v>
      </c>
    </row>
    <row r="151" spans="2:3">
      <c r="B151">
        <f>SUMIFS(allorders!O:O,allorders!L:L,'数据处理(仓储使用)'!$A151,allorders!$AG:$AG,"&lt;="&amp;日期!$B$2,allorders!$AG:$AG,"&gt;="&amp;日期!$B$1)</f>
        <v>0</v>
      </c>
      <c r="C151">
        <f>B151/(日期!$B$2-日期!$B$1+1)</f>
        <v>0</v>
      </c>
    </row>
    <row r="152" spans="2:3">
      <c r="B152">
        <f>SUMIFS(allorders!O:O,allorders!L:L,'数据处理(仓储使用)'!$A152,allorders!$AG:$AG,"&lt;="&amp;日期!$B$2,allorders!$AG:$AG,"&gt;="&amp;日期!$B$1)</f>
        <v>0</v>
      </c>
      <c r="C152">
        <f>B152/(日期!$B$2-日期!$B$1+1)</f>
        <v>0</v>
      </c>
    </row>
    <row r="153" spans="2:3">
      <c r="B153">
        <f>SUMIFS(allorders!O:O,allorders!L:L,'数据处理(仓储使用)'!$A153,allorders!$AG:$AG,"&lt;="&amp;日期!$B$2,allorders!$AG:$AG,"&gt;="&amp;日期!$B$1)</f>
        <v>0</v>
      </c>
      <c r="C153">
        <f>B153/(日期!$B$2-日期!$B$1+1)</f>
        <v>0</v>
      </c>
    </row>
    <row r="154" spans="2:3">
      <c r="B154">
        <f>SUMIFS(allorders!O:O,allorders!L:L,'数据处理(仓储使用)'!$A154,allorders!$AG:$AG,"&lt;="&amp;日期!$B$2,allorders!$AG:$AG,"&gt;="&amp;日期!$B$1)</f>
        <v>0</v>
      </c>
      <c r="C154">
        <f>B154/(日期!$B$2-日期!$B$1+1)</f>
        <v>0</v>
      </c>
    </row>
    <row r="155" spans="2:3">
      <c r="B155">
        <f>SUMIFS(allorders!O:O,allorders!L:L,'数据处理(仓储使用)'!$A155,allorders!$AG:$AG,"&lt;="&amp;日期!$B$2,allorders!$AG:$AG,"&gt;="&amp;日期!$B$1)</f>
        <v>0</v>
      </c>
      <c r="C155">
        <f>B155/(日期!$B$2-日期!$B$1+1)</f>
        <v>0</v>
      </c>
    </row>
    <row r="156" spans="2:3">
      <c r="B156">
        <f>SUMIFS(allorders!O:O,allorders!L:L,'数据处理(仓储使用)'!$A156,allorders!$AG:$AG,"&lt;="&amp;日期!$B$2,allorders!$AG:$AG,"&gt;="&amp;日期!$B$1)</f>
        <v>0</v>
      </c>
      <c r="C156">
        <f>B156/(日期!$B$2-日期!$B$1+1)</f>
        <v>0</v>
      </c>
    </row>
    <row r="157" spans="2:3">
      <c r="B157">
        <f>SUMIFS(allorders!O:O,allorders!L:L,'数据处理(仓储使用)'!$A157,allorders!$AG:$AG,"&lt;="&amp;日期!$B$2,allorders!$AG:$AG,"&gt;="&amp;日期!$B$1)</f>
        <v>0</v>
      </c>
      <c r="C157">
        <f>B157/(日期!$B$2-日期!$B$1+1)</f>
        <v>0</v>
      </c>
    </row>
    <row r="158" spans="2:3">
      <c r="B158">
        <f>SUMIFS(allorders!O:O,allorders!L:L,'数据处理(仓储使用)'!$A158,allorders!$AG:$AG,"&lt;="&amp;日期!$B$2,allorders!$AG:$AG,"&gt;="&amp;日期!$B$1)</f>
        <v>0</v>
      </c>
      <c r="C158">
        <f>B158/(日期!$B$2-日期!$B$1+1)</f>
        <v>0</v>
      </c>
    </row>
    <row r="159" spans="2:3">
      <c r="B159">
        <f>SUMIFS(allorders!O:O,allorders!L:L,'数据处理(仓储使用)'!$A159,allorders!$AG:$AG,"&lt;="&amp;日期!$B$2,allorders!$AG:$AG,"&gt;="&amp;日期!$B$1)</f>
        <v>0</v>
      </c>
      <c r="C159">
        <f>B159/(日期!$B$2-日期!$B$1+1)</f>
        <v>0</v>
      </c>
    </row>
    <row r="160" spans="2:3">
      <c r="B160">
        <f>SUMIFS(allorders!O:O,allorders!L:L,'数据处理(仓储使用)'!$A160,allorders!$AG:$AG,"&lt;="&amp;日期!$B$2,allorders!$AG:$AG,"&gt;="&amp;日期!$B$1)</f>
        <v>0</v>
      </c>
      <c r="C160">
        <f>B160/(日期!$B$2-日期!$B$1+1)</f>
        <v>0</v>
      </c>
    </row>
    <row r="161" spans="2:3">
      <c r="B161">
        <f>SUMIFS(allorders!O:O,allorders!L:L,'数据处理(仓储使用)'!$A161,allorders!$AG:$AG,"&lt;="&amp;日期!$B$2,allorders!$AG:$AG,"&gt;="&amp;日期!$B$1)</f>
        <v>0</v>
      </c>
      <c r="C161">
        <f>B161/(日期!$B$2-日期!$B$1+1)</f>
        <v>0</v>
      </c>
    </row>
    <row r="162" spans="2:3">
      <c r="B162">
        <f>SUMIFS(allorders!O:O,allorders!L:L,'数据处理(仓储使用)'!$A162,allorders!$AG:$AG,"&lt;="&amp;日期!$B$2,allorders!$AG:$AG,"&gt;="&amp;日期!$B$1)</f>
        <v>0</v>
      </c>
      <c r="C162">
        <f>B162/(日期!$B$2-日期!$B$1+1)</f>
        <v>0</v>
      </c>
    </row>
    <row r="163" spans="2:3">
      <c r="B163">
        <f>SUMIFS(allorders!O:O,allorders!L:L,'数据处理(仓储使用)'!$A163,allorders!$AG:$AG,"&lt;="&amp;日期!$B$2,allorders!$AG:$AG,"&gt;="&amp;日期!$B$1)</f>
        <v>0</v>
      </c>
      <c r="C163">
        <f>B163/(日期!$B$2-日期!$B$1+1)</f>
        <v>0</v>
      </c>
    </row>
    <row r="164" spans="2:3">
      <c r="B164">
        <f>SUMIFS(allorders!O:O,allorders!L:L,'数据处理(仓储使用)'!$A164,allorders!$AG:$AG,"&lt;="&amp;日期!$B$2,allorders!$AG:$AG,"&gt;="&amp;日期!$B$1)</f>
        <v>0</v>
      </c>
      <c r="C164">
        <f>B164/(日期!$B$2-日期!$B$1+1)</f>
        <v>0</v>
      </c>
    </row>
    <row r="165" spans="2:3">
      <c r="B165">
        <f>SUMIFS(allorders!O:O,allorders!L:L,'数据处理(仓储使用)'!$A165,allorders!$AG:$AG,"&lt;="&amp;日期!$B$2,allorders!$AG:$AG,"&gt;="&amp;日期!$B$1)</f>
        <v>0</v>
      </c>
      <c r="C165">
        <f>B165/(日期!$B$2-日期!$B$1+1)</f>
        <v>0</v>
      </c>
    </row>
    <row r="166" spans="2:3">
      <c r="B166">
        <f>SUMIFS(allorders!O:O,allorders!L:L,'数据处理(仓储使用)'!$A166,allorders!$AG:$AG,"&lt;="&amp;日期!$B$2,allorders!$AG:$AG,"&gt;="&amp;日期!$B$1)</f>
        <v>0</v>
      </c>
      <c r="C166">
        <f>B166/(日期!$B$2-日期!$B$1+1)</f>
        <v>0</v>
      </c>
    </row>
    <row r="167" spans="2:3">
      <c r="B167">
        <f>SUMIFS(allorders!O:O,allorders!L:L,'数据处理(仓储使用)'!$A167,allorders!$AG:$AG,"&lt;="&amp;日期!$B$2,allorders!$AG:$AG,"&gt;="&amp;日期!$B$1)</f>
        <v>0</v>
      </c>
      <c r="C167">
        <f>B167/(日期!$B$2-日期!$B$1+1)</f>
        <v>0</v>
      </c>
    </row>
    <row r="168" spans="2:3">
      <c r="B168">
        <f>SUMIFS(allorders!O:O,allorders!L:L,'数据处理(仓储使用)'!$A168,allorders!$AG:$AG,"&lt;="&amp;日期!$B$2,allorders!$AG:$AG,"&gt;="&amp;日期!$B$1)</f>
        <v>0</v>
      </c>
      <c r="C168">
        <f>B168/(日期!$B$2-日期!$B$1+1)</f>
        <v>0</v>
      </c>
    </row>
    <row r="169" spans="2:3">
      <c r="B169">
        <f>SUMIFS(allorders!O:O,allorders!L:L,'数据处理(仓储使用)'!$A169,allorders!$AG:$AG,"&lt;="&amp;日期!$B$2,allorders!$AG:$AG,"&gt;="&amp;日期!$B$1)</f>
        <v>0</v>
      </c>
      <c r="C169">
        <f>B169/(日期!$B$2-日期!$B$1+1)</f>
        <v>0</v>
      </c>
    </row>
    <row r="170" spans="2:3">
      <c r="B170">
        <f>SUMIFS(allorders!O:O,allorders!L:L,'数据处理(仓储使用)'!$A170,allorders!$AG:$AG,"&lt;="&amp;日期!$B$2,allorders!$AG:$AG,"&gt;="&amp;日期!$B$1)</f>
        <v>0</v>
      </c>
      <c r="C170">
        <f>B170/(日期!$B$2-日期!$B$1+1)</f>
        <v>0</v>
      </c>
    </row>
    <row r="171" spans="2:3">
      <c r="B171">
        <f>SUMIFS(allorders!O:O,allorders!L:L,'数据处理(仓储使用)'!$A171,allorders!$AG:$AG,"&lt;="&amp;日期!$B$2,allorders!$AG:$AG,"&gt;="&amp;日期!$B$1)</f>
        <v>0</v>
      </c>
      <c r="C171">
        <f>B171/(日期!$B$2-日期!$B$1+1)</f>
        <v>0</v>
      </c>
    </row>
    <row r="172" spans="2:3">
      <c r="B172">
        <f>SUMIFS(allorders!O:O,allorders!L:L,'数据处理(仓储使用)'!$A172,allorders!$AG:$AG,"&lt;="&amp;日期!$B$2,allorders!$AG:$AG,"&gt;="&amp;日期!$B$1)</f>
        <v>0</v>
      </c>
      <c r="C172">
        <f>B172/(日期!$B$2-日期!$B$1+1)</f>
        <v>0</v>
      </c>
    </row>
    <row r="173" spans="2:3">
      <c r="B173">
        <f>SUMIFS(allorders!O:O,allorders!L:L,'数据处理(仓储使用)'!$A173,allorders!$AG:$AG,"&lt;="&amp;日期!$B$2,allorders!$AG:$AG,"&gt;="&amp;日期!$B$1)</f>
        <v>0</v>
      </c>
      <c r="C173">
        <f>B173/(日期!$B$2-日期!$B$1+1)</f>
        <v>0</v>
      </c>
    </row>
    <row r="174" spans="2:3">
      <c r="B174">
        <f>SUMIFS(allorders!O:O,allorders!L:L,'数据处理(仓储使用)'!$A174,allorders!$AG:$AG,"&lt;="&amp;日期!$B$2,allorders!$AG:$AG,"&gt;="&amp;日期!$B$1)</f>
        <v>0</v>
      </c>
      <c r="C174">
        <f>B174/(日期!$B$2-日期!$B$1+1)</f>
        <v>0</v>
      </c>
    </row>
    <row r="175" spans="2:3">
      <c r="B175">
        <f>SUMIFS(allorders!O:O,allorders!L:L,'数据处理(仓储使用)'!$A175,allorders!$AG:$AG,"&lt;="&amp;日期!$B$2,allorders!$AG:$AG,"&gt;="&amp;日期!$B$1)</f>
        <v>0</v>
      </c>
      <c r="C175">
        <f>B175/(日期!$B$2-日期!$B$1+1)</f>
        <v>0</v>
      </c>
    </row>
    <row r="176" spans="2:3">
      <c r="B176">
        <f>SUMIFS(allorders!O:O,allorders!L:L,'数据处理(仓储使用)'!$A176,allorders!$AG:$AG,"&lt;="&amp;日期!$B$2,allorders!$AG:$AG,"&gt;="&amp;日期!$B$1)</f>
        <v>0</v>
      </c>
      <c r="C176">
        <f>B176/(日期!$B$2-日期!$B$1+1)</f>
        <v>0</v>
      </c>
    </row>
    <row r="177" spans="2:3">
      <c r="B177">
        <f>SUMIFS(allorders!O:O,allorders!L:L,'数据处理(仓储使用)'!$A177,allorders!$AG:$AG,"&lt;="&amp;日期!$B$2,allorders!$AG:$AG,"&gt;="&amp;日期!$B$1)</f>
        <v>0</v>
      </c>
      <c r="C177">
        <f>B177/(日期!$B$2-日期!$B$1+1)</f>
        <v>0</v>
      </c>
    </row>
    <row r="178" spans="2:3">
      <c r="B178">
        <f>SUMIFS(allorders!O:O,allorders!L:L,'数据处理(仓储使用)'!$A178,allorders!$AG:$AG,"&lt;="&amp;日期!$B$2,allorders!$AG:$AG,"&gt;="&amp;日期!$B$1)</f>
        <v>0</v>
      </c>
      <c r="C178">
        <f>B178/(日期!$B$2-日期!$B$1+1)</f>
        <v>0</v>
      </c>
    </row>
    <row r="179" spans="2:3">
      <c r="B179">
        <f>SUMIFS(allorders!O:O,allorders!L:L,'数据处理(仓储使用)'!$A179,allorders!$AG:$AG,"&lt;="&amp;日期!$B$2,allorders!$AG:$AG,"&gt;="&amp;日期!$B$1)</f>
        <v>0</v>
      </c>
      <c r="C179">
        <f>B179/(日期!$B$2-日期!$B$1+1)</f>
        <v>0</v>
      </c>
    </row>
    <row r="180" spans="2:3">
      <c r="B180">
        <f>SUMIFS(allorders!O:O,allorders!L:L,'数据处理(仓储使用)'!$A180,allorders!$AG:$AG,"&lt;="&amp;日期!$B$2,allorders!$AG:$AG,"&gt;="&amp;日期!$B$1)</f>
        <v>0</v>
      </c>
      <c r="C180">
        <f>B180/(日期!$B$2-日期!$B$1+1)</f>
        <v>0</v>
      </c>
    </row>
    <row r="181" spans="2:3">
      <c r="B181">
        <f>SUMIFS(allorders!O:O,allorders!L:L,'数据处理(仓储使用)'!$A181,allorders!$AG:$AG,"&lt;="&amp;日期!$B$2,allorders!$AG:$AG,"&gt;="&amp;日期!$B$1)</f>
        <v>0</v>
      </c>
      <c r="C181">
        <f>B181/(日期!$B$2-日期!$B$1+1)</f>
        <v>0</v>
      </c>
    </row>
    <row r="182" spans="2:3">
      <c r="B182">
        <f>SUMIFS(allorders!O:O,allorders!L:L,'数据处理(仓储使用)'!$A182,allorders!$AG:$AG,"&lt;="&amp;日期!$B$2,allorders!$AG:$AG,"&gt;="&amp;日期!$B$1)</f>
        <v>0</v>
      </c>
      <c r="C182">
        <f>B182/(日期!$B$2-日期!$B$1+1)</f>
        <v>0</v>
      </c>
    </row>
    <row r="183" spans="2:3">
      <c r="B183">
        <f>SUMIFS(allorders!O:O,allorders!L:L,'数据处理(仓储使用)'!$A183,allorders!$AG:$AG,"&lt;="&amp;日期!$B$2,allorders!$AG:$AG,"&gt;="&amp;日期!$B$1)</f>
        <v>0</v>
      </c>
      <c r="C183">
        <f>B183/(日期!$B$2-日期!$B$1+1)</f>
        <v>0</v>
      </c>
    </row>
    <row r="184" spans="2:3">
      <c r="B184">
        <f>SUMIFS(allorders!O:O,allorders!L:L,'数据处理(仓储使用)'!$A184,allorders!$AG:$AG,"&lt;="&amp;日期!$B$2,allorders!$AG:$AG,"&gt;="&amp;日期!$B$1)</f>
        <v>0</v>
      </c>
      <c r="C184">
        <f>B184/(日期!$B$2-日期!$B$1+1)</f>
        <v>0</v>
      </c>
    </row>
    <row r="185" spans="2:3">
      <c r="B185">
        <f>SUMIFS(allorders!O:O,allorders!L:L,'数据处理(仓储使用)'!$A185,allorders!$AG:$AG,"&lt;="&amp;日期!$B$2,allorders!$AG:$AG,"&gt;="&amp;日期!$B$1)</f>
        <v>0</v>
      </c>
      <c r="C185">
        <f>B185/(日期!$B$2-日期!$B$1+1)</f>
        <v>0</v>
      </c>
    </row>
    <row r="186" spans="2:3">
      <c r="B186">
        <f>SUMIFS(allorders!O:O,allorders!L:L,'数据处理(仓储使用)'!$A186,allorders!$AG:$AG,"&lt;="&amp;日期!$B$2,allorders!$AG:$AG,"&gt;="&amp;日期!$B$1)</f>
        <v>0</v>
      </c>
      <c r="C186">
        <f>B186/(日期!$B$2-日期!$B$1+1)</f>
        <v>0</v>
      </c>
    </row>
    <row r="187" spans="2:3">
      <c r="B187">
        <f>SUMIFS(allorders!O:O,allorders!L:L,'数据处理(仓储使用)'!$A187,allorders!$AG:$AG,"&lt;="&amp;日期!$B$2,allorders!$AG:$AG,"&gt;="&amp;日期!$B$1)</f>
        <v>0</v>
      </c>
      <c r="C187">
        <f>B187/(日期!$B$2-日期!$B$1+1)</f>
        <v>0</v>
      </c>
    </row>
    <row r="188" spans="2:3">
      <c r="B188">
        <f>SUMIFS(allorders!O:O,allorders!L:L,'数据处理(仓储使用)'!$A188,allorders!$AG:$AG,"&lt;="&amp;日期!$B$2,allorders!$AG:$AG,"&gt;="&amp;日期!$B$1)</f>
        <v>0</v>
      </c>
      <c r="C188">
        <f>B188/(日期!$B$2-日期!$B$1+1)</f>
        <v>0</v>
      </c>
    </row>
    <row r="189" spans="2:3">
      <c r="B189">
        <f>SUMIFS(allorders!O:O,allorders!L:L,'数据处理(仓储使用)'!$A189,allorders!$AG:$AG,"&lt;="&amp;日期!$B$2,allorders!$AG:$AG,"&gt;="&amp;日期!$B$1)</f>
        <v>0</v>
      </c>
      <c r="C189">
        <f>B189/(日期!$B$2-日期!$B$1+1)</f>
        <v>0</v>
      </c>
    </row>
    <row r="190" spans="2:3">
      <c r="B190">
        <f>SUMIFS(allorders!O:O,allorders!L:L,'数据处理(仓储使用)'!$A190,allorders!$AG:$AG,"&lt;="&amp;日期!$B$2,allorders!$AG:$AG,"&gt;="&amp;日期!$B$1)</f>
        <v>0</v>
      </c>
      <c r="C190">
        <f>B190/(日期!$B$2-日期!$B$1+1)</f>
        <v>0</v>
      </c>
    </row>
    <row r="191" spans="2:3">
      <c r="B191">
        <f>SUMIFS(allorders!O:O,allorders!L:L,'数据处理(仓储使用)'!$A191,allorders!$AG:$AG,"&lt;="&amp;日期!$B$2,allorders!$AG:$AG,"&gt;="&amp;日期!$B$1)</f>
        <v>0</v>
      </c>
      <c r="C191">
        <f>B191/(日期!$B$2-日期!$B$1+1)</f>
        <v>0</v>
      </c>
    </row>
    <row r="192" spans="2:3">
      <c r="B192">
        <f>SUMIFS(allorders!O:O,allorders!L:L,'数据处理(仓储使用)'!$A192,allorders!$AG:$AG,"&lt;="&amp;日期!$B$2,allorders!$AG:$AG,"&gt;="&amp;日期!$B$1)</f>
        <v>0</v>
      </c>
      <c r="C192">
        <f>B192/(日期!$B$2-日期!$B$1+1)</f>
        <v>0</v>
      </c>
    </row>
    <row r="193" spans="2:3">
      <c r="B193">
        <f>SUMIFS(allorders!O:O,allorders!L:L,'数据处理(仓储使用)'!$A193,allorders!$AG:$AG,"&lt;="&amp;日期!$B$2,allorders!$AG:$AG,"&gt;="&amp;日期!$B$1)</f>
        <v>0</v>
      </c>
      <c r="C193">
        <f>B193/(日期!$B$2-日期!$B$1+1)</f>
        <v>0</v>
      </c>
    </row>
    <row r="194" spans="2:3">
      <c r="B194">
        <f>SUMIFS(allorders!O:O,allorders!L:L,'数据处理(仓储使用)'!$A194,allorders!$AG:$AG,"&lt;="&amp;日期!$B$2,allorders!$AG:$AG,"&gt;="&amp;日期!$B$1)</f>
        <v>0</v>
      </c>
      <c r="C194">
        <f>B194/(日期!$B$2-日期!$B$1+1)</f>
        <v>0</v>
      </c>
    </row>
    <row r="195" spans="2:3">
      <c r="B195">
        <f>SUMIFS(allorders!O:O,allorders!L:L,'数据处理(仓储使用)'!$A195,allorders!$AG:$AG,"&lt;="&amp;日期!$B$2,allorders!$AG:$AG,"&gt;="&amp;日期!$B$1)</f>
        <v>0</v>
      </c>
      <c r="C195">
        <f>B195/(日期!$B$2-日期!$B$1+1)</f>
        <v>0</v>
      </c>
    </row>
    <row r="196" spans="2:3">
      <c r="B196">
        <f>SUMIFS(allorders!O:O,allorders!L:L,'数据处理(仓储使用)'!$A196,allorders!$AG:$AG,"&lt;="&amp;日期!$B$2,allorders!$AG:$AG,"&gt;="&amp;日期!$B$1)</f>
        <v>0</v>
      </c>
      <c r="C196">
        <f>B196/(日期!$B$2-日期!$B$1+1)</f>
        <v>0</v>
      </c>
    </row>
    <row r="197" spans="2:3">
      <c r="B197">
        <f>SUMIFS(allorders!O:O,allorders!L:L,'数据处理(仓储使用)'!$A197,allorders!$AG:$AG,"&lt;="&amp;日期!$B$2,allorders!$AG:$AG,"&gt;="&amp;日期!$B$1)</f>
        <v>0</v>
      </c>
      <c r="C197">
        <f>B197/(日期!$B$2-日期!$B$1+1)</f>
        <v>0</v>
      </c>
    </row>
    <row r="198" spans="2:3">
      <c r="B198">
        <f>SUMIFS(allorders!O:O,allorders!L:L,'数据处理(仓储使用)'!$A198,allorders!$AG:$AG,"&lt;="&amp;日期!$B$2,allorders!$AG:$AG,"&gt;="&amp;日期!$B$1)</f>
        <v>0</v>
      </c>
      <c r="C198">
        <f>B198/(日期!$B$2-日期!$B$1+1)</f>
        <v>0</v>
      </c>
    </row>
    <row r="199" spans="2:3">
      <c r="B199">
        <f>SUMIFS(allorders!O:O,allorders!L:L,'数据处理(仓储使用)'!$A199,allorders!$AG:$AG,"&lt;="&amp;日期!$B$2,allorders!$AG:$AG,"&gt;="&amp;日期!$B$1)</f>
        <v>0</v>
      </c>
      <c r="C199">
        <f>B199/(日期!$B$2-日期!$B$1+1)</f>
        <v>0</v>
      </c>
    </row>
    <row r="200" spans="2:3">
      <c r="B200">
        <f>SUMIFS(allorders!O:O,allorders!L:L,'数据处理(仓储使用)'!$A200,allorders!$AG:$AG,"&lt;="&amp;日期!$B$2,allorders!$AG:$AG,"&gt;="&amp;日期!$B$1)</f>
        <v>0</v>
      </c>
      <c r="C200">
        <f>B200/(日期!$B$2-日期!$B$1+1)</f>
        <v>0</v>
      </c>
    </row>
    <row r="201" spans="2:3">
      <c r="B201">
        <f>SUMIFS(allorders!O:O,allorders!L:L,'数据处理(仓储使用)'!$A201,allorders!$AG:$AG,"&lt;="&amp;日期!$B$2,allorders!$AG:$AG,"&gt;="&amp;日期!$B$1)</f>
        <v>0</v>
      </c>
      <c r="C201">
        <f>B201/(日期!$B$2-日期!$B$1+1)</f>
        <v>0</v>
      </c>
    </row>
    <row r="202" spans="2:3">
      <c r="B202">
        <f>SUMIFS(allorders!O:O,allorders!L:L,'数据处理(仓储使用)'!$A202,allorders!$AG:$AG,"&lt;="&amp;日期!$B$2,allorders!$AG:$AG,"&gt;="&amp;日期!$B$1)</f>
        <v>0</v>
      </c>
      <c r="C202">
        <f>B202/(日期!$B$2-日期!$B$1+1)</f>
        <v>0</v>
      </c>
    </row>
    <row r="203" spans="2:3">
      <c r="B203">
        <f>SUMIFS(allorders!O:O,allorders!L:L,'数据处理(仓储使用)'!$A203,allorders!$AG:$AG,"&lt;="&amp;日期!$B$2,allorders!$AG:$AG,"&gt;="&amp;日期!$B$1)</f>
        <v>0</v>
      </c>
      <c r="C203">
        <f>B203/(日期!$B$2-日期!$B$1+1)</f>
        <v>0</v>
      </c>
    </row>
    <row r="204" spans="2:3">
      <c r="B204">
        <f>SUMIFS(allorders!O:O,allorders!L:L,'数据处理(仓储使用)'!$A204,allorders!$AG:$AG,"&lt;="&amp;日期!$B$2,allorders!$AG:$AG,"&gt;="&amp;日期!$B$1)</f>
        <v>0</v>
      </c>
      <c r="C204">
        <f>B204/(日期!$B$2-日期!$B$1+1)</f>
        <v>0</v>
      </c>
    </row>
    <row r="205" spans="2:3">
      <c r="B205">
        <f>SUMIFS(allorders!O:O,allorders!L:L,'数据处理(仓储使用)'!$A205,allorders!$AG:$AG,"&lt;="&amp;日期!$B$2,allorders!$AG:$AG,"&gt;="&amp;日期!$B$1)</f>
        <v>0</v>
      </c>
      <c r="C205">
        <f>B205/(日期!$B$2-日期!$B$1+1)</f>
        <v>0</v>
      </c>
    </row>
    <row r="206" spans="2:3">
      <c r="B206">
        <f>SUMIFS(allorders!O:O,allorders!L:L,'数据处理(仓储使用)'!$A206,allorders!$AG:$AG,"&lt;="&amp;日期!$B$2,allorders!$AG:$AG,"&gt;="&amp;日期!$B$1)</f>
        <v>0</v>
      </c>
      <c r="C206">
        <f>B206/(日期!$B$2-日期!$B$1+1)</f>
        <v>0</v>
      </c>
    </row>
    <row r="207" spans="2:3">
      <c r="B207">
        <f>SUMIFS(allorders!O:O,allorders!L:L,'数据处理(仓储使用)'!$A207,allorders!$AG:$AG,"&lt;="&amp;日期!$B$2,allorders!$AG:$AG,"&gt;="&amp;日期!$B$1)</f>
        <v>0</v>
      </c>
      <c r="C207">
        <f>B207/(日期!$B$2-日期!$B$1+1)</f>
        <v>0</v>
      </c>
    </row>
    <row r="208" spans="2:3">
      <c r="B208">
        <f>SUMIFS(allorders!O:O,allorders!L:L,'数据处理(仓储使用)'!$A208,allorders!$AG:$AG,"&lt;="&amp;日期!$B$2,allorders!$AG:$AG,"&gt;="&amp;日期!$B$1)</f>
        <v>0</v>
      </c>
      <c r="C208">
        <f>B208/(日期!$B$2-日期!$B$1+1)</f>
        <v>0</v>
      </c>
    </row>
    <row r="209" spans="2:3">
      <c r="B209">
        <f>SUMIFS(allorders!O:O,allorders!L:L,'数据处理(仓储使用)'!$A209,allorders!$AG:$AG,"&lt;="&amp;日期!$B$2,allorders!$AG:$AG,"&gt;="&amp;日期!$B$1)</f>
        <v>0</v>
      </c>
      <c r="C209">
        <f>B209/(日期!$B$2-日期!$B$1+1)</f>
        <v>0</v>
      </c>
    </row>
    <row r="210" spans="2:3">
      <c r="B210">
        <f>SUMIFS(allorders!O:O,allorders!L:L,'数据处理(仓储使用)'!$A210,allorders!$AG:$AG,"&lt;="&amp;日期!$B$2,allorders!$AG:$AG,"&gt;="&amp;日期!$B$1)</f>
        <v>0</v>
      </c>
      <c r="C210">
        <f>B210/(日期!$B$2-日期!$B$1+1)</f>
        <v>0</v>
      </c>
    </row>
    <row r="211" spans="2:3">
      <c r="B211">
        <f>SUMIFS(allorders!O:O,allorders!L:L,'数据处理(仓储使用)'!$A211,allorders!$AG:$AG,"&lt;="&amp;日期!$B$2,allorders!$AG:$AG,"&gt;="&amp;日期!$B$1)</f>
        <v>0</v>
      </c>
      <c r="C211">
        <f>B211/(日期!$B$2-日期!$B$1+1)</f>
        <v>0</v>
      </c>
    </row>
    <row r="212" spans="2:3">
      <c r="B212">
        <f>SUMIFS(allorders!O:O,allorders!L:L,'数据处理(仓储使用)'!$A212,allorders!$AG:$AG,"&lt;="&amp;日期!$B$2,allorders!$AG:$AG,"&gt;="&amp;日期!$B$1)</f>
        <v>0</v>
      </c>
      <c r="C212">
        <f>B212/(日期!$B$2-日期!$B$1+1)</f>
        <v>0</v>
      </c>
    </row>
    <row r="213" spans="2:3">
      <c r="B213">
        <f>SUMIFS(allorders!O:O,allorders!L:L,'数据处理(仓储使用)'!$A213,allorders!$AG:$AG,"&lt;="&amp;日期!$B$2,allorders!$AG:$AG,"&gt;="&amp;日期!$B$1)</f>
        <v>0</v>
      </c>
      <c r="C213">
        <f>B213/(日期!$B$2-日期!$B$1+1)</f>
        <v>0</v>
      </c>
    </row>
    <row r="214" spans="2:3">
      <c r="B214">
        <f>SUMIFS(allorders!O:O,allorders!L:L,'数据处理(仓储使用)'!$A214,allorders!$AG:$AG,"&lt;="&amp;日期!$B$2,allorders!$AG:$AG,"&gt;="&amp;日期!$B$1)</f>
        <v>0</v>
      </c>
      <c r="C214">
        <f>B214/(日期!$B$2-日期!$B$1+1)</f>
        <v>0</v>
      </c>
    </row>
    <row r="215" spans="2:3">
      <c r="B215">
        <f>SUMIFS(allorders!O:O,allorders!L:L,'数据处理(仓储使用)'!$A215,allorders!$AG:$AG,"&lt;="&amp;日期!$B$2,allorders!$AG:$AG,"&gt;="&amp;日期!$B$1)</f>
        <v>0</v>
      </c>
      <c r="C215">
        <f>B215/(日期!$B$2-日期!$B$1+1)</f>
        <v>0</v>
      </c>
    </row>
    <row r="216" spans="2:3">
      <c r="B216">
        <f>SUMIFS(allorders!O:O,allorders!L:L,'数据处理(仓储使用)'!$A216,allorders!$AG:$AG,"&lt;="&amp;日期!$B$2,allorders!$AG:$AG,"&gt;="&amp;日期!$B$1)</f>
        <v>0</v>
      </c>
      <c r="C216">
        <f>B216/(日期!$B$2-日期!$B$1+1)</f>
        <v>0</v>
      </c>
    </row>
    <row r="217" spans="2:3">
      <c r="B217">
        <f>SUMIFS(allorders!O:O,allorders!L:L,'数据处理(仓储使用)'!$A217,allorders!$AG:$AG,"&lt;="&amp;日期!$B$2,allorders!$AG:$AG,"&gt;="&amp;日期!$B$1)</f>
        <v>0</v>
      </c>
      <c r="C217">
        <f>B217/(日期!$B$2-日期!$B$1+1)</f>
        <v>0</v>
      </c>
    </row>
    <row r="218" spans="2:3">
      <c r="B218">
        <f>SUMIFS(allorders!O:O,allorders!L:L,'数据处理(仓储使用)'!$A218,allorders!$AG:$AG,"&lt;="&amp;日期!$B$2,allorders!$AG:$AG,"&gt;="&amp;日期!$B$1)</f>
        <v>0</v>
      </c>
      <c r="C218">
        <f>B218/(日期!$B$2-日期!$B$1+1)</f>
        <v>0</v>
      </c>
    </row>
    <row r="219" spans="2:3">
      <c r="B219">
        <f>SUMIFS(allorders!O:O,allorders!L:L,'数据处理(仓储使用)'!$A219,allorders!$AG:$AG,"&lt;="&amp;日期!$B$2,allorders!$AG:$AG,"&gt;="&amp;日期!$B$1)</f>
        <v>0</v>
      </c>
      <c r="C219">
        <f>B219/(日期!$B$2-日期!$B$1+1)</f>
        <v>0</v>
      </c>
    </row>
    <row r="220" spans="2:3">
      <c r="B220">
        <f>SUMIFS(allorders!O:O,allorders!L:L,'数据处理(仓储使用)'!$A220,allorders!$AG:$AG,"&lt;="&amp;日期!$B$2,allorders!$AG:$AG,"&gt;="&amp;日期!$B$1)</f>
        <v>0</v>
      </c>
      <c r="C220">
        <f>B220/(日期!$B$2-日期!$B$1+1)</f>
        <v>0</v>
      </c>
    </row>
    <row r="221" spans="2:3">
      <c r="B221">
        <f>SUMIFS(allorders!O:O,allorders!L:L,'数据处理(仓储使用)'!$A221,allorders!$AG:$AG,"&lt;="&amp;日期!$B$2,allorders!$AG:$AG,"&gt;="&amp;日期!$B$1)</f>
        <v>0</v>
      </c>
      <c r="C221">
        <f>B221/(日期!$B$2-日期!$B$1+1)</f>
        <v>0</v>
      </c>
    </row>
    <row r="222" spans="2:3">
      <c r="B222">
        <f>SUMIFS(allorders!O:O,allorders!L:L,'数据处理(仓储使用)'!$A222,allorders!$AG:$AG,"&lt;="&amp;日期!$B$2,allorders!$AG:$AG,"&gt;="&amp;日期!$B$1)</f>
        <v>0</v>
      </c>
      <c r="C222">
        <f>B222/(日期!$B$2-日期!$B$1+1)</f>
        <v>0</v>
      </c>
    </row>
    <row r="223" spans="2:3">
      <c r="B223">
        <f>SUMIFS(allorders!O:O,allorders!L:L,'数据处理(仓储使用)'!$A223,allorders!$AG:$AG,"&lt;="&amp;日期!$B$2,allorders!$AG:$AG,"&gt;="&amp;日期!$B$1)</f>
        <v>0</v>
      </c>
      <c r="C223">
        <f>B223/(日期!$B$2-日期!$B$1+1)</f>
        <v>0</v>
      </c>
    </row>
    <row r="224" spans="2:3">
      <c r="B224">
        <f>SUMIFS(allorders!O:O,allorders!L:L,'数据处理(仓储使用)'!$A224,allorders!$AG:$AG,"&lt;="&amp;日期!$B$2,allorders!$AG:$AG,"&gt;="&amp;日期!$B$1)</f>
        <v>0</v>
      </c>
      <c r="C224">
        <f>B224/(日期!$B$2-日期!$B$1+1)</f>
        <v>0</v>
      </c>
    </row>
    <row r="225" spans="2:3">
      <c r="B225">
        <f>SUMIFS(allorders!O:O,allorders!L:L,'数据处理(仓储使用)'!$A225,allorders!$AG:$AG,"&lt;="&amp;日期!$B$2,allorders!$AG:$AG,"&gt;="&amp;日期!$B$1)</f>
        <v>0</v>
      </c>
      <c r="C225">
        <f>B225/(日期!$B$2-日期!$B$1+1)</f>
        <v>0</v>
      </c>
    </row>
    <row r="226" spans="2:3">
      <c r="B226">
        <f>SUMIFS(allorders!O:O,allorders!L:L,'数据处理(仓储使用)'!$A226,allorders!$AG:$AG,"&lt;="&amp;日期!$B$2,allorders!$AG:$AG,"&gt;="&amp;日期!$B$1)</f>
        <v>0</v>
      </c>
      <c r="C226">
        <f>B226/(日期!$B$2-日期!$B$1+1)</f>
        <v>0</v>
      </c>
    </row>
    <row r="227" spans="2:3">
      <c r="B227">
        <f>SUMIFS(allorders!O:O,allorders!L:L,'数据处理(仓储使用)'!$A227,allorders!$AG:$AG,"&lt;="&amp;日期!$B$2,allorders!$AG:$AG,"&gt;="&amp;日期!$B$1)</f>
        <v>0</v>
      </c>
      <c r="C227">
        <f>B227/(日期!$B$2-日期!$B$1+1)</f>
        <v>0</v>
      </c>
    </row>
    <row r="228" spans="2:3">
      <c r="B228">
        <f>SUMIFS(allorders!O:O,allorders!L:L,'数据处理(仓储使用)'!$A228,allorders!$AG:$AG,"&lt;="&amp;日期!$B$2,allorders!$AG:$AG,"&gt;="&amp;日期!$B$1)</f>
        <v>0</v>
      </c>
      <c r="C228">
        <f>B228/(日期!$B$2-日期!$B$1+1)</f>
        <v>0</v>
      </c>
    </row>
    <row r="229" spans="2:3">
      <c r="B229">
        <f>SUMIFS(allorders!O:O,allorders!L:L,'数据处理(仓储使用)'!$A229,allorders!$AG:$AG,"&lt;="&amp;日期!$B$2,allorders!$AG:$AG,"&gt;="&amp;日期!$B$1)</f>
        <v>0</v>
      </c>
      <c r="C229">
        <f>B229/(日期!$B$2-日期!$B$1+1)</f>
        <v>0</v>
      </c>
    </row>
    <row r="230" spans="2:3">
      <c r="B230">
        <f>SUMIFS(allorders!O:O,allorders!L:L,'数据处理(仓储使用)'!$A230,allorders!$AG:$AG,"&lt;="&amp;日期!$B$2,allorders!$AG:$AG,"&gt;="&amp;日期!$B$1)</f>
        <v>0</v>
      </c>
      <c r="C230">
        <f>B230/(日期!$B$2-日期!$B$1+1)</f>
        <v>0</v>
      </c>
    </row>
    <row r="231" spans="2:3">
      <c r="B231">
        <f>SUMIFS(allorders!O:O,allorders!L:L,'数据处理(仓储使用)'!$A231,allorders!$AG:$AG,"&lt;="&amp;日期!$B$2,allorders!$AG:$AG,"&gt;="&amp;日期!$B$1)</f>
        <v>0</v>
      </c>
      <c r="C231">
        <f>B231/(日期!$B$2-日期!$B$1+1)</f>
        <v>0</v>
      </c>
    </row>
    <row r="232" spans="2:3">
      <c r="B232">
        <f>SUMIFS(allorders!O:O,allorders!L:L,'数据处理(仓储使用)'!$A232,allorders!$AG:$AG,"&lt;="&amp;日期!$B$2,allorders!$AG:$AG,"&gt;="&amp;日期!$B$1)</f>
        <v>0</v>
      </c>
      <c r="C232">
        <f>B232/(日期!$B$2-日期!$B$1+1)</f>
        <v>0</v>
      </c>
    </row>
    <row r="233" spans="2:3">
      <c r="B233">
        <f>SUMIFS(allorders!O:O,allorders!L:L,'数据处理(仓储使用)'!$A233,allorders!$AG:$AG,"&lt;="&amp;日期!$B$2,allorders!$AG:$AG,"&gt;="&amp;日期!$B$1)</f>
        <v>0</v>
      </c>
      <c r="C233">
        <f>B233/(日期!$B$2-日期!$B$1+1)</f>
        <v>0</v>
      </c>
    </row>
    <row r="234" spans="2:3">
      <c r="B234">
        <f>SUMIFS(allorders!O:O,allorders!L:L,'数据处理(仓储使用)'!$A234,allorders!$AG:$AG,"&lt;="&amp;日期!$B$2,allorders!$AG:$AG,"&gt;="&amp;日期!$B$1)</f>
        <v>0</v>
      </c>
      <c r="C234">
        <f>B234/(日期!$B$2-日期!$B$1+1)</f>
        <v>0</v>
      </c>
    </row>
    <row r="235" spans="2:3">
      <c r="B235">
        <f>SUMIFS(allorders!O:O,allorders!L:L,'数据处理(仓储使用)'!$A235,allorders!$AG:$AG,"&lt;="&amp;日期!$B$2,allorders!$AG:$AG,"&gt;="&amp;日期!$B$1)</f>
        <v>0</v>
      </c>
      <c r="C235">
        <f>B235/(日期!$B$2-日期!$B$1+1)</f>
        <v>0</v>
      </c>
    </row>
    <row r="236" spans="2:3">
      <c r="B236">
        <f>SUMIFS(allorders!O:O,allorders!L:L,'数据处理(仓储使用)'!$A236,allorders!$AG:$AG,"&lt;="&amp;日期!$B$2,allorders!$AG:$AG,"&gt;="&amp;日期!$B$1)</f>
        <v>0</v>
      </c>
      <c r="C236">
        <f>B236/(日期!$B$2-日期!$B$1+1)</f>
        <v>0</v>
      </c>
    </row>
    <row r="237" spans="2:3">
      <c r="B237">
        <f>SUMIFS(allorders!O:O,allorders!L:L,'数据处理(仓储使用)'!$A237,allorders!$AG:$AG,"&lt;="&amp;日期!$B$2,allorders!$AG:$AG,"&gt;="&amp;日期!$B$1)</f>
        <v>0</v>
      </c>
      <c r="C237">
        <f>B237/(日期!$B$2-日期!$B$1+1)</f>
        <v>0</v>
      </c>
    </row>
    <row r="238" spans="2:3">
      <c r="B238">
        <f>SUMIFS(allorders!O:O,allorders!L:L,'数据处理(仓储使用)'!$A238,allorders!$AG:$AG,"&lt;="&amp;日期!$B$2,allorders!$AG:$AG,"&gt;="&amp;日期!$B$1)</f>
        <v>0</v>
      </c>
      <c r="C238">
        <f>B238/(日期!$B$2-日期!$B$1+1)</f>
        <v>0</v>
      </c>
    </row>
    <row r="239" spans="2:3">
      <c r="B239">
        <f>SUMIFS(allorders!O:O,allorders!L:L,'数据处理(仓储使用)'!$A239,allorders!$AG:$AG,"&lt;="&amp;日期!$B$2,allorders!$AG:$AG,"&gt;="&amp;日期!$B$1)</f>
        <v>0</v>
      </c>
      <c r="C239">
        <f>B239/(日期!$B$2-日期!$B$1+1)</f>
        <v>0</v>
      </c>
    </row>
    <row r="240" spans="2:3">
      <c r="B240">
        <f>SUMIFS(allorders!O:O,allorders!L:L,'数据处理(仓储使用)'!$A240,allorders!$AG:$AG,"&lt;="&amp;日期!$B$2,allorders!$AG:$AG,"&gt;="&amp;日期!$B$1)</f>
        <v>0</v>
      </c>
      <c r="C240">
        <f>B240/(日期!$B$2-日期!$B$1+1)</f>
        <v>0</v>
      </c>
    </row>
    <row r="241" spans="2:3">
      <c r="B241">
        <f>SUMIFS(allorders!O:O,allorders!L:L,'数据处理(仓储使用)'!$A241,allorders!$AG:$AG,"&lt;="&amp;日期!$B$2,allorders!$AG:$AG,"&gt;="&amp;日期!$B$1)</f>
        <v>0</v>
      </c>
      <c r="C241">
        <f>B241/(日期!$B$2-日期!$B$1+1)</f>
        <v>0</v>
      </c>
    </row>
    <row r="242" spans="2:3">
      <c r="B242">
        <f>SUMIFS(allorders!O:O,allorders!L:L,'数据处理(仓储使用)'!$A242,allorders!$AG:$AG,"&lt;="&amp;日期!$B$2,allorders!$AG:$AG,"&gt;="&amp;日期!$B$1)</f>
        <v>0</v>
      </c>
      <c r="C242">
        <f>B242/(日期!$B$2-日期!$B$1+1)</f>
        <v>0</v>
      </c>
    </row>
    <row r="243" spans="2:3">
      <c r="B243">
        <f>SUMIFS(allorders!O:O,allorders!L:L,'数据处理(仓储使用)'!$A243,allorders!$AG:$AG,"&lt;="&amp;日期!$B$2,allorders!$AG:$AG,"&gt;="&amp;日期!$B$1)</f>
        <v>0</v>
      </c>
      <c r="C243">
        <f>B243/(日期!$B$2-日期!$B$1+1)</f>
        <v>0</v>
      </c>
    </row>
    <row r="244" spans="2:3">
      <c r="B244">
        <f>SUMIFS(allorders!O:O,allorders!L:L,'数据处理(仓储使用)'!$A244,allorders!$AG:$AG,"&lt;="&amp;日期!$B$2,allorders!$AG:$AG,"&gt;="&amp;日期!$B$1)</f>
        <v>0</v>
      </c>
      <c r="C244">
        <f>B244/(日期!$B$2-日期!$B$1+1)</f>
        <v>0</v>
      </c>
    </row>
    <row r="245" spans="2:3">
      <c r="B245">
        <f>SUMIFS(allorders!O:O,allorders!L:L,'数据处理(仓储使用)'!$A245,allorders!$AG:$AG,"&lt;="&amp;日期!$B$2,allorders!$AG:$AG,"&gt;="&amp;日期!$B$1)</f>
        <v>0</v>
      </c>
      <c r="C245">
        <f>B245/(日期!$B$2-日期!$B$1+1)</f>
        <v>0</v>
      </c>
    </row>
    <row r="246" spans="2:3">
      <c r="B246">
        <f>SUMIFS(allorders!O:O,allorders!L:L,'数据处理(仓储使用)'!$A246,allorders!$AG:$AG,"&lt;="&amp;日期!$B$2,allorders!$AG:$AG,"&gt;="&amp;日期!$B$1)</f>
        <v>0</v>
      </c>
      <c r="C246">
        <f>B246/(日期!$B$2-日期!$B$1+1)</f>
        <v>0</v>
      </c>
    </row>
    <row r="247" spans="2:3">
      <c r="B247">
        <f>SUMIFS(allorders!O:O,allorders!L:L,'数据处理(仓储使用)'!$A247,allorders!$AG:$AG,"&lt;="&amp;日期!$B$2,allorders!$AG:$AG,"&gt;="&amp;日期!$B$1)</f>
        <v>0</v>
      </c>
      <c r="C247">
        <f>B247/(日期!$B$2-日期!$B$1+1)</f>
        <v>0</v>
      </c>
    </row>
    <row r="248" spans="2:3">
      <c r="B248">
        <f>SUMIFS(allorders!O:O,allorders!L:L,'数据处理(仓储使用)'!$A248,allorders!$AG:$AG,"&lt;="&amp;日期!$B$2,allorders!$AG:$AG,"&gt;="&amp;日期!$B$1)</f>
        <v>0</v>
      </c>
      <c r="C248">
        <f>B248/(日期!$B$2-日期!$B$1+1)</f>
        <v>0</v>
      </c>
    </row>
    <row r="249" spans="2:3">
      <c r="B249">
        <f>SUMIFS(allorders!O:O,allorders!L:L,'数据处理(仓储使用)'!$A249,allorders!$AG:$AG,"&lt;="&amp;日期!$B$2,allorders!$AG:$AG,"&gt;="&amp;日期!$B$1)</f>
        <v>0</v>
      </c>
      <c r="C249">
        <f>B249/(日期!$B$2-日期!$B$1+1)</f>
        <v>0</v>
      </c>
    </row>
    <row r="250" spans="2:3">
      <c r="B250">
        <f>SUMIFS(allorders!O:O,allorders!L:L,'数据处理(仓储使用)'!$A250,allorders!$AG:$AG,"&lt;="&amp;日期!$B$2,allorders!$AG:$AG,"&gt;="&amp;日期!$B$1)</f>
        <v>0</v>
      </c>
      <c r="C250">
        <f>B250/(日期!$B$2-日期!$B$1+1)</f>
        <v>0</v>
      </c>
    </row>
    <row r="251" spans="2:3">
      <c r="B251">
        <f>SUMIFS(allorders!O:O,allorders!L:L,'数据处理(仓储使用)'!$A251,allorders!$AG:$AG,"&lt;="&amp;日期!$B$2,allorders!$AG:$AG,"&gt;="&amp;日期!$B$1)</f>
        <v>0</v>
      </c>
      <c r="C251">
        <f>B251/(日期!$B$2-日期!$B$1+1)</f>
        <v>0</v>
      </c>
    </row>
    <row r="252" spans="2:3">
      <c r="B252">
        <f>SUMIFS(allorders!O:O,allorders!L:L,'数据处理(仓储使用)'!$A252,allorders!$AG:$AG,"&lt;="&amp;日期!$B$2,allorders!$AG:$AG,"&gt;="&amp;日期!$B$1)</f>
        <v>0</v>
      </c>
      <c r="C252">
        <f>B252/(日期!$B$2-日期!$B$1+1)</f>
        <v>0</v>
      </c>
    </row>
    <row r="253" spans="2:3">
      <c r="B253">
        <f>SUMIFS(allorders!O:O,allorders!L:L,'数据处理(仓储使用)'!$A253,allorders!$AG:$AG,"&lt;="&amp;日期!$B$2,allorders!$AG:$AG,"&gt;="&amp;日期!$B$1)</f>
        <v>0</v>
      </c>
      <c r="C253">
        <f>B253/(日期!$B$2-日期!$B$1+1)</f>
        <v>0</v>
      </c>
    </row>
    <row r="254" spans="2:3">
      <c r="B254">
        <f>SUMIFS(allorders!O:O,allorders!L:L,'数据处理(仓储使用)'!$A254,allorders!$AG:$AG,"&lt;="&amp;日期!$B$2,allorders!$AG:$AG,"&gt;="&amp;日期!$B$1)</f>
        <v>0</v>
      </c>
      <c r="C254">
        <f>B254/(日期!$B$2-日期!$B$1+1)</f>
        <v>0</v>
      </c>
    </row>
    <row r="255" spans="2:3">
      <c r="B255">
        <f>SUMIFS(allorders!O:O,allorders!L:L,'数据处理(仓储使用)'!$A255,allorders!$AG:$AG,"&lt;="&amp;日期!$B$2,allorders!$AG:$AG,"&gt;="&amp;日期!$B$1)</f>
        <v>0</v>
      </c>
      <c r="C255">
        <f>B255/(日期!$B$2-日期!$B$1+1)</f>
        <v>0</v>
      </c>
    </row>
    <row r="256" spans="2:3">
      <c r="B256">
        <f>SUMIFS(allorders!O:O,allorders!L:L,'数据处理(仓储使用)'!$A256,allorders!$AG:$AG,"&lt;="&amp;日期!$B$2,allorders!$AG:$AG,"&gt;="&amp;日期!$B$1)</f>
        <v>0</v>
      </c>
      <c r="C256">
        <f>B256/(日期!$B$2-日期!$B$1+1)</f>
        <v>0</v>
      </c>
    </row>
    <row r="257" spans="2:3">
      <c r="B257">
        <f>SUMIFS(allorders!O:O,allorders!L:L,'数据处理(仓储使用)'!$A257,allorders!$AG:$AG,"&lt;="&amp;日期!$B$2,allorders!$AG:$AG,"&gt;="&amp;日期!$B$1)</f>
        <v>0</v>
      </c>
      <c r="C257">
        <f>B257/(日期!$B$2-日期!$B$1+1)</f>
        <v>0</v>
      </c>
    </row>
    <row r="258" spans="2:3">
      <c r="B258">
        <f>SUMIFS(allorders!O:O,allorders!L:L,'数据处理(仓储使用)'!$A258,allorders!$AG:$AG,"&lt;="&amp;日期!$B$2,allorders!$AG:$AG,"&gt;="&amp;日期!$B$1)</f>
        <v>0</v>
      </c>
      <c r="C258">
        <f>B258/(日期!$B$2-日期!$B$1+1)</f>
        <v>0</v>
      </c>
    </row>
    <row r="259" spans="2:3">
      <c r="B259">
        <f>SUMIFS(allorders!O:O,allorders!L:L,'数据处理(仓储使用)'!$A259,allorders!$AG:$AG,"&lt;="&amp;日期!$B$2,allorders!$AG:$AG,"&gt;="&amp;日期!$B$1)</f>
        <v>0</v>
      </c>
      <c r="C259">
        <f>B259/(日期!$B$2-日期!$B$1+1)</f>
        <v>0</v>
      </c>
    </row>
    <row r="260" spans="2:3">
      <c r="B260">
        <f>SUMIFS(allorders!O:O,allorders!L:L,'数据处理(仓储使用)'!$A260,allorders!$AG:$AG,"&lt;="&amp;日期!$B$2,allorders!$AG:$AG,"&gt;="&amp;日期!$B$1)</f>
        <v>0</v>
      </c>
      <c r="C260">
        <f>B260/(日期!$B$2-日期!$B$1+1)</f>
        <v>0</v>
      </c>
    </row>
    <row r="261" spans="2:3">
      <c r="B261">
        <f>SUMIFS(allorders!O:O,allorders!L:L,'数据处理(仓储使用)'!$A261,allorders!$AG:$AG,"&lt;="&amp;日期!$B$2,allorders!$AG:$AG,"&gt;="&amp;日期!$B$1)</f>
        <v>0</v>
      </c>
      <c r="C261">
        <f>B261/(日期!$B$2-日期!$B$1+1)</f>
        <v>0</v>
      </c>
    </row>
    <row r="262" spans="2:3">
      <c r="B262">
        <f>SUMIFS(allorders!O:O,allorders!L:L,'数据处理(仓储使用)'!$A262,allorders!$AG:$AG,"&lt;="&amp;日期!$B$2,allorders!$AG:$AG,"&gt;="&amp;日期!$B$1)</f>
        <v>0</v>
      </c>
      <c r="C262">
        <f>B262/(日期!$B$2-日期!$B$1+1)</f>
        <v>0</v>
      </c>
    </row>
    <row r="263" spans="2:3">
      <c r="B263">
        <f>SUMIFS(allorders!O:O,allorders!L:L,'数据处理(仓储使用)'!$A263,allorders!$AG:$AG,"&lt;="&amp;日期!$B$2,allorders!$AG:$AG,"&gt;="&amp;日期!$B$1)</f>
        <v>0</v>
      </c>
      <c r="C263">
        <f>B263/(日期!$B$2-日期!$B$1+1)</f>
        <v>0</v>
      </c>
    </row>
    <row r="264" spans="2:3">
      <c r="B264">
        <f>SUMIFS(allorders!O:O,allorders!L:L,'数据处理(仓储使用)'!$A264,allorders!$AG:$AG,"&lt;="&amp;日期!$B$2,allorders!$AG:$AG,"&gt;="&amp;日期!$B$1)</f>
        <v>0</v>
      </c>
      <c r="C264">
        <f>B264/(日期!$B$2-日期!$B$1+1)</f>
        <v>0</v>
      </c>
    </row>
    <row r="265" spans="2:3">
      <c r="B265">
        <f>SUMIFS(allorders!O:O,allorders!L:L,'数据处理(仓储使用)'!$A265,allorders!$AG:$AG,"&lt;="&amp;日期!$B$2,allorders!$AG:$AG,"&gt;="&amp;日期!$B$1)</f>
        <v>0</v>
      </c>
      <c r="C265">
        <f>B265/(日期!$B$2-日期!$B$1+1)</f>
        <v>0</v>
      </c>
    </row>
    <row r="266" spans="2:3">
      <c r="B266">
        <f>SUMIFS(allorders!O:O,allorders!L:L,'数据处理(仓储使用)'!$A266,allorders!$AG:$AG,"&lt;="&amp;日期!$B$2,allorders!$AG:$AG,"&gt;="&amp;日期!$B$1)</f>
        <v>0</v>
      </c>
      <c r="C266">
        <f>B266/(日期!$B$2-日期!$B$1+1)</f>
        <v>0</v>
      </c>
    </row>
    <row r="267" spans="2:3">
      <c r="B267">
        <f>SUMIFS(allorders!O:O,allorders!L:L,'数据处理(仓储使用)'!$A267,allorders!$AG:$AG,"&lt;="&amp;日期!$B$2,allorders!$AG:$AG,"&gt;="&amp;日期!$B$1)</f>
        <v>0</v>
      </c>
      <c r="C267">
        <f>B267/(日期!$B$2-日期!$B$1+1)</f>
        <v>0</v>
      </c>
    </row>
    <row r="268" spans="2:3">
      <c r="B268">
        <f>SUMIFS(allorders!O:O,allorders!L:L,'数据处理(仓储使用)'!$A268,allorders!$AG:$AG,"&lt;="&amp;日期!$B$2,allorders!$AG:$AG,"&gt;="&amp;日期!$B$1)</f>
        <v>0</v>
      </c>
      <c r="C268">
        <f>B268/(日期!$B$2-日期!$B$1+1)</f>
        <v>0</v>
      </c>
    </row>
    <row r="269" spans="2:3">
      <c r="B269">
        <f>SUMIFS(allorders!O:O,allorders!L:L,'数据处理(仓储使用)'!$A269,allorders!$AG:$AG,"&lt;="&amp;日期!$B$2,allorders!$AG:$AG,"&gt;="&amp;日期!$B$1)</f>
        <v>0</v>
      </c>
      <c r="C269">
        <f>B269/(日期!$B$2-日期!$B$1+1)</f>
        <v>0</v>
      </c>
    </row>
    <row r="270" spans="2:3">
      <c r="B270">
        <f>SUMIFS(allorders!O:O,allorders!L:L,'数据处理(仓储使用)'!$A270,allorders!$AG:$AG,"&lt;="&amp;日期!$B$2,allorders!$AG:$AG,"&gt;="&amp;日期!$B$1)</f>
        <v>0</v>
      </c>
      <c r="C270">
        <f>B270/(日期!$B$2-日期!$B$1+1)</f>
        <v>0</v>
      </c>
    </row>
    <row r="271" spans="2:3">
      <c r="B271">
        <f>SUMIFS(allorders!O:O,allorders!L:L,'数据处理(仓储使用)'!$A271,allorders!$AG:$AG,"&lt;="&amp;日期!$B$2,allorders!$AG:$AG,"&gt;="&amp;日期!$B$1)</f>
        <v>0</v>
      </c>
      <c r="C271">
        <f>B271/(日期!$B$2-日期!$B$1+1)</f>
        <v>0</v>
      </c>
    </row>
    <row r="272" spans="2:3">
      <c r="B272">
        <f>SUMIFS(allorders!O:O,allorders!L:L,'数据处理(仓储使用)'!$A272,allorders!$AG:$AG,"&lt;="&amp;日期!$B$2,allorders!$AG:$AG,"&gt;="&amp;日期!$B$1)</f>
        <v>0</v>
      </c>
      <c r="C272">
        <f>B272/(日期!$B$2-日期!$B$1+1)</f>
        <v>0</v>
      </c>
    </row>
    <row r="273" spans="2:3">
      <c r="B273">
        <f>SUMIFS(allorders!O:O,allorders!L:L,'数据处理(仓储使用)'!$A273,allorders!$AG:$AG,"&lt;="&amp;日期!$B$2,allorders!$AG:$AG,"&gt;="&amp;日期!$B$1)</f>
        <v>0</v>
      </c>
      <c r="C273">
        <f>B273/(日期!$B$2-日期!$B$1+1)</f>
        <v>0</v>
      </c>
    </row>
    <row r="274" spans="2:3">
      <c r="B274">
        <f>SUMIFS(allorders!O:O,allorders!L:L,'数据处理(仓储使用)'!$A274,allorders!$AG:$AG,"&lt;="&amp;日期!$B$2,allorders!$AG:$AG,"&gt;="&amp;日期!$B$1)</f>
        <v>0</v>
      </c>
      <c r="C274">
        <f>B274/(日期!$B$2-日期!$B$1+1)</f>
        <v>0</v>
      </c>
    </row>
    <row r="275" spans="2:3">
      <c r="B275">
        <f>SUMIFS(allorders!O:O,allorders!L:L,'数据处理(仓储使用)'!$A275,allorders!$AG:$AG,"&lt;="&amp;日期!$B$2,allorders!$AG:$AG,"&gt;="&amp;日期!$B$1)</f>
        <v>0</v>
      </c>
      <c r="C275">
        <f>B275/(日期!$B$2-日期!$B$1+1)</f>
        <v>0</v>
      </c>
    </row>
    <row r="276" spans="2:3">
      <c r="B276">
        <f>SUMIFS(allorders!O:O,allorders!L:L,'数据处理(仓储使用)'!$A276,allorders!$AG:$AG,"&lt;="&amp;日期!$B$2,allorders!$AG:$AG,"&gt;="&amp;日期!$B$1)</f>
        <v>0</v>
      </c>
      <c r="C276">
        <f>B276/(日期!$B$2-日期!$B$1+1)</f>
        <v>0</v>
      </c>
    </row>
    <row r="277" spans="2:3">
      <c r="B277">
        <f>SUMIFS(allorders!O:O,allorders!L:L,'数据处理(仓储使用)'!$A277,allorders!$AG:$AG,"&lt;="&amp;日期!$B$2,allorders!$AG:$AG,"&gt;="&amp;日期!$B$1)</f>
        <v>0</v>
      </c>
      <c r="C277">
        <f>B277/(日期!$B$2-日期!$B$1+1)</f>
        <v>0</v>
      </c>
    </row>
    <row r="278" spans="2:3">
      <c r="B278">
        <f>SUMIFS(allorders!O:O,allorders!L:L,'数据处理(仓储使用)'!$A278,allorders!$AG:$AG,"&lt;="&amp;日期!$B$2,allorders!$AG:$AG,"&gt;="&amp;日期!$B$1)</f>
        <v>0</v>
      </c>
      <c r="C278">
        <f>B278/(日期!$B$2-日期!$B$1+1)</f>
        <v>0</v>
      </c>
    </row>
    <row r="279" spans="2:3">
      <c r="B279">
        <f>SUMIFS(allorders!O:O,allorders!L:L,'数据处理(仓储使用)'!$A279,allorders!$AG:$AG,"&lt;="&amp;日期!$B$2,allorders!$AG:$AG,"&gt;="&amp;日期!$B$1)</f>
        <v>0</v>
      </c>
      <c r="C279">
        <f>B279/(日期!$B$2-日期!$B$1+1)</f>
        <v>0</v>
      </c>
    </row>
    <row r="280" spans="2:3">
      <c r="B280">
        <f>SUMIFS(allorders!O:O,allorders!L:L,'数据处理(仓储使用)'!$A280,allorders!$AG:$AG,"&lt;="&amp;日期!$B$2,allorders!$AG:$AG,"&gt;="&amp;日期!$B$1)</f>
        <v>0</v>
      </c>
      <c r="C280">
        <f>B280/(日期!$B$2-日期!$B$1+1)</f>
        <v>0</v>
      </c>
    </row>
    <row r="281" spans="2:3">
      <c r="B281">
        <f>SUMIFS(allorders!O:O,allorders!L:L,'数据处理(仓储使用)'!$A281,allorders!$AG:$AG,"&lt;="&amp;日期!$B$2,allorders!$AG:$AG,"&gt;="&amp;日期!$B$1)</f>
        <v>0</v>
      </c>
      <c r="C281">
        <f>B281/(日期!$B$2-日期!$B$1+1)</f>
        <v>0</v>
      </c>
    </row>
    <row r="282" spans="2:3">
      <c r="B282">
        <f>SUMIFS(allorders!O:O,allorders!L:L,'数据处理(仓储使用)'!$A282,allorders!$AG:$AG,"&lt;="&amp;日期!$B$2,allorders!$AG:$AG,"&gt;="&amp;日期!$B$1)</f>
        <v>0</v>
      </c>
      <c r="C282">
        <f>B282/(日期!$B$2-日期!$B$1+1)</f>
        <v>0</v>
      </c>
    </row>
    <row r="283" spans="2:3">
      <c r="B283">
        <f>SUMIFS(allorders!O:O,allorders!L:L,'数据处理(仓储使用)'!$A283,allorders!$AG:$AG,"&lt;="&amp;日期!$B$2,allorders!$AG:$AG,"&gt;="&amp;日期!$B$1)</f>
        <v>0</v>
      </c>
      <c r="C283">
        <f>B283/(日期!$B$2-日期!$B$1+1)</f>
        <v>0</v>
      </c>
    </row>
    <row r="284" spans="2:3">
      <c r="B284">
        <f>SUMIFS(allorders!O:O,allorders!L:L,'数据处理(仓储使用)'!$A284,allorders!$AG:$AG,"&lt;="&amp;日期!$B$2,allorders!$AG:$AG,"&gt;="&amp;日期!$B$1)</f>
        <v>0</v>
      </c>
      <c r="C284">
        <f>B284/(日期!$B$2-日期!$B$1+1)</f>
        <v>0</v>
      </c>
    </row>
    <row r="285" spans="2:3">
      <c r="B285">
        <f>SUMIFS(allorders!O:O,allorders!L:L,'数据处理(仓储使用)'!$A285,allorders!$AG:$AG,"&lt;="&amp;日期!$B$2,allorders!$AG:$AG,"&gt;="&amp;日期!$B$1)</f>
        <v>0</v>
      </c>
      <c r="C285">
        <f>B285/(日期!$B$2-日期!$B$1+1)</f>
        <v>0</v>
      </c>
    </row>
    <row r="286" spans="2:3">
      <c r="B286">
        <f>SUMIFS(allorders!O:O,allorders!L:L,'数据处理(仓储使用)'!$A286,allorders!$AG:$AG,"&lt;="&amp;日期!$B$2,allorders!$AG:$AG,"&gt;="&amp;日期!$B$1)</f>
        <v>0</v>
      </c>
      <c r="C286">
        <f>B286/(日期!$B$2-日期!$B$1+1)</f>
        <v>0</v>
      </c>
    </row>
    <row r="287" spans="2:3">
      <c r="B287">
        <f>SUMIFS(allorders!O:O,allorders!L:L,'数据处理(仓储使用)'!$A287,allorders!$AG:$AG,"&lt;="&amp;日期!$B$2,allorders!$AG:$AG,"&gt;="&amp;日期!$B$1)</f>
        <v>0</v>
      </c>
      <c r="C287">
        <f>B287/(日期!$B$2-日期!$B$1+1)</f>
        <v>0</v>
      </c>
    </row>
    <row r="288" spans="2:3">
      <c r="B288">
        <f>SUMIFS(allorders!O:O,allorders!L:L,'数据处理(仓储使用)'!$A288,allorders!$AG:$AG,"&lt;="&amp;日期!$B$2,allorders!$AG:$AG,"&gt;="&amp;日期!$B$1)</f>
        <v>0</v>
      </c>
      <c r="C288">
        <f>B288/(日期!$B$2-日期!$B$1+1)</f>
        <v>0</v>
      </c>
    </row>
    <row r="289" spans="2:3">
      <c r="B289">
        <f>SUMIFS(allorders!O:O,allorders!L:L,'数据处理(仓储使用)'!$A289,allorders!$AG:$AG,"&lt;="&amp;日期!$B$2,allorders!$AG:$AG,"&gt;="&amp;日期!$B$1)</f>
        <v>0</v>
      </c>
      <c r="C289">
        <f>B289/(日期!$B$2-日期!$B$1+1)</f>
        <v>0</v>
      </c>
    </row>
    <row r="290" spans="2:3">
      <c r="B290">
        <f>SUMIFS(allorders!O:O,allorders!L:L,'数据处理(仓储使用)'!$A290,allorders!$AG:$AG,"&lt;="&amp;日期!$B$2,allorders!$AG:$AG,"&gt;="&amp;日期!$B$1)</f>
        <v>0</v>
      </c>
      <c r="C290">
        <f>B290/(日期!$B$2-日期!$B$1+1)</f>
        <v>0</v>
      </c>
    </row>
    <row r="291" spans="2:3">
      <c r="B291">
        <f>SUMIFS(allorders!O:O,allorders!L:L,'数据处理(仓储使用)'!$A291,allorders!$AG:$AG,"&lt;="&amp;日期!$B$2,allorders!$AG:$AG,"&gt;="&amp;日期!$B$1)</f>
        <v>0</v>
      </c>
      <c r="C291">
        <f>B291/(日期!$B$2-日期!$B$1+1)</f>
        <v>0</v>
      </c>
    </row>
    <row r="292" spans="2:3">
      <c r="B292">
        <f>SUMIFS(allorders!O:O,allorders!L:L,'数据处理(仓储使用)'!$A292,allorders!$AG:$AG,"&lt;="&amp;日期!$B$2,allorders!$AG:$AG,"&gt;="&amp;日期!$B$1)</f>
        <v>0</v>
      </c>
      <c r="C292">
        <f>B292/(日期!$B$2-日期!$B$1+1)</f>
        <v>0</v>
      </c>
    </row>
    <row r="293" spans="2:3">
      <c r="B293">
        <f>SUMIFS(allorders!O:O,allorders!L:L,'数据处理(仓储使用)'!$A293,allorders!$AG:$AG,"&lt;="&amp;日期!$B$2,allorders!$AG:$AG,"&gt;="&amp;日期!$B$1)</f>
        <v>0</v>
      </c>
      <c r="C293">
        <f>B293/(日期!$B$2-日期!$B$1+1)</f>
        <v>0</v>
      </c>
    </row>
    <row r="294" spans="2:3">
      <c r="B294">
        <f>SUMIFS(allorders!O:O,allorders!L:L,'数据处理(仓储使用)'!$A294,allorders!$AG:$AG,"&lt;="&amp;日期!$B$2,allorders!$AG:$AG,"&gt;="&amp;日期!$B$1)</f>
        <v>0</v>
      </c>
      <c r="C294">
        <f>B294/(日期!$B$2-日期!$B$1+1)</f>
        <v>0</v>
      </c>
    </row>
    <row r="295" spans="2:3">
      <c r="B295">
        <f>SUMIFS(allorders!O:O,allorders!L:L,'数据处理(仓储使用)'!$A295,allorders!$AG:$AG,"&lt;="&amp;日期!$B$2,allorders!$AG:$AG,"&gt;="&amp;日期!$B$1)</f>
        <v>0</v>
      </c>
      <c r="C295">
        <f>B295/(日期!$B$2-日期!$B$1+1)</f>
        <v>0</v>
      </c>
    </row>
    <row r="296" spans="2:3">
      <c r="B296">
        <f>SUMIFS(allorders!O:O,allorders!L:L,'数据处理(仓储使用)'!$A296,allorders!$AG:$AG,"&lt;="&amp;日期!$B$2,allorders!$AG:$AG,"&gt;="&amp;日期!$B$1)</f>
        <v>0</v>
      </c>
      <c r="C296">
        <f>B296/(日期!$B$2-日期!$B$1+1)</f>
        <v>0</v>
      </c>
    </row>
    <row r="297" spans="2:3">
      <c r="B297">
        <f>SUMIFS(allorders!O:O,allorders!L:L,'数据处理(仓储使用)'!$A297,allorders!$AG:$AG,"&lt;="&amp;日期!$B$2,allorders!$AG:$AG,"&gt;="&amp;日期!$B$1)</f>
        <v>0</v>
      </c>
      <c r="C297">
        <f>B297/(日期!$B$2-日期!$B$1+1)</f>
        <v>0</v>
      </c>
    </row>
    <row r="298" spans="2:3">
      <c r="B298">
        <f>SUMIFS(allorders!O:O,allorders!L:L,'数据处理(仓储使用)'!$A298,allorders!$AG:$AG,"&lt;="&amp;日期!$B$2,allorders!$AG:$AG,"&gt;="&amp;日期!$B$1)</f>
        <v>0</v>
      </c>
      <c r="C298">
        <f>B298/(日期!$B$2-日期!$B$1+1)</f>
        <v>0</v>
      </c>
    </row>
    <row r="299" spans="2:3">
      <c r="B299">
        <f>SUMIFS(allorders!O:O,allorders!L:L,'数据处理(仓储使用)'!$A299,allorders!$AG:$AG,"&lt;="&amp;日期!$B$2,allorders!$AG:$AG,"&gt;="&amp;日期!$B$1)</f>
        <v>0</v>
      </c>
      <c r="C299">
        <f>B299/(日期!$B$2-日期!$B$1+1)</f>
        <v>0</v>
      </c>
    </row>
    <row r="300" spans="2:3">
      <c r="B300">
        <f>SUMIFS(allorders!O:O,allorders!L:L,'数据处理(仓储使用)'!$A300,allorders!$AG:$AG,"&lt;="&amp;日期!$B$2,allorders!$AG:$AG,"&gt;="&amp;日期!$B$1)</f>
        <v>0</v>
      </c>
      <c r="C300">
        <f>B300/(日期!$B$2-日期!$B$1+1)</f>
        <v>0</v>
      </c>
    </row>
    <row r="301" spans="2:3">
      <c r="B301">
        <f>SUMIFS(allorders!O:O,allorders!L:L,'数据处理(仓储使用)'!$A301,allorders!$AG:$AG,"&lt;="&amp;日期!$B$2,allorders!$AG:$AG,"&gt;="&amp;日期!$B$1)</f>
        <v>0</v>
      </c>
      <c r="C301">
        <f>B301/(日期!$B$2-日期!$B$1+1)</f>
        <v>0</v>
      </c>
    </row>
    <row r="302" spans="2:3">
      <c r="B302">
        <f>SUMIFS(allorders!O:O,allorders!L:L,'数据处理(仓储使用)'!$A302,allorders!$AG:$AG,"&lt;="&amp;日期!$B$2,allorders!$AG:$AG,"&gt;="&amp;日期!$B$1)</f>
        <v>0</v>
      </c>
      <c r="C302">
        <f>B302/(日期!$B$2-日期!$B$1+1)</f>
        <v>0</v>
      </c>
    </row>
    <row r="303" spans="2:3">
      <c r="B303">
        <f>SUMIFS(allorders!O:O,allorders!L:L,'数据处理(仓储使用)'!$A303,allorders!$AG:$AG,"&lt;="&amp;日期!$B$2,allorders!$AG:$AG,"&gt;="&amp;日期!$B$1)</f>
        <v>0</v>
      </c>
      <c r="C303">
        <f>B303/(日期!$B$2-日期!$B$1+1)</f>
        <v>0</v>
      </c>
    </row>
    <row r="304" spans="2:3">
      <c r="B304">
        <f>SUMIFS(allorders!O:O,allorders!L:L,'数据处理(仓储使用)'!$A304,allorders!$AG:$AG,"&lt;="&amp;日期!$B$2,allorders!$AG:$AG,"&gt;="&amp;日期!$B$1)</f>
        <v>0</v>
      </c>
      <c r="C304">
        <f>B304/(日期!$B$2-日期!$B$1+1)</f>
        <v>0</v>
      </c>
    </row>
    <row r="305" spans="2:3">
      <c r="B305">
        <f>SUMIFS(allorders!O:O,allorders!L:L,'数据处理(仓储使用)'!$A305,allorders!$AG:$AG,"&lt;="&amp;日期!$B$2,allorders!$AG:$AG,"&gt;="&amp;日期!$B$1)</f>
        <v>0</v>
      </c>
      <c r="C305">
        <f>B305/(日期!$B$2-日期!$B$1+1)</f>
        <v>0</v>
      </c>
    </row>
    <row r="306" spans="2:3">
      <c r="B306">
        <f>SUMIFS(allorders!O:O,allorders!L:L,'数据处理(仓储使用)'!$A306,allorders!$AG:$AG,"&lt;="&amp;日期!$B$2,allorders!$AG:$AG,"&gt;="&amp;日期!$B$1)</f>
        <v>0</v>
      </c>
      <c r="C306">
        <f>B306/(日期!$B$2-日期!$B$1+1)</f>
        <v>0</v>
      </c>
    </row>
    <row r="307" spans="2:3">
      <c r="B307">
        <f>SUMIFS(allorders!O:O,allorders!L:L,'数据处理(仓储使用)'!$A307,allorders!$AG:$AG,"&lt;="&amp;日期!$B$2,allorders!$AG:$AG,"&gt;="&amp;日期!$B$1)</f>
        <v>0</v>
      </c>
      <c r="C307">
        <f>B307/(日期!$B$2-日期!$B$1+1)</f>
        <v>0</v>
      </c>
    </row>
    <row r="308" spans="2:3">
      <c r="B308">
        <f>SUMIFS(allorders!O:O,allorders!L:L,'数据处理(仓储使用)'!$A308,allorders!$AG:$AG,"&lt;="&amp;日期!$B$2,allorders!$AG:$AG,"&gt;="&amp;日期!$B$1)</f>
        <v>0</v>
      </c>
      <c r="C308">
        <f>B308/(日期!$B$2-日期!$B$1+1)</f>
        <v>0</v>
      </c>
    </row>
    <row r="309" spans="2:3">
      <c r="B309">
        <f>SUMIFS(allorders!O:O,allorders!L:L,'数据处理(仓储使用)'!$A309,allorders!$AG:$AG,"&lt;="&amp;日期!$B$2,allorders!$AG:$AG,"&gt;="&amp;日期!$B$1)</f>
        <v>0</v>
      </c>
      <c r="C309">
        <f>B309/(日期!$B$2-日期!$B$1+1)</f>
        <v>0</v>
      </c>
    </row>
    <row r="310" spans="2:3">
      <c r="B310">
        <f>SUMIFS(allorders!O:O,allorders!L:L,'数据处理(仓储使用)'!$A310,allorders!$AG:$AG,"&lt;="&amp;日期!$B$2,allorders!$AG:$AG,"&gt;="&amp;日期!$B$1)</f>
        <v>0</v>
      </c>
      <c r="C310">
        <f>B310/(日期!$B$2-日期!$B$1+1)</f>
        <v>0</v>
      </c>
    </row>
    <row r="311" spans="2:3">
      <c r="B311">
        <f>SUMIFS(allorders!O:O,allorders!L:L,'数据处理(仓储使用)'!$A311,allorders!$AG:$AG,"&lt;="&amp;日期!$B$2,allorders!$AG:$AG,"&gt;="&amp;日期!$B$1)</f>
        <v>0</v>
      </c>
      <c r="C311">
        <f>B311/(日期!$B$2-日期!$B$1+1)</f>
        <v>0</v>
      </c>
    </row>
    <row r="312" spans="2:3">
      <c r="B312">
        <f>SUMIFS(allorders!O:O,allorders!L:L,'数据处理(仓储使用)'!$A312,allorders!$AG:$AG,"&lt;="&amp;日期!$B$2,allorders!$AG:$AG,"&gt;="&amp;日期!$B$1)</f>
        <v>0</v>
      </c>
      <c r="C312">
        <f>B312/(日期!$B$2-日期!$B$1+1)</f>
        <v>0</v>
      </c>
    </row>
    <row r="313" spans="2:3">
      <c r="B313">
        <f>SUMIFS(allorders!O:O,allorders!L:L,'数据处理(仓储使用)'!$A313,allorders!$AG:$AG,"&lt;="&amp;日期!$B$2,allorders!$AG:$AG,"&gt;="&amp;日期!$B$1)</f>
        <v>0</v>
      </c>
      <c r="C313">
        <f>B313/(日期!$B$2-日期!$B$1+1)</f>
        <v>0</v>
      </c>
    </row>
    <row r="314" spans="2:3">
      <c r="B314">
        <f>SUMIFS(allorders!O:O,allorders!L:L,'数据处理(仓储使用)'!$A314,allorders!$AG:$AG,"&lt;="&amp;日期!$B$2,allorders!$AG:$AG,"&gt;="&amp;日期!$B$1)</f>
        <v>0</v>
      </c>
      <c r="C314">
        <f>B314/(日期!$B$2-日期!$B$1+1)</f>
        <v>0</v>
      </c>
    </row>
    <row r="315" spans="2:3">
      <c r="B315">
        <f>SUMIFS(allorders!O:O,allorders!L:L,'数据处理(仓储使用)'!$A315,allorders!$AG:$AG,"&lt;="&amp;日期!$B$2,allorders!$AG:$AG,"&gt;="&amp;日期!$B$1)</f>
        <v>0</v>
      </c>
      <c r="C315">
        <f>B315/(日期!$B$2-日期!$B$1+1)</f>
        <v>0</v>
      </c>
    </row>
    <row r="316" spans="2:3">
      <c r="B316">
        <f>SUMIFS(allorders!O:O,allorders!L:L,'数据处理(仓储使用)'!$A316,allorders!$AG:$AG,"&lt;="&amp;日期!$B$2,allorders!$AG:$AG,"&gt;="&amp;日期!$B$1)</f>
        <v>0</v>
      </c>
      <c r="C316">
        <f>B316/(日期!$B$2-日期!$B$1+1)</f>
        <v>0</v>
      </c>
    </row>
    <row r="317" spans="2:3">
      <c r="B317">
        <f>SUMIFS(allorders!O:O,allorders!L:L,'数据处理(仓储使用)'!$A317,allorders!$AG:$AG,"&lt;="&amp;日期!$B$2,allorders!$AG:$AG,"&gt;="&amp;日期!$B$1)</f>
        <v>0</v>
      </c>
      <c r="C317">
        <f>B317/(日期!$B$2-日期!$B$1+1)</f>
        <v>0</v>
      </c>
    </row>
    <row r="318" spans="2:3">
      <c r="B318">
        <f>SUMIFS(allorders!O:O,allorders!L:L,'数据处理(仓储使用)'!$A318,allorders!$AG:$AG,"&lt;="&amp;日期!$B$2,allorders!$AG:$AG,"&gt;="&amp;日期!$B$1)</f>
        <v>0</v>
      </c>
      <c r="C318">
        <f>B318/(日期!$B$2-日期!$B$1+1)</f>
        <v>0</v>
      </c>
    </row>
    <row r="319" spans="2:3">
      <c r="B319">
        <f>SUMIFS(allorders!O:O,allorders!L:L,'数据处理(仓储使用)'!$A319,allorders!$AG:$AG,"&lt;="&amp;日期!$B$2,allorders!$AG:$AG,"&gt;="&amp;日期!$B$1)</f>
        <v>0</v>
      </c>
      <c r="C319">
        <f>B319/(日期!$B$2-日期!$B$1+1)</f>
        <v>0</v>
      </c>
    </row>
    <row r="320" spans="2:3">
      <c r="B320">
        <f>SUMIFS(allorders!O:O,allorders!L:L,'数据处理(仓储使用)'!$A320,allorders!$AG:$AG,"&lt;="&amp;日期!$B$2,allorders!$AG:$AG,"&gt;="&amp;日期!$B$1)</f>
        <v>0</v>
      </c>
      <c r="C320">
        <f>B320/(日期!$B$2-日期!$B$1+1)</f>
        <v>0</v>
      </c>
    </row>
    <row r="321" spans="2:3">
      <c r="B321">
        <f>SUMIFS(allorders!O:O,allorders!L:L,'数据处理(仓储使用)'!$A321,allorders!$AG:$AG,"&lt;="&amp;日期!$B$2,allorders!$AG:$AG,"&gt;="&amp;日期!$B$1)</f>
        <v>0</v>
      </c>
      <c r="C321">
        <f>B321/(日期!$B$2-日期!$B$1+1)</f>
        <v>0</v>
      </c>
    </row>
    <row r="322" spans="2:3">
      <c r="B322">
        <f>SUMIFS(allorders!O:O,allorders!L:L,'数据处理(仓储使用)'!$A322,allorders!$AG:$AG,"&lt;="&amp;日期!$B$2,allorders!$AG:$AG,"&gt;="&amp;日期!$B$1)</f>
        <v>0</v>
      </c>
      <c r="C322">
        <f>B322/(日期!$B$2-日期!$B$1+1)</f>
        <v>0</v>
      </c>
    </row>
    <row r="323" spans="2:3">
      <c r="B323">
        <f>SUMIFS(allorders!O:O,allorders!L:L,'数据处理(仓储使用)'!$A323,allorders!$AG:$AG,"&lt;="&amp;日期!$B$2,allorders!$AG:$AG,"&gt;="&amp;日期!$B$1)</f>
        <v>0</v>
      </c>
      <c r="C323">
        <f>B323/(日期!$B$2-日期!$B$1+1)</f>
        <v>0</v>
      </c>
    </row>
    <row r="324" spans="2:3">
      <c r="B324">
        <f>SUMIFS(allorders!O:O,allorders!L:L,'数据处理(仓储使用)'!$A324,allorders!$AG:$AG,"&lt;="&amp;日期!$B$2,allorders!$AG:$AG,"&gt;="&amp;日期!$B$1)</f>
        <v>0</v>
      </c>
      <c r="C324">
        <f>B324/(日期!$B$2-日期!$B$1+1)</f>
        <v>0</v>
      </c>
    </row>
    <row r="325" spans="2:3">
      <c r="B325">
        <f>SUMIFS(allorders!O:O,allorders!L:L,'数据处理(仓储使用)'!$A325,allorders!$AG:$AG,"&lt;="&amp;日期!$B$2,allorders!$AG:$AG,"&gt;="&amp;日期!$B$1)</f>
        <v>0</v>
      </c>
      <c r="C325">
        <f>B325/(日期!$B$2-日期!$B$1+1)</f>
        <v>0</v>
      </c>
    </row>
    <row r="326" spans="2:3">
      <c r="B326">
        <f>SUMIFS(allorders!O:O,allorders!L:L,'数据处理(仓储使用)'!$A326,allorders!$AG:$AG,"&lt;="&amp;日期!$B$2,allorders!$AG:$AG,"&gt;="&amp;日期!$B$1)</f>
        <v>0</v>
      </c>
      <c r="C326">
        <f>B326/(日期!$B$2-日期!$B$1+1)</f>
        <v>0</v>
      </c>
    </row>
    <row r="327" spans="2:3">
      <c r="B327">
        <f>SUMIFS(allorders!O:O,allorders!L:L,'数据处理(仓储使用)'!$A327,allorders!$AG:$AG,"&lt;="&amp;日期!$B$2,allorders!$AG:$AG,"&gt;="&amp;日期!$B$1)</f>
        <v>0</v>
      </c>
      <c r="C327">
        <f>B327/(日期!$B$2-日期!$B$1+1)</f>
        <v>0</v>
      </c>
    </row>
    <row r="328" spans="2:3">
      <c r="B328">
        <f>SUMIFS(allorders!O:O,allorders!L:L,'数据处理(仓储使用)'!$A328,allorders!$AG:$AG,"&lt;="&amp;日期!$B$2,allorders!$AG:$AG,"&gt;="&amp;日期!$B$1)</f>
        <v>0</v>
      </c>
      <c r="C328">
        <f>B328/(日期!$B$2-日期!$B$1+1)</f>
        <v>0</v>
      </c>
    </row>
    <row r="329" spans="2:3">
      <c r="B329">
        <f>SUMIFS(allorders!O:O,allorders!L:L,'数据处理(仓储使用)'!$A329,allorders!$AG:$AG,"&lt;="&amp;日期!$B$2,allorders!$AG:$AG,"&gt;="&amp;日期!$B$1)</f>
        <v>0</v>
      </c>
      <c r="C329">
        <f>B329/(日期!$B$2-日期!$B$1+1)</f>
        <v>0</v>
      </c>
    </row>
    <row r="330" spans="2:3">
      <c r="B330">
        <f>SUMIFS(allorders!O:O,allorders!L:L,'数据处理(仓储使用)'!$A330,allorders!$AG:$AG,"&lt;="&amp;日期!$B$2,allorders!$AG:$AG,"&gt;="&amp;日期!$B$1)</f>
        <v>0</v>
      </c>
      <c r="C330">
        <f>B330/(日期!$B$2-日期!$B$1+1)</f>
        <v>0</v>
      </c>
    </row>
    <row r="331" spans="2:3">
      <c r="B331">
        <f>SUMIFS(allorders!O:O,allorders!L:L,'数据处理(仓储使用)'!$A331,allorders!$AG:$AG,"&lt;="&amp;日期!$B$2,allorders!$AG:$AG,"&gt;="&amp;日期!$B$1)</f>
        <v>0</v>
      </c>
      <c r="C331">
        <f>B331/(日期!$B$2-日期!$B$1+1)</f>
        <v>0</v>
      </c>
    </row>
    <row r="332" spans="2:3">
      <c r="B332">
        <f>SUMIFS(allorders!O:O,allorders!L:L,'数据处理(仓储使用)'!$A332,allorders!$AG:$AG,"&lt;="&amp;日期!$B$2,allorders!$AG:$AG,"&gt;="&amp;日期!$B$1)</f>
        <v>0</v>
      </c>
      <c r="C332">
        <f>B332/(日期!$B$2-日期!$B$1+1)</f>
        <v>0</v>
      </c>
    </row>
    <row r="333" spans="2:3">
      <c r="B333">
        <f>SUMIFS(allorders!O:O,allorders!L:L,'数据处理(仓储使用)'!$A333,allorders!$AG:$AG,"&lt;="&amp;日期!$B$2,allorders!$AG:$AG,"&gt;="&amp;日期!$B$1)</f>
        <v>0</v>
      </c>
      <c r="C333">
        <f>B333/(日期!$B$2-日期!$B$1+1)</f>
        <v>0</v>
      </c>
    </row>
    <row r="334" spans="2:3">
      <c r="B334">
        <f>SUMIFS(allorders!O:O,allorders!L:L,'数据处理(仓储使用)'!$A334,allorders!$AG:$AG,"&lt;="&amp;日期!$B$2,allorders!$AG:$AG,"&gt;="&amp;日期!$B$1)</f>
        <v>0</v>
      </c>
      <c r="C334">
        <f>B334/(日期!$B$2-日期!$B$1+1)</f>
        <v>0</v>
      </c>
    </row>
    <row r="335" spans="2:3">
      <c r="B335">
        <f>SUMIFS(allorders!O:O,allorders!L:L,'数据处理(仓储使用)'!$A335,allorders!$AG:$AG,"&lt;="&amp;日期!$B$2,allorders!$AG:$AG,"&gt;="&amp;日期!$B$1)</f>
        <v>0</v>
      </c>
      <c r="C335">
        <f>B335/(日期!$B$2-日期!$B$1+1)</f>
        <v>0</v>
      </c>
    </row>
    <row r="336" spans="2:3">
      <c r="B336">
        <f>SUMIFS(allorders!O:O,allorders!L:L,'数据处理(仓储使用)'!$A336,allorders!$AG:$AG,"&lt;="&amp;日期!$B$2,allorders!$AG:$AG,"&gt;="&amp;日期!$B$1)</f>
        <v>0</v>
      </c>
      <c r="C336">
        <f>B336/(日期!$B$2-日期!$B$1+1)</f>
        <v>0</v>
      </c>
    </row>
    <row r="337" spans="2:3">
      <c r="B337">
        <f>SUMIFS(allorders!O:O,allorders!L:L,'数据处理(仓储使用)'!$A337,allorders!$AG:$AG,"&lt;="&amp;日期!$B$2,allorders!$AG:$AG,"&gt;="&amp;日期!$B$1)</f>
        <v>0</v>
      </c>
      <c r="C337">
        <f>B337/(日期!$B$2-日期!$B$1+1)</f>
        <v>0</v>
      </c>
    </row>
    <row r="338" spans="2:3">
      <c r="B338">
        <f>SUMIFS(allorders!O:O,allorders!L:L,'数据处理(仓储使用)'!$A338,allorders!$AG:$AG,"&lt;="&amp;日期!$B$2,allorders!$AG:$AG,"&gt;="&amp;日期!$B$1)</f>
        <v>0</v>
      </c>
      <c r="C338">
        <f>B338/(日期!$B$2-日期!$B$1+1)</f>
        <v>0</v>
      </c>
    </row>
    <row r="339" spans="2:3">
      <c r="B339">
        <f>SUMIFS(allorders!O:O,allorders!L:L,'数据处理(仓储使用)'!$A339,allorders!$AG:$AG,"&lt;="&amp;日期!$B$2,allorders!$AG:$AG,"&gt;="&amp;日期!$B$1)</f>
        <v>0</v>
      </c>
      <c r="C339">
        <f>B339/(日期!$B$2-日期!$B$1+1)</f>
        <v>0</v>
      </c>
    </row>
    <row r="340" spans="2:3">
      <c r="B340">
        <f>SUMIFS(allorders!O:O,allorders!L:L,'数据处理(仓储使用)'!$A340,allorders!$AG:$AG,"&lt;="&amp;日期!$B$2,allorders!$AG:$AG,"&gt;="&amp;日期!$B$1)</f>
        <v>0</v>
      </c>
      <c r="C340">
        <f>B340/(日期!$B$2-日期!$B$1+1)</f>
        <v>0</v>
      </c>
    </row>
    <row r="341" spans="2:3">
      <c r="B341">
        <f>SUMIFS(allorders!O:O,allorders!L:L,'数据处理(仓储使用)'!$A341,allorders!$AG:$AG,"&lt;="&amp;日期!$B$2,allorders!$AG:$AG,"&gt;="&amp;日期!$B$1)</f>
        <v>0</v>
      </c>
      <c r="C341">
        <f>B341/(日期!$B$2-日期!$B$1+1)</f>
        <v>0</v>
      </c>
    </row>
    <row r="342" spans="2:3">
      <c r="B342">
        <f>SUMIFS(allorders!O:O,allorders!L:L,'数据处理(仓储使用)'!$A342,allorders!$AG:$AG,"&lt;="&amp;日期!$B$2,allorders!$AG:$AG,"&gt;="&amp;日期!$B$1)</f>
        <v>0</v>
      </c>
      <c r="C342">
        <f>B342/(日期!$B$2-日期!$B$1+1)</f>
        <v>0</v>
      </c>
    </row>
    <row r="343" spans="2:3">
      <c r="B343">
        <f>SUMIFS(allorders!O:O,allorders!L:L,'数据处理(仓储使用)'!$A343,allorders!$AG:$AG,"&lt;="&amp;日期!$B$2,allorders!$AG:$AG,"&gt;="&amp;日期!$B$1)</f>
        <v>0</v>
      </c>
      <c r="C343">
        <f>B343/(日期!$B$2-日期!$B$1+1)</f>
        <v>0</v>
      </c>
    </row>
    <row r="344" spans="2:3">
      <c r="B344">
        <f>SUMIFS(allorders!O:O,allorders!L:L,'数据处理(仓储使用)'!$A344,allorders!$AG:$AG,"&lt;="&amp;日期!$B$2,allorders!$AG:$AG,"&gt;="&amp;日期!$B$1)</f>
        <v>0</v>
      </c>
      <c r="C344">
        <f>B344/(日期!$B$2-日期!$B$1+1)</f>
        <v>0</v>
      </c>
    </row>
    <row r="345" spans="2:3">
      <c r="B345">
        <f>SUMIFS(allorders!O:O,allorders!L:L,'数据处理(仓储使用)'!$A345,allorders!$AG:$AG,"&lt;="&amp;日期!$B$2,allorders!$AG:$AG,"&gt;="&amp;日期!$B$1)</f>
        <v>0</v>
      </c>
      <c r="C345">
        <f>B345/(日期!$B$2-日期!$B$1+1)</f>
        <v>0</v>
      </c>
    </row>
    <row r="346" spans="2:3">
      <c r="B346">
        <f>SUMIFS(allorders!O:O,allorders!L:L,'数据处理(仓储使用)'!$A346,allorders!$AG:$AG,"&lt;="&amp;日期!$B$2,allorders!$AG:$AG,"&gt;="&amp;日期!$B$1)</f>
        <v>0</v>
      </c>
      <c r="C346">
        <f>B346/(日期!$B$2-日期!$B$1+1)</f>
        <v>0</v>
      </c>
    </row>
    <row r="347" spans="2:3">
      <c r="B347">
        <f>SUMIFS(allorders!O:O,allorders!L:L,'数据处理(仓储使用)'!$A347,allorders!$AG:$AG,"&lt;="&amp;日期!$B$2,allorders!$AG:$AG,"&gt;="&amp;日期!$B$1)</f>
        <v>0</v>
      </c>
      <c r="C347">
        <f>B347/(日期!$B$2-日期!$B$1+1)</f>
        <v>0</v>
      </c>
    </row>
    <row r="348" spans="2:3">
      <c r="B348">
        <f>SUMIFS(allorders!O:O,allorders!L:L,'数据处理(仓储使用)'!$A348,allorders!$AG:$AG,"&lt;="&amp;日期!$B$2,allorders!$AG:$AG,"&gt;="&amp;日期!$B$1)</f>
        <v>0</v>
      </c>
      <c r="C348">
        <f>B348/(日期!$B$2-日期!$B$1+1)</f>
        <v>0</v>
      </c>
    </row>
    <row r="349" spans="2:3">
      <c r="B349">
        <f>SUMIFS(allorders!O:O,allorders!L:L,'数据处理(仓储使用)'!$A349,allorders!$AG:$AG,"&lt;="&amp;日期!$B$2,allorders!$AG:$AG,"&gt;="&amp;日期!$B$1)</f>
        <v>0</v>
      </c>
      <c r="C349">
        <f>B349/(日期!$B$2-日期!$B$1+1)</f>
        <v>0</v>
      </c>
    </row>
    <row r="350" spans="2:3">
      <c r="B350">
        <f>SUMIFS(allorders!O:O,allorders!L:L,'数据处理(仓储使用)'!$A350,allorders!$AG:$AG,"&lt;="&amp;日期!$B$2,allorders!$AG:$AG,"&gt;="&amp;日期!$B$1)</f>
        <v>0</v>
      </c>
      <c r="C350">
        <f>B350/(日期!$B$2-日期!$B$1+1)</f>
        <v>0</v>
      </c>
    </row>
    <row r="351" spans="2:3">
      <c r="B351">
        <f>SUMIFS(allorders!O:O,allorders!L:L,'数据处理(仓储使用)'!$A351,allorders!$AG:$AG,"&lt;="&amp;日期!$B$2,allorders!$AG:$AG,"&gt;="&amp;日期!$B$1)</f>
        <v>0</v>
      </c>
      <c r="C351">
        <f>B351/(日期!$B$2-日期!$B$1+1)</f>
        <v>0</v>
      </c>
    </row>
    <row r="352" spans="2:3">
      <c r="B352">
        <f>SUMIFS(allorders!O:O,allorders!L:L,'数据处理(仓储使用)'!$A352,allorders!$AG:$AG,"&lt;="&amp;日期!$B$2,allorders!$AG:$AG,"&gt;="&amp;日期!$B$1)</f>
        <v>0</v>
      </c>
      <c r="C352">
        <f>B352/(日期!$B$2-日期!$B$1+1)</f>
        <v>0</v>
      </c>
    </row>
    <row r="353" spans="2:3">
      <c r="B353">
        <f>SUMIFS(allorders!O:O,allorders!L:L,'数据处理(仓储使用)'!$A353,allorders!$AG:$AG,"&lt;="&amp;日期!$B$2,allorders!$AG:$AG,"&gt;="&amp;日期!$B$1)</f>
        <v>0</v>
      </c>
      <c r="C353">
        <f>B353/(日期!$B$2-日期!$B$1+1)</f>
        <v>0</v>
      </c>
    </row>
    <row r="354" spans="2:3">
      <c r="B354">
        <f>SUMIFS(allorders!O:O,allorders!L:L,'数据处理(仓储使用)'!$A354,allorders!$AG:$AG,"&lt;="&amp;日期!$B$2,allorders!$AG:$AG,"&gt;="&amp;日期!$B$1)</f>
        <v>0</v>
      </c>
      <c r="C354">
        <f>B354/(日期!$B$2-日期!$B$1+1)</f>
        <v>0</v>
      </c>
    </row>
    <row r="355" spans="2:3">
      <c r="B355">
        <f>SUMIFS(allorders!O:O,allorders!L:L,'数据处理(仓储使用)'!$A355,allorders!$AG:$AG,"&lt;="&amp;日期!$B$2,allorders!$AG:$AG,"&gt;="&amp;日期!$B$1)</f>
        <v>0</v>
      </c>
      <c r="C355">
        <f>B355/(日期!$B$2-日期!$B$1+1)</f>
        <v>0</v>
      </c>
    </row>
    <row r="356" spans="2:3">
      <c r="B356">
        <f>SUMIFS(allorders!O:O,allorders!L:L,'数据处理(仓储使用)'!$A356,allorders!$AG:$AG,"&lt;="&amp;日期!$B$2,allorders!$AG:$AG,"&gt;="&amp;日期!$B$1)</f>
        <v>0</v>
      </c>
      <c r="C356">
        <f>B356/(日期!$B$2-日期!$B$1+1)</f>
        <v>0</v>
      </c>
    </row>
    <row r="357" spans="2:3">
      <c r="B357">
        <f>SUMIFS(allorders!O:O,allorders!L:L,'数据处理(仓储使用)'!$A357,allorders!$AG:$AG,"&lt;="&amp;日期!$B$2,allorders!$AG:$AG,"&gt;="&amp;日期!$B$1)</f>
        <v>0</v>
      </c>
      <c r="C357">
        <f>B357/(日期!$B$2-日期!$B$1+1)</f>
        <v>0</v>
      </c>
    </row>
    <row r="358" spans="2:3">
      <c r="B358">
        <f>SUMIFS(allorders!O:O,allorders!L:L,'数据处理(仓储使用)'!$A358,allorders!$AG:$AG,"&lt;="&amp;日期!$B$2,allorders!$AG:$AG,"&gt;="&amp;日期!$B$1)</f>
        <v>0</v>
      </c>
      <c r="C358">
        <f>B358/(日期!$B$2-日期!$B$1+1)</f>
        <v>0</v>
      </c>
    </row>
    <row r="359" spans="2:3">
      <c r="B359">
        <f>SUMIFS(allorders!O:O,allorders!L:L,'数据处理(仓储使用)'!$A359,allorders!$AG:$AG,"&lt;="&amp;日期!$B$2,allorders!$AG:$AG,"&gt;="&amp;日期!$B$1)</f>
        <v>0</v>
      </c>
      <c r="C359">
        <f>B359/(日期!$B$2-日期!$B$1+1)</f>
        <v>0</v>
      </c>
    </row>
    <row r="360" spans="2:3">
      <c r="B360">
        <f>SUMIFS(allorders!O:O,allorders!L:L,'数据处理(仓储使用)'!$A360,allorders!$AG:$AG,"&lt;="&amp;日期!$B$2,allorders!$AG:$AG,"&gt;="&amp;日期!$B$1)</f>
        <v>0</v>
      </c>
      <c r="C360">
        <f>B360/(日期!$B$2-日期!$B$1+1)</f>
        <v>0</v>
      </c>
    </row>
    <row r="361" spans="2:3">
      <c r="B361">
        <f>SUMIFS(allorders!O:O,allorders!L:L,'数据处理(仓储使用)'!$A361,allorders!$AG:$AG,"&lt;="&amp;日期!$B$2,allorders!$AG:$AG,"&gt;="&amp;日期!$B$1)</f>
        <v>0</v>
      </c>
      <c r="C361">
        <f>B361/(日期!$B$2-日期!$B$1+1)</f>
        <v>0</v>
      </c>
    </row>
    <row r="362" spans="2:3">
      <c r="B362">
        <f>SUMIFS(allorders!O:O,allorders!L:L,'数据处理(仓储使用)'!$A362,allorders!$AG:$AG,"&lt;="&amp;日期!$B$2,allorders!$AG:$AG,"&gt;="&amp;日期!$B$1)</f>
        <v>0</v>
      </c>
      <c r="C362">
        <f>B362/(日期!$B$2-日期!$B$1+1)</f>
        <v>0</v>
      </c>
    </row>
    <row r="363" spans="2:3">
      <c r="B363">
        <f>SUMIFS(allorders!O:O,allorders!L:L,'数据处理(仓储使用)'!$A363,allorders!$AG:$AG,"&lt;="&amp;日期!$B$2,allorders!$AG:$AG,"&gt;="&amp;日期!$B$1)</f>
        <v>0</v>
      </c>
      <c r="C363">
        <f>B363/(日期!$B$2-日期!$B$1+1)</f>
        <v>0</v>
      </c>
    </row>
    <row r="364" spans="2:3">
      <c r="B364">
        <f>SUMIFS(allorders!O:O,allorders!L:L,'数据处理(仓储使用)'!$A364,allorders!$AG:$AG,"&lt;="&amp;日期!$B$2,allorders!$AG:$AG,"&gt;="&amp;日期!$B$1)</f>
        <v>0</v>
      </c>
      <c r="C364">
        <f>B364/(日期!$B$2-日期!$B$1+1)</f>
        <v>0</v>
      </c>
    </row>
    <row r="365" spans="2:3">
      <c r="B365">
        <f>SUMIFS(allorders!O:O,allorders!L:L,'数据处理(仓储使用)'!$A365,allorders!$AG:$AG,"&lt;="&amp;日期!$B$2,allorders!$AG:$AG,"&gt;="&amp;日期!$B$1)</f>
        <v>0</v>
      </c>
      <c r="C365">
        <f>B365/(日期!$B$2-日期!$B$1+1)</f>
        <v>0</v>
      </c>
    </row>
    <row r="366" spans="2:3">
      <c r="B366">
        <f>SUMIFS(allorders!O:O,allorders!L:L,'数据处理(仓储使用)'!$A366,allorders!$AG:$AG,"&lt;="&amp;日期!$B$2,allorders!$AG:$AG,"&gt;="&amp;日期!$B$1)</f>
        <v>0</v>
      </c>
      <c r="C366">
        <f>B366/(日期!$B$2-日期!$B$1+1)</f>
        <v>0</v>
      </c>
    </row>
    <row r="367" spans="2:3">
      <c r="B367">
        <f>SUMIFS(allorders!O:O,allorders!L:L,'数据处理(仓储使用)'!$A367,allorders!$AG:$AG,"&lt;="&amp;日期!$B$2,allorders!$AG:$AG,"&gt;="&amp;日期!$B$1)</f>
        <v>0</v>
      </c>
      <c r="C367">
        <f>B367/(日期!$B$2-日期!$B$1+1)</f>
        <v>0</v>
      </c>
    </row>
    <row r="368" spans="2:3">
      <c r="B368">
        <f>SUMIFS(allorders!O:O,allorders!L:L,'数据处理(仓储使用)'!$A368,allorders!$AG:$AG,"&lt;="&amp;日期!$B$2,allorders!$AG:$AG,"&gt;="&amp;日期!$B$1)</f>
        <v>0</v>
      </c>
      <c r="C368">
        <f>B368/(日期!$B$2-日期!$B$1+1)</f>
        <v>0</v>
      </c>
    </row>
    <row r="369" spans="2:3">
      <c r="B369">
        <f>SUMIFS(allorders!O:O,allorders!L:L,'数据处理(仓储使用)'!$A369,allorders!$AG:$AG,"&lt;="&amp;日期!$B$2,allorders!$AG:$AG,"&gt;="&amp;日期!$B$1)</f>
        <v>0</v>
      </c>
      <c r="C369">
        <f>B369/(日期!$B$2-日期!$B$1+1)</f>
        <v>0</v>
      </c>
    </row>
    <row r="370" spans="2:3">
      <c r="B370">
        <f>SUMIFS(allorders!O:O,allorders!L:L,'数据处理(仓储使用)'!$A370,allorders!$AG:$AG,"&lt;="&amp;日期!$B$2,allorders!$AG:$AG,"&gt;="&amp;日期!$B$1)</f>
        <v>0</v>
      </c>
      <c r="C370">
        <f>B370/(日期!$B$2-日期!$B$1+1)</f>
        <v>0</v>
      </c>
    </row>
    <row r="371" spans="2:3">
      <c r="B371">
        <f>SUMIFS(allorders!O:O,allorders!L:L,'数据处理(仓储使用)'!$A371,allorders!$AG:$AG,"&lt;="&amp;日期!$B$2,allorders!$AG:$AG,"&gt;="&amp;日期!$B$1)</f>
        <v>0</v>
      </c>
      <c r="C371">
        <f>B371/(日期!$B$2-日期!$B$1+1)</f>
        <v>0</v>
      </c>
    </row>
    <row r="372" spans="2:3">
      <c r="B372">
        <f>SUMIFS(allorders!O:O,allorders!L:L,'数据处理(仓储使用)'!$A372,allorders!$AG:$AG,"&lt;="&amp;日期!$B$2,allorders!$AG:$AG,"&gt;="&amp;日期!$B$1)</f>
        <v>0</v>
      </c>
      <c r="C372">
        <f>B372/(日期!$B$2-日期!$B$1+1)</f>
        <v>0</v>
      </c>
    </row>
    <row r="373" spans="2:3">
      <c r="B373">
        <f>SUMIFS(allorders!O:O,allorders!L:L,'数据处理(仓储使用)'!$A373,allorders!$AG:$AG,"&lt;="&amp;日期!$B$2,allorders!$AG:$AG,"&gt;="&amp;日期!$B$1)</f>
        <v>0</v>
      </c>
      <c r="C373">
        <f>B373/(日期!$B$2-日期!$B$1+1)</f>
        <v>0</v>
      </c>
    </row>
    <row r="374" spans="2:3">
      <c r="B374">
        <f>SUMIFS(allorders!O:O,allorders!L:L,'数据处理(仓储使用)'!$A374,allorders!$AG:$AG,"&lt;="&amp;日期!$B$2,allorders!$AG:$AG,"&gt;="&amp;日期!$B$1)</f>
        <v>0</v>
      </c>
      <c r="C374">
        <f>B374/(日期!$B$2-日期!$B$1+1)</f>
        <v>0</v>
      </c>
    </row>
    <row r="375" spans="2:3">
      <c r="B375">
        <f>SUMIFS(allorders!O:O,allorders!L:L,'数据处理(仓储使用)'!$A375,allorders!$AG:$AG,"&lt;="&amp;日期!$B$2,allorders!$AG:$AG,"&gt;="&amp;日期!$B$1)</f>
        <v>0</v>
      </c>
      <c r="C375">
        <f>B375/(日期!$B$2-日期!$B$1+1)</f>
        <v>0</v>
      </c>
    </row>
    <row r="376" spans="2:3">
      <c r="B376">
        <f>SUMIFS(allorders!O:O,allorders!L:L,'数据处理(仓储使用)'!$A376,allorders!$AG:$AG,"&lt;="&amp;日期!$B$2,allorders!$AG:$AG,"&gt;="&amp;日期!$B$1)</f>
        <v>0</v>
      </c>
      <c r="C376">
        <f>B376/(日期!$B$2-日期!$B$1+1)</f>
        <v>0</v>
      </c>
    </row>
    <row r="377" spans="2:3">
      <c r="B377">
        <f>SUMIFS(allorders!O:O,allorders!L:L,'数据处理(仓储使用)'!$A377,allorders!$AG:$AG,"&lt;="&amp;日期!$B$2,allorders!$AG:$AG,"&gt;="&amp;日期!$B$1)</f>
        <v>0</v>
      </c>
      <c r="C377">
        <f>B377/(日期!$B$2-日期!$B$1+1)</f>
        <v>0</v>
      </c>
    </row>
    <row r="378" spans="2:3">
      <c r="B378">
        <f>SUMIFS(allorders!O:O,allorders!L:L,'数据处理(仓储使用)'!$A378,allorders!$AG:$AG,"&lt;="&amp;日期!$B$2,allorders!$AG:$AG,"&gt;="&amp;日期!$B$1)</f>
        <v>0</v>
      </c>
      <c r="C378">
        <f>B378/(日期!$B$2-日期!$B$1+1)</f>
        <v>0</v>
      </c>
    </row>
    <row r="379" spans="2:3">
      <c r="B379">
        <f>SUMIFS(allorders!O:O,allorders!L:L,'数据处理(仓储使用)'!$A379,allorders!$AG:$AG,"&lt;="&amp;日期!$B$2,allorders!$AG:$AG,"&gt;="&amp;日期!$B$1)</f>
        <v>0</v>
      </c>
      <c r="C379">
        <f>B379/(日期!$B$2-日期!$B$1+1)</f>
        <v>0</v>
      </c>
    </row>
    <row r="380" spans="2:3">
      <c r="B380">
        <f>SUMIFS(allorders!O:O,allorders!L:L,'数据处理(仓储使用)'!$A380,allorders!$AG:$AG,"&lt;="&amp;日期!$B$2,allorders!$AG:$AG,"&gt;="&amp;日期!$B$1)</f>
        <v>0</v>
      </c>
      <c r="C380">
        <f>B380/(日期!$B$2-日期!$B$1+1)</f>
        <v>0</v>
      </c>
    </row>
    <row r="381" spans="2:3">
      <c r="B381">
        <f>SUMIFS(allorders!O:O,allorders!L:L,'数据处理(仓储使用)'!$A381,allorders!$AG:$AG,"&lt;="&amp;日期!$B$2,allorders!$AG:$AG,"&gt;="&amp;日期!$B$1)</f>
        <v>0</v>
      </c>
      <c r="C381">
        <f>B381/(日期!$B$2-日期!$B$1+1)</f>
        <v>0</v>
      </c>
    </row>
    <row r="382" spans="2:3">
      <c r="B382">
        <f>SUMIFS(allorders!O:O,allorders!L:L,'数据处理(仓储使用)'!$A382,allorders!$AG:$AG,"&lt;="&amp;日期!$B$2,allorders!$AG:$AG,"&gt;="&amp;日期!$B$1)</f>
        <v>0</v>
      </c>
      <c r="C382">
        <f>B382/(日期!$B$2-日期!$B$1+1)</f>
        <v>0</v>
      </c>
    </row>
    <row r="383" spans="2:3">
      <c r="B383">
        <f>SUMIFS(allorders!O:O,allorders!L:L,'数据处理(仓储使用)'!$A383,allorders!$AG:$AG,"&lt;="&amp;日期!$B$2,allorders!$AG:$AG,"&gt;="&amp;日期!$B$1)</f>
        <v>0</v>
      </c>
      <c r="C383">
        <f>B383/(日期!$B$2-日期!$B$1+1)</f>
        <v>0</v>
      </c>
    </row>
    <row r="384" spans="2:3">
      <c r="B384">
        <f>SUMIFS(allorders!O:O,allorders!L:L,'数据处理(仓储使用)'!$A384,allorders!$AG:$AG,"&lt;="&amp;日期!$B$2,allorders!$AG:$AG,"&gt;="&amp;日期!$B$1)</f>
        <v>0</v>
      </c>
      <c r="C384">
        <f>B384/(日期!$B$2-日期!$B$1+1)</f>
        <v>0</v>
      </c>
    </row>
    <row r="385" spans="2:3">
      <c r="B385">
        <f>SUMIFS(allorders!O:O,allorders!L:L,'数据处理(仓储使用)'!$A385,allorders!$AG:$AG,"&lt;="&amp;日期!$B$2,allorders!$AG:$AG,"&gt;="&amp;日期!$B$1)</f>
        <v>0</v>
      </c>
      <c r="C385">
        <f>B385/(日期!$B$2-日期!$B$1+1)</f>
        <v>0</v>
      </c>
    </row>
    <row r="386" spans="2:3">
      <c r="B386">
        <f>SUMIFS(allorders!O:O,allorders!L:L,'数据处理(仓储使用)'!$A386,allorders!$AG:$AG,"&lt;="&amp;日期!$B$2,allorders!$AG:$AG,"&gt;="&amp;日期!$B$1)</f>
        <v>0</v>
      </c>
      <c r="C386">
        <f>B386/(日期!$B$2-日期!$B$1+1)</f>
        <v>0</v>
      </c>
    </row>
    <row r="387" spans="2:3">
      <c r="B387">
        <f>SUMIFS(allorders!O:O,allorders!L:L,'数据处理(仓储使用)'!$A387,allorders!$AG:$AG,"&lt;="&amp;日期!$B$2,allorders!$AG:$AG,"&gt;="&amp;日期!$B$1)</f>
        <v>0</v>
      </c>
      <c r="C387">
        <f>B387/(日期!$B$2-日期!$B$1+1)</f>
        <v>0</v>
      </c>
    </row>
    <row r="388" spans="2:3">
      <c r="B388">
        <f>SUMIFS(allorders!O:O,allorders!L:L,'数据处理(仓储使用)'!$A388,allorders!$AG:$AG,"&lt;="&amp;日期!$B$2,allorders!$AG:$AG,"&gt;="&amp;日期!$B$1)</f>
        <v>0</v>
      </c>
      <c r="C388">
        <f>B388/(日期!$B$2-日期!$B$1+1)</f>
        <v>0</v>
      </c>
    </row>
    <row r="389" spans="2:3">
      <c r="B389">
        <f>SUMIFS(allorders!O:O,allorders!L:L,'数据处理(仓储使用)'!$A389,allorders!$AG:$AG,"&lt;="&amp;日期!$B$2,allorders!$AG:$AG,"&gt;="&amp;日期!$B$1)</f>
        <v>0</v>
      </c>
      <c r="C389">
        <f>B389/(日期!$B$2-日期!$B$1+1)</f>
        <v>0</v>
      </c>
    </row>
    <row r="390" spans="2:3">
      <c r="B390">
        <f>SUMIFS(allorders!O:O,allorders!L:L,'数据处理(仓储使用)'!$A390,allorders!$AG:$AG,"&lt;="&amp;日期!$B$2,allorders!$AG:$AG,"&gt;="&amp;日期!$B$1)</f>
        <v>0</v>
      </c>
      <c r="C390">
        <f>B390/(日期!$B$2-日期!$B$1+1)</f>
        <v>0</v>
      </c>
    </row>
    <row r="391" spans="2:3">
      <c r="B391">
        <f>SUMIFS(allorders!O:O,allorders!L:L,'数据处理(仓储使用)'!$A391,allorders!$AG:$AG,"&lt;="&amp;日期!$B$2,allorders!$AG:$AG,"&gt;="&amp;日期!$B$1)</f>
        <v>0</v>
      </c>
      <c r="C391">
        <f>B391/(日期!$B$2-日期!$B$1+1)</f>
        <v>0</v>
      </c>
    </row>
    <row r="392" spans="2:3">
      <c r="B392">
        <f>SUMIFS(allorders!O:O,allorders!L:L,'数据处理(仓储使用)'!$A392,allorders!$AG:$AG,"&lt;="&amp;日期!$B$2,allorders!$AG:$AG,"&gt;="&amp;日期!$B$1)</f>
        <v>0</v>
      </c>
      <c r="C392">
        <f>B392/(日期!$B$2-日期!$B$1+1)</f>
        <v>0</v>
      </c>
    </row>
    <row r="393" spans="2:3">
      <c r="B393">
        <f>SUMIFS(allorders!O:O,allorders!L:L,'数据处理(仓储使用)'!$A393,allorders!$AG:$AG,"&lt;="&amp;日期!$B$2,allorders!$AG:$AG,"&gt;="&amp;日期!$B$1)</f>
        <v>0</v>
      </c>
      <c r="C393">
        <f>B393/(日期!$B$2-日期!$B$1+1)</f>
        <v>0</v>
      </c>
    </row>
    <row r="394" spans="2:3">
      <c r="B394">
        <f>SUMIFS(allorders!O:O,allorders!L:L,'数据处理(仓储使用)'!$A394,allorders!$AG:$AG,"&lt;="&amp;日期!$B$2,allorders!$AG:$AG,"&gt;="&amp;日期!$B$1)</f>
        <v>0</v>
      </c>
      <c r="C394">
        <f>B394/(日期!$B$2-日期!$B$1+1)</f>
        <v>0</v>
      </c>
    </row>
    <row r="395" spans="2:3">
      <c r="B395">
        <f>SUMIFS(allorders!O:O,allorders!L:L,'数据处理(仓储使用)'!$A395,allorders!$AG:$AG,"&lt;="&amp;日期!$B$2,allorders!$AG:$AG,"&gt;="&amp;日期!$B$1)</f>
        <v>0</v>
      </c>
      <c r="C395">
        <f>B395/(日期!$B$2-日期!$B$1+1)</f>
        <v>0</v>
      </c>
    </row>
    <row r="396" spans="2:3">
      <c r="B396">
        <f>SUMIFS(allorders!O:O,allorders!L:L,'数据处理(仓储使用)'!$A396,allorders!$AG:$AG,"&lt;="&amp;日期!$B$2,allorders!$AG:$AG,"&gt;="&amp;日期!$B$1)</f>
        <v>0</v>
      </c>
      <c r="C396">
        <f>B396/(日期!$B$2-日期!$B$1+1)</f>
        <v>0</v>
      </c>
    </row>
    <row r="397" spans="2:3">
      <c r="B397">
        <f>SUMIFS(allorders!O:O,allorders!L:L,'数据处理(仓储使用)'!$A397,allorders!$AG:$AG,"&lt;="&amp;日期!$B$2,allorders!$AG:$AG,"&gt;="&amp;日期!$B$1)</f>
        <v>0</v>
      </c>
      <c r="C397">
        <f>B397/(日期!$B$2-日期!$B$1+1)</f>
        <v>0</v>
      </c>
    </row>
    <row r="398" spans="2:3">
      <c r="B398">
        <f>SUMIFS(allorders!O:O,allorders!L:L,'数据处理(仓储使用)'!$A398,allorders!$AG:$AG,"&lt;="&amp;日期!$B$2,allorders!$AG:$AG,"&gt;="&amp;日期!$B$1)</f>
        <v>0</v>
      </c>
      <c r="C398">
        <f>B398/(日期!$B$2-日期!$B$1+1)</f>
        <v>0</v>
      </c>
    </row>
    <row r="399" spans="2:3">
      <c r="B399">
        <f>SUMIFS(allorders!O:O,allorders!L:L,'数据处理(仓储使用)'!$A399,allorders!$AG:$AG,"&lt;="&amp;日期!$B$2,allorders!$AG:$AG,"&gt;="&amp;日期!$B$1)</f>
        <v>0</v>
      </c>
      <c r="C399">
        <f>B399/(日期!$B$2-日期!$B$1+1)</f>
        <v>0</v>
      </c>
    </row>
    <row r="400" spans="2:3">
      <c r="B400">
        <f>SUMIFS(allorders!O:O,allorders!L:L,'数据处理(仓储使用)'!$A400,allorders!$AG:$AG,"&lt;="&amp;日期!$B$2,allorders!$AG:$AG,"&gt;="&amp;日期!$B$1)</f>
        <v>0</v>
      </c>
      <c r="C400">
        <f>B400/(日期!$B$2-日期!$B$1+1)</f>
        <v>0</v>
      </c>
    </row>
    <row r="401" spans="2:3">
      <c r="B401">
        <f>SUMIFS(allorders!O:O,allorders!L:L,'数据处理(仓储使用)'!$A401,allorders!$AG:$AG,"&lt;="&amp;日期!$B$2,allorders!$AG:$AG,"&gt;="&amp;日期!$B$1)</f>
        <v>0</v>
      </c>
      <c r="C401">
        <f>B401/(日期!$B$2-日期!$B$1+1)</f>
        <v>0</v>
      </c>
    </row>
    <row r="402" spans="2:3">
      <c r="B402">
        <f>SUMIFS(allorders!O:O,allorders!L:L,'数据处理(仓储使用)'!$A402,allorders!$AG:$AG,"&lt;="&amp;日期!$B$2,allorders!$AG:$AG,"&gt;="&amp;日期!$B$1)</f>
        <v>0</v>
      </c>
      <c r="C402">
        <f>B402/(日期!$B$2-日期!$B$1+1)</f>
        <v>0</v>
      </c>
    </row>
    <row r="403" spans="2:3">
      <c r="B403">
        <f>SUMIFS(allorders!O:O,allorders!L:L,'数据处理(仓储使用)'!$A403,allorders!$AG:$AG,"&lt;="&amp;日期!$B$2,allorders!$AG:$AG,"&gt;="&amp;日期!$B$1)</f>
        <v>0</v>
      </c>
      <c r="C403">
        <f>B403/(日期!$B$2-日期!$B$1+1)</f>
        <v>0</v>
      </c>
    </row>
    <row r="404" spans="2:3">
      <c r="B404">
        <f>SUMIFS(allorders!O:O,allorders!L:L,'数据处理(仓储使用)'!$A404,allorders!$AG:$AG,"&lt;="&amp;日期!$B$2,allorders!$AG:$AG,"&gt;="&amp;日期!$B$1)</f>
        <v>0</v>
      </c>
      <c r="C404">
        <f>B404/(日期!$B$2-日期!$B$1+1)</f>
        <v>0</v>
      </c>
    </row>
    <row r="405" spans="2:3">
      <c r="B405">
        <f>SUMIFS(allorders!O:O,allorders!L:L,'数据处理(仓储使用)'!$A405,allorders!$AG:$AG,"&lt;="&amp;日期!$B$2,allorders!$AG:$AG,"&gt;="&amp;日期!$B$1)</f>
        <v>0</v>
      </c>
      <c r="C405">
        <f>B405/(日期!$B$2-日期!$B$1+1)</f>
        <v>0</v>
      </c>
    </row>
    <row r="406" spans="2:3">
      <c r="B406">
        <f>SUMIFS(allorders!O:O,allorders!L:L,'数据处理(仓储使用)'!$A406,allorders!$AG:$AG,"&lt;="&amp;日期!$B$2,allorders!$AG:$AG,"&gt;="&amp;日期!$B$1)</f>
        <v>0</v>
      </c>
      <c r="C406">
        <f>B406/(日期!$B$2-日期!$B$1+1)</f>
        <v>0</v>
      </c>
    </row>
    <row r="407" spans="2:3">
      <c r="B407">
        <f>SUMIFS(allorders!O:O,allorders!L:L,'数据处理(仓储使用)'!$A407,allorders!$AG:$AG,"&lt;="&amp;日期!$B$2,allorders!$AG:$AG,"&gt;="&amp;日期!$B$1)</f>
        <v>0</v>
      </c>
      <c r="C407">
        <f>B407/(日期!$B$2-日期!$B$1+1)</f>
        <v>0</v>
      </c>
    </row>
    <row r="408" spans="2:3">
      <c r="B408">
        <f>SUMIFS(allorders!O:O,allorders!L:L,'数据处理(仓储使用)'!$A408,allorders!$AG:$AG,"&lt;="&amp;日期!$B$2,allorders!$AG:$AG,"&gt;="&amp;日期!$B$1)</f>
        <v>0</v>
      </c>
      <c r="C408">
        <f>B408/(日期!$B$2-日期!$B$1+1)</f>
        <v>0</v>
      </c>
    </row>
    <row r="409" spans="2:3">
      <c r="B409">
        <f>SUMIFS(allorders!O:O,allorders!L:L,'数据处理(仓储使用)'!$A409,allorders!$AG:$AG,"&lt;="&amp;日期!$B$2,allorders!$AG:$AG,"&gt;="&amp;日期!$B$1)</f>
        <v>0</v>
      </c>
      <c r="C409">
        <f>B409/(日期!$B$2-日期!$B$1+1)</f>
        <v>0</v>
      </c>
    </row>
    <row r="410" spans="2:3">
      <c r="B410">
        <f>SUMIFS(allorders!O:O,allorders!L:L,'数据处理(仓储使用)'!$A410,allorders!$AG:$AG,"&lt;="&amp;日期!$B$2,allorders!$AG:$AG,"&gt;="&amp;日期!$B$1)</f>
        <v>0</v>
      </c>
      <c r="C410">
        <f>B410/(日期!$B$2-日期!$B$1+1)</f>
        <v>0</v>
      </c>
    </row>
    <row r="411" spans="2:3">
      <c r="B411">
        <f>SUMIFS(allorders!O:O,allorders!L:L,'数据处理(仓储使用)'!$A411,allorders!$AG:$AG,"&lt;="&amp;日期!$B$2,allorders!$AG:$AG,"&gt;="&amp;日期!$B$1)</f>
        <v>0</v>
      </c>
      <c r="C411">
        <f>B411/(日期!$B$2-日期!$B$1+1)</f>
        <v>0</v>
      </c>
    </row>
    <row r="412" spans="2:3">
      <c r="B412">
        <f>SUMIFS(allorders!O:O,allorders!L:L,'数据处理(仓储使用)'!$A412,allorders!$AG:$AG,"&lt;="&amp;日期!$B$2,allorders!$AG:$AG,"&gt;="&amp;日期!$B$1)</f>
        <v>0</v>
      </c>
      <c r="C412">
        <f>B412/(日期!$B$2-日期!$B$1+1)</f>
        <v>0</v>
      </c>
    </row>
    <row r="413" spans="2:3">
      <c r="B413">
        <f>SUMIFS(allorders!O:O,allorders!L:L,'数据处理(仓储使用)'!$A413,allorders!$AG:$AG,"&lt;="&amp;日期!$B$2,allorders!$AG:$AG,"&gt;="&amp;日期!$B$1)</f>
        <v>0</v>
      </c>
      <c r="C413">
        <f>B413/(日期!$B$2-日期!$B$1+1)</f>
        <v>0</v>
      </c>
    </row>
    <row r="414" spans="2:3">
      <c r="B414">
        <f>SUMIFS(allorders!O:O,allorders!L:L,'数据处理(仓储使用)'!$A414,allorders!$AG:$AG,"&lt;="&amp;日期!$B$2,allorders!$AG:$AG,"&gt;="&amp;日期!$B$1)</f>
        <v>0</v>
      </c>
      <c r="C414">
        <f>B414/(日期!$B$2-日期!$B$1+1)</f>
        <v>0</v>
      </c>
    </row>
    <row r="415" spans="2:3">
      <c r="B415">
        <f>SUMIFS(allorders!O:O,allorders!L:L,'数据处理(仓储使用)'!$A415,allorders!$AG:$AG,"&lt;="&amp;日期!$B$2,allorders!$AG:$AG,"&gt;="&amp;日期!$B$1)</f>
        <v>0</v>
      </c>
      <c r="C415">
        <f>B415/(日期!$B$2-日期!$B$1+1)</f>
        <v>0</v>
      </c>
    </row>
    <row r="416" spans="2:3">
      <c r="B416">
        <f>SUMIFS(allorders!O:O,allorders!L:L,'数据处理(仓储使用)'!$A416,allorders!$AG:$AG,"&lt;="&amp;日期!$B$2,allorders!$AG:$AG,"&gt;="&amp;日期!$B$1)</f>
        <v>0</v>
      </c>
      <c r="C416">
        <f>B416/(日期!$B$2-日期!$B$1+1)</f>
        <v>0</v>
      </c>
    </row>
    <row r="417" spans="2:3">
      <c r="B417">
        <f>SUMIFS(allorders!O:O,allorders!L:L,'数据处理(仓储使用)'!$A417,allorders!$AG:$AG,"&lt;="&amp;日期!$B$2,allorders!$AG:$AG,"&gt;="&amp;日期!$B$1)</f>
        <v>0</v>
      </c>
      <c r="C417">
        <f>B417/(日期!$B$2-日期!$B$1+1)</f>
        <v>0</v>
      </c>
    </row>
    <row r="418" spans="2:3">
      <c r="B418">
        <f>SUMIFS(allorders!O:O,allorders!L:L,'数据处理(仓储使用)'!$A418,allorders!$AG:$AG,"&lt;="&amp;日期!$B$2,allorders!$AG:$AG,"&gt;="&amp;日期!$B$1)</f>
        <v>0</v>
      </c>
      <c r="C418">
        <f>B418/(日期!$B$2-日期!$B$1+1)</f>
        <v>0</v>
      </c>
    </row>
    <row r="419" spans="2:3">
      <c r="B419">
        <f>SUMIFS(allorders!O:O,allorders!L:L,'数据处理(仓储使用)'!$A419,allorders!$AG:$AG,"&lt;="&amp;日期!$B$2,allorders!$AG:$AG,"&gt;="&amp;日期!$B$1)</f>
        <v>0</v>
      </c>
      <c r="C419">
        <f>B419/(日期!$B$2-日期!$B$1+1)</f>
        <v>0</v>
      </c>
    </row>
    <row r="420" spans="2:3">
      <c r="B420">
        <f>SUMIFS(allorders!O:O,allorders!L:L,'数据处理(仓储使用)'!$A420,allorders!$AG:$AG,"&lt;="&amp;日期!$B$2,allorders!$AG:$AG,"&gt;="&amp;日期!$B$1)</f>
        <v>0</v>
      </c>
      <c r="C420">
        <f>B420/(日期!$B$2-日期!$B$1+1)</f>
        <v>0</v>
      </c>
    </row>
    <row r="421" spans="2:3">
      <c r="B421">
        <f>SUMIFS(allorders!O:O,allorders!L:L,'数据处理(仓储使用)'!$A421,allorders!$AG:$AG,"&lt;="&amp;日期!$B$2,allorders!$AG:$AG,"&gt;="&amp;日期!$B$1)</f>
        <v>0</v>
      </c>
      <c r="C421">
        <f>B421/(日期!$B$2-日期!$B$1+1)</f>
        <v>0</v>
      </c>
    </row>
    <row r="422" spans="2:3">
      <c r="B422">
        <f>SUMIFS(allorders!O:O,allorders!L:L,'数据处理(仓储使用)'!$A422,allorders!$AG:$AG,"&lt;="&amp;日期!$B$2,allorders!$AG:$AG,"&gt;="&amp;日期!$B$1)</f>
        <v>0</v>
      </c>
      <c r="C422">
        <f>B422/(日期!$B$2-日期!$B$1+1)</f>
        <v>0</v>
      </c>
    </row>
    <row r="423" spans="2:3">
      <c r="B423">
        <f>SUMIFS(allorders!O:O,allorders!L:L,'数据处理(仓储使用)'!$A423,allorders!$AG:$AG,"&lt;="&amp;日期!$B$2,allorders!$AG:$AG,"&gt;="&amp;日期!$B$1)</f>
        <v>0</v>
      </c>
      <c r="C423">
        <f>B423/(日期!$B$2-日期!$B$1+1)</f>
        <v>0</v>
      </c>
    </row>
    <row r="424" spans="2:3">
      <c r="B424">
        <f>SUMIFS(allorders!O:O,allorders!L:L,'数据处理(仓储使用)'!$A424,allorders!$AG:$AG,"&lt;="&amp;日期!$B$2,allorders!$AG:$AG,"&gt;="&amp;日期!$B$1)</f>
        <v>0</v>
      </c>
      <c r="C424">
        <f>B424/(日期!$B$2-日期!$B$1+1)</f>
        <v>0</v>
      </c>
    </row>
    <row r="425" spans="2:3">
      <c r="B425">
        <f>SUMIFS(allorders!O:O,allorders!L:L,'数据处理(仓储使用)'!$A425,allorders!$AG:$AG,"&lt;="&amp;日期!$B$2,allorders!$AG:$AG,"&gt;="&amp;日期!$B$1)</f>
        <v>0</v>
      </c>
      <c r="C425">
        <f>B425/(日期!$B$2-日期!$B$1+1)</f>
        <v>0</v>
      </c>
    </row>
    <row r="426" spans="2:3">
      <c r="B426">
        <f>SUMIFS(allorders!O:O,allorders!L:L,'数据处理(仓储使用)'!$A426,allorders!$AG:$AG,"&lt;="&amp;日期!$B$2,allorders!$AG:$AG,"&gt;="&amp;日期!$B$1)</f>
        <v>0</v>
      </c>
      <c r="C426">
        <f>B426/(日期!$B$2-日期!$B$1+1)</f>
        <v>0</v>
      </c>
    </row>
    <row r="427" spans="2:3">
      <c r="B427">
        <f>SUMIFS(allorders!O:O,allorders!L:L,'数据处理(仓储使用)'!$A427,allorders!$AG:$AG,"&lt;="&amp;日期!$B$2,allorders!$AG:$AG,"&gt;="&amp;日期!$B$1)</f>
        <v>0</v>
      </c>
      <c r="C427">
        <f>B427/(日期!$B$2-日期!$B$1+1)</f>
        <v>0</v>
      </c>
    </row>
    <row r="428" spans="2:3">
      <c r="B428">
        <f>SUMIFS(allorders!O:O,allorders!L:L,'数据处理(仓储使用)'!$A428,allorders!$AG:$AG,"&lt;="&amp;日期!$B$2,allorders!$AG:$AG,"&gt;="&amp;日期!$B$1)</f>
        <v>0</v>
      </c>
      <c r="C428">
        <f>B428/(日期!$B$2-日期!$B$1+1)</f>
        <v>0</v>
      </c>
    </row>
    <row r="429" spans="2:3">
      <c r="B429">
        <f>SUMIFS(allorders!O:O,allorders!L:L,'数据处理(仓储使用)'!$A429,allorders!$AG:$AG,"&lt;="&amp;日期!$B$2,allorders!$AG:$AG,"&gt;="&amp;日期!$B$1)</f>
        <v>0</v>
      </c>
      <c r="C429">
        <f>B429/(日期!$B$2-日期!$B$1+1)</f>
        <v>0</v>
      </c>
    </row>
    <row r="430" spans="2:3">
      <c r="B430">
        <f>SUMIFS(allorders!O:O,allorders!L:L,'数据处理(仓储使用)'!$A430,allorders!$AG:$AG,"&lt;="&amp;日期!$B$2,allorders!$AG:$AG,"&gt;="&amp;日期!$B$1)</f>
        <v>0</v>
      </c>
      <c r="C430">
        <f>B430/(日期!$B$2-日期!$B$1+1)</f>
        <v>0</v>
      </c>
    </row>
    <row r="431" spans="2:3">
      <c r="B431">
        <f>SUMIFS(allorders!O:O,allorders!L:L,'数据处理(仓储使用)'!$A431,allorders!$AG:$AG,"&lt;="&amp;日期!$B$2,allorders!$AG:$AG,"&gt;="&amp;日期!$B$1)</f>
        <v>0</v>
      </c>
      <c r="C431">
        <f>B431/(日期!$B$2-日期!$B$1+1)</f>
        <v>0</v>
      </c>
    </row>
    <row r="432" spans="2:3">
      <c r="B432">
        <f>SUMIFS(allorders!O:O,allorders!L:L,'数据处理(仓储使用)'!$A432,allorders!$AG:$AG,"&lt;="&amp;日期!$B$2,allorders!$AG:$AG,"&gt;="&amp;日期!$B$1)</f>
        <v>0</v>
      </c>
      <c r="C432">
        <f>B432/(日期!$B$2-日期!$B$1+1)</f>
        <v>0</v>
      </c>
    </row>
    <row r="433" spans="2:3">
      <c r="B433">
        <f>SUMIFS(allorders!O:O,allorders!L:L,'数据处理(仓储使用)'!$A433,allorders!$AG:$AG,"&lt;="&amp;日期!$B$2,allorders!$AG:$AG,"&gt;="&amp;日期!$B$1)</f>
        <v>0</v>
      </c>
      <c r="C433">
        <f>B433/(日期!$B$2-日期!$B$1+1)</f>
        <v>0</v>
      </c>
    </row>
    <row r="434" spans="2:3">
      <c r="B434">
        <f>SUMIFS(allorders!O:O,allorders!L:L,'数据处理(仓储使用)'!$A434,allorders!$AG:$AG,"&lt;="&amp;日期!$B$2,allorders!$AG:$AG,"&gt;="&amp;日期!$B$1)</f>
        <v>0</v>
      </c>
      <c r="C434">
        <f>B434/(日期!$B$2-日期!$B$1+1)</f>
        <v>0</v>
      </c>
    </row>
    <row r="435" spans="2:3">
      <c r="B435">
        <f>SUMIFS(allorders!O:O,allorders!L:L,'数据处理(仓储使用)'!$A435,allorders!$AG:$AG,"&lt;="&amp;日期!$B$2,allorders!$AG:$AG,"&gt;="&amp;日期!$B$1)</f>
        <v>0</v>
      </c>
      <c r="C435">
        <f>B435/(日期!$B$2-日期!$B$1+1)</f>
        <v>0</v>
      </c>
    </row>
    <row r="436" spans="2:3">
      <c r="B436">
        <f>SUMIFS(allorders!O:O,allorders!L:L,'数据处理(仓储使用)'!$A436,allorders!$AG:$AG,"&lt;="&amp;日期!$B$2,allorders!$AG:$AG,"&gt;="&amp;日期!$B$1)</f>
        <v>0</v>
      </c>
      <c r="C436">
        <f>B436/(日期!$B$2-日期!$B$1+1)</f>
        <v>0</v>
      </c>
    </row>
    <row r="437" spans="2:3">
      <c r="B437">
        <f>SUMIFS(allorders!O:O,allorders!L:L,'数据处理(仓储使用)'!$A437,allorders!$AG:$AG,"&lt;="&amp;日期!$B$2,allorders!$AG:$AG,"&gt;="&amp;日期!$B$1)</f>
        <v>0</v>
      </c>
      <c r="C437">
        <f>B437/(日期!$B$2-日期!$B$1+1)</f>
        <v>0</v>
      </c>
    </row>
    <row r="438" spans="2:3">
      <c r="B438">
        <f>SUMIFS(allorders!O:O,allorders!L:L,'数据处理(仓储使用)'!$A438,allorders!$AG:$AG,"&lt;="&amp;日期!$B$2,allorders!$AG:$AG,"&gt;="&amp;日期!$B$1)</f>
        <v>0</v>
      </c>
      <c r="C438">
        <f>B438/(日期!$B$2-日期!$B$1+1)</f>
        <v>0</v>
      </c>
    </row>
    <row r="439" spans="2:3">
      <c r="B439">
        <f>SUMIFS(allorders!O:O,allorders!L:L,'数据处理(仓储使用)'!$A439,allorders!$AG:$AG,"&lt;="&amp;日期!$B$2,allorders!$AG:$AG,"&gt;="&amp;日期!$B$1)</f>
        <v>0</v>
      </c>
      <c r="C439">
        <f>B439/(日期!$B$2-日期!$B$1+1)</f>
        <v>0</v>
      </c>
    </row>
    <row r="440" spans="2:3">
      <c r="B440">
        <f>SUMIFS(allorders!O:O,allorders!L:L,'数据处理(仓储使用)'!$A440,allorders!$AG:$AG,"&lt;="&amp;日期!$B$2,allorders!$AG:$AG,"&gt;="&amp;日期!$B$1)</f>
        <v>0</v>
      </c>
      <c r="C440">
        <f>B440/(日期!$B$2-日期!$B$1+1)</f>
        <v>0</v>
      </c>
    </row>
    <row r="441" spans="2:3">
      <c r="B441">
        <f>SUMIFS(allorders!O:O,allorders!L:L,'数据处理(仓储使用)'!$A441,allorders!$AG:$AG,"&lt;="&amp;日期!$B$2,allorders!$AG:$AG,"&gt;="&amp;日期!$B$1)</f>
        <v>0</v>
      </c>
      <c r="C441">
        <f>B441/(日期!$B$2-日期!$B$1+1)</f>
        <v>0</v>
      </c>
    </row>
    <row r="442" spans="2:3">
      <c r="B442">
        <f>SUMIFS(allorders!O:O,allorders!L:L,'数据处理(仓储使用)'!$A442,allorders!$AG:$AG,"&lt;="&amp;日期!$B$2,allorders!$AG:$AG,"&gt;="&amp;日期!$B$1)</f>
        <v>0</v>
      </c>
      <c r="C442">
        <f>B442/(日期!$B$2-日期!$B$1+1)</f>
        <v>0</v>
      </c>
    </row>
    <row r="443" spans="2:3">
      <c r="B443">
        <f>SUMIFS(allorders!O:O,allorders!L:L,'数据处理(仓储使用)'!$A443,allorders!$AG:$AG,"&lt;="&amp;日期!$B$2,allorders!$AG:$AG,"&gt;="&amp;日期!$B$1)</f>
        <v>0</v>
      </c>
      <c r="C443">
        <f>B443/(日期!$B$2-日期!$B$1+1)</f>
        <v>0</v>
      </c>
    </row>
    <row r="444" spans="2:3">
      <c r="B444">
        <f>SUMIFS(allorders!O:O,allorders!L:L,'数据处理(仓储使用)'!$A444,allorders!$AG:$AG,"&lt;="&amp;日期!$B$2,allorders!$AG:$AG,"&gt;="&amp;日期!$B$1)</f>
        <v>0</v>
      </c>
      <c r="C444">
        <f>B444/(日期!$B$2-日期!$B$1+1)</f>
        <v>0</v>
      </c>
    </row>
    <row r="445" spans="2:3">
      <c r="B445">
        <f>SUMIFS(allorders!O:O,allorders!L:L,'数据处理(仓储使用)'!$A445,allorders!$AG:$AG,"&lt;="&amp;日期!$B$2,allorders!$AG:$AG,"&gt;="&amp;日期!$B$1)</f>
        <v>0</v>
      </c>
      <c r="C445">
        <f>B445/(日期!$B$2-日期!$B$1+1)</f>
        <v>0</v>
      </c>
    </row>
    <row r="446" spans="2:3">
      <c r="B446">
        <f>SUMIFS(allorders!O:O,allorders!L:L,'数据处理(仓储使用)'!$A446,allorders!$AG:$AG,"&lt;="&amp;日期!$B$2,allorders!$AG:$AG,"&gt;="&amp;日期!$B$1)</f>
        <v>0</v>
      </c>
      <c r="C446">
        <f>B446/(日期!$B$2-日期!$B$1+1)</f>
        <v>0</v>
      </c>
    </row>
    <row r="447" spans="2:3">
      <c r="B447">
        <f>SUMIFS(allorders!O:O,allorders!L:L,'数据处理(仓储使用)'!$A447,allorders!$AG:$AG,"&lt;="&amp;日期!$B$2,allorders!$AG:$AG,"&gt;="&amp;日期!$B$1)</f>
        <v>0</v>
      </c>
      <c r="C447">
        <f>B447/(日期!$B$2-日期!$B$1+1)</f>
        <v>0</v>
      </c>
    </row>
    <row r="448" spans="2:3">
      <c r="B448">
        <f>SUMIFS(allorders!O:O,allorders!L:L,'数据处理(仓储使用)'!$A448,allorders!$AG:$AG,"&lt;="&amp;日期!$B$2,allorders!$AG:$AG,"&gt;="&amp;日期!$B$1)</f>
        <v>0</v>
      </c>
      <c r="C448">
        <f>B448/(日期!$B$2-日期!$B$1+1)</f>
        <v>0</v>
      </c>
    </row>
    <row r="449" spans="2:3">
      <c r="B449">
        <f>SUMIFS(allorders!O:O,allorders!L:L,'数据处理(仓储使用)'!$A449,allorders!$AG:$AG,"&lt;="&amp;日期!$B$2,allorders!$AG:$AG,"&gt;="&amp;日期!$B$1)</f>
        <v>0</v>
      </c>
      <c r="C449">
        <f>B449/(日期!$B$2-日期!$B$1+1)</f>
        <v>0</v>
      </c>
    </row>
    <row r="450" spans="2:3">
      <c r="B450">
        <f>SUMIFS(allorders!O:O,allorders!L:L,'数据处理(仓储使用)'!$A450,allorders!$AG:$AG,"&lt;="&amp;日期!$B$2,allorders!$AG:$AG,"&gt;="&amp;日期!$B$1)</f>
        <v>0</v>
      </c>
      <c r="C450">
        <f>B450/(日期!$B$2-日期!$B$1+1)</f>
        <v>0</v>
      </c>
    </row>
    <row r="451" spans="2:3">
      <c r="B451">
        <f>SUMIFS(allorders!O:O,allorders!L:L,'数据处理(仓储使用)'!$A451,allorders!$AG:$AG,"&lt;="&amp;日期!$B$2,allorders!$AG:$AG,"&gt;="&amp;日期!$B$1)</f>
        <v>0</v>
      </c>
      <c r="C451">
        <f>B451/(日期!$B$2-日期!$B$1+1)</f>
        <v>0</v>
      </c>
    </row>
    <row r="452" spans="2:3">
      <c r="B452">
        <f>SUMIFS(allorders!O:O,allorders!L:L,'数据处理(仓储使用)'!$A452,allorders!$AG:$AG,"&lt;="&amp;日期!$B$2,allorders!$AG:$AG,"&gt;="&amp;日期!$B$1)</f>
        <v>0</v>
      </c>
      <c r="C452">
        <f>B452/(日期!$B$2-日期!$B$1+1)</f>
        <v>0</v>
      </c>
    </row>
    <row r="453" spans="2:3">
      <c r="B453">
        <f>SUMIFS(allorders!O:O,allorders!L:L,'数据处理(仓储使用)'!$A453,allorders!$AG:$AG,"&lt;="&amp;日期!$B$2,allorders!$AG:$AG,"&gt;="&amp;日期!$B$1)</f>
        <v>0</v>
      </c>
      <c r="C453">
        <f>B453/(日期!$B$2-日期!$B$1+1)</f>
        <v>0</v>
      </c>
    </row>
    <row r="454" spans="2:3">
      <c r="B454">
        <f>SUMIFS(allorders!O:O,allorders!L:L,'数据处理(仓储使用)'!$A454,allorders!$AG:$AG,"&lt;="&amp;日期!$B$2,allorders!$AG:$AG,"&gt;="&amp;日期!$B$1)</f>
        <v>0</v>
      </c>
      <c r="C454">
        <f>B454/(日期!$B$2-日期!$B$1+1)</f>
        <v>0</v>
      </c>
    </row>
    <row r="455" spans="2:3">
      <c r="B455">
        <f>SUMIFS(allorders!O:O,allorders!L:L,'数据处理(仓储使用)'!$A455,allorders!$AG:$AG,"&lt;="&amp;日期!$B$2,allorders!$AG:$AG,"&gt;="&amp;日期!$B$1)</f>
        <v>0</v>
      </c>
      <c r="C455">
        <f>B455/(日期!$B$2-日期!$B$1+1)</f>
        <v>0</v>
      </c>
    </row>
    <row r="456" spans="2:3">
      <c r="B456">
        <f>SUMIFS(allorders!O:O,allorders!L:L,'数据处理(仓储使用)'!$A456,allorders!$AG:$AG,"&lt;="&amp;日期!$B$2,allorders!$AG:$AG,"&gt;="&amp;日期!$B$1)</f>
        <v>0</v>
      </c>
      <c r="C456">
        <f>B456/(日期!$B$2-日期!$B$1+1)</f>
        <v>0</v>
      </c>
    </row>
    <row r="457" spans="2:3">
      <c r="B457">
        <f>SUMIFS(allorders!O:O,allorders!L:L,'数据处理(仓储使用)'!$A457,allorders!$AG:$AG,"&lt;="&amp;日期!$B$2,allorders!$AG:$AG,"&gt;="&amp;日期!$B$1)</f>
        <v>0</v>
      </c>
      <c r="C457">
        <f>B457/(日期!$B$2-日期!$B$1+1)</f>
        <v>0</v>
      </c>
    </row>
    <row r="458" spans="2:3">
      <c r="B458">
        <f>SUMIFS(allorders!O:O,allorders!L:L,'数据处理(仓储使用)'!$A458,allorders!$AG:$AG,"&lt;="&amp;日期!$B$2,allorders!$AG:$AG,"&gt;="&amp;日期!$B$1)</f>
        <v>0</v>
      </c>
      <c r="C458">
        <f>B458/(日期!$B$2-日期!$B$1+1)</f>
        <v>0</v>
      </c>
    </row>
    <row r="459" spans="2:3">
      <c r="B459">
        <f>SUMIFS(allorders!O:O,allorders!L:L,'数据处理(仓储使用)'!$A459,allorders!$AG:$AG,"&lt;="&amp;日期!$B$2,allorders!$AG:$AG,"&gt;="&amp;日期!$B$1)</f>
        <v>0</v>
      </c>
      <c r="C459">
        <f>B459/(日期!$B$2-日期!$B$1+1)</f>
        <v>0</v>
      </c>
    </row>
    <row r="460" spans="2:3">
      <c r="B460">
        <f>SUMIFS(allorders!O:O,allorders!L:L,'数据处理(仓储使用)'!$A460,allorders!$AG:$AG,"&lt;="&amp;日期!$B$2,allorders!$AG:$AG,"&gt;="&amp;日期!$B$1)</f>
        <v>0</v>
      </c>
      <c r="C460">
        <f>B460/(日期!$B$2-日期!$B$1+1)</f>
        <v>0</v>
      </c>
    </row>
    <row r="461" spans="2:3">
      <c r="B461">
        <f>SUMIFS(allorders!O:O,allorders!L:L,'数据处理(仓储使用)'!$A461,allorders!$AG:$AG,"&lt;="&amp;日期!$B$2,allorders!$AG:$AG,"&gt;="&amp;日期!$B$1)</f>
        <v>0</v>
      </c>
      <c r="C461">
        <f>B461/(日期!$B$2-日期!$B$1+1)</f>
        <v>0</v>
      </c>
    </row>
    <row r="462" spans="2:3">
      <c r="B462">
        <f>SUMIFS(allorders!O:O,allorders!L:L,'数据处理(仓储使用)'!$A462,allorders!$AG:$AG,"&lt;="&amp;日期!$B$2,allorders!$AG:$AG,"&gt;="&amp;日期!$B$1)</f>
        <v>0</v>
      </c>
      <c r="C462">
        <f>B462/(日期!$B$2-日期!$B$1+1)</f>
        <v>0</v>
      </c>
    </row>
    <row r="463" spans="2:3">
      <c r="B463">
        <f>SUMIFS(allorders!O:O,allorders!L:L,'数据处理(仓储使用)'!$A463,allorders!$AG:$AG,"&lt;="&amp;日期!$B$2,allorders!$AG:$AG,"&gt;="&amp;日期!$B$1)</f>
        <v>0</v>
      </c>
      <c r="C463">
        <f>B463/(日期!$B$2-日期!$B$1+1)</f>
        <v>0</v>
      </c>
    </row>
    <row r="464" spans="2:3">
      <c r="B464">
        <f>SUMIFS(allorders!O:O,allorders!L:L,'数据处理(仓储使用)'!$A464,allorders!$AG:$AG,"&lt;="&amp;日期!$B$2,allorders!$AG:$AG,"&gt;="&amp;日期!$B$1)</f>
        <v>0</v>
      </c>
      <c r="C464">
        <f>B464/(日期!$B$2-日期!$B$1+1)</f>
        <v>0</v>
      </c>
    </row>
    <row r="465" spans="2:3">
      <c r="B465">
        <f>SUMIFS(allorders!O:O,allorders!L:L,'数据处理(仓储使用)'!$A465,allorders!$AG:$AG,"&lt;="&amp;日期!$B$2,allorders!$AG:$AG,"&gt;="&amp;日期!$B$1)</f>
        <v>0</v>
      </c>
      <c r="C465">
        <f>B465/(日期!$B$2-日期!$B$1+1)</f>
        <v>0</v>
      </c>
    </row>
    <row r="466" spans="2:3">
      <c r="B466">
        <f>SUMIFS(allorders!O:O,allorders!L:L,'数据处理(仓储使用)'!$A466,allorders!$AG:$AG,"&lt;="&amp;日期!$B$2,allorders!$AG:$AG,"&gt;="&amp;日期!$B$1)</f>
        <v>0</v>
      </c>
      <c r="C466">
        <f>B466/(日期!$B$2-日期!$B$1+1)</f>
        <v>0</v>
      </c>
    </row>
    <row r="467" spans="2:3">
      <c r="B467">
        <f>SUMIFS(allorders!O:O,allorders!L:L,'数据处理(仓储使用)'!$A467,allorders!$AG:$AG,"&lt;="&amp;日期!$B$2,allorders!$AG:$AG,"&gt;="&amp;日期!$B$1)</f>
        <v>0</v>
      </c>
      <c r="C467">
        <f>B467/(日期!$B$2-日期!$B$1+1)</f>
        <v>0</v>
      </c>
    </row>
    <row r="468" spans="2:3">
      <c r="B468">
        <f>SUMIFS(allorders!O:O,allorders!L:L,'数据处理(仓储使用)'!$A468,allorders!$AG:$AG,"&lt;="&amp;日期!$B$2,allorders!$AG:$AG,"&gt;="&amp;日期!$B$1)</f>
        <v>0</v>
      </c>
      <c r="C468">
        <f>B468/(日期!$B$2-日期!$B$1+1)</f>
        <v>0</v>
      </c>
    </row>
    <row r="469" spans="2:3">
      <c r="B469">
        <f>SUMIFS(allorders!O:O,allorders!L:L,'数据处理(仓储使用)'!$A469,allorders!$AG:$AG,"&lt;="&amp;日期!$B$2,allorders!$AG:$AG,"&gt;="&amp;日期!$B$1)</f>
        <v>0</v>
      </c>
      <c r="C469">
        <f>B469/(日期!$B$2-日期!$B$1+1)</f>
        <v>0</v>
      </c>
    </row>
    <row r="470" spans="2:3">
      <c r="B470">
        <f>SUMIFS(allorders!O:O,allorders!L:L,'数据处理(仓储使用)'!$A470,allorders!$AG:$AG,"&lt;="&amp;日期!$B$2,allorders!$AG:$AG,"&gt;="&amp;日期!$B$1)</f>
        <v>0</v>
      </c>
      <c r="C470">
        <f>B470/(日期!$B$2-日期!$B$1+1)</f>
        <v>0</v>
      </c>
    </row>
    <row r="471" spans="2:3">
      <c r="B471">
        <f>SUMIFS(allorders!O:O,allorders!L:L,'数据处理(仓储使用)'!$A471,allorders!$AG:$AG,"&lt;="&amp;日期!$B$2,allorders!$AG:$AG,"&gt;="&amp;日期!$B$1)</f>
        <v>0</v>
      </c>
      <c r="C471">
        <f>B471/(日期!$B$2-日期!$B$1+1)</f>
        <v>0</v>
      </c>
    </row>
    <row r="472" spans="2:3">
      <c r="B472">
        <f>SUMIFS(allorders!O:O,allorders!L:L,'数据处理(仓储使用)'!$A472,allorders!$AG:$AG,"&lt;="&amp;日期!$B$2,allorders!$AG:$AG,"&gt;="&amp;日期!$B$1)</f>
        <v>0</v>
      </c>
      <c r="C472">
        <f>B472/(日期!$B$2-日期!$B$1+1)</f>
        <v>0</v>
      </c>
    </row>
    <row r="473" spans="2:3">
      <c r="B473">
        <f>SUMIFS(allorders!O:O,allorders!L:L,'数据处理(仓储使用)'!$A473,allorders!$AG:$AG,"&lt;="&amp;日期!$B$2,allorders!$AG:$AG,"&gt;="&amp;日期!$B$1)</f>
        <v>0</v>
      </c>
      <c r="C473">
        <f>B473/(日期!$B$2-日期!$B$1+1)</f>
        <v>0</v>
      </c>
    </row>
    <row r="474" spans="2:3">
      <c r="B474">
        <f>SUMIFS(allorders!O:O,allorders!L:L,'数据处理(仓储使用)'!$A474,allorders!$AG:$AG,"&lt;="&amp;日期!$B$2,allorders!$AG:$AG,"&gt;="&amp;日期!$B$1)</f>
        <v>0</v>
      </c>
      <c r="C474">
        <f>B474/(日期!$B$2-日期!$B$1+1)</f>
        <v>0</v>
      </c>
    </row>
    <row r="475" spans="2:3">
      <c r="B475">
        <f>SUMIFS(allorders!O:O,allorders!L:L,'数据处理(仓储使用)'!$A475,allorders!$AG:$AG,"&lt;="&amp;日期!$B$2,allorders!$AG:$AG,"&gt;="&amp;日期!$B$1)</f>
        <v>0</v>
      </c>
      <c r="C475">
        <f>B475/(日期!$B$2-日期!$B$1+1)</f>
        <v>0</v>
      </c>
    </row>
    <row r="476" spans="2:3">
      <c r="B476">
        <f>SUMIFS(allorders!O:O,allorders!L:L,'数据处理(仓储使用)'!$A476,allorders!$AG:$AG,"&lt;="&amp;日期!$B$2,allorders!$AG:$AG,"&gt;="&amp;日期!$B$1)</f>
        <v>0</v>
      </c>
      <c r="C476">
        <f>B476/(日期!$B$2-日期!$B$1+1)</f>
        <v>0</v>
      </c>
    </row>
    <row r="477" spans="2:3">
      <c r="B477">
        <f>SUMIFS(allorders!O:O,allorders!L:L,'数据处理(仓储使用)'!$A477,allorders!$AG:$AG,"&lt;="&amp;日期!$B$2,allorders!$AG:$AG,"&gt;="&amp;日期!$B$1)</f>
        <v>0</v>
      </c>
      <c r="C477">
        <f>B477/(日期!$B$2-日期!$B$1+1)</f>
        <v>0</v>
      </c>
    </row>
    <row r="478" spans="2:3">
      <c r="B478">
        <f>SUMIFS(allorders!O:O,allorders!L:L,'数据处理(仓储使用)'!$A478,allorders!$AG:$AG,"&lt;="&amp;日期!$B$2,allorders!$AG:$AG,"&gt;="&amp;日期!$B$1)</f>
        <v>0</v>
      </c>
      <c r="C478">
        <f>B478/(日期!$B$2-日期!$B$1+1)</f>
        <v>0</v>
      </c>
    </row>
    <row r="479" spans="2:3">
      <c r="B479">
        <f>SUMIFS(allorders!O:O,allorders!L:L,'数据处理(仓储使用)'!$A479,allorders!$AG:$AG,"&lt;="&amp;日期!$B$2,allorders!$AG:$AG,"&gt;="&amp;日期!$B$1)</f>
        <v>0</v>
      </c>
      <c r="C479">
        <f>B479/(日期!$B$2-日期!$B$1+1)</f>
        <v>0</v>
      </c>
    </row>
    <row r="480" spans="2:3">
      <c r="B480">
        <f>SUMIFS(allorders!O:O,allorders!L:L,'数据处理(仓储使用)'!$A480,allorders!$AG:$AG,"&lt;="&amp;日期!$B$2,allorders!$AG:$AG,"&gt;="&amp;日期!$B$1)</f>
        <v>0</v>
      </c>
      <c r="C480">
        <f>B480/(日期!$B$2-日期!$B$1+1)</f>
        <v>0</v>
      </c>
    </row>
    <row r="481" spans="2:3">
      <c r="B481">
        <f>SUMIFS(allorders!O:O,allorders!L:L,'数据处理(仓储使用)'!$A481,allorders!$AG:$AG,"&lt;="&amp;日期!$B$2,allorders!$AG:$AG,"&gt;="&amp;日期!$B$1)</f>
        <v>0</v>
      </c>
      <c r="C481">
        <f>B481/(日期!$B$2-日期!$B$1+1)</f>
        <v>0</v>
      </c>
    </row>
    <row r="482" spans="2:3">
      <c r="B482">
        <f>SUMIFS(allorders!O:O,allorders!L:L,'数据处理(仓储使用)'!$A482,allorders!$AG:$AG,"&lt;="&amp;日期!$B$2,allorders!$AG:$AG,"&gt;="&amp;日期!$B$1)</f>
        <v>0</v>
      </c>
      <c r="C482">
        <f>B482/(日期!$B$2-日期!$B$1+1)</f>
        <v>0</v>
      </c>
    </row>
    <row r="483" spans="2:3">
      <c r="B483">
        <f>SUMIFS(allorders!O:O,allorders!L:L,'数据处理(仓储使用)'!$A483,allorders!$AG:$AG,"&lt;="&amp;日期!$B$2,allorders!$AG:$AG,"&gt;="&amp;日期!$B$1)</f>
        <v>0</v>
      </c>
      <c r="C483">
        <f>B483/(日期!$B$2-日期!$B$1+1)</f>
        <v>0</v>
      </c>
    </row>
    <row r="484" spans="2:3">
      <c r="B484">
        <f>SUMIFS(allorders!O:O,allorders!L:L,'数据处理(仓储使用)'!$A484,allorders!$AG:$AG,"&lt;="&amp;日期!$B$2,allorders!$AG:$AG,"&gt;="&amp;日期!$B$1)</f>
        <v>0</v>
      </c>
      <c r="C484">
        <f>B484/(日期!$B$2-日期!$B$1+1)</f>
        <v>0</v>
      </c>
    </row>
    <row r="485" spans="2:3">
      <c r="B485">
        <f>SUMIFS(allorders!O:O,allorders!L:L,'数据处理(仓储使用)'!$A485,allorders!$AG:$AG,"&lt;="&amp;日期!$B$2,allorders!$AG:$AG,"&gt;="&amp;日期!$B$1)</f>
        <v>0</v>
      </c>
      <c r="C485">
        <f>B485/(日期!$B$2-日期!$B$1+1)</f>
        <v>0</v>
      </c>
    </row>
    <row r="486" spans="2:3">
      <c r="B486">
        <f>SUMIFS(allorders!O:O,allorders!L:L,'数据处理(仓储使用)'!$A486,allorders!$AG:$AG,"&lt;="&amp;日期!$B$2,allorders!$AG:$AG,"&gt;="&amp;日期!$B$1)</f>
        <v>0</v>
      </c>
      <c r="C486">
        <f>B486/(日期!$B$2-日期!$B$1+1)</f>
        <v>0</v>
      </c>
    </row>
    <row r="487" spans="2:3">
      <c r="B487">
        <f>SUMIFS(allorders!O:O,allorders!L:L,'数据处理(仓储使用)'!$A487,allorders!$AG:$AG,"&lt;="&amp;日期!$B$2,allorders!$AG:$AG,"&gt;="&amp;日期!$B$1)</f>
        <v>0</v>
      </c>
      <c r="C487">
        <f>B487/(日期!$B$2-日期!$B$1+1)</f>
        <v>0</v>
      </c>
    </row>
    <row r="488" spans="2:3">
      <c r="B488">
        <f>SUMIFS(allorders!O:O,allorders!L:L,'数据处理(仓储使用)'!$A488,allorders!$AG:$AG,"&lt;="&amp;日期!$B$2,allorders!$AG:$AG,"&gt;="&amp;日期!$B$1)</f>
        <v>0</v>
      </c>
      <c r="C488">
        <f>B488/(日期!$B$2-日期!$B$1+1)</f>
        <v>0</v>
      </c>
    </row>
    <row r="489" spans="2:3">
      <c r="B489">
        <f>SUMIFS(allorders!O:O,allorders!L:L,'数据处理(仓储使用)'!$A489,allorders!$AG:$AG,"&lt;="&amp;日期!$B$2,allorders!$AG:$AG,"&gt;="&amp;日期!$B$1)</f>
        <v>0</v>
      </c>
      <c r="C489">
        <f>B489/(日期!$B$2-日期!$B$1+1)</f>
        <v>0</v>
      </c>
    </row>
    <row r="490" spans="2:3">
      <c r="B490">
        <f>SUMIFS(allorders!O:O,allorders!L:L,'数据处理(仓储使用)'!$A490,allorders!$AG:$AG,"&lt;="&amp;日期!$B$2,allorders!$AG:$AG,"&gt;="&amp;日期!$B$1)</f>
        <v>0</v>
      </c>
      <c r="C490">
        <f>B490/(日期!$B$2-日期!$B$1+1)</f>
        <v>0</v>
      </c>
    </row>
    <row r="491" spans="2:3">
      <c r="B491">
        <f>SUMIFS(allorders!O:O,allorders!L:L,'数据处理(仓储使用)'!$A491,allorders!$AG:$AG,"&lt;="&amp;日期!$B$2,allorders!$AG:$AG,"&gt;="&amp;日期!$B$1)</f>
        <v>0</v>
      </c>
      <c r="C491">
        <f>B491/(日期!$B$2-日期!$B$1+1)</f>
        <v>0</v>
      </c>
    </row>
    <row r="492" spans="2:3">
      <c r="B492">
        <f>SUMIFS(allorders!O:O,allorders!L:L,'数据处理(仓储使用)'!$A492,allorders!$AG:$AG,"&lt;="&amp;日期!$B$2,allorders!$AG:$AG,"&gt;="&amp;日期!$B$1)</f>
        <v>0</v>
      </c>
      <c r="C492">
        <f>B492/(日期!$B$2-日期!$B$1+1)</f>
        <v>0</v>
      </c>
    </row>
    <row r="493" spans="2:3">
      <c r="B493">
        <f>SUMIFS(allorders!O:O,allorders!L:L,'数据处理(仓储使用)'!$A493,allorders!$AG:$AG,"&lt;="&amp;日期!$B$2,allorders!$AG:$AG,"&gt;="&amp;日期!$B$1)</f>
        <v>0</v>
      </c>
      <c r="C493">
        <f>B493/(日期!$B$2-日期!$B$1+1)</f>
        <v>0</v>
      </c>
    </row>
    <row r="494" spans="2:3">
      <c r="B494">
        <f>SUMIFS(allorders!O:O,allorders!L:L,'数据处理(仓储使用)'!$A494,allorders!$AG:$AG,"&lt;="&amp;日期!$B$2,allorders!$AG:$AG,"&gt;="&amp;日期!$B$1)</f>
        <v>0</v>
      </c>
      <c r="C494">
        <f>B494/(日期!$B$2-日期!$B$1+1)</f>
        <v>0</v>
      </c>
    </row>
    <row r="495" spans="2:3">
      <c r="B495">
        <f>SUMIFS(allorders!O:O,allorders!L:L,'数据处理(仓储使用)'!$A495,allorders!$AG:$AG,"&lt;="&amp;日期!$B$2,allorders!$AG:$AG,"&gt;="&amp;日期!$B$1)</f>
        <v>0</v>
      </c>
      <c r="C495">
        <f>B495/(日期!$B$2-日期!$B$1+1)</f>
        <v>0</v>
      </c>
    </row>
    <row r="496" spans="2:3">
      <c r="B496">
        <f>SUMIFS(allorders!O:O,allorders!L:L,'数据处理(仓储使用)'!$A496,allorders!$AG:$AG,"&lt;="&amp;日期!$B$2,allorders!$AG:$AG,"&gt;="&amp;日期!$B$1)</f>
        <v>0</v>
      </c>
      <c r="C496">
        <f>B496/(日期!$B$2-日期!$B$1+1)</f>
        <v>0</v>
      </c>
    </row>
    <row r="497" spans="2:3">
      <c r="B497">
        <f>SUMIFS(allorders!O:O,allorders!L:L,'数据处理(仓储使用)'!$A497,allorders!$AG:$AG,"&lt;="&amp;日期!$B$2,allorders!$AG:$AG,"&gt;="&amp;日期!$B$1)</f>
        <v>0</v>
      </c>
      <c r="C497">
        <f>B497/(日期!$B$2-日期!$B$1+1)</f>
        <v>0</v>
      </c>
    </row>
    <row r="498" spans="2:3">
      <c r="B498">
        <f>SUMIFS(allorders!O:O,allorders!L:L,'数据处理(仓储使用)'!$A498,allorders!$AG:$AG,"&lt;="&amp;日期!$B$2,allorders!$AG:$AG,"&gt;="&amp;日期!$B$1)</f>
        <v>0</v>
      </c>
      <c r="C498">
        <f>B498/(日期!$B$2-日期!$B$1+1)</f>
        <v>0</v>
      </c>
    </row>
    <row r="499" spans="2:3">
      <c r="B499">
        <f>SUMIFS(allorders!O:O,allorders!L:L,'数据处理(仓储使用)'!$A499,allorders!$AG:$AG,"&lt;="&amp;日期!$B$2,allorders!$AG:$AG,"&gt;="&amp;日期!$B$1)</f>
        <v>0</v>
      </c>
      <c r="C499">
        <f>B499/(日期!$B$2-日期!$B$1+1)</f>
        <v>0</v>
      </c>
    </row>
    <row r="500" spans="2:3">
      <c r="B500">
        <f>SUMIFS(allorders!O:O,allorders!L:L,'数据处理(仓储使用)'!$A500,allorders!$AG:$AG,"&lt;="&amp;日期!$B$2,allorders!$AG:$AG,"&gt;="&amp;日期!$B$1)</f>
        <v>0</v>
      </c>
      <c r="C500">
        <f>B500/(日期!$B$2-日期!$B$1+1)</f>
        <v>0</v>
      </c>
    </row>
    <row r="501" spans="2:3">
      <c r="B501">
        <f>SUMIFS(allorders!O:O,allorders!L:L,'数据处理(仓储使用)'!$A501,allorders!$AG:$AG,"&lt;="&amp;日期!$B$2,allorders!$AG:$AG,"&gt;="&amp;日期!$B$1)</f>
        <v>0</v>
      </c>
      <c r="C501">
        <f>B501/(日期!$B$2-日期!$B$1+1)</f>
        <v>0</v>
      </c>
    </row>
    <row r="502" spans="2:3">
      <c r="B502">
        <f>SUMIFS(allorders!O:O,allorders!L:L,'数据处理(仓储使用)'!$A502,allorders!$AG:$AG,"&lt;="&amp;日期!$B$2,allorders!$AG:$AG,"&gt;="&amp;日期!$B$1)</f>
        <v>0</v>
      </c>
      <c r="C502">
        <f>B502/(日期!$B$2-日期!$B$1+1)</f>
        <v>0</v>
      </c>
    </row>
    <row r="503" spans="2:3">
      <c r="B503">
        <f>SUMIFS(allorders!O:O,allorders!L:L,'数据处理(仓储使用)'!$A503,allorders!$AG:$AG,"&lt;="&amp;日期!$B$2,allorders!$AG:$AG,"&gt;="&amp;日期!$B$1)</f>
        <v>0</v>
      </c>
      <c r="C503">
        <f>B503/(日期!$B$2-日期!$B$1+1)</f>
        <v>0</v>
      </c>
    </row>
    <row r="504" spans="2:3">
      <c r="B504">
        <f>SUMIFS(allorders!O:O,allorders!L:L,'数据处理(仓储使用)'!$A504,allorders!$AG:$AG,"&lt;="&amp;日期!$B$2,allorders!$AG:$AG,"&gt;="&amp;日期!$B$1)</f>
        <v>0</v>
      </c>
      <c r="C504">
        <f>B504/(日期!$B$2-日期!$B$1+1)</f>
        <v>0</v>
      </c>
    </row>
    <row r="505" spans="2:3">
      <c r="B505">
        <f>SUMIFS(allorders!O:O,allorders!L:L,'数据处理(仓储使用)'!$A505,allorders!$AG:$AG,"&lt;="&amp;日期!$B$2,allorders!$AG:$AG,"&gt;="&amp;日期!$B$1)</f>
        <v>0</v>
      </c>
      <c r="C505">
        <f>B505/(日期!$B$2-日期!$B$1+1)</f>
        <v>0</v>
      </c>
    </row>
    <row r="506" spans="2:3">
      <c r="B506">
        <f>SUMIFS(allorders!O:O,allorders!L:L,'数据处理(仓储使用)'!$A506,allorders!$AG:$AG,"&lt;="&amp;日期!$B$2,allorders!$AG:$AG,"&gt;="&amp;日期!$B$1)</f>
        <v>0</v>
      </c>
      <c r="C506">
        <f>B506/(日期!$B$2-日期!$B$1+1)</f>
        <v>0</v>
      </c>
    </row>
    <row r="507" spans="2:3">
      <c r="B507">
        <f>SUMIFS(allorders!O:O,allorders!L:L,'数据处理(仓储使用)'!$A507,allorders!$AG:$AG,"&lt;="&amp;日期!$B$2,allorders!$AG:$AG,"&gt;="&amp;日期!$B$1)</f>
        <v>0</v>
      </c>
      <c r="C507">
        <f>B507/(日期!$B$2-日期!$B$1+1)</f>
        <v>0</v>
      </c>
    </row>
    <row r="508" spans="2:3">
      <c r="B508">
        <f>SUMIFS(allorders!O:O,allorders!L:L,'数据处理(仓储使用)'!$A508,allorders!$AG:$AG,"&lt;="&amp;日期!$B$2,allorders!$AG:$AG,"&gt;="&amp;日期!$B$1)</f>
        <v>0</v>
      </c>
      <c r="C508">
        <f>B508/(日期!$B$2-日期!$B$1+1)</f>
        <v>0</v>
      </c>
    </row>
    <row r="509" spans="2:3">
      <c r="B509">
        <f>SUMIFS(allorders!O:O,allorders!L:L,'数据处理(仓储使用)'!$A509,allorders!$AG:$AG,"&lt;="&amp;日期!$B$2,allorders!$AG:$AG,"&gt;="&amp;日期!$B$1)</f>
        <v>0</v>
      </c>
      <c r="C509">
        <f>B509/(日期!$B$2-日期!$B$1+1)</f>
        <v>0</v>
      </c>
    </row>
    <row r="510" spans="2:3">
      <c r="B510">
        <f>SUMIFS(allorders!O:O,allorders!L:L,'数据处理(仓储使用)'!$A510,allorders!$AG:$AG,"&lt;="&amp;日期!$B$2,allorders!$AG:$AG,"&gt;="&amp;日期!$B$1)</f>
        <v>0</v>
      </c>
      <c r="C510">
        <f>B510/(日期!$B$2-日期!$B$1+1)</f>
        <v>0</v>
      </c>
    </row>
    <row r="511" spans="2:3">
      <c r="B511">
        <f>SUMIFS(allorders!O:O,allorders!L:L,'数据处理(仓储使用)'!$A511,allorders!$AG:$AG,"&lt;="&amp;日期!$B$2,allorders!$AG:$AG,"&gt;="&amp;日期!$B$1)</f>
        <v>0</v>
      </c>
      <c r="C511">
        <f>B511/(日期!$B$2-日期!$B$1+1)</f>
        <v>0</v>
      </c>
    </row>
    <row r="512" spans="2:3">
      <c r="B512">
        <f>SUMIFS(allorders!O:O,allorders!L:L,'数据处理(仓储使用)'!$A512,allorders!$AG:$AG,"&lt;="&amp;日期!$B$2,allorders!$AG:$AG,"&gt;="&amp;日期!$B$1)</f>
        <v>0</v>
      </c>
      <c r="C512">
        <f>B512/(日期!$B$2-日期!$B$1+1)</f>
        <v>0</v>
      </c>
    </row>
    <row r="513" spans="2:3">
      <c r="B513">
        <f>SUMIFS(allorders!O:O,allorders!L:L,'数据处理(仓储使用)'!$A513,allorders!$AG:$AG,"&lt;="&amp;日期!$B$2,allorders!$AG:$AG,"&gt;="&amp;日期!$B$1)</f>
        <v>0</v>
      </c>
      <c r="C513">
        <f>B513/(日期!$B$2-日期!$B$1+1)</f>
        <v>0</v>
      </c>
    </row>
    <row r="514" spans="2:3">
      <c r="B514">
        <f>SUMIFS(allorders!O:O,allorders!L:L,'数据处理(仓储使用)'!$A514,allorders!$AG:$AG,"&lt;="&amp;日期!$B$2,allorders!$AG:$AG,"&gt;="&amp;日期!$B$1)</f>
        <v>0</v>
      </c>
      <c r="C514">
        <f>B514/(日期!$B$2-日期!$B$1+1)</f>
        <v>0</v>
      </c>
    </row>
    <row r="515" spans="2:3">
      <c r="B515">
        <f>SUMIFS(allorders!O:O,allorders!L:L,'数据处理(仓储使用)'!$A515,allorders!$AG:$AG,"&lt;="&amp;日期!$B$2,allorders!$AG:$AG,"&gt;="&amp;日期!$B$1)</f>
        <v>0</v>
      </c>
      <c r="C515">
        <f>B515/(日期!$B$2-日期!$B$1+1)</f>
        <v>0</v>
      </c>
    </row>
    <row r="516" spans="2:3">
      <c r="B516">
        <f>SUMIFS(allorders!O:O,allorders!L:L,'数据处理(仓储使用)'!$A516,allorders!$AG:$AG,"&lt;="&amp;日期!$B$2,allorders!$AG:$AG,"&gt;="&amp;日期!$B$1)</f>
        <v>0</v>
      </c>
      <c r="C516">
        <f>B516/(日期!$B$2-日期!$B$1+1)</f>
        <v>0</v>
      </c>
    </row>
    <row r="517" spans="2:3">
      <c r="B517">
        <f>SUMIFS(allorders!O:O,allorders!L:L,'数据处理(仓储使用)'!$A517,allorders!$AG:$AG,"&lt;="&amp;日期!$B$2,allorders!$AG:$AG,"&gt;="&amp;日期!$B$1)</f>
        <v>0</v>
      </c>
      <c r="C517">
        <f>B517/(日期!$B$2-日期!$B$1+1)</f>
        <v>0</v>
      </c>
    </row>
    <row r="518" spans="2:3">
      <c r="B518">
        <f>SUMIFS(allorders!O:O,allorders!L:L,'数据处理(仓储使用)'!$A518,allorders!$AG:$AG,"&lt;="&amp;日期!$B$2,allorders!$AG:$AG,"&gt;="&amp;日期!$B$1)</f>
        <v>0</v>
      </c>
      <c r="C518">
        <f>B518/(日期!$B$2-日期!$B$1+1)</f>
        <v>0</v>
      </c>
    </row>
    <row r="519" spans="2:3">
      <c r="B519">
        <f>SUMIFS(allorders!O:O,allorders!L:L,'数据处理(仓储使用)'!$A519,allorders!$AG:$AG,"&lt;="&amp;日期!$B$2,allorders!$AG:$AG,"&gt;="&amp;日期!$B$1)</f>
        <v>0</v>
      </c>
      <c r="C519">
        <f>B519/(日期!$B$2-日期!$B$1+1)</f>
        <v>0</v>
      </c>
    </row>
    <row r="520" spans="2:3">
      <c r="B520">
        <f>SUMIFS(allorders!O:O,allorders!L:L,'数据处理(仓储使用)'!$A520,allorders!$AG:$AG,"&lt;="&amp;日期!$B$2,allorders!$AG:$AG,"&gt;="&amp;日期!$B$1)</f>
        <v>0</v>
      </c>
      <c r="C520">
        <f>B520/(日期!$B$2-日期!$B$1+1)</f>
        <v>0</v>
      </c>
    </row>
    <row r="521" spans="2:3">
      <c r="B521">
        <f>SUMIFS(allorders!O:O,allorders!L:L,'数据处理(仓储使用)'!$A521,allorders!$AG:$AG,"&lt;="&amp;日期!$B$2,allorders!$AG:$AG,"&gt;="&amp;日期!$B$1)</f>
        <v>0</v>
      </c>
      <c r="C521">
        <f>B521/(日期!$B$2-日期!$B$1+1)</f>
        <v>0</v>
      </c>
    </row>
    <row r="522" spans="2:3">
      <c r="B522">
        <f>SUMIFS(allorders!O:O,allorders!L:L,'数据处理(仓储使用)'!$A522,allorders!$AG:$AG,"&lt;="&amp;日期!$B$2,allorders!$AG:$AG,"&gt;="&amp;日期!$B$1)</f>
        <v>0</v>
      </c>
      <c r="C522">
        <f>B522/(日期!$B$2-日期!$B$1+1)</f>
        <v>0</v>
      </c>
    </row>
    <row r="523" spans="2:3">
      <c r="B523">
        <f>SUMIFS(allorders!O:O,allorders!L:L,'数据处理(仓储使用)'!$A523,allorders!$AG:$AG,"&lt;="&amp;日期!$B$2,allorders!$AG:$AG,"&gt;="&amp;日期!$B$1)</f>
        <v>0</v>
      </c>
      <c r="C523">
        <f>B523/(日期!$B$2-日期!$B$1+1)</f>
        <v>0</v>
      </c>
    </row>
    <row r="524" spans="2:3">
      <c r="B524">
        <f>SUMIFS(allorders!O:O,allorders!L:L,'数据处理(仓储使用)'!$A524,allorders!$AG:$AG,"&lt;="&amp;日期!$B$2,allorders!$AG:$AG,"&gt;="&amp;日期!$B$1)</f>
        <v>0</v>
      </c>
      <c r="C524">
        <f>B524/(日期!$B$2-日期!$B$1+1)</f>
        <v>0</v>
      </c>
    </row>
    <row r="525" spans="2:3">
      <c r="B525">
        <f>SUMIFS(allorders!O:O,allorders!L:L,'数据处理(仓储使用)'!$A525,allorders!$AG:$AG,"&lt;="&amp;日期!$B$2,allorders!$AG:$AG,"&gt;="&amp;日期!$B$1)</f>
        <v>0</v>
      </c>
      <c r="C525">
        <f>B525/(日期!$B$2-日期!$B$1+1)</f>
        <v>0</v>
      </c>
    </row>
    <row r="526" spans="2:3">
      <c r="B526">
        <f>SUMIFS(allorders!O:O,allorders!L:L,'数据处理(仓储使用)'!$A526,allorders!$AG:$AG,"&lt;="&amp;日期!$B$2,allorders!$AG:$AG,"&gt;="&amp;日期!$B$1)</f>
        <v>0</v>
      </c>
      <c r="C526">
        <f>B526/(日期!$B$2-日期!$B$1+1)</f>
        <v>0</v>
      </c>
    </row>
    <row r="527" spans="2:3">
      <c r="B527">
        <f>SUMIFS(allorders!O:O,allorders!L:L,'数据处理(仓储使用)'!$A527,allorders!$AG:$AG,"&lt;="&amp;日期!$B$2,allorders!$AG:$AG,"&gt;="&amp;日期!$B$1)</f>
        <v>0</v>
      </c>
      <c r="C527">
        <f>B527/(日期!$B$2-日期!$B$1+1)</f>
        <v>0</v>
      </c>
    </row>
    <row r="528" spans="2:3">
      <c r="B528">
        <f>SUMIFS(allorders!O:O,allorders!L:L,'数据处理(仓储使用)'!$A528,allorders!$AG:$AG,"&lt;="&amp;日期!$B$2,allorders!$AG:$AG,"&gt;="&amp;日期!$B$1)</f>
        <v>0</v>
      </c>
      <c r="C528">
        <f>B528/(日期!$B$2-日期!$B$1+1)</f>
        <v>0</v>
      </c>
    </row>
    <row r="529" spans="2:3">
      <c r="B529">
        <f>SUMIFS(allorders!O:O,allorders!L:L,'数据处理(仓储使用)'!$A529,allorders!$AG:$AG,"&lt;="&amp;日期!$B$2,allorders!$AG:$AG,"&gt;="&amp;日期!$B$1)</f>
        <v>0</v>
      </c>
      <c r="C529">
        <f>B529/(日期!$B$2-日期!$B$1+1)</f>
        <v>0</v>
      </c>
    </row>
    <row r="530" spans="2:3">
      <c r="B530">
        <f>SUMIFS(allorders!O:O,allorders!L:L,'数据处理(仓储使用)'!$A530,allorders!$AG:$AG,"&lt;="&amp;日期!$B$2,allorders!$AG:$AG,"&gt;="&amp;日期!$B$1)</f>
        <v>0</v>
      </c>
      <c r="C530">
        <f>B530/(日期!$B$2-日期!$B$1+1)</f>
        <v>0</v>
      </c>
    </row>
    <row r="531" spans="2:3">
      <c r="B531">
        <f>SUMIFS(allorders!O:O,allorders!L:L,'数据处理(仓储使用)'!$A531,allorders!$AG:$AG,"&lt;="&amp;日期!$B$2,allorders!$AG:$AG,"&gt;="&amp;日期!$B$1)</f>
        <v>0</v>
      </c>
      <c r="C531">
        <f>B531/(日期!$B$2-日期!$B$1+1)</f>
        <v>0</v>
      </c>
    </row>
    <row r="532" spans="2:3">
      <c r="B532">
        <f>SUMIFS(allorders!O:O,allorders!L:L,'数据处理(仓储使用)'!$A532,allorders!$AG:$AG,"&lt;="&amp;日期!$B$2,allorders!$AG:$AG,"&gt;="&amp;日期!$B$1)</f>
        <v>0</v>
      </c>
      <c r="C532">
        <f>B532/(日期!$B$2-日期!$B$1+1)</f>
        <v>0</v>
      </c>
    </row>
    <row r="533" spans="2:3">
      <c r="B533">
        <f>SUMIFS(allorders!O:O,allorders!L:L,'数据处理(仓储使用)'!$A533,allorders!$AG:$AG,"&lt;="&amp;日期!$B$2,allorders!$AG:$AG,"&gt;="&amp;日期!$B$1)</f>
        <v>0</v>
      </c>
      <c r="C533">
        <f>B533/(日期!$B$2-日期!$B$1+1)</f>
        <v>0</v>
      </c>
    </row>
    <row r="534" spans="2:3">
      <c r="B534">
        <f>SUMIFS(allorders!O:O,allorders!L:L,'数据处理(仓储使用)'!$A534,allorders!$AG:$AG,"&lt;="&amp;日期!$B$2,allorders!$AG:$AG,"&gt;="&amp;日期!$B$1)</f>
        <v>0</v>
      </c>
      <c r="C534">
        <f>B534/(日期!$B$2-日期!$B$1+1)</f>
        <v>0</v>
      </c>
    </row>
    <row r="535" spans="2:3">
      <c r="B535">
        <f>SUMIFS(allorders!O:O,allorders!L:L,'数据处理(仓储使用)'!$A535,allorders!$AG:$AG,"&lt;="&amp;日期!$B$2,allorders!$AG:$AG,"&gt;="&amp;日期!$B$1)</f>
        <v>0</v>
      </c>
      <c r="C535">
        <f>B535/(日期!$B$2-日期!$B$1+1)</f>
        <v>0</v>
      </c>
    </row>
    <row r="536" spans="2:3">
      <c r="B536">
        <f>SUMIFS(allorders!O:O,allorders!L:L,'数据处理(仓储使用)'!$A536,allorders!$AG:$AG,"&lt;="&amp;日期!$B$2,allorders!$AG:$AG,"&gt;="&amp;日期!$B$1)</f>
        <v>0</v>
      </c>
      <c r="C536">
        <f>B536/(日期!$B$2-日期!$B$1+1)</f>
        <v>0</v>
      </c>
    </row>
    <row r="537" spans="2:3">
      <c r="B537">
        <f>SUMIFS(allorders!O:O,allorders!L:L,'数据处理(仓储使用)'!$A537,allorders!$AG:$AG,"&lt;="&amp;日期!$B$2,allorders!$AG:$AG,"&gt;="&amp;日期!$B$1)</f>
        <v>0</v>
      </c>
      <c r="C537">
        <f>B537/(日期!$B$2-日期!$B$1+1)</f>
        <v>0</v>
      </c>
    </row>
    <row r="538" spans="2:3">
      <c r="B538">
        <f>SUMIFS(allorders!O:O,allorders!L:L,'数据处理(仓储使用)'!$A538,allorders!$AG:$AG,"&lt;="&amp;日期!$B$2,allorders!$AG:$AG,"&gt;="&amp;日期!$B$1)</f>
        <v>0</v>
      </c>
      <c r="C538">
        <f>B538/(日期!$B$2-日期!$B$1+1)</f>
        <v>0</v>
      </c>
    </row>
    <row r="539" spans="2:3">
      <c r="B539">
        <f>SUMIFS(allorders!O:O,allorders!L:L,'数据处理(仓储使用)'!$A539,allorders!$AG:$AG,"&lt;="&amp;日期!$B$2,allorders!$AG:$AG,"&gt;="&amp;日期!$B$1)</f>
        <v>0</v>
      </c>
      <c r="C539">
        <f>B539/(日期!$B$2-日期!$B$1+1)</f>
        <v>0</v>
      </c>
    </row>
    <row r="540" spans="2:3">
      <c r="B540">
        <f>SUMIFS(allorders!O:O,allorders!L:L,'数据处理(仓储使用)'!$A540,allorders!$AG:$AG,"&lt;="&amp;日期!$B$2,allorders!$AG:$AG,"&gt;="&amp;日期!$B$1)</f>
        <v>0</v>
      </c>
      <c r="C540">
        <f>B540/(日期!$B$2-日期!$B$1+1)</f>
        <v>0</v>
      </c>
    </row>
    <row r="541" spans="2:3">
      <c r="B541">
        <f>SUMIFS(allorders!O:O,allorders!L:L,'数据处理(仓储使用)'!$A541,allorders!$AG:$AG,"&lt;="&amp;日期!$B$2,allorders!$AG:$AG,"&gt;="&amp;日期!$B$1)</f>
        <v>0</v>
      </c>
      <c r="C541">
        <f>B541/(日期!$B$2-日期!$B$1+1)</f>
        <v>0</v>
      </c>
    </row>
    <row r="542" spans="2:3">
      <c r="B542">
        <f>SUMIFS(allorders!O:O,allorders!L:L,'数据处理(仓储使用)'!$A542,allorders!$AG:$AG,"&lt;="&amp;日期!$B$2,allorders!$AG:$AG,"&gt;="&amp;日期!$B$1)</f>
        <v>0</v>
      </c>
      <c r="C542">
        <f>B542/(日期!$B$2-日期!$B$1+1)</f>
        <v>0</v>
      </c>
    </row>
    <row r="543" spans="2:3">
      <c r="B543">
        <f>SUMIFS(allorders!O:O,allorders!L:L,'数据处理(仓储使用)'!$A543,allorders!$AG:$AG,"&lt;="&amp;日期!$B$2,allorders!$AG:$AG,"&gt;="&amp;日期!$B$1)</f>
        <v>0</v>
      </c>
      <c r="C543">
        <f>B543/(日期!$B$2-日期!$B$1+1)</f>
        <v>0</v>
      </c>
    </row>
    <row r="544" spans="2:3">
      <c r="B544">
        <f>SUMIFS(allorders!O:O,allorders!L:L,'数据处理(仓储使用)'!$A544,allorders!$AG:$AG,"&lt;="&amp;日期!$B$2,allorders!$AG:$AG,"&gt;="&amp;日期!$B$1)</f>
        <v>0</v>
      </c>
      <c r="C544">
        <f>B544/(日期!$B$2-日期!$B$1+1)</f>
        <v>0</v>
      </c>
    </row>
    <row r="545" spans="2:3">
      <c r="B545">
        <f>SUMIFS(allorders!O:O,allorders!L:L,'数据处理(仓储使用)'!$A545,allorders!$AG:$AG,"&lt;="&amp;日期!$B$2,allorders!$AG:$AG,"&gt;="&amp;日期!$B$1)</f>
        <v>0</v>
      </c>
      <c r="C545">
        <f>B545/(日期!$B$2-日期!$B$1+1)</f>
        <v>0</v>
      </c>
    </row>
    <row r="546" spans="2:3">
      <c r="B546">
        <f>SUMIFS(allorders!O:O,allorders!L:L,'数据处理(仓储使用)'!$A546,allorders!$AG:$AG,"&lt;="&amp;日期!$B$2,allorders!$AG:$AG,"&gt;="&amp;日期!$B$1)</f>
        <v>0</v>
      </c>
      <c r="C546">
        <f>B546/(日期!$B$2-日期!$B$1+1)</f>
        <v>0</v>
      </c>
    </row>
    <row r="547" spans="2:3">
      <c r="B547">
        <f>SUMIFS(allorders!O:O,allorders!L:L,'数据处理(仓储使用)'!$A547,allorders!$AG:$AG,"&lt;="&amp;日期!$B$2,allorders!$AG:$AG,"&gt;="&amp;日期!$B$1)</f>
        <v>0</v>
      </c>
      <c r="C547">
        <f>B547/(日期!$B$2-日期!$B$1+1)</f>
        <v>0</v>
      </c>
    </row>
    <row r="548" spans="2:3">
      <c r="B548">
        <f>SUMIFS(allorders!O:O,allorders!L:L,'数据处理(仓储使用)'!$A548,allorders!$AG:$AG,"&lt;="&amp;日期!$B$2,allorders!$AG:$AG,"&gt;="&amp;日期!$B$1)</f>
        <v>0</v>
      </c>
      <c r="C548">
        <f>B548/(日期!$B$2-日期!$B$1+1)</f>
        <v>0</v>
      </c>
    </row>
    <row r="549" spans="2:3">
      <c r="B549">
        <f>SUMIFS(allorders!O:O,allorders!L:L,'数据处理(仓储使用)'!$A549,allorders!$AG:$AG,"&lt;="&amp;日期!$B$2,allorders!$AG:$AG,"&gt;="&amp;日期!$B$1)</f>
        <v>0</v>
      </c>
      <c r="C549">
        <f>B549/(日期!$B$2-日期!$B$1+1)</f>
        <v>0</v>
      </c>
    </row>
    <row r="550" spans="2:3">
      <c r="B550">
        <f>SUMIFS(allorders!O:O,allorders!L:L,'数据处理(仓储使用)'!$A550,allorders!$AG:$AG,"&lt;="&amp;日期!$B$2,allorders!$AG:$AG,"&gt;="&amp;日期!$B$1)</f>
        <v>0</v>
      </c>
      <c r="C550">
        <f>B550/(日期!$B$2-日期!$B$1+1)</f>
        <v>0</v>
      </c>
    </row>
    <row r="551" spans="2:3">
      <c r="B551">
        <f>SUMIFS(allorders!O:O,allorders!L:L,'数据处理(仓储使用)'!$A551,allorders!$AG:$AG,"&lt;="&amp;日期!$B$2,allorders!$AG:$AG,"&gt;="&amp;日期!$B$1)</f>
        <v>0</v>
      </c>
      <c r="C551">
        <f>B551/(日期!$B$2-日期!$B$1+1)</f>
        <v>0</v>
      </c>
    </row>
    <row r="552" spans="2:3">
      <c r="B552">
        <f>SUMIFS(allorders!O:O,allorders!L:L,'数据处理(仓储使用)'!$A552,allorders!$AG:$AG,"&lt;="&amp;日期!$B$2,allorders!$AG:$AG,"&gt;="&amp;日期!$B$1)</f>
        <v>0</v>
      </c>
      <c r="C552">
        <f>B552/(日期!$B$2-日期!$B$1+1)</f>
        <v>0</v>
      </c>
    </row>
    <row r="553" spans="2:3">
      <c r="B553">
        <f>SUMIFS(allorders!O:O,allorders!L:L,'数据处理(仓储使用)'!$A553,allorders!$AG:$AG,"&lt;="&amp;日期!$B$2,allorders!$AG:$AG,"&gt;="&amp;日期!$B$1)</f>
        <v>0</v>
      </c>
      <c r="C553">
        <f>B553/(日期!$B$2-日期!$B$1+1)</f>
        <v>0</v>
      </c>
    </row>
    <row r="554" spans="2:3">
      <c r="B554">
        <f>SUMIFS(allorders!O:O,allorders!L:L,'数据处理(仓储使用)'!$A554,allorders!$AG:$AG,"&lt;="&amp;日期!$B$2,allorders!$AG:$AG,"&gt;="&amp;日期!$B$1)</f>
        <v>0</v>
      </c>
      <c r="C554">
        <f>B554/(日期!$B$2-日期!$B$1+1)</f>
        <v>0</v>
      </c>
    </row>
    <row r="555" spans="2:3">
      <c r="B555">
        <f>SUMIFS(allorders!O:O,allorders!L:L,'数据处理(仓储使用)'!$A555,allorders!$AG:$AG,"&lt;="&amp;日期!$B$2,allorders!$AG:$AG,"&gt;="&amp;日期!$B$1)</f>
        <v>0</v>
      </c>
      <c r="C555">
        <f>B555/(日期!$B$2-日期!$B$1+1)</f>
        <v>0</v>
      </c>
    </row>
    <row r="556" spans="2:3">
      <c r="B556">
        <f>SUMIFS(allorders!O:O,allorders!L:L,'数据处理(仓储使用)'!$A556,allorders!$AG:$AG,"&lt;="&amp;日期!$B$2,allorders!$AG:$AG,"&gt;="&amp;日期!$B$1)</f>
        <v>0</v>
      </c>
      <c r="C556">
        <f>B556/(日期!$B$2-日期!$B$1+1)</f>
        <v>0</v>
      </c>
    </row>
    <row r="557" spans="2:3">
      <c r="B557">
        <f>SUMIFS(allorders!O:O,allorders!L:L,'数据处理(仓储使用)'!$A557,allorders!$AG:$AG,"&lt;="&amp;日期!$B$2,allorders!$AG:$AG,"&gt;="&amp;日期!$B$1)</f>
        <v>0</v>
      </c>
      <c r="C557">
        <f>B557/(日期!$B$2-日期!$B$1+1)</f>
        <v>0</v>
      </c>
    </row>
    <row r="558" spans="2:3">
      <c r="B558">
        <f>SUMIFS(allorders!O:O,allorders!L:L,'数据处理(仓储使用)'!$A558,allorders!$AG:$AG,"&lt;="&amp;日期!$B$2,allorders!$AG:$AG,"&gt;="&amp;日期!$B$1)</f>
        <v>0</v>
      </c>
      <c r="C558">
        <f>B558/(日期!$B$2-日期!$B$1+1)</f>
        <v>0</v>
      </c>
    </row>
    <row r="559" spans="2:3">
      <c r="B559">
        <f>SUMIFS(allorders!O:O,allorders!L:L,'数据处理(仓储使用)'!$A559,allorders!$AG:$AG,"&lt;="&amp;日期!$B$2,allorders!$AG:$AG,"&gt;="&amp;日期!$B$1)</f>
        <v>0</v>
      </c>
      <c r="C559">
        <f>B559/(日期!$B$2-日期!$B$1+1)</f>
        <v>0</v>
      </c>
    </row>
    <row r="560" spans="2:3">
      <c r="B560">
        <f>SUMIFS(allorders!O:O,allorders!L:L,'数据处理(仓储使用)'!$A560,allorders!$AG:$AG,"&lt;="&amp;日期!$B$2,allorders!$AG:$AG,"&gt;="&amp;日期!$B$1)</f>
        <v>0</v>
      </c>
      <c r="C560">
        <f>B560/(日期!$B$2-日期!$B$1+1)</f>
        <v>0</v>
      </c>
    </row>
    <row r="561" spans="2:3">
      <c r="B561">
        <f>SUMIFS(allorders!O:O,allorders!L:L,'数据处理(仓储使用)'!$A561,allorders!$AG:$AG,"&lt;="&amp;日期!$B$2,allorders!$AG:$AG,"&gt;="&amp;日期!$B$1)</f>
        <v>0</v>
      </c>
      <c r="C561">
        <f>B561/(日期!$B$2-日期!$B$1+1)</f>
        <v>0</v>
      </c>
    </row>
    <row r="562" spans="2:3">
      <c r="B562">
        <f>SUMIFS(allorders!O:O,allorders!L:L,'数据处理(仓储使用)'!$A562,allorders!$AG:$AG,"&lt;="&amp;日期!$B$2,allorders!$AG:$AG,"&gt;="&amp;日期!$B$1)</f>
        <v>0</v>
      </c>
      <c r="C562">
        <f>B562/(日期!$B$2-日期!$B$1+1)</f>
        <v>0</v>
      </c>
    </row>
    <row r="563" spans="2:3">
      <c r="B563">
        <f>SUMIFS(allorders!O:O,allorders!L:L,'数据处理(仓储使用)'!$A563,allorders!$AG:$AG,"&lt;="&amp;日期!$B$2,allorders!$AG:$AG,"&gt;="&amp;日期!$B$1)</f>
        <v>0</v>
      </c>
      <c r="C563">
        <f>B563/(日期!$B$2-日期!$B$1+1)</f>
        <v>0</v>
      </c>
    </row>
    <row r="564" spans="2:3">
      <c r="B564">
        <f>SUMIFS(allorders!O:O,allorders!L:L,'数据处理(仓储使用)'!$A564,allorders!$AG:$AG,"&lt;="&amp;日期!$B$2,allorders!$AG:$AG,"&gt;="&amp;日期!$B$1)</f>
        <v>0</v>
      </c>
      <c r="C564">
        <f>B564/(日期!$B$2-日期!$B$1+1)</f>
        <v>0</v>
      </c>
    </row>
    <row r="565" spans="2:3">
      <c r="B565">
        <f>SUMIFS(allorders!O:O,allorders!L:L,'数据处理(仓储使用)'!$A565,allorders!$AG:$AG,"&lt;="&amp;日期!$B$2,allorders!$AG:$AG,"&gt;="&amp;日期!$B$1)</f>
        <v>0</v>
      </c>
      <c r="C565">
        <f>B565/(日期!$B$2-日期!$B$1+1)</f>
        <v>0</v>
      </c>
    </row>
    <row r="566" spans="2:3">
      <c r="B566">
        <f>SUMIFS(allorders!O:O,allorders!L:L,'数据处理(仓储使用)'!$A566,allorders!$AG:$AG,"&lt;="&amp;日期!$B$2,allorders!$AG:$AG,"&gt;="&amp;日期!$B$1)</f>
        <v>0</v>
      </c>
      <c r="C566">
        <f>B566/(日期!$B$2-日期!$B$1+1)</f>
        <v>0</v>
      </c>
    </row>
    <row r="567" spans="2:3">
      <c r="B567">
        <f>SUMIFS(allorders!O:O,allorders!L:L,'数据处理(仓储使用)'!$A567,allorders!$AG:$AG,"&lt;="&amp;日期!$B$2,allorders!$AG:$AG,"&gt;="&amp;日期!$B$1)</f>
        <v>0</v>
      </c>
      <c r="C567">
        <f>B567/(日期!$B$2-日期!$B$1+1)</f>
        <v>0</v>
      </c>
    </row>
    <row r="568" spans="2:3">
      <c r="B568">
        <f>SUMIFS(allorders!O:O,allorders!L:L,'数据处理(仓储使用)'!$A568,allorders!$AG:$AG,"&lt;="&amp;日期!$B$2,allorders!$AG:$AG,"&gt;="&amp;日期!$B$1)</f>
        <v>0</v>
      </c>
      <c r="C568">
        <f>B568/(日期!$B$2-日期!$B$1+1)</f>
        <v>0</v>
      </c>
    </row>
    <row r="569" spans="2:3">
      <c r="B569">
        <f>SUMIFS(allorders!O:O,allorders!L:L,'数据处理(仓储使用)'!$A569,allorders!$AG:$AG,"&lt;="&amp;日期!$B$2,allorders!$AG:$AG,"&gt;="&amp;日期!$B$1)</f>
        <v>0</v>
      </c>
      <c r="C569">
        <f>B569/(日期!$B$2-日期!$B$1+1)</f>
        <v>0</v>
      </c>
    </row>
    <row r="570" spans="2:3">
      <c r="B570">
        <f>SUMIFS(allorders!O:O,allorders!L:L,'数据处理(仓储使用)'!$A570,allorders!$AG:$AG,"&lt;="&amp;日期!$B$2,allorders!$AG:$AG,"&gt;="&amp;日期!$B$1)</f>
        <v>0</v>
      </c>
      <c r="C570">
        <f>B570/(日期!$B$2-日期!$B$1+1)</f>
        <v>0</v>
      </c>
    </row>
    <row r="571" spans="2:3">
      <c r="B571">
        <f>SUMIFS(allorders!O:O,allorders!L:L,'数据处理(仓储使用)'!$A571,allorders!$AG:$AG,"&lt;="&amp;日期!$B$2,allorders!$AG:$AG,"&gt;="&amp;日期!$B$1)</f>
        <v>0</v>
      </c>
      <c r="C571">
        <f>B571/(日期!$B$2-日期!$B$1+1)</f>
        <v>0</v>
      </c>
    </row>
    <row r="572" spans="2:3">
      <c r="B572">
        <f>SUMIFS(allorders!O:O,allorders!L:L,'数据处理(仓储使用)'!$A572,allorders!$AG:$AG,"&lt;="&amp;日期!$B$2,allorders!$AG:$AG,"&gt;="&amp;日期!$B$1)</f>
        <v>0</v>
      </c>
      <c r="C572">
        <f>B572/(日期!$B$2-日期!$B$1+1)</f>
        <v>0</v>
      </c>
    </row>
    <row r="573" spans="2:3">
      <c r="B573">
        <f>SUMIFS(allorders!O:O,allorders!L:L,'数据处理(仓储使用)'!$A573,allorders!$AG:$AG,"&lt;="&amp;日期!$B$2,allorders!$AG:$AG,"&gt;="&amp;日期!$B$1)</f>
        <v>0</v>
      </c>
      <c r="C573">
        <f>B573/(日期!$B$2-日期!$B$1+1)</f>
        <v>0</v>
      </c>
    </row>
    <row r="574" spans="2:3">
      <c r="B574">
        <f>SUMIFS(allorders!O:O,allorders!L:L,'数据处理(仓储使用)'!$A574,allorders!$AG:$AG,"&lt;="&amp;日期!$B$2,allorders!$AG:$AG,"&gt;="&amp;日期!$B$1)</f>
        <v>0</v>
      </c>
      <c r="C574">
        <f>B574/(日期!$B$2-日期!$B$1+1)</f>
        <v>0</v>
      </c>
    </row>
    <row r="575" spans="2:3">
      <c r="B575">
        <f>SUMIFS(allorders!O:O,allorders!L:L,'数据处理(仓储使用)'!$A575,allorders!$AG:$AG,"&lt;="&amp;日期!$B$2,allorders!$AG:$AG,"&gt;="&amp;日期!$B$1)</f>
        <v>0</v>
      </c>
      <c r="C575">
        <f>B575/(日期!$B$2-日期!$B$1+1)</f>
        <v>0</v>
      </c>
    </row>
    <row r="576" spans="2:3">
      <c r="B576">
        <f>SUMIFS(allorders!O:O,allorders!L:L,'数据处理(仓储使用)'!$A576,allorders!$AG:$AG,"&lt;="&amp;日期!$B$2,allorders!$AG:$AG,"&gt;="&amp;日期!$B$1)</f>
        <v>0</v>
      </c>
      <c r="C576">
        <f>B576/(日期!$B$2-日期!$B$1+1)</f>
        <v>0</v>
      </c>
    </row>
    <row r="577" spans="2:3">
      <c r="B577">
        <f>SUMIFS(allorders!O:O,allorders!L:L,'数据处理(仓储使用)'!$A577,allorders!$AG:$AG,"&lt;="&amp;日期!$B$2,allorders!$AG:$AG,"&gt;="&amp;日期!$B$1)</f>
        <v>0</v>
      </c>
      <c r="C577">
        <f>B577/(日期!$B$2-日期!$B$1+1)</f>
        <v>0</v>
      </c>
    </row>
    <row r="578" spans="2:3">
      <c r="B578">
        <f>SUMIFS(allorders!O:O,allorders!L:L,'数据处理(仓储使用)'!$A578,allorders!$AG:$AG,"&lt;="&amp;日期!$B$2,allorders!$AG:$AG,"&gt;="&amp;日期!$B$1)</f>
        <v>0</v>
      </c>
      <c r="C578">
        <f>B578/(日期!$B$2-日期!$B$1+1)</f>
        <v>0</v>
      </c>
    </row>
    <row r="579" spans="2:3">
      <c r="B579">
        <f>SUMIFS(allorders!O:O,allorders!L:L,'数据处理(仓储使用)'!$A579,allorders!$AG:$AG,"&lt;="&amp;日期!$B$2,allorders!$AG:$AG,"&gt;="&amp;日期!$B$1)</f>
        <v>0</v>
      </c>
      <c r="C579">
        <f>B579/(日期!$B$2-日期!$B$1+1)</f>
        <v>0</v>
      </c>
    </row>
    <row r="580" spans="2:3">
      <c r="B580">
        <f>SUMIFS(allorders!O:O,allorders!L:L,'数据处理(仓储使用)'!$A580,allorders!$AG:$AG,"&lt;="&amp;日期!$B$2,allorders!$AG:$AG,"&gt;="&amp;日期!$B$1)</f>
        <v>0</v>
      </c>
      <c r="C580">
        <f>B580/(日期!$B$2-日期!$B$1+1)</f>
        <v>0</v>
      </c>
    </row>
    <row r="581" spans="2:3">
      <c r="B581">
        <f>SUMIFS(allorders!O:O,allorders!L:L,'数据处理(仓储使用)'!$A581,allorders!$AG:$AG,"&lt;="&amp;日期!$B$2,allorders!$AG:$AG,"&gt;="&amp;日期!$B$1)</f>
        <v>0</v>
      </c>
      <c r="C581">
        <f>B581/(日期!$B$2-日期!$B$1+1)</f>
        <v>0</v>
      </c>
    </row>
    <row r="582" spans="2:3">
      <c r="B582">
        <f>SUMIFS(allorders!O:O,allorders!L:L,'数据处理(仓储使用)'!$A582,allorders!$AG:$AG,"&lt;="&amp;日期!$B$2,allorders!$AG:$AG,"&gt;="&amp;日期!$B$1)</f>
        <v>0</v>
      </c>
      <c r="C582">
        <f>B582/(日期!$B$2-日期!$B$1+1)</f>
        <v>0</v>
      </c>
    </row>
    <row r="583" spans="2:3">
      <c r="B583">
        <f>SUMIFS(allorders!O:O,allorders!L:L,'数据处理(仓储使用)'!$A583,allorders!$AG:$AG,"&lt;="&amp;日期!$B$2,allorders!$AG:$AG,"&gt;="&amp;日期!$B$1)</f>
        <v>0</v>
      </c>
      <c r="C583">
        <f>B583/(日期!$B$2-日期!$B$1+1)</f>
        <v>0</v>
      </c>
    </row>
    <row r="584" spans="2:3">
      <c r="B584">
        <f>SUMIFS(allorders!O:O,allorders!L:L,'数据处理(仓储使用)'!$A584,allorders!$AG:$AG,"&lt;="&amp;日期!$B$2,allorders!$AG:$AG,"&gt;="&amp;日期!$B$1)</f>
        <v>0</v>
      </c>
      <c r="C584">
        <f>B584/(日期!$B$2-日期!$B$1+1)</f>
        <v>0</v>
      </c>
    </row>
    <row r="585" spans="2:3">
      <c r="B585">
        <f>SUMIFS(allorders!O:O,allorders!L:L,'数据处理(仓储使用)'!$A585,allorders!$AG:$AG,"&lt;="&amp;日期!$B$2,allorders!$AG:$AG,"&gt;="&amp;日期!$B$1)</f>
        <v>0</v>
      </c>
      <c r="C585">
        <f>B585/(日期!$B$2-日期!$B$1+1)</f>
        <v>0</v>
      </c>
    </row>
    <row r="586" spans="2:3">
      <c r="B586">
        <f>SUMIFS(allorders!O:O,allorders!L:L,'数据处理(仓储使用)'!$A586,allorders!$AG:$AG,"&lt;="&amp;日期!$B$2,allorders!$AG:$AG,"&gt;="&amp;日期!$B$1)</f>
        <v>0</v>
      </c>
      <c r="C586">
        <f>B586/(日期!$B$2-日期!$B$1+1)</f>
        <v>0</v>
      </c>
    </row>
    <row r="587" spans="2:3">
      <c r="B587">
        <f>SUMIFS(allorders!O:O,allorders!L:L,'数据处理(仓储使用)'!$A587,allorders!$AG:$AG,"&lt;="&amp;日期!$B$2,allorders!$AG:$AG,"&gt;="&amp;日期!$B$1)</f>
        <v>0</v>
      </c>
      <c r="C587">
        <f>B587/(日期!$B$2-日期!$B$1+1)</f>
        <v>0</v>
      </c>
    </row>
    <row r="588" spans="2:3">
      <c r="B588">
        <f>SUMIFS(allorders!O:O,allorders!L:L,'数据处理(仓储使用)'!$A588,allorders!$AG:$AG,"&lt;="&amp;日期!$B$2,allorders!$AG:$AG,"&gt;="&amp;日期!$B$1)</f>
        <v>0</v>
      </c>
      <c r="C588">
        <f>B588/(日期!$B$2-日期!$B$1+1)</f>
        <v>0</v>
      </c>
    </row>
    <row r="589" spans="2:3">
      <c r="B589">
        <f>SUMIFS(allorders!O:O,allorders!L:L,'数据处理(仓储使用)'!$A589,allorders!$AG:$AG,"&lt;="&amp;日期!$B$2,allorders!$AG:$AG,"&gt;="&amp;日期!$B$1)</f>
        <v>0</v>
      </c>
      <c r="C589">
        <f>B589/(日期!$B$2-日期!$B$1+1)</f>
        <v>0</v>
      </c>
    </row>
    <row r="590" spans="2:3">
      <c r="B590">
        <f>SUMIFS(allorders!O:O,allorders!L:L,'数据处理(仓储使用)'!$A590,allorders!$AG:$AG,"&lt;="&amp;日期!$B$2,allorders!$AG:$AG,"&gt;="&amp;日期!$B$1)</f>
        <v>0</v>
      </c>
      <c r="C590">
        <f>B590/(日期!$B$2-日期!$B$1+1)</f>
        <v>0</v>
      </c>
    </row>
    <row r="591" spans="2:3">
      <c r="B591">
        <f>SUMIFS(allorders!O:O,allorders!L:L,'数据处理(仓储使用)'!$A591,allorders!$AG:$AG,"&lt;="&amp;日期!$B$2,allorders!$AG:$AG,"&gt;="&amp;日期!$B$1)</f>
        <v>0</v>
      </c>
      <c r="C591">
        <f>B591/(日期!$B$2-日期!$B$1+1)</f>
        <v>0</v>
      </c>
    </row>
    <row r="592" spans="2:3">
      <c r="B592">
        <f>SUMIFS(allorders!O:O,allorders!L:L,'数据处理(仓储使用)'!$A592,allorders!$AG:$AG,"&lt;="&amp;日期!$B$2,allorders!$AG:$AG,"&gt;="&amp;日期!$B$1)</f>
        <v>0</v>
      </c>
      <c r="C592">
        <f>B592/(日期!$B$2-日期!$B$1+1)</f>
        <v>0</v>
      </c>
    </row>
    <row r="593" spans="2:3">
      <c r="B593">
        <f>SUMIFS(allorders!O:O,allorders!L:L,'数据处理(仓储使用)'!$A593,allorders!$AG:$AG,"&lt;="&amp;日期!$B$2,allorders!$AG:$AG,"&gt;="&amp;日期!$B$1)</f>
        <v>0</v>
      </c>
      <c r="C593">
        <f>B593/(日期!$B$2-日期!$B$1+1)</f>
        <v>0</v>
      </c>
    </row>
    <row r="594" spans="2:3">
      <c r="B594">
        <f>SUMIFS(allorders!O:O,allorders!L:L,'数据处理(仓储使用)'!$A594,allorders!$AG:$AG,"&lt;="&amp;日期!$B$2,allorders!$AG:$AG,"&gt;="&amp;日期!$B$1)</f>
        <v>0</v>
      </c>
      <c r="C594">
        <f>B594/(日期!$B$2-日期!$B$1+1)</f>
        <v>0</v>
      </c>
    </row>
    <row r="595" spans="2:3">
      <c r="B595">
        <f>SUMIFS(allorders!O:O,allorders!L:L,'数据处理(仓储使用)'!$A595,allorders!$AG:$AG,"&lt;="&amp;日期!$B$2,allorders!$AG:$AG,"&gt;="&amp;日期!$B$1)</f>
        <v>0</v>
      </c>
      <c r="C595">
        <f>B595/(日期!$B$2-日期!$B$1+1)</f>
        <v>0</v>
      </c>
    </row>
    <row r="596" spans="2:3">
      <c r="B596">
        <f>SUMIFS(allorders!O:O,allorders!L:L,'数据处理(仓储使用)'!$A596,allorders!$AG:$AG,"&lt;="&amp;日期!$B$2,allorders!$AG:$AG,"&gt;="&amp;日期!$B$1)</f>
        <v>0</v>
      </c>
      <c r="C596">
        <f>B596/(日期!$B$2-日期!$B$1+1)</f>
        <v>0</v>
      </c>
    </row>
    <row r="597" spans="2:3">
      <c r="B597">
        <f>SUMIFS(allorders!O:O,allorders!L:L,'数据处理(仓储使用)'!$A597,allorders!$AG:$AG,"&lt;="&amp;日期!$B$2,allorders!$AG:$AG,"&gt;="&amp;日期!$B$1)</f>
        <v>0</v>
      </c>
      <c r="C597">
        <f>B597/(日期!$B$2-日期!$B$1+1)</f>
        <v>0</v>
      </c>
    </row>
    <row r="598" spans="2:3">
      <c r="B598">
        <f>SUMIFS(allorders!O:O,allorders!L:L,'数据处理(仓储使用)'!$A598,allorders!$AG:$AG,"&lt;="&amp;日期!$B$2,allorders!$AG:$AG,"&gt;="&amp;日期!$B$1)</f>
        <v>0</v>
      </c>
      <c r="C598">
        <f>B598/(日期!$B$2-日期!$B$1+1)</f>
        <v>0</v>
      </c>
    </row>
    <row r="599" spans="2:3">
      <c r="B599">
        <f>SUMIFS(allorders!O:O,allorders!L:L,'数据处理(仓储使用)'!$A599,allorders!$AG:$AG,"&lt;="&amp;日期!$B$2,allorders!$AG:$AG,"&gt;="&amp;日期!$B$1)</f>
        <v>0</v>
      </c>
      <c r="C599">
        <f>B599/(日期!$B$2-日期!$B$1+1)</f>
        <v>0</v>
      </c>
    </row>
    <row r="600" spans="2:3">
      <c r="B600">
        <f>SUMIFS(allorders!O:O,allorders!L:L,'数据处理(仓储使用)'!$A600,allorders!$AG:$AG,"&lt;="&amp;日期!$B$2,allorders!$AG:$AG,"&gt;="&amp;日期!$B$1)</f>
        <v>0</v>
      </c>
      <c r="C600">
        <f>B600/(日期!$B$2-日期!$B$1+1)</f>
        <v>0</v>
      </c>
    </row>
    <row r="601" spans="2:3">
      <c r="B601">
        <f>SUMIFS(allorders!O:O,allorders!L:L,'数据处理(仓储使用)'!$A601,allorders!$AG:$AG,"&lt;="&amp;日期!$B$2,allorders!$AG:$AG,"&gt;="&amp;日期!$B$1)</f>
        <v>0</v>
      </c>
      <c r="C601">
        <f>B601/(日期!$B$2-日期!$B$1+1)</f>
        <v>0</v>
      </c>
    </row>
    <row r="602" spans="2:3">
      <c r="B602">
        <f>SUMIFS(allorders!O:O,allorders!L:L,'数据处理(仓储使用)'!$A602,allorders!$AG:$AG,"&lt;="&amp;日期!$B$2,allorders!$AG:$AG,"&gt;="&amp;日期!$B$1)</f>
        <v>0</v>
      </c>
      <c r="C602">
        <f>B602/(日期!$B$2-日期!$B$1+1)</f>
        <v>0</v>
      </c>
    </row>
    <row r="603" spans="2:3">
      <c r="B603">
        <f>SUMIFS(allorders!O:O,allorders!L:L,'数据处理(仓储使用)'!$A603,allorders!$AG:$AG,"&lt;="&amp;日期!$B$2,allorders!$AG:$AG,"&gt;="&amp;日期!$B$1)</f>
        <v>0</v>
      </c>
      <c r="C603">
        <f>B603/(日期!$B$2-日期!$B$1+1)</f>
        <v>0</v>
      </c>
    </row>
    <row r="604" spans="2:3">
      <c r="B604">
        <f>SUMIFS(allorders!O:O,allorders!L:L,'数据处理(仓储使用)'!$A604,allorders!$AG:$AG,"&lt;="&amp;日期!$B$2,allorders!$AG:$AG,"&gt;="&amp;日期!$B$1)</f>
        <v>0</v>
      </c>
      <c r="C604">
        <f>B604/(日期!$B$2-日期!$B$1+1)</f>
        <v>0</v>
      </c>
    </row>
    <row r="605" spans="2:3">
      <c r="B605">
        <f>SUMIFS(allorders!O:O,allorders!L:L,'数据处理(仓储使用)'!$A605,allorders!$AG:$AG,"&lt;="&amp;日期!$B$2,allorders!$AG:$AG,"&gt;="&amp;日期!$B$1)</f>
        <v>0</v>
      </c>
      <c r="C605">
        <f>B605/(日期!$B$2-日期!$B$1+1)</f>
        <v>0</v>
      </c>
    </row>
    <row r="606" spans="2:3">
      <c r="B606">
        <f>SUMIFS(allorders!O:O,allorders!L:L,'数据处理(仓储使用)'!$A606,allorders!$AG:$AG,"&lt;="&amp;日期!$B$2,allorders!$AG:$AG,"&gt;="&amp;日期!$B$1)</f>
        <v>0</v>
      </c>
      <c r="C606">
        <f>B606/(日期!$B$2-日期!$B$1+1)</f>
        <v>0</v>
      </c>
    </row>
    <row r="607" spans="2:3">
      <c r="B607">
        <f>SUMIFS(allorders!O:O,allorders!L:L,'数据处理(仓储使用)'!$A607,allorders!$AG:$AG,"&lt;="&amp;日期!$B$2,allorders!$AG:$AG,"&gt;="&amp;日期!$B$1)</f>
        <v>0</v>
      </c>
      <c r="C607">
        <f>B607/(日期!$B$2-日期!$B$1+1)</f>
        <v>0</v>
      </c>
    </row>
    <row r="608" spans="2:3">
      <c r="B608">
        <f>SUMIFS(allorders!O:O,allorders!L:L,'数据处理(仓储使用)'!$A608,allorders!$AG:$AG,"&lt;="&amp;日期!$B$2,allorders!$AG:$AG,"&gt;="&amp;日期!$B$1)</f>
        <v>0</v>
      </c>
      <c r="C608">
        <f>B608/(日期!$B$2-日期!$B$1+1)</f>
        <v>0</v>
      </c>
    </row>
    <row r="609" spans="2:3">
      <c r="B609">
        <f>SUMIFS(allorders!O:O,allorders!L:L,'数据处理(仓储使用)'!$A609,allorders!$AG:$AG,"&lt;="&amp;日期!$B$2,allorders!$AG:$AG,"&gt;="&amp;日期!$B$1)</f>
        <v>0</v>
      </c>
      <c r="C609">
        <f>B609/(日期!$B$2-日期!$B$1+1)</f>
        <v>0</v>
      </c>
    </row>
    <row r="610" spans="2:3">
      <c r="B610">
        <f>SUMIFS(allorders!O:O,allorders!L:L,'数据处理(仓储使用)'!$A610,allorders!$AG:$AG,"&lt;="&amp;日期!$B$2,allorders!$AG:$AG,"&gt;="&amp;日期!$B$1)</f>
        <v>0</v>
      </c>
      <c r="C610">
        <f>B610/(日期!$B$2-日期!$B$1+1)</f>
        <v>0</v>
      </c>
    </row>
    <row r="611" spans="2:3">
      <c r="B611">
        <f>SUMIFS(allorders!O:O,allorders!L:L,'数据处理(仓储使用)'!$A611,allorders!$AG:$AG,"&lt;="&amp;日期!$B$2,allorders!$AG:$AG,"&gt;="&amp;日期!$B$1)</f>
        <v>0</v>
      </c>
      <c r="C611">
        <f>B611/(日期!$B$2-日期!$B$1+1)</f>
        <v>0</v>
      </c>
    </row>
    <row r="612" spans="2:3">
      <c r="B612">
        <f>SUMIFS(allorders!O:O,allorders!L:L,'数据处理(仓储使用)'!$A612,allorders!$AG:$AG,"&lt;="&amp;日期!$B$2,allorders!$AG:$AG,"&gt;="&amp;日期!$B$1)</f>
        <v>0</v>
      </c>
      <c r="C612">
        <f>B612/(日期!$B$2-日期!$B$1+1)</f>
        <v>0</v>
      </c>
    </row>
    <row r="613" spans="2:3">
      <c r="B613">
        <f>SUMIFS(allorders!O:O,allorders!L:L,'数据处理(仓储使用)'!$A613,allorders!$AG:$AG,"&lt;="&amp;日期!$B$2,allorders!$AG:$AG,"&gt;="&amp;日期!$B$1)</f>
        <v>0</v>
      </c>
      <c r="C613">
        <f>B613/(日期!$B$2-日期!$B$1+1)</f>
        <v>0</v>
      </c>
    </row>
    <row r="614" spans="2:3">
      <c r="B614">
        <f>SUMIFS(allorders!O:O,allorders!L:L,'数据处理(仓储使用)'!$A614,allorders!$AG:$AG,"&lt;="&amp;日期!$B$2,allorders!$AG:$AG,"&gt;="&amp;日期!$B$1)</f>
        <v>0</v>
      </c>
      <c r="C614">
        <f>B614/(日期!$B$2-日期!$B$1+1)</f>
        <v>0</v>
      </c>
    </row>
    <row r="615" spans="2:3">
      <c r="B615">
        <f>SUMIFS(allorders!O:O,allorders!L:L,'数据处理(仓储使用)'!$A615,allorders!$AG:$AG,"&lt;="&amp;日期!$B$2,allorders!$AG:$AG,"&gt;="&amp;日期!$B$1)</f>
        <v>0</v>
      </c>
      <c r="C615">
        <f>B615/(日期!$B$2-日期!$B$1+1)</f>
        <v>0</v>
      </c>
    </row>
    <row r="616" spans="2:3">
      <c r="B616">
        <f>SUMIFS(allorders!O:O,allorders!L:L,'数据处理(仓储使用)'!$A616,allorders!$AG:$AG,"&lt;="&amp;日期!$B$2,allorders!$AG:$AG,"&gt;="&amp;日期!$B$1)</f>
        <v>0</v>
      </c>
      <c r="C616">
        <f>B616/(日期!$B$2-日期!$B$1+1)</f>
        <v>0</v>
      </c>
    </row>
    <row r="617" spans="2:3">
      <c r="B617">
        <f>SUMIFS(allorders!O:O,allorders!L:L,'数据处理(仓储使用)'!$A617,allorders!$AG:$AG,"&lt;="&amp;日期!$B$2,allorders!$AG:$AG,"&gt;="&amp;日期!$B$1)</f>
        <v>0</v>
      </c>
      <c r="C617">
        <f>B617/(日期!$B$2-日期!$B$1+1)</f>
        <v>0</v>
      </c>
    </row>
    <row r="618" spans="2:3">
      <c r="B618">
        <f>SUMIFS(allorders!O:O,allorders!L:L,'数据处理(仓储使用)'!$A618,allorders!$AG:$AG,"&lt;="&amp;日期!$B$2,allorders!$AG:$AG,"&gt;="&amp;日期!$B$1)</f>
        <v>0</v>
      </c>
      <c r="C618">
        <f>B618/(日期!$B$2-日期!$B$1+1)</f>
        <v>0</v>
      </c>
    </row>
    <row r="619" spans="2:3">
      <c r="B619">
        <f>SUMIFS(allorders!O:O,allorders!L:L,'数据处理(仓储使用)'!$A619,allorders!$AG:$AG,"&lt;="&amp;日期!$B$2,allorders!$AG:$AG,"&gt;="&amp;日期!$B$1)</f>
        <v>0</v>
      </c>
      <c r="C619">
        <f>B619/(日期!$B$2-日期!$B$1+1)</f>
        <v>0</v>
      </c>
    </row>
    <row r="620" spans="2:3">
      <c r="B620">
        <f>SUMIFS(allorders!O:O,allorders!L:L,'数据处理(仓储使用)'!$A620,allorders!$AG:$AG,"&lt;="&amp;日期!$B$2,allorders!$AG:$AG,"&gt;="&amp;日期!$B$1)</f>
        <v>0</v>
      </c>
      <c r="C620">
        <f>B620/(日期!$B$2-日期!$B$1+1)</f>
        <v>0</v>
      </c>
    </row>
    <row r="621" spans="2:3">
      <c r="B621">
        <f>SUMIFS(allorders!O:O,allorders!L:L,'数据处理(仓储使用)'!$A621,allorders!$AG:$AG,"&lt;="&amp;日期!$B$2,allorders!$AG:$AG,"&gt;="&amp;日期!$B$1)</f>
        <v>0</v>
      </c>
      <c r="C621">
        <f>B621/(日期!$B$2-日期!$B$1+1)</f>
        <v>0</v>
      </c>
    </row>
    <row r="622" spans="2:3">
      <c r="B622">
        <f>SUMIFS(allorders!O:O,allorders!L:L,'数据处理(仓储使用)'!$A622,allorders!$AG:$AG,"&lt;="&amp;日期!$B$2,allorders!$AG:$AG,"&gt;="&amp;日期!$B$1)</f>
        <v>0</v>
      </c>
      <c r="C622">
        <f>B622/(日期!$B$2-日期!$B$1+1)</f>
        <v>0</v>
      </c>
    </row>
    <row r="623" spans="2:3">
      <c r="B623">
        <f>SUMIFS(allorders!O:O,allorders!L:L,'数据处理(仓储使用)'!$A623,allorders!$AG:$AG,"&lt;="&amp;日期!$B$2,allorders!$AG:$AG,"&gt;="&amp;日期!$B$1)</f>
        <v>0</v>
      </c>
      <c r="C623">
        <f>B623/(日期!$B$2-日期!$B$1+1)</f>
        <v>0</v>
      </c>
    </row>
    <row r="624" spans="2:3">
      <c r="B624">
        <f>SUMIFS(allorders!O:O,allorders!L:L,'数据处理(仓储使用)'!$A624,allorders!$AG:$AG,"&lt;="&amp;日期!$B$2,allorders!$AG:$AG,"&gt;="&amp;日期!$B$1)</f>
        <v>0</v>
      </c>
      <c r="C624">
        <f>B624/(日期!$B$2-日期!$B$1+1)</f>
        <v>0</v>
      </c>
    </row>
    <row r="625" spans="2:3">
      <c r="B625">
        <f>SUMIFS(allorders!O:O,allorders!L:L,'数据处理(仓储使用)'!$A625,allorders!$AG:$AG,"&lt;="&amp;日期!$B$2,allorders!$AG:$AG,"&gt;="&amp;日期!$B$1)</f>
        <v>0</v>
      </c>
      <c r="C625">
        <f>B625/(日期!$B$2-日期!$B$1+1)</f>
        <v>0</v>
      </c>
    </row>
    <row r="626" spans="2:3">
      <c r="B626">
        <f>SUMIFS(allorders!O:O,allorders!L:L,'数据处理(仓储使用)'!$A626,allorders!$AG:$AG,"&lt;="&amp;日期!$B$2,allorders!$AG:$AG,"&gt;="&amp;日期!$B$1)</f>
        <v>0</v>
      </c>
      <c r="C626">
        <f>B626/(日期!$B$2-日期!$B$1+1)</f>
        <v>0</v>
      </c>
    </row>
    <row r="627" spans="2:3">
      <c r="B627">
        <f>SUMIFS(allorders!O:O,allorders!L:L,'数据处理(仓储使用)'!$A627,allorders!$AG:$AG,"&lt;="&amp;日期!$B$2,allorders!$AG:$AG,"&gt;="&amp;日期!$B$1)</f>
        <v>0</v>
      </c>
      <c r="C627">
        <f>B627/(日期!$B$2-日期!$B$1+1)</f>
        <v>0</v>
      </c>
    </row>
    <row r="628" spans="2:3">
      <c r="B628">
        <f>SUMIFS(allorders!O:O,allorders!L:L,'数据处理(仓储使用)'!$A628,allorders!$AG:$AG,"&lt;="&amp;日期!$B$2,allorders!$AG:$AG,"&gt;="&amp;日期!$B$1)</f>
        <v>0</v>
      </c>
      <c r="C628">
        <f>B628/(日期!$B$2-日期!$B$1+1)</f>
        <v>0</v>
      </c>
    </row>
    <row r="629" spans="2:3">
      <c r="B629">
        <f>SUMIFS(allorders!O:O,allorders!L:L,'数据处理(仓储使用)'!$A629,allorders!$AG:$AG,"&lt;="&amp;日期!$B$2,allorders!$AG:$AG,"&gt;="&amp;日期!$B$1)</f>
        <v>0</v>
      </c>
      <c r="C629">
        <f>B629/(日期!$B$2-日期!$B$1+1)</f>
        <v>0</v>
      </c>
    </row>
    <row r="630" spans="2:3">
      <c r="B630">
        <f>SUMIFS(allorders!O:O,allorders!L:L,'数据处理(仓储使用)'!$A630,allorders!$AG:$AG,"&lt;="&amp;日期!$B$2,allorders!$AG:$AG,"&gt;="&amp;日期!$B$1)</f>
        <v>0</v>
      </c>
      <c r="C630">
        <f>B630/(日期!$B$2-日期!$B$1+1)</f>
        <v>0</v>
      </c>
    </row>
    <row r="631" spans="2:3">
      <c r="B631">
        <f>SUMIFS(allorders!O:O,allorders!L:L,'数据处理(仓储使用)'!$A631,allorders!$AG:$AG,"&lt;="&amp;日期!$B$2,allorders!$AG:$AG,"&gt;="&amp;日期!$B$1)</f>
        <v>0</v>
      </c>
      <c r="C631">
        <f>B631/(日期!$B$2-日期!$B$1+1)</f>
        <v>0</v>
      </c>
    </row>
    <row r="632" spans="2:3">
      <c r="B632">
        <f>SUMIFS(allorders!O:O,allorders!L:L,'数据处理(仓储使用)'!$A632,allorders!$AG:$AG,"&lt;="&amp;日期!$B$2,allorders!$AG:$AG,"&gt;="&amp;日期!$B$1)</f>
        <v>0</v>
      </c>
      <c r="C632">
        <f>B632/(日期!$B$2-日期!$B$1+1)</f>
        <v>0</v>
      </c>
    </row>
    <row r="633" spans="2:3">
      <c r="B633">
        <f>SUMIFS(allorders!O:O,allorders!L:L,'数据处理(仓储使用)'!$A633,allorders!$AG:$AG,"&lt;="&amp;日期!$B$2,allorders!$AG:$AG,"&gt;="&amp;日期!$B$1)</f>
        <v>0</v>
      </c>
      <c r="C633">
        <f>B633/(日期!$B$2-日期!$B$1+1)</f>
        <v>0</v>
      </c>
    </row>
    <row r="634" spans="2:3">
      <c r="B634">
        <f>SUMIFS(allorders!O:O,allorders!L:L,'数据处理(仓储使用)'!$A634,allorders!$AG:$AG,"&lt;="&amp;日期!$B$2,allorders!$AG:$AG,"&gt;="&amp;日期!$B$1)</f>
        <v>0</v>
      </c>
      <c r="C634">
        <f>B634/(日期!$B$2-日期!$B$1+1)</f>
        <v>0</v>
      </c>
    </row>
    <row r="635" spans="2:3">
      <c r="B635">
        <f>SUMIFS(allorders!O:O,allorders!L:L,'数据处理(仓储使用)'!$A635,allorders!$AG:$AG,"&lt;="&amp;日期!$B$2,allorders!$AG:$AG,"&gt;="&amp;日期!$B$1)</f>
        <v>0</v>
      </c>
      <c r="C635">
        <f>B635/(日期!$B$2-日期!$B$1+1)</f>
        <v>0</v>
      </c>
    </row>
    <row r="636" spans="2:3">
      <c r="B636">
        <f>SUMIFS(allorders!O:O,allorders!L:L,'数据处理(仓储使用)'!$A636,allorders!$AG:$AG,"&lt;="&amp;日期!$B$2,allorders!$AG:$AG,"&gt;="&amp;日期!$B$1)</f>
        <v>0</v>
      </c>
      <c r="C636">
        <f>B636/(日期!$B$2-日期!$B$1+1)</f>
        <v>0</v>
      </c>
    </row>
    <row r="637" spans="2:3">
      <c r="B637">
        <f>SUMIFS(allorders!O:O,allorders!L:L,'数据处理(仓储使用)'!$A637,allorders!$AG:$AG,"&lt;="&amp;日期!$B$2,allorders!$AG:$AG,"&gt;="&amp;日期!$B$1)</f>
        <v>0</v>
      </c>
      <c r="C637">
        <f>B637/(日期!$B$2-日期!$B$1+1)</f>
        <v>0</v>
      </c>
    </row>
    <row r="638" spans="2:3">
      <c r="B638">
        <f>SUMIFS(allorders!O:O,allorders!L:L,'数据处理(仓储使用)'!$A638,allorders!$AG:$AG,"&lt;="&amp;日期!$B$2,allorders!$AG:$AG,"&gt;="&amp;日期!$B$1)</f>
        <v>0</v>
      </c>
      <c r="C638">
        <f>B638/(日期!$B$2-日期!$B$1+1)</f>
        <v>0</v>
      </c>
    </row>
    <row r="639" spans="2:3">
      <c r="B639">
        <f>SUMIFS(allorders!O:O,allorders!L:L,'数据处理(仓储使用)'!$A639,allorders!$AG:$AG,"&lt;="&amp;日期!$B$2,allorders!$AG:$AG,"&gt;="&amp;日期!$B$1)</f>
        <v>0</v>
      </c>
      <c r="C639">
        <f>B639/(日期!$B$2-日期!$B$1+1)</f>
        <v>0</v>
      </c>
    </row>
    <row r="640" spans="2:3">
      <c r="B640">
        <f>SUMIFS(allorders!O:O,allorders!L:L,'数据处理(仓储使用)'!$A640,allorders!$AG:$AG,"&lt;="&amp;日期!$B$2,allorders!$AG:$AG,"&gt;="&amp;日期!$B$1)</f>
        <v>0</v>
      </c>
      <c r="C640">
        <f>B640/(日期!$B$2-日期!$B$1+1)</f>
        <v>0</v>
      </c>
    </row>
    <row r="641" spans="2:3">
      <c r="B641">
        <f>SUMIFS(allorders!O:O,allorders!L:L,'数据处理(仓储使用)'!$A641,allorders!$AG:$AG,"&lt;="&amp;日期!$B$2,allorders!$AG:$AG,"&gt;="&amp;日期!$B$1)</f>
        <v>0</v>
      </c>
      <c r="C641">
        <f>B641/(日期!$B$2-日期!$B$1+1)</f>
        <v>0</v>
      </c>
    </row>
    <row r="642" spans="2:3">
      <c r="B642">
        <f>SUMIFS(allorders!O:O,allorders!L:L,'数据处理(仓储使用)'!$A642,allorders!$AG:$AG,"&lt;="&amp;日期!$B$2,allorders!$AG:$AG,"&gt;="&amp;日期!$B$1)</f>
        <v>0</v>
      </c>
      <c r="C642">
        <f>B642/(日期!$B$2-日期!$B$1+1)</f>
        <v>0</v>
      </c>
    </row>
    <row r="643" spans="2:3">
      <c r="B643">
        <f>SUMIFS(allorders!O:O,allorders!L:L,'数据处理(仓储使用)'!$A643,allorders!$AG:$AG,"&lt;="&amp;日期!$B$2,allorders!$AG:$AG,"&gt;="&amp;日期!$B$1)</f>
        <v>0</v>
      </c>
      <c r="C643">
        <f>B643/(日期!$B$2-日期!$B$1+1)</f>
        <v>0</v>
      </c>
    </row>
    <row r="644" spans="2:3">
      <c r="B644">
        <f>SUMIFS(allorders!O:O,allorders!L:L,'数据处理(仓储使用)'!$A644,allorders!$AG:$AG,"&lt;="&amp;日期!$B$2,allorders!$AG:$AG,"&gt;="&amp;日期!$B$1)</f>
        <v>0</v>
      </c>
      <c r="C644">
        <f>B644/(日期!$B$2-日期!$B$1+1)</f>
        <v>0</v>
      </c>
    </row>
    <row r="645" spans="2:3">
      <c r="B645">
        <f>SUMIFS(allorders!O:O,allorders!L:L,'数据处理(仓储使用)'!$A645,allorders!$AG:$AG,"&lt;="&amp;日期!$B$2,allorders!$AG:$AG,"&gt;="&amp;日期!$B$1)</f>
        <v>0</v>
      </c>
      <c r="C645">
        <f>B645/(日期!$B$2-日期!$B$1+1)</f>
        <v>0</v>
      </c>
    </row>
    <row r="646" spans="2:3">
      <c r="B646">
        <f>SUMIFS(allorders!O:O,allorders!L:L,'数据处理(仓储使用)'!$A646,allorders!$AG:$AG,"&lt;="&amp;日期!$B$2,allorders!$AG:$AG,"&gt;="&amp;日期!$B$1)</f>
        <v>0</v>
      </c>
      <c r="C646">
        <f>B646/(日期!$B$2-日期!$B$1+1)</f>
        <v>0</v>
      </c>
    </row>
    <row r="647" spans="2:3">
      <c r="B647">
        <f>SUMIFS(allorders!O:O,allorders!L:L,'数据处理(仓储使用)'!$A647,allorders!$AG:$AG,"&lt;="&amp;日期!$B$2,allorders!$AG:$AG,"&gt;="&amp;日期!$B$1)</f>
        <v>0</v>
      </c>
      <c r="C647">
        <f>B647/(日期!$B$2-日期!$B$1+1)</f>
        <v>0</v>
      </c>
    </row>
    <row r="648" spans="2:3">
      <c r="B648">
        <f>SUMIFS(allorders!O:O,allorders!L:L,'数据处理(仓储使用)'!$A648,allorders!$AG:$AG,"&lt;="&amp;日期!$B$2,allorders!$AG:$AG,"&gt;="&amp;日期!$B$1)</f>
        <v>0</v>
      </c>
      <c r="C648">
        <f>B648/(日期!$B$2-日期!$B$1+1)</f>
        <v>0</v>
      </c>
    </row>
    <row r="649" spans="2:3">
      <c r="B649">
        <f>SUMIFS(allorders!O:O,allorders!L:L,'数据处理(仓储使用)'!$A649,allorders!$AG:$AG,"&lt;="&amp;日期!$B$2,allorders!$AG:$AG,"&gt;="&amp;日期!$B$1)</f>
        <v>0</v>
      </c>
      <c r="C649">
        <f>B649/(日期!$B$2-日期!$B$1+1)</f>
        <v>0</v>
      </c>
    </row>
    <row r="650" spans="2:3">
      <c r="B650">
        <f>SUMIFS(allorders!O:O,allorders!L:L,'数据处理(仓储使用)'!$A650,allorders!$AG:$AG,"&lt;="&amp;日期!$B$2,allorders!$AG:$AG,"&gt;="&amp;日期!$B$1)</f>
        <v>0</v>
      </c>
      <c r="C650">
        <f>B650/(日期!$B$2-日期!$B$1+1)</f>
        <v>0</v>
      </c>
    </row>
    <row r="651" spans="2:3">
      <c r="B651">
        <f>SUMIFS(allorders!O:O,allorders!L:L,'数据处理(仓储使用)'!$A651,allorders!$AG:$AG,"&lt;="&amp;日期!$B$2,allorders!$AG:$AG,"&gt;="&amp;日期!$B$1)</f>
        <v>0</v>
      </c>
      <c r="C651">
        <f>B651/(日期!$B$2-日期!$B$1+1)</f>
        <v>0</v>
      </c>
    </row>
    <row r="652" spans="2:3">
      <c r="B652">
        <f>SUMIFS(allorders!O:O,allorders!L:L,'数据处理(仓储使用)'!$A652,allorders!$AG:$AG,"&lt;="&amp;日期!$B$2,allorders!$AG:$AG,"&gt;="&amp;日期!$B$1)</f>
        <v>0</v>
      </c>
      <c r="C652">
        <f>B652/(日期!$B$2-日期!$B$1+1)</f>
        <v>0</v>
      </c>
    </row>
    <row r="653" spans="2:3">
      <c r="B653">
        <f>SUMIFS(allorders!O:O,allorders!L:L,'数据处理(仓储使用)'!$A653,allorders!$AG:$AG,"&lt;="&amp;日期!$B$2,allorders!$AG:$AG,"&gt;="&amp;日期!$B$1)</f>
        <v>0</v>
      </c>
      <c r="C653">
        <f>B653/(日期!$B$2-日期!$B$1+1)</f>
        <v>0</v>
      </c>
    </row>
    <row r="654" spans="2:3">
      <c r="B654">
        <f>SUMIFS(allorders!O:O,allorders!L:L,'数据处理(仓储使用)'!$A654,allorders!$AG:$AG,"&lt;="&amp;日期!$B$2,allorders!$AG:$AG,"&gt;="&amp;日期!$B$1)</f>
        <v>0</v>
      </c>
      <c r="C654">
        <f>B654/(日期!$B$2-日期!$B$1+1)</f>
        <v>0</v>
      </c>
    </row>
    <row r="655" spans="2:3">
      <c r="B655">
        <f>SUMIFS(allorders!O:O,allorders!L:L,'数据处理(仓储使用)'!$A655,allorders!$AG:$AG,"&lt;="&amp;日期!$B$2,allorders!$AG:$AG,"&gt;="&amp;日期!$B$1)</f>
        <v>0</v>
      </c>
      <c r="C655">
        <f>B655/(日期!$B$2-日期!$B$1+1)</f>
        <v>0</v>
      </c>
    </row>
    <row r="656" spans="2:3">
      <c r="B656">
        <f>SUMIFS(allorders!O:O,allorders!L:L,'数据处理(仓储使用)'!$A656,allorders!$AG:$AG,"&lt;="&amp;日期!$B$2,allorders!$AG:$AG,"&gt;="&amp;日期!$B$1)</f>
        <v>0</v>
      </c>
      <c r="C656">
        <f>B656/(日期!$B$2-日期!$B$1+1)</f>
        <v>0</v>
      </c>
    </row>
    <row r="657" spans="2:3">
      <c r="B657">
        <f>SUMIFS(allorders!O:O,allorders!L:L,'数据处理(仓储使用)'!$A657,allorders!$AG:$AG,"&lt;="&amp;日期!$B$2,allorders!$AG:$AG,"&gt;="&amp;日期!$B$1)</f>
        <v>0</v>
      </c>
      <c r="C657">
        <f>B657/(日期!$B$2-日期!$B$1+1)</f>
        <v>0</v>
      </c>
    </row>
    <row r="658" spans="2:3">
      <c r="B658">
        <f>SUMIFS(allorders!O:O,allorders!L:L,'数据处理(仓储使用)'!$A658,allorders!$AG:$AG,"&lt;="&amp;日期!$B$2,allorders!$AG:$AG,"&gt;="&amp;日期!$B$1)</f>
        <v>0</v>
      </c>
      <c r="C658">
        <f>B658/(日期!$B$2-日期!$B$1+1)</f>
        <v>0</v>
      </c>
    </row>
    <row r="659" spans="2:3">
      <c r="B659">
        <f>SUMIFS(allorders!O:O,allorders!L:L,'数据处理(仓储使用)'!$A659,allorders!$AG:$AG,"&lt;="&amp;日期!$B$2,allorders!$AG:$AG,"&gt;="&amp;日期!$B$1)</f>
        <v>0</v>
      </c>
      <c r="C659">
        <f>B659/(日期!$B$2-日期!$B$1+1)</f>
        <v>0</v>
      </c>
    </row>
    <row r="660" spans="2:3">
      <c r="B660">
        <f>SUMIFS(allorders!O:O,allorders!L:L,'数据处理(仓储使用)'!$A660,allorders!$AG:$AG,"&lt;="&amp;日期!$B$2,allorders!$AG:$AG,"&gt;="&amp;日期!$B$1)</f>
        <v>0</v>
      </c>
      <c r="C660">
        <f>B660/(日期!$B$2-日期!$B$1+1)</f>
        <v>0</v>
      </c>
    </row>
    <row r="661" spans="2:3">
      <c r="B661">
        <f>SUMIFS(allorders!O:O,allorders!L:L,'数据处理(仓储使用)'!$A661,allorders!$AG:$AG,"&lt;="&amp;日期!$B$2,allorders!$AG:$AG,"&gt;="&amp;日期!$B$1)</f>
        <v>0</v>
      </c>
      <c r="C661">
        <f>B661/(日期!$B$2-日期!$B$1+1)</f>
        <v>0</v>
      </c>
    </row>
    <row r="662" spans="2:3">
      <c r="B662">
        <f>SUMIFS(allorders!O:O,allorders!L:L,'数据处理(仓储使用)'!$A662,allorders!$AG:$AG,"&lt;="&amp;日期!$B$2,allorders!$AG:$AG,"&gt;="&amp;日期!$B$1)</f>
        <v>0</v>
      </c>
      <c r="C662">
        <f>B662/(日期!$B$2-日期!$B$1+1)</f>
        <v>0</v>
      </c>
    </row>
    <row r="663" spans="2:3">
      <c r="B663">
        <f>SUMIFS(allorders!O:O,allorders!L:L,'数据处理(仓储使用)'!$A663,allorders!$AG:$AG,"&lt;="&amp;日期!$B$2,allorders!$AG:$AG,"&gt;="&amp;日期!$B$1)</f>
        <v>0</v>
      </c>
      <c r="C663">
        <f>B663/(日期!$B$2-日期!$B$1+1)</f>
        <v>0</v>
      </c>
    </row>
    <row r="664" spans="2:3">
      <c r="B664">
        <f>SUMIFS(allorders!O:O,allorders!L:L,'数据处理(仓储使用)'!$A664,allorders!$AG:$AG,"&lt;="&amp;日期!$B$2,allorders!$AG:$AG,"&gt;="&amp;日期!$B$1)</f>
        <v>0</v>
      </c>
      <c r="C664">
        <f>B664/(日期!$B$2-日期!$B$1+1)</f>
        <v>0</v>
      </c>
    </row>
    <row r="665" spans="2:3">
      <c r="B665">
        <f>SUMIFS(allorders!O:O,allorders!L:L,'数据处理(仓储使用)'!$A665,allorders!$AG:$AG,"&lt;="&amp;日期!$B$2,allorders!$AG:$AG,"&gt;="&amp;日期!$B$1)</f>
        <v>0</v>
      </c>
      <c r="C665">
        <f>B665/(日期!$B$2-日期!$B$1+1)</f>
        <v>0</v>
      </c>
    </row>
    <row r="666" spans="2:3">
      <c r="B666">
        <f>SUMIFS(allorders!O:O,allorders!L:L,'数据处理(仓储使用)'!$A666,allorders!$AG:$AG,"&lt;="&amp;日期!$B$2,allorders!$AG:$AG,"&gt;="&amp;日期!$B$1)</f>
        <v>0</v>
      </c>
      <c r="C666">
        <f>B666/(日期!$B$2-日期!$B$1+1)</f>
        <v>0</v>
      </c>
    </row>
    <row r="667" spans="2:3">
      <c r="B667">
        <f>SUMIFS(allorders!O:O,allorders!L:L,'数据处理(仓储使用)'!$A667,allorders!$AG:$AG,"&lt;="&amp;日期!$B$2,allorders!$AG:$AG,"&gt;="&amp;日期!$B$1)</f>
        <v>0</v>
      </c>
      <c r="C667">
        <f>B667/(日期!$B$2-日期!$B$1+1)</f>
        <v>0</v>
      </c>
    </row>
    <row r="668" spans="2:3">
      <c r="B668">
        <f>SUMIFS(allorders!O:O,allorders!L:L,'数据处理(仓储使用)'!$A668,allorders!$AG:$AG,"&lt;="&amp;日期!$B$2,allorders!$AG:$AG,"&gt;="&amp;日期!$B$1)</f>
        <v>0</v>
      </c>
      <c r="C668">
        <f>B668/(日期!$B$2-日期!$B$1+1)</f>
        <v>0</v>
      </c>
    </row>
    <row r="669" spans="2:3">
      <c r="B669">
        <f>SUMIFS(allorders!O:O,allorders!L:L,'数据处理(仓储使用)'!$A669,allorders!$AG:$AG,"&lt;="&amp;日期!$B$2,allorders!$AG:$AG,"&gt;="&amp;日期!$B$1)</f>
        <v>0</v>
      </c>
      <c r="C669">
        <f>B669/(日期!$B$2-日期!$B$1+1)</f>
        <v>0</v>
      </c>
    </row>
    <row r="670" spans="2:3">
      <c r="B670">
        <f>SUMIFS(allorders!O:O,allorders!L:L,'数据处理(仓储使用)'!$A670,allorders!$AG:$AG,"&lt;="&amp;日期!$B$2,allorders!$AG:$AG,"&gt;="&amp;日期!$B$1)</f>
        <v>0</v>
      </c>
      <c r="C670">
        <f>B670/(日期!$B$2-日期!$B$1+1)</f>
        <v>0</v>
      </c>
    </row>
    <row r="671" spans="2:3">
      <c r="B671">
        <f>SUMIFS(allorders!O:O,allorders!L:L,'数据处理(仓储使用)'!$A671,allorders!$AG:$AG,"&lt;="&amp;日期!$B$2,allorders!$AG:$AG,"&gt;="&amp;日期!$B$1)</f>
        <v>0</v>
      </c>
      <c r="C671">
        <f>B671/(日期!$B$2-日期!$B$1+1)</f>
        <v>0</v>
      </c>
    </row>
    <row r="672" spans="2:3">
      <c r="B672">
        <f>SUMIFS(allorders!O:O,allorders!L:L,'数据处理(仓储使用)'!$A672,allorders!$AG:$AG,"&lt;="&amp;日期!$B$2,allorders!$AG:$AG,"&gt;="&amp;日期!$B$1)</f>
        <v>0</v>
      </c>
      <c r="C672">
        <f>B672/(日期!$B$2-日期!$B$1+1)</f>
        <v>0</v>
      </c>
    </row>
    <row r="673" spans="2:3">
      <c r="B673">
        <f>SUMIFS(allorders!O:O,allorders!L:L,'数据处理(仓储使用)'!$A673,allorders!$AG:$AG,"&lt;="&amp;日期!$B$2,allorders!$AG:$AG,"&gt;="&amp;日期!$B$1)</f>
        <v>0</v>
      </c>
      <c r="C673">
        <f>B673/(日期!$B$2-日期!$B$1+1)</f>
        <v>0</v>
      </c>
    </row>
    <row r="674" spans="2:3">
      <c r="B674">
        <f>SUMIFS(allorders!O:O,allorders!L:L,'数据处理(仓储使用)'!$A674,allorders!$AG:$AG,"&lt;="&amp;日期!$B$2,allorders!$AG:$AG,"&gt;="&amp;日期!$B$1)</f>
        <v>0</v>
      </c>
      <c r="C674">
        <f>B674/(日期!$B$2-日期!$B$1+1)</f>
        <v>0</v>
      </c>
    </row>
    <row r="675" spans="2:3">
      <c r="B675">
        <f>SUMIFS(allorders!O:O,allorders!L:L,'数据处理(仓储使用)'!$A675,allorders!$AG:$AG,"&lt;="&amp;日期!$B$2,allorders!$AG:$AG,"&gt;="&amp;日期!$B$1)</f>
        <v>0</v>
      </c>
      <c r="C675">
        <f>B675/(日期!$B$2-日期!$B$1+1)</f>
        <v>0</v>
      </c>
    </row>
    <row r="676" spans="2:3">
      <c r="B676">
        <f>SUMIFS(allorders!O:O,allorders!L:L,'数据处理(仓储使用)'!$A676,allorders!$AG:$AG,"&lt;="&amp;日期!$B$2,allorders!$AG:$AG,"&gt;="&amp;日期!$B$1)</f>
        <v>0</v>
      </c>
      <c r="C676">
        <f>B676/(日期!$B$2-日期!$B$1+1)</f>
        <v>0</v>
      </c>
    </row>
    <row r="677" spans="2:3">
      <c r="B677">
        <f>SUMIFS(allorders!O:O,allorders!L:L,'数据处理(仓储使用)'!$A677,allorders!$AG:$AG,"&lt;="&amp;日期!$B$2,allorders!$AG:$AG,"&gt;="&amp;日期!$B$1)</f>
        <v>0</v>
      </c>
      <c r="C677">
        <f>B677/(日期!$B$2-日期!$B$1+1)</f>
        <v>0</v>
      </c>
    </row>
    <row r="678" spans="2:3">
      <c r="B678">
        <f>SUMIFS(allorders!O:O,allorders!L:L,'数据处理(仓储使用)'!$A678,allorders!$AG:$AG,"&lt;="&amp;日期!$B$2,allorders!$AG:$AG,"&gt;="&amp;日期!$B$1)</f>
        <v>0</v>
      </c>
      <c r="C678">
        <f>B678/(日期!$B$2-日期!$B$1+1)</f>
        <v>0</v>
      </c>
    </row>
    <row r="679" spans="2:3">
      <c r="B679">
        <f>SUMIFS(allorders!O:O,allorders!L:L,'数据处理(仓储使用)'!$A679,allorders!$AG:$AG,"&lt;="&amp;日期!$B$2,allorders!$AG:$AG,"&gt;="&amp;日期!$B$1)</f>
        <v>0</v>
      </c>
      <c r="C679">
        <f>B679/(日期!$B$2-日期!$B$1+1)</f>
        <v>0</v>
      </c>
    </row>
    <row r="680" spans="2:3">
      <c r="B680">
        <f>SUMIFS(allorders!O:O,allorders!L:L,'数据处理(仓储使用)'!$A680,allorders!$AG:$AG,"&lt;="&amp;日期!$B$2,allorders!$AG:$AG,"&gt;="&amp;日期!$B$1)</f>
        <v>0</v>
      </c>
      <c r="C680">
        <f>B680/(日期!$B$2-日期!$B$1+1)</f>
        <v>0</v>
      </c>
    </row>
    <row r="681" spans="2:3">
      <c r="B681">
        <f>SUMIFS(allorders!O:O,allorders!L:L,'数据处理(仓储使用)'!$A681,allorders!$AG:$AG,"&lt;="&amp;日期!$B$2,allorders!$AG:$AG,"&gt;="&amp;日期!$B$1)</f>
        <v>0</v>
      </c>
      <c r="C681">
        <f>B681/(日期!$B$2-日期!$B$1+1)</f>
        <v>0</v>
      </c>
    </row>
    <row r="682" spans="2:3">
      <c r="B682">
        <f>SUMIFS(allorders!O:O,allorders!L:L,'数据处理(仓储使用)'!$A682,allorders!$AG:$AG,"&lt;="&amp;日期!$B$2,allorders!$AG:$AG,"&gt;="&amp;日期!$B$1)</f>
        <v>0</v>
      </c>
      <c r="C682">
        <f>B682/(日期!$B$2-日期!$B$1+1)</f>
        <v>0</v>
      </c>
    </row>
    <row r="683" spans="2:3">
      <c r="B683">
        <f>SUMIFS(allorders!O:O,allorders!L:L,'数据处理(仓储使用)'!$A683,allorders!$AG:$AG,"&lt;="&amp;日期!$B$2,allorders!$AG:$AG,"&gt;="&amp;日期!$B$1)</f>
        <v>0</v>
      </c>
      <c r="C683">
        <f>B683/(日期!$B$2-日期!$B$1+1)</f>
        <v>0</v>
      </c>
    </row>
    <row r="684" spans="2:3">
      <c r="B684">
        <f>SUMIFS(allorders!O:O,allorders!L:L,'数据处理(仓储使用)'!$A684,allorders!$AG:$AG,"&lt;="&amp;日期!$B$2,allorders!$AG:$AG,"&gt;="&amp;日期!$B$1)</f>
        <v>0</v>
      </c>
      <c r="C684">
        <f>B684/(日期!$B$2-日期!$B$1+1)</f>
        <v>0</v>
      </c>
    </row>
    <row r="685" spans="2:3">
      <c r="B685">
        <f>SUMIFS(allorders!O:O,allorders!L:L,'数据处理(仓储使用)'!$A685,allorders!$AG:$AG,"&lt;="&amp;日期!$B$2,allorders!$AG:$AG,"&gt;="&amp;日期!$B$1)</f>
        <v>0</v>
      </c>
      <c r="C685">
        <f>B685/(日期!$B$2-日期!$B$1+1)</f>
        <v>0</v>
      </c>
    </row>
    <row r="686" spans="2:3">
      <c r="B686">
        <f>SUMIFS(allorders!O:O,allorders!L:L,'数据处理(仓储使用)'!$A686,allorders!$AG:$AG,"&lt;="&amp;日期!$B$2,allorders!$AG:$AG,"&gt;="&amp;日期!$B$1)</f>
        <v>0</v>
      </c>
      <c r="C686">
        <f>B686/(日期!$B$2-日期!$B$1+1)</f>
        <v>0</v>
      </c>
    </row>
    <row r="687" spans="2:3">
      <c r="B687">
        <f>SUMIFS(allorders!O:O,allorders!L:L,'数据处理(仓储使用)'!$A687,allorders!$AG:$AG,"&lt;="&amp;日期!$B$2,allorders!$AG:$AG,"&gt;="&amp;日期!$B$1)</f>
        <v>0</v>
      </c>
      <c r="C687">
        <f>B687/(日期!$B$2-日期!$B$1+1)</f>
        <v>0</v>
      </c>
    </row>
    <row r="688" spans="2:3">
      <c r="B688">
        <f>SUMIFS(allorders!O:O,allorders!L:L,'数据处理(仓储使用)'!$A688,allorders!$AG:$AG,"&lt;="&amp;日期!$B$2,allorders!$AG:$AG,"&gt;="&amp;日期!$B$1)</f>
        <v>0</v>
      </c>
      <c r="C688">
        <f>B688/(日期!$B$2-日期!$B$1+1)</f>
        <v>0</v>
      </c>
    </row>
    <row r="689" spans="2:3">
      <c r="B689">
        <f>SUMIFS(allorders!O:O,allorders!L:L,'数据处理(仓储使用)'!$A689,allorders!$AG:$AG,"&lt;="&amp;日期!$B$2,allorders!$AG:$AG,"&gt;="&amp;日期!$B$1)</f>
        <v>0</v>
      </c>
      <c r="C689">
        <f>B689/(日期!$B$2-日期!$B$1+1)</f>
        <v>0</v>
      </c>
    </row>
    <row r="690" spans="2:3">
      <c r="B690">
        <f>SUMIFS(allorders!O:O,allorders!L:L,'数据处理(仓储使用)'!$A690,allorders!$AG:$AG,"&lt;="&amp;日期!$B$2,allorders!$AG:$AG,"&gt;="&amp;日期!$B$1)</f>
        <v>0</v>
      </c>
      <c r="C690">
        <f>B690/(日期!$B$2-日期!$B$1+1)</f>
        <v>0</v>
      </c>
    </row>
    <row r="691" spans="2:3">
      <c r="B691">
        <f>SUMIFS(allorders!O:O,allorders!L:L,'数据处理(仓储使用)'!$A691,allorders!$AG:$AG,"&lt;="&amp;日期!$B$2,allorders!$AG:$AG,"&gt;="&amp;日期!$B$1)</f>
        <v>0</v>
      </c>
      <c r="C691">
        <f>B691/(日期!$B$2-日期!$B$1+1)</f>
        <v>0</v>
      </c>
    </row>
    <row r="692" spans="2:3">
      <c r="B692">
        <f>SUMIFS(allorders!O:O,allorders!L:L,'数据处理(仓储使用)'!$A692,allorders!$AG:$AG,"&lt;="&amp;日期!$B$2,allorders!$AG:$AG,"&gt;="&amp;日期!$B$1)</f>
        <v>0</v>
      </c>
      <c r="C692">
        <f>B692/(日期!$B$2-日期!$B$1+1)</f>
        <v>0</v>
      </c>
    </row>
    <row r="693" spans="2:3">
      <c r="B693">
        <f>SUMIFS(allorders!O:O,allorders!L:L,'数据处理(仓储使用)'!$A693,allorders!$AG:$AG,"&lt;="&amp;日期!$B$2,allorders!$AG:$AG,"&gt;="&amp;日期!$B$1)</f>
        <v>0</v>
      </c>
      <c r="C693">
        <f>B693/(日期!$B$2-日期!$B$1+1)</f>
        <v>0</v>
      </c>
    </row>
    <row r="694" spans="2:3">
      <c r="B694">
        <f>SUMIFS(allorders!O:O,allorders!L:L,'数据处理(仓储使用)'!$A694,allorders!$AG:$AG,"&lt;="&amp;日期!$B$2,allorders!$AG:$AG,"&gt;="&amp;日期!$B$1)</f>
        <v>0</v>
      </c>
      <c r="C694">
        <f>B694/(日期!$B$2-日期!$B$1+1)</f>
        <v>0</v>
      </c>
    </row>
    <row r="695" spans="2:3">
      <c r="B695">
        <f>SUMIFS(allorders!O:O,allorders!L:L,'数据处理(仓储使用)'!$A695,allorders!$AG:$AG,"&lt;="&amp;日期!$B$2,allorders!$AG:$AG,"&gt;="&amp;日期!$B$1)</f>
        <v>0</v>
      </c>
      <c r="C695">
        <f>B695/(日期!$B$2-日期!$B$1+1)</f>
        <v>0</v>
      </c>
    </row>
    <row r="696" spans="2:3">
      <c r="B696">
        <f>SUMIFS(allorders!O:O,allorders!L:L,'数据处理(仓储使用)'!$A696,allorders!$AG:$AG,"&lt;="&amp;日期!$B$2,allorders!$AG:$AG,"&gt;="&amp;日期!$B$1)</f>
        <v>0</v>
      </c>
      <c r="C696">
        <f>B696/(日期!$B$2-日期!$B$1+1)</f>
        <v>0</v>
      </c>
    </row>
    <row r="697" spans="2:3">
      <c r="B697">
        <f>SUMIFS(allorders!O:O,allorders!L:L,'数据处理(仓储使用)'!$A697,allorders!$AG:$AG,"&lt;="&amp;日期!$B$2,allorders!$AG:$AG,"&gt;="&amp;日期!$B$1)</f>
        <v>0</v>
      </c>
      <c r="C697">
        <f>B697/(日期!$B$2-日期!$B$1+1)</f>
        <v>0</v>
      </c>
    </row>
    <row r="698" spans="2:3">
      <c r="B698">
        <f>SUMIFS(allorders!O:O,allorders!L:L,'数据处理(仓储使用)'!$A698,allorders!$AG:$AG,"&lt;="&amp;日期!$B$2,allorders!$AG:$AG,"&gt;="&amp;日期!$B$1)</f>
        <v>0</v>
      </c>
      <c r="C698">
        <f>B698/(日期!$B$2-日期!$B$1+1)</f>
        <v>0</v>
      </c>
    </row>
    <row r="699" spans="2:3">
      <c r="B699">
        <f>SUMIFS(allorders!O:O,allorders!L:L,'数据处理(仓储使用)'!$A699,allorders!$AG:$AG,"&lt;="&amp;日期!$B$2,allorders!$AG:$AG,"&gt;="&amp;日期!$B$1)</f>
        <v>0</v>
      </c>
      <c r="C699">
        <f>B699/(日期!$B$2-日期!$B$1+1)</f>
        <v>0</v>
      </c>
    </row>
    <row r="700" spans="2:3">
      <c r="B700">
        <f>SUMIFS(allorders!O:O,allorders!L:L,'数据处理(仓储使用)'!$A700,allorders!$AG:$AG,"&lt;="&amp;日期!$B$2,allorders!$AG:$AG,"&gt;="&amp;日期!$B$1)</f>
        <v>0</v>
      </c>
      <c r="C700">
        <f>B700/(日期!$B$2-日期!$B$1+1)</f>
        <v>0</v>
      </c>
    </row>
    <row r="701" spans="2:3">
      <c r="B701">
        <f>SUMIFS(allorders!O:O,allorders!L:L,'数据处理(仓储使用)'!$A701,allorders!$AG:$AG,"&lt;="&amp;日期!$B$2,allorders!$AG:$AG,"&gt;="&amp;日期!$B$1)</f>
        <v>0</v>
      </c>
      <c r="C701">
        <f>B701/(日期!$B$2-日期!$B$1+1)</f>
        <v>0</v>
      </c>
    </row>
    <row r="702" spans="2:3">
      <c r="B702">
        <f>SUMIFS(allorders!O:O,allorders!L:L,'数据处理(仓储使用)'!$A702,allorders!$AG:$AG,"&lt;="&amp;日期!$B$2,allorders!$AG:$AG,"&gt;="&amp;日期!$B$1)</f>
        <v>0</v>
      </c>
      <c r="C702">
        <f>B702/(日期!$B$2-日期!$B$1+1)</f>
        <v>0</v>
      </c>
    </row>
    <row r="703" spans="2:3">
      <c r="B703">
        <f>SUMIFS(allorders!O:O,allorders!L:L,'数据处理(仓储使用)'!$A703,allorders!$AG:$AG,"&lt;="&amp;日期!$B$2,allorders!$AG:$AG,"&gt;="&amp;日期!$B$1)</f>
        <v>0</v>
      </c>
      <c r="C703">
        <f>B703/(日期!$B$2-日期!$B$1+1)</f>
        <v>0</v>
      </c>
    </row>
    <row r="704" spans="2:3">
      <c r="B704">
        <f>SUMIFS(allorders!O:O,allorders!L:L,'数据处理(仓储使用)'!$A704,allorders!$AG:$AG,"&lt;="&amp;日期!$B$2,allorders!$AG:$AG,"&gt;="&amp;日期!$B$1)</f>
        <v>0</v>
      </c>
      <c r="C704">
        <f>B704/(日期!$B$2-日期!$B$1+1)</f>
        <v>0</v>
      </c>
    </row>
    <row r="705" spans="2:3">
      <c r="B705">
        <f>SUMIFS(allorders!O:O,allorders!L:L,'数据处理(仓储使用)'!$A705,allorders!$AG:$AG,"&lt;="&amp;日期!$B$2,allorders!$AG:$AG,"&gt;="&amp;日期!$B$1)</f>
        <v>0</v>
      </c>
      <c r="C705">
        <f>B705/(日期!$B$2-日期!$B$1+1)</f>
        <v>0</v>
      </c>
    </row>
    <row r="706" spans="2:3">
      <c r="B706">
        <f>SUMIFS(allorders!O:O,allorders!L:L,'数据处理(仓储使用)'!$A706,allorders!$AG:$AG,"&lt;="&amp;日期!$B$2,allorders!$AG:$AG,"&gt;="&amp;日期!$B$1)</f>
        <v>0</v>
      </c>
      <c r="C706">
        <f>B706/(日期!$B$2-日期!$B$1+1)</f>
        <v>0</v>
      </c>
    </row>
    <row r="707" spans="2:3">
      <c r="B707">
        <f>SUMIFS(allorders!O:O,allorders!L:L,'数据处理(仓储使用)'!$A707,allorders!$AG:$AG,"&lt;="&amp;日期!$B$2,allorders!$AG:$AG,"&gt;="&amp;日期!$B$1)</f>
        <v>0</v>
      </c>
      <c r="C707">
        <f>B707/(日期!$B$2-日期!$B$1+1)</f>
        <v>0</v>
      </c>
    </row>
    <row r="708" spans="2:3">
      <c r="B708">
        <f>SUMIFS(allorders!O:O,allorders!L:L,'数据处理(仓储使用)'!$A708,allorders!$AG:$AG,"&lt;="&amp;日期!$B$2,allorders!$AG:$AG,"&gt;="&amp;日期!$B$1)</f>
        <v>0</v>
      </c>
      <c r="C708">
        <f>B708/(日期!$B$2-日期!$B$1+1)</f>
        <v>0</v>
      </c>
    </row>
    <row r="709" spans="2:3">
      <c r="B709">
        <f>SUMIFS(allorders!O:O,allorders!L:L,'数据处理(仓储使用)'!$A709,allorders!$AG:$AG,"&lt;="&amp;日期!$B$2,allorders!$AG:$AG,"&gt;="&amp;日期!$B$1)</f>
        <v>0</v>
      </c>
      <c r="C709">
        <f>B709/(日期!$B$2-日期!$B$1+1)</f>
        <v>0</v>
      </c>
    </row>
    <row r="710" spans="2:3">
      <c r="B710">
        <f>SUMIFS(allorders!O:O,allorders!L:L,'数据处理(仓储使用)'!$A710,allorders!$AG:$AG,"&lt;="&amp;日期!$B$2,allorders!$AG:$AG,"&gt;="&amp;日期!$B$1)</f>
        <v>0</v>
      </c>
      <c r="C710">
        <f>B710/(日期!$B$2-日期!$B$1+1)</f>
        <v>0</v>
      </c>
    </row>
    <row r="711" spans="2:3">
      <c r="B711">
        <f>SUMIFS(allorders!O:O,allorders!L:L,'数据处理(仓储使用)'!$A711,allorders!$AG:$AG,"&lt;="&amp;日期!$B$2,allorders!$AG:$AG,"&gt;="&amp;日期!$B$1)</f>
        <v>0</v>
      </c>
      <c r="C711">
        <f>B711/(日期!$B$2-日期!$B$1+1)</f>
        <v>0</v>
      </c>
    </row>
    <row r="712" spans="2:3">
      <c r="B712">
        <f>SUMIFS(allorders!O:O,allorders!L:L,'数据处理(仓储使用)'!$A712,allorders!$AG:$AG,"&lt;="&amp;日期!$B$2,allorders!$AG:$AG,"&gt;="&amp;日期!$B$1)</f>
        <v>0</v>
      </c>
      <c r="C712">
        <f>B712/(日期!$B$2-日期!$B$1+1)</f>
        <v>0</v>
      </c>
    </row>
    <row r="713" spans="2:3">
      <c r="B713">
        <f>SUMIFS(allorders!O:O,allorders!L:L,'数据处理(仓储使用)'!$A713,allorders!$AG:$AG,"&lt;="&amp;日期!$B$2,allorders!$AG:$AG,"&gt;="&amp;日期!$B$1)</f>
        <v>0</v>
      </c>
      <c r="C713">
        <f>B713/(日期!$B$2-日期!$B$1+1)</f>
        <v>0</v>
      </c>
    </row>
    <row r="714" spans="2:3">
      <c r="B714">
        <f>SUMIFS(allorders!O:O,allorders!L:L,'数据处理(仓储使用)'!$A714,allorders!$AG:$AG,"&lt;="&amp;日期!$B$2,allorders!$AG:$AG,"&gt;="&amp;日期!$B$1)</f>
        <v>0</v>
      </c>
      <c r="C714">
        <f>B714/(日期!$B$2-日期!$B$1+1)</f>
        <v>0</v>
      </c>
    </row>
    <row r="715" spans="2:3">
      <c r="B715">
        <f>SUMIFS(allorders!O:O,allorders!L:L,'数据处理(仓储使用)'!$A715,allorders!$AG:$AG,"&lt;="&amp;日期!$B$2,allorders!$AG:$AG,"&gt;="&amp;日期!$B$1)</f>
        <v>0</v>
      </c>
      <c r="C715">
        <f>B715/(日期!$B$2-日期!$B$1+1)</f>
        <v>0</v>
      </c>
    </row>
    <row r="716" spans="2:3">
      <c r="B716">
        <f>SUMIFS(allorders!O:O,allorders!L:L,'数据处理(仓储使用)'!$A716,allorders!$AG:$AG,"&lt;="&amp;日期!$B$2,allorders!$AG:$AG,"&gt;="&amp;日期!$B$1)</f>
        <v>0</v>
      </c>
      <c r="C716">
        <f>B716/(日期!$B$2-日期!$B$1+1)</f>
        <v>0</v>
      </c>
    </row>
    <row r="717" spans="2:3">
      <c r="B717">
        <f>SUMIFS(allorders!O:O,allorders!L:L,'数据处理(仓储使用)'!$A717,allorders!$AG:$AG,"&lt;="&amp;日期!$B$2,allorders!$AG:$AG,"&gt;="&amp;日期!$B$1)</f>
        <v>0</v>
      </c>
      <c r="C717">
        <f>B717/(日期!$B$2-日期!$B$1+1)</f>
        <v>0</v>
      </c>
    </row>
    <row r="718" spans="2:3">
      <c r="B718">
        <f>SUMIFS(allorders!O:O,allorders!L:L,'数据处理(仓储使用)'!$A718,allorders!$AG:$AG,"&lt;="&amp;日期!$B$2,allorders!$AG:$AG,"&gt;="&amp;日期!$B$1)</f>
        <v>0</v>
      </c>
      <c r="C718">
        <f>B718/(日期!$B$2-日期!$B$1+1)</f>
        <v>0</v>
      </c>
    </row>
    <row r="719" spans="2:3">
      <c r="B719">
        <f>SUMIFS(allorders!O:O,allorders!L:L,'数据处理(仓储使用)'!$A719,allorders!$AG:$AG,"&lt;="&amp;日期!$B$2,allorders!$AG:$AG,"&gt;="&amp;日期!$B$1)</f>
        <v>0</v>
      </c>
      <c r="C719">
        <f>B719/(日期!$B$2-日期!$B$1+1)</f>
        <v>0</v>
      </c>
    </row>
    <row r="720" spans="2:3">
      <c r="B720">
        <f>SUMIFS(allorders!O:O,allorders!L:L,'数据处理(仓储使用)'!$A720,allorders!$AG:$AG,"&lt;="&amp;日期!$B$2,allorders!$AG:$AG,"&gt;="&amp;日期!$B$1)</f>
        <v>0</v>
      </c>
      <c r="C720">
        <f>B720/(日期!$B$2-日期!$B$1+1)</f>
        <v>0</v>
      </c>
    </row>
    <row r="721" spans="2:3">
      <c r="B721">
        <f>SUMIFS(allorders!O:O,allorders!L:L,'数据处理(仓储使用)'!$A721,allorders!$AG:$AG,"&lt;="&amp;日期!$B$2,allorders!$AG:$AG,"&gt;="&amp;日期!$B$1)</f>
        <v>0</v>
      </c>
      <c r="C721">
        <f>B721/(日期!$B$2-日期!$B$1+1)</f>
        <v>0</v>
      </c>
    </row>
    <row r="722" spans="2:3">
      <c r="B722">
        <f>SUMIFS(allorders!O:O,allorders!L:L,'数据处理(仓储使用)'!$A722,allorders!$AG:$AG,"&lt;="&amp;日期!$B$2,allorders!$AG:$AG,"&gt;="&amp;日期!$B$1)</f>
        <v>0</v>
      </c>
      <c r="C722">
        <f>B722/(日期!$B$2-日期!$B$1+1)</f>
        <v>0</v>
      </c>
    </row>
    <row r="723" spans="2:3">
      <c r="B723">
        <f>SUMIFS(allorders!O:O,allorders!L:L,'数据处理(仓储使用)'!$A723,allorders!$AG:$AG,"&lt;="&amp;日期!$B$2,allorders!$AG:$AG,"&gt;="&amp;日期!$B$1)</f>
        <v>0</v>
      </c>
      <c r="C723">
        <f>B723/(日期!$B$2-日期!$B$1+1)</f>
        <v>0</v>
      </c>
    </row>
    <row r="724" spans="2:3">
      <c r="B724">
        <f>SUMIFS(allorders!O:O,allorders!L:L,'数据处理(仓储使用)'!$A724,allorders!$AG:$AG,"&lt;="&amp;日期!$B$2,allorders!$AG:$AG,"&gt;="&amp;日期!$B$1)</f>
        <v>0</v>
      </c>
      <c r="C724">
        <f>B724/(日期!$B$2-日期!$B$1+1)</f>
        <v>0</v>
      </c>
    </row>
    <row r="725" spans="2:3">
      <c r="B725">
        <f>SUMIFS(allorders!O:O,allorders!L:L,'数据处理(仓储使用)'!$A725,allorders!$AG:$AG,"&lt;="&amp;日期!$B$2,allorders!$AG:$AG,"&gt;="&amp;日期!$B$1)</f>
        <v>0</v>
      </c>
      <c r="C725">
        <f>B725/(日期!$B$2-日期!$B$1+1)</f>
        <v>0</v>
      </c>
    </row>
    <row r="726" spans="2:3">
      <c r="B726">
        <f>SUMIFS(allorders!O:O,allorders!L:L,'数据处理(仓储使用)'!$A726,allorders!$AG:$AG,"&lt;="&amp;日期!$B$2,allorders!$AG:$AG,"&gt;="&amp;日期!$B$1)</f>
        <v>0</v>
      </c>
      <c r="C726">
        <f>B726/(日期!$B$2-日期!$B$1+1)</f>
        <v>0</v>
      </c>
    </row>
    <row r="727" spans="2:3">
      <c r="B727">
        <f>SUMIFS(allorders!O:O,allorders!L:L,'数据处理(仓储使用)'!$A727,allorders!$AG:$AG,"&lt;="&amp;日期!$B$2,allorders!$AG:$AG,"&gt;="&amp;日期!$B$1)</f>
        <v>0</v>
      </c>
      <c r="C727">
        <f>B727/(日期!$B$2-日期!$B$1+1)</f>
        <v>0</v>
      </c>
    </row>
    <row r="728" spans="2:3">
      <c r="B728">
        <f>SUMIFS(allorders!O:O,allorders!L:L,'数据处理(仓储使用)'!$A728,allorders!$AG:$AG,"&lt;="&amp;日期!$B$2,allorders!$AG:$AG,"&gt;="&amp;日期!$B$1)</f>
        <v>0</v>
      </c>
      <c r="C728">
        <f>B728/(日期!$B$2-日期!$B$1+1)</f>
        <v>0</v>
      </c>
    </row>
    <row r="729" spans="2:3">
      <c r="B729">
        <f>SUMIFS(allorders!O:O,allorders!L:L,'数据处理(仓储使用)'!$A729,allorders!$AG:$AG,"&lt;="&amp;日期!$B$2,allorders!$AG:$AG,"&gt;="&amp;日期!$B$1)</f>
        <v>0</v>
      </c>
      <c r="C729">
        <f>B729/(日期!$B$2-日期!$B$1+1)</f>
        <v>0</v>
      </c>
    </row>
    <row r="730" spans="2:3">
      <c r="B730">
        <f>SUMIFS(allorders!O:O,allorders!L:L,'数据处理(仓储使用)'!$A730,allorders!$AG:$AG,"&lt;="&amp;日期!$B$2,allorders!$AG:$AG,"&gt;="&amp;日期!$B$1)</f>
        <v>0</v>
      </c>
      <c r="C730">
        <f>B730/(日期!$B$2-日期!$B$1+1)</f>
        <v>0</v>
      </c>
    </row>
    <row r="731" spans="2:3">
      <c r="B731">
        <f>SUMIFS(allorders!O:O,allorders!L:L,'数据处理(仓储使用)'!$A731,allorders!$AG:$AG,"&lt;="&amp;日期!$B$2,allorders!$AG:$AG,"&gt;="&amp;日期!$B$1)</f>
        <v>0</v>
      </c>
      <c r="C731">
        <f>B731/(日期!$B$2-日期!$B$1+1)</f>
        <v>0</v>
      </c>
    </row>
    <row r="732" spans="2:3">
      <c r="B732">
        <f>SUMIFS(allorders!O:O,allorders!L:L,'数据处理(仓储使用)'!$A732,allorders!$AG:$AG,"&lt;="&amp;日期!$B$2,allorders!$AG:$AG,"&gt;="&amp;日期!$B$1)</f>
        <v>0</v>
      </c>
      <c r="C732">
        <f>B732/(日期!$B$2-日期!$B$1+1)</f>
        <v>0</v>
      </c>
    </row>
    <row r="733" spans="2:3">
      <c r="B733">
        <f>SUMIFS(allorders!O:O,allorders!L:L,'数据处理(仓储使用)'!$A733,allorders!$AG:$AG,"&lt;="&amp;日期!$B$2,allorders!$AG:$AG,"&gt;="&amp;日期!$B$1)</f>
        <v>0</v>
      </c>
      <c r="C733">
        <f>B733/(日期!$B$2-日期!$B$1+1)</f>
        <v>0</v>
      </c>
    </row>
    <row r="734" spans="2:3">
      <c r="B734">
        <f>SUMIFS(allorders!O:O,allorders!L:L,'数据处理(仓储使用)'!$A734,allorders!$AG:$AG,"&lt;="&amp;日期!$B$2,allorders!$AG:$AG,"&gt;="&amp;日期!$B$1)</f>
        <v>0</v>
      </c>
      <c r="C734">
        <f>B734/(日期!$B$2-日期!$B$1+1)</f>
        <v>0</v>
      </c>
    </row>
    <row r="735" spans="2:3">
      <c r="B735">
        <f>SUMIFS(allorders!O:O,allorders!L:L,'数据处理(仓储使用)'!$A735,allorders!$AG:$AG,"&lt;="&amp;日期!$B$2,allorders!$AG:$AG,"&gt;="&amp;日期!$B$1)</f>
        <v>0</v>
      </c>
      <c r="C735">
        <f>B735/(日期!$B$2-日期!$B$1+1)</f>
        <v>0</v>
      </c>
    </row>
    <row r="736" spans="2:3">
      <c r="B736">
        <f>SUMIFS(allorders!O:O,allorders!L:L,'数据处理(仓储使用)'!$A736,allorders!$AG:$AG,"&lt;="&amp;日期!$B$2,allorders!$AG:$AG,"&gt;="&amp;日期!$B$1)</f>
        <v>0</v>
      </c>
      <c r="C736">
        <f>B736/(日期!$B$2-日期!$B$1+1)</f>
        <v>0</v>
      </c>
    </row>
    <row r="737" spans="2:3">
      <c r="B737">
        <f>SUMIFS(allorders!O:O,allorders!L:L,'数据处理(仓储使用)'!$A737,allorders!$AG:$AG,"&lt;="&amp;日期!$B$2,allorders!$AG:$AG,"&gt;="&amp;日期!$B$1)</f>
        <v>0</v>
      </c>
      <c r="C737">
        <f>B737/(日期!$B$2-日期!$B$1+1)</f>
        <v>0</v>
      </c>
    </row>
    <row r="738" spans="2:3">
      <c r="B738">
        <f>SUMIFS(allorders!O:O,allorders!L:L,'数据处理(仓储使用)'!$A738,allorders!$AG:$AG,"&lt;="&amp;日期!$B$2,allorders!$AG:$AG,"&gt;="&amp;日期!$B$1)</f>
        <v>0</v>
      </c>
      <c r="C738">
        <f>B738/(日期!$B$2-日期!$B$1+1)</f>
        <v>0</v>
      </c>
    </row>
    <row r="739" spans="2:3">
      <c r="B739">
        <f>SUMIFS(allorders!O:O,allorders!L:L,'数据处理(仓储使用)'!$A739,allorders!$AG:$AG,"&lt;="&amp;日期!$B$2,allorders!$AG:$AG,"&gt;="&amp;日期!$B$1)</f>
        <v>0</v>
      </c>
      <c r="C739">
        <f>B739/(日期!$B$2-日期!$B$1+1)</f>
        <v>0</v>
      </c>
    </row>
    <row r="740" spans="2:3">
      <c r="B740">
        <f>SUMIFS(allorders!O:O,allorders!L:L,'数据处理(仓储使用)'!$A740,allorders!$AG:$AG,"&lt;="&amp;日期!$B$2,allorders!$AG:$AG,"&gt;="&amp;日期!$B$1)</f>
        <v>0</v>
      </c>
      <c r="C740">
        <f>B740/(日期!$B$2-日期!$B$1+1)</f>
        <v>0</v>
      </c>
    </row>
    <row r="741" spans="2:3">
      <c r="B741">
        <f>SUMIFS(allorders!O:O,allorders!L:L,'数据处理(仓储使用)'!$A741,allorders!$AG:$AG,"&lt;="&amp;日期!$B$2,allorders!$AG:$AG,"&gt;="&amp;日期!$B$1)</f>
        <v>0</v>
      </c>
      <c r="C741">
        <f>B741/(日期!$B$2-日期!$B$1+1)</f>
        <v>0</v>
      </c>
    </row>
    <row r="742" spans="2:3">
      <c r="B742">
        <f>SUMIFS(allorders!O:O,allorders!L:L,'数据处理(仓储使用)'!$A742,allorders!$AG:$AG,"&lt;="&amp;日期!$B$2,allorders!$AG:$AG,"&gt;="&amp;日期!$B$1)</f>
        <v>0</v>
      </c>
      <c r="C742">
        <f>B742/(日期!$B$2-日期!$B$1+1)</f>
        <v>0</v>
      </c>
    </row>
    <row r="743" spans="2:3">
      <c r="B743">
        <f>SUMIFS(allorders!O:O,allorders!L:L,'数据处理(仓储使用)'!$A743,allorders!$AG:$AG,"&lt;="&amp;日期!$B$2,allorders!$AG:$AG,"&gt;="&amp;日期!$B$1)</f>
        <v>0</v>
      </c>
      <c r="C743">
        <f>B743/(日期!$B$2-日期!$B$1+1)</f>
        <v>0</v>
      </c>
    </row>
    <row r="744" spans="2:3">
      <c r="B744">
        <f>SUMIFS(allorders!O:O,allorders!L:L,'数据处理(仓储使用)'!$A744,allorders!$AG:$AG,"&lt;="&amp;日期!$B$2,allorders!$AG:$AG,"&gt;="&amp;日期!$B$1)</f>
        <v>0</v>
      </c>
      <c r="C744">
        <f>B744/(日期!$B$2-日期!$B$1+1)</f>
        <v>0</v>
      </c>
    </row>
    <row r="745" spans="2:3">
      <c r="B745">
        <f>SUMIFS(allorders!O:O,allorders!L:L,'数据处理(仓储使用)'!$A745,allorders!$AG:$AG,"&lt;="&amp;日期!$B$2,allorders!$AG:$AG,"&gt;="&amp;日期!$B$1)</f>
        <v>0</v>
      </c>
      <c r="C745">
        <f>B745/(日期!$B$2-日期!$B$1+1)</f>
        <v>0</v>
      </c>
    </row>
    <row r="746" spans="2:3">
      <c r="B746">
        <f>SUMIFS(allorders!O:O,allorders!L:L,'数据处理(仓储使用)'!$A746,allorders!$AG:$AG,"&lt;="&amp;日期!$B$2,allorders!$AG:$AG,"&gt;="&amp;日期!$B$1)</f>
        <v>0</v>
      </c>
      <c r="C746">
        <f>B746/(日期!$B$2-日期!$B$1+1)</f>
        <v>0</v>
      </c>
    </row>
    <row r="747" spans="2:3">
      <c r="B747">
        <f>SUMIFS(allorders!O:O,allorders!L:L,'数据处理(仓储使用)'!$A747,allorders!$AG:$AG,"&lt;="&amp;日期!$B$2,allorders!$AG:$AG,"&gt;="&amp;日期!$B$1)</f>
        <v>0</v>
      </c>
      <c r="C747">
        <f>B747/(日期!$B$2-日期!$B$1+1)</f>
        <v>0</v>
      </c>
    </row>
    <row r="748" spans="2:3">
      <c r="B748">
        <f>SUMIFS(allorders!O:O,allorders!L:L,'数据处理(仓储使用)'!$A748,allorders!$AG:$AG,"&lt;="&amp;日期!$B$2,allorders!$AG:$AG,"&gt;="&amp;日期!$B$1)</f>
        <v>0</v>
      </c>
      <c r="C748">
        <f>B748/(日期!$B$2-日期!$B$1+1)</f>
        <v>0</v>
      </c>
    </row>
    <row r="749" spans="2:3">
      <c r="B749">
        <f>SUMIFS(allorders!O:O,allorders!L:L,'数据处理(仓储使用)'!$A749,allorders!$AG:$AG,"&lt;="&amp;日期!$B$2,allorders!$AG:$AG,"&gt;="&amp;日期!$B$1)</f>
        <v>0</v>
      </c>
      <c r="C749">
        <f>B749/(日期!$B$2-日期!$B$1+1)</f>
        <v>0</v>
      </c>
    </row>
    <row r="750" spans="2:3">
      <c r="B750">
        <f>SUMIFS(allorders!O:O,allorders!L:L,'数据处理(仓储使用)'!$A750,allorders!$AG:$AG,"&lt;="&amp;日期!$B$2,allorders!$AG:$AG,"&gt;="&amp;日期!$B$1)</f>
        <v>0</v>
      </c>
      <c r="C750">
        <f>B750/(日期!$B$2-日期!$B$1+1)</f>
        <v>0</v>
      </c>
    </row>
    <row r="751" spans="2:3">
      <c r="B751">
        <f>SUMIFS(allorders!O:O,allorders!L:L,'数据处理(仓储使用)'!$A751,allorders!$AG:$AG,"&lt;="&amp;日期!$B$2,allorders!$AG:$AG,"&gt;="&amp;日期!$B$1)</f>
        <v>0</v>
      </c>
      <c r="C751">
        <f>B751/(日期!$B$2-日期!$B$1+1)</f>
        <v>0</v>
      </c>
    </row>
    <row r="752" spans="2:3">
      <c r="B752">
        <f>SUMIFS(allorders!O:O,allorders!L:L,'数据处理(仓储使用)'!$A752,allorders!$AG:$AG,"&lt;="&amp;日期!$B$2,allorders!$AG:$AG,"&gt;="&amp;日期!$B$1)</f>
        <v>0</v>
      </c>
      <c r="C752">
        <f>B752/(日期!$B$2-日期!$B$1+1)</f>
        <v>0</v>
      </c>
    </row>
    <row r="753" spans="2:3">
      <c r="B753">
        <f>SUMIFS(allorders!O:O,allorders!L:L,'数据处理(仓储使用)'!$A753,allorders!$AG:$AG,"&lt;="&amp;日期!$B$2,allorders!$AG:$AG,"&gt;="&amp;日期!$B$1)</f>
        <v>0</v>
      </c>
      <c r="C753">
        <f>B753/(日期!$B$2-日期!$B$1+1)</f>
        <v>0</v>
      </c>
    </row>
    <row r="754" spans="2:3">
      <c r="B754">
        <f>SUMIFS(allorders!O:O,allorders!L:L,'数据处理(仓储使用)'!$A754,allorders!$AG:$AG,"&lt;="&amp;日期!$B$2,allorders!$AG:$AG,"&gt;="&amp;日期!$B$1)</f>
        <v>0</v>
      </c>
      <c r="C754">
        <f>B754/(日期!$B$2-日期!$B$1+1)</f>
        <v>0</v>
      </c>
    </row>
    <row r="755" spans="2:3">
      <c r="B755">
        <f>SUMIFS(allorders!O:O,allorders!L:L,'数据处理(仓储使用)'!$A755,allorders!$AG:$AG,"&lt;="&amp;日期!$B$2,allorders!$AG:$AG,"&gt;="&amp;日期!$B$1)</f>
        <v>0</v>
      </c>
      <c r="C755">
        <f>B755/(日期!$B$2-日期!$B$1+1)</f>
        <v>0</v>
      </c>
    </row>
    <row r="756" spans="2:3">
      <c r="B756">
        <f>SUMIFS(allorders!O:O,allorders!L:L,'数据处理(仓储使用)'!$A756,allorders!$AG:$AG,"&lt;="&amp;日期!$B$2,allorders!$AG:$AG,"&gt;="&amp;日期!$B$1)</f>
        <v>0</v>
      </c>
      <c r="C756">
        <f>B756/(日期!$B$2-日期!$B$1+1)</f>
        <v>0</v>
      </c>
    </row>
    <row r="757" spans="2:3">
      <c r="B757">
        <f>SUMIFS(allorders!O:O,allorders!L:L,'数据处理(仓储使用)'!$A757,allorders!$AG:$AG,"&lt;="&amp;日期!$B$2,allorders!$AG:$AG,"&gt;="&amp;日期!$B$1)</f>
        <v>0</v>
      </c>
      <c r="C757">
        <f>B757/(日期!$B$2-日期!$B$1+1)</f>
        <v>0</v>
      </c>
    </row>
    <row r="758" spans="2:3">
      <c r="B758">
        <f>SUMIFS(allorders!O:O,allorders!L:L,'数据处理(仓储使用)'!$A758,allorders!$AG:$AG,"&lt;="&amp;日期!$B$2,allorders!$AG:$AG,"&gt;="&amp;日期!$B$1)</f>
        <v>0</v>
      </c>
      <c r="C758">
        <f>B758/(日期!$B$2-日期!$B$1+1)</f>
        <v>0</v>
      </c>
    </row>
    <row r="759" spans="2:3">
      <c r="B759">
        <f>SUMIFS(allorders!O:O,allorders!L:L,'数据处理(仓储使用)'!$A759,allorders!$AG:$AG,"&lt;="&amp;日期!$B$2,allorders!$AG:$AG,"&gt;="&amp;日期!$B$1)</f>
        <v>0</v>
      </c>
      <c r="C759">
        <f>B759/(日期!$B$2-日期!$B$1+1)</f>
        <v>0</v>
      </c>
    </row>
    <row r="760" spans="2:3">
      <c r="B760">
        <f>SUMIFS(allorders!O:O,allorders!L:L,'数据处理(仓储使用)'!$A760,allorders!$AG:$AG,"&lt;="&amp;日期!$B$2,allorders!$AG:$AG,"&gt;="&amp;日期!$B$1)</f>
        <v>0</v>
      </c>
      <c r="C760">
        <f>B760/(日期!$B$2-日期!$B$1+1)</f>
        <v>0</v>
      </c>
    </row>
    <row r="761" spans="2:3">
      <c r="B761">
        <f>SUMIFS(allorders!O:O,allorders!L:L,'数据处理(仓储使用)'!$A761,allorders!$AG:$AG,"&lt;="&amp;日期!$B$2,allorders!$AG:$AG,"&gt;="&amp;日期!$B$1)</f>
        <v>0</v>
      </c>
      <c r="C761">
        <f>B761/(日期!$B$2-日期!$B$1+1)</f>
        <v>0</v>
      </c>
    </row>
    <row r="762" spans="2:3">
      <c r="B762">
        <f>SUMIFS(allorders!O:O,allorders!L:L,'数据处理(仓储使用)'!$A762,allorders!$AG:$AG,"&lt;="&amp;日期!$B$2,allorders!$AG:$AG,"&gt;="&amp;日期!$B$1)</f>
        <v>0</v>
      </c>
      <c r="C762">
        <f>B762/(日期!$B$2-日期!$B$1+1)</f>
        <v>0</v>
      </c>
    </row>
    <row r="763" spans="2:3">
      <c r="B763">
        <f>SUMIFS(allorders!O:O,allorders!L:L,'数据处理(仓储使用)'!$A763,allorders!$AG:$AG,"&lt;="&amp;日期!$B$2,allorders!$AG:$AG,"&gt;="&amp;日期!$B$1)</f>
        <v>0</v>
      </c>
      <c r="C763">
        <f>B763/(日期!$B$2-日期!$B$1+1)</f>
        <v>0</v>
      </c>
    </row>
    <row r="764" spans="2:3">
      <c r="B764">
        <f>SUMIFS(allorders!O:O,allorders!L:L,'数据处理(仓储使用)'!$A764,allorders!$AG:$AG,"&lt;="&amp;日期!$B$2,allorders!$AG:$AG,"&gt;="&amp;日期!$B$1)</f>
        <v>0</v>
      </c>
      <c r="C764">
        <f>B764/(日期!$B$2-日期!$B$1+1)</f>
        <v>0</v>
      </c>
    </row>
    <row r="765" spans="2:3">
      <c r="B765">
        <f>SUMIFS(allorders!O:O,allorders!L:L,'数据处理(仓储使用)'!$A765,allorders!$AG:$AG,"&lt;="&amp;日期!$B$2,allorders!$AG:$AG,"&gt;="&amp;日期!$B$1)</f>
        <v>0</v>
      </c>
      <c r="C765">
        <f>B765/(日期!$B$2-日期!$B$1+1)</f>
        <v>0</v>
      </c>
    </row>
    <row r="766" spans="2:3">
      <c r="B766">
        <f>SUMIFS(allorders!O:O,allorders!L:L,'数据处理(仓储使用)'!$A766,allorders!$AG:$AG,"&lt;="&amp;日期!$B$2,allorders!$AG:$AG,"&gt;="&amp;日期!$B$1)</f>
        <v>0</v>
      </c>
      <c r="C766">
        <f>B766/(日期!$B$2-日期!$B$1+1)</f>
        <v>0</v>
      </c>
    </row>
    <row r="767" spans="2:3">
      <c r="B767">
        <f>SUMIFS(allorders!O:O,allorders!L:L,'数据处理(仓储使用)'!$A767,allorders!$AG:$AG,"&lt;="&amp;日期!$B$2,allorders!$AG:$AG,"&gt;="&amp;日期!$B$1)</f>
        <v>0</v>
      </c>
      <c r="C767">
        <f>B767/(日期!$B$2-日期!$B$1+1)</f>
        <v>0</v>
      </c>
    </row>
    <row r="768" spans="2:3">
      <c r="B768">
        <f>SUMIFS(allorders!O:O,allorders!L:L,'数据处理(仓储使用)'!$A768,allorders!$AG:$AG,"&lt;="&amp;日期!$B$2,allorders!$AG:$AG,"&gt;="&amp;日期!$B$1)</f>
        <v>0</v>
      </c>
      <c r="C768">
        <f>B768/(日期!$B$2-日期!$B$1+1)</f>
        <v>0</v>
      </c>
    </row>
    <row r="769" spans="2:3">
      <c r="B769">
        <f>SUMIFS(allorders!O:O,allorders!L:L,'数据处理(仓储使用)'!$A769,allorders!$AG:$AG,"&lt;="&amp;日期!$B$2,allorders!$AG:$AG,"&gt;="&amp;日期!$B$1)</f>
        <v>0</v>
      </c>
      <c r="C769">
        <f>B769/(日期!$B$2-日期!$B$1+1)</f>
        <v>0</v>
      </c>
    </row>
    <row r="770" spans="2:3">
      <c r="B770">
        <f>SUMIFS(allorders!O:O,allorders!L:L,'数据处理(仓储使用)'!$A770,allorders!$AG:$AG,"&lt;="&amp;日期!$B$2,allorders!$AG:$AG,"&gt;="&amp;日期!$B$1)</f>
        <v>0</v>
      </c>
      <c r="C770">
        <f>B770/(日期!$B$2-日期!$B$1+1)</f>
        <v>0</v>
      </c>
    </row>
    <row r="771" spans="2:3">
      <c r="B771">
        <f>SUMIFS(allorders!O:O,allorders!L:L,'数据处理(仓储使用)'!$A771,allorders!$AG:$AG,"&lt;="&amp;日期!$B$2,allorders!$AG:$AG,"&gt;="&amp;日期!$B$1)</f>
        <v>0</v>
      </c>
      <c r="C771">
        <f>B771/(日期!$B$2-日期!$B$1+1)</f>
        <v>0</v>
      </c>
    </row>
    <row r="772" spans="2:3">
      <c r="B772">
        <f>SUMIFS(allorders!O:O,allorders!L:L,'数据处理(仓储使用)'!$A772,allorders!$AG:$AG,"&lt;="&amp;日期!$B$2,allorders!$AG:$AG,"&gt;="&amp;日期!$B$1)</f>
        <v>0</v>
      </c>
      <c r="C772">
        <f>B772/(日期!$B$2-日期!$B$1+1)</f>
        <v>0</v>
      </c>
    </row>
    <row r="773" spans="2:3">
      <c r="B773">
        <f>SUMIFS(allorders!O:O,allorders!L:L,'数据处理(仓储使用)'!$A773,allorders!$AG:$AG,"&lt;="&amp;日期!$B$2,allorders!$AG:$AG,"&gt;="&amp;日期!$B$1)</f>
        <v>0</v>
      </c>
      <c r="C773">
        <f>B773/(日期!$B$2-日期!$B$1+1)</f>
        <v>0</v>
      </c>
    </row>
    <row r="774" spans="2:3">
      <c r="B774">
        <f>SUMIFS(allorders!O:O,allorders!L:L,'数据处理(仓储使用)'!$A774,allorders!$AG:$AG,"&lt;="&amp;日期!$B$2,allorders!$AG:$AG,"&gt;="&amp;日期!$B$1)</f>
        <v>0</v>
      </c>
      <c r="C774">
        <f>B774/(日期!$B$2-日期!$B$1+1)</f>
        <v>0</v>
      </c>
    </row>
    <row r="775" spans="2:3">
      <c r="B775">
        <f>SUMIFS(allorders!O:O,allorders!L:L,'数据处理(仓储使用)'!$A775,allorders!$AG:$AG,"&lt;="&amp;日期!$B$2,allorders!$AG:$AG,"&gt;="&amp;日期!$B$1)</f>
        <v>0</v>
      </c>
      <c r="C775">
        <f>B775/(日期!$B$2-日期!$B$1+1)</f>
        <v>0</v>
      </c>
    </row>
    <row r="776" spans="2:3">
      <c r="B776">
        <f>SUMIFS(allorders!O:O,allorders!L:L,'数据处理(仓储使用)'!$A776,allorders!$AG:$AG,"&lt;="&amp;日期!$B$2,allorders!$AG:$AG,"&gt;="&amp;日期!$B$1)</f>
        <v>0</v>
      </c>
      <c r="C776">
        <f>B776/(日期!$B$2-日期!$B$1+1)</f>
        <v>0</v>
      </c>
    </row>
    <row r="777" spans="2:3">
      <c r="B777">
        <f>SUMIFS(allorders!O:O,allorders!L:L,'数据处理(仓储使用)'!$A777,allorders!$AG:$AG,"&lt;="&amp;日期!$B$2,allorders!$AG:$AG,"&gt;="&amp;日期!$B$1)</f>
        <v>0</v>
      </c>
      <c r="C777">
        <f>B777/(日期!$B$2-日期!$B$1+1)</f>
        <v>0</v>
      </c>
    </row>
    <row r="778" spans="2:3">
      <c r="B778">
        <f>SUMIFS(allorders!O:O,allorders!L:L,'数据处理(仓储使用)'!$A778,allorders!$AG:$AG,"&lt;="&amp;日期!$B$2,allorders!$AG:$AG,"&gt;="&amp;日期!$B$1)</f>
        <v>0</v>
      </c>
      <c r="C778">
        <f>B778/(日期!$B$2-日期!$B$1+1)</f>
        <v>0</v>
      </c>
    </row>
    <row r="779" spans="2:3">
      <c r="B779">
        <f>SUMIFS(allorders!O:O,allorders!L:L,'数据处理(仓储使用)'!$A779,allorders!$AG:$AG,"&lt;="&amp;日期!$B$2,allorders!$AG:$AG,"&gt;="&amp;日期!$B$1)</f>
        <v>0</v>
      </c>
      <c r="C779">
        <f>B779/(日期!$B$2-日期!$B$1+1)</f>
        <v>0</v>
      </c>
    </row>
    <row r="780" spans="2:3">
      <c r="B780">
        <f>SUMIFS(allorders!O:O,allorders!L:L,'数据处理(仓储使用)'!$A780,allorders!$AG:$AG,"&lt;="&amp;日期!$B$2,allorders!$AG:$AG,"&gt;="&amp;日期!$B$1)</f>
        <v>0</v>
      </c>
      <c r="C780">
        <f>B780/(日期!$B$2-日期!$B$1+1)</f>
        <v>0</v>
      </c>
    </row>
    <row r="781" spans="2:3">
      <c r="B781">
        <f>SUMIFS(allorders!O:O,allorders!L:L,'数据处理(仓储使用)'!$A781,allorders!$AG:$AG,"&lt;="&amp;日期!$B$2,allorders!$AG:$AG,"&gt;="&amp;日期!$B$1)</f>
        <v>0</v>
      </c>
      <c r="C781">
        <f>B781/(日期!$B$2-日期!$B$1+1)</f>
        <v>0</v>
      </c>
    </row>
    <row r="782" spans="2:3">
      <c r="B782">
        <f>SUMIFS(allorders!O:O,allorders!L:L,'数据处理(仓储使用)'!$A782,allorders!$AG:$AG,"&lt;="&amp;日期!$B$2,allorders!$AG:$AG,"&gt;="&amp;日期!$B$1)</f>
        <v>0</v>
      </c>
      <c r="C782">
        <f>B782/(日期!$B$2-日期!$B$1+1)</f>
        <v>0</v>
      </c>
    </row>
    <row r="783" spans="2:3">
      <c r="B783">
        <f>SUMIFS(allorders!O:O,allorders!L:L,'数据处理(仓储使用)'!$A783,allorders!$AG:$AG,"&lt;="&amp;日期!$B$2,allorders!$AG:$AG,"&gt;="&amp;日期!$B$1)</f>
        <v>0</v>
      </c>
      <c r="C783">
        <f>B783/(日期!$B$2-日期!$B$1+1)</f>
        <v>0</v>
      </c>
    </row>
    <row r="784" spans="2:3">
      <c r="B784">
        <f>SUMIFS(allorders!O:O,allorders!L:L,'数据处理(仓储使用)'!$A784,allorders!$AG:$AG,"&lt;="&amp;日期!$B$2,allorders!$AG:$AG,"&gt;="&amp;日期!$B$1)</f>
        <v>0</v>
      </c>
      <c r="C784">
        <f>B784/(日期!$B$2-日期!$B$1+1)</f>
        <v>0</v>
      </c>
    </row>
    <row r="785" spans="2:3">
      <c r="B785">
        <f>SUMIFS(allorders!O:O,allorders!L:L,'数据处理(仓储使用)'!$A785,allorders!$AG:$AG,"&lt;="&amp;日期!$B$2,allorders!$AG:$AG,"&gt;="&amp;日期!$B$1)</f>
        <v>0</v>
      </c>
      <c r="C785">
        <f>B785/(日期!$B$2-日期!$B$1+1)</f>
        <v>0</v>
      </c>
    </row>
    <row r="786" spans="2:3">
      <c r="B786">
        <f>SUMIFS(allorders!O:O,allorders!L:L,'数据处理(仓储使用)'!$A786,allorders!$AG:$AG,"&lt;="&amp;日期!$B$2,allorders!$AG:$AG,"&gt;="&amp;日期!$B$1)</f>
        <v>0</v>
      </c>
      <c r="C786">
        <f>B786/(日期!$B$2-日期!$B$1+1)</f>
        <v>0</v>
      </c>
    </row>
    <row r="787" spans="2:3">
      <c r="B787">
        <f>SUMIFS(allorders!O:O,allorders!L:L,'数据处理(仓储使用)'!$A787,allorders!$AG:$AG,"&lt;="&amp;日期!$B$2,allorders!$AG:$AG,"&gt;="&amp;日期!$B$1)</f>
        <v>0</v>
      </c>
      <c r="C787">
        <f>B787/(日期!$B$2-日期!$B$1+1)</f>
        <v>0</v>
      </c>
    </row>
    <row r="788" spans="2:3">
      <c r="B788">
        <f>SUMIFS(allorders!O:O,allorders!L:L,'数据处理(仓储使用)'!$A788,allorders!$AG:$AG,"&lt;="&amp;日期!$B$2,allorders!$AG:$AG,"&gt;="&amp;日期!$B$1)</f>
        <v>0</v>
      </c>
      <c r="C788">
        <f>B788/(日期!$B$2-日期!$B$1+1)</f>
        <v>0</v>
      </c>
    </row>
    <row r="789" spans="2:3">
      <c r="B789">
        <f>SUMIFS(allorders!O:O,allorders!L:L,'数据处理(仓储使用)'!$A789,allorders!$AG:$AG,"&lt;="&amp;日期!$B$2,allorders!$AG:$AG,"&gt;="&amp;日期!$B$1)</f>
        <v>0</v>
      </c>
      <c r="C789">
        <f>B789/(日期!$B$2-日期!$B$1+1)</f>
        <v>0</v>
      </c>
    </row>
    <row r="790" spans="2:3">
      <c r="B790">
        <f>SUMIFS(allorders!O:O,allorders!L:L,'数据处理(仓储使用)'!$A790,allorders!$AG:$AG,"&lt;="&amp;日期!$B$2,allorders!$AG:$AG,"&gt;="&amp;日期!$B$1)</f>
        <v>0</v>
      </c>
      <c r="C790">
        <f>B790/(日期!$B$2-日期!$B$1+1)</f>
        <v>0</v>
      </c>
    </row>
    <row r="791" spans="2:3">
      <c r="B791">
        <f>SUMIFS(allorders!O:O,allorders!L:L,'数据处理(仓储使用)'!$A791,allorders!$AG:$AG,"&lt;="&amp;日期!$B$2,allorders!$AG:$AG,"&gt;="&amp;日期!$B$1)</f>
        <v>0</v>
      </c>
      <c r="C791">
        <f>B791/(日期!$B$2-日期!$B$1+1)</f>
        <v>0</v>
      </c>
    </row>
    <row r="792" spans="2:3">
      <c r="B792">
        <f>SUMIFS(allorders!O:O,allorders!L:L,'数据处理(仓储使用)'!$A792,allorders!$AG:$AG,"&lt;="&amp;日期!$B$2,allorders!$AG:$AG,"&gt;="&amp;日期!$B$1)</f>
        <v>0</v>
      </c>
      <c r="C792">
        <f>B792/(日期!$B$2-日期!$B$1+1)</f>
        <v>0</v>
      </c>
    </row>
    <row r="793" spans="2:3">
      <c r="B793">
        <f>SUMIFS(allorders!O:O,allorders!L:L,'数据处理(仓储使用)'!$A793,allorders!$AG:$AG,"&lt;="&amp;日期!$B$2,allorders!$AG:$AG,"&gt;="&amp;日期!$B$1)</f>
        <v>0</v>
      </c>
      <c r="C793">
        <f>B793/(日期!$B$2-日期!$B$1+1)</f>
        <v>0</v>
      </c>
    </row>
    <row r="794" spans="2:3">
      <c r="B794">
        <f>SUMIFS(allorders!O:O,allorders!L:L,'数据处理(仓储使用)'!$A794,allorders!$AG:$AG,"&lt;="&amp;日期!$B$2,allorders!$AG:$AG,"&gt;="&amp;日期!$B$1)</f>
        <v>0</v>
      </c>
      <c r="C794">
        <f>B794/(日期!$B$2-日期!$B$1+1)</f>
        <v>0</v>
      </c>
    </row>
    <row r="795" spans="2:3">
      <c r="B795">
        <f>SUMIFS(allorders!O:O,allorders!L:L,'数据处理(仓储使用)'!$A795,allorders!$AG:$AG,"&lt;="&amp;日期!$B$2,allorders!$AG:$AG,"&gt;="&amp;日期!$B$1)</f>
        <v>0</v>
      </c>
      <c r="C795">
        <f>B795/(日期!$B$2-日期!$B$1+1)</f>
        <v>0</v>
      </c>
    </row>
    <row r="796" spans="2:3">
      <c r="B796">
        <f>SUMIFS(allorders!O:O,allorders!L:L,'数据处理(仓储使用)'!$A796,allorders!$AG:$AG,"&lt;="&amp;日期!$B$2,allorders!$AG:$AG,"&gt;="&amp;日期!$B$1)</f>
        <v>0</v>
      </c>
      <c r="C796">
        <f>B796/(日期!$B$2-日期!$B$1+1)</f>
        <v>0</v>
      </c>
    </row>
    <row r="797" spans="2:3">
      <c r="B797">
        <f>SUMIFS(allorders!O:O,allorders!L:L,'数据处理(仓储使用)'!$A797,allorders!$AG:$AG,"&lt;="&amp;日期!$B$2,allorders!$AG:$AG,"&gt;="&amp;日期!$B$1)</f>
        <v>0</v>
      </c>
      <c r="C797">
        <f>B797/(日期!$B$2-日期!$B$1+1)</f>
        <v>0</v>
      </c>
    </row>
    <row r="798" spans="2:3">
      <c r="B798">
        <f>SUMIFS(allorders!O:O,allorders!L:L,'数据处理(仓储使用)'!$A798,allorders!$AG:$AG,"&lt;="&amp;日期!$B$2,allorders!$AG:$AG,"&gt;="&amp;日期!$B$1)</f>
        <v>0</v>
      </c>
      <c r="C798">
        <f>B798/(日期!$B$2-日期!$B$1+1)</f>
        <v>0</v>
      </c>
    </row>
    <row r="799" spans="2:3">
      <c r="B799">
        <f>SUMIFS(allorders!O:O,allorders!L:L,'数据处理(仓储使用)'!$A799,allorders!$AG:$AG,"&lt;="&amp;日期!$B$2,allorders!$AG:$AG,"&gt;="&amp;日期!$B$1)</f>
        <v>0</v>
      </c>
      <c r="C799">
        <f>B799/(日期!$B$2-日期!$B$1+1)</f>
        <v>0</v>
      </c>
    </row>
    <row r="800" spans="2:3">
      <c r="B800">
        <f>SUMIFS(allorders!O:O,allorders!L:L,'数据处理(仓储使用)'!$A800,allorders!$AG:$AG,"&lt;="&amp;日期!$B$2,allorders!$AG:$AG,"&gt;="&amp;日期!$B$1)</f>
        <v>0</v>
      </c>
      <c r="C800">
        <f>B800/(日期!$B$2-日期!$B$1+1)</f>
        <v>0</v>
      </c>
    </row>
    <row r="801" spans="2:3">
      <c r="B801">
        <f>SUMIFS(allorders!O:O,allorders!L:L,'数据处理(仓储使用)'!$A801,allorders!$AG:$AG,"&lt;="&amp;日期!$B$2,allorders!$AG:$AG,"&gt;="&amp;日期!$B$1)</f>
        <v>0</v>
      </c>
      <c r="C801">
        <f>B801/(日期!$B$2-日期!$B$1+1)</f>
        <v>0</v>
      </c>
    </row>
    <row r="802" spans="2:3">
      <c r="B802">
        <f>SUMIFS(allorders!O:O,allorders!L:L,'数据处理(仓储使用)'!$A802,allorders!$AG:$AG,"&lt;="&amp;日期!$B$2,allorders!$AG:$AG,"&gt;="&amp;日期!$B$1)</f>
        <v>0</v>
      </c>
      <c r="C802">
        <f>B802/(日期!$B$2-日期!$B$1+1)</f>
        <v>0</v>
      </c>
    </row>
    <row r="803" spans="2:3">
      <c r="B803">
        <f>SUMIFS(allorders!O:O,allorders!L:L,'数据处理(仓储使用)'!$A803,allorders!$AG:$AG,"&lt;="&amp;日期!$B$2,allorders!$AG:$AG,"&gt;="&amp;日期!$B$1)</f>
        <v>0</v>
      </c>
      <c r="C803">
        <f>B803/(日期!$B$2-日期!$B$1+1)</f>
        <v>0</v>
      </c>
    </row>
    <row r="804" spans="2:3">
      <c r="B804">
        <f>SUMIFS(allorders!O:O,allorders!L:L,'数据处理(仓储使用)'!$A804,allorders!$AG:$AG,"&lt;="&amp;日期!$B$2,allorders!$AG:$AG,"&gt;="&amp;日期!$B$1)</f>
        <v>0</v>
      </c>
      <c r="C804">
        <f>B804/(日期!$B$2-日期!$B$1+1)</f>
        <v>0</v>
      </c>
    </row>
    <row r="805" spans="2:3">
      <c r="B805">
        <f>SUMIFS(allorders!O:O,allorders!L:L,'数据处理(仓储使用)'!$A805,allorders!$AG:$AG,"&lt;="&amp;日期!$B$2,allorders!$AG:$AG,"&gt;="&amp;日期!$B$1)</f>
        <v>0</v>
      </c>
      <c r="C805">
        <f>B805/(日期!$B$2-日期!$B$1+1)</f>
        <v>0</v>
      </c>
    </row>
    <row r="806" spans="2:3">
      <c r="B806">
        <f>SUMIFS(allorders!O:O,allorders!L:L,'数据处理(仓储使用)'!$A806,allorders!$AG:$AG,"&lt;="&amp;日期!$B$2,allorders!$AG:$AG,"&gt;="&amp;日期!$B$1)</f>
        <v>0</v>
      </c>
      <c r="C806">
        <f>B806/(日期!$B$2-日期!$B$1+1)</f>
        <v>0</v>
      </c>
    </row>
    <row r="807" spans="2:3">
      <c r="B807">
        <f>SUMIFS(allorders!O:O,allorders!L:L,'数据处理(仓储使用)'!$A807,allorders!$AG:$AG,"&lt;="&amp;日期!$B$2,allorders!$AG:$AG,"&gt;="&amp;日期!$B$1)</f>
        <v>0</v>
      </c>
      <c r="C807">
        <f>B807/(日期!$B$2-日期!$B$1+1)</f>
        <v>0</v>
      </c>
    </row>
    <row r="808" spans="2:3">
      <c r="B808">
        <f>SUMIFS(allorders!O:O,allorders!L:L,'数据处理(仓储使用)'!$A808,allorders!$AG:$AG,"&lt;="&amp;日期!$B$2,allorders!$AG:$AG,"&gt;="&amp;日期!$B$1)</f>
        <v>0</v>
      </c>
      <c r="C808">
        <f>B808/(日期!$B$2-日期!$B$1+1)</f>
        <v>0</v>
      </c>
    </row>
    <row r="809" spans="2:3">
      <c r="B809">
        <f>SUMIFS(allorders!O:O,allorders!L:L,'数据处理(仓储使用)'!$A809,allorders!$AG:$AG,"&lt;="&amp;日期!$B$2,allorders!$AG:$AG,"&gt;="&amp;日期!$B$1)</f>
        <v>0</v>
      </c>
      <c r="C809">
        <f>B809/(日期!$B$2-日期!$B$1+1)</f>
        <v>0</v>
      </c>
    </row>
    <row r="810" spans="2:3">
      <c r="B810">
        <f>SUMIFS(allorders!O:O,allorders!L:L,'数据处理(仓储使用)'!$A810,allorders!$AG:$AG,"&lt;="&amp;日期!$B$2,allorders!$AG:$AG,"&gt;="&amp;日期!$B$1)</f>
        <v>0</v>
      </c>
      <c r="C810">
        <f>B810/(日期!$B$2-日期!$B$1+1)</f>
        <v>0</v>
      </c>
    </row>
    <row r="811" spans="2:3">
      <c r="B811">
        <f>SUMIFS(allorders!O:O,allorders!L:L,'数据处理(仓储使用)'!$A811,allorders!$AG:$AG,"&lt;="&amp;日期!$B$2,allorders!$AG:$AG,"&gt;="&amp;日期!$B$1)</f>
        <v>0</v>
      </c>
      <c r="C811">
        <f>B811/(日期!$B$2-日期!$B$1+1)</f>
        <v>0</v>
      </c>
    </row>
    <row r="812" spans="2:3">
      <c r="B812">
        <f>SUMIFS(allorders!O:O,allorders!L:L,'数据处理(仓储使用)'!$A812,allorders!$AG:$AG,"&lt;="&amp;日期!$B$2,allorders!$AG:$AG,"&gt;="&amp;日期!$B$1)</f>
        <v>0</v>
      </c>
      <c r="C812">
        <f>B812/(日期!$B$2-日期!$B$1+1)</f>
        <v>0</v>
      </c>
    </row>
    <row r="813" spans="2:3">
      <c r="B813">
        <f>SUMIFS(allorders!O:O,allorders!L:L,'数据处理(仓储使用)'!$A813,allorders!$AG:$AG,"&lt;="&amp;日期!$B$2,allorders!$AG:$AG,"&gt;="&amp;日期!$B$1)</f>
        <v>0</v>
      </c>
      <c r="C813">
        <f>B813/(日期!$B$2-日期!$B$1+1)</f>
        <v>0</v>
      </c>
    </row>
    <row r="814" spans="2:3">
      <c r="B814">
        <f>SUMIFS(allorders!O:O,allorders!L:L,'数据处理(仓储使用)'!$A814,allorders!$AG:$AG,"&lt;="&amp;日期!$B$2,allorders!$AG:$AG,"&gt;="&amp;日期!$B$1)</f>
        <v>0</v>
      </c>
      <c r="C814">
        <f>B814/(日期!$B$2-日期!$B$1+1)</f>
        <v>0</v>
      </c>
    </row>
    <row r="815" spans="2:3">
      <c r="B815">
        <f>SUMIFS(allorders!O:O,allorders!L:L,'数据处理(仓储使用)'!$A815,allorders!$AG:$AG,"&lt;="&amp;日期!$B$2,allorders!$AG:$AG,"&gt;="&amp;日期!$B$1)</f>
        <v>0</v>
      </c>
      <c r="C815">
        <f>B815/(日期!$B$2-日期!$B$1+1)</f>
        <v>0</v>
      </c>
    </row>
    <row r="816" spans="2:3">
      <c r="B816">
        <f>SUMIFS(allorders!O:O,allorders!L:L,'数据处理(仓储使用)'!$A816,allorders!$AG:$AG,"&lt;="&amp;日期!$B$2,allorders!$AG:$AG,"&gt;="&amp;日期!$B$1)</f>
        <v>0</v>
      </c>
      <c r="C816">
        <f>B816/(日期!$B$2-日期!$B$1+1)</f>
        <v>0</v>
      </c>
    </row>
    <row r="817" spans="2:3">
      <c r="B817">
        <f>SUMIFS(allorders!O:O,allorders!L:L,'数据处理(仓储使用)'!$A817,allorders!$AG:$AG,"&lt;="&amp;日期!$B$2,allorders!$AG:$AG,"&gt;="&amp;日期!$B$1)</f>
        <v>0</v>
      </c>
      <c r="C817">
        <f>B817/(日期!$B$2-日期!$B$1+1)</f>
        <v>0</v>
      </c>
    </row>
    <row r="818" spans="2:3">
      <c r="B818">
        <f>SUMIFS(allorders!O:O,allorders!L:L,'数据处理(仓储使用)'!$A818,allorders!$AG:$AG,"&lt;="&amp;日期!$B$2,allorders!$AG:$AG,"&gt;="&amp;日期!$B$1)</f>
        <v>0</v>
      </c>
      <c r="C818">
        <f>B818/(日期!$B$2-日期!$B$1+1)</f>
        <v>0</v>
      </c>
    </row>
    <row r="819" spans="2:3">
      <c r="B819">
        <f>SUMIFS(allorders!O:O,allorders!L:L,'数据处理(仓储使用)'!$A819,allorders!$AG:$AG,"&lt;="&amp;日期!$B$2,allorders!$AG:$AG,"&gt;="&amp;日期!$B$1)</f>
        <v>0</v>
      </c>
      <c r="C819">
        <f>B819/(日期!$B$2-日期!$B$1+1)</f>
        <v>0</v>
      </c>
    </row>
    <row r="820" spans="2:3">
      <c r="B820">
        <f>SUMIFS(allorders!O:O,allorders!L:L,'数据处理(仓储使用)'!$A820,allorders!$AG:$AG,"&lt;="&amp;日期!$B$2,allorders!$AG:$AG,"&gt;="&amp;日期!$B$1)</f>
        <v>0</v>
      </c>
      <c r="C820">
        <f>B820/(日期!$B$2-日期!$B$1+1)</f>
        <v>0</v>
      </c>
    </row>
    <row r="821" spans="2:3">
      <c r="B821">
        <f>SUMIFS(allorders!O:O,allorders!L:L,'数据处理(仓储使用)'!$A821,allorders!$AG:$AG,"&lt;="&amp;日期!$B$2,allorders!$AG:$AG,"&gt;="&amp;日期!$B$1)</f>
        <v>0</v>
      </c>
      <c r="C821">
        <f>B821/(日期!$B$2-日期!$B$1+1)</f>
        <v>0</v>
      </c>
    </row>
    <row r="822" spans="2:3">
      <c r="B822">
        <f>SUMIFS(allorders!O:O,allorders!L:L,'数据处理(仓储使用)'!$A822,allorders!$AG:$AG,"&lt;="&amp;日期!$B$2,allorders!$AG:$AG,"&gt;="&amp;日期!$B$1)</f>
        <v>0</v>
      </c>
      <c r="C822">
        <f>B822/(日期!$B$2-日期!$B$1+1)</f>
        <v>0</v>
      </c>
    </row>
    <row r="823" spans="2:3">
      <c r="B823">
        <f>SUMIFS(allorders!O:O,allorders!L:L,'数据处理(仓储使用)'!$A823,allorders!$AG:$AG,"&lt;="&amp;日期!$B$2,allorders!$AG:$AG,"&gt;="&amp;日期!$B$1)</f>
        <v>0</v>
      </c>
      <c r="C823">
        <f>B823/(日期!$B$2-日期!$B$1+1)</f>
        <v>0</v>
      </c>
    </row>
    <row r="824" spans="2:3">
      <c r="B824">
        <f>SUMIFS(allorders!O:O,allorders!L:L,'数据处理(仓储使用)'!$A824,allorders!$AG:$AG,"&lt;="&amp;日期!$B$2,allorders!$AG:$AG,"&gt;="&amp;日期!$B$1)</f>
        <v>0</v>
      </c>
      <c r="C824">
        <f>B824/(日期!$B$2-日期!$B$1+1)</f>
        <v>0</v>
      </c>
    </row>
    <row r="825" spans="2:3">
      <c r="B825">
        <f>SUMIFS(allorders!O:O,allorders!L:L,'数据处理(仓储使用)'!$A825,allorders!$AG:$AG,"&lt;="&amp;日期!$B$2,allorders!$AG:$AG,"&gt;="&amp;日期!$B$1)</f>
        <v>0</v>
      </c>
      <c r="C825">
        <f>B825/(日期!$B$2-日期!$B$1+1)</f>
        <v>0</v>
      </c>
    </row>
    <row r="826" spans="2:3">
      <c r="B826">
        <f>SUMIFS(allorders!O:O,allorders!L:L,'数据处理(仓储使用)'!$A826,allorders!$AG:$AG,"&lt;="&amp;日期!$B$2,allorders!$AG:$AG,"&gt;="&amp;日期!$B$1)</f>
        <v>0</v>
      </c>
      <c r="C826">
        <f>B826/(日期!$B$2-日期!$B$1+1)</f>
        <v>0</v>
      </c>
    </row>
    <row r="827" spans="2:3">
      <c r="B827">
        <f>SUMIFS(allorders!O:O,allorders!L:L,'数据处理(仓储使用)'!$A827,allorders!$AG:$AG,"&lt;="&amp;日期!$B$2,allorders!$AG:$AG,"&gt;="&amp;日期!$B$1)</f>
        <v>0</v>
      </c>
      <c r="C827">
        <f>B827/(日期!$B$2-日期!$B$1+1)</f>
        <v>0</v>
      </c>
    </row>
    <row r="828" spans="2:3">
      <c r="B828">
        <f>SUMIFS(allorders!O:O,allorders!L:L,'数据处理(仓储使用)'!$A828,allorders!$AG:$AG,"&lt;="&amp;日期!$B$2,allorders!$AG:$AG,"&gt;="&amp;日期!$B$1)</f>
        <v>0</v>
      </c>
      <c r="C828">
        <f>B828/(日期!$B$2-日期!$B$1+1)</f>
        <v>0</v>
      </c>
    </row>
    <row r="829" spans="2:3">
      <c r="B829">
        <f>SUMIFS(allorders!O:O,allorders!L:L,'数据处理(仓储使用)'!$A829,allorders!$AG:$AG,"&lt;="&amp;日期!$B$2,allorders!$AG:$AG,"&gt;="&amp;日期!$B$1)</f>
        <v>0</v>
      </c>
      <c r="C829">
        <f>B829/(日期!$B$2-日期!$B$1+1)</f>
        <v>0</v>
      </c>
    </row>
    <row r="830" spans="2:3">
      <c r="B830">
        <f>SUMIFS(allorders!O:O,allorders!L:L,'数据处理(仓储使用)'!$A830,allorders!$AG:$AG,"&lt;="&amp;日期!$B$2,allorders!$AG:$AG,"&gt;="&amp;日期!$B$1)</f>
        <v>0</v>
      </c>
      <c r="C830">
        <f>B830/(日期!$B$2-日期!$B$1+1)</f>
        <v>0</v>
      </c>
    </row>
    <row r="831" spans="2:3">
      <c r="B831">
        <f>SUMIFS(allorders!O:O,allorders!L:L,'数据处理(仓储使用)'!$A831,allorders!$AG:$AG,"&lt;="&amp;日期!$B$2,allorders!$AG:$AG,"&gt;="&amp;日期!$B$1)</f>
        <v>0</v>
      </c>
      <c r="C831">
        <f>B831/(日期!$B$2-日期!$B$1+1)</f>
        <v>0</v>
      </c>
    </row>
    <row r="832" spans="2:3">
      <c r="B832">
        <f>SUMIFS(allorders!O:O,allorders!L:L,'数据处理(仓储使用)'!$A832,allorders!$AG:$AG,"&lt;="&amp;日期!$B$2,allorders!$AG:$AG,"&gt;="&amp;日期!$B$1)</f>
        <v>0</v>
      </c>
      <c r="C832">
        <f>B832/(日期!$B$2-日期!$B$1+1)</f>
        <v>0</v>
      </c>
    </row>
    <row r="833" spans="2:3">
      <c r="B833">
        <f>SUMIFS(allorders!O:O,allorders!L:L,'数据处理(仓储使用)'!$A833,allorders!$AG:$AG,"&lt;="&amp;日期!$B$2,allorders!$AG:$AG,"&gt;="&amp;日期!$B$1)</f>
        <v>0</v>
      </c>
      <c r="C833">
        <f>B833/(日期!$B$2-日期!$B$1+1)</f>
        <v>0</v>
      </c>
    </row>
    <row r="834" spans="2:3">
      <c r="B834">
        <f>SUMIFS(allorders!O:O,allorders!L:L,'数据处理(仓储使用)'!$A834,allorders!$AG:$AG,"&lt;="&amp;日期!$B$2,allorders!$AG:$AG,"&gt;="&amp;日期!$B$1)</f>
        <v>0</v>
      </c>
      <c r="C834">
        <f>B834/(日期!$B$2-日期!$B$1+1)</f>
        <v>0</v>
      </c>
    </row>
    <row r="835" spans="2:3">
      <c r="B835">
        <f>SUMIFS(allorders!O:O,allorders!L:L,'数据处理(仓储使用)'!$A835,allorders!$AG:$AG,"&lt;="&amp;日期!$B$2,allorders!$AG:$AG,"&gt;="&amp;日期!$B$1)</f>
        <v>0</v>
      </c>
      <c r="C835">
        <f>B835/(日期!$B$2-日期!$B$1+1)</f>
        <v>0</v>
      </c>
    </row>
    <row r="836" spans="2:3">
      <c r="B836">
        <f>SUMIFS(allorders!O:O,allorders!L:L,'数据处理(仓储使用)'!$A836,allorders!$AG:$AG,"&lt;="&amp;日期!$B$2,allorders!$AG:$AG,"&gt;="&amp;日期!$B$1)</f>
        <v>0</v>
      </c>
      <c r="C836">
        <f>B836/(日期!$B$2-日期!$B$1+1)</f>
        <v>0</v>
      </c>
    </row>
    <row r="837" spans="2:3">
      <c r="B837">
        <f>SUMIFS(allorders!O:O,allorders!L:L,'数据处理(仓储使用)'!$A837,allorders!$AG:$AG,"&lt;="&amp;日期!$B$2,allorders!$AG:$AG,"&gt;="&amp;日期!$B$1)</f>
        <v>0</v>
      </c>
      <c r="C837">
        <f>B837/(日期!$B$2-日期!$B$1+1)</f>
        <v>0</v>
      </c>
    </row>
    <row r="838" spans="2:3">
      <c r="B838">
        <f>SUMIFS(allorders!O:O,allorders!L:L,'数据处理(仓储使用)'!$A838,allorders!$AG:$AG,"&lt;="&amp;日期!$B$2,allorders!$AG:$AG,"&gt;="&amp;日期!$B$1)</f>
        <v>0</v>
      </c>
      <c r="C838">
        <f>B838/(日期!$B$2-日期!$B$1+1)</f>
        <v>0</v>
      </c>
    </row>
    <row r="839" spans="2:3">
      <c r="B839">
        <f>SUMIFS(allorders!O:O,allorders!L:L,'数据处理(仓储使用)'!$A839,allorders!$AG:$AG,"&lt;="&amp;日期!$B$2,allorders!$AG:$AG,"&gt;="&amp;日期!$B$1)</f>
        <v>0</v>
      </c>
      <c r="C839">
        <f>B839/(日期!$B$2-日期!$B$1+1)</f>
        <v>0</v>
      </c>
    </row>
    <row r="840" spans="2:3">
      <c r="B840">
        <f>SUMIFS(allorders!O:O,allorders!L:L,'数据处理(仓储使用)'!$A840,allorders!$AG:$AG,"&lt;="&amp;日期!$B$2,allorders!$AG:$AG,"&gt;="&amp;日期!$B$1)</f>
        <v>0</v>
      </c>
      <c r="C840">
        <f>B840/(日期!$B$2-日期!$B$1+1)</f>
        <v>0</v>
      </c>
    </row>
    <row r="841" spans="2:3">
      <c r="B841">
        <f>SUMIFS(allorders!O:O,allorders!L:L,'数据处理(仓储使用)'!$A841,allorders!$AG:$AG,"&lt;="&amp;日期!$B$2,allorders!$AG:$AG,"&gt;="&amp;日期!$B$1)</f>
        <v>0</v>
      </c>
      <c r="C841">
        <f>B841/(日期!$B$2-日期!$B$1+1)</f>
        <v>0</v>
      </c>
    </row>
    <row r="842" spans="2:3">
      <c r="B842">
        <f>SUMIFS(allorders!O:O,allorders!L:L,'数据处理(仓储使用)'!$A842,allorders!$AG:$AG,"&lt;="&amp;日期!$B$2,allorders!$AG:$AG,"&gt;="&amp;日期!$B$1)</f>
        <v>0</v>
      </c>
      <c r="C842">
        <f>B842/(日期!$B$2-日期!$B$1+1)</f>
        <v>0</v>
      </c>
    </row>
    <row r="843" spans="2:3">
      <c r="B843">
        <f>SUMIFS(allorders!O:O,allorders!L:L,'数据处理(仓储使用)'!$A843,allorders!$AG:$AG,"&lt;="&amp;日期!$B$2,allorders!$AG:$AG,"&gt;="&amp;日期!$B$1)</f>
        <v>0</v>
      </c>
      <c r="C843">
        <f>B843/(日期!$B$2-日期!$B$1+1)</f>
        <v>0</v>
      </c>
    </row>
    <row r="844" spans="2:3">
      <c r="B844">
        <f>SUMIFS(allorders!O:O,allorders!L:L,'数据处理(仓储使用)'!$A844,allorders!$AG:$AG,"&lt;="&amp;日期!$B$2,allorders!$AG:$AG,"&gt;="&amp;日期!$B$1)</f>
        <v>0</v>
      </c>
      <c r="C844">
        <f>B844/(日期!$B$2-日期!$B$1+1)</f>
        <v>0</v>
      </c>
    </row>
    <row r="845" spans="2:3">
      <c r="B845">
        <f>SUMIFS(allorders!O:O,allorders!L:L,'数据处理(仓储使用)'!$A845,allorders!$AG:$AG,"&lt;="&amp;日期!$B$2,allorders!$AG:$AG,"&gt;="&amp;日期!$B$1)</f>
        <v>0</v>
      </c>
      <c r="C845">
        <f>B845/(日期!$B$2-日期!$B$1+1)</f>
        <v>0</v>
      </c>
    </row>
    <row r="846" spans="2:3">
      <c r="B846">
        <f>SUMIFS(allorders!O:O,allorders!L:L,'数据处理(仓储使用)'!$A846,allorders!$AG:$AG,"&lt;="&amp;日期!$B$2,allorders!$AG:$AG,"&gt;="&amp;日期!$B$1)</f>
        <v>0</v>
      </c>
      <c r="C846">
        <f>B846/(日期!$B$2-日期!$B$1+1)</f>
        <v>0</v>
      </c>
    </row>
    <row r="847" spans="2:3">
      <c r="B847">
        <f>SUMIFS(allorders!O:O,allorders!L:L,'数据处理(仓储使用)'!$A847,allorders!$AG:$AG,"&lt;="&amp;日期!$B$2,allorders!$AG:$AG,"&gt;="&amp;日期!$B$1)</f>
        <v>0</v>
      </c>
      <c r="C847">
        <f>B847/(日期!$B$2-日期!$B$1+1)</f>
        <v>0</v>
      </c>
    </row>
    <row r="848" spans="2:3">
      <c r="B848">
        <f>SUMIFS(allorders!O:O,allorders!L:L,'数据处理(仓储使用)'!$A848,allorders!$AG:$AG,"&lt;="&amp;日期!$B$2,allorders!$AG:$AG,"&gt;="&amp;日期!$B$1)</f>
        <v>0</v>
      </c>
      <c r="C848">
        <f>B848/(日期!$B$2-日期!$B$1+1)</f>
        <v>0</v>
      </c>
    </row>
    <row r="849" spans="2:3">
      <c r="B849">
        <f>SUMIFS(allorders!O:O,allorders!L:L,'数据处理(仓储使用)'!$A849,allorders!$AG:$AG,"&lt;="&amp;日期!$B$2,allorders!$AG:$AG,"&gt;="&amp;日期!$B$1)</f>
        <v>0</v>
      </c>
      <c r="C849">
        <f>B849/(日期!$B$2-日期!$B$1+1)</f>
        <v>0</v>
      </c>
    </row>
    <row r="850" spans="2:3">
      <c r="B850">
        <f>SUMIFS(allorders!O:O,allorders!L:L,'数据处理(仓储使用)'!$A850,allorders!$AG:$AG,"&lt;="&amp;日期!$B$2,allorders!$AG:$AG,"&gt;="&amp;日期!$B$1)</f>
        <v>0</v>
      </c>
      <c r="C850">
        <f>B850/(日期!$B$2-日期!$B$1+1)</f>
        <v>0</v>
      </c>
    </row>
    <row r="851" spans="2:3">
      <c r="B851">
        <f>SUMIFS(allorders!O:O,allorders!L:L,'数据处理(仓储使用)'!$A851,allorders!$AG:$AG,"&lt;="&amp;日期!$B$2,allorders!$AG:$AG,"&gt;="&amp;日期!$B$1)</f>
        <v>0</v>
      </c>
      <c r="C851">
        <f>B851/(日期!$B$2-日期!$B$1+1)</f>
        <v>0</v>
      </c>
    </row>
    <row r="852" spans="2:3">
      <c r="B852">
        <f>SUMIFS(allorders!O:O,allorders!L:L,'数据处理(仓储使用)'!$A852,allorders!$AG:$AG,"&lt;="&amp;日期!$B$2,allorders!$AG:$AG,"&gt;="&amp;日期!$B$1)</f>
        <v>0</v>
      </c>
      <c r="C852">
        <f>B852/(日期!$B$2-日期!$B$1+1)</f>
        <v>0</v>
      </c>
    </row>
    <row r="853" spans="2:3">
      <c r="B853">
        <f>SUMIFS(allorders!O:O,allorders!L:L,'数据处理(仓储使用)'!$A853,allorders!$AG:$AG,"&lt;="&amp;日期!$B$2,allorders!$AG:$AG,"&gt;="&amp;日期!$B$1)</f>
        <v>0</v>
      </c>
      <c r="C853">
        <f>B853/(日期!$B$2-日期!$B$1+1)</f>
        <v>0</v>
      </c>
    </row>
    <row r="854" spans="2:3">
      <c r="B854">
        <f>SUMIFS(allorders!O:O,allorders!L:L,'数据处理(仓储使用)'!$A854,allorders!$AG:$AG,"&lt;="&amp;日期!$B$2,allorders!$AG:$AG,"&gt;="&amp;日期!$B$1)</f>
        <v>0</v>
      </c>
      <c r="C854">
        <f>B854/(日期!$B$2-日期!$B$1+1)</f>
        <v>0</v>
      </c>
    </row>
    <row r="855" spans="2:3">
      <c r="B855">
        <f>SUMIFS(allorders!O:O,allorders!L:L,'数据处理(仓储使用)'!$A855,allorders!$AG:$AG,"&lt;="&amp;日期!$B$2,allorders!$AG:$AG,"&gt;="&amp;日期!$B$1)</f>
        <v>0</v>
      </c>
      <c r="C855">
        <f>B855/(日期!$B$2-日期!$B$1+1)</f>
        <v>0</v>
      </c>
    </row>
    <row r="856" spans="2:3">
      <c r="B856">
        <f>SUMIFS(allorders!O:O,allorders!L:L,'数据处理(仓储使用)'!$A856,allorders!$AG:$AG,"&lt;="&amp;日期!$B$2,allorders!$AG:$AG,"&gt;="&amp;日期!$B$1)</f>
        <v>0</v>
      </c>
      <c r="C856">
        <f>B856/(日期!$B$2-日期!$B$1+1)</f>
        <v>0</v>
      </c>
    </row>
    <row r="857" spans="2:3">
      <c r="B857">
        <f>SUMIFS(allorders!O:O,allorders!L:L,'数据处理(仓储使用)'!$A857,allorders!$AG:$AG,"&lt;="&amp;日期!$B$2,allorders!$AG:$AG,"&gt;="&amp;日期!$B$1)</f>
        <v>0</v>
      </c>
      <c r="C857">
        <f>B857/(日期!$B$2-日期!$B$1+1)</f>
        <v>0</v>
      </c>
    </row>
    <row r="858" spans="2:3">
      <c r="B858">
        <f>SUMIFS(allorders!O:O,allorders!L:L,'数据处理(仓储使用)'!$A858,allorders!$AG:$AG,"&lt;="&amp;日期!$B$2,allorders!$AG:$AG,"&gt;="&amp;日期!$B$1)</f>
        <v>0</v>
      </c>
      <c r="C858">
        <f>B858/(日期!$B$2-日期!$B$1+1)</f>
        <v>0</v>
      </c>
    </row>
    <row r="859" spans="2:3">
      <c r="B859">
        <f>SUMIFS(allorders!O:O,allorders!L:L,'数据处理(仓储使用)'!$A859,allorders!$AG:$AG,"&lt;="&amp;日期!$B$2,allorders!$AG:$AG,"&gt;="&amp;日期!$B$1)</f>
        <v>0</v>
      </c>
      <c r="C859">
        <f>B859/(日期!$B$2-日期!$B$1+1)</f>
        <v>0</v>
      </c>
    </row>
    <row r="860" spans="2:3">
      <c r="B860">
        <f>SUMIFS(allorders!O:O,allorders!L:L,'数据处理(仓储使用)'!$A860,allorders!$AG:$AG,"&lt;="&amp;日期!$B$2,allorders!$AG:$AG,"&gt;="&amp;日期!$B$1)</f>
        <v>0</v>
      </c>
      <c r="C860">
        <f>B860/(日期!$B$2-日期!$B$1+1)</f>
        <v>0</v>
      </c>
    </row>
    <row r="861" spans="2:3">
      <c r="B861">
        <f>SUMIFS(allorders!O:O,allorders!L:L,'数据处理(仓储使用)'!$A861,allorders!$AG:$AG,"&lt;="&amp;日期!$B$2,allorders!$AG:$AG,"&gt;="&amp;日期!$B$1)</f>
        <v>0</v>
      </c>
      <c r="C861">
        <f>B861/(日期!$B$2-日期!$B$1+1)</f>
        <v>0</v>
      </c>
    </row>
    <row r="862" spans="2:3">
      <c r="B862">
        <f>SUMIFS(allorders!O:O,allorders!L:L,'数据处理(仓储使用)'!$A862,allorders!$AG:$AG,"&lt;="&amp;日期!$B$2,allorders!$AG:$AG,"&gt;="&amp;日期!$B$1)</f>
        <v>0</v>
      </c>
      <c r="C862">
        <f>B862/(日期!$B$2-日期!$B$1+1)</f>
        <v>0</v>
      </c>
    </row>
    <row r="863" spans="2:3">
      <c r="B863">
        <f>SUMIFS(allorders!O:O,allorders!L:L,'数据处理(仓储使用)'!$A863,allorders!$AG:$AG,"&lt;="&amp;日期!$B$2,allorders!$AG:$AG,"&gt;="&amp;日期!$B$1)</f>
        <v>0</v>
      </c>
      <c r="C863">
        <f>B863/(日期!$B$2-日期!$B$1+1)</f>
        <v>0</v>
      </c>
    </row>
    <row r="864" spans="2:3">
      <c r="B864">
        <f>SUMIFS(allorders!O:O,allorders!L:L,'数据处理(仓储使用)'!$A864,allorders!$AG:$AG,"&lt;="&amp;日期!$B$2,allorders!$AG:$AG,"&gt;="&amp;日期!$B$1)</f>
        <v>0</v>
      </c>
      <c r="C864">
        <f>B864/(日期!$B$2-日期!$B$1+1)</f>
        <v>0</v>
      </c>
    </row>
    <row r="865" spans="2:3">
      <c r="B865">
        <f>SUMIFS(allorders!O:O,allorders!L:L,'数据处理(仓储使用)'!$A865,allorders!$AG:$AG,"&lt;="&amp;日期!$B$2,allorders!$AG:$AG,"&gt;="&amp;日期!$B$1)</f>
        <v>0</v>
      </c>
      <c r="C865">
        <f>B865/(日期!$B$2-日期!$B$1+1)</f>
        <v>0</v>
      </c>
    </row>
    <row r="866" spans="2:3">
      <c r="B866">
        <f>SUMIFS(allorders!O:O,allorders!L:L,'数据处理(仓储使用)'!$A866,allorders!$AG:$AG,"&lt;="&amp;日期!$B$2,allorders!$AG:$AG,"&gt;="&amp;日期!$B$1)</f>
        <v>0</v>
      </c>
      <c r="C866">
        <f>B866/(日期!$B$2-日期!$B$1+1)</f>
        <v>0</v>
      </c>
    </row>
    <row r="867" spans="2:3">
      <c r="B867">
        <f>SUMIFS(allorders!O:O,allorders!L:L,'数据处理(仓储使用)'!$A867,allorders!$AG:$AG,"&lt;="&amp;日期!$B$2,allorders!$AG:$AG,"&gt;="&amp;日期!$B$1)</f>
        <v>0</v>
      </c>
      <c r="C867">
        <f>B867/(日期!$B$2-日期!$B$1+1)</f>
        <v>0</v>
      </c>
    </row>
    <row r="868" spans="2:3">
      <c r="B868">
        <f>SUMIFS(allorders!O:O,allorders!L:L,'数据处理(仓储使用)'!$A868,allorders!$AG:$AG,"&lt;="&amp;日期!$B$2,allorders!$AG:$AG,"&gt;="&amp;日期!$B$1)</f>
        <v>0</v>
      </c>
      <c r="C868">
        <f>B868/(日期!$B$2-日期!$B$1+1)</f>
        <v>0</v>
      </c>
    </row>
    <row r="869" spans="2:3">
      <c r="B869">
        <f>SUMIFS(allorders!O:O,allorders!L:L,'数据处理(仓储使用)'!$A869,allorders!$AG:$AG,"&lt;="&amp;日期!$B$2,allorders!$AG:$AG,"&gt;="&amp;日期!$B$1)</f>
        <v>0</v>
      </c>
      <c r="C869">
        <f>B869/(日期!$B$2-日期!$B$1+1)</f>
        <v>0</v>
      </c>
    </row>
    <row r="870" spans="2:3">
      <c r="B870">
        <f>SUMIFS(allorders!O:O,allorders!L:L,'数据处理(仓储使用)'!$A870,allorders!$AG:$AG,"&lt;="&amp;日期!$B$2,allorders!$AG:$AG,"&gt;="&amp;日期!$B$1)</f>
        <v>0</v>
      </c>
      <c r="C870">
        <f>B870/(日期!$B$2-日期!$B$1+1)</f>
        <v>0</v>
      </c>
    </row>
    <row r="871" spans="2:3">
      <c r="B871">
        <f>SUMIFS(allorders!O:O,allorders!L:L,'数据处理(仓储使用)'!$A871,allorders!$AG:$AG,"&lt;="&amp;日期!$B$2,allorders!$AG:$AG,"&gt;="&amp;日期!$B$1)</f>
        <v>0</v>
      </c>
      <c r="C871">
        <f>B871/(日期!$B$2-日期!$B$1+1)</f>
        <v>0</v>
      </c>
    </row>
    <row r="872" spans="2:3">
      <c r="B872">
        <f>SUMIFS(allorders!O:O,allorders!L:L,'数据处理(仓储使用)'!$A872,allorders!$AG:$AG,"&lt;="&amp;日期!$B$2,allorders!$AG:$AG,"&gt;="&amp;日期!$B$1)</f>
        <v>0</v>
      </c>
      <c r="C872">
        <f>B872/(日期!$B$2-日期!$B$1+1)</f>
        <v>0</v>
      </c>
    </row>
    <row r="873" spans="2:3">
      <c r="B873">
        <f>SUMIFS(allorders!O:O,allorders!L:L,'数据处理(仓储使用)'!$A873,allorders!$AG:$AG,"&lt;="&amp;日期!$B$2,allorders!$AG:$AG,"&gt;="&amp;日期!$B$1)</f>
        <v>0</v>
      </c>
      <c r="C873">
        <f>B873/(日期!$B$2-日期!$B$1+1)</f>
        <v>0</v>
      </c>
    </row>
    <row r="874" spans="2:3">
      <c r="B874">
        <f>SUMIFS(allorders!O:O,allorders!L:L,'数据处理(仓储使用)'!$A874,allorders!$AG:$AG,"&lt;="&amp;日期!$B$2,allorders!$AG:$AG,"&gt;="&amp;日期!$B$1)</f>
        <v>0</v>
      </c>
      <c r="C874">
        <f>B874/(日期!$B$2-日期!$B$1+1)</f>
        <v>0</v>
      </c>
    </row>
    <row r="875" spans="2:3">
      <c r="B875">
        <f>SUMIFS(allorders!O:O,allorders!L:L,'数据处理(仓储使用)'!$A875,allorders!$AG:$AG,"&lt;="&amp;日期!$B$2,allorders!$AG:$AG,"&gt;="&amp;日期!$B$1)</f>
        <v>0</v>
      </c>
      <c r="C875">
        <f>B875/(日期!$B$2-日期!$B$1+1)</f>
        <v>0</v>
      </c>
    </row>
    <row r="876" spans="2:3">
      <c r="B876">
        <f>SUMIFS(allorders!O:O,allorders!L:L,'数据处理(仓储使用)'!$A876,allorders!$AG:$AG,"&lt;="&amp;日期!$B$2,allorders!$AG:$AG,"&gt;="&amp;日期!$B$1)</f>
        <v>0</v>
      </c>
      <c r="C876">
        <f>B876/(日期!$B$2-日期!$B$1+1)</f>
        <v>0</v>
      </c>
    </row>
    <row r="877" spans="2:3">
      <c r="B877">
        <f>SUMIFS(allorders!O:O,allorders!L:L,'数据处理(仓储使用)'!$A877,allorders!$AG:$AG,"&lt;="&amp;日期!$B$2,allorders!$AG:$AG,"&gt;="&amp;日期!$B$1)</f>
        <v>0</v>
      </c>
      <c r="C877">
        <f>B877/(日期!$B$2-日期!$B$1+1)</f>
        <v>0</v>
      </c>
    </row>
    <row r="878" spans="2:3">
      <c r="B878">
        <f>SUMIFS(allorders!O:O,allorders!L:L,'数据处理(仓储使用)'!$A878,allorders!$AG:$AG,"&lt;="&amp;日期!$B$2,allorders!$AG:$AG,"&gt;="&amp;日期!$B$1)</f>
        <v>0</v>
      </c>
      <c r="C878">
        <f>B878/(日期!$B$2-日期!$B$1+1)</f>
        <v>0</v>
      </c>
    </row>
    <row r="879" spans="2:3">
      <c r="B879">
        <f>SUMIFS(allorders!O:O,allorders!L:L,'数据处理(仓储使用)'!$A879,allorders!$AG:$AG,"&lt;="&amp;日期!$B$2,allorders!$AG:$AG,"&gt;="&amp;日期!$B$1)</f>
        <v>0</v>
      </c>
      <c r="C879">
        <f>B879/(日期!$B$2-日期!$B$1+1)</f>
        <v>0</v>
      </c>
    </row>
    <row r="880" spans="2:3">
      <c r="B880">
        <f>SUMIFS(allorders!O:O,allorders!L:L,'数据处理(仓储使用)'!$A880,allorders!$AG:$AG,"&lt;="&amp;日期!$B$2,allorders!$AG:$AG,"&gt;="&amp;日期!$B$1)</f>
        <v>0</v>
      </c>
      <c r="C880">
        <f>B880/(日期!$B$2-日期!$B$1+1)</f>
        <v>0</v>
      </c>
    </row>
    <row r="881" spans="2:3">
      <c r="B881">
        <f>SUMIFS(allorders!O:O,allorders!L:L,'数据处理(仓储使用)'!$A881,allorders!$AG:$AG,"&lt;="&amp;日期!$B$2,allorders!$AG:$AG,"&gt;="&amp;日期!$B$1)</f>
        <v>0</v>
      </c>
      <c r="C881">
        <f>B881/(日期!$B$2-日期!$B$1+1)</f>
        <v>0</v>
      </c>
    </row>
    <row r="882" spans="2:3">
      <c r="B882">
        <f>SUMIFS(allorders!O:O,allorders!L:L,'数据处理(仓储使用)'!$A882,allorders!$AG:$AG,"&lt;="&amp;日期!$B$2,allorders!$AG:$AG,"&gt;="&amp;日期!$B$1)</f>
        <v>0</v>
      </c>
      <c r="C882">
        <f>B882/(日期!$B$2-日期!$B$1+1)</f>
        <v>0</v>
      </c>
    </row>
    <row r="883" spans="2:3">
      <c r="B883">
        <f>SUMIFS(allorders!O:O,allorders!L:L,'数据处理(仓储使用)'!$A883,allorders!$AG:$AG,"&lt;="&amp;日期!$B$2,allorders!$AG:$AG,"&gt;="&amp;日期!$B$1)</f>
        <v>0</v>
      </c>
      <c r="C883">
        <f>B883/(日期!$B$2-日期!$B$1+1)</f>
        <v>0</v>
      </c>
    </row>
    <row r="884" spans="2:3">
      <c r="B884">
        <f>SUMIFS(allorders!O:O,allorders!L:L,'数据处理(仓储使用)'!$A884,allorders!$AG:$AG,"&lt;="&amp;日期!$B$2,allorders!$AG:$AG,"&gt;="&amp;日期!$B$1)</f>
        <v>0</v>
      </c>
      <c r="C884">
        <f>B884/(日期!$B$2-日期!$B$1+1)</f>
        <v>0</v>
      </c>
    </row>
    <row r="885" spans="2:3">
      <c r="B885">
        <f>SUMIFS(allorders!O:O,allorders!L:L,'数据处理(仓储使用)'!$A885,allorders!$AG:$AG,"&lt;="&amp;日期!$B$2,allorders!$AG:$AG,"&gt;="&amp;日期!$B$1)</f>
        <v>0</v>
      </c>
      <c r="C885">
        <f>B885/(日期!$B$2-日期!$B$1+1)</f>
        <v>0</v>
      </c>
    </row>
    <row r="886" spans="2:3">
      <c r="B886">
        <f>SUMIFS(allorders!O:O,allorders!L:L,'数据处理(仓储使用)'!$A886,allorders!$AG:$AG,"&lt;="&amp;日期!$B$2,allorders!$AG:$AG,"&gt;="&amp;日期!$B$1)</f>
        <v>0</v>
      </c>
      <c r="C886">
        <f>B886/(日期!$B$2-日期!$B$1+1)</f>
        <v>0</v>
      </c>
    </row>
    <row r="887" spans="2:3">
      <c r="B887">
        <f>SUMIFS(allorders!O:O,allorders!L:L,'数据处理(仓储使用)'!$A887,allorders!$AG:$AG,"&lt;="&amp;日期!$B$2,allorders!$AG:$AG,"&gt;="&amp;日期!$B$1)</f>
        <v>0</v>
      </c>
      <c r="C887">
        <f>B887/(日期!$B$2-日期!$B$1+1)</f>
        <v>0</v>
      </c>
    </row>
    <row r="888" spans="2:3">
      <c r="B888">
        <f>SUMIFS(allorders!O:O,allorders!L:L,'数据处理(仓储使用)'!$A888,allorders!$AG:$AG,"&lt;="&amp;日期!$B$2,allorders!$AG:$AG,"&gt;="&amp;日期!$B$1)</f>
        <v>0</v>
      </c>
      <c r="C888">
        <f>B888/(日期!$B$2-日期!$B$1+1)</f>
        <v>0</v>
      </c>
    </row>
    <row r="889" spans="2:3">
      <c r="B889">
        <f>SUMIFS(allorders!O:O,allorders!L:L,'数据处理(仓储使用)'!$A889,allorders!$AG:$AG,"&lt;="&amp;日期!$B$2,allorders!$AG:$AG,"&gt;="&amp;日期!$B$1)</f>
        <v>0</v>
      </c>
      <c r="C889">
        <f>B889/(日期!$B$2-日期!$B$1+1)</f>
        <v>0</v>
      </c>
    </row>
    <row r="890" spans="2:3">
      <c r="B890">
        <f>SUMIFS(allorders!O:O,allorders!L:L,'数据处理(仓储使用)'!$A890,allorders!$AG:$AG,"&lt;="&amp;日期!$B$2,allorders!$AG:$AG,"&gt;="&amp;日期!$B$1)</f>
        <v>0</v>
      </c>
      <c r="C890">
        <f>B890/(日期!$B$2-日期!$B$1+1)</f>
        <v>0</v>
      </c>
    </row>
    <row r="891" spans="2:3">
      <c r="B891">
        <f>SUMIFS(allorders!O:O,allorders!L:L,'数据处理(仓储使用)'!$A891,allorders!$AG:$AG,"&lt;="&amp;日期!$B$2,allorders!$AG:$AG,"&gt;="&amp;日期!$B$1)</f>
        <v>0</v>
      </c>
      <c r="C891">
        <f>B891/(日期!$B$2-日期!$B$1+1)</f>
        <v>0</v>
      </c>
    </row>
    <row r="892" spans="2:3">
      <c r="B892">
        <f>SUMIFS(allorders!O:O,allorders!L:L,'数据处理(仓储使用)'!$A892,allorders!$AG:$AG,"&lt;="&amp;日期!$B$2,allorders!$AG:$AG,"&gt;="&amp;日期!$B$1)</f>
        <v>0</v>
      </c>
      <c r="C892">
        <f>B892/(日期!$B$2-日期!$B$1+1)</f>
        <v>0</v>
      </c>
    </row>
    <row r="893" spans="2:3">
      <c r="B893">
        <f>SUMIFS(allorders!O:O,allorders!L:L,'数据处理(仓储使用)'!$A893,allorders!$AG:$AG,"&lt;="&amp;日期!$B$2,allorders!$AG:$AG,"&gt;="&amp;日期!$B$1)</f>
        <v>0</v>
      </c>
      <c r="C893">
        <f>B893/(日期!$B$2-日期!$B$1+1)</f>
        <v>0</v>
      </c>
    </row>
    <row r="894" spans="2:3">
      <c r="B894">
        <f>SUMIFS(allorders!O:O,allorders!L:L,'数据处理(仓储使用)'!$A894,allorders!$AG:$AG,"&lt;="&amp;日期!$B$2,allorders!$AG:$AG,"&gt;="&amp;日期!$B$1)</f>
        <v>0</v>
      </c>
      <c r="C894">
        <f>B894/(日期!$B$2-日期!$B$1+1)</f>
        <v>0</v>
      </c>
    </row>
    <row r="895" spans="2:3">
      <c r="B895">
        <f>SUMIFS(allorders!O:O,allorders!L:L,'数据处理(仓储使用)'!$A895,allorders!$AG:$AG,"&lt;="&amp;日期!$B$2,allorders!$AG:$AG,"&gt;="&amp;日期!$B$1)</f>
        <v>0</v>
      </c>
      <c r="C895">
        <f>B895/(日期!$B$2-日期!$B$1+1)</f>
        <v>0</v>
      </c>
    </row>
    <row r="896" spans="2:3">
      <c r="B896">
        <f>SUMIFS(allorders!O:O,allorders!L:L,'数据处理(仓储使用)'!$A896,allorders!$AG:$AG,"&lt;="&amp;日期!$B$2,allorders!$AG:$AG,"&gt;="&amp;日期!$B$1)</f>
        <v>0</v>
      </c>
      <c r="C896">
        <f>B896/(日期!$B$2-日期!$B$1+1)</f>
        <v>0</v>
      </c>
    </row>
    <row r="897" spans="2:3">
      <c r="B897">
        <f>SUMIFS(allorders!O:O,allorders!L:L,'数据处理(仓储使用)'!$A897,allorders!$AG:$AG,"&lt;="&amp;日期!$B$2,allorders!$AG:$AG,"&gt;="&amp;日期!$B$1)</f>
        <v>0</v>
      </c>
      <c r="C897">
        <f>B897/(日期!$B$2-日期!$B$1+1)</f>
        <v>0</v>
      </c>
    </row>
    <row r="898" spans="2:3">
      <c r="B898">
        <f>SUMIFS(allorders!O:O,allorders!L:L,'数据处理(仓储使用)'!$A898,allorders!$AG:$AG,"&lt;="&amp;日期!$B$2,allorders!$AG:$AG,"&gt;="&amp;日期!$B$1)</f>
        <v>0</v>
      </c>
      <c r="C898">
        <f>B898/(日期!$B$2-日期!$B$1+1)</f>
        <v>0</v>
      </c>
    </row>
    <row r="899" spans="2:3">
      <c r="B899">
        <f>SUMIFS(allorders!O:O,allorders!L:L,'数据处理(仓储使用)'!$A899,allorders!$AG:$AG,"&lt;="&amp;日期!$B$2,allorders!$AG:$AG,"&gt;="&amp;日期!$B$1)</f>
        <v>0</v>
      </c>
      <c r="C899">
        <f>B899/(日期!$B$2-日期!$B$1+1)</f>
        <v>0</v>
      </c>
    </row>
    <row r="900" spans="2:3">
      <c r="B900">
        <f>SUMIFS(allorders!O:O,allorders!L:L,'数据处理(仓储使用)'!$A900,allorders!$AG:$AG,"&lt;="&amp;日期!$B$2,allorders!$AG:$AG,"&gt;="&amp;日期!$B$1)</f>
        <v>0</v>
      </c>
      <c r="C900">
        <f>B900/(日期!$B$2-日期!$B$1+1)</f>
        <v>0</v>
      </c>
    </row>
    <row r="901" spans="2:3">
      <c r="B901">
        <f>SUMIFS(allorders!O:O,allorders!L:L,'数据处理(仓储使用)'!$A901,allorders!$AG:$AG,"&lt;="&amp;日期!$B$2,allorders!$AG:$AG,"&gt;="&amp;日期!$B$1)</f>
        <v>0</v>
      </c>
      <c r="C901">
        <f>B901/(日期!$B$2-日期!$B$1+1)</f>
        <v>0</v>
      </c>
    </row>
    <row r="902" spans="2:3">
      <c r="B902">
        <f>SUMIFS(allorders!O:O,allorders!L:L,'数据处理(仓储使用)'!$A902,allorders!$AG:$AG,"&lt;="&amp;日期!$B$2,allorders!$AG:$AG,"&gt;="&amp;日期!$B$1)</f>
        <v>0</v>
      </c>
      <c r="C902">
        <f>B902/(日期!$B$2-日期!$B$1+1)</f>
        <v>0</v>
      </c>
    </row>
    <row r="903" spans="2:3">
      <c r="B903">
        <f>SUMIFS(allorders!O:O,allorders!L:L,'数据处理(仓储使用)'!$A903,allorders!$AG:$AG,"&lt;="&amp;日期!$B$2,allorders!$AG:$AG,"&gt;="&amp;日期!$B$1)</f>
        <v>0</v>
      </c>
      <c r="C903">
        <f>B903/(日期!$B$2-日期!$B$1+1)</f>
        <v>0</v>
      </c>
    </row>
    <row r="904" spans="2:3">
      <c r="B904">
        <f>SUMIFS(allorders!O:O,allorders!L:L,'数据处理(仓储使用)'!$A904,allorders!$AG:$AG,"&lt;="&amp;日期!$B$2,allorders!$AG:$AG,"&gt;="&amp;日期!$B$1)</f>
        <v>0</v>
      </c>
      <c r="C904">
        <f>B904/(日期!$B$2-日期!$B$1+1)</f>
        <v>0</v>
      </c>
    </row>
    <row r="905" spans="2:3">
      <c r="B905">
        <f>SUMIFS(allorders!O:O,allorders!L:L,'数据处理(仓储使用)'!$A905,allorders!$AG:$AG,"&lt;="&amp;日期!$B$2,allorders!$AG:$AG,"&gt;="&amp;日期!$B$1)</f>
        <v>0</v>
      </c>
      <c r="C905">
        <f>B905/(日期!$B$2-日期!$B$1+1)</f>
        <v>0</v>
      </c>
    </row>
    <row r="906" spans="2:3">
      <c r="B906">
        <f>SUMIFS(allorders!O:O,allorders!L:L,'数据处理(仓储使用)'!$A906,allorders!$AG:$AG,"&lt;="&amp;日期!$B$2,allorders!$AG:$AG,"&gt;="&amp;日期!$B$1)</f>
        <v>0</v>
      </c>
      <c r="C906">
        <f>B906/(日期!$B$2-日期!$B$1+1)</f>
        <v>0</v>
      </c>
    </row>
    <row r="907" spans="2:3">
      <c r="B907">
        <f>SUMIFS(allorders!O:O,allorders!L:L,'数据处理(仓储使用)'!$A907,allorders!$AG:$AG,"&lt;="&amp;日期!$B$2,allorders!$AG:$AG,"&gt;="&amp;日期!$B$1)</f>
        <v>0</v>
      </c>
      <c r="C907">
        <f>B907/(日期!$B$2-日期!$B$1+1)</f>
        <v>0</v>
      </c>
    </row>
    <row r="908" spans="2:3">
      <c r="B908">
        <f>SUMIFS(allorders!O:O,allorders!L:L,'数据处理(仓储使用)'!$A908,allorders!$AG:$AG,"&lt;="&amp;日期!$B$2,allorders!$AG:$AG,"&gt;="&amp;日期!$B$1)</f>
        <v>0</v>
      </c>
      <c r="C908">
        <f>B908/(日期!$B$2-日期!$B$1+1)</f>
        <v>0</v>
      </c>
    </row>
    <row r="909" spans="2:3">
      <c r="B909">
        <f>SUMIFS(allorders!O:O,allorders!L:L,'数据处理(仓储使用)'!$A909,allorders!$AG:$AG,"&lt;="&amp;日期!$B$2,allorders!$AG:$AG,"&gt;="&amp;日期!$B$1)</f>
        <v>0</v>
      </c>
      <c r="C909">
        <f>B909/(日期!$B$2-日期!$B$1+1)</f>
        <v>0</v>
      </c>
    </row>
    <row r="910" spans="2:3">
      <c r="B910">
        <f>SUMIFS(allorders!O:O,allorders!L:L,'数据处理(仓储使用)'!$A910,allorders!$AG:$AG,"&lt;="&amp;日期!$B$2,allorders!$AG:$AG,"&gt;="&amp;日期!$B$1)</f>
        <v>0</v>
      </c>
      <c r="C910">
        <f>B910/(日期!$B$2-日期!$B$1+1)</f>
        <v>0</v>
      </c>
    </row>
    <row r="911" spans="2:3">
      <c r="B911">
        <f>SUMIFS(allorders!O:O,allorders!L:L,'数据处理(仓储使用)'!$A911,allorders!$AG:$AG,"&lt;="&amp;日期!$B$2,allorders!$AG:$AG,"&gt;="&amp;日期!$B$1)</f>
        <v>0</v>
      </c>
      <c r="C911">
        <f>B911/(日期!$B$2-日期!$B$1+1)</f>
        <v>0</v>
      </c>
    </row>
    <row r="912" spans="2:3">
      <c r="B912">
        <f>SUMIFS(allorders!O:O,allorders!L:L,'数据处理(仓储使用)'!$A912,allorders!$AG:$AG,"&lt;="&amp;日期!$B$2,allorders!$AG:$AG,"&gt;="&amp;日期!$B$1)</f>
        <v>0</v>
      </c>
      <c r="C912">
        <f>B912/(日期!$B$2-日期!$B$1+1)</f>
        <v>0</v>
      </c>
    </row>
    <row r="913" spans="2:3">
      <c r="B913">
        <f>SUMIFS(allorders!O:O,allorders!L:L,'数据处理(仓储使用)'!$A913,allorders!$AG:$AG,"&lt;="&amp;日期!$B$2,allorders!$AG:$AG,"&gt;="&amp;日期!$B$1)</f>
        <v>0</v>
      </c>
      <c r="C913">
        <f>B913/(日期!$B$2-日期!$B$1+1)</f>
        <v>0</v>
      </c>
    </row>
    <row r="914" spans="2:3">
      <c r="B914">
        <f>SUMIFS(allorders!O:O,allorders!L:L,'数据处理(仓储使用)'!$A914,allorders!$AG:$AG,"&lt;="&amp;日期!$B$2,allorders!$AG:$AG,"&gt;="&amp;日期!$B$1)</f>
        <v>0</v>
      </c>
      <c r="C914">
        <f>B914/(日期!$B$2-日期!$B$1+1)</f>
        <v>0</v>
      </c>
    </row>
    <row r="915" spans="2:3">
      <c r="B915">
        <f>SUMIFS(allorders!O:O,allorders!L:L,'数据处理(仓储使用)'!$A915,allorders!$AG:$AG,"&lt;="&amp;日期!$B$2,allorders!$AG:$AG,"&gt;="&amp;日期!$B$1)</f>
        <v>0</v>
      </c>
      <c r="C915">
        <f>B915/(日期!$B$2-日期!$B$1+1)</f>
        <v>0</v>
      </c>
    </row>
    <row r="916" spans="2:3">
      <c r="B916">
        <f>SUMIFS(allorders!O:O,allorders!L:L,'数据处理(仓储使用)'!$A916,allorders!$AG:$AG,"&lt;="&amp;日期!$B$2,allorders!$AG:$AG,"&gt;="&amp;日期!$B$1)</f>
        <v>0</v>
      </c>
      <c r="C916">
        <f>B916/(日期!$B$2-日期!$B$1+1)</f>
        <v>0</v>
      </c>
    </row>
    <row r="917" spans="2:3">
      <c r="B917">
        <f>SUMIFS(allorders!O:O,allorders!L:L,'数据处理(仓储使用)'!$A917,allorders!$AG:$AG,"&lt;="&amp;日期!$B$2,allorders!$AG:$AG,"&gt;="&amp;日期!$B$1)</f>
        <v>0</v>
      </c>
      <c r="C917">
        <f>B917/(日期!$B$2-日期!$B$1+1)</f>
        <v>0</v>
      </c>
    </row>
    <row r="918" spans="2:3">
      <c r="B918">
        <f>SUMIFS(allorders!O:O,allorders!L:L,'数据处理(仓储使用)'!$A918,allorders!$AG:$AG,"&lt;="&amp;日期!$B$2,allorders!$AG:$AG,"&gt;="&amp;日期!$B$1)</f>
        <v>0</v>
      </c>
      <c r="C918">
        <f>B918/(日期!$B$2-日期!$B$1+1)</f>
        <v>0</v>
      </c>
    </row>
    <row r="919" spans="2:3">
      <c r="B919">
        <f>SUMIFS(allorders!O:O,allorders!L:L,'数据处理(仓储使用)'!$A919,allorders!$AG:$AG,"&lt;="&amp;日期!$B$2,allorders!$AG:$AG,"&gt;="&amp;日期!$B$1)</f>
        <v>0</v>
      </c>
      <c r="C919">
        <f>B919/(日期!$B$2-日期!$B$1+1)</f>
        <v>0</v>
      </c>
    </row>
    <row r="920" spans="2:3">
      <c r="B920">
        <f>SUMIFS(allorders!O:O,allorders!L:L,'数据处理(仓储使用)'!$A920,allorders!$AG:$AG,"&lt;="&amp;日期!$B$2,allorders!$AG:$AG,"&gt;="&amp;日期!$B$1)</f>
        <v>0</v>
      </c>
      <c r="C920">
        <f>B920/(日期!$B$2-日期!$B$1+1)</f>
        <v>0</v>
      </c>
    </row>
    <row r="921" spans="2:3">
      <c r="B921">
        <f>SUMIFS(allorders!O:O,allorders!L:L,'数据处理(仓储使用)'!$A921,allorders!$AG:$AG,"&lt;="&amp;日期!$B$2,allorders!$AG:$AG,"&gt;="&amp;日期!$B$1)</f>
        <v>0</v>
      </c>
      <c r="C921">
        <f>B921/(日期!$B$2-日期!$B$1+1)</f>
        <v>0</v>
      </c>
    </row>
    <row r="922" spans="2:3">
      <c r="B922">
        <f>SUMIFS(allorders!O:O,allorders!L:L,'数据处理(仓储使用)'!$A922,allorders!$AG:$AG,"&lt;="&amp;日期!$B$2,allorders!$AG:$AG,"&gt;="&amp;日期!$B$1)</f>
        <v>0</v>
      </c>
      <c r="C922">
        <f>B922/(日期!$B$2-日期!$B$1+1)</f>
        <v>0</v>
      </c>
    </row>
    <row r="923" spans="2:3">
      <c r="B923">
        <f>SUMIFS(allorders!O:O,allorders!L:L,'数据处理(仓储使用)'!$A923,allorders!$AG:$AG,"&lt;="&amp;日期!$B$2,allorders!$AG:$AG,"&gt;="&amp;日期!$B$1)</f>
        <v>0</v>
      </c>
      <c r="C923">
        <f>B923/(日期!$B$2-日期!$B$1+1)</f>
        <v>0</v>
      </c>
    </row>
    <row r="924" spans="2:3">
      <c r="B924">
        <f>SUMIFS(allorders!O:O,allorders!L:L,'数据处理(仓储使用)'!$A924,allorders!$AG:$AG,"&lt;="&amp;日期!$B$2,allorders!$AG:$AG,"&gt;="&amp;日期!$B$1)</f>
        <v>0</v>
      </c>
      <c r="C924">
        <f>B924/(日期!$B$2-日期!$B$1+1)</f>
        <v>0</v>
      </c>
    </row>
    <row r="925" spans="2:3">
      <c r="B925">
        <f>SUMIFS(allorders!O:O,allorders!L:L,'数据处理(仓储使用)'!$A925,allorders!$AG:$AG,"&lt;="&amp;日期!$B$2,allorders!$AG:$AG,"&gt;="&amp;日期!$B$1)</f>
        <v>0</v>
      </c>
      <c r="C925">
        <f>B925/(日期!$B$2-日期!$B$1+1)</f>
        <v>0</v>
      </c>
    </row>
    <row r="926" spans="2:3">
      <c r="B926">
        <f>SUMIFS(allorders!O:O,allorders!L:L,'数据处理(仓储使用)'!$A926,allorders!$AG:$AG,"&lt;="&amp;日期!$B$2,allorders!$AG:$AG,"&gt;="&amp;日期!$B$1)</f>
        <v>0</v>
      </c>
      <c r="C926">
        <f>B926/(日期!$B$2-日期!$B$1+1)</f>
        <v>0</v>
      </c>
    </row>
    <row r="927" spans="2:3">
      <c r="B927">
        <f>SUMIFS(allorders!O:O,allorders!L:L,'数据处理(仓储使用)'!$A927,allorders!$AG:$AG,"&lt;="&amp;日期!$B$2,allorders!$AG:$AG,"&gt;="&amp;日期!$B$1)</f>
        <v>0</v>
      </c>
      <c r="C927">
        <f>B927/(日期!$B$2-日期!$B$1+1)</f>
        <v>0</v>
      </c>
    </row>
    <row r="928" spans="2:3">
      <c r="B928">
        <f>SUMIFS(allorders!O:O,allorders!L:L,'数据处理(仓储使用)'!$A928,allorders!$AG:$AG,"&lt;="&amp;日期!$B$2,allorders!$AG:$AG,"&gt;="&amp;日期!$B$1)</f>
        <v>0</v>
      </c>
      <c r="C928">
        <f>B928/(日期!$B$2-日期!$B$1+1)</f>
        <v>0</v>
      </c>
    </row>
    <row r="929" spans="2:3">
      <c r="B929">
        <f>SUMIFS(allorders!O:O,allorders!L:L,'数据处理(仓储使用)'!$A929,allorders!$AG:$AG,"&lt;="&amp;日期!$B$2,allorders!$AG:$AG,"&gt;="&amp;日期!$B$1)</f>
        <v>0</v>
      </c>
      <c r="C929">
        <f>B929/(日期!$B$2-日期!$B$1+1)</f>
        <v>0</v>
      </c>
    </row>
    <row r="930" spans="2:3">
      <c r="B930">
        <f>SUMIFS(allorders!O:O,allorders!L:L,'数据处理(仓储使用)'!$A930,allorders!$AG:$AG,"&lt;="&amp;日期!$B$2,allorders!$AG:$AG,"&gt;="&amp;日期!$B$1)</f>
        <v>0</v>
      </c>
      <c r="C930">
        <f>B930/(日期!$B$2-日期!$B$1+1)</f>
        <v>0</v>
      </c>
    </row>
    <row r="931" spans="2:3">
      <c r="B931">
        <f>SUMIFS(allorders!O:O,allorders!L:L,'数据处理(仓储使用)'!$A931,allorders!$AG:$AG,"&lt;="&amp;日期!$B$2,allorders!$AG:$AG,"&gt;="&amp;日期!$B$1)</f>
        <v>0</v>
      </c>
      <c r="C931">
        <f>B931/(日期!$B$2-日期!$B$1+1)</f>
        <v>0</v>
      </c>
    </row>
    <row r="932" spans="2:3">
      <c r="B932">
        <f>SUMIFS(allorders!O:O,allorders!L:L,'数据处理(仓储使用)'!$A932,allorders!$AG:$AG,"&lt;="&amp;日期!$B$2,allorders!$AG:$AG,"&gt;="&amp;日期!$B$1)</f>
        <v>0</v>
      </c>
      <c r="C932">
        <f>B932/(日期!$B$2-日期!$B$1+1)</f>
        <v>0</v>
      </c>
    </row>
    <row r="933" spans="2:3">
      <c r="B933">
        <f>SUMIFS(allorders!O:O,allorders!L:L,'数据处理(仓储使用)'!$A933,allorders!$AG:$AG,"&lt;="&amp;日期!$B$2,allorders!$AG:$AG,"&gt;="&amp;日期!$B$1)</f>
        <v>0</v>
      </c>
      <c r="C933">
        <f>B933/(日期!$B$2-日期!$B$1+1)</f>
        <v>0</v>
      </c>
    </row>
    <row r="934" spans="2:3">
      <c r="B934">
        <f>SUMIFS(allorders!O:O,allorders!L:L,'数据处理(仓储使用)'!$A934,allorders!$AG:$AG,"&lt;="&amp;日期!$B$2,allorders!$AG:$AG,"&gt;="&amp;日期!$B$1)</f>
        <v>0</v>
      </c>
      <c r="C934">
        <f>B934/(日期!$B$2-日期!$B$1+1)</f>
        <v>0</v>
      </c>
    </row>
    <row r="935" spans="2:3">
      <c r="B935">
        <f>SUMIFS(allorders!O:O,allorders!L:L,'数据处理(仓储使用)'!$A935,allorders!$AG:$AG,"&lt;="&amp;日期!$B$2,allorders!$AG:$AG,"&gt;="&amp;日期!$B$1)</f>
        <v>0</v>
      </c>
      <c r="C935">
        <f>B935/(日期!$B$2-日期!$B$1+1)</f>
        <v>0</v>
      </c>
    </row>
    <row r="936" spans="2:3">
      <c r="B936">
        <f>SUMIFS(allorders!O:O,allorders!L:L,'数据处理(仓储使用)'!$A936,allorders!$AG:$AG,"&lt;="&amp;日期!$B$2,allorders!$AG:$AG,"&gt;="&amp;日期!$B$1)</f>
        <v>0</v>
      </c>
      <c r="C936">
        <f>B936/(日期!$B$2-日期!$B$1+1)</f>
        <v>0</v>
      </c>
    </row>
    <row r="937" spans="2:3">
      <c r="B937">
        <f>SUMIFS(allorders!O:O,allorders!L:L,'数据处理(仓储使用)'!$A937,allorders!$AG:$AG,"&lt;="&amp;日期!$B$2,allorders!$AG:$AG,"&gt;="&amp;日期!$B$1)</f>
        <v>0</v>
      </c>
      <c r="C937">
        <f>B937/(日期!$B$2-日期!$B$1+1)</f>
        <v>0</v>
      </c>
    </row>
    <row r="938" spans="2:3">
      <c r="B938">
        <f>SUMIFS(allorders!O:O,allorders!L:L,'数据处理(仓储使用)'!$A938,allorders!$AG:$AG,"&lt;="&amp;日期!$B$2,allorders!$AG:$AG,"&gt;="&amp;日期!$B$1)</f>
        <v>0</v>
      </c>
      <c r="C938">
        <f>B938/(日期!$B$2-日期!$B$1+1)</f>
        <v>0</v>
      </c>
    </row>
    <row r="939" spans="2:3">
      <c r="B939">
        <f>SUMIFS(allorders!O:O,allorders!L:L,'数据处理(仓储使用)'!$A939,allorders!$AG:$AG,"&lt;="&amp;日期!$B$2,allorders!$AG:$AG,"&gt;="&amp;日期!$B$1)</f>
        <v>0</v>
      </c>
      <c r="C939">
        <f>B939/(日期!$B$2-日期!$B$1+1)</f>
        <v>0</v>
      </c>
    </row>
    <row r="940" spans="2:3">
      <c r="B940">
        <f>SUMIFS(allorders!O:O,allorders!L:L,'数据处理(仓储使用)'!$A940,allorders!$AG:$AG,"&lt;="&amp;日期!$B$2,allorders!$AG:$AG,"&gt;="&amp;日期!$B$1)</f>
        <v>0</v>
      </c>
      <c r="C940">
        <f>B940/(日期!$B$2-日期!$B$1+1)</f>
        <v>0</v>
      </c>
    </row>
    <row r="941" spans="2:3">
      <c r="B941">
        <f>SUMIFS(allorders!O:O,allorders!L:L,'数据处理(仓储使用)'!$A941,allorders!$AG:$AG,"&lt;="&amp;日期!$B$2,allorders!$AG:$AG,"&gt;="&amp;日期!$B$1)</f>
        <v>0</v>
      </c>
      <c r="C941">
        <f>B941/(日期!$B$2-日期!$B$1+1)</f>
        <v>0</v>
      </c>
    </row>
    <row r="942" spans="2:3">
      <c r="B942">
        <f>SUMIFS(allorders!O:O,allorders!L:L,'数据处理(仓储使用)'!$A942,allorders!$AG:$AG,"&lt;="&amp;日期!$B$2,allorders!$AG:$AG,"&gt;="&amp;日期!$B$1)</f>
        <v>0</v>
      </c>
      <c r="C942">
        <f>B942/(日期!$B$2-日期!$B$1+1)</f>
        <v>0</v>
      </c>
    </row>
    <row r="943" spans="2:3">
      <c r="B943">
        <f>SUMIFS(allorders!O:O,allorders!L:L,'数据处理(仓储使用)'!$A943,allorders!$AG:$AG,"&lt;="&amp;日期!$B$2,allorders!$AG:$AG,"&gt;="&amp;日期!$B$1)</f>
        <v>0</v>
      </c>
      <c r="C943">
        <f>B943/(日期!$B$2-日期!$B$1+1)</f>
        <v>0</v>
      </c>
    </row>
    <row r="944" spans="2:3">
      <c r="B944">
        <f>SUMIFS(allorders!O:O,allorders!L:L,'数据处理(仓储使用)'!$A944,allorders!$AG:$AG,"&lt;="&amp;日期!$B$2,allorders!$AG:$AG,"&gt;="&amp;日期!$B$1)</f>
        <v>0</v>
      </c>
      <c r="C944">
        <f>B944/(日期!$B$2-日期!$B$1+1)</f>
        <v>0</v>
      </c>
    </row>
    <row r="945" spans="2:3">
      <c r="B945">
        <f>SUMIFS(allorders!O:O,allorders!L:L,'数据处理(仓储使用)'!$A945,allorders!$AG:$AG,"&lt;="&amp;日期!$B$2,allorders!$AG:$AG,"&gt;="&amp;日期!$B$1)</f>
        <v>0</v>
      </c>
      <c r="C945">
        <f>B945/(日期!$B$2-日期!$B$1+1)</f>
        <v>0</v>
      </c>
    </row>
    <row r="946" spans="2:3">
      <c r="B946">
        <f>SUMIFS(allorders!O:O,allorders!L:L,'数据处理(仓储使用)'!$A946,allorders!$AG:$AG,"&lt;="&amp;日期!$B$2,allorders!$AG:$AG,"&gt;="&amp;日期!$B$1)</f>
        <v>0</v>
      </c>
      <c r="C946">
        <f>B946/(日期!$B$2-日期!$B$1+1)</f>
        <v>0</v>
      </c>
    </row>
    <row r="947" spans="2:3">
      <c r="B947">
        <f>SUMIFS(allorders!O:O,allorders!L:L,'数据处理(仓储使用)'!$A947,allorders!$AG:$AG,"&lt;="&amp;日期!$B$2,allorders!$AG:$AG,"&gt;="&amp;日期!$B$1)</f>
        <v>0</v>
      </c>
      <c r="C947">
        <f>B947/(日期!$B$2-日期!$B$1+1)</f>
        <v>0</v>
      </c>
    </row>
    <row r="948" spans="2:3">
      <c r="B948">
        <f>SUMIFS(allorders!O:O,allorders!L:L,'数据处理(仓储使用)'!$A948,allorders!$AG:$AG,"&lt;="&amp;日期!$B$2,allorders!$AG:$AG,"&gt;="&amp;日期!$B$1)</f>
        <v>0</v>
      </c>
      <c r="C948">
        <f>B948/(日期!$B$2-日期!$B$1+1)</f>
        <v>0</v>
      </c>
    </row>
    <row r="949" spans="2:3">
      <c r="B949">
        <f>SUMIFS(allorders!O:O,allorders!L:L,'数据处理(仓储使用)'!$A949,allorders!$AG:$AG,"&lt;="&amp;日期!$B$2,allorders!$AG:$AG,"&gt;="&amp;日期!$B$1)</f>
        <v>0</v>
      </c>
      <c r="C949">
        <f>B949/(日期!$B$2-日期!$B$1+1)</f>
        <v>0</v>
      </c>
    </row>
    <row r="950" spans="2:3">
      <c r="B950">
        <f>SUMIFS(allorders!O:O,allorders!L:L,'数据处理(仓储使用)'!$A950,allorders!$AG:$AG,"&lt;="&amp;日期!$B$2,allorders!$AG:$AG,"&gt;="&amp;日期!$B$1)</f>
        <v>0</v>
      </c>
      <c r="C950">
        <f>B950/(日期!$B$2-日期!$B$1+1)</f>
        <v>0</v>
      </c>
    </row>
    <row r="951" spans="2:3">
      <c r="B951">
        <f>SUMIFS(allorders!O:O,allorders!L:L,'数据处理(仓储使用)'!$A951,allorders!$AG:$AG,"&lt;="&amp;日期!$B$2,allorders!$AG:$AG,"&gt;="&amp;日期!$B$1)</f>
        <v>0</v>
      </c>
      <c r="C951">
        <f>B951/(日期!$B$2-日期!$B$1+1)</f>
        <v>0</v>
      </c>
    </row>
    <row r="952" spans="2:3">
      <c r="B952">
        <f>SUMIFS(allorders!O:O,allorders!L:L,'数据处理(仓储使用)'!$A952,allorders!$AG:$AG,"&lt;="&amp;日期!$B$2,allorders!$AG:$AG,"&gt;="&amp;日期!$B$1)</f>
        <v>0</v>
      </c>
      <c r="C952">
        <f>B952/(日期!$B$2-日期!$B$1+1)</f>
        <v>0</v>
      </c>
    </row>
    <row r="953" spans="2:3">
      <c r="B953">
        <f>SUMIFS(allorders!O:O,allorders!L:L,'数据处理(仓储使用)'!$A953,allorders!$AG:$AG,"&lt;="&amp;日期!$B$2,allorders!$AG:$AG,"&gt;="&amp;日期!$B$1)</f>
        <v>0</v>
      </c>
      <c r="C953">
        <f>B953/(日期!$B$2-日期!$B$1+1)</f>
        <v>0</v>
      </c>
    </row>
    <row r="954" spans="2:3">
      <c r="B954">
        <f>SUMIFS(allorders!O:O,allorders!L:L,'数据处理(仓储使用)'!$A954,allorders!$AG:$AG,"&lt;="&amp;日期!$B$2,allorders!$AG:$AG,"&gt;="&amp;日期!$B$1)</f>
        <v>0</v>
      </c>
      <c r="C954">
        <f>B954/(日期!$B$2-日期!$B$1+1)</f>
        <v>0</v>
      </c>
    </row>
    <row r="955" spans="2:3">
      <c r="B955">
        <f>SUMIFS(allorders!O:O,allorders!L:L,'数据处理(仓储使用)'!$A955,allorders!$AG:$AG,"&lt;="&amp;日期!$B$2,allorders!$AG:$AG,"&gt;="&amp;日期!$B$1)</f>
        <v>0</v>
      </c>
      <c r="C955">
        <f>B955/(日期!$B$2-日期!$B$1+1)</f>
        <v>0</v>
      </c>
    </row>
    <row r="956" spans="2:3">
      <c r="B956">
        <f>SUMIFS(allorders!O:O,allorders!L:L,'数据处理(仓储使用)'!$A956,allorders!$AG:$AG,"&lt;="&amp;日期!$B$2,allorders!$AG:$AG,"&gt;="&amp;日期!$B$1)</f>
        <v>0</v>
      </c>
      <c r="C956">
        <f>B956/(日期!$B$2-日期!$B$1+1)</f>
        <v>0</v>
      </c>
    </row>
    <row r="957" spans="2:3">
      <c r="B957">
        <f>SUMIFS(allorders!O:O,allorders!L:L,'数据处理(仓储使用)'!$A957,allorders!$AG:$AG,"&lt;="&amp;日期!$B$2,allorders!$AG:$AG,"&gt;="&amp;日期!$B$1)</f>
        <v>0</v>
      </c>
      <c r="C957">
        <f>B957/(日期!$B$2-日期!$B$1+1)</f>
        <v>0</v>
      </c>
    </row>
    <row r="958" spans="2:3">
      <c r="B958">
        <f>SUMIFS(allorders!O:O,allorders!L:L,'数据处理(仓储使用)'!$A958,allorders!$AG:$AG,"&lt;="&amp;日期!$B$2,allorders!$AG:$AG,"&gt;="&amp;日期!$B$1)</f>
        <v>0</v>
      </c>
      <c r="C958">
        <f>B958/(日期!$B$2-日期!$B$1+1)</f>
        <v>0</v>
      </c>
    </row>
    <row r="959" spans="2:3">
      <c r="B959">
        <f>SUMIFS(allorders!O:O,allorders!L:L,'数据处理(仓储使用)'!$A959,allorders!$AG:$AG,"&lt;="&amp;日期!$B$2,allorders!$AG:$AG,"&gt;="&amp;日期!$B$1)</f>
        <v>0</v>
      </c>
      <c r="C959">
        <f>B959/(日期!$B$2-日期!$B$1+1)</f>
        <v>0</v>
      </c>
    </row>
    <row r="960" spans="2:3">
      <c r="B960">
        <f>SUMIFS(allorders!O:O,allorders!L:L,'数据处理(仓储使用)'!$A960,allorders!$AG:$AG,"&lt;="&amp;日期!$B$2,allorders!$AG:$AG,"&gt;="&amp;日期!$B$1)</f>
        <v>0</v>
      </c>
      <c r="C960">
        <f>B960/(日期!$B$2-日期!$B$1+1)</f>
        <v>0</v>
      </c>
    </row>
    <row r="961" spans="2:3">
      <c r="B961">
        <f>SUMIFS(allorders!O:O,allorders!L:L,'数据处理(仓储使用)'!$A961,allorders!$AG:$AG,"&lt;="&amp;日期!$B$2,allorders!$AG:$AG,"&gt;="&amp;日期!$B$1)</f>
        <v>0</v>
      </c>
      <c r="C961">
        <f>B961/(日期!$B$2-日期!$B$1+1)</f>
        <v>0</v>
      </c>
    </row>
    <row r="962" spans="2:3">
      <c r="B962">
        <f>SUMIFS(allorders!O:O,allorders!L:L,'数据处理(仓储使用)'!$A962,allorders!$AG:$AG,"&lt;="&amp;日期!$B$2,allorders!$AG:$AG,"&gt;="&amp;日期!$B$1)</f>
        <v>0</v>
      </c>
      <c r="C962">
        <f>B962/(日期!$B$2-日期!$B$1+1)</f>
        <v>0</v>
      </c>
    </row>
    <row r="963" spans="2:3">
      <c r="B963">
        <f>SUMIFS(allorders!O:O,allorders!L:L,'数据处理(仓储使用)'!$A963,allorders!$AG:$AG,"&lt;="&amp;日期!$B$2,allorders!$AG:$AG,"&gt;="&amp;日期!$B$1)</f>
        <v>0</v>
      </c>
      <c r="C963">
        <f>B963/(日期!$B$2-日期!$B$1+1)</f>
        <v>0</v>
      </c>
    </row>
    <row r="964" spans="2:3">
      <c r="B964">
        <f>SUMIFS(allorders!O:O,allorders!L:L,'数据处理(仓储使用)'!$A964,allorders!$AG:$AG,"&lt;="&amp;日期!$B$2,allorders!$AG:$AG,"&gt;="&amp;日期!$B$1)</f>
        <v>0</v>
      </c>
      <c r="C964">
        <f>B964/(日期!$B$2-日期!$B$1+1)</f>
        <v>0</v>
      </c>
    </row>
    <row r="965" spans="2:3">
      <c r="B965">
        <f>SUMIFS(allorders!O:O,allorders!L:L,'数据处理(仓储使用)'!$A965,allorders!$AG:$AG,"&lt;="&amp;日期!$B$2,allorders!$AG:$AG,"&gt;="&amp;日期!$B$1)</f>
        <v>0</v>
      </c>
      <c r="C965">
        <f>B965/(日期!$B$2-日期!$B$1+1)</f>
        <v>0</v>
      </c>
    </row>
    <row r="966" spans="2:3">
      <c r="B966">
        <f>SUMIFS(allorders!O:O,allorders!L:L,'数据处理(仓储使用)'!$A966,allorders!$AG:$AG,"&lt;="&amp;日期!$B$2,allorders!$AG:$AG,"&gt;="&amp;日期!$B$1)</f>
        <v>0</v>
      </c>
      <c r="C966">
        <f>B966/(日期!$B$2-日期!$B$1+1)</f>
        <v>0</v>
      </c>
    </row>
    <row r="967" spans="2:3">
      <c r="B967">
        <f>SUMIFS(allorders!O:O,allorders!L:L,'数据处理(仓储使用)'!$A967,allorders!$AG:$AG,"&lt;="&amp;日期!$B$2,allorders!$AG:$AG,"&gt;="&amp;日期!$B$1)</f>
        <v>0</v>
      </c>
      <c r="C967">
        <f>B967/(日期!$B$2-日期!$B$1+1)</f>
        <v>0</v>
      </c>
    </row>
    <row r="968" spans="2:3">
      <c r="B968">
        <f>SUMIFS(allorders!O:O,allorders!L:L,'数据处理(仓储使用)'!$A968,allorders!$AG:$AG,"&lt;="&amp;日期!$B$2,allorders!$AG:$AG,"&gt;="&amp;日期!$B$1)</f>
        <v>0</v>
      </c>
      <c r="C968">
        <f>B968/(日期!$B$2-日期!$B$1+1)</f>
        <v>0</v>
      </c>
    </row>
    <row r="969" spans="2:3">
      <c r="B969">
        <f>SUMIFS(allorders!O:O,allorders!L:L,'数据处理(仓储使用)'!$A969,allorders!$AG:$AG,"&lt;="&amp;日期!$B$2,allorders!$AG:$AG,"&gt;="&amp;日期!$B$1)</f>
        <v>0</v>
      </c>
      <c r="C969">
        <f>B969/(日期!$B$2-日期!$B$1+1)</f>
        <v>0</v>
      </c>
    </row>
    <row r="970" spans="2:3">
      <c r="B970">
        <f>SUMIFS(allorders!O:O,allorders!L:L,'数据处理(仓储使用)'!$A970,allorders!$AG:$AG,"&lt;="&amp;日期!$B$2,allorders!$AG:$AG,"&gt;="&amp;日期!$B$1)</f>
        <v>0</v>
      </c>
      <c r="C970">
        <f>B970/(日期!$B$2-日期!$B$1+1)</f>
        <v>0</v>
      </c>
    </row>
    <row r="971" spans="2:3">
      <c r="B971">
        <f>SUMIFS(allorders!O:O,allorders!L:L,'数据处理(仓储使用)'!$A971,allorders!$AG:$AG,"&lt;="&amp;日期!$B$2,allorders!$AG:$AG,"&gt;="&amp;日期!$B$1)</f>
        <v>0</v>
      </c>
      <c r="C971">
        <f>B971/(日期!$B$2-日期!$B$1+1)</f>
        <v>0</v>
      </c>
    </row>
    <row r="972" spans="2:3">
      <c r="B972">
        <f>SUMIFS(allorders!O:O,allorders!L:L,'数据处理(仓储使用)'!$A972,allorders!$AG:$AG,"&lt;="&amp;日期!$B$2,allorders!$AG:$AG,"&gt;="&amp;日期!$B$1)</f>
        <v>0</v>
      </c>
      <c r="C972">
        <f>B972/(日期!$B$2-日期!$B$1+1)</f>
        <v>0</v>
      </c>
    </row>
    <row r="973" spans="2:3">
      <c r="B973">
        <f>SUMIFS(allorders!O:O,allorders!L:L,'数据处理(仓储使用)'!$A973,allorders!$AG:$AG,"&lt;="&amp;日期!$B$2,allorders!$AG:$AG,"&gt;="&amp;日期!$B$1)</f>
        <v>0</v>
      </c>
      <c r="C973">
        <f>B973/(日期!$B$2-日期!$B$1+1)</f>
        <v>0</v>
      </c>
    </row>
    <row r="974" spans="2:3">
      <c r="B974">
        <f>SUMIFS(allorders!O:O,allorders!L:L,'数据处理(仓储使用)'!$A974,allorders!$AG:$AG,"&lt;="&amp;日期!$B$2,allorders!$AG:$AG,"&gt;="&amp;日期!$B$1)</f>
        <v>0</v>
      </c>
      <c r="C974">
        <f>B974/(日期!$B$2-日期!$B$1+1)</f>
        <v>0</v>
      </c>
    </row>
    <row r="975" spans="2:3">
      <c r="B975">
        <f>SUMIFS(allorders!O:O,allorders!L:L,'数据处理(仓储使用)'!$A975,allorders!$AG:$AG,"&lt;="&amp;日期!$B$2,allorders!$AG:$AG,"&gt;="&amp;日期!$B$1)</f>
        <v>0</v>
      </c>
      <c r="C975">
        <f>B975/(日期!$B$2-日期!$B$1+1)</f>
        <v>0</v>
      </c>
    </row>
    <row r="976" spans="2:3">
      <c r="B976">
        <f>SUMIFS(allorders!O:O,allorders!L:L,'数据处理(仓储使用)'!$A976,allorders!$AG:$AG,"&lt;="&amp;日期!$B$2,allorders!$AG:$AG,"&gt;="&amp;日期!$B$1)</f>
        <v>0</v>
      </c>
      <c r="C976">
        <f>B976/(日期!$B$2-日期!$B$1+1)</f>
        <v>0</v>
      </c>
    </row>
    <row r="977" spans="2:3">
      <c r="B977">
        <f>SUMIFS(allorders!O:O,allorders!L:L,'数据处理(仓储使用)'!$A977,allorders!$AG:$AG,"&lt;="&amp;日期!$B$2,allorders!$AG:$AG,"&gt;="&amp;日期!$B$1)</f>
        <v>0</v>
      </c>
      <c r="C977">
        <f>B977/(日期!$B$2-日期!$B$1+1)</f>
        <v>0</v>
      </c>
    </row>
    <row r="978" spans="2:3">
      <c r="B978">
        <f>SUMIFS(allorders!O:O,allorders!L:L,'数据处理(仓储使用)'!$A978,allorders!$AG:$AG,"&lt;="&amp;日期!$B$2,allorders!$AG:$AG,"&gt;="&amp;日期!$B$1)</f>
        <v>0</v>
      </c>
      <c r="C978">
        <f>B978/(日期!$B$2-日期!$B$1+1)</f>
        <v>0</v>
      </c>
    </row>
    <row r="979" spans="2:3">
      <c r="B979">
        <f>SUMIFS(allorders!O:O,allorders!L:L,'数据处理(仓储使用)'!$A979,allorders!$AG:$AG,"&lt;="&amp;日期!$B$2,allorders!$AG:$AG,"&gt;="&amp;日期!$B$1)</f>
        <v>0</v>
      </c>
      <c r="C979">
        <f>B979/(日期!$B$2-日期!$B$1+1)</f>
        <v>0</v>
      </c>
    </row>
    <row r="980" spans="2:3">
      <c r="B980">
        <f>SUMIFS(allorders!O:O,allorders!L:L,'数据处理(仓储使用)'!$A980,allorders!$AG:$AG,"&lt;="&amp;日期!$B$2,allorders!$AG:$AG,"&gt;="&amp;日期!$B$1)</f>
        <v>0</v>
      </c>
      <c r="C980">
        <f>B980/(日期!$B$2-日期!$B$1+1)</f>
        <v>0</v>
      </c>
    </row>
    <row r="981" spans="2:3">
      <c r="B981">
        <f>SUMIFS(allorders!O:O,allorders!L:L,'数据处理(仓储使用)'!$A981,allorders!$AG:$AG,"&lt;="&amp;日期!$B$2,allorders!$AG:$AG,"&gt;="&amp;日期!$B$1)</f>
        <v>0</v>
      </c>
      <c r="C981">
        <f>B981/(日期!$B$2-日期!$B$1+1)</f>
        <v>0</v>
      </c>
    </row>
    <row r="982" spans="2:3">
      <c r="B982">
        <f>SUMIFS(allorders!O:O,allorders!L:L,'数据处理(仓储使用)'!$A982,allorders!$AG:$AG,"&lt;="&amp;日期!$B$2,allorders!$AG:$AG,"&gt;="&amp;日期!$B$1)</f>
        <v>0</v>
      </c>
      <c r="C982">
        <f>B982/(日期!$B$2-日期!$B$1+1)</f>
        <v>0</v>
      </c>
    </row>
    <row r="983" spans="2:3">
      <c r="B983">
        <f>SUMIFS(allorders!O:O,allorders!L:L,'数据处理(仓储使用)'!$A983,allorders!$AG:$AG,"&lt;="&amp;日期!$B$2,allorders!$AG:$AG,"&gt;="&amp;日期!$B$1)</f>
        <v>0</v>
      </c>
      <c r="C983">
        <f>B983/(日期!$B$2-日期!$B$1+1)</f>
        <v>0</v>
      </c>
    </row>
    <row r="984" spans="2:3">
      <c r="B984">
        <f>SUMIFS(allorders!O:O,allorders!L:L,'数据处理(仓储使用)'!$A984,allorders!$AG:$AG,"&lt;="&amp;日期!$B$2,allorders!$AG:$AG,"&gt;="&amp;日期!$B$1)</f>
        <v>0</v>
      </c>
      <c r="C984">
        <f>B984/(日期!$B$2-日期!$B$1+1)</f>
        <v>0</v>
      </c>
    </row>
    <row r="985" spans="2:3">
      <c r="B985">
        <f>SUMIFS(allorders!O:O,allorders!L:L,'数据处理(仓储使用)'!$A985,allorders!$AG:$AG,"&lt;="&amp;日期!$B$2,allorders!$AG:$AG,"&gt;="&amp;日期!$B$1)</f>
        <v>0</v>
      </c>
      <c r="C985">
        <f>B985/(日期!$B$2-日期!$B$1+1)</f>
        <v>0</v>
      </c>
    </row>
    <row r="986" spans="2:3">
      <c r="B986">
        <f>SUMIFS(allorders!O:O,allorders!L:L,'数据处理(仓储使用)'!$A986,allorders!$AG:$AG,"&lt;="&amp;日期!$B$2,allorders!$AG:$AG,"&gt;="&amp;日期!$B$1)</f>
        <v>0</v>
      </c>
      <c r="C986">
        <f>B986/(日期!$B$2-日期!$B$1+1)</f>
        <v>0</v>
      </c>
    </row>
    <row r="987" spans="2:3">
      <c r="B987">
        <f>SUMIFS(allorders!O:O,allorders!L:L,'数据处理(仓储使用)'!$A987,allorders!$AG:$AG,"&lt;="&amp;日期!$B$2,allorders!$AG:$AG,"&gt;="&amp;日期!$B$1)</f>
        <v>0</v>
      </c>
      <c r="C987">
        <f>B987/(日期!$B$2-日期!$B$1+1)</f>
        <v>0</v>
      </c>
    </row>
    <row r="988" spans="2:3">
      <c r="B988">
        <f>SUMIFS(allorders!O:O,allorders!L:L,'数据处理(仓储使用)'!$A988,allorders!$AG:$AG,"&lt;="&amp;日期!$B$2,allorders!$AG:$AG,"&gt;="&amp;日期!$B$1)</f>
        <v>0</v>
      </c>
      <c r="C988">
        <f>B988/(日期!$B$2-日期!$B$1+1)</f>
        <v>0</v>
      </c>
    </row>
    <row r="989" spans="2:3">
      <c r="B989">
        <f>SUMIFS(allorders!O:O,allorders!L:L,'数据处理(仓储使用)'!$A989,allorders!$AG:$AG,"&lt;="&amp;日期!$B$2,allorders!$AG:$AG,"&gt;="&amp;日期!$B$1)</f>
        <v>0</v>
      </c>
      <c r="C989">
        <f>B989/(日期!$B$2-日期!$B$1+1)</f>
        <v>0</v>
      </c>
    </row>
    <row r="990" spans="2:3">
      <c r="B990">
        <f>SUMIFS(allorders!O:O,allorders!L:L,'数据处理(仓储使用)'!$A990,allorders!$AG:$AG,"&lt;="&amp;日期!$B$2,allorders!$AG:$AG,"&gt;="&amp;日期!$B$1)</f>
        <v>0</v>
      </c>
      <c r="C990">
        <f>B990/(日期!$B$2-日期!$B$1+1)</f>
        <v>0</v>
      </c>
    </row>
    <row r="991" spans="2:3">
      <c r="B991">
        <f>SUMIFS(allorders!O:O,allorders!L:L,'数据处理(仓储使用)'!$A991,allorders!$AG:$AG,"&lt;="&amp;日期!$B$2,allorders!$AG:$AG,"&gt;="&amp;日期!$B$1)</f>
        <v>0</v>
      </c>
      <c r="C991">
        <f>B991/(日期!$B$2-日期!$B$1+1)</f>
        <v>0</v>
      </c>
    </row>
    <row r="992" spans="2:3">
      <c r="B992">
        <f>SUMIFS(allorders!O:O,allorders!L:L,'数据处理(仓储使用)'!$A992,allorders!$AG:$AG,"&lt;="&amp;日期!$B$2,allorders!$AG:$AG,"&gt;="&amp;日期!$B$1)</f>
        <v>0</v>
      </c>
      <c r="C992">
        <f>B992/(日期!$B$2-日期!$B$1+1)</f>
        <v>0</v>
      </c>
    </row>
    <row r="993" spans="2:3">
      <c r="B993">
        <f>SUMIFS(allorders!O:O,allorders!L:L,'数据处理(仓储使用)'!$A993,allorders!$AG:$AG,"&lt;="&amp;日期!$B$2,allorders!$AG:$AG,"&gt;="&amp;日期!$B$1)</f>
        <v>0</v>
      </c>
      <c r="C993">
        <f>B993/(日期!$B$2-日期!$B$1+1)</f>
        <v>0</v>
      </c>
    </row>
    <row r="994" spans="2:3">
      <c r="B994">
        <f>SUMIFS(allorders!O:O,allorders!L:L,'数据处理(仓储使用)'!$A994,allorders!$AG:$AG,"&lt;="&amp;日期!$B$2,allorders!$AG:$AG,"&gt;="&amp;日期!$B$1)</f>
        <v>0</v>
      </c>
      <c r="C994">
        <f>B994/(日期!$B$2-日期!$B$1+1)</f>
        <v>0</v>
      </c>
    </row>
    <row r="995" spans="2:3">
      <c r="B995">
        <f>SUMIFS(allorders!O:O,allorders!L:L,'数据处理(仓储使用)'!$A995,allorders!$AG:$AG,"&lt;="&amp;日期!$B$2,allorders!$AG:$AG,"&gt;="&amp;日期!$B$1)</f>
        <v>0</v>
      </c>
      <c r="C995">
        <f>B995/(日期!$B$2-日期!$B$1+1)</f>
        <v>0</v>
      </c>
    </row>
    <row r="996" spans="2:3">
      <c r="B996">
        <f>SUMIFS(allorders!O:O,allorders!L:L,'数据处理(仓储使用)'!$A996,allorders!$AG:$AG,"&lt;="&amp;日期!$B$2,allorders!$AG:$AG,"&gt;="&amp;日期!$B$1)</f>
        <v>0</v>
      </c>
      <c r="C996">
        <f>B996/(日期!$B$2-日期!$B$1+1)</f>
        <v>0</v>
      </c>
    </row>
    <row r="997" spans="2:3">
      <c r="B997">
        <f>SUMIFS(allorders!O:O,allorders!L:L,'数据处理(仓储使用)'!$A997,allorders!$AG:$AG,"&lt;="&amp;日期!$B$2,allorders!$AG:$AG,"&gt;="&amp;日期!$B$1)</f>
        <v>0</v>
      </c>
      <c r="C997">
        <f>B997/(日期!$B$2-日期!$B$1+1)</f>
        <v>0</v>
      </c>
    </row>
    <row r="998" spans="2:3">
      <c r="B998">
        <f>SUMIFS(allorders!O:O,allorders!L:L,'数据处理(仓储使用)'!$A998,allorders!$AG:$AG,"&lt;="&amp;日期!$B$2,allorders!$AG:$AG,"&gt;="&amp;日期!$B$1)</f>
        <v>0</v>
      </c>
      <c r="C998">
        <f>B998/(日期!$B$2-日期!$B$1+1)</f>
        <v>0</v>
      </c>
    </row>
    <row r="999" spans="2:3">
      <c r="B999">
        <f>SUMIFS(allorders!O:O,allorders!L:L,'数据处理(仓储使用)'!$A999,allorders!$AG:$AG,"&lt;="&amp;日期!$B$2,allorders!$AG:$AG,"&gt;="&amp;日期!$B$1)</f>
        <v>0</v>
      </c>
      <c r="C999">
        <f>B999/(日期!$B$2-日期!$B$1+1)</f>
        <v>0</v>
      </c>
    </row>
    <row r="1000" spans="2:3">
      <c r="B1000">
        <f>SUMIFS(allorders!O:O,allorders!L:L,'数据处理(仓储使用)'!$A1000,allorders!$AG:$AG,"&lt;="&amp;日期!$B$2,allorders!$AG:$AG,"&gt;="&amp;日期!$B$1)</f>
        <v>0</v>
      </c>
      <c r="C1000">
        <f>B1000/(日期!$B$2-日期!$B$1+1)</f>
        <v>0</v>
      </c>
    </row>
    <row r="1001" spans="2:3">
      <c r="B1001">
        <f>SUMIFS(allorders!O:O,allorders!L:L,'数据处理(仓储使用)'!$A1001,allorders!$AG:$AG,"&lt;="&amp;日期!$B$2,allorders!$AG:$AG,"&gt;="&amp;日期!$B$1)</f>
        <v>0</v>
      </c>
      <c r="C1001">
        <f>B1001/(日期!$B$2-日期!$B$1+1)</f>
        <v>0</v>
      </c>
    </row>
    <row r="1002" spans="2:3">
      <c r="B1002">
        <f>SUMIFS(allorders!O:O,allorders!L:L,'数据处理(仓储使用)'!$A1002,allorders!$AG:$AG,"&lt;="&amp;日期!$B$2,allorders!$AG:$AG,"&gt;="&amp;日期!$B$1)</f>
        <v>0</v>
      </c>
      <c r="C1002">
        <f>B1002/(日期!$B$2-日期!$B$1+1)</f>
        <v>0</v>
      </c>
    </row>
    <row r="1003" spans="2:3">
      <c r="B1003">
        <f>SUMIFS(allorders!O:O,allorders!L:L,'数据处理(仓储使用)'!$A1003,allorders!$AG:$AG,"&lt;="&amp;日期!$B$2,allorders!$AG:$AG,"&gt;="&amp;日期!$B$1)</f>
        <v>0</v>
      </c>
      <c r="C1003">
        <f>B1003/(日期!$B$2-日期!$B$1+1)</f>
        <v>0</v>
      </c>
    </row>
    <row r="1004" spans="2:3">
      <c r="B1004">
        <f>SUMIFS(allorders!O:O,allorders!L:L,'数据处理(仓储使用)'!$A1004,allorders!$AG:$AG,"&lt;="&amp;日期!$B$2,allorders!$AG:$AG,"&gt;="&amp;日期!$B$1)</f>
        <v>0</v>
      </c>
      <c r="C1004">
        <f>B1004/(日期!$B$2-日期!$B$1+1)</f>
        <v>0</v>
      </c>
    </row>
    <row r="1005" spans="2:3">
      <c r="B1005">
        <f>SUMIFS(allorders!O:O,allorders!L:L,'数据处理(仓储使用)'!$A1005,allorders!$AG:$AG,"&lt;="&amp;日期!$B$2,allorders!$AG:$AG,"&gt;="&amp;日期!$B$1)</f>
        <v>0</v>
      </c>
      <c r="C1005">
        <f>B1005/(日期!$B$2-日期!$B$1+1)</f>
        <v>0</v>
      </c>
    </row>
    <row r="1006" spans="2:3">
      <c r="B1006">
        <f>SUMIFS(allorders!O:O,allorders!L:L,'数据处理(仓储使用)'!$A1006,allorders!$AG:$AG,"&lt;="&amp;日期!$B$2,allorders!$AG:$AG,"&gt;="&amp;日期!$B$1)</f>
        <v>0</v>
      </c>
      <c r="C1006">
        <f>B1006/(日期!$B$2-日期!$B$1+1)</f>
        <v>0</v>
      </c>
    </row>
    <row r="1007" spans="2:3">
      <c r="B1007">
        <f>SUMIFS(allorders!O:O,allorders!L:L,'数据处理(仓储使用)'!$A1007,allorders!$AG:$AG,"&lt;="&amp;日期!$B$2,allorders!$AG:$AG,"&gt;="&amp;日期!$B$1)</f>
        <v>0</v>
      </c>
      <c r="C1007">
        <f>B1007/(日期!$B$2-日期!$B$1+1)</f>
        <v>0</v>
      </c>
    </row>
    <row r="1008" spans="2:3">
      <c r="B1008">
        <f>SUMIFS(allorders!O:O,allorders!L:L,'数据处理(仓储使用)'!$A1008,allorders!$AG:$AG,"&lt;="&amp;日期!$B$2,allorders!$AG:$AG,"&gt;="&amp;日期!$B$1)</f>
        <v>0</v>
      </c>
      <c r="C1008">
        <f>B1008/(日期!$B$2-日期!$B$1+1)</f>
        <v>0</v>
      </c>
    </row>
    <row r="1009" spans="2:3">
      <c r="B1009">
        <f>SUMIFS(allorders!O:O,allorders!L:L,'数据处理(仓储使用)'!$A1009,allorders!$AG:$AG,"&lt;="&amp;日期!$B$2,allorders!$AG:$AG,"&gt;="&amp;日期!$B$1)</f>
        <v>0</v>
      </c>
      <c r="C1009">
        <f>B1009/(日期!$B$2-日期!$B$1+1)</f>
        <v>0</v>
      </c>
    </row>
    <row r="1010" spans="2:3">
      <c r="B1010">
        <f>SUMIFS(allorders!O:O,allorders!L:L,'数据处理(仓储使用)'!$A1010,allorders!$AG:$AG,"&lt;="&amp;日期!$B$2,allorders!$AG:$AG,"&gt;="&amp;日期!$B$1)</f>
        <v>0</v>
      </c>
      <c r="C1010">
        <f>B1010/(日期!$B$2-日期!$B$1+1)</f>
        <v>0</v>
      </c>
    </row>
    <row r="1011" spans="2:3">
      <c r="B1011">
        <f>SUMIFS(allorders!O:O,allorders!L:L,'数据处理(仓储使用)'!$A1011,allorders!$AG:$AG,"&lt;="&amp;日期!$B$2,allorders!$AG:$AG,"&gt;="&amp;日期!$B$1)</f>
        <v>0</v>
      </c>
      <c r="C1011">
        <f>B1011/(日期!$B$2-日期!$B$1+1)</f>
        <v>0</v>
      </c>
    </row>
    <row r="1012" spans="2:3">
      <c r="B1012">
        <f>SUMIFS(allorders!O:O,allorders!L:L,'数据处理(仓储使用)'!$A1012,allorders!$AG:$AG,"&lt;="&amp;日期!$B$2,allorders!$AG:$AG,"&gt;="&amp;日期!$B$1)</f>
        <v>0</v>
      </c>
      <c r="C1012">
        <f>B1012/(日期!$B$2-日期!$B$1+1)</f>
        <v>0</v>
      </c>
    </row>
    <row r="1013" spans="2:3">
      <c r="B1013">
        <f>SUMIFS(allorders!O:O,allorders!L:L,'数据处理(仓储使用)'!$A1013,allorders!$AG:$AG,"&lt;="&amp;日期!$B$2,allorders!$AG:$AG,"&gt;="&amp;日期!$B$1)</f>
        <v>0</v>
      </c>
      <c r="C1013">
        <f>B1013/(日期!$B$2-日期!$B$1+1)</f>
        <v>0</v>
      </c>
    </row>
    <row r="1014" spans="2:3">
      <c r="B1014">
        <f>SUMIFS(allorders!O:O,allorders!L:L,'数据处理(仓储使用)'!$A1014,allorders!$AG:$AG,"&lt;="&amp;日期!$B$2,allorders!$AG:$AG,"&gt;="&amp;日期!$B$1)</f>
        <v>0</v>
      </c>
      <c r="C1014">
        <f>B1014/(日期!$B$2-日期!$B$1+1)</f>
        <v>0</v>
      </c>
    </row>
    <row r="1015" spans="2:3">
      <c r="B1015">
        <f>SUMIFS(allorders!O:O,allorders!L:L,'数据处理(仓储使用)'!$A1015,allorders!$AG:$AG,"&lt;="&amp;日期!$B$2,allorders!$AG:$AG,"&gt;="&amp;日期!$B$1)</f>
        <v>0</v>
      </c>
      <c r="C1015">
        <f>B1015/(日期!$B$2-日期!$B$1+1)</f>
        <v>0</v>
      </c>
    </row>
    <row r="1016" spans="2:3">
      <c r="B1016">
        <f>SUMIFS(allorders!O:O,allorders!L:L,'数据处理(仓储使用)'!$A1016,allorders!$AG:$AG,"&lt;="&amp;日期!$B$2,allorders!$AG:$AG,"&gt;="&amp;日期!$B$1)</f>
        <v>0</v>
      </c>
      <c r="C1016">
        <f>B1016/(日期!$B$2-日期!$B$1+1)</f>
        <v>0</v>
      </c>
    </row>
    <row r="1017" spans="2:3">
      <c r="B1017">
        <f>SUMIFS(allorders!O:O,allorders!L:L,'数据处理(仓储使用)'!$A1017,allorders!$AG:$AG,"&lt;="&amp;日期!$B$2,allorders!$AG:$AG,"&gt;="&amp;日期!$B$1)</f>
        <v>0</v>
      </c>
      <c r="C1017">
        <f>B1017/(日期!$B$2-日期!$B$1+1)</f>
        <v>0</v>
      </c>
    </row>
    <row r="1018" spans="2:3">
      <c r="B1018">
        <f>SUMIFS(allorders!O:O,allorders!L:L,'数据处理(仓储使用)'!$A1018,allorders!$AG:$AG,"&lt;="&amp;日期!$B$2,allorders!$AG:$AG,"&gt;="&amp;日期!$B$1)</f>
        <v>0</v>
      </c>
      <c r="C1018">
        <f>B1018/(日期!$B$2-日期!$B$1+1)</f>
        <v>0</v>
      </c>
    </row>
    <row r="1019" spans="2:3">
      <c r="B1019">
        <f>SUMIFS(allorders!O:O,allorders!L:L,'数据处理(仓储使用)'!$A1019,allorders!$AG:$AG,"&lt;="&amp;日期!$B$2,allorders!$AG:$AG,"&gt;="&amp;日期!$B$1)</f>
        <v>0</v>
      </c>
      <c r="C1019">
        <f>B1019/(日期!$B$2-日期!$B$1+1)</f>
        <v>0</v>
      </c>
    </row>
    <row r="1020" spans="2:3">
      <c r="B1020">
        <f>SUMIFS(allorders!O:O,allorders!L:L,'数据处理(仓储使用)'!$A1020,allorders!$AG:$AG,"&lt;="&amp;日期!$B$2,allorders!$AG:$AG,"&gt;="&amp;日期!$B$1)</f>
        <v>0</v>
      </c>
      <c r="C1020">
        <f>B1020/(日期!$B$2-日期!$B$1+1)</f>
        <v>0</v>
      </c>
    </row>
    <row r="1021" spans="2:3">
      <c r="B1021">
        <f>SUMIFS(allorders!O:O,allorders!L:L,'数据处理(仓储使用)'!$A1021,allorders!$AG:$AG,"&lt;="&amp;日期!$B$2,allorders!$AG:$AG,"&gt;="&amp;日期!$B$1)</f>
        <v>0</v>
      </c>
      <c r="C1021">
        <f>B1021/(日期!$B$2-日期!$B$1+1)</f>
        <v>0</v>
      </c>
    </row>
    <row r="1022" spans="2:3">
      <c r="B1022">
        <f>SUMIFS(allorders!O:O,allorders!L:L,'数据处理(仓储使用)'!$A1022,allorders!$AG:$AG,"&lt;="&amp;日期!$B$2,allorders!$AG:$AG,"&gt;="&amp;日期!$B$1)</f>
        <v>0</v>
      </c>
      <c r="C1022">
        <f>B1022/(日期!$B$2-日期!$B$1+1)</f>
        <v>0</v>
      </c>
    </row>
    <row r="1023" spans="2:3">
      <c r="B1023">
        <f>SUMIFS(allorders!O:O,allorders!L:L,'数据处理(仓储使用)'!$A1023,allorders!$AG:$AG,"&lt;="&amp;日期!$B$2,allorders!$AG:$AG,"&gt;="&amp;日期!$B$1)</f>
        <v>0</v>
      </c>
      <c r="C1023">
        <f>B1023/(日期!$B$2-日期!$B$1+1)</f>
        <v>0</v>
      </c>
    </row>
    <row r="1024" spans="2:3">
      <c r="B1024">
        <f>SUMIFS(allorders!O:O,allorders!L:L,'数据处理(仓储使用)'!$A1024,allorders!$AG:$AG,"&lt;="&amp;日期!$B$2,allorders!$AG:$AG,"&gt;="&amp;日期!$B$1)</f>
        <v>0</v>
      </c>
      <c r="C1024">
        <f>B1024/(日期!$B$2-日期!$B$1+1)</f>
        <v>0</v>
      </c>
    </row>
    <row r="1025" spans="2:3">
      <c r="B1025">
        <f>SUMIFS(allorders!O:O,allorders!L:L,'数据处理(仓储使用)'!$A1025,allorders!$AG:$AG,"&lt;="&amp;日期!$B$2,allorders!$AG:$AG,"&gt;="&amp;日期!$B$1)</f>
        <v>0</v>
      </c>
      <c r="C1025">
        <f>B1025/(日期!$B$2-日期!$B$1+1)</f>
        <v>0</v>
      </c>
    </row>
    <row r="1026" spans="2:3">
      <c r="B1026">
        <f>SUMIFS(allorders!O:O,allorders!L:L,'数据处理(仓储使用)'!$A1026,allorders!$AG:$AG,"&lt;="&amp;日期!$B$2,allorders!$AG:$AG,"&gt;="&amp;日期!$B$1)</f>
        <v>0</v>
      </c>
      <c r="C1026">
        <f>B1026/(日期!$B$2-日期!$B$1+1)</f>
        <v>0</v>
      </c>
    </row>
    <row r="1027" spans="2:3">
      <c r="B1027">
        <f>SUMIFS(allorders!O:O,allorders!L:L,'数据处理(仓储使用)'!$A1027,allorders!$AG:$AG,"&lt;="&amp;日期!$B$2,allorders!$AG:$AG,"&gt;="&amp;日期!$B$1)</f>
        <v>0</v>
      </c>
      <c r="C1027">
        <f>B1027/(日期!$B$2-日期!$B$1+1)</f>
        <v>0</v>
      </c>
    </row>
    <row r="1028" spans="2:3">
      <c r="B1028">
        <f>SUMIFS(allorders!O:O,allorders!L:L,'数据处理(仓储使用)'!$A1028,allorders!$AG:$AG,"&lt;="&amp;日期!$B$2,allorders!$AG:$AG,"&gt;="&amp;日期!$B$1)</f>
        <v>0</v>
      </c>
      <c r="C1028">
        <f>B1028/(日期!$B$2-日期!$B$1+1)</f>
        <v>0</v>
      </c>
    </row>
    <row r="1029" spans="2:3">
      <c r="B1029">
        <f>SUMIFS(allorders!O:O,allorders!L:L,'数据处理(仓储使用)'!$A1029,allorders!$AG:$AG,"&lt;="&amp;日期!$B$2,allorders!$AG:$AG,"&gt;="&amp;日期!$B$1)</f>
        <v>0</v>
      </c>
      <c r="C1029">
        <f>B1029/(日期!$B$2-日期!$B$1+1)</f>
        <v>0</v>
      </c>
    </row>
    <row r="1030" spans="2:3">
      <c r="B1030">
        <f>SUMIFS(allorders!O:O,allorders!L:L,'数据处理(仓储使用)'!$A1030,allorders!$AG:$AG,"&lt;="&amp;日期!$B$2,allorders!$AG:$AG,"&gt;="&amp;日期!$B$1)</f>
        <v>0</v>
      </c>
      <c r="C1030">
        <f>B1030/(日期!$B$2-日期!$B$1+1)</f>
        <v>0</v>
      </c>
    </row>
    <row r="1031" spans="2:3">
      <c r="B1031">
        <f>SUMIFS(allorders!O:O,allorders!L:L,'数据处理(仓储使用)'!$A1031,allorders!$AG:$AG,"&lt;="&amp;日期!$B$2,allorders!$AG:$AG,"&gt;="&amp;日期!$B$1)</f>
        <v>0</v>
      </c>
      <c r="C1031">
        <f>B1031/(日期!$B$2-日期!$B$1+1)</f>
        <v>0</v>
      </c>
    </row>
    <row r="1032" spans="2:3">
      <c r="B1032">
        <f>SUMIFS(allorders!O:O,allorders!L:L,'数据处理(仓储使用)'!$A1032,allorders!$AG:$AG,"&lt;="&amp;日期!$B$2,allorders!$AG:$AG,"&gt;="&amp;日期!$B$1)</f>
        <v>0</v>
      </c>
      <c r="C1032">
        <f>B1032/(日期!$B$2-日期!$B$1+1)</f>
        <v>0</v>
      </c>
    </row>
    <row r="1033" spans="2:3">
      <c r="B1033">
        <f>SUMIFS(allorders!O:O,allorders!L:L,'数据处理(仓储使用)'!$A1033,allorders!$AG:$AG,"&lt;="&amp;日期!$B$2,allorders!$AG:$AG,"&gt;="&amp;日期!$B$1)</f>
        <v>0</v>
      </c>
      <c r="C1033">
        <f>B1033/(日期!$B$2-日期!$B$1+1)</f>
        <v>0</v>
      </c>
    </row>
    <row r="1034" spans="2:3">
      <c r="B1034">
        <f>SUMIFS(allorders!O:O,allorders!L:L,'数据处理(仓储使用)'!$A1034,allorders!$AG:$AG,"&lt;="&amp;日期!$B$2,allorders!$AG:$AG,"&gt;="&amp;日期!$B$1)</f>
        <v>0</v>
      </c>
      <c r="C1034">
        <f>B1034/(日期!$B$2-日期!$B$1+1)</f>
        <v>0</v>
      </c>
    </row>
    <row r="1035" spans="2:3">
      <c r="B1035">
        <f>SUMIFS(allorders!O:O,allorders!L:L,'数据处理(仓储使用)'!$A1035,allorders!$AG:$AG,"&lt;="&amp;日期!$B$2,allorders!$AG:$AG,"&gt;="&amp;日期!$B$1)</f>
        <v>0</v>
      </c>
      <c r="C1035">
        <f>B1035/(日期!$B$2-日期!$B$1+1)</f>
        <v>0</v>
      </c>
    </row>
    <row r="1036" spans="2:3">
      <c r="B1036">
        <f>SUMIFS(allorders!O:O,allorders!L:L,'数据处理(仓储使用)'!$A1036,allorders!$AG:$AG,"&lt;="&amp;日期!$B$2,allorders!$AG:$AG,"&gt;="&amp;日期!$B$1)</f>
        <v>0</v>
      </c>
      <c r="C1036">
        <f>B1036/(日期!$B$2-日期!$B$1+1)</f>
        <v>0</v>
      </c>
    </row>
    <row r="1037" spans="2:3">
      <c r="B1037">
        <f>SUMIFS(allorders!O:O,allorders!L:L,'数据处理(仓储使用)'!$A1037,allorders!$AG:$AG,"&lt;="&amp;日期!$B$2,allorders!$AG:$AG,"&gt;="&amp;日期!$B$1)</f>
        <v>0</v>
      </c>
      <c r="C1037">
        <f>B1037/(日期!$B$2-日期!$B$1+1)</f>
        <v>0</v>
      </c>
    </row>
    <row r="1038" spans="2:3">
      <c r="B1038">
        <f>SUMIFS(allorders!O:O,allorders!L:L,'数据处理(仓储使用)'!$A1038,allorders!$AG:$AG,"&lt;="&amp;日期!$B$2,allorders!$AG:$AG,"&gt;="&amp;日期!$B$1)</f>
        <v>0</v>
      </c>
      <c r="C1038">
        <f>B1038/(日期!$B$2-日期!$B$1+1)</f>
        <v>0</v>
      </c>
    </row>
    <row r="1039" spans="2:3">
      <c r="B1039">
        <f>SUMIFS(allorders!O:O,allorders!L:L,'数据处理(仓储使用)'!$A1039,allorders!$AG:$AG,"&lt;="&amp;日期!$B$2,allorders!$AG:$AG,"&gt;="&amp;日期!$B$1)</f>
        <v>0</v>
      </c>
      <c r="C1039">
        <f>B1039/(日期!$B$2-日期!$B$1+1)</f>
        <v>0</v>
      </c>
    </row>
    <row r="1040" spans="2:3">
      <c r="B1040">
        <f>SUMIFS(allorders!O:O,allorders!L:L,'数据处理(仓储使用)'!$A1040,allorders!$AG:$AG,"&lt;="&amp;日期!$B$2,allorders!$AG:$AG,"&gt;="&amp;日期!$B$1)</f>
        <v>0</v>
      </c>
      <c r="C1040">
        <f>B1040/(日期!$B$2-日期!$B$1+1)</f>
        <v>0</v>
      </c>
    </row>
    <row r="1041" spans="2:3">
      <c r="B1041">
        <f>SUMIFS(allorders!O:O,allorders!L:L,'数据处理(仓储使用)'!$A1041,allorders!$AG:$AG,"&lt;="&amp;日期!$B$2,allorders!$AG:$AG,"&gt;="&amp;日期!$B$1)</f>
        <v>0</v>
      </c>
      <c r="C1041">
        <f>B1041/(日期!$B$2-日期!$B$1+1)</f>
        <v>0</v>
      </c>
    </row>
    <row r="1042" spans="2:3">
      <c r="B1042">
        <f>SUMIFS(allorders!O:O,allorders!L:L,'数据处理(仓储使用)'!$A1042,allorders!$AG:$AG,"&lt;="&amp;日期!$B$2,allorders!$AG:$AG,"&gt;="&amp;日期!$B$1)</f>
        <v>0</v>
      </c>
      <c r="C1042">
        <f>B1042/(日期!$B$2-日期!$B$1+1)</f>
        <v>0</v>
      </c>
    </row>
    <row r="1043" spans="2:3">
      <c r="B1043">
        <f>SUMIFS(allorders!O:O,allorders!L:L,'数据处理(仓储使用)'!$A1043,allorders!$AG:$AG,"&lt;="&amp;日期!$B$2,allorders!$AG:$AG,"&gt;="&amp;日期!$B$1)</f>
        <v>0</v>
      </c>
      <c r="C1043">
        <f>B1043/(日期!$B$2-日期!$B$1+1)</f>
        <v>0</v>
      </c>
    </row>
    <row r="1044" spans="2:3">
      <c r="B1044">
        <f>SUMIFS(allorders!O:O,allorders!L:L,'数据处理(仓储使用)'!$A1044,allorders!$AG:$AG,"&lt;="&amp;日期!$B$2,allorders!$AG:$AG,"&gt;="&amp;日期!$B$1)</f>
        <v>0</v>
      </c>
      <c r="C1044">
        <f>B1044/(日期!$B$2-日期!$B$1+1)</f>
        <v>0</v>
      </c>
    </row>
    <row r="1045" spans="2:3">
      <c r="B1045">
        <f>SUMIFS(allorders!O:O,allorders!L:L,'数据处理(仓储使用)'!$A1045,allorders!$AG:$AG,"&lt;="&amp;日期!$B$2,allorders!$AG:$AG,"&gt;="&amp;日期!$B$1)</f>
        <v>0</v>
      </c>
      <c r="C1045">
        <f>B1045/(日期!$B$2-日期!$B$1+1)</f>
        <v>0</v>
      </c>
    </row>
    <row r="1046" spans="2:3">
      <c r="B1046">
        <f>SUMIFS(allorders!O:O,allorders!L:L,'数据处理(仓储使用)'!$A1046,allorders!$AG:$AG,"&lt;="&amp;日期!$B$2,allorders!$AG:$AG,"&gt;="&amp;日期!$B$1)</f>
        <v>0</v>
      </c>
      <c r="C1046">
        <f>B1046/(日期!$B$2-日期!$B$1+1)</f>
        <v>0</v>
      </c>
    </row>
    <row r="1047" spans="2:3">
      <c r="B1047">
        <f>SUMIFS(allorders!O:O,allorders!L:L,'数据处理(仓储使用)'!$A1047,allorders!$AG:$AG,"&lt;="&amp;日期!$B$2,allorders!$AG:$AG,"&gt;="&amp;日期!$B$1)</f>
        <v>0</v>
      </c>
      <c r="C1047">
        <f>B1047/(日期!$B$2-日期!$B$1+1)</f>
        <v>0</v>
      </c>
    </row>
    <row r="1048" spans="2:3">
      <c r="B1048">
        <f>SUMIFS(allorders!O:O,allorders!L:L,'数据处理(仓储使用)'!$A1048,allorders!$AG:$AG,"&lt;="&amp;日期!$B$2,allorders!$AG:$AG,"&gt;="&amp;日期!$B$1)</f>
        <v>0</v>
      </c>
      <c r="C1048">
        <f>B1048/(日期!$B$2-日期!$B$1+1)</f>
        <v>0</v>
      </c>
    </row>
    <row r="1049" spans="2:3">
      <c r="B1049">
        <f>SUMIFS(allorders!O:O,allorders!L:L,'数据处理(仓储使用)'!$A1049,allorders!$AG:$AG,"&lt;="&amp;日期!$B$2,allorders!$AG:$AG,"&gt;="&amp;日期!$B$1)</f>
        <v>0</v>
      </c>
      <c r="C1049">
        <f>B1049/(日期!$B$2-日期!$B$1+1)</f>
        <v>0</v>
      </c>
    </row>
    <row r="1050" spans="2:3">
      <c r="B1050">
        <f>SUMIFS(allorders!O:O,allorders!L:L,'数据处理(仓储使用)'!$A1050,allorders!$AG:$AG,"&lt;="&amp;日期!$B$2,allorders!$AG:$AG,"&gt;="&amp;日期!$B$1)</f>
        <v>0</v>
      </c>
      <c r="C1050">
        <f>B1050/(日期!$B$2-日期!$B$1+1)</f>
        <v>0</v>
      </c>
    </row>
    <row r="1051" spans="2:3">
      <c r="B1051">
        <f>SUMIFS(allorders!O:O,allorders!L:L,'数据处理(仓储使用)'!$A1051,allorders!$AG:$AG,"&lt;="&amp;日期!$B$2,allorders!$AG:$AG,"&gt;="&amp;日期!$B$1)</f>
        <v>0</v>
      </c>
      <c r="C1051">
        <f>B1051/(日期!$B$2-日期!$B$1+1)</f>
        <v>0</v>
      </c>
    </row>
    <row r="1052" spans="2:3">
      <c r="B1052">
        <f>SUMIFS(allorders!O:O,allorders!L:L,'数据处理(仓储使用)'!$A1052,allorders!$AG:$AG,"&lt;="&amp;日期!$B$2,allorders!$AG:$AG,"&gt;="&amp;日期!$B$1)</f>
        <v>0</v>
      </c>
      <c r="C1052">
        <f>B1052/(日期!$B$2-日期!$B$1+1)</f>
        <v>0</v>
      </c>
    </row>
    <row r="1053" spans="2:3">
      <c r="B1053">
        <f>SUMIFS(allorders!O:O,allorders!L:L,'数据处理(仓储使用)'!$A1053,allorders!$AG:$AG,"&lt;="&amp;日期!$B$2,allorders!$AG:$AG,"&gt;="&amp;日期!$B$1)</f>
        <v>0</v>
      </c>
      <c r="C1053">
        <f>B1053/(日期!$B$2-日期!$B$1+1)</f>
        <v>0</v>
      </c>
    </row>
    <row r="1054" spans="2:3">
      <c r="B1054">
        <f>SUMIFS(allorders!O:O,allorders!L:L,'数据处理(仓储使用)'!$A1054,allorders!$AG:$AG,"&lt;="&amp;日期!$B$2,allorders!$AG:$AG,"&gt;="&amp;日期!$B$1)</f>
        <v>0</v>
      </c>
      <c r="C1054">
        <f>B1054/(日期!$B$2-日期!$B$1+1)</f>
        <v>0</v>
      </c>
    </row>
    <row r="1055" spans="2:3">
      <c r="B1055">
        <f>SUMIFS(allorders!O:O,allorders!L:L,'数据处理(仓储使用)'!$A1055,allorders!$AG:$AG,"&lt;="&amp;日期!$B$2,allorders!$AG:$AG,"&gt;="&amp;日期!$B$1)</f>
        <v>0</v>
      </c>
      <c r="C1055">
        <f>B1055/(日期!$B$2-日期!$B$1+1)</f>
        <v>0</v>
      </c>
    </row>
    <row r="1056" spans="2:3">
      <c r="B1056">
        <f>SUMIFS(allorders!O:O,allorders!L:L,'数据处理(仓储使用)'!$A1056,allorders!$AG:$AG,"&lt;="&amp;日期!$B$2,allorders!$AG:$AG,"&gt;="&amp;日期!$B$1)</f>
        <v>0</v>
      </c>
      <c r="C1056">
        <f>B1056/(日期!$B$2-日期!$B$1+1)</f>
        <v>0</v>
      </c>
    </row>
    <row r="1057" spans="2:3">
      <c r="B1057">
        <f>SUMIFS(allorders!O:O,allorders!L:L,'数据处理(仓储使用)'!$A1057,allorders!$AG:$AG,"&lt;="&amp;日期!$B$2,allorders!$AG:$AG,"&gt;="&amp;日期!$B$1)</f>
        <v>0</v>
      </c>
      <c r="C1057">
        <f>B1057/(日期!$B$2-日期!$B$1+1)</f>
        <v>0</v>
      </c>
    </row>
    <row r="1058" spans="2:3">
      <c r="B1058">
        <f>SUMIFS(allorders!O:O,allorders!L:L,'数据处理(仓储使用)'!$A1058,allorders!$AG:$AG,"&lt;="&amp;日期!$B$2,allorders!$AG:$AG,"&gt;="&amp;日期!$B$1)</f>
        <v>0</v>
      </c>
      <c r="C1058">
        <f>B1058/(日期!$B$2-日期!$B$1+1)</f>
        <v>0</v>
      </c>
    </row>
    <row r="1059" spans="2:3">
      <c r="B1059">
        <f>SUMIFS(allorders!O:O,allorders!L:L,'数据处理(仓储使用)'!$A1059,allorders!$AG:$AG,"&lt;="&amp;日期!$B$2,allorders!$AG:$AG,"&gt;="&amp;日期!$B$1)</f>
        <v>0</v>
      </c>
      <c r="C1059">
        <f>B1059/(日期!$B$2-日期!$B$1+1)</f>
        <v>0</v>
      </c>
    </row>
    <row r="1060" spans="2:3">
      <c r="B1060">
        <f>SUMIFS(allorders!O:O,allorders!L:L,'数据处理(仓储使用)'!$A1060,allorders!$AG:$AG,"&lt;="&amp;日期!$B$2,allorders!$AG:$AG,"&gt;="&amp;日期!$B$1)</f>
        <v>0</v>
      </c>
      <c r="C1060">
        <f>B1060/(日期!$B$2-日期!$B$1+1)</f>
        <v>0</v>
      </c>
    </row>
    <row r="1061" spans="2:3">
      <c r="B1061">
        <f>SUMIFS(allorders!O:O,allorders!L:L,'数据处理(仓储使用)'!$A1061,allorders!$AG:$AG,"&lt;="&amp;日期!$B$2,allorders!$AG:$AG,"&gt;="&amp;日期!$B$1)</f>
        <v>0</v>
      </c>
      <c r="C1061">
        <f>B1061/(日期!$B$2-日期!$B$1+1)</f>
        <v>0</v>
      </c>
    </row>
    <row r="1062" spans="2:3">
      <c r="B1062">
        <f>SUMIFS(allorders!O:O,allorders!L:L,'数据处理(仓储使用)'!$A1062,allorders!$AG:$AG,"&lt;="&amp;日期!$B$2,allorders!$AG:$AG,"&gt;="&amp;日期!$B$1)</f>
        <v>0</v>
      </c>
      <c r="C1062">
        <f>B1062/(日期!$B$2-日期!$B$1+1)</f>
        <v>0</v>
      </c>
    </row>
    <row r="1063" spans="2:3">
      <c r="B1063">
        <f>SUMIFS(allorders!O:O,allorders!L:L,'数据处理(仓储使用)'!$A1063,allorders!$AG:$AG,"&lt;="&amp;日期!$B$2,allorders!$AG:$AG,"&gt;="&amp;日期!$B$1)</f>
        <v>0</v>
      </c>
      <c r="C1063">
        <f>B1063/(日期!$B$2-日期!$B$1+1)</f>
        <v>0</v>
      </c>
    </row>
    <row r="1064" spans="2:3">
      <c r="B1064">
        <f>SUMIFS(allorders!O:O,allorders!L:L,'数据处理(仓储使用)'!$A1064,allorders!$AG:$AG,"&lt;="&amp;日期!$B$2,allorders!$AG:$AG,"&gt;="&amp;日期!$B$1)</f>
        <v>0</v>
      </c>
      <c r="C1064">
        <f>B1064/(日期!$B$2-日期!$B$1+1)</f>
        <v>0</v>
      </c>
    </row>
    <row r="1065" spans="2:3">
      <c r="B1065">
        <f>SUMIFS(allorders!O:O,allorders!L:L,'数据处理(仓储使用)'!$A1065,allorders!$AG:$AG,"&lt;="&amp;日期!$B$2,allorders!$AG:$AG,"&gt;="&amp;日期!$B$1)</f>
        <v>0</v>
      </c>
      <c r="C1065">
        <f>B1065/(日期!$B$2-日期!$B$1+1)</f>
        <v>0</v>
      </c>
    </row>
    <row r="1066" spans="2:3">
      <c r="B1066">
        <f>SUMIFS(allorders!O:O,allorders!L:L,'数据处理(仓储使用)'!$A1066,allorders!$AG:$AG,"&lt;="&amp;日期!$B$2,allorders!$AG:$AG,"&gt;="&amp;日期!$B$1)</f>
        <v>0</v>
      </c>
      <c r="C1066">
        <f>B1066/(日期!$B$2-日期!$B$1+1)</f>
        <v>0</v>
      </c>
    </row>
    <row r="1067" spans="2:3">
      <c r="B1067">
        <f>SUMIFS(allorders!O:O,allorders!L:L,'数据处理(仓储使用)'!$A1067,allorders!$AG:$AG,"&lt;="&amp;日期!$B$2,allorders!$AG:$AG,"&gt;="&amp;日期!$B$1)</f>
        <v>0</v>
      </c>
      <c r="C1067">
        <f>B1067/(日期!$B$2-日期!$B$1+1)</f>
        <v>0</v>
      </c>
    </row>
    <row r="1068" spans="2:3">
      <c r="B1068">
        <f>SUMIFS(allorders!O:O,allorders!L:L,'数据处理(仓储使用)'!$A1068,allorders!$AG:$AG,"&lt;="&amp;日期!$B$2,allorders!$AG:$AG,"&gt;="&amp;日期!$B$1)</f>
        <v>0</v>
      </c>
      <c r="C1068">
        <f>B1068/(日期!$B$2-日期!$B$1+1)</f>
        <v>0</v>
      </c>
    </row>
    <row r="1069" spans="2:3">
      <c r="B1069">
        <f>SUMIFS(allorders!O:O,allorders!L:L,'数据处理(仓储使用)'!$A1069,allorders!$AG:$AG,"&lt;="&amp;日期!$B$2,allorders!$AG:$AG,"&gt;="&amp;日期!$B$1)</f>
        <v>0</v>
      </c>
      <c r="C1069">
        <f>B1069/(日期!$B$2-日期!$B$1+1)</f>
        <v>0</v>
      </c>
    </row>
    <row r="1070" spans="2:3">
      <c r="B1070">
        <f>SUMIFS(allorders!O:O,allorders!L:L,'数据处理(仓储使用)'!$A1070,allorders!$AG:$AG,"&lt;="&amp;日期!$B$2,allorders!$AG:$AG,"&gt;="&amp;日期!$B$1)</f>
        <v>0</v>
      </c>
      <c r="C1070">
        <f>B1070/(日期!$B$2-日期!$B$1+1)</f>
        <v>0</v>
      </c>
    </row>
    <row r="1071" spans="2:3">
      <c r="B1071">
        <f>SUMIFS(allorders!O:O,allorders!L:L,'数据处理(仓储使用)'!$A1071,allorders!$AG:$AG,"&lt;="&amp;日期!$B$2,allorders!$AG:$AG,"&gt;="&amp;日期!$B$1)</f>
        <v>0</v>
      </c>
      <c r="C1071">
        <f>B1071/(日期!$B$2-日期!$B$1+1)</f>
        <v>0</v>
      </c>
    </row>
    <row r="1072" spans="2:3">
      <c r="B1072">
        <f>SUMIFS(allorders!O:O,allorders!L:L,'数据处理(仓储使用)'!$A1072,allorders!$AG:$AG,"&lt;="&amp;日期!$B$2,allorders!$AG:$AG,"&gt;="&amp;日期!$B$1)</f>
        <v>0</v>
      </c>
      <c r="C1072">
        <f>B1072/(日期!$B$2-日期!$B$1+1)</f>
        <v>0</v>
      </c>
    </row>
    <row r="1073" spans="2:3">
      <c r="B1073">
        <f>SUMIFS(allorders!O:O,allorders!L:L,'数据处理(仓储使用)'!$A1073,allorders!$AG:$AG,"&lt;="&amp;日期!$B$2,allorders!$AG:$AG,"&gt;="&amp;日期!$B$1)</f>
        <v>0</v>
      </c>
      <c r="C1073">
        <f>B1073/(日期!$B$2-日期!$B$1+1)</f>
        <v>0</v>
      </c>
    </row>
    <row r="1074" spans="2:3">
      <c r="B1074">
        <f>SUMIFS(allorders!O:O,allorders!L:L,'数据处理(仓储使用)'!$A1074,allorders!$AG:$AG,"&lt;="&amp;日期!$B$2,allorders!$AG:$AG,"&gt;="&amp;日期!$B$1)</f>
        <v>0</v>
      </c>
      <c r="C1074">
        <f>B1074/(日期!$B$2-日期!$B$1+1)</f>
        <v>0</v>
      </c>
    </row>
    <row r="1075" spans="2:3">
      <c r="B1075">
        <f>SUMIFS(allorders!O:O,allorders!L:L,'数据处理(仓储使用)'!$A1075,allorders!$AG:$AG,"&lt;="&amp;日期!$B$2,allorders!$AG:$AG,"&gt;="&amp;日期!$B$1)</f>
        <v>0</v>
      </c>
      <c r="C1075">
        <f>B1075/(日期!$B$2-日期!$B$1+1)</f>
        <v>0</v>
      </c>
    </row>
    <row r="1076" spans="2:3">
      <c r="B1076">
        <f>SUMIFS(allorders!O:O,allorders!L:L,'数据处理(仓储使用)'!$A1076,allorders!$AG:$AG,"&lt;="&amp;日期!$B$2,allorders!$AG:$AG,"&gt;="&amp;日期!$B$1)</f>
        <v>0</v>
      </c>
      <c r="C1076">
        <f>B1076/(日期!$B$2-日期!$B$1+1)</f>
        <v>0</v>
      </c>
    </row>
    <row r="1077" spans="2:3">
      <c r="B1077">
        <f>SUMIFS(allorders!O:O,allorders!L:L,'数据处理(仓储使用)'!$A1077,allorders!$AG:$AG,"&lt;="&amp;日期!$B$2,allorders!$AG:$AG,"&gt;="&amp;日期!$B$1)</f>
        <v>0</v>
      </c>
      <c r="C1077">
        <f>B1077/(日期!$B$2-日期!$B$1+1)</f>
        <v>0</v>
      </c>
    </row>
    <row r="1078" spans="2:3">
      <c r="B1078">
        <f>SUMIFS(allorders!O:O,allorders!L:L,'数据处理(仓储使用)'!$A1078,allorders!$AG:$AG,"&lt;="&amp;日期!$B$2,allorders!$AG:$AG,"&gt;="&amp;日期!$B$1)</f>
        <v>0</v>
      </c>
      <c r="C1078">
        <f>B1078/(日期!$B$2-日期!$B$1+1)</f>
        <v>0</v>
      </c>
    </row>
    <row r="1079" spans="2:3">
      <c r="B1079">
        <f>SUMIFS(allorders!O:O,allorders!L:L,'数据处理(仓储使用)'!$A1079,allorders!$AG:$AG,"&lt;="&amp;日期!$B$2,allorders!$AG:$AG,"&gt;="&amp;日期!$B$1)</f>
        <v>0</v>
      </c>
      <c r="C1079">
        <f>B1079/(日期!$B$2-日期!$B$1+1)</f>
        <v>0</v>
      </c>
    </row>
    <row r="1080" spans="2:3">
      <c r="B1080">
        <f>SUMIFS(allorders!O:O,allorders!L:L,'数据处理(仓储使用)'!$A1080,allorders!$AG:$AG,"&lt;="&amp;日期!$B$2,allorders!$AG:$AG,"&gt;="&amp;日期!$B$1)</f>
        <v>0</v>
      </c>
      <c r="C1080">
        <f>B1080/(日期!$B$2-日期!$B$1+1)</f>
        <v>0</v>
      </c>
    </row>
    <row r="1081" spans="2:3">
      <c r="B1081">
        <f>SUMIFS(allorders!O:O,allorders!L:L,'数据处理(仓储使用)'!$A1081,allorders!$AG:$AG,"&lt;="&amp;日期!$B$2,allorders!$AG:$AG,"&gt;="&amp;日期!$B$1)</f>
        <v>0</v>
      </c>
      <c r="C1081">
        <f>B1081/(日期!$B$2-日期!$B$1+1)</f>
        <v>0</v>
      </c>
    </row>
    <row r="1082" spans="2:3">
      <c r="B1082">
        <f>SUMIFS(allorders!O:O,allorders!L:L,'数据处理(仓储使用)'!$A1082,allorders!$AG:$AG,"&lt;="&amp;日期!$B$2,allorders!$AG:$AG,"&gt;="&amp;日期!$B$1)</f>
        <v>0</v>
      </c>
      <c r="C1082">
        <f>B1082/(日期!$B$2-日期!$B$1+1)</f>
        <v>0</v>
      </c>
    </row>
    <row r="1083" spans="2:3">
      <c r="B1083">
        <f>SUMIFS(allorders!O:O,allorders!L:L,'数据处理(仓储使用)'!$A1083,allorders!$AG:$AG,"&lt;="&amp;日期!$B$2,allorders!$AG:$AG,"&gt;="&amp;日期!$B$1)</f>
        <v>0</v>
      </c>
      <c r="C1083">
        <f>B1083/(日期!$B$2-日期!$B$1+1)</f>
        <v>0</v>
      </c>
    </row>
    <row r="1084" spans="2:3">
      <c r="B1084">
        <f>SUMIFS(allorders!O:O,allorders!L:L,'数据处理(仓储使用)'!$A1084,allorders!$AG:$AG,"&lt;="&amp;日期!$B$2,allorders!$AG:$AG,"&gt;="&amp;日期!$B$1)</f>
        <v>0</v>
      </c>
      <c r="C1084">
        <f>B1084/(日期!$B$2-日期!$B$1+1)</f>
        <v>0</v>
      </c>
    </row>
    <row r="1085" spans="2:3">
      <c r="B1085">
        <f>SUMIFS(allorders!O:O,allorders!L:L,'数据处理(仓储使用)'!$A1085,allorders!$AG:$AG,"&lt;="&amp;日期!$B$2,allorders!$AG:$AG,"&gt;="&amp;日期!$B$1)</f>
        <v>0</v>
      </c>
      <c r="C1085">
        <f>B1085/(日期!$B$2-日期!$B$1+1)</f>
        <v>0</v>
      </c>
    </row>
    <row r="1086" spans="2:3">
      <c r="B1086">
        <f>SUMIFS(allorders!O:O,allorders!L:L,'数据处理(仓储使用)'!$A1086,allorders!$AG:$AG,"&lt;="&amp;日期!$B$2,allorders!$AG:$AG,"&gt;="&amp;日期!$B$1)</f>
        <v>0</v>
      </c>
      <c r="C1086">
        <f>B1086/(日期!$B$2-日期!$B$1+1)</f>
        <v>0</v>
      </c>
    </row>
    <row r="1087" spans="2:3">
      <c r="B1087">
        <f>SUMIFS(allorders!O:O,allorders!L:L,'数据处理(仓储使用)'!$A1087,allorders!$AG:$AG,"&lt;="&amp;日期!$B$2,allorders!$AG:$AG,"&gt;="&amp;日期!$B$1)</f>
        <v>0</v>
      </c>
      <c r="C1087">
        <f>B1087/(日期!$B$2-日期!$B$1+1)</f>
        <v>0</v>
      </c>
    </row>
    <row r="1088" spans="2:3">
      <c r="B1088">
        <f>SUMIFS(allorders!O:O,allorders!L:L,'数据处理(仓储使用)'!$A1088,allorders!$AG:$AG,"&lt;="&amp;日期!$B$2,allorders!$AG:$AG,"&gt;="&amp;日期!$B$1)</f>
        <v>0</v>
      </c>
      <c r="C1088">
        <f>B1088/(日期!$B$2-日期!$B$1+1)</f>
        <v>0</v>
      </c>
    </row>
    <row r="1089" spans="2:3">
      <c r="B1089">
        <f>SUMIFS(allorders!O:O,allorders!L:L,'数据处理(仓储使用)'!$A1089,allorders!$AG:$AG,"&lt;="&amp;日期!$B$2,allorders!$AG:$AG,"&gt;="&amp;日期!$B$1)</f>
        <v>0</v>
      </c>
      <c r="C1089">
        <f>B1089/(日期!$B$2-日期!$B$1+1)</f>
        <v>0</v>
      </c>
    </row>
    <row r="1090" spans="2:3">
      <c r="B1090">
        <f>SUMIFS(allorders!O:O,allorders!L:L,'数据处理(仓储使用)'!$A1090,allorders!$AG:$AG,"&lt;="&amp;日期!$B$2,allorders!$AG:$AG,"&gt;="&amp;日期!$B$1)</f>
        <v>0</v>
      </c>
      <c r="C1090">
        <f>B1090/(日期!$B$2-日期!$B$1+1)</f>
        <v>0</v>
      </c>
    </row>
    <row r="1091" spans="2:3">
      <c r="B1091">
        <f>SUMIFS(allorders!O:O,allorders!L:L,'数据处理(仓储使用)'!$A1091,allorders!$AG:$AG,"&lt;="&amp;日期!$B$2,allorders!$AG:$AG,"&gt;="&amp;日期!$B$1)</f>
        <v>0</v>
      </c>
      <c r="C1091">
        <f>B1091/(日期!$B$2-日期!$B$1+1)</f>
        <v>0</v>
      </c>
    </row>
    <row r="1092" spans="2:3">
      <c r="B1092">
        <f>SUMIFS(allorders!O:O,allorders!L:L,'数据处理(仓储使用)'!$A1092,allorders!$AG:$AG,"&lt;="&amp;日期!$B$2,allorders!$AG:$AG,"&gt;="&amp;日期!$B$1)</f>
        <v>0</v>
      </c>
      <c r="C1092">
        <f>B1092/(日期!$B$2-日期!$B$1+1)</f>
        <v>0</v>
      </c>
    </row>
    <row r="1093" spans="2:3">
      <c r="B1093">
        <f>SUMIFS(allorders!O:O,allorders!L:L,'数据处理(仓储使用)'!$A1093,allorders!$AG:$AG,"&lt;="&amp;日期!$B$2,allorders!$AG:$AG,"&gt;="&amp;日期!$B$1)</f>
        <v>0</v>
      </c>
      <c r="C1093">
        <f>B1093/(日期!$B$2-日期!$B$1+1)</f>
        <v>0</v>
      </c>
    </row>
    <row r="1094" spans="2:3">
      <c r="B1094">
        <f>SUMIFS(allorders!O:O,allorders!L:L,'数据处理(仓储使用)'!$A1094,allorders!$AG:$AG,"&lt;="&amp;日期!$B$2,allorders!$AG:$AG,"&gt;="&amp;日期!$B$1)</f>
        <v>0</v>
      </c>
      <c r="C1094">
        <f>B1094/(日期!$B$2-日期!$B$1+1)</f>
        <v>0</v>
      </c>
    </row>
    <row r="1095" spans="2:3">
      <c r="B1095">
        <f>SUMIFS(allorders!O:O,allorders!L:L,'数据处理(仓储使用)'!$A1095,allorders!$AG:$AG,"&lt;="&amp;日期!$B$2,allorders!$AG:$AG,"&gt;="&amp;日期!$B$1)</f>
        <v>0</v>
      </c>
      <c r="C1095">
        <f>B1095/(日期!$B$2-日期!$B$1+1)</f>
        <v>0</v>
      </c>
    </row>
    <row r="1096" spans="2:3">
      <c r="B1096">
        <f>SUMIFS(allorders!O:O,allorders!L:L,'数据处理(仓储使用)'!$A1096,allorders!$AG:$AG,"&lt;="&amp;日期!$B$2,allorders!$AG:$AG,"&gt;="&amp;日期!$B$1)</f>
        <v>0</v>
      </c>
      <c r="C1096">
        <f>B1096/(日期!$B$2-日期!$B$1+1)</f>
        <v>0</v>
      </c>
    </row>
    <row r="1097" spans="2:3">
      <c r="B1097">
        <f>SUMIFS(allorders!O:O,allorders!L:L,'数据处理(仓储使用)'!$A1097,allorders!$AG:$AG,"&lt;="&amp;日期!$B$2,allorders!$AG:$AG,"&gt;="&amp;日期!$B$1)</f>
        <v>0</v>
      </c>
      <c r="C1097">
        <f>B1097/(日期!$B$2-日期!$B$1+1)</f>
        <v>0</v>
      </c>
    </row>
    <row r="1098" spans="2:3">
      <c r="B1098">
        <f>SUMIFS(allorders!O:O,allorders!L:L,'数据处理(仓储使用)'!$A1098,allorders!$AG:$AG,"&lt;="&amp;日期!$B$2,allorders!$AG:$AG,"&gt;="&amp;日期!$B$1)</f>
        <v>0</v>
      </c>
      <c r="C1098">
        <f>B1098/(日期!$B$2-日期!$B$1+1)</f>
        <v>0</v>
      </c>
    </row>
    <row r="1099" spans="2:3">
      <c r="B1099">
        <f>SUMIFS(allorders!O:O,allorders!L:L,'数据处理(仓储使用)'!$A1099,allorders!$AG:$AG,"&lt;="&amp;日期!$B$2,allorders!$AG:$AG,"&gt;="&amp;日期!$B$1)</f>
        <v>0</v>
      </c>
      <c r="C1099">
        <f>B1099/(日期!$B$2-日期!$B$1+1)</f>
        <v>0</v>
      </c>
    </row>
    <row r="1100" spans="2:3">
      <c r="B1100">
        <f>SUMIFS(allorders!O:O,allorders!L:L,'数据处理(仓储使用)'!$A1100,allorders!$AG:$AG,"&lt;="&amp;日期!$B$2,allorders!$AG:$AG,"&gt;="&amp;日期!$B$1)</f>
        <v>0</v>
      </c>
      <c r="C1100">
        <f>B1100/(日期!$B$2-日期!$B$1+1)</f>
        <v>0</v>
      </c>
    </row>
    <row r="1101" spans="2:3">
      <c r="B1101">
        <f>SUMIFS(allorders!O:O,allorders!L:L,'数据处理(仓储使用)'!$A1101,allorders!$AG:$AG,"&lt;="&amp;日期!$B$2,allorders!$AG:$AG,"&gt;="&amp;日期!$B$1)</f>
        <v>0</v>
      </c>
      <c r="C1101">
        <f>B1101/(日期!$B$2-日期!$B$1+1)</f>
        <v>0</v>
      </c>
    </row>
    <row r="1102" spans="2:3">
      <c r="B1102">
        <f>SUMIFS(allorders!O:O,allorders!L:L,'数据处理(仓储使用)'!$A1102,allorders!$AG:$AG,"&lt;="&amp;日期!$B$2,allorders!$AG:$AG,"&gt;="&amp;日期!$B$1)</f>
        <v>0</v>
      </c>
      <c r="C1102">
        <f>B1102/(日期!$B$2-日期!$B$1+1)</f>
        <v>0</v>
      </c>
    </row>
    <row r="1103" spans="2:3">
      <c r="B1103">
        <f>SUMIFS(allorders!O:O,allorders!L:L,'数据处理(仓储使用)'!$A1103,allorders!$AG:$AG,"&lt;="&amp;日期!$B$2,allorders!$AG:$AG,"&gt;="&amp;日期!$B$1)</f>
        <v>0</v>
      </c>
      <c r="C1103">
        <f>B1103/(日期!$B$2-日期!$B$1+1)</f>
        <v>0</v>
      </c>
    </row>
    <row r="1104" spans="2:3">
      <c r="B1104">
        <f>SUMIFS(allorders!O:O,allorders!L:L,'数据处理(仓储使用)'!$A1104,allorders!$AG:$AG,"&lt;="&amp;日期!$B$2,allorders!$AG:$AG,"&gt;="&amp;日期!$B$1)</f>
        <v>0</v>
      </c>
      <c r="C1104">
        <f>B1104/(日期!$B$2-日期!$B$1+1)</f>
        <v>0</v>
      </c>
    </row>
    <row r="1105" spans="2:3">
      <c r="B1105">
        <f>SUMIFS(allorders!O:O,allorders!L:L,'数据处理(仓储使用)'!$A1105,allorders!$AG:$AG,"&lt;="&amp;日期!$B$2,allorders!$AG:$AG,"&gt;="&amp;日期!$B$1)</f>
        <v>0</v>
      </c>
      <c r="C1105">
        <f>B1105/(日期!$B$2-日期!$B$1+1)</f>
        <v>0</v>
      </c>
    </row>
    <row r="1106" spans="2:3">
      <c r="B1106">
        <f>SUMIFS(allorders!O:O,allorders!L:L,'数据处理(仓储使用)'!$A1106,allorders!$AG:$AG,"&lt;="&amp;日期!$B$2,allorders!$AG:$AG,"&gt;="&amp;日期!$B$1)</f>
        <v>0</v>
      </c>
      <c r="C1106">
        <f>B1106/(日期!$B$2-日期!$B$1+1)</f>
        <v>0</v>
      </c>
    </row>
    <row r="1107" spans="2:3">
      <c r="B1107">
        <f>SUMIFS(allorders!O:O,allorders!L:L,'数据处理(仓储使用)'!$A1107,allorders!$AG:$AG,"&lt;="&amp;日期!$B$2,allorders!$AG:$AG,"&gt;="&amp;日期!$B$1)</f>
        <v>0</v>
      </c>
      <c r="C1107">
        <f>B1107/(日期!$B$2-日期!$B$1+1)</f>
        <v>0</v>
      </c>
    </row>
    <row r="1108" spans="2:3">
      <c r="B1108">
        <f>SUMIFS(allorders!O:O,allorders!L:L,'数据处理(仓储使用)'!$A1108,allorders!$AG:$AG,"&lt;="&amp;日期!$B$2,allorders!$AG:$AG,"&gt;="&amp;日期!$B$1)</f>
        <v>0</v>
      </c>
      <c r="C1108">
        <f>B1108/(日期!$B$2-日期!$B$1+1)</f>
        <v>0</v>
      </c>
    </row>
    <row r="1109" spans="2:3">
      <c r="B1109">
        <f>SUMIFS(allorders!O:O,allorders!L:L,'数据处理(仓储使用)'!$A1109,allorders!$AG:$AG,"&lt;="&amp;日期!$B$2,allorders!$AG:$AG,"&gt;="&amp;日期!$B$1)</f>
        <v>0</v>
      </c>
      <c r="C1109">
        <f>B1109/(日期!$B$2-日期!$B$1+1)</f>
        <v>0</v>
      </c>
    </row>
    <row r="1110" spans="2:3">
      <c r="B1110">
        <f>SUMIFS(allorders!O:O,allorders!L:L,'数据处理(仓储使用)'!$A1110,allorders!$AG:$AG,"&lt;="&amp;日期!$B$2,allorders!$AG:$AG,"&gt;="&amp;日期!$B$1)</f>
        <v>0</v>
      </c>
      <c r="C1110">
        <f>B1110/(日期!$B$2-日期!$B$1+1)</f>
        <v>0</v>
      </c>
    </row>
    <row r="1111" spans="2:3">
      <c r="B1111">
        <f>SUMIFS(allorders!O:O,allorders!L:L,'数据处理(仓储使用)'!$A1111,allorders!$AG:$AG,"&lt;="&amp;日期!$B$2,allorders!$AG:$AG,"&gt;="&amp;日期!$B$1)</f>
        <v>0</v>
      </c>
      <c r="C1111">
        <f>B1111/(日期!$B$2-日期!$B$1+1)</f>
        <v>0</v>
      </c>
    </row>
    <row r="1112" spans="2:3">
      <c r="B1112">
        <f>SUMIFS(allorders!O:O,allorders!L:L,'数据处理(仓储使用)'!$A1112,allorders!$AG:$AG,"&lt;="&amp;日期!$B$2,allorders!$AG:$AG,"&gt;="&amp;日期!$B$1)</f>
        <v>0</v>
      </c>
      <c r="C1112">
        <f>B1112/(日期!$B$2-日期!$B$1+1)</f>
        <v>0</v>
      </c>
    </row>
    <row r="1113" spans="2:3">
      <c r="B1113">
        <f>SUMIFS(allorders!O:O,allorders!L:L,'数据处理(仓储使用)'!$A1113,allorders!$AG:$AG,"&lt;="&amp;日期!$B$2,allorders!$AG:$AG,"&gt;="&amp;日期!$B$1)</f>
        <v>0</v>
      </c>
      <c r="C1113">
        <f>B1113/(日期!$B$2-日期!$B$1+1)</f>
        <v>0</v>
      </c>
    </row>
    <row r="1114" spans="2:3">
      <c r="B1114">
        <f>SUMIFS(allorders!O:O,allorders!L:L,'数据处理(仓储使用)'!$A1114,allorders!$AG:$AG,"&lt;="&amp;日期!$B$2,allorders!$AG:$AG,"&gt;="&amp;日期!$B$1)</f>
        <v>0</v>
      </c>
      <c r="C1114">
        <f>B1114/(日期!$B$2-日期!$B$1+1)</f>
        <v>0</v>
      </c>
    </row>
    <row r="1115" spans="2:3">
      <c r="B1115">
        <f>SUMIFS(allorders!O:O,allorders!L:L,'数据处理(仓储使用)'!$A1115,allorders!$AG:$AG,"&lt;="&amp;日期!$B$2,allorders!$AG:$AG,"&gt;="&amp;日期!$B$1)</f>
        <v>0</v>
      </c>
      <c r="C1115">
        <f>B1115/(日期!$B$2-日期!$B$1+1)</f>
        <v>0</v>
      </c>
    </row>
    <row r="1116" spans="2:3">
      <c r="B1116">
        <f>SUMIFS(allorders!O:O,allorders!L:L,'数据处理(仓储使用)'!$A1116,allorders!$AG:$AG,"&lt;="&amp;日期!$B$2,allorders!$AG:$AG,"&gt;="&amp;日期!$B$1)</f>
        <v>0</v>
      </c>
      <c r="C1116">
        <f>B1116/(日期!$B$2-日期!$B$1+1)</f>
        <v>0</v>
      </c>
    </row>
    <row r="1117" spans="2:3">
      <c r="B1117">
        <f>SUMIFS(allorders!O:O,allorders!L:L,'数据处理(仓储使用)'!$A1117,allorders!$AG:$AG,"&lt;="&amp;日期!$B$2,allorders!$AG:$AG,"&gt;="&amp;日期!$B$1)</f>
        <v>0</v>
      </c>
      <c r="C1117">
        <f>B1117/(日期!$B$2-日期!$B$1+1)</f>
        <v>0</v>
      </c>
    </row>
    <row r="1118" spans="2:3">
      <c r="B1118">
        <f>SUMIFS(allorders!O:O,allorders!L:L,'数据处理(仓储使用)'!$A1118,allorders!$AG:$AG,"&lt;="&amp;日期!$B$2,allorders!$AG:$AG,"&gt;="&amp;日期!$B$1)</f>
        <v>0</v>
      </c>
      <c r="C1118">
        <f>B1118/(日期!$B$2-日期!$B$1+1)</f>
        <v>0</v>
      </c>
    </row>
    <row r="1119" spans="2:3">
      <c r="B1119">
        <f>SUMIFS(allorders!O:O,allorders!L:L,'数据处理(仓储使用)'!$A1119,allorders!$AG:$AG,"&lt;="&amp;日期!$B$2,allorders!$AG:$AG,"&gt;="&amp;日期!$B$1)</f>
        <v>0</v>
      </c>
      <c r="C1119">
        <f>B1119/(日期!$B$2-日期!$B$1+1)</f>
        <v>0</v>
      </c>
    </row>
    <row r="1120" spans="2:3">
      <c r="B1120">
        <f>SUMIFS(allorders!O:O,allorders!L:L,'数据处理(仓储使用)'!$A1120,allorders!$AG:$AG,"&lt;="&amp;日期!$B$2,allorders!$AG:$AG,"&gt;="&amp;日期!$B$1)</f>
        <v>0</v>
      </c>
      <c r="C1120">
        <f>B1120/(日期!$B$2-日期!$B$1+1)</f>
        <v>0</v>
      </c>
    </row>
    <row r="1121" spans="2:3">
      <c r="B1121">
        <f>SUMIFS(allorders!O:O,allorders!L:L,'数据处理(仓储使用)'!$A1121,allorders!$AG:$AG,"&lt;="&amp;日期!$B$2,allorders!$AG:$AG,"&gt;="&amp;日期!$B$1)</f>
        <v>0</v>
      </c>
      <c r="C1121">
        <f>B1121/(日期!$B$2-日期!$B$1+1)</f>
        <v>0</v>
      </c>
    </row>
    <row r="1122" spans="2:3">
      <c r="B1122">
        <f>SUMIFS(allorders!O:O,allorders!L:L,'数据处理(仓储使用)'!$A1122,allorders!$AG:$AG,"&lt;="&amp;日期!$B$2,allorders!$AG:$AG,"&gt;="&amp;日期!$B$1)</f>
        <v>0</v>
      </c>
      <c r="C1122">
        <f>B1122/(日期!$B$2-日期!$B$1+1)</f>
        <v>0</v>
      </c>
    </row>
    <row r="1123" spans="2:3">
      <c r="B1123">
        <f>SUMIFS(allorders!O:O,allorders!L:L,'数据处理(仓储使用)'!$A1123,allorders!$AG:$AG,"&lt;="&amp;日期!$B$2,allorders!$AG:$AG,"&gt;="&amp;日期!$B$1)</f>
        <v>0</v>
      </c>
      <c r="C1123">
        <f>B1123/(日期!$B$2-日期!$B$1+1)</f>
        <v>0</v>
      </c>
    </row>
    <row r="1124" spans="2:3">
      <c r="B1124">
        <f>SUMIFS(allorders!O:O,allorders!L:L,'数据处理(仓储使用)'!$A1124,allorders!$AG:$AG,"&lt;="&amp;日期!$B$2,allorders!$AG:$AG,"&gt;="&amp;日期!$B$1)</f>
        <v>0</v>
      </c>
      <c r="C1124">
        <f>B1124/(日期!$B$2-日期!$B$1+1)</f>
        <v>0</v>
      </c>
    </row>
    <row r="1125" spans="2:3">
      <c r="B1125">
        <f>SUMIFS(allorders!O:O,allorders!L:L,'数据处理(仓储使用)'!$A1125,allorders!$AG:$AG,"&lt;="&amp;日期!$B$2,allorders!$AG:$AG,"&gt;="&amp;日期!$B$1)</f>
        <v>0</v>
      </c>
      <c r="C1125">
        <f>B1125/(日期!$B$2-日期!$B$1+1)</f>
        <v>0</v>
      </c>
    </row>
    <row r="1126" spans="2:3">
      <c r="B1126">
        <f>SUMIFS(allorders!O:O,allorders!L:L,'数据处理(仓储使用)'!$A1126,allorders!$AG:$AG,"&lt;="&amp;日期!$B$2,allorders!$AG:$AG,"&gt;="&amp;日期!$B$1)</f>
        <v>0</v>
      </c>
      <c r="C1126">
        <f>B1126/(日期!$B$2-日期!$B$1+1)</f>
        <v>0</v>
      </c>
    </row>
    <row r="1127" spans="2:3">
      <c r="B1127">
        <f>SUMIFS(allorders!O:O,allorders!L:L,'数据处理(仓储使用)'!$A1127,allorders!$AG:$AG,"&lt;="&amp;日期!$B$2,allorders!$AG:$AG,"&gt;="&amp;日期!$B$1)</f>
        <v>0</v>
      </c>
      <c r="C1127">
        <f>B1127/(日期!$B$2-日期!$B$1+1)</f>
        <v>0</v>
      </c>
    </row>
    <row r="1128" spans="2:3">
      <c r="B1128">
        <f>SUMIFS(allorders!O:O,allorders!L:L,'数据处理(仓储使用)'!$A1128,allorders!$AG:$AG,"&lt;="&amp;日期!$B$2,allorders!$AG:$AG,"&gt;="&amp;日期!$B$1)</f>
        <v>0</v>
      </c>
      <c r="C1128">
        <f>B1128/(日期!$B$2-日期!$B$1+1)</f>
        <v>0</v>
      </c>
    </row>
    <row r="1129" spans="2:3">
      <c r="B1129">
        <f>SUMIFS(allorders!O:O,allorders!L:L,'数据处理(仓储使用)'!$A1129,allorders!$AG:$AG,"&lt;="&amp;日期!$B$2,allorders!$AG:$AG,"&gt;="&amp;日期!$B$1)</f>
        <v>0</v>
      </c>
      <c r="C1129">
        <f>B1129/(日期!$B$2-日期!$B$1+1)</f>
        <v>0</v>
      </c>
    </row>
    <row r="1130" spans="2:3">
      <c r="B1130">
        <f>SUMIFS(allorders!O:O,allorders!L:L,'数据处理(仓储使用)'!$A1130,allorders!$AG:$AG,"&lt;="&amp;日期!$B$2,allorders!$AG:$AG,"&gt;="&amp;日期!$B$1)</f>
        <v>0</v>
      </c>
      <c r="C1130">
        <f>B1130/(日期!$B$2-日期!$B$1+1)</f>
        <v>0</v>
      </c>
    </row>
    <row r="1131" spans="2:3">
      <c r="B1131">
        <f>SUMIFS(allorders!O:O,allorders!L:L,'数据处理(仓储使用)'!$A1131,allorders!$AG:$AG,"&lt;="&amp;日期!$B$2,allorders!$AG:$AG,"&gt;="&amp;日期!$B$1)</f>
        <v>0</v>
      </c>
      <c r="C1131">
        <f>B1131/(日期!$B$2-日期!$B$1+1)</f>
        <v>0</v>
      </c>
    </row>
    <row r="1132" spans="2:3">
      <c r="B1132">
        <f>SUMIFS(allorders!O:O,allorders!L:L,'数据处理(仓储使用)'!$A1132,allorders!$AG:$AG,"&lt;="&amp;日期!$B$2,allorders!$AG:$AG,"&gt;="&amp;日期!$B$1)</f>
        <v>0</v>
      </c>
      <c r="C1132">
        <f>B1132/(日期!$B$2-日期!$B$1+1)</f>
        <v>0</v>
      </c>
    </row>
    <row r="1133" spans="2:3">
      <c r="B1133">
        <f>SUMIFS(allorders!O:O,allorders!L:L,'数据处理(仓储使用)'!$A1133,allorders!$AG:$AG,"&lt;="&amp;日期!$B$2,allorders!$AG:$AG,"&gt;="&amp;日期!$B$1)</f>
        <v>0</v>
      </c>
      <c r="C1133">
        <f>B1133/(日期!$B$2-日期!$B$1+1)</f>
        <v>0</v>
      </c>
    </row>
    <row r="1134" spans="2:3">
      <c r="B1134">
        <f>SUMIFS(allorders!O:O,allorders!L:L,'数据处理(仓储使用)'!$A1134,allorders!$AG:$AG,"&lt;="&amp;日期!$B$2,allorders!$AG:$AG,"&gt;="&amp;日期!$B$1)</f>
        <v>0</v>
      </c>
      <c r="C1134">
        <f>B1134/(日期!$B$2-日期!$B$1+1)</f>
        <v>0</v>
      </c>
    </row>
    <row r="1135" spans="2:3">
      <c r="B1135">
        <f>SUMIFS(allorders!O:O,allorders!L:L,'数据处理(仓储使用)'!$A1135,allorders!$AG:$AG,"&lt;="&amp;日期!$B$2,allorders!$AG:$AG,"&gt;="&amp;日期!$B$1)</f>
        <v>0</v>
      </c>
      <c r="C1135">
        <f>B1135/(日期!$B$2-日期!$B$1+1)</f>
        <v>0</v>
      </c>
    </row>
    <row r="1136" spans="2:3">
      <c r="B1136">
        <f>SUMIFS(allorders!O:O,allorders!L:L,'数据处理(仓储使用)'!$A1136,allorders!$AG:$AG,"&lt;="&amp;日期!$B$2,allorders!$AG:$AG,"&gt;="&amp;日期!$B$1)</f>
        <v>0</v>
      </c>
      <c r="C1136">
        <f>B1136/(日期!$B$2-日期!$B$1+1)</f>
        <v>0</v>
      </c>
    </row>
    <row r="1137" spans="2:3">
      <c r="B1137">
        <f>SUMIFS(allorders!O:O,allorders!L:L,'数据处理(仓储使用)'!$A1137,allorders!$AG:$AG,"&lt;="&amp;日期!$B$2,allorders!$AG:$AG,"&gt;="&amp;日期!$B$1)</f>
        <v>0</v>
      </c>
      <c r="C1137">
        <f>B1137/(日期!$B$2-日期!$B$1+1)</f>
        <v>0</v>
      </c>
    </row>
    <row r="1138" spans="2:3">
      <c r="B1138">
        <f>SUMIFS(allorders!O:O,allorders!L:L,'数据处理(仓储使用)'!$A1138,allorders!$AG:$AG,"&lt;="&amp;日期!$B$2,allorders!$AG:$AG,"&gt;="&amp;日期!$B$1)</f>
        <v>0</v>
      </c>
      <c r="C1138">
        <f>B1138/(日期!$B$2-日期!$B$1+1)</f>
        <v>0</v>
      </c>
    </row>
    <row r="1139" spans="2:3">
      <c r="B1139">
        <f>SUMIFS(allorders!O:O,allorders!L:L,'数据处理(仓储使用)'!$A1139,allorders!$AG:$AG,"&lt;="&amp;日期!$B$2,allorders!$AG:$AG,"&gt;="&amp;日期!$B$1)</f>
        <v>0</v>
      </c>
      <c r="C1139">
        <f>B1139/(日期!$B$2-日期!$B$1+1)</f>
        <v>0</v>
      </c>
    </row>
    <row r="1140" spans="2:3">
      <c r="B1140">
        <f>SUMIFS(allorders!O:O,allorders!L:L,'数据处理(仓储使用)'!$A1140,allorders!$AG:$AG,"&lt;="&amp;日期!$B$2,allorders!$AG:$AG,"&gt;="&amp;日期!$B$1)</f>
        <v>0</v>
      </c>
      <c r="C1140">
        <f>B1140/(日期!$B$2-日期!$B$1+1)</f>
        <v>0</v>
      </c>
    </row>
    <row r="1141" spans="2:3">
      <c r="B1141">
        <f>SUMIFS(allorders!O:O,allorders!L:L,'数据处理(仓储使用)'!$A1141,allorders!$AG:$AG,"&lt;="&amp;日期!$B$2,allorders!$AG:$AG,"&gt;="&amp;日期!$B$1)</f>
        <v>0</v>
      </c>
      <c r="C1141">
        <f>B1141/(日期!$B$2-日期!$B$1+1)</f>
        <v>0</v>
      </c>
    </row>
    <row r="1142" spans="2:3">
      <c r="B1142">
        <f>SUMIFS(allorders!O:O,allorders!L:L,'数据处理(仓储使用)'!$A1142,allorders!$AG:$AG,"&lt;="&amp;日期!$B$2,allorders!$AG:$AG,"&gt;="&amp;日期!$B$1)</f>
        <v>0</v>
      </c>
      <c r="C1142">
        <f>B1142/(日期!$B$2-日期!$B$1+1)</f>
        <v>0</v>
      </c>
    </row>
    <row r="1143" spans="2:3">
      <c r="B1143">
        <f>SUMIFS(allorders!O:O,allorders!L:L,'数据处理(仓储使用)'!$A1143,allorders!$AG:$AG,"&lt;="&amp;日期!$B$2,allorders!$AG:$AG,"&gt;="&amp;日期!$B$1)</f>
        <v>0</v>
      </c>
      <c r="C1143">
        <f>B1143/(日期!$B$2-日期!$B$1+1)</f>
        <v>0</v>
      </c>
    </row>
    <row r="1144" spans="2:3">
      <c r="B1144">
        <f>SUMIFS(allorders!O:O,allorders!L:L,'数据处理(仓储使用)'!$A1144,allorders!$AG:$AG,"&lt;="&amp;日期!$B$2,allorders!$AG:$AG,"&gt;="&amp;日期!$B$1)</f>
        <v>0</v>
      </c>
      <c r="C1144">
        <f>B1144/(日期!$B$2-日期!$B$1+1)</f>
        <v>0</v>
      </c>
    </row>
    <row r="1145" spans="2:3">
      <c r="B1145">
        <f>SUMIFS(allorders!O:O,allorders!L:L,'数据处理(仓储使用)'!$A1145,allorders!$AG:$AG,"&lt;="&amp;日期!$B$2,allorders!$AG:$AG,"&gt;="&amp;日期!$B$1)</f>
        <v>0</v>
      </c>
      <c r="C1145">
        <f>B1145/(日期!$B$2-日期!$B$1+1)</f>
        <v>0</v>
      </c>
    </row>
    <row r="1146" spans="2:3">
      <c r="B1146">
        <f>SUMIFS(allorders!O:O,allorders!L:L,'数据处理(仓储使用)'!$A1146,allorders!$AG:$AG,"&lt;="&amp;日期!$B$2,allorders!$AG:$AG,"&gt;="&amp;日期!$B$1)</f>
        <v>0</v>
      </c>
      <c r="C1146">
        <f>B1146/(日期!$B$2-日期!$B$1+1)</f>
        <v>0</v>
      </c>
    </row>
    <row r="1147" spans="2:3">
      <c r="B1147">
        <f>SUMIFS(allorders!O:O,allorders!L:L,'数据处理(仓储使用)'!$A1147,allorders!$AG:$AG,"&lt;="&amp;日期!$B$2,allorders!$AG:$AG,"&gt;="&amp;日期!$B$1)</f>
        <v>0</v>
      </c>
      <c r="C1147">
        <f>B1147/(日期!$B$2-日期!$B$1+1)</f>
        <v>0</v>
      </c>
    </row>
    <row r="1148" spans="2:3">
      <c r="B1148">
        <f>SUMIFS(allorders!O:O,allorders!L:L,'数据处理(仓储使用)'!$A1148,allorders!$AG:$AG,"&lt;="&amp;日期!$B$2,allorders!$AG:$AG,"&gt;="&amp;日期!$B$1)</f>
        <v>0</v>
      </c>
      <c r="C1148">
        <f>B1148/(日期!$B$2-日期!$B$1+1)</f>
        <v>0</v>
      </c>
    </row>
    <row r="1149" spans="2:3">
      <c r="B1149">
        <f>SUMIFS(allorders!O:O,allorders!L:L,'数据处理(仓储使用)'!$A1149,allorders!$AG:$AG,"&lt;="&amp;日期!$B$2,allorders!$AG:$AG,"&gt;="&amp;日期!$B$1)</f>
        <v>0</v>
      </c>
      <c r="C1149">
        <f>B1149/(日期!$B$2-日期!$B$1+1)</f>
        <v>0</v>
      </c>
    </row>
    <row r="1150" spans="2:3">
      <c r="B1150">
        <f>SUMIFS(allorders!O:O,allorders!L:L,'数据处理(仓储使用)'!$A1150,allorders!$AG:$AG,"&lt;="&amp;日期!$B$2,allorders!$AG:$AG,"&gt;="&amp;日期!$B$1)</f>
        <v>0</v>
      </c>
      <c r="C1150">
        <f>B1150/(日期!$B$2-日期!$B$1+1)</f>
        <v>0</v>
      </c>
    </row>
    <row r="1151" spans="2:3">
      <c r="B1151">
        <f>SUMIFS(allorders!O:O,allorders!L:L,'数据处理(仓储使用)'!$A1151,allorders!$AG:$AG,"&lt;="&amp;日期!$B$2,allorders!$AG:$AG,"&gt;="&amp;日期!$B$1)</f>
        <v>0</v>
      </c>
      <c r="C1151">
        <f>B1151/(日期!$B$2-日期!$B$1+1)</f>
        <v>0</v>
      </c>
    </row>
    <row r="1152" spans="2:3">
      <c r="B1152">
        <f>SUMIFS(allorders!O:O,allorders!L:L,'数据处理(仓储使用)'!$A1152,allorders!$AG:$AG,"&lt;="&amp;日期!$B$2,allorders!$AG:$AG,"&gt;="&amp;日期!$B$1)</f>
        <v>0</v>
      </c>
      <c r="C1152">
        <f>B1152/(日期!$B$2-日期!$B$1+1)</f>
        <v>0</v>
      </c>
    </row>
    <row r="1153" spans="2:3">
      <c r="B1153">
        <f>SUMIFS(allorders!O:O,allorders!L:L,'数据处理(仓储使用)'!$A1153,allorders!$AG:$AG,"&lt;="&amp;日期!$B$2,allorders!$AG:$AG,"&gt;="&amp;日期!$B$1)</f>
        <v>0</v>
      </c>
      <c r="C1153">
        <f>B1153/(日期!$B$2-日期!$B$1+1)</f>
        <v>0</v>
      </c>
    </row>
    <row r="1154" spans="2:3">
      <c r="B1154">
        <f>SUMIFS(allorders!O:O,allorders!L:L,'数据处理(仓储使用)'!$A1154,allorders!$AG:$AG,"&lt;="&amp;日期!$B$2,allorders!$AG:$AG,"&gt;="&amp;日期!$B$1)</f>
        <v>0</v>
      </c>
      <c r="C1154">
        <f>B1154/(日期!$B$2-日期!$B$1+1)</f>
        <v>0</v>
      </c>
    </row>
    <row r="1155" spans="2:3">
      <c r="B1155">
        <f>SUMIFS(allorders!O:O,allorders!L:L,'数据处理(仓储使用)'!$A1155,allorders!$AG:$AG,"&lt;="&amp;日期!$B$2,allorders!$AG:$AG,"&gt;="&amp;日期!$B$1)</f>
        <v>0</v>
      </c>
      <c r="C1155">
        <f>B1155/(日期!$B$2-日期!$B$1+1)</f>
        <v>0</v>
      </c>
    </row>
    <row r="1156" spans="2:3">
      <c r="B1156">
        <f>SUMIFS(allorders!O:O,allorders!L:L,'数据处理(仓储使用)'!$A1156,allorders!$AG:$AG,"&lt;="&amp;日期!$B$2,allorders!$AG:$AG,"&gt;="&amp;日期!$B$1)</f>
        <v>0</v>
      </c>
      <c r="C1156">
        <f>B1156/(日期!$B$2-日期!$B$1+1)</f>
        <v>0</v>
      </c>
    </row>
    <row r="1157" spans="2:3">
      <c r="B1157">
        <f>SUMIFS(allorders!O:O,allorders!L:L,'数据处理(仓储使用)'!$A1157,allorders!$AG:$AG,"&lt;="&amp;日期!$B$2,allorders!$AG:$AG,"&gt;="&amp;日期!$B$1)</f>
        <v>0</v>
      </c>
      <c r="C1157">
        <f>B1157/(日期!$B$2-日期!$B$1+1)</f>
        <v>0</v>
      </c>
    </row>
    <row r="1158" spans="2:3">
      <c r="B1158">
        <f>SUMIFS(allorders!O:O,allorders!L:L,'数据处理(仓储使用)'!$A1158,allorders!$AG:$AG,"&lt;="&amp;日期!$B$2,allorders!$AG:$AG,"&gt;="&amp;日期!$B$1)</f>
        <v>0</v>
      </c>
      <c r="C1158">
        <f>B1158/(日期!$B$2-日期!$B$1+1)</f>
        <v>0</v>
      </c>
    </row>
    <row r="1159" spans="2:3">
      <c r="B1159">
        <f>SUMIFS(allorders!O:O,allorders!L:L,'数据处理(仓储使用)'!$A1159,allorders!$AG:$AG,"&lt;="&amp;日期!$B$2,allorders!$AG:$AG,"&gt;="&amp;日期!$B$1)</f>
        <v>0</v>
      </c>
      <c r="C1159">
        <f>B1159/(日期!$B$2-日期!$B$1+1)</f>
        <v>0</v>
      </c>
    </row>
    <row r="1160" spans="2:3">
      <c r="B1160">
        <f>SUMIFS(allorders!O:O,allorders!L:L,'数据处理(仓储使用)'!$A1160,allorders!$AG:$AG,"&lt;="&amp;日期!$B$2,allorders!$AG:$AG,"&gt;="&amp;日期!$B$1)</f>
        <v>0</v>
      </c>
      <c r="C1160">
        <f>B1160/(日期!$B$2-日期!$B$1+1)</f>
        <v>0</v>
      </c>
    </row>
    <row r="1161" spans="2:3">
      <c r="B1161">
        <f>SUMIFS(allorders!O:O,allorders!L:L,'数据处理(仓储使用)'!$A1161,allorders!$AG:$AG,"&lt;="&amp;日期!$B$2,allorders!$AG:$AG,"&gt;="&amp;日期!$B$1)</f>
        <v>0</v>
      </c>
      <c r="C1161">
        <f>B1161/(日期!$B$2-日期!$B$1+1)</f>
        <v>0</v>
      </c>
    </row>
    <row r="1162" spans="2:3">
      <c r="B1162">
        <f>SUMIFS(allorders!O:O,allorders!L:L,'数据处理(仓储使用)'!$A1162,allorders!$AG:$AG,"&lt;="&amp;日期!$B$2,allorders!$AG:$AG,"&gt;="&amp;日期!$B$1)</f>
        <v>0</v>
      </c>
      <c r="C1162">
        <f>B1162/(日期!$B$2-日期!$B$1+1)</f>
        <v>0</v>
      </c>
    </row>
    <row r="1163" spans="2:3">
      <c r="B1163">
        <f>SUMIFS(allorders!O:O,allorders!L:L,'数据处理(仓储使用)'!$A1163,allorders!$AG:$AG,"&lt;="&amp;日期!$B$2,allorders!$AG:$AG,"&gt;="&amp;日期!$B$1)</f>
        <v>0</v>
      </c>
      <c r="C1163">
        <f>B1163/(日期!$B$2-日期!$B$1+1)</f>
        <v>0</v>
      </c>
    </row>
    <row r="1164" spans="2:3">
      <c r="B1164">
        <f>SUMIFS(allorders!O:O,allorders!L:L,'数据处理(仓储使用)'!$A1164,allorders!$AG:$AG,"&lt;="&amp;日期!$B$2,allorders!$AG:$AG,"&gt;="&amp;日期!$B$1)</f>
        <v>0</v>
      </c>
      <c r="C1164">
        <f>B1164/(日期!$B$2-日期!$B$1+1)</f>
        <v>0</v>
      </c>
    </row>
    <row r="1165" spans="2:3">
      <c r="B1165">
        <f>SUMIFS(allorders!O:O,allorders!L:L,'数据处理(仓储使用)'!$A1165,allorders!$AG:$AG,"&lt;="&amp;日期!$B$2,allorders!$AG:$AG,"&gt;="&amp;日期!$B$1)</f>
        <v>0</v>
      </c>
      <c r="C1165">
        <f>B1165/(日期!$B$2-日期!$B$1+1)</f>
        <v>0</v>
      </c>
    </row>
    <row r="1166" spans="2:3">
      <c r="B1166">
        <f>SUMIFS(allorders!O:O,allorders!L:L,'数据处理(仓储使用)'!$A1166,allorders!$AG:$AG,"&lt;="&amp;日期!$B$2,allorders!$AG:$AG,"&gt;="&amp;日期!$B$1)</f>
        <v>0</v>
      </c>
      <c r="C1166">
        <f>B1166/(日期!$B$2-日期!$B$1+1)</f>
        <v>0</v>
      </c>
    </row>
    <row r="1167" spans="2:3">
      <c r="B1167">
        <f>SUMIFS(allorders!O:O,allorders!L:L,'数据处理(仓储使用)'!$A1167,allorders!$AG:$AG,"&lt;="&amp;日期!$B$2,allorders!$AG:$AG,"&gt;="&amp;日期!$B$1)</f>
        <v>0</v>
      </c>
      <c r="C1167">
        <f>B1167/(日期!$B$2-日期!$B$1+1)</f>
        <v>0</v>
      </c>
    </row>
    <row r="1168" spans="2:3">
      <c r="B1168">
        <f>SUMIFS(allorders!O:O,allorders!L:L,'数据处理(仓储使用)'!$A1168,allorders!$AG:$AG,"&lt;="&amp;日期!$B$2,allorders!$AG:$AG,"&gt;="&amp;日期!$B$1)</f>
        <v>0</v>
      </c>
      <c r="C1168">
        <f>B1168/(日期!$B$2-日期!$B$1+1)</f>
        <v>0</v>
      </c>
    </row>
    <row r="1169" spans="2:3">
      <c r="B1169">
        <f>SUMIFS(allorders!O:O,allorders!L:L,'数据处理(仓储使用)'!$A1169,allorders!$AG:$AG,"&lt;="&amp;日期!$B$2,allorders!$AG:$AG,"&gt;="&amp;日期!$B$1)</f>
        <v>0</v>
      </c>
      <c r="C1169">
        <f>B1169/(日期!$B$2-日期!$B$1+1)</f>
        <v>0</v>
      </c>
    </row>
    <row r="1170" spans="2:3">
      <c r="B1170">
        <f>SUMIFS(allorders!O:O,allorders!L:L,'数据处理(仓储使用)'!$A1170,allorders!$AG:$AG,"&lt;="&amp;日期!$B$2,allorders!$AG:$AG,"&gt;="&amp;日期!$B$1)</f>
        <v>0</v>
      </c>
      <c r="C1170">
        <f>B1170/(日期!$B$2-日期!$B$1+1)</f>
        <v>0</v>
      </c>
    </row>
    <row r="1171" spans="2:3">
      <c r="B1171">
        <f>SUMIFS(allorders!O:O,allorders!L:L,'数据处理(仓储使用)'!$A1171,allorders!$AG:$AG,"&lt;="&amp;日期!$B$2,allorders!$AG:$AG,"&gt;="&amp;日期!$B$1)</f>
        <v>0</v>
      </c>
      <c r="C1171">
        <f>B1171/(日期!$B$2-日期!$B$1+1)</f>
        <v>0</v>
      </c>
    </row>
    <row r="1172" spans="2:3">
      <c r="B1172">
        <f>SUMIFS(allorders!O:O,allorders!L:L,'数据处理(仓储使用)'!$A1172,allorders!$AG:$AG,"&lt;="&amp;日期!$B$2,allorders!$AG:$AG,"&gt;="&amp;日期!$B$1)</f>
        <v>0</v>
      </c>
      <c r="C1172">
        <f>B1172/(日期!$B$2-日期!$B$1+1)</f>
        <v>0</v>
      </c>
    </row>
    <row r="1173" spans="2:3">
      <c r="B1173">
        <f>SUMIFS(allorders!O:O,allorders!L:L,'数据处理(仓储使用)'!$A1173,allorders!$AG:$AG,"&lt;="&amp;日期!$B$2,allorders!$AG:$AG,"&gt;="&amp;日期!$B$1)</f>
        <v>0</v>
      </c>
      <c r="C1173">
        <f>B1173/(日期!$B$2-日期!$B$1+1)</f>
        <v>0</v>
      </c>
    </row>
    <row r="1174" spans="2:3">
      <c r="B1174">
        <f>SUMIFS(allorders!O:O,allorders!L:L,'数据处理(仓储使用)'!$A1174,allorders!$AG:$AG,"&lt;="&amp;日期!$B$2,allorders!$AG:$AG,"&gt;="&amp;日期!$B$1)</f>
        <v>0</v>
      </c>
      <c r="C1174">
        <f>B1174/(日期!$B$2-日期!$B$1+1)</f>
        <v>0</v>
      </c>
    </row>
    <row r="1175" spans="2:3">
      <c r="B1175">
        <f>SUMIFS(allorders!O:O,allorders!L:L,'数据处理(仓储使用)'!$A1175,allorders!$AG:$AG,"&lt;="&amp;日期!$B$2,allorders!$AG:$AG,"&gt;="&amp;日期!$B$1)</f>
        <v>0</v>
      </c>
      <c r="C1175">
        <f>B1175/(日期!$B$2-日期!$B$1+1)</f>
        <v>0</v>
      </c>
    </row>
    <row r="1176" spans="2:3">
      <c r="B1176">
        <f>SUMIFS(allorders!O:O,allorders!L:L,'数据处理(仓储使用)'!$A1176,allorders!$AG:$AG,"&lt;="&amp;日期!$B$2,allorders!$AG:$AG,"&gt;="&amp;日期!$B$1)</f>
        <v>0</v>
      </c>
      <c r="C1176">
        <f>B1176/(日期!$B$2-日期!$B$1+1)</f>
        <v>0</v>
      </c>
    </row>
    <row r="1177" spans="2:3">
      <c r="B1177">
        <f>SUMIFS(allorders!O:O,allorders!L:L,'数据处理(仓储使用)'!$A1177,allorders!$AG:$AG,"&lt;="&amp;日期!$B$2,allorders!$AG:$AG,"&gt;="&amp;日期!$B$1)</f>
        <v>0</v>
      </c>
      <c r="C1177">
        <f>B1177/(日期!$B$2-日期!$B$1+1)</f>
        <v>0</v>
      </c>
    </row>
    <row r="1178" spans="2:3">
      <c r="B1178">
        <f>SUMIFS(allorders!O:O,allorders!L:L,'数据处理(仓储使用)'!$A1178,allorders!$AG:$AG,"&lt;="&amp;日期!$B$2,allorders!$AG:$AG,"&gt;="&amp;日期!$B$1)</f>
        <v>0</v>
      </c>
      <c r="C1178">
        <f>B1178/(日期!$B$2-日期!$B$1+1)</f>
        <v>0</v>
      </c>
    </row>
    <row r="1179" spans="2:3">
      <c r="B1179">
        <f>SUMIFS(allorders!O:O,allorders!L:L,'数据处理(仓储使用)'!$A1179,allorders!$AG:$AG,"&lt;="&amp;日期!$B$2,allorders!$AG:$AG,"&gt;="&amp;日期!$B$1)</f>
        <v>0</v>
      </c>
      <c r="C1179">
        <f>B1179/(日期!$B$2-日期!$B$1+1)</f>
        <v>0</v>
      </c>
    </row>
    <row r="1180" spans="2:3">
      <c r="B1180">
        <f>SUMIFS(allorders!O:O,allorders!L:L,'数据处理(仓储使用)'!$A1180,allorders!$AG:$AG,"&lt;="&amp;日期!$B$2,allorders!$AG:$AG,"&gt;="&amp;日期!$B$1)</f>
        <v>0</v>
      </c>
      <c r="C1180">
        <f>B1180/(日期!$B$2-日期!$B$1+1)</f>
        <v>0</v>
      </c>
    </row>
    <row r="1181" spans="2:3">
      <c r="B1181">
        <f>SUMIFS(allorders!O:O,allorders!L:L,'数据处理(仓储使用)'!$A1181,allorders!$AG:$AG,"&lt;="&amp;日期!$B$2,allorders!$AG:$AG,"&gt;="&amp;日期!$B$1)</f>
        <v>0</v>
      </c>
      <c r="C1181">
        <f>B1181/(日期!$B$2-日期!$B$1+1)</f>
        <v>0</v>
      </c>
    </row>
    <row r="1182" spans="2:3">
      <c r="B1182">
        <f>SUMIFS(allorders!O:O,allorders!L:L,'数据处理(仓储使用)'!$A1182,allorders!$AG:$AG,"&lt;="&amp;日期!$B$2,allorders!$AG:$AG,"&gt;="&amp;日期!$B$1)</f>
        <v>0</v>
      </c>
      <c r="C1182">
        <f>B1182/(日期!$B$2-日期!$B$1+1)</f>
        <v>0</v>
      </c>
    </row>
    <row r="1183" spans="2:3">
      <c r="B1183">
        <f>SUMIFS(allorders!O:O,allorders!L:L,'数据处理(仓储使用)'!$A1183,allorders!$AG:$AG,"&lt;="&amp;日期!$B$2,allorders!$AG:$AG,"&gt;="&amp;日期!$B$1)</f>
        <v>0</v>
      </c>
      <c r="C1183">
        <f>B1183/(日期!$B$2-日期!$B$1+1)</f>
        <v>0</v>
      </c>
    </row>
    <row r="1184" spans="2:3">
      <c r="B1184">
        <f>SUMIFS(allorders!O:O,allorders!L:L,'数据处理(仓储使用)'!$A1184,allorders!$AG:$AG,"&lt;="&amp;日期!$B$2,allorders!$AG:$AG,"&gt;="&amp;日期!$B$1)</f>
        <v>0</v>
      </c>
      <c r="C1184">
        <f>B1184/(日期!$B$2-日期!$B$1+1)</f>
        <v>0</v>
      </c>
    </row>
    <row r="1185" spans="2:3">
      <c r="B1185">
        <f>SUMIFS(allorders!O:O,allorders!L:L,'数据处理(仓储使用)'!$A1185,allorders!$AG:$AG,"&lt;="&amp;日期!$B$2,allorders!$AG:$AG,"&gt;="&amp;日期!$B$1)</f>
        <v>0</v>
      </c>
      <c r="C1185">
        <f>B1185/(日期!$B$2-日期!$B$1+1)</f>
        <v>0</v>
      </c>
    </row>
    <row r="1186" spans="2:3">
      <c r="B1186">
        <f>SUMIFS(allorders!O:O,allorders!L:L,'数据处理(仓储使用)'!$A1186,allorders!$AG:$AG,"&lt;="&amp;日期!$B$2,allorders!$AG:$AG,"&gt;="&amp;日期!$B$1)</f>
        <v>0</v>
      </c>
      <c r="C1186">
        <f>B1186/(日期!$B$2-日期!$B$1+1)</f>
        <v>0</v>
      </c>
    </row>
    <row r="1187" spans="2:3">
      <c r="B1187">
        <f>SUMIFS(allorders!O:O,allorders!L:L,'数据处理(仓储使用)'!$A1187,allorders!$AG:$AG,"&lt;="&amp;日期!$B$2,allorders!$AG:$AG,"&gt;="&amp;日期!$B$1)</f>
        <v>0</v>
      </c>
      <c r="C1187">
        <f>B1187/(日期!$B$2-日期!$B$1+1)</f>
        <v>0</v>
      </c>
    </row>
    <row r="1188" spans="2:3">
      <c r="B1188">
        <f>SUMIFS(allorders!O:O,allorders!L:L,'数据处理(仓储使用)'!$A1188,allorders!$AG:$AG,"&lt;="&amp;日期!$B$2,allorders!$AG:$AG,"&gt;="&amp;日期!$B$1)</f>
        <v>0</v>
      </c>
      <c r="C1188">
        <f>B1188/(日期!$B$2-日期!$B$1+1)</f>
        <v>0</v>
      </c>
    </row>
    <row r="1189" spans="2:3">
      <c r="B1189">
        <f>SUMIFS(allorders!O:O,allorders!L:L,'数据处理(仓储使用)'!$A1189,allorders!$AG:$AG,"&lt;="&amp;日期!$B$2,allorders!$AG:$AG,"&gt;="&amp;日期!$B$1)</f>
        <v>0</v>
      </c>
      <c r="C1189">
        <f>B1189/(日期!$B$2-日期!$B$1+1)</f>
        <v>0</v>
      </c>
    </row>
    <row r="1190" spans="2:3">
      <c r="B1190">
        <f>SUMIFS(allorders!O:O,allorders!L:L,'数据处理(仓储使用)'!$A1190,allorders!$AG:$AG,"&lt;="&amp;日期!$B$2,allorders!$AG:$AG,"&gt;="&amp;日期!$B$1)</f>
        <v>0</v>
      </c>
      <c r="C1190">
        <f>B1190/(日期!$B$2-日期!$B$1+1)</f>
        <v>0</v>
      </c>
    </row>
    <row r="1191" spans="2:3">
      <c r="B1191">
        <f>SUMIFS(allorders!O:O,allorders!L:L,'数据处理(仓储使用)'!$A1191,allorders!$AG:$AG,"&lt;="&amp;日期!$B$2,allorders!$AG:$AG,"&gt;="&amp;日期!$B$1)</f>
        <v>0</v>
      </c>
      <c r="C1191">
        <f>B1191/(日期!$B$2-日期!$B$1+1)</f>
        <v>0</v>
      </c>
    </row>
    <row r="1192" spans="2:3">
      <c r="B1192">
        <f>SUMIFS(allorders!O:O,allorders!L:L,'数据处理(仓储使用)'!$A1192,allorders!$AG:$AG,"&lt;="&amp;日期!$B$2,allorders!$AG:$AG,"&gt;="&amp;日期!$B$1)</f>
        <v>0</v>
      </c>
      <c r="C1192">
        <f>B1192/(日期!$B$2-日期!$B$1+1)</f>
        <v>0</v>
      </c>
    </row>
    <row r="1193" spans="2:3">
      <c r="B1193">
        <f>SUMIFS(allorders!O:O,allorders!L:L,'数据处理(仓储使用)'!$A1193,allorders!$AG:$AG,"&lt;="&amp;日期!$B$2,allorders!$AG:$AG,"&gt;="&amp;日期!$B$1)</f>
        <v>0</v>
      </c>
      <c r="C1193">
        <f>B1193/(日期!$B$2-日期!$B$1+1)</f>
        <v>0</v>
      </c>
    </row>
    <row r="1194" spans="2:3">
      <c r="B1194">
        <f>SUMIFS(allorders!O:O,allorders!L:L,'数据处理(仓储使用)'!$A1194,allorders!$AG:$AG,"&lt;="&amp;日期!$B$2,allorders!$AG:$AG,"&gt;="&amp;日期!$B$1)</f>
        <v>0</v>
      </c>
      <c r="C1194">
        <f>B1194/(日期!$B$2-日期!$B$1+1)</f>
        <v>0</v>
      </c>
    </row>
    <row r="1195" spans="2:3">
      <c r="B1195">
        <f>SUMIFS(allorders!O:O,allorders!L:L,'数据处理(仓储使用)'!$A1195,allorders!$AG:$AG,"&lt;="&amp;日期!$B$2,allorders!$AG:$AG,"&gt;="&amp;日期!$B$1)</f>
        <v>0</v>
      </c>
      <c r="C1195">
        <f>B1195/(日期!$B$2-日期!$B$1+1)</f>
        <v>0</v>
      </c>
    </row>
    <row r="1196" spans="2:3">
      <c r="B1196">
        <f>SUMIFS(allorders!O:O,allorders!L:L,'数据处理(仓储使用)'!$A1196,allorders!$AG:$AG,"&lt;="&amp;日期!$B$2,allorders!$AG:$AG,"&gt;="&amp;日期!$B$1)</f>
        <v>0</v>
      </c>
      <c r="C1196">
        <f>B1196/(日期!$B$2-日期!$B$1+1)</f>
        <v>0</v>
      </c>
    </row>
    <row r="1197" spans="2:3">
      <c r="B1197">
        <f>SUMIFS(allorders!O:O,allorders!L:L,'数据处理(仓储使用)'!$A1197,allorders!$AG:$AG,"&lt;="&amp;日期!$B$2,allorders!$AG:$AG,"&gt;="&amp;日期!$B$1)</f>
        <v>0</v>
      </c>
      <c r="C1197">
        <f>B1197/(日期!$B$2-日期!$B$1+1)</f>
        <v>0</v>
      </c>
    </row>
    <row r="1198" spans="2:3">
      <c r="B1198">
        <f>SUMIFS(allorders!O:O,allorders!L:L,'数据处理(仓储使用)'!$A1198,allorders!$AG:$AG,"&lt;="&amp;日期!$B$2,allorders!$AG:$AG,"&gt;="&amp;日期!$B$1)</f>
        <v>0</v>
      </c>
      <c r="C1198">
        <f>B1198/(日期!$B$2-日期!$B$1+1)</f>
        <v>0</v>
      </c>
    </row>
    <row r="1199" spans="2:3">
      <c r="B1199">
        <f>SUMIFS(allorders!O:O,allorders!L:L,'数据处理(仓储使用)'!$A1199,allorders!$AG:$AG,"&lt;="&amp;日期!$B$2,allorders!$AG:$AG,"&gt;="&amp;日期!$B$1)</f>
        <v>0</v>
      </c>
      <c r="C1199">
        <f>B1199/(日期!$B$2-日期!$B$1+1)</f>
        <v>0</v>
      </c>
    </row>
    <row r="1200" spans="2:3">
      <c r="B1200">
        <f>SUMIFS(allorders!O:O,allorders!L:L,'数据处理(仓储使用)'!$A1200,allorders!$AG:$AG,"&lt;="&amp;日期!$B$2,allorders!$AG:$AG,"&gt;="&amp;日期!$B$1)</f>
        <v>0</v>
      </c>
      <c r="C1200">
        <f>B1200/(日期!$B$2-日期!$B$1+1)</f>
        <v>0</v>
      </c>
    </row>
    <row r="1201" spans="2:3">
      <c r="B1201">
        <f>SUMIFS(allorders!O:O,allorders!L:L,'数据处理(仓储使用)'!$A1201,allorders!$AG:$AG,"&lt;="&amp;日期!$B$2,allorders!$AG:$AG,"&gt;="&amp;日期!$B$1)</f>
        <v>0</v>
      </c>
      <c r="C1201">
        <f>B1201/(日期!$B$2-日期!$B$1+1)</f>
        <v>0</v>
      </c>
    </row>
    <row r="1202" spans="2:3">
      <c r="B1202">
        <f>SUMIFS(allorders!O:O,allorders!L:L,'数据处理(仓储使用)'!$A1202,allorders!$AG:$AG,"&lt;="&amp;日期!$B$2,allorders!$AG:$AG,"&gt;="&amp;日期!$B$1)</f>
        <v>0</v>
      </c>
      <c r="C1202">
        <f>B1202/(日期!$B$2-日期!$B$1+1)</f>
        <v>0</v>
      </c>
    </row>
    <row r="1203" spans="2:3">
      <c r="B1203">
        <f>SUMIFS(allorders!O:O,allorders!L:L,'数据处理(仓储使用)'!$A1203,allorders!$AG:$AG,"&lt;="&amp;日期!$B$2,allorders!$AG:$AG,"&gt;="&amp;日期!$B$1)</f>
        <v>0</v>
      </c>
      <c r="C1203">
        <f>B1203/(日期!$B$2-日期!$B$1+1)</f>
        <v>0</v>
      </c>
    </row>
    <row r="1204" spans="2:3">
      <c r="B1204">
        <f>SUMIFS(allorders!O:O,allorders!L:L,'数据处理(仓储使用)'!$A1204,allorders!$AG:$AG,"&lt;="&amp;日期!$B$2,allorders!$AG:$AG,"&gt;="&amp;日期!$B$1)</f>
        <v>0</v>
      </c>
      <c r="C1204">
        <f>B1204/(日期!$B$2-日期!$B$1+1)</f>
        <v>0</v>
      </c>
    </row>
    <row r="1205" spans="2:3">
      <c r="B1205">
        <f>SUMIFS(allorders!O:O,allorders!L:L,'数据处理(仓储使用)'!$A1205,allorders!$AG:$AG,"&lt;="&amp;日期!$B$2,allorders!$AG:$AG,"&gt;="&amp;日期!$B$1)</f>
        <v>0</v>
      </c>
      <c r="C1205">
        <f>B1205/(日期!$B$2-日期!$B$1+1)</f>
        <v>0</v>
      </c>
    </row>
    <row r="1206" spans="2:3">
      <c r="B1206">
        <f>SUMIFS(allorders!O:O,allorders!L:L,'数据处理(仓储使用)'!$A1206,allorders!$AG:$AG,"&lt;="&amp;日期!$B$2,allorders!$AG:$AG,"&gt;="&amp;日期!$B$1)</f>
        <v>0</v>
      </c>
      <c r="C1206">
        <f>B1206/(日期!$B$2-日期!$B$1+1)</f>
        <v>0</v>
      </c>
    </row>
    <row r="1207" spans="2:3">
      <c r="B1207">
        <f>SUMIFS(allorders!O:O,allorders!L:L,'数据处理(仓储使用)'!$A1207,allorders!$AG:$AG,"&lt;="&amp;日期!$B$2,allorders!$AG:$AG,"&gt;="&amp;日期!$B$1)</f>
        <v>0</v>
      </c>
      <c r="C1207">
        <f>B1207/(日期!$B$2-日期!$B$1+1)</f>
        <v>0</v>
      </c>
    </row>
    <row r="1208" spans="2:3">
      <c r="B1208">
        <f>SUMIFS(allorders!O:O,allorders!L:L,'数据处理(仓储使用)'!$A1208,allorders!$AG:$AG,"&lt;="&amp;日期!$B$2,allorders!$AG:$AG,"&gt;="&amp;日期!$B$1)</f>
        <v>0</v>
      </c>
      <c r="C1208">
        <f>B1208/(日期!$B$2-日期!$B$1+1)</f>
        <v>0</v>
      </c>
    </row>
    <row r="1209" spans="2:3">
      <c r="B1209">
        <f>SUMIFS(allorders!O:O,allorders!L:L,'数据处理(仓储使用)'!$A1209,allorders!$AG:$AG,"&lt;="&amp;日期!$B$2,allorders!$AG:$AG,"&gt;="&amp;日期!$B$1)</f>
        <v>0</v>
      </c>
      <c r="C1209">
        <f>B1209/(日期!$B$2-日期!$B$1+1)</f>
        <v>0</v>
      </c>
    </row>
    <row r="1210" spans="2:3">
      <c r="B1210">
        <f>SUMIFS(allorders!O:O,allorders!L:L,'数据处理(仓储使用)'!$A1210,allorders!$AG:$AG,"&lt;="&amp;日期!$B$2,allorders!$AG:$AG,"&gt;="&amp;日期!$B$1)</f>
        <v>0</v>
      </c>
      <c r="C1210">
        <f>B1210/(日期!$B$2-日期!$B$1+1)</f>
        <v>0</v>
      </c>
    </row>
    <row r="1211" spans="2:3">
      <c r="B1211">
        <f>SUMIFS(allorders!O:O,allorders!L:L,'数据处理(仓储使用)'!$A1211,allorders!$AG:$AG,"&lt;="&amp;日期!$B$2,allorders!$AG:$AG,"&gt;="&amp;日期!$B$1)</f>
        <v>0</v>
      </c>
      <c r="C1211">
        <f>B1211/(日期!$B$2-日期!$B$1+1)</f>
        <v>0</v>
      </c>
    </row>
    <row r="1212" spans="2:3">
      <c r="B1212">
        <f>SUMIFS(allorders!O:O,allorders!L:L,'数据处理(仓储使用)'!$A1212,allorders!$AG:$AG,"&lt;="&amp;日期!$B$2,allorders!$AG:$AG,"&gt;="&amp;日期!$B$1)</f>
        <v>0</v>
      </c>
      <c r="C1212">
        <f>B1212/(日期!$B$2-日期!$B$1+1)</f>
        <v>0</v>
      </c>
    </row>
    <row r="1213" spans="2:3">
      <c r="B1213">
        <f>SUMIFS(allorders!O:O,allorders!L:L,'数据处理(仓储使用)'!$A1213,allorders!$AG:$AG,"&lt;="&amp;日期!$B$2,allorders!$AG:$AG,"&gt;="&amp;日期!$B$1)</f>
        <v>0</v>
      </c>
      <c r="C1213">
        <f>B1213/(日期!$B$2-日期!$B$1+1)</f>
        <v>0</v>
      </c>
    </row>
    <row r="1214" spans="2:3">
      <c r="B1214">
        <f>SUMIFS(allorders!O:O,allorders!L:L,'数据处理(仓储使用)'!$A1214,allorders!$AG:$AG,"&lt;="&amp;日期!$B$2,allorders!$AG:$AG,"&gt;="&amp;日期!$B$1)</f>
        <v>0</v>
      </c>
      <c r="C1214">
        <f>B1214/(日期!$B$2-日期!$B$1+1)</f>
        <v>0</v>
      </c>
    </row>
    <row r="1215" spans="2:3">
      <c r="B1215">
        <f>SUMIFS(allorders!O:O,allorders!L:L,'数据处理(仓储使用)'!$A1215,allorders!$AG:$AG,"&lt;="&amp;日期!$B$2,allorders!$AG:$AG,"&gt;="&amp;日期!$B$1)</f>
        <v>0</v>
      </c>
      <c r="C1215">
        <f>B1215/(日期!$B$2-日期!$B$1+1)</f>
        <v>0</v>
      </c>
    </row>
    <row r="1216" spans="2:3">
      <c r="B1216">
        <f>SUMIFS(allorders!O:O,allorders!L:L,'数据处理(仓储使用)'!$A1216,allorders!$AG:$AG,"&lt;="&amp;日期!$B$2,allorders!$AG:$AG,"&gt;="&amp;日期!$B$1)</f>
        <v>0</v>
      </c>
      <c r="C1216">
        <f>B1216/(日期!$B$2-日期!$B$1+1)</f>
        <v>0</v>
      </c>
    </row>
    <row r="1217" spans="2:3">
      <c r="B1217">
        <f>SUMIFS(allorders!O:O,allorders!L:L,'数据处理(仓储使用)'!$A1217,allorders!$AG:$AG,"&lt;="&amp;日期!$B$2,allorders!$AG:$AG,"&gt;="&amp;日期!$B$1)</f>
        <v>0</v>
      </c>
      <c r="C1217">
        <f>B1217/(日期!$B$2-日期!$B$1+1)</f>
        <v>0</v>
      </c>
    </row>
    <row r="1218" spans="2:3">
      <c r="B1218">
        <f>SUMIFS(allorders!O:O,allorders!L:L,'数据处理(仓储使用)'!$A1218,allorders!$AG:$AG,"&lt;="&amp;日期!$B$2,allorders!$AG:$AG,"&gt;="&amp;日期!$B$1)</f>
        <v>0</v>
      </c>
      <c r="C1218">
        <f>B1218/(日期!$B$2-日期!$B$1+1)</f>
        <v>0</v>
      </c>
    </row>
    <row r="1219" spans="2:3">
      <c r="B1219">
        <f>SUMIFS(allorders!O:O,allorders!L:L,'数据处理(仓储使用)'!$A1219,allorders!$AG:$AG,"&lt;="&amp;日期!$B$2,allorders!$AG:$AG,"&gt;="&amp;日期!$B$1)</f>
        <v>0</v>
      </c>
      <c r="C1219">
        <f>B1219/(日期!$B$2-日期!$B$1+1)</f>
        <v>0</v>
      </c>
    </row>
    <row r="1220" spans="2:3">
      <c r="B1220">
        <f>SUMIFS(allorders!O:O,allorders!L:L,'数据处理(仓储使用)'!$A1220,allorders!$AG:$AG,"&lt;="&amp;日期!$B$2,allorders!$AG:$AG,"&gt;="&amp;日期!$B$1)</f>
        <v>0</v>
      </c>
      <c r="C1220">
        <f>B1220/(日期!$B$2-日期!$B$1+1)</f>
        <v>0</v>
      </c>
    </row>
    <row r="1221" spans="2:3">
      <c r="B1221">
        <f>SUMIFS(allorders!O:O,allorders!L:L,'数据处理(仓储使用)'!$A1221,allorders!$AG:$AG,"&lt;="&amp;日期!$B$2,allorders!$AG:$AG,"&gt;="&amp;日期!$B$1)</f>
        <v>0</v>
      </c>
      <c r="C1221">
        <f>B1221/(日期!$B$2-日期!$B$1+1)</f>
        <v>0</v>
      </c>
    </row>
    <row r="1222" spans="2:3">
      <c r="B1222">
        <f>SUMIFS(allorders!O:O,allorders!L:L,'数据处理(仓储使用)'!$A1222,allorders!$AG:$AG,"&lt;="&amp;日期!$B$2,allorders!$AG:$AG,"&gt;="&amp;日期!$B$1)</f>
        <v>0</v>
      </c>
      <c r="C1222">
        <f>B1222/(日期!$B$2-日期!$B$1+1)</f>
        <v>0</v>
      </c>
    </row>
    <row r="1223" spans="2:3">
      <c r="B1223">
        <f>SUMIFS(allorders!O:O,allorders!L:L,'数据处理(仓储使用)'!$A1223,allorders!$AG:$AG,"&lt;="&amp;日期!$B$2,allorders!$AG:$AG,"&gt;="&amp;日期!$B$1)</f>
        <v>0</v>
      </c>
      <c r="C1223">
        <f>B1223/(日期!$B$2-日期!$B$1+1)</f>
        <v>0</v>
      </c>
    </row>
    <row r="1224" spans="2:3">
      <c r="B1224">
        <f>SUMIFS(allorders!O:O,allorders!L:L,'数据处理(仓储使用)'!$A1224,allorders!$AG:$AG,"&lt;="&amp;日期!$B$2,allorders!$AG:$AG,"&gt;="&amp;日期!$B$1)</f>
        <v>0</v>
      </c>
      <c r="C1224">
        <f>B1224/(日期!$B$2-日期!$B$1+1)</f>
        <v>0</v>
      </c>
    </row>
    <row r="1225" spans="2:3">
      <c r="B1225">
        <f>SUMIFS(allorders!O:O,allorders!L:L,'数据处理(仓储使用)'!$A1225,allorders!$AG:$AG,"&lt;="&amp;日期!$B$2,allorders!$AG:$AG,"&gt;="&amp;日期!$B$1)</f>
        <v>0</v>
      </c>
      <c r="C1225">
        <f>B1225/(日期!$B$2-日期!$B$1+1)</f>
        <v>0</v>
      </c>
    </row>
    <row r="1226" spans="2:3">
      <c r="B1226">
        <f>SUMIFS(allorders!O:O,allorders!L:L,'数据处理(仓储使用)'!$A1226,allorders!$AG:$AG,"&lt;="&amp;日期!$B$2,allorders!$AG:$AG,"&gt;="&amp;日期!$B$1)</f>
        <v>0</v>
      </c>
      <c r="C1226">
        <f>B1226/(日期!$B$2-日期!$B$1+1)</f>
        <v>0</v>
      </c>
    </row>
    <row r="1227" spans="2:3">
      <c r="B1227">
        <f>SUMIFS(allorders!O:O,allorders!L:L,'数据处理(仓储使用)'!$A1227,allorders!$AG:$AG,"&lt;="&amp;日期!$B$2,allorders!$AG:$AG,"&gt;="&amp;日期!$B$1)</f>
        <v>0</v>
      </c>
      <c r="C1227">
        <f>B1227/(日期!$B$2-日期!$B$1+1)</f>
        <v>0</v>
      </c>
    </row>
    <row r="1228" spans="2:3">
      <c r="B1228">
        <f>SUMIFS(allorders!O:O,allorders!L:L,'数据处理(仓储使用)'!$A1228,allorders!$AG:$AG,"&lt;="&amp;日期!$B$2,allorders!$AG:$AG,"&gt;="&amp;日期!$B$1)</f>
        <v>0</v>
      </c>
      <c r="C1228">
        <f>B1228/(日期!$B$2-日期!$B$1+1)</f>
        <v>0</v>
      </c>
    </row>
    <row r="1229" spans="2:3">
      <c r="B1229">
        <f>SUMIFS(allorders!O:O,allorders!L:L,'数据处理(仓储使用)'!$A1229,allorders!$AG:$AG,"&lt;="&amp;日期!$B$2,allorders!$AG:$AG,"&gt;="&amp;日期!$B$1)</f>
        <v>0</v>
      </c>
      <c r="C1229">
        <f>B1229/(日期!$B$2-日期!$B$1+1)</f>
        <v>0</v>
      </c>
    </row>
    <row r="1230" spans="2:3">
      <c r="B1230">
        <f>SUMIFS(allorders!O:O,allorders!L:L,'数据处理(仓储使用)'!$A1230,allorders!$AG:$AG,"&lt;="&amp;日期!$B$2,allorders!$AG:$AG,"&gt;="&amp;日期!$B$1)</f>
        <v>0</v>
      </c>
      <c r="C1230">
        <f>B1230/(日期!$B$2-日期!$B$1+1)</f>
        <v>0</v>
      </c>
    </row>
    <row r="1231" spans="2:3">
      <c r="B1231">
        <f>SUMIFS(allorders!O:O,allorders!L:L,'数据处理(仓储使用)'!$A1231,allorders!$AG:$AG,"&lt;="&amp;日期!$B$2,allorders!$AG:$AG,"&gt;="&amp;日期!$B$1)</f>
        <v>0</v>
      </c>
      <c r="C1231">
        <f>B1231/(日期!$B$2-日期!$B$1+1)</f>
        <v>0</v>
      </c>
    </row>
    <row r="1232" spans="2:3">
      <c r="B1232">
        <f>SUMIFS(allorders!O:O,allorders!L:L,'数据处理(仓储使用)'!$A1232,allorders!$AG:$AG,"&lt;="&amp;日期!$B$2,allorders!$AG:$AG,"&gt;="&amp;日期!$B$1)</f>
        <v>0</v>
      </c>
      <c r="C1232">
        <f>B1232/(日期!$B$2-日期!$B$1+1)</f>
        <v>0</v>
      </c>
    </row>
    <row r="1233" spans="2:3">
      <c r="B1233">
        <f>SUMIFS(allorders!O:O,allorders!L:L,'数据处理(仓储使用)'!$A1233,allorders!$AG:$AG,"&lt;="&amp;日期!$B$2,allorders!$AG:$AG,"&gt;="&amp;日期!$B$1)</f>
        <v>0</v>
      </c>
      <c r="C1233">
        <f>B1233/(日期!$B$2-日期!$B$1+1)</f>
        <v>0</v>
      </c>
    </row>
    <row r="1234" spans="2:3">
      <c r="B1234">
        <f>SUMIFS(allorders!O:O,allorders!L:L,'数据处理(仓储使用)'!$A1234,allorders!$AG:$AG,"&lt;="&amp;日期!$B$2,allorders!$AG:$AG,"&gt;="&amp;日期!$B$1)</f>
        <v>0</v>
      </c>
      <c r="C1234">
        <f>B1234/(日期!$B$2-日期!$B$1+1)</f>
        <v>0</v>
      </c>
    </row>
    <row r="1235" spans="2:3">
      <c r="B1235">
        <f>SUMIFS(allorders!O:O,allorders!L:L,'数据处理(仓储使用)'!$A1235,allorders!$AG:$AG,"&lt;="&amp;日期!$B$2,allorders!$AG:$AG,"&gt;="&amp;日期!$B$1)</f>
        <v>0</v>
      </c>
      <c r="C1235">
        <f>B1235/(日期!$B$2-日期!$B$1+1)</f>
        <v>0</v>
      </c>
    </row>
    <row r="1236" spans="2:3">
      <c r="B1236">
        <f>SUMIFS(allorders!O:O,allorders!L:L,'数据处理(仓储使用)'!$A1236,allorders!$AG:$AG,"&lt;="&amp;日期!$B$2,allorders!$AG:$AG,"&gt;="&amp;日期!$B$1)</f>
        <v>0</v>
      </c>
      <c r="C1236">
        <f>B1236/(日期!$B$2-日期!$B$1+1)</f>
        <v>0</v>
      </c>
    </row>
    <row r="1237" spans="2:3">
      <c r="B1237">
        <f>SUMIFS(allorders!O:O,allorders!L:L,'数据处理(仓储使用)'!$A1237,allorders!$AG:$AG,"&lt;="&amp;日期!$B$2,allorders!$AG:$AG,"&gt;="&amp;日期!$B$1)</f>
        <v>0</v>
      </c>
      <c r="C1237">
        <f>B1237/(日期!$B$2-日期!$B$1+1)</f>
        <v>0</v>
      </c>
    </row>
    <row r="1238" spans="2:3">
      <c r="B1238">
        <f>SUMIFS(allorders!O:O,allorders!L:L,'数据处理(仓储使用)'!$A1238,allorders!$AG:$AG,"&lt;="&amp;日期!$B$2,allorders!$AG:$AG,"&gt;="&amp;日期!$B$1)</f>
        <v>0</v>
      </c>
      <c r="C1238">
        <f>B1238/(日期!$B$2-日期!$B$1+1)</f>
        <v>0</v>
      </c>
    </row>
    <row r="1239" spans="2:3">
      <c r="B1239">
        <f>SUMIFS(allorders!O:O,allorders!L:L,'数据处理(仓储使用)'!$A1239,allorders!$AG:$AG,"&lt;="&amp;日期!$B$2,allorders!$AG:$AG,"&gt;="&amp;日期!$B$1)</f>
        <v>0</v>
      </c>
      <c r="C1239">
        <f>B1239/(日期!$B$2-日期!$B$1+1)</f>
        <v>0</v>
      </c>
    </row>
    <row r="1240" spans="2:3">
      <c r="B1240">
        <f>SUMIFS(allorders!O:O,allorders!L:L,'数据处理(仓储使用)'!$A1240,allorders!$AG:$AG,"&lt;="&amp;日期!$B$2,allorders!$AG:$AG,"&gt;="&amp;日期!$B$1)</f>
        <v>0</v>
      </c>
      <c r="C1240">
        <f>B1240/(日期!$B$2-日期!$B$1+1)</f>
        <v>0</v>
      </c>
    </row>
    <row r="1241" spans="2:3">
      <c r="B1241">
        <f>SUMIFS(allorders!O:O,allorders!L:L,'数据处理(仓储使用)'!$A1241,allorders!$AG:$AG,"&lt;="&amp;日期!$B$2,allorders!$AG:$AG,"&gt;="&amp;日期!$B$1)</f>
        <v>0</v>
      </c>
      <c r="C1241">
        <f>B1241/(日期!$B$2-日期!$B$1+1)</f>
        <v>0</v>
      </c>
    </row>
    <row r="1242" spans="2:3">
      <c r="B1242">
        <f>SUMIFS(allorders!O:O,allorders!L:L,'数据处理(仓储使用)'!$A1242,allorders!$AG:$AG,"&lt;="&amp;日期!$B$2,allorders!$AG:$AG,"&gt;="&amp;日期!$B$1)</f>
        <v>0</v>
      </c>
      <c r="C1242">
        <f>B1242/(日期!$B$2-日期!$B$1+1)</f>
        <v>0</v>
      </c>
    </row>
    <row r="1243" spans="2:3">
      <c r="B1243">
        <f>SUMIFS(allorders!O:O,allorders!L:L,'数据处理(仓储使用)'!$A1243,allorders!$AG:$AG,"&lt;="&amp;日期!$B$2,allorders!$AG:$AG,"&gt;="&amp;日期!$B$1)</f>
        <v>0</v>
      </c>
      <c r="C1243">
        <f>B1243/(日期!$B$2-日期!$B$1+1)</f>
        <v>0</v>
      </c>
    </row>
    <row r="1244" spans="2:3">
      <c r="B1244">
        <f>SUMIFS(allorders!O:O,allorders!L:L,'数据处理(仓储使用)'!$A1244,allorders!$AG:$AG,"&lt;="&amp;日期!$B$2,allorders!$AG:$AG,"&gt;="&amp;日期!$B$1)</f>
        <v>0</v>
      </c>
      <c r="C1244">
        <f>B1244/(日期!$B$2-日期!$B$1+1)</f>
        <v>0</v>
      </c>
    </row>
    <row r="1245" spans="2:3">
      <c r="B1245">
        <f>SUMIFS(allorders!O:O,allorders!L:L,'数据处理(仓储使用)'!$A1245,allorders!$AG:$AG,"&lt;="&amp;日期!$B$2,allorders!$AG:$AG,"&gt;="&amp;日期!$B$1)</f>
        <v>0</v>
      </c>
      <c r="C1245">
        <f>B1245/(日期!$B$2-日期!$B$1+1)</f>
        <v>0</v>
      </c>
    </row>
    <row r="1246" spans="2:3">
      <c r="B1246">
        <f>SUMIFS(allorders!O:O,allorders!L:L,'数据处理(仓储使用)'!$A1246,allorders!$AG:$AG,"&lt;="&amp;日期!$B$2,allorders!$AG:$AG,"&gt;="&amp;日期!$B$1)</f>
        <v>0</v>
      </c>
      <c r="C1246">
        <f>B1246/(日期!$B$2-日期!$B$1+1)</f>
        <v>0</v>
      </c>
    </row>
    <row r="1247" spans="2:3">
      <c r="B1247">
        <f>SUMIFS(allorders!O:O,allorders!L:L,'数据处理(仓储使用)'!$A1247,allorders!$AG:$AG,"&lt;="&amp;日期!$B$2,allorders!$AG:$AG,"&gt;="&amp;日期!$B$1)</f>
        <v>0</v>
      </c>
      <c r="C1247">
        <f>B1247/(日期!$B$2-日期!$B$1+1)</f>
        <v>0</v>
      </c>
    </row>
    <row r="1248" spans="2:3">
      <c r="B1248">
        <f>SUMIFS(allorders!O:O,allorders!L:L,'数据处理(仓储使用)'!$A1248,allorders!$AG:$AG,"&lt;="&amp;日期!$B$2,allorders!$AG:$AG,"&gt;="&amp;日期!$B$1)</f>
        <v>0</v>
      </c>
      <c r="C1248">
        <f>B1248/(日期!$B$2-日期!$B$1+1)</f>
        <v>0</v>
      </c>
    </row>
    <row r="1249" spans="2:3">
      <c r="B1249">
        <f>SUMIFS(allorders!O:O,allorders!L:L,'数据处理(仓储使用)'!$A1249,allorders!$AG:$AG,"&lt;="&amp;日期!$B$2,allorders!$AG:$AG,"&gt;="&amp;日期!$B$1)</f>
        <v>0</v>
      </c>
      <c r="C1249">
        <f>B1249/(日期!$B$2-日期!$B$1+1)</f>
        <v>0</v>
      </c>
    </row>
    <row r="1250" spans="2:3">
      <c r="B1250">
        <f>SUMIFS(allorders!O:O,allorders!L:L,'数据处理(仓储使用)'!$A1250,allorders!$AG:$AG,"&lt;="&amp;日期!$B$2,allorders!$AG:$AG,"&gt;="&amp;日期!$B$1)</f>
        <v>0</v>
      </c>
      <c r="C1250">
        <f>B1250/(日期!$B$2-日期!$B$1+1)</f>
        <v>0</v>
      </c>
    </row>
    <row r="1251" spans="2:3">
      <c r="B1251">
        <f>SUMIFS(allorders!O:O,allorders!L:L,'数据处理(仓储使用)'!$A1251,allorders!$AG:$AG,"&lt;="&amp;日期!$B$2,allorders!$AG:$AG,"&gt;="&amp;日期!$B$1)</f>
        <v>0</v>
      </c>
      <c r="C1251">
        <f>B1251/(日期!$B$2-日期!$B$1+1)</f>
        <v>0</v>
      </c>
    </row>
    <row r="1252" spans="2:3">
      <c r="B1252">
        <f>SUMIFS(allorders!O:O,allorders!L:L,'数据处理(仓储使用)'!$A1252,allorders!$AG:$AG,"&lt;="&amp;日期!$B$2,allorders!$AG:$AG,"&gt;="&amp;日期!$B$1)</f>
        <v>0</v>
      </c>
      <c r="C1252">
        <f>B1252/(日期!$B$2-日期!$B$1+1)</f>
        <v>0</v>
      </c>
    </row>
    <row r="1253" spans="2:3">
      <c r="B1253">
        <f>SUMIFS(allorders!O:O,allorders!L:L,'数据处理(仓储使用)'!$A1253,allorders!$AG:$AG,"&lt;="&amp;日期!$B$2,allorders!$AG:$AG,"&gt;="&amp;日期!$B$1)</f>
        <v>0</v>
      </c>
      <c r="C1253">
        <f>B1253/(日期!$B$2-日期!$B$1+1)</f>
        <v>0</v>
      </c>
    </row>
    <row r="1254" spans="2:3">
      <c r="B1254">
        <f>SUMIFS(allorders!O:O,allorders!L:L,'数据处理(仓储使用)'!$A1254,allorders!$AG:$AG,"&lt;="&amp;日期!$B$2,allorders!$AG:$AG,"&gt;="&amp;日期!$B$1)</f>
        <v>0</v>
      </c>
      <c r="C1254">
        <f>B1254/(日期!$B$2-日期!$B$1+1)</f>
        <v>0</v>
      </c>
    </row>
    <row r="1255" spans="2:3">
      <c r="B1255">
        <f>SUMIFS(allorders!O:O,allorders!L:L,'数据处理(仓储使用)'!$A1255,allorders!$AG:$AG,"&lt;="&amp;日期!$B$2,allorders!$AG:$AG,"&gt;="&amp;日期!$B$1)</f>
        <v>0</v>
      </c>
      <c r="C1255">
        <f>B1255/(日期!$B$2-日期!$B$1+1)</f>
        <v>0</v>
      </c>
    </row>
    <row r="1256" spans="2:3">
      <c r="B1256">
        <f>SUMIFS(allorders!O:O,allorders!L:L,'数据处理(仓储使用)'!$A1256,allorders!$AG:$AG,"&lt;="&amp;日期!$B$2,allorders!$AG:$AG,"&gt;="&amp;日期!$B$1)</f>
        <v>0</v>
      </c>
      <c r="C1256">
        <f>B1256/(日期!$B$2-日期!$B$1+1)</f>
        <v>0</v>
      </c>
    </row>
    <row r="1257" spans="2:3">
      <c r="B1257">
        <f>SUMIFS(allorders!O:O,allorders!L:L,'数据处理(仓储使用)'!$A1257,allorders!$AG:$AG,"&lt;="&amp;日期!$B$2,allorders!$AG:$AG,"&gt;="&amp;日期!$B$1)</f>
        <v>0</v>
      </c>
      <c r="C1257">
        <f>B1257/(日期!$B$2-日期!$B$1+1)</f>
        <v>0</v>
      </c>
    </row>
    <row r="1258" spans="2:3">
      <c r="B1258">
        <f>SUMIFS(allorders!O:O,allorders!L:L,'数据处理(仓储使用)'!$A1258,allorders!$AG:$AG,"&lt;="&amp;日期!$B$2,allorders!$AG:$AG,"&gt;="&amp;日期!$B$1)</f>
        <v>0</v>
      </c>
      <c r="C1258">
        <f>B1258/(日期!$B$2-日期!$B$1+1)</f>
        <v>0</v>
      </c>
    </row>
    <row r="1259" spans="2:3">
      <c r="B1259">
        <f>SUMIFS(allorders!O:O,allorders!L:L,'数据处理(仓储使用)'!$A1259,allorders!$AG:$AG,"&lt;="&amp;日期!$B$2,allorders!$AG:$AG,"&gt;="&amp;日期!$B$1)</f>
        <v>0</v>
      </c>
      <c r="C1259">
        <f>B1259/(日期!$B$2-日期!$B$1+1)</f>
        <v>0</v>
      </c>
    </row>
    <row r="1260" spans="2:3">
      <c r="B1260">
        <f>SUMIFS(allorders!O:O,allorders!L:L,'数据处理(仓储使用)'!$A1260,allorders!$AG:$AG,"&lt;="&amp;日期!$B$2,allorders!$AG:$AG,"&gt;="&amp;日期!$B$1)</f>
        <v>0</v>
      </c>
      <c r="C1260">
        <f>B1260/(日期!$B$2-日期!$B$1+1)</f>
        <v>0</v>
      </c>
    </row>
    <row r="1261" spans="2:3">
      <c r="B1261">
        <f>SUMIFS(allorders!O:O,allorders!L:L,'数据处理(仓储使用)'!$A1261,allorders!$AG:$AG,"&lt;="&amp;日期!$B$2,allorders!$AG:$AG,"&gt;="&amp;日期!$B$1)</f>
        <v>0</v>
      </c>
      <c r="C1261">
        <f>B1261/(日期!$B$2-日期!$B$1+1)</f>
        <v>0</v>
      </c>
    </row>
    <row r="1262" spans="2:3">
      <c r="B1262">
        <f>SUMIFS(allorders!O:O,allorders!L:L,'数据处理(仓储使用)'!$A1262,allorders!$AG:$AG,"&lt;="&amp;日期!$B$2,allorders!$AG:$AG,"&gt;="&amp;日期!$B$1)</f>
        <v>0</v>
      </c>
      <c r="C1262">
        <f>B1262/(日期!$B$2-日期!$B$1+1)</f>
        <v>0</v>
      </c>
    </row>
    <row r="1263" spans="2:3">
      <c r="B1263">
        <f>SUMIFS(allorders!O:O,allorders!L:L,'数据处理(仓储使用)'!$A1263,allorders!$AG:$AG,"&lt;="&amp;日期!$B$2,allorders!$AG:$AG,"&gt;="&amp;日期!$B$1)</f>
        <v>0</v>
      </c>
      <c r="C1263">
        <f>B1263/(日期!$B$2-日期!$B$1+1)</f>
        <v>0</v>
      </c>
    </row>
    <row r="1264" spans="2:3">
      <c r="B1264">
        <f>SUMIFS(allorders!O:O,allorders!L:L,'数据处理(仓储使用)'!$A1264,allorders!$AG:$AG,"&lt;="&amp;日期!$B$2,allorders!$AG:$AG,"&gt;="&amp;日期!$B$1)</f>
        <v>0</v>
      </c>
      <c r="C1264">
        <f>B1264/(日期!$B$2-日期!$B$1+1)</f>
        <v>0</v>
      </c>
    </row>
    <row r="1265" spans="2:3">
      <c r="B1265">
        <f>SUMIFS(allorders!O:O,allorders!L:L,'数据处理(仓储使用)'!$A1265,allorders!$AG:$AG,"&lt;="&amp;日期!$B$2,allorders!$AG:$AG,"&gt;="&amp;日期!$B$1)</f>
        <v>0</v>
      </c>
      <c r="C1265">
        <f>B1265/(日期!$B$2-日期!$B$1+1)</f>
        <v>0</v>
      </c>
    </row>
    <row r="1266" spans="2:3">
      <c r="B1266">
        <f>SUMIFS(allorders!O:O,allorders!L:L,'数据处理(仓储使用)'!$A1266,allorders!$AG:$AG,"&lt;="&amp;日期!$B$2,allorders!$AG:$AG,"&gt;="&amp;日期!$B$1)</f>
        <v>0</v>
      </c>
      <c r="C1266">
        <f>B1266/(日期!$B$2-日期!$B$1+1)</f>
        <v>0</v>
      </c>
    </row>
    <row r="1267" spans="2:3">
      <c r="B1267">
        <f>SUMIFS(allorders!O:O,allorders!L:L,'数据处理(仓储使用)'!$A1267,allorders!$AG:$AG,"&lt;="&amp;日期!$B$2,allorders!$AG:$AG,"&gt;="&amp;日期!$B$1)</f>
        <v>0</v>
      </c>
      <c r="C1267">
        <f>B1267/(日期!$B$2-日期!$B$1+1)</f>
        <v>0</v>
      </c>
    </row>
    <row r="1268" spans="2:3">
      <c r="B1268">
        <f>SUMIFS(allorders!O:O,allorders!L:L,'数据处理(仓储使用)'!$A1268,allorders!$AG:$AG,"&lt;="&amp;日期!$B$2,allorders!$AG:$AG,"&gt;="&amp;日期!$B$1)</f>
        <v>0</v>
      </c>
      <c r="C1268">
        <f>B1268/(日期!$B$2-日期!$B$1+1)</f>
        <v>0</v>
      </c>
    </row>
    <row r="1269" spans="2:3">
      <c r="B1269">
        <f>SUMIFS(allorders!O:O,allorders!L:L,'数据处理(仓储使用)'!$A1269,allorders!$AG:$AG,"&lt;="&amp;日期!$B$2,allorders!$AG:$AG,"&gt;="&amp;日期!$B$1)</f>
        <v>0</v>
      </c>
      <c r="C1269">
        <f>B1269/(日期!$B$2-日期!$B$1+1)</f>
        <v>0</v>
      </c>
    </row>
    <row r="1270" spans="2:3">
      <c r="B1270">
        <f>SUMIFS(allorders!O:O,allorders!L:L,'数据处理(仓储使用)'!$A1270,allorders!$AG:$AG,"&lt;="&amp;日期!$B$2,allorders!$AG:$AG,"&gt;="&amp;日期!$B$1)</f>
        <v>0</v>
      </c>
      <c r="C1270">
        <f>B1270/(日期!$B$2-日期!$B$1+1)</f>
        <v>0</v>
      </c>
    </row>
    <row r="1271" spans="2:3">
      <c r="B1271">
        <f>SUMIFS(allorders!O:O,allorders!L:L,'数据处理(仓储使用)'!$A1271,allorders!$AG:$AG,"&lt;="&amp;日期!$B$2,allorders!$AG:$AG,"&gt;="&amp;日期!$B$1)</f>
        <v>0</v>
      </c>
      <c r="C1271">
        <f>B1271/(日期!$B$2-日期!$B$1+1)</f>
        <v>0</v>
      </c>
    </row>
    <row r="1272" spans="2:3">
      <c r="B1272">
        <f>SUMIFS(allorders!O:O,allorders!L:L,'数据处理(仓储使用)'!$A1272,allorders!$AG:$AG,"&lt;="&amp;日期!$B$2,allorders!$AG:$AG,"&gt;="&amp;日期!$B$1)</f>
        <v>0</v>
      </c>
      <c r="C1272">
        <f>B1272/(日期!$B$2-日期!$B$1+1)</f>
        <v>0</v>
      </c>
    </row>
    <row r="1273" spans="2:3">
      <c r="B1273">
        <f>SUMIFS(allorders!O:O,allorders!L:L,'数据处理(仓储使用)'!$A1273,allorders!$AG:$AG,"&lt;="&amp;日期!$B$2,allorders!$AG:$AG,"&gt;="&amp;日期!$B$1)</f>
        <v>0</v>
      </c>
      <c r="C1273">
        <f>B1273/(日期!$B$2-日期!$B$1+1)</f>
        <v>0</v>
      </c>
    </row>
    <row r="1274" spans="2:3">
      <c r="B1274">
        <f>SUMIFS(allorders!O:O,allorders!L:L,'数据处理(仓储使用)'!$A1274,allorders!$AG:$AG,"&lt;="&amp;日期!$B$2,allorders!$AG:$AG,"&gt;="&amp;日期!$B$1)</f>
        <v>0</v>
      </c>
      <c r="C1274">
        <f>B1274/(日期!$B$2-日期!$B$1+1)</f>
        <v>0</v>
      </c>
    </row>
    <row r="1275" spans="2:3">
      <c r="B1275">
        <f>SUMIFS(allorders!O:O,allorders!L:L,'数据处理(仓储使用)'!$A1275,allorders!$AG:$AG,"&lt;="&amp;日期!$B$2,allorders!$AG:$AG,"&gt;="&amp;日期!$B$1)</f>
        <v>0</v>
      </c>
      <c r="C1275">
        <f>B1275/(日期!$B$2-日期!$B$1+1)</f>
        <v>0</v>
      </c>
    </row>
    <row r="1276" spans="2:3">
      <c r="B1276">
        <f>SUMIFS(allorders!O:O,allorders!L:L,'数据处理(仓储使用)'!$A1276,allorders!$AG:$AG,"&lt;="&amp;日期!$B$2,allorders!$AG:$AG,"&gt;="&amp;日期!$B$1)</f>
        <v>0</v>
      </c>
      <c r="C1276">
        <f>B1276/(日期!$B$2-日期!$B$1+1)</f>
        <v>0</v>
      </c>
    </row>
    <row r="1277" spans="2:3">
      <c r="B1277">
        <f>SUMIFS(allorders!O:O,allorders!L:L,'数据处理(仓储使用)'!$A1277,allorders!$AG:$AG,"&lt;="&amp;日期!$B$2,allorders!$AG:$AG,"&gt;="&amp;日期!$B$1)</f>
        <v>0</v>
      </c>
      <c r="C1277">
        <f>B1277/(日期!$B$2-日期!$B$1+1)</f>
        <v>0</v>
      </c>
    </row>
    <row r="1278" spans="2:3">
      <c r="B1278">
        <f>SUMIFS(allorders!O:O,allorders!L:L,'数据处理(仓储使用)'!$A1278,allorders!$AG:$AG,"&lt;="&amp;日期!$B$2,allorders!$AG:$AG,"&gt;="&amp;日期!$B$1)</f>
        <v>0</v>
      </c>
      <c r="C1278">
        <f>B1278/(日期!$B$2-日期!$B$1+1)</f>
        <v>0</v>
      </c>
    </row>
    <row r="1279" spans="2:3">
      <c r="B1279">
        <f>SUMIFS(allorders!O:O,allorders!L:L,'数据处理(仓储使用)'!$A1279,allorders!$AG:$AG,"&lt;="&amp;日期!$B$2,allorders!$AG:$AG,"&gt;="&amp;日期!$B$1)</f>
        <v>0</v>
      </c>
      <c r="C1279">
        <f>B1279/(日期!$B$2-日期!$B$1+1)</f>
        <v>0</v>
      </c>
    </row>
    <row r="1280" spans="2:3">
      <c r="B1280">
        <f>SUMIFS(allorders!O:O,allorders!L:L,'数据处理(仓储使用)'!$A1280,allorders!$AG:$AG,"&lt;="&amp;日期!$B$2,allorders!$AG:$AG,"&gt;="&amp;日期!$B$1)</f>
        <v>0</v>
      </c>
      <c r="C1280">
        <f>B1280/(日期!$B$2-日期!$B$1+1)</f>
        <v>0</v>
      </c>
    </row>
    <row r="1281" spans="2:3">
      <c r="B1281">
        <f>SUMIFS(allorders!O:O,allorders!L:L,'数据处理(仓储使用)'!$A1281,allorders!$AG:$AG,"&lt;="&amp;日期!$B$2,allorders!$AG:$AG,"&gt;="&amp;日期!$B$1)</f>
        <v>0</v>
      </c>
      <c r="C1281">
        <f>B1281/(日期!$B$2-日期!$B$1+1)</f>
        <v>0</v>
      </c>
    </row>
    <row r="1282" spans="2:3">
      <c r="B1282">
        <f>SUMIFS(allorders!O:O,allorders!L:L,'数据处理(仓储使用)'!$A1282,allorders!$AG:$AG,"&lt;="&amp;日期!$B$2,allorders!$AG:$AG,"&gt;="&amp;日期!$B$1)</f>
        <v>0</v>
      </c>
      <c r="C1282">
        <f>B1282/(日期!$B$2-日期!$B$1+1)</f>
        <v>0</v>
      </c>
    </row>
    <row r="1283" spans="2:3">
      <c r="B1283">
        <f>SUMIFS(allorders!O:O,allorders!L:L,'数据处理(仓储使用)'!$A1283,allorders!$AG:$AG,"&lt;="&amp;日期!$B$2,allorders!$AG:$AG,"&gt;="&amp;日期!$B$1)</f>
        <v>0</v>
      </c>
      <c r="C1283">
        <f>B1283/(日期!$B$2-日期!$B$1+1)</f>
        <v>0</v>
      </c>
    </row>
    <row r="1284" spans="2:3">
      <c r="B1284">
        <f>SUMIFS(allorders!O:O,allorders!L:L,'数据处理(仓储使用)'!$A1284,allorders!$AG:$AG,"&lt;="&amp;日期!$B$2,allorders!$AG:$AG,"&gt;="&amp;日期!$B$1)</f>
        <v>0</v>
      </c>
      <c r="C1284">
        <f>B1284/(日期!$B$2-日期!$B$1+1)</f>
        <v>0</v>
      </c>
    </row>
    <row r="1285" spans="2:3">
      <c r="B1285">
        <f>SUMIFS(allorders!O:O,allorders!L:L,'数据处理(仓储使用)'!$A1285,allorders!$AG:$AG,"&lt;="&amp;日期!$B$2,allorders!$AG:$AG,"&gt;="&amp;日期!$B$1)</f>
        <v>0</v>
      </c>
      <c r="C1285">
        <f>B1285/(日期!$B$2-日期!$B$1+1)</f>
        <v>0</v>
      </c>
    </row>
    <row r="1286" spans="2:3">
      <c r="B1286">
        <f>SUMIFS(allorders!O:O,allorders!L:L,'数据处理(仓储使用)'!$A1286,allorders!$AG:$AG,"&lt;="&amp;日期!$B$2,allorders!$AG:$AG,"&gt;="&amp;日期!$B$1)</f>
        <v>0</v>
      </c>
      <c r="C1286">
        <f>B1286/(日期!$B$2-日期!$B$1+1)</f>
        <v>0</v>
      </c>
    </row>
    <row r="1287" spans="2:3">
      <c r="B1287">
        <f>SUMIFS(allorders!O:O,allorders!L:L,'数据处理(仓储使用)'!$A1287,allorders!$AG:$AG,"&lt;="&amp;日期!$B$2,allorders!$AG:$AG,"&gt;="&amp;日期!$B$1)</f>
        <v>0</v>
      </c>
      <c r="C1287">
        <f>B1287/(日期!$B$2-日期!$B$1+1)</f>
        <v>0</v>
      </c>
    </row>
    <row r="1288" spans="2:3">
      <c r="B1288">
        <f>SUMIFS(allorders!O:O,allorders!L:L,'数据处理(仓储使用)'!$A1288,allorders!$AG:$AG,"&lt;="&amp;日期!$B$2,allorders!$AG:$AG,"&gt;="&amp;日期!$B$1)</f>
        <v>0</v>
      </c>
      <c r="C1288">
        <f>B1288/(日期!$B$2-日期!$B$1+1)</f>
        <v>0</v>
      </c>
    </row>
    <row r="1289" spans="2:3">
      <c r="B1289">
        <f>SUMIFS(allorders!O:O,allorders!L:L,'数据处理(仓储使用)'!$A1289,allorders!$AG:$AG,"&lt;="&amp;日期!$B$2,allorders!$AG:$AG,"&gt;="&amp;日期!$B$1)</f>
        <v>0</v>
      </c>
      <c r="C1289">
        <f>B1289/(日期!$B$2-日期!$B$1+1)</f>
        <v>0</v>
      </c>
    </row>
    <row r="1290" spans="2:3">
      <c r="B1290">
        <f>SUMIFS(allorders!O:O,allorders!L:L,'数据处理(仓储使用)'!$A1290,allorders!$AG:$AG,"&lt;="&amp;日期!$B$2,allorders!$AG:$AG,"&gt;="&amp;日期!$B$1)</f>
        <v>0</v>
      </c>
      <c r="C1290">
        <f>B1290/(日期!$B$2-日期!$B$1+1)</f>
        <v>0</v>
      </c>
    </row>
    <row r="1291" spans="2:3">
      <c r="B1291">
        <f>SUMIFS(allorders!O:O,allorders!L:L,'数据处理(仓储使用)'!$A1291,allorders!$AG:$AG,"&lt;="&amp;日期!$B$2,allorders!$AG:$AG,"&gt;="&amp;日期!$B$1)</f>
        <v>0</v>
      </c>
      <c r="C1291">
        <f>B1291/(日期!$B$2-日期!$B$1+1)</f>
        <v>0</v>
      </c>
    </row>
    <row r="1292" spans="2:3">
      <c r="B1292">
        <f>SUMIFS(allorders!O:O,allorders!L:L,'数据处理(仓储使用)'!$A1292,allorders!$AG:$AG,"&lt;="&amp;日期!$B$2,allorders!$AG:$AG,"&gt;="&amp;日期!$B$1)</f>
        <v>0</v>
      </c>
      <c r="C1292">
        <f>B1292/(日期!$B$2-日期!$B$1+1)</f>
        <v>0</v>
      </c>
    </row>
    <row r="1293" spans="2:3">
      <c r="B1293">
        <f>SUMIFS(allorders!O:O,allorders!L:L,'数据处理(仓储使用)'!$A1293,allorders!$AG:$AG,"&lt;="&amp;日期!$B$2,allorders!$AG:$AG,"&gt;="&amp;日期!$B$1)</f>
        <v>0</v>
      </c>
      <c r="C1293">
        <f>B1293/(日期!$B$2-日期!$B$1+1)</f>
        <v>0</v>
      </c>
    </row>
    <row r="1294" spans="2:3">
      <c r="B1294">
        <f>SUMIFS(allorders!O:O,allorders!L:L,'数据处理(仓储使用)'!$A1294,allorders!$AG:$AG,"&lt;="&amp;日期!$B$2,allorders!$AG:$AG,"&gt;="&amp;日期!$B$1)</f>
        <v>0</v>
      </c>
      <c r="C1294">
        <f>B1294/(日期!$B$2-日期!$B$1+1)</f>
        <v>0</v>
      </c>
    </row>
    <row r="1295" spans="2:3">
      <c r="B1295">
        <f>SUMIFS(allorders!O:O,allorders!L:L,'数据处理(仓储使用)'!$A1295,allorders!$AG:$AG,"&lt;="&amp;日期!$B$2,allorders!$AG:$AG,"&gt;="&amp;日期!$B$1)</f>
        <v>0</v>
      </c>
      <c r="C1295">
        <f>B1295/(日期!$B$2-日期!$B$1+1)</f>
        <v>0</v>
      </c>
    </row>
    <row r="1296" spans="2:3">
      <c r="B1296">
        <f>SUMIFS(allorders!O:O,allorders!L:L,'数据处理(仓储使用)'!$A1296,allorders!$AG:$AG,"&lt;="&amp;日期!$B$2,allorders!$AG:$AG,"&gt;="&amp;日期!$B$1)</f>
        <v>0</v>
      </c>
      <c r="C1296">
        <f>B1296/(日期!$B$2-日期!$B$1+1)</f>
        <v>0</v>
      </c>
    </row>
    <row r="1297" spans="2:3">
      <c r="B1297">
        <f>SUMIFS(allorders!O:O,allorders!L:L,'数据处理(仓储使用)'!$A1297,allorders!$AG:$AG,"&lt;="&amp;日期!$B$2,allorders!$AG:$AG,"&gt;="&amp;日期!$B$1)</f>
        <v>0</v>
      </c>
      <c r="C1297">
        <f>B1297/(日期!$B$2-日期!$B$1+1)</f>
        <v>0</v>
      </c>
    </row>
    <row r="1298" spans="2:3">
      <c r="B1298">
        <f>SUMIFS(allorders!O:O,allorders!L:L,'数据处理(仓储使用)'!$A1298,allorders!$AG:$AG,"&lt;="&amp;日期!$B$2,allorders!$AG:$AG,"&gt;="&amp;日期!$B$1)</f>
        <v>0</v>
      </c>
      <c r="C1298">
        <f>B1298/(日期!$B$2-日期!$B$1+1)</f>
        <v>0</v>
      </c>
    </row>
    <row r="1299" spans="2:3">
      <c r="B1299">
        <f>SUMIFS(allorders!O:O,allorders!L:L,'数据处理(仓储使用)'!$A1299,allorders!$AG:$AG,"&lt;="&amp;日期!$B$2,allorders!$AG:$AG,"&gt;="&amp;日期!$B$1)</f>
        <v>0</v>
      </c>
      <c r="C1299">
        <f>B1299/(日期!$B$2-日期!$B$1+1)</f>
        <v>0</v>
      </c>
    </row>
    <row r="1300" spans="2:3">
      <c r="B1300">
        <f>SUMIFS(allorders!O:O,allorders!L:L,'数据处理(仓储使用)'!$A1300,allorders!$AG:$AG,"&lt;="&amp;日期!$B$2,allorders!$AG:$AG,"&gt;="&amp;日期!$B$1)</f>
        <v>0</v>
      </c>
      <c r="C1300">
        <f>B1300/(日期!$B$2-日期!$B$1+1)</f>
        <v>0</v>
      </c>
    </row>
    <row r="1301" spans="2:3">
      <c r="B1301">
        <f>SUMIFS(allorders!O:O,allorders!L:L,'数据处理(仓储使用)'!$A1301,allorders!$AG:$AG,"&lt;="&amp;日期!$B$2,allorders!$AG:$AG,"&gt;="&amp;日期!$B$1)</f>
        <v>0</v>
      </c>
      <c r="C1301">
        <f>B1301/(日期!$B$2-日期!$B$1+1)</f>
        <v>0</v>
      </c>
    </row>
    <row r="1302" spans="2:3">
      <c r="B1302">
        <f>SUMIFS(allorders!O:O,allorders!L:L,'数据处理(仓储使用)'!$A1302,allorders!$AG:$AG,"&lt;="&amp;日期!$B$2,allorders!$AG:$AG,"&gt;="&amp;日期!$B$1)</f>
        <v>0</v>
      </c>
      <c r="C1302">
        <f>B1302/(日期!$B$2-日期!$B$1+1)</f>
        <v>0</v>
      </c>
    </row>
    <row r="1303" spans="2:3">
      <c r="B1303">
        <f>SUMIFS(allorders!O:O,allorders!L:L,'数据处理(仓储使用)'!$A1303,allorders!$AG:$AG,"&lt;="&amp;日期!$B$2,allorders!$AG:$AG,"&gt;="&amp;日期!$B$1)</f>
        <v>0</v>
      </c>
      <c r="C1303">
        <f>B1303/(日期!$B$2-日期!$B$1+1)</f>
        <v>0</v>
      </c>
    </row>
    <row r="1304" spans="2:3">
      <c r="B1304">
        <f>SUMIFS(allorders!O:O,allorders!L:L,'数据处理(仓储使用)'!$A1304,allorders!$AG:$AG,"&lt;="&amp;日期!$B$2,allorders!$AG:$AG,"&gt;="&amp;日期!$B$1)</f>
        <v>0</v>
      </c>
      <c r="C1304">
        <f>B1304/(日期!$B$2-日期!$B$1+1)</f>
        <v>0</v>
      </c>
    </row>
    <row r="1305" spans="2:3">
      <c r="B1305">
        <f>SUMIFS(allorders!O:O,allorders!L:L,'数据处理(仓储使用)'!$A1305,allorders!$AG:$AG,"&lt;="&amp;日期!$B$2,allorders!$AG:$AG,"&gt;="&amp;日期!$B$1)</f>
        <v>0</v>
      </c>
      <c r="C1305">
        <f>B1305/(日期!$B$2-日期!$B$1+1)</f>
        <v>0</v>
      </c>
    </row>
    <row r="1306" spans="2:3">
      <c r="B1306">
        <f>SUMIFS(allorders!O:O,allorders!L:L,'数据处理(仓储使用)'!$A1306,allorders!$AG:$AG,"&lt;="&amp;日期!$B$2,allorders!$AG:$AG,"&gt;="&amp;日期!$B$1)</f>
        <v>0</v>
      </c>
      <c r="C1306">
        <f>B1306/(日期!$B$2-日期!$B$1+1)</f>
        <v>0</v>
      </c>
    </row>
    <row r="1307" spans="2:3">
      <c r="B1307">
        <f>SUMIFS(allorders!O:O,allorders!L:L,'数据处理(仓储使用)'!$A1307,allorders!$AG:$AG,"&lt;="&amp;日期!$B$2,allorders!$AG:$AG,"&gt;="&amp;日期!$B$1)</f>
        <v>0</v>
      </c>
      <c r="C1307">
        <f>B1307/(日期!$B$2-日期!$B$1+1)</f>
        <v>0</v>
      </c>
    </row>
    <row r="1308" spans="2:3">
      <c r="B1308">
        <f>SUMIFS(allorders!O:O,allorders!L:L,'数据处理(仓储使用)'!$A1308,allorders!$AG:$AG,"&lt;="&amp;日期!$B$2,allorders!$AG:$AG,"&gt;="&amp;日期!$B$1)</f>
        <v>0</v>
      </c>
      <c r="C1308">
        <f>B1308/(日期!$B$2-日期!$B$1+1)</f>
        <v>0</v>
      </c>
    </row>
    <row r="1309" spans="2:3">
      <c r="B1309">
        <f>SUMIFS(allorders!O:O,allorders!L:L,'数据处理(仓储使用)'!$A1309,allorders!$AG:$AG,"&lt;="&amp;日期!$B$2,allorders!$AG:$AG,"&gt;="&amp;日期!$B$1)</f>
        <v>0</v>
      </c>
      <c r="C1309">
        <f>B1309/(日期!$B$2-日期!$B$1+1)</f>
        <v>0</v>
      </c>
    </row>
    <row r="1310" spans="2:3">
      <c r="B1310">
        <f>SUMIFS(allorders!O:O,allorders!L:L,'数据处理(仓储使用)'!$A1310,allorders!$AG:$AG,"&lt;="&amp;日期!$B$2,allorders!$AG:$AG,"&gt;="&amp;日期!$B$1)</f>
        <v>0</v>
      </c>
      <c r="C1310">
        <f>B1310/(日期!$B$2-日期!$B$1+1)</f>
        <v>0</v>
      </c>
    </row>
    <row r="1311" spans="2:3">
      <c r="B1311">
        <f>SUMIFS(allorders!O:O,allorders!L:L,'数据处理(仓储使用)'!$A1311,allorders!$AG:$AG,"&lt;="&amp;日期!$B$2,allorders!$AG:$AG,"&gt;="&amp;日期!$B$1)</f>
        <v>0</v>
      </c>
      <c r="C1311">
        <f>B1311/(日期!$B$2-日期!$B$1+1)</f>
        <v>0</v>
      </c>
    </row>
    <row r="1312" spans="2:3">
      <c r="B1312">
        <f>SUMIFS(allorders!O:O,allorders!L:L,'数据处理(仓储使用)'!$A1312,allorders!$AG:$AG,"&lt;="&amp;日期!$B$2,allorders!$AG:$AG,"&gt;="&amp;日期!$B$1)</f>
        <v>0</v>
      </c>
      <c r="C1312">
        <f>B1312/(日期!$B$2-日期!$B$1+1)</f>
        <v>0</v>
      </c>
    </row>
    <row r="1313" spans="2:3">
      <c r="B1313">
        <f>SUMIFS(allorders!O:O,allorders!L:L,'数据处理(仓储使用)'!$A1313,allorders!$AG:$AG,"&lt;="&amp;日期!$B$2,allorders!$AG:$AG,"&gt;="&amp;日期!$B$1)</f>
        <v>0</v>
      </c>
      <c r="C1313">
        <f>B1313/(日期!$B$2-日期!$B$1+1)</f>
        <v>0</v>
      </c>
    </row>
    <row r="1314" spans="2:3">
      <c r="B1314">
        <f>SUMIFS(allorders!O:O,allorders!L:L,'数据处理(仓储使用)'!$A1314,allorders!$AG:$AG,"&lt;="&amp;日期!$B$2,allorders!$AG:$AG,"&gt;="&amp;日期!$B$1)</f>
        <v>0</v>
      </c>
      <c r="C1314">
        <f>B1314/(日期!$B$2-日期!$B$1+1)</f>
        <v>0</v>
      </c>
    </row>
    <row r="1315" spans="2:3">
      <c r="B1315">
        <f>SUMIFS(allorders!O:O,allorders!L:L,'数据处理(仓储使用)'!$A1315,allorders!$AG:$AG,"&lt;="&amp;日期!$B$2,allorders!$AG:$AG,"&gt;="&amp;日期!$B$1)</f>
        <v>0</v>
      </c>
      <c r="C1315">
        <f>B1315/(日期!$B$2-日期!$B$1+1)</f>
        <v>0</v>
      </c>
    </row>
    <row r="1316" spans="2:3">
      <c r="B1316">
        <f>SUMIFS(allorders!O:O,allorders!L:L,'数据处理(仓储使用)'!$A1316,allorders!$AG:$AG,"&lt;="&amp;日期!$B$2,allorders!$AG:$AG,"&gt;="&amp;日期!$B$1)</f>
        <v>0</v>
      </c>
      <c r="C1316">
        <f>B1316/(日期!$B$2-日期!$B$1+1)</f>
        <v>0</v>
      </c>
    </row>
    <row r="1317" spans="2:3">
      <c r="B1317">
        <f>SUMIFS(allorders!O:O,allorders!L:L,'数据处理(仓储使用)'!$A1317,allorders!$AG:$AG,"&lt;="&amp;日期!$B$2,allorders!$AG:$AG,"&gt;="&amp;日期!$B$1)</f>
        <v>0</v>
      </c>
      <c r="C1317">
        <f>B1317/(日期!$B$2-日期!$B$1+1)</f>
        <v>0</v>
      </c>
    </row>
    <row r="1318" spans="2:3">
      <c r="B1318">
        <f>SUMIFS(allorders!O:O,allorders!L:L,'数据处理(仓储使用)'!$A1318,allorders!$AG:$AG,"&lt;="&amp;日期!$B$2,allorders!$AG:$AG,"&gt;="&amp;日期!$B$1)</f>
        <v>0</v>
      </c>
      <c r="C1318">
        <f>B1318/(日期!$B$2-日期!$B$1+1)</f>
        <v>0</v>
      </c>
    </row>
    <row r="1319" spans="2:3">
      <c r="B1319">
        <f>SUMIFS(allorders!O:O,allorders!L:L,'数据处理(仓储使用)'!$A1319,allorders!$AG:$AG,"&lt;="&amp;日期!$B$2,allorders!$AG:$AG,"&gt;="&amp;日期!$B$1)</f>
        <v>0</v>
      </c>
      <c r="C1319">
        <f>B1319/(日期!$B$2-日期!$B$1+1)</f>
        <v>0</v>
      </c>
    </row>
    <row r="1320" spans="2:3">
      <c r="B1320">
        <f>SUMIFS(allorders!O:O,allorders!L:L,'数据处理(仓储使用)'!$A1320,allorders!$AG:$AG,"&lt;="&amp;日期!$B$2,allorders!$AG:$AG,"&gt;="&amp;日期!$B$1)</f>
        <v>0</v>
      </c>
      <c r="C1320">
        <f>B1320/(日期!$B$2-日期!$B$1+1)</f>
        <v>0</v>
      </c>
    </row>
    <row r="1321" spans="2:3">
      <c r="B1321">
        <f>SUMIFS(allorders!O:O,allorders!L:L,'数据处理(仓储使用)'!$A1321,allorders!$AG:$AG,"&lt;="&amp;日期!$B$2,allorders!$AG:$AG,"&gt;="&amp;日期!$B$1)</f>
        <v>0</v>
      </c>
      <c r="C1321">
        <f>B1321/(日期!$B$2-日期!$B$1+1)</f>
        <v>0</v>
      </c>
    </row>
    <row r="1322" spans="2:3">
      <c r="B1322">
        <f>SUMIFS(allorders!O:O,allorders!L:L,'数据处理(仓储使用)'!$A1322,allorders!$AG:$AG,"&lt;="&amp;日期!$B$2,allorders!$AG:$AG,"&gt;="&amp;日期!$B$1)</f>
        <v>0</v>
      </c>
      <c r="C1322">
        <f>B1322/(日期!$B$2-日期!$B$1+1)</f>
        <v>0</v>
      </c>
    </row>
    <row r="1323" spans="2:3">
      <c r="B1323">
        <f>SUMIFS(allorders!O:O,allorders!L:L,'数据处理(仓储使用)'!$A1323,allorders!$AG:$AG,"&lt;="&amp;日期!$B$2,allorders!$AG:$AG,"&gt;="&amp;日期!$B$1)</f>
        <v>0</v>
      </c>
      <c r="C1323">
        <f>B1323/(日期!$B$2-日期!$B$1+1)</f>
        <v>0</v>
      </c>
    </row>
    <row r="1324" spans="2:3">
      <c r="B1324">
        <f>SUMIFS(allorders!O:O,allorders!L:L,'数据处理(仓储使用)'!$A1324,allorders!$AG:$AG,"&lt;="&amp;日期!$B$2,allorders!$AG:$AG,"&gt;="&amp;日期!$B$1)</f>
        <v>0</v>
      </c>
      <c r="C1324">
        <f>B1324/(日期!$B$2-日期!$B$1+1)</f>
        <v>0</v>
      </c>
    </row>
    <row r="1325" spans="2:3">
      <c r="B1325">
        <f>SUMIFS(allorders!O:O,allorders!L:L,'数据处理(仓储使用)'!$A1325,allorders!$AG:$AG,"&lt;="&amp;日期!$B$2,allorders!$AG:$AG,"&gt;="&amp;日期!$B$1)</f>
        <v>0</v>
      </c>
      <c r="C1325">
        <f>B1325/(日期!$B$2-日期!$B$1+1)</f>
        <v>0</v>
      </c>
    </row>
    <row r="1326" spans="2:3">
      <c r="B1326">
        <f>SUMIFS(allorders!O:O,allorders!L:L,'数据处理(仓储使用)'!$A1326,allorders!$AG:$AG,"&lt;="&amp;日期!$B$2,allorders!$AG:$AG,"&gt;="&amp;日期!$B$1)</f>
        <v>0</v>
      </c>
      <c r="C1326">
        <f>B1326/(日期!$B$2-日期!$B$1+1)</f>
        <v>0</v>
      </c>
    </row>
    <row r="1327" spans="2:3">
      <c r="B1327">
        <f>SUMIFS(allorders!O:O,allorders!L:L,'数据处理(仓储使用)'!$A1327,allorders!$AG:$AG,"&lt;="&amp;日期!$B$2,allorders!$AG:$AG,"&gt;="&amp;日期!$B$1)</f>
        <v>0</v>
      </c>
      <c r="C1327">
        <f>B1327/(日期!$B$2-日期!$B$1+1)</f>
        <v>0</v>
      </c>
    </row>
    <row r="1328" spans="2:3">
      <c r="B1328">
        <f>SUMIFS(allorders!O:O,allorders!L:L,'数据处理(仓储使用)'!$A1328,allorders!$AG:$AG,"&lt;="&amp;日期!$B$2,allorders!$AG:$AG,"&gt;="&amp;日期!$B$1)</f>
        <v>0</v>
      </c>
      <c r="C1328">
        <f>B1328/(日期!$B$2-日期!$B$1+1)</f>
        <v>0</v>
      </c>
    </row>
    <row r="1329" spans="2:3">
      <c r="B1329">
        <f>SUMIFS(allorders!O:O,allorders!L:L,'数据处理(仓储使用)'!$A1329,allorders!$AG:$AG,"&lt;="&amp;日期!$B$2,allorders!$AG:$AG,"&gt;="&amp;日期!$B$1)</f>
        <v>0</v>
      </c>
      <c r="C1329">
        <f>B1329/(日期!$B$2-日期!$B$1+1)</f>
        <v>0</v>
      </c>
    </row>
    <row r="1330" spans="2:3">
      <c r="B1330">
        <f>SUMIFS(allorders!O:O,allorders!L:L,'数据处理(仓储使用)'!$A1330,allorders!$AG:$AG,"&lt;="&amp;日期!$B$2,allorders!$AG:$AG,"&gt;="&amp;日期!$B$1)</f>
        <v>0</v>
      </c>
      <c r="C1330">
        <f>B1330/(日期!$B$2-日期!$B$1+1)</f>
        <v>0</v>
      </c>
    </row>
    <row r="1331" spans="2:3">
      <c r="B1331">
        <f>SUMIFS(allorders!O:O,allorders!L:L,'数据处理(仓储使用)'!$A1331,allorders!$AG:$AG,"&lt;="&amp;日期!$B$2,allorders!$AG:$AG,"&gt;="&amp;日期!$B$1)</f>
        <v>0</v>
      </c>
      <c r="C1331">
        <f>B1331/(日期!$B$2-日期!$B$1+1)</f>
        <v>0</v>
      </c>
    </row>
    <row r="1332" spans="2:3">
      <c r="B1332">
        <f>SUMIFS(allorders!O:O,allorders!L:L,'数据处理(仓储使用)'!$A1332,allorders!$AG:$AG,"&lt;="&amp;日期!$B$2,allorders!$AG:$AG,"&gt;="&amp;日期!$B$1)</f>
        <v>0</v>
      </c>
      <c r="C1332">
        <f>B1332/(日期!$B$2-日期!$B$1+1)</f>
        <v>0</v>
      </c>
    </row>
    <row r="1333" spans="2:3">
      <c r="B1333">
        <f>SUMIFS(allorders!O:O,allorders!L:L,'数据处理(仓储使用)'!$A1333,allorders!$AG:$AG,"&lt;="&amp;日期!$B$2,allorders!$AG:$AG,"&gt;="&amp;日期!$B$1)</f>
        <v>0</v>
      </c>
      <c r="C1333">
        <f>B1333/(日期!$B$2-日期!$B$1+1)</f>
        <v>0</v>
      </c>
    </row>
    <row r="1334" spans="2:3">
      <c r="B1334">
        <f>SUMIFS(allorders!O:O,allorders!L:L,'数据处理(仓储使用)'!$A1334,allorders!$AG:$AG,"&lt;="&amp;日期!$B$2,allorders!$AG:$AG,"&gt;="&amp;日期!$B$1)</f>
        <v>0</v>
      </c>
      <c r="C1334">
        <f>B1334/(日期!$B$2-日期!$B$1+1)</f>
        <v>0</v>
      </c>
    </row>
    <row r="1335" spans="2:3">
      <c r="B1335">
        <f>SUMIFS(allorders!O:O,allorders!L:L,'数据处理(仓储使用)'!$A1335,allorders!$AG:$AG,"&lt;="&amp;日期!$B$2,allorders!$AG:$AG,"&gt;="&amp;日期!$B$1)</f>
        <v>0</v>
      </c>
      <c r="C1335">
        <f>B1335/(日期!$B$2-日期!$B$1+1)</f>
        <v>0</v>
      </c>
    </row>
    <row r="1336" spans="2:3">
      <c r="B1336">
        <f>SUMIFS(allorders!O:O,allorders!L:L,'数据处理(仓储使用)'!$A1336,allorders!$AG:$AG,"&lt;="&amp;日期!$B$2,allorders!$AG:$AG,"&gt;="&amp;日期!$B$1)</f>
        <v>0</v>
      </c>
      <c r="C1336">
        <f>B1336/(日期!$B$2-日期!$B$1+1)</f>
        <v>0</v>
      </c>
    </row>
    <row r="1337" spans="2:3">
      <c r="B1337">
        <f>SUMIFS(allorders!O:O,allorders!L:L,'数据处理(仓储使用)'!$A1337,allorders!$AG:$AG,"&lt;="&amp;日期!$B$2,allorders!$AG:$AG,"&gt;="&amp;日期!$B$1)</f>
        <v>0</v>
      </c>
      <c r="C1337">
        <f>B1337/(日期!$B$2-日期!$B$1+1)</f>
        <v>0</v>
      </c>
    </row>
    <row r="1338" spans="2:3">
      <c r="B1338">
        <f>SUMIFS(allorders!O:O,allorders!L:L,'数据处理(仓储使用)'!$A1338,allorders!$AG:$AG,"&lt;="&amp;日期!$B$2,allorders!$AG:$AG,"&gt;="&amp;日期!$B$1)</f>
        <v>0</v>
      </c>
      <c r="C1338">
        <f>B1338/(日期!$B$2-日期!$B$1+1)</f>
        <v>0</v>
      </c>
    </row>
    <row r="1339" spans="2:3">
      <c r="B1339">
        <f>SUMIFS(allorders!O:O,allorders!L:L,'数据处理(仓储使用)'!$A1339,allorders!$AG:$AG,"&lt;="&amp;日期!$B$2,allorders!$AG:$AG,"&gt;="&amp;日期!$B$1)</f>
        <v>0</v>
      </c>
      <c r="C1339">
        <f>B1339/(日期!$B$2-日期!$B$1+1)</f>
        <v>0</v>
      </c>
    </row>
    <row r="1340" spans="2:3">
      <c r="B1340">
        <f>SUMIFS(allorders!O:O,allorders!L:L,'数据处理(仓储使用)'!$A1340,allorders!$AG:$AG,"&lt;="&amp;日期!$B$2,allorders!$AG:$AG,"&gt;="&amp;日期!$B$1)</f>
        <v>0</v>
      </c>
      <c r="C1340">
        <f>B1340/(日期!$B$2-日期!$B$1+1)</f>
        <v>0</v>
      </c>
    </row>
    <row r="1341" spans="2:3">
      <c r="B1341">
        <f>SUMIFS(allorders!O:O,allorders!L:L,'数据处理(仓储使用)'!$A1341,allorders!$AG:$AG,"&lt;="&amp;日期!$B$2,allorders!$AG:$AG,"&gt;="&amp;日期!$B$1)</f>
        <v>0</v>
      </c>
      <c r="C1341">
        <f>B1341/(日期!$B$2-日期!$B$1+1)</f>
        <v>0</v>
      </c>
    </row>
    <row r="1342" spans="2:3">
      <c r="B1342">
        <f>SUMIFS(allorders!O:O,allorders!L:L,'数据处理(仓储使用)'!$A1342,allorders!$AG:$AG,"&lt;="&amp;日期!$B$2,allorders!$AG:$AG,"&gt;="&amp;日期!$B$1)</f>
        <v>0</v>
      </c>
      <c r="C1342">
        <f>B1342/(日期!$B$2-日期!$B$1+1)</f>
        <v>0</v>
      </c>
    </row>
    <row r="1343" spans="2:3">
      <c r="B1343">
        <f>SUMIFS(allorders!O:O,allorders!L:L,'数据处理(仓储使用)'!$A1343,allorders!$AG:$AG,"&lt;="&amp;日期!$B$2,allorders!$AG:$AG,"&gt;="&amp;日期!$B$1)</f>
        <v>0</v>
      </c>
      <c r="C1343">
        <f>B1343/(日期!$B$2-日期!$B$1+1)</f>
        <v>0</v>
      </c>
    </row>
    <row r="1344" spans="2:3">
      <c r="B1344">
        <f>SUMIFS(allorders!O:O,allorders!L:L,'数据处理(仓储使用)'!$A1344,allorders!$AG:$AG,"&lt;="&amp;日期!$B$2,allorders!$AG:$AG,"&gt;="&amp;日期!$B$1)</f>
        <v>0</v>
      </c>
      <c r="C1344">
        <f>B1344/(日期!$B$2-日期!$B$1+1)</f>
        <v>0</v>
      </c>
    </row>
    <row r="1345" spans="2:3">
      <c r="B1345">
        <f>SUMIFS(allorders!O:O,allorders!L:L,'数据处理(仓储使用)'!$A1345,allorders!$AG:$AG,"&lt;="&amp;日期!$B$2,allorders!$AG:$AG,"&gt;="&amp;日期!$B$1)</f>
        <v>0</v>
      </c>
      <c r="C1345">
        <f>B1345/(日期!$B$2-日期!$B$1+1)</f>
        <v>0</v>
      </c>
    </row>
    <row r="1346" spans="2:3">
      <c r="B1346">
        <f>SUMIFS(allorders!O:O,allorders!L:L,'数据处理(仓储使用)'!$A1346,allorders!$AG:$AG,"&lt;="&amp;日期!$B$2,allorders!$AG:$AG,"&gt;="&amp;日期!$B$1)</f>
        <v>0</v>
      </c>
      <c r="C1346">
        <f>B1346/(日期!$B$2-日期!$B$1+1)</f>
        <v>0</v>
      </c>
    </row>
    <row r="1347" spans="2:3">
      <c r="B1347">
        <f>SUMIFS(allorders!O:O,allorders!L:L,'数据处理(仓储使用)'!$A1347,allorders!$AG:$AG,"&lt;="&amp;日期!$B$2,allorders!$AG:$AG,"&gt;="&amp;日期!$B$1)</f>
        <v>0</v>
      </c>
      <c r="C1347">
        <f>B1347/(日期!$B$2-日期!$B$1+1)</f>
        <v>0</v>
      </c>
    </row>
    <row r="1348" spans="2:3">
      <c r="B1348">
        <f>SUMIFS(allorders!O:O,allorders!L:L,'数据处理(仓储使用)'!$A1348,allorders!$AG:$AG,"&lt;="&amp;日期!$B$2,allorders!$AG:$AG,"&gt;="&amp;日期!$B$1)</f>
        <v>0</v>
      </c>
      <c r="C1348">
        <f>B1348/(日期!$B$2-日期!$B$1+1)</f>
        <v>0</v>
      </c>
    </row>
    <row r="1349" spans="2:3">
      <c r="B1349">
        <f>SUMIFS(allorders!O:O,allorders!L:L,'数据处理(仓储使用)'!$A1349,allorders!$AG:$AG,"&lt;="&amp;日期!$B$2,allorders!$AG:$AG,"&gt;="&amp;日期!$B$1)</f>
        <v>0</v>
      </c>
      <c r="C1349">
        <f>B1349/(日期!$B$2-日期!$B$1+1)</f>
        <v>0</v>
      </c>
    </row>
    <row r="1350" spans="2:3">
      <c r="B1350">
        <f>SUMIFS(allorders!O:O,allorders!L:L,'数据处理(仓储使用)'!$A1350,allorders!$AG:$AG,"&lt;="&amp;日期!$B$2,allorders!$AG:$AG,"&gt;="&amp;日期!$B$1)</f>
        <v>0</v>
      </c>
      <c r="C1350">
        <f>B1350/(日期!$B$2-日期!$B$1+1)</f>
        <v>0</v>
      </c>
    </row>
    <row r="1351" spans="2:3">
      <c r="B1351">
        <f>SUMIFS(allorders!O:O,allorders!L:L,'数据处理(仓储使用)'!$A1351,allorders!$AG:$AG,"&lt;="&amp;日期!$B$2,allorders!$AG:$AG,"&gt;="&amp;日期!$B$1)</f>
        <v>0</v>
      </c>
      <c r="C1351">
        <f>B1351/(日期!$B$2-日期!$B$1+1)</f>
        <v>0</v>
      </c>
    </row>
    <row r="1352" spans="2:3">
      <c r="B1352">
        <f>SUMIFS(allorders!O:O,allorders!L:L,'数据处理(仓储使用)'!$A1352,allorders!$AG:$AG,"&lt;="&amp;日期!$B$2,allorders!$AG:$AG,"&gt;="&amp;日期!$B$1)</f>
        <v>0</v>
      </c>
      <c r="C1352">
        <f>B1352/(日期!$B$2-日期!$B$1+1)</f>
        <v>0</v>
      </c>
    </row>
  </sheetData>
  <pageMargins left="0.699305555555556" right="0.699305555555556" top="0.75" bottom="0.75" header="0.3" footer="0.3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I171"/>
  <sheetViews>
    <sheetView workbookViewId="0">
      <selection activeCell="B3" sqref="B3:I94"/>
    </sheetView>
  </sheetViews>
  <sheetFormatPr defaultColWidth="9" defaultRowHeight="14.25"/>
  <cols>
    <col min="1" max="2" width="22.5" customWidth="1"/>
    <col min="7" max="7" width="12.625"/>
    <col min="9" max="9" width="12.625"/>
  </cols>
  <sheetData>
    <row r="1" spans="1:9">
      <c r="A1" t="s">
        <v>11</v>
      </c>
      <c r="B1" t="s">
        <v>1134</v>
      </c>
      <c r="C1" t="s">
        <v>1135</v>
      </c>
      <c r="D1" t="s">
        <v>1136</v>
      </c>
      <c r="E1" t="s">
        <v>1137</v>
      </c>
      <c r="F1" t="s">
        <v>1138</v>
      </c>
      <c r="G1" t="s">
        <v>1139</v>
      </c>
      <c r="H1" t="s">
        <v>1140</v>
      </c>
      <c r="I1" t="s">
        <v>1141</v>
      </c>
    </row>
    <row r="2" s="8" customFormat="1" spans="1:6">
      <c r="A2" s="8" t="s">
        <v>1133</v>
      </c>
      <c r="C2" s="8">
        <f>SUM(C3:C5000)</f>
        <v>64</v>
      </c>
      <c r="D2" s="8">
        <f>SUM(D3:D5000)</f>
        <v>33</v>
      </c>
      <c r="E2" s="8">
        <f>SUM(E3:E5000)</f>
        <v>32</v>
      </c>
      <c r="F2" s="8">
        <f>SUM(F3:F5000)</f>
        <v>39</v>
      </c>
    </row>
    <row r="3" spans="1:9">
      <c r="A3" s="9" t="s">
        <v>41</v>
      </c>
      <c r="B3" t="str">
        <f>VLOOKUP(A3,'[1]子sku-父sku'!$A:$B,2,0)</f>
        <v>N531Y</v>
      </c>
      <c r="C3">
        <f>SUMIFS(allorders!O:O,allorders!L:L,$A3,allorders!AG:AG,"&lt;="&amp;日期!$B$5,allorders!AG:AG,"&gt;="&amp;日期!$B$6)</f>
        <v>0</v>
      </c>
      <c r="D3">
        <f>SUMIFS(allorders!$O:$O,allorders!$L:$L,$A3,allorders!$AG:$AG,"&lt;="&amp;日期!$B$7,allorders!$AG:$AG,"&gt;="&amp;日期!$B$8)</f>
        <v>0</v>
      </c>
      <c r="E3">
        <f>SUMIFS(allorders!$O:$O,allorders!$L:$L,$A3,allorders!$AG:$AG,"&lt;="&amp;日期!$B$9,allorders!$AG:$AG,"&gt;="&amp;日期!$B$10)</f>
        <v>0</v>
      </c>
      <c r="F3">
        <f>SUMIFS(allorders!$O:$O,allorders!$L:$L,$A3,allorders!$AG:$AG,"&lt;="&amp;日期!$B$11,allorders!$AG:$AG,"&gt;="&amp;日期!$B$12)</f>
        <v>1</v>
      </c>
      <c r="G3">
        <f>SUMIFS(allorders!Q:Q,allorders!L:L,A3,allorders!AG:AG,"&lt;="&amp;日期!$B$5,allorders!AG:AG,"&gt;="&amp;日期!$B$12)/SUM(C3:F3)</f>
        <v>12.99</v>
      </c>
      <c r="H3">
        <f>SUMIFS(allorders!Q:Q,allorders!L:L,A3,allorders!AG:AG,"&gt;="&amp;日期!$B$12,allorders!AG:AG,"&lt;="&amp;日期!$B$5)</f>
        <v>12.99</v>
      </c>
      <c r="I3">
        <f t="shared" ref="I3:I66" si="0">SUM(C3:F3)</f>
        <v>1</v>
      </c>
    </row>
    <row r="4" spans="1:9">
      <c r="A4" s="9" t="s">
        <v>52</v>
      </c>
      <c r="B4" t="str">
        <f>VLOOKUP(A4,'[1]子sku-父sku'!$A:$B,2,0)</f>
        <v>N31459Y</v>
      </c>
      <c r="C4">
        <f>SUMIFS(allorders!O:O,allorders!L:L,$A4,allorders!AG:AG,"&lt;="&amp;日期!$B$5,allorders!AG:AG,"&gt;="&amp;日期!$B$6)</f>
        <v>0</v>
      </c>
      <c r="D4">
        <f>SUMIFS(allorders!$O:$O,allorders!$L:$L,$A4,allorders!$AG:$AG,"&lt;="&amp;日期!$B$7,allorders!$AG:$AG,"&gt;="&amp;日期!$B$8)</f>
        <v>0</v>
      </c>
      <c r="E4">
        <f>SUMIFS(allorders!$O:$O,allorders!$L:$L,$A4,allorders!$AG:$AG,"&lt;="&amp;日期!$B$9,allorders!$AG:$AG,"&gt;="&amp;日期!$B$10)</f>
        <v>0</v>
      </c>
      <c r="F4">
        <f>SUMIFS(allorders!$O:$O,allorders!$L:$L,$A4,allorders!$AG:$AG,"&lt;="&amp;日期!$B$11,allorders!$AG:$AG,"&gt;="&amp;日期!$B$12)</f>
        <v>1</v>
      </c>
      <c r="G4">
        <f>SUMIFS(allorders!Q:Q,allorders!L:L,A4,allorders!AG:AG,"&lt;="&amp;日期!$B$5,allorders!AG:AG,"&gt;="&amp;日期!$B$12)/SUM(C4:F4)</f>
        <v>13.9</v>
      </c>
      <c r="H4">
        <f>SUMIFS(allorders!Q:Q,allorders!L:L,A4,allorders!AG:AG,"&gt;="&amp;日期!$B$12,allorders!AG:AG,"&lt;="&amp;日期!$B$5)</f>
        <v>13.9</v>
      </c>
      <c r="I4">
        <f t="shared" si="0"/>
        <v>1</v>
      </c>
    </row>
    <row r="5" spans="1:9">
      <c r="A5" s="9" t="s">
        <v>61</v>
      </c>
      <c r="B5" t="str">
        <f>VLOOKUP(A5,'[1]子sku-父sku'!$A:$B,2,0)</f>
        <v>N039Y</v>
      </c>
      <c r="C5">
        <f>SUMIFS(allorders!O:O,allorders!L:L,$A5,allorders!AG:AG,"&lt;="&amp;日期!$B$5,allorders!AG:AG,"&gt;="&amp;日期!$B$6)</f>
        <v>0</v>
      </c>
      <c r="D5">
        <f>SUMIFS(allorders!$O:$O,allorders!$L:$L,$A5,allorders!$AG:$AG,"&lt;="&amp;日期!$B$7,allorders!$AG:$AG,"&gt;="&amp;日期!$B$8)</f>
        <v>0</v>
      </c>
      <c r="E5">
        <f>SUMIFS(allorders!$O:$O,allorders!$L:$L,$A5,allorders!$AG:$AG,"&lt;="&amp;日期!$B$9,allorders!$AG:$AG,"&gt;="&amp;日期!$B$10)</f>
        <v>0</v>
      </c>
      <c r="F5">
        <f>SUMIFS(allorders!$O:$O,allorders!$L:$L,$A5,allorders!$AG:$AG,"&lt;="&amp;日期!$B$11,allorders!$AG:$AG,"&gt;="&amp;日期!$B$12)</f>
        <v>1</v>
      </c>
      <c r="G5">
        <f>SUMIFS(allorders!Q:Q,allorders!L:L,A5,allorders!AG:AG,"&lt;="&amp;日期!$B$5,allorders!AG:AG,"&gt;="&amp;日期!$B$12)/SUM(C5:F5)</f>
        <v>9.99</v>
      </c>
      <c r="H5">
        <f>SUMIFS(allorders!Q:Q,allorders!L:L,A5,allorders!AG:AG,"&gt;="&amp;日期!$B$12,allorders!AG:AG,"&lt;="&amp;日期!$B$5)</f>
        <v>9.99</v>
      </c>
      <c r="I5">
        <f t="shared" si="0"/>
        <v>1</v>
      </c>
    </row>
    <row r="6" spans="1:9">
      <c r="A6" s="9" t="s">
        <v>67</v>
      </c>
      <c r="B6" t="str">
        <f>VLOOKUP(A6,'[1]子sku-父sku'!$A:$B,2,0)</f>
        <v>N039Y</v>
      </c>
      <c r="C6">
        <f>SUMIFS(allorders!O:O,allorders!L:L,$A6,allorders!AG:AG,"&lt;="&amp;日期!$B$5,allorders!AG:AG,"&gt;="&amp;日期!$B$6)</f>
        <v>1</v>
      </c>
      <c r="D6">
        <f>SUMIFS(allorders!$O:$O,allorders!$L:$L,$A6,allorders!$AG:$AG,"&lt;="&amp;日期!$B$7,allorders!$AG:$AG,"&gt;="&amp;日期!$B$8)</f>
        <v>0</v>
      </c>
      <c r="E6">
        <f>SUMIFS(allorders!$O:$O,allorders!$L:$L,$A6,allorders!$AG:$AG,"&lt;="&amp;日期!$B$9,allorders!$AG:$AG,"&gt;="&amp;日期!$B$10)</f>
        <v>1</v>
      </c>
      <c r="F6">
        <f>SUMIFS(allorders!$O:$O,allorders!$L:$L,$A6,allorders!$AG:$AG,"&lt;="&amp;日期!$B$11,allorders!$AG:$AG,"&gt;="&amp;日期!$B$12)</f>
        <v>1</v>
      </c>
      <c r="G6">
        <f>SUMIFS(allorders!Q:Q,allorders!L:L,A6,allorders!AG:AG,"&lt;="&amp;日期!$B$5,allorders!AG:AG,"&gt;="&amp;日期!$B$12)/SUM(C6:F6)</f>
        <v>7.8</v>
      </c>
      <c r="H6">
        <f>SUMIFS(allorders!Q:Q,allorders!L:L,A6,allorders!AG:AG,"&gt;="&amp;日期!$B$12,allorders!AG:AG,"&lt;="&amp;日期!$B$5)</f>
        <v>23.4</v>
      </c>
      <c r="I6">
        <f t="shared" si="0"/>
        <v>3</v>
      </c>
    </row>
    <row r="7" spans="1:9">
      <c r="A7" s="9" t="s">
        <v>74</v>
      </c>
      <c r="B7" t="str">
        <f>VLOOKUP(A7,'[1]子sku-父sku'!$A:$B,2,0)</f>
        <v>N039Y</v>
      </c>
      <c r="C7">
        <f>SUMIFS(allorders!O:O,allorders!L:L,$A7,allorders!AG:AG,"&lt;="&amp;日期!$B$5,allorders!AG:AG,"&gt;="&amp;日期!$B$6)</f>
        <v>1</v>
      </c>
      <c r="D7">
        <f>SUMIFS(allorders!$O:$O,allorders!$L:$L,$A7,allorders!$AG:$AG,"&lt;="&amp;日期!$B$7,allorders!$AG:$AG,"&gt;="&amp;日期!$B$8)</f>
        <v>0</v>
      </c>
      <c r="E7">
        <f>SUMIFS(allorders!$O:$O,allorders!$L:$L,$A7,allorders!$AG:$AG,"&lt;="&amp;日期!$B$9,allorders!$AG:$AG,"&gt;="&amp;日期!$B$10)</f>
        <v>1</v>
      </c>
      <c r="F7">
        <f>SUMIFS(allorders!$O:$O,allorders!$L:$L,$A7,allorders!$AG:$AG,"&lt;="&amp;日期!$B$11,allorders!$AG:$AG,"&gt;="&amp;日期!$B$12)</f>
        <v>1</v>
      </c>
      <c r="G7">
        <f>SUMIFS(allorders!Q:Q,allorders!L:L,A7,allorders!AG:AG,"&lt;="&amp;日期!$B$5,allorders!AG:AG,"&gt;="&amp;日期!$B$12)/SUM(C7:F7)</f>
        <v>9.99</v>
      </c>
      <c r="H7">
        <f>SUMIFS(allorders!Q:Q,allorders!L:L,A7,allorders!AG:AG,"&gt;="&amp;日期!$B$12,allorders!AG:AG,"&lt;="&amp;日期!$B$5)</f>
        <v>29.97</v>
      </c>
      <c r="I7">
        <f t="shared" si="0"/>
        <v>3</v>
      </c>
    </row>
    <row r="8" spans="1:9">
      <c r="A8" s="9" t="s">
        <v>85</v>
      </c>
      <c r="B8" t="str">
        <f>VLOOKUP(A8,'[1]子sku-父sku'!$A:$B,2,0)</f>
        <v>KTKXJFK</v>
      </c>
      <c r="C8">
        <f>SUMIFS(allorders!O:O,allorders!L:L,$A8,allorders!AG:AG,"&lt;="&amp;日期!$B$5,allorders!AG:AG,"&gt;="&amp;日期!$B$6)</f>
        <v>0</v>
      </c>
      <c r="D8">
        <f>SUMIFS(allorders!$O:$O,allorders!$L:$L,$A8,allorders!$AG:$AG,"&lt;="&amp;日期!$B$7,allorders!$AG:$AG,"&gt;="&amp;日期!$B$8)</f>
        <v>0</v>
      </c>
      <c r="E8">
        <f>SUMIFS(allorders!$O:$O,allorders!$L:$L,$A8,allorders!$AG:$AG,"&lt;="&amp;日期!$B$9,allorders!$AG:$AG,"&gt;="&amp;日期!$B$10)</f>
        <v>1</v>
      </c>
      <c r="F8">
        <f>SUMIFS(allorders!$O:$O,allorders!$L:$L,$A8,allorders!$AG:$AG,"&lt;="&amp;日期!$B$11,allorders!$AG:$AG,"&gt;="&amp;日期!$B$12)</f>
        <v>1</v>
      </c>
      <c r="G8">
        <f>SUMIFS(allorders!Q:Q,allorders!L:L,A8,allorders!AG:AG,"&lt;="&amp;日期!$B$5,allorders!AG:AG,"&gt;="&amp;日期!$B$12)/SUM(C8:F8)</f>
        <v>14.95</v>
      </c>
      <c r="H8">
        <f>SUMIFS(allorders!Q:Q,allorders!L:L,A8,allorders!AG:AG,"&gt;="&amp;日期!$B$12,allorders!AG:AG,"&lt;="&amp;日期!$B$5)</f>
        <v>29.9</v>
      </c>
      <c r="I8">
        <f t="shared" si="0"/>
        <v>2</v>
      </c>
    </row>
    <row r="9" spans="1:9">
      <c r="A9" s="9" t="s">
        <v>90</v>
      </c>
      <c r="B9" t="str">
        <f>VLOOKUP(A9,'[1]子sku-父sku'!$A:$B,2,0)</f>
        <v>KTKXJFK</v>
      </c>
      <c r="C9">
        <f>SUMIFS(allorders!O:O,allorders!L:L,$A9,allorders!AG:AG,"&lt;="&amp;日期!$B$5,allorders!AG:AG,"&gt;="&amp;日期!$B$6)</f>
        <v>0</v>
      </c>
      <c r="D9">
        <f>SUMIFS(allorders!$O:$O,allorders!$L:$L,$A9,allorders!$AG:$AG,"&lt;="&amp;日期!$B$7,allorders!$AG:$AG,"&gt;="&amp;日期!$B$8)</f>
        <v>0</v>
      </c>
      <c r="E9">
        <f>SUMIFS(allorders!$O:$O,allorders!$L:$L,$A9,allorders!$AG:$AG,"&lt;="&amp;日期!$B$9,allorders!$AG:$AG,"&gt;="&amp;日期!$B$10)</f>
        <v>0</v>
      </c>
      <c r="F9">
        <f>SUMIFS(allorders!$O:$O,allorders!$L:$L,$A9,allorders!$AG:$AG,"&lt;="&amp;日期!$B$11,allorders!$AG:$AG,"&gt;="&amp;日期!$B$12)</f>
        <v>1</v>
      </c>
      <c r="G9">
        <f>SUMIFS(allorders!Q:Q,allorders!L:L,A9,allorders!AG:AG,"&lt;="&amp;日期!$B$5,allorders!AG:AG,"&gt;="&amp;日期!$B$12)/SUM(C9:F9)</f>
        <v>29.9</v>
      </c>
      <c r="H9">
        <f>SUMIFS(allorders!Q:Q,allorders!L:L,A9,allorders!AG:AG,"&gt;="&amp;日期!$B$12,allorders!AG:AG,"&lt;="&amp;日期!$B$5)</f>
        <v>29.9</v>
      </c>
      <c r="I9">
        <f t="shared" si="0"/>
        <v>1</v>
      </c>
    </row>
    <row r="10" spans="1:9">
      <c r="A10" s="9" t="s">
        <v>96</v>
      </c>
      <c r="B10" t="str">
        <f>VLOOKUP(A10,'[1]子sku-父sku'!$A:$B,2,0)</f>
        <v>NY-B15016</v>
      </c>
      <c r="C10">
        <f>SUMIFS(allorders!O:O,allorders!L:L,$A10,allorders!AG:AG,"&lt;="&amp;日期!$B$5,allorders!AG:AG,"&gt;="&amp;日期!$B$6)</f>
        <v>0</v>
      </c>
      <c r="D10">
        <f>SUMIFS(allorders!$O:$O,allorders!$L:$L,$A10,allorders!$AG:$AG,"&lt;="&amp;日期!$B$7,allorders!$AG:$AG,"&gt;="&amp;日期!$B$8)</f>
        <v>0</v>
      </c>
      <c r="E10">
        <f>SUMIFS(allorders!$O:$O,allorders!$L:$L,$A10,allorders!$AG:$AG,"&lt;="&amp;日期!$B$9,allorders!$AG:$AG,"&gt;="&amp;日期!$B$10)</f>
        <v>0</v>
      </c>
      <c r="F10">
        <f>SUMIFS(allorders!$O:$O,allorders!$L:$L,$A10,allorders!$AG:$AG,"&lt;="&amp;日期!$B$11,allorders!$AG:$AG,"&gt;="&amp;日期!$B$12)</f>
        <v>1</v>
      </c>
      <c r="G10">
        <f>SUMIFS(allorders!Q:Q,allorders!L:L,A10,allorders!AG:AG,"&lt;="&amp;日期!$B$5,allorders!AG:AG,"&gt;="&amp;日期!$B$12)/SUM(C10:F10)</f>
        <v>18.99</v>
      </c>
      <c r="H10">
        <f>SUMIFS(allorders!Q:Q,allorders!L:L,A10,allorders!AG:AG,"&gt;="&amp;日期!$B$12,allorders!AG:AG,"&lt;="&amp;日期!$B$5)</f>
        <v>18.99</v>
      </c>
      <c r="I10">
        <f t="shared" si="0"/>
        <v>1</v>
      </c>
    </row>
    <row r="11" spans="1:9">
      <c r="A11" s="9" t="s">
        <v>105</v>
      </c>
      <c r="B11" t="str">
        <f>VLOOKUP(A11,'[1]子sku-父sku'!$A:$B,2,0)</f>
        <v>N9383Y</v>
      </c>
      <c r="C11">
        <f>SUMIFS(allorders!O:O,allorders!L:L,$A11,allorders!AG:AG,"&lt;="&amp;日期!$B$5,allorders!AG:AG,"&gt;="&amp;日期!$B$6)</f>
        <v>0</v>
      </c>
      <c r="D11">
        <f>SUMIFS(allorders!$O:$O,allorders!$L:$L,$A11,allorders!$AG:$AG,"&lt;="&amp;日期!$B$7,allorders!$AG:$AG,"&gt;="&amp;日期!$B$8)</f>
        <v>0</v>
      </c>
      <c r="E11">
        <f>SUMIFS(allorders!$O:$O,allorders!$L:$L,$A11,allorders!$AG:$AG,"&lt;="&amp;日期!$B$9,allorders!$AG:$AG,"&gt;="&amp;日期!$B$10)</f>
        <v>0</v>
      </c>
      <c r="F11">
        <f>SUMIFS(allorders!$O:$O,allorders!$L:$L,$A11,allorders!$AG:$AG,"&lt;="&amp;日期!$B$11,allorders!$AG:$AG,"&gt;="&amp;日期!$B$12)</f>
        <v>1</v>
      </c>
      <c r="G11">
        <f>SUMIFS(allorders!Q:Q,allorders!L:L,A11,allorders!AG:AG,"&lt;="&amp;日期!$B$5,allorders!AG:AG,"&gt;="&amp;日期!$B$12)/SUM(C11:F11)</f>
        <v>13.9</v>
      </c>
      <c r="H11">
        <f>SUMIFS(allorders!Q:Q,allorders!L:L,A11,allorders!AG:AG,"&gt;="&amp;日期!$B$12,allorders!AG:AG,"&lt;="&amp;日期!$B$5)</f>
        <v>13.9</v>
      </c>
      <c r="I11">
        <f t="shared" si="0"/>
        <v>1</v>
      </c>
    </row>
    <row r="12" spans="1:9">
      <c r="A12" s="9" t="s">
        <v>115</v>
      </c>
      <c r="B12" t="str">
        <f>VLOOKUP(A12,'[1]子sku-父sku'!$A:$B,2,0)</f>
        <v>N9383Y</v>
      </c>
      <c r="C12">
        <f>SUMIFS(allorders!O:O,allorders!L:L,$A12,allorders!AG:AG,"&lt;="&amp;日期!$B$5,allorders!AG:AG,"&gt;="&amp;日期!$B$6)</f>
        <v>0</v>
      </c>
      <c r="D12">
        <f>SUMIFS(allorders!$O:$O,allorders!$L:$L,$A12,allorders!$AG:$AG,"&lt;="&amp;日期!$B$7,allorders!$AG:$AG,"&gt;="&amp;日期!$B$8)</f>
        <v>0</v>
      </c>
      <c r="E12">
        <f>SUMIFS(allorders!$O:$O,allorders!$L:$L,$A12,allorders!$AG:$AG,"&lt;="&amp;日期!$B$9,allorders!$AG:$AG,"&gt;="&amp;日期!$B$10)</f>
        <v>0</v>
      </c>
      <c r="F12">
        <f>SUMIFS(allorders!$O:$O,allorders!$L:$L,$A12,allorders!$AG:$AG,"&lt;="&amp;日期!$B$11,allorders!$AG:$AG,"&gt;="&amp;日期!$B$12)</f>
        <v>1</v>
      </c>
      <c r="G12">
        <f>SUMIFS(allorders!Q:Q,allorders!L:L,A12,allorders!AG:AG,"&lt;="&amp;日期!$B$5,allorders!AG:AG,"&gt;="&amp;日期!$B$12)/SUM(C12:F12)</f>
        <v>13.9</v>
      </c>
      <c r="H12">
        <f>SUMIFS(allorders!Q:Q,allorders!L:L,A12,allorders!AG:AG,"&gt;="&amp;日期!$B$12,allorders!AG:AG,"&lt;="&amp;日期!$B$5)</f>
        <v>13.9</v>
      </c>
      <c r="I12">
        <f t="shared" si="0"/>
        <v>1</v>
      </c>
    </row>
    <row r="13" spans="1:9">
      <c r="A13" s="9" t="s">
        <v>125</v>
      </c>
      <c r="B13" t="str">
        <f>VLOOKUP(A13,'[1]子sku-父sku'!$A:$B,2,0)</f>
        <v>N31459Y</v>
      </c>
      <c r="C13">
        <f>SUMIFS(allorders!O:O,allorders!L:L,$A13,allorders!AG:AG,"&lt;="&amp;日期!$B$5,allorders!AG:AG,"&gt;="&amp;日期!$B$6)</f>
        <v>0</v>
      </c>
      <c r="D13">
        <f>SUMIFS(allorders!$O:$O,allorders!$L:$L,$A13,allorders!$AG:$AG,"&lt;="&amp;日期!$B$7,allorders!$AG:$AG,"&gt;="&amp;日期!$B$8)</f>
        <v>0</v>
      </c>
      <c r="E13">
        <f>SUMIFS(allorders!$O:$O,allorders!$L:$L,$A13,allorders!$AG:$AG,"&lt;="&amp;日期!$B$9,allorders!$AG:$AG,"&gt;="&amp;日期!$B$10)</f>
        <v>0</v>
      </c>
      <c r="F13">
        <f>SUMIFS(allorders!$O:$O,allorders!$L:$L,$A13,allorders!$AG:$AG,"&lt;="&amp;日期!$B$11,allorders!$AG:$AG,"&gt;="&amp;日期!$B$12)</f>
        <v>1</v>
      </c>
      <c r="G13">
        <f>SUMIFS(allorders!Q:Q,allorders!L:L,A13,allorders!AG:AG,"&lt;="&amp;日期!$B$5,allorders!AG:AG,"&gt;="&amp;日期!$B$12)/SUM(C13:F13)</f>
        <v>13.9</v>
      </c>
      <c r="H13">
        <f>SUMIFS(allorders!Q:Q,allorders!L:L,A13,allorders!AG:AG,"&gt;="&amp;日期!$B$12,allorders!AG:AG,"&lt;="&amp;日期!$B$5)</f>
        <v>13.9</v>
      </c>
      <c r="I13">
        <f t="shared" si="0"/>
        <v>1</v>
      </c>
    </row>
    <row r="14" spans="1:9">
      <c r="A14" s="9" t="s">
        <v>134</v>
      </c>
      <c r="B14" t="str">
        <f>VLOOKUP(A14,'[1]子sku-父sku'!$A:$B,2,0)</f>
        <v>JBL-QFFM</v>
      </c>
      <c r="C14">
        <f>SUMIFS(allorders!O:O,allorders!L:L,$A14,allorders!AG:AG,"&lt;="&amp;日期!$B$5,allorders!AG:AG,"&gt;="&amp;日期!$B$6)</f>
        <v>0</v>
      </c>
      <c r="D14">
        <f>SUMIFS(allorders!$O:$O,allorders!$L:$L,$A14,allorders!$AG:$AG,"&lt;="&amp;日期!$B$7,allorders!$AG:$AG,"&gt;="&amp;日期!$B$8)</f>
        <v>0</v>
      </c>
      <c r="E14">
        <f>SUMIFS(allorders!$O:$O,allorders!$L:$L,$A14,allorders!$AG:$AG,"&lt;="&amp;日期!$B$9,allorders!$AG:$AG,"&gt;="&amp;日期!$B$10)</f>
        <v>1</v>
      </c>
      <c r="F14">
        <f>SUMIFS(allorders!$O:$O,allorders!$L:$L,$A14,allorders!$AG:$AG,"&lt;="&amp;日期!$B$11,allorders!$AG:$AG,"&gt;="&amp;日期!$B$12)</f>
        <v>1</v>
      </c>
      <c r="G14">
        <f>SUMIFS(allorders!Q:Q,allorders!L:L,A14,allorders!AG:AG,"&lt;="&amp;日期!$B$5,allorders!AG:AG,"&gt;="&amp;日期!$B$12)/SUM(C14:F14)</f>
        <v>10.45</v>
      </c>
      <c r="H14">
        <f>SUMIFS(allorders!Q:Q,allorders!L:L,A14,allorders!AG:AG,"&gt;="&amp;日期!$B$12,allorders!AG:AG,"&lt;="&amp;日期!$B$5)</f>
        <v>20.9</v>
      </c>
      <c r="I14">
        <f t="shared" si="0"/>
        <v>2</v>
      </c>
    </row>
    <row r="15" spans="1:9">
      <c r="A15" s="9" t="s">
        <v>143</v>
      </c>
      <c r="B15" t="str">
        <f>VLOOKUP(A15,'[1]子sku-父sku'!$A:$B,2,0)</f>
        <v>JBL-QFFM</v>
      </c>
      <c r="C15">
        <f>SUMIFS(allorders!O:O,allorders!L:L,$A15,allorders!AG:AG,"&lt;="&amp;日期!$B$5,allorders!AG:AG,"&gt;="&amp;日期!$B$6)</f>
        <v>0</v>
      </c>
      <c r="D15">
        <f>SUMIFS(allorders!$O:$O,allorders!$L:$L,$A15,allorders!$AG:$AG,"&lt;="&amp;日期!$B$7,allorders!$AG:$AG,"&gt;="&amp;日期!$B$8)</f>
        <v>0</v>
      </c>
      <c r="E15">
        <f>SUMIFS(allorders!$O:$O,allorders!$L:$L,$A15,allorders!$AG:$AG,"&lt;="&amp;日期!$B$9,allorders!$AG:$AG,"&gt;="&amp;日期!$B$10)</f>
        <v>1</v>
      </c>
      <c r="F15">
        <f>SUMIFS(allorders!$O:$O,allorders!$L:$L,$A15,allorders!$AG:$AG,"&lt;="&amp;日期!$B$11,allorders!$AG:$AG,"&gt;="&amp;日期!$B$12)</f>
        <v>1</v>
      </c>
      <c r="G15">
        <f>SUMIFS(allorders!Q:Q,allorders!L:L,A15,allorders!AG:AG,"&lt;="&amp;日期!$B$5,allorders!AG:AG,"&gt;="&amp;日期!$B$12)/SUM(C15:F15)</f>
        <v>20.9</v>
      </c>
      <c r="H15">
        <f>SUMIFS(allorders!Q:Q,allorders!L:L,A15,allorders!AG:AG,"&gt;="&amp;日期!$B$12,allorders!AG:AG,"&lt;="&amp;日期!$B$5)</f>
        <v>41.8</v>
      </c>
      <c r="I15">
        <f t="shared" si="0"/>
        <v>2</v>
      </c>
    </row>
    <row r="16" spans="1:9">
      <c r="A16" s="9" t="s">
        <v>149</v>
      </c>
      <c r="B16" t="str">
        <f>VLOOKUP(A16,'[1]子sku-父sku'!$A:$B,2,0)</f>
        <v>NY-B15016</v>
      </c>
      <c r="C16">
        <f>SUMIFS(allorders!O:O,allorders!L:L,$A16,allorders!AG:AG,"&lt;="&amp;日期!$B$5,allorders!AG:AG,"&gt;="&amp;日期!$B$6)</f>
        <v>2</v>
      </c>
      <c r="D16">
        <f>SUMIFS(allorders!$O:$O,allorders!$L:$L,$A16,allorders!$AG:$AG,"&lt;="&amp;日期!$B$7,allorders!$AG:$AG,"&gt;="&amp;日期!$B$8)</f>
        <v>0</v>
      </c>
      <c r="E16">
        <f>SUMIFS(allorders!$O:$O,allorders!$L:$L,$A16,allorders!$AG:$AG,"&lt;="&amp;日期!$B$9,allorders!$AG:$AG,"&gt;="&amp;日期!$B$10)</f>
        <v>0</v>
      </c>
      <c r="F16">
        <f>SUMIFS(allorders!$O:$O,allorders!$L:$L,$A16,allorders!$AG:$AG,"&lt;="&amp;日期!$B$11,allorders!$AG:$AG,"&gt;="&amp;日期!$B$12)</f>
        <v>1</v>
      </c>
      <c r="G16">
        <f>SUMIFS(allorders!Q:Q,allorders!L:L,A16,allorders!AG:AG,"&lt;="&amp;日期!$B$5,allorders!AG:AG,"&gt;="&amp;日期!$B$12)/SUM(C16:F16)</f>
        <v>18.99</v>
      </c>
      <c r="H16">
        <f>SUMIFS(allorders!Q:Q,allorders!L:L,A16,allorders!AG:AG,"&gt;="&amp;日期!$B$12,allorders!AG:AG,"&lt;="&amp;日期!$B$5)</f>
        <v>56.97</v>
      </c>
      <c r="I16">
        <f t="shared" si="0"/>
        <v>3</v>
      </c>
    </row>
    <row r="17" spans="1:9">
      <c r="A17" s="9" t="s">
        <v>157</v>
      </c>
      <c r="B17" t="str">
        <f>VLOOKUP(A17,'[1]子sku-父sku'!$A:$B,2,0)</f>
        <v>N31459Y</v>
      </c>
      <c r="C17">
        <f>SUMIFS(allorders!O:O,allorders!L:L,$A17,allorders!AG:AG,"&lt;="&amp;日期!$B$5,allorders!AG:AG,"&gt;="&amp;日期!$B$6)</f>
        <v>0</v>
      </c>
      <c r="D17">
        <f>SUMIFS(allorders!$O:$O,allorders!$L:$L,$A17,allorders!$AG:$AG,"&lt;="&amp;日期!$B$7,allorders!$AG:$AG,"&gt;="&amp;日期!$B$8)</f>
        <v>0</v>
      </c>
      <c r="E17">
        <f>SUMIFS(allorders!$O:$O,allorders!$L:$L,$A17,allorders!$AG:$AG,"&lt;="&amp;日期!$B$9,allorders!$AG:$AG,"&gt;="&amp;日期!$B$10)</f>
        <v>0</v>
      </c>
      <c r="F17">
        <f>SUMIFS(allorders!$O:$O,allorders!$L:$L,$A17,allorders!$AG:$AG,"&lt;="&amp;日期!$B$11,allorders!$AG:$AG,"&gt;="&amp;日期!$B$12)</f>
        <v>1</v>
      </c>
      <c r="G17">
        <f>SUMIFS(allorders!Q:Q,allorders!L:L,A17,allorders!AG:AG,"&lt;="&amp;日期!$B$5,allorders!AG:AG,"&gt;="&amp;日期!$B$12)/SUM(C17:F17)</f>
        <v>13.9</v>
      </c>
      <c r="H17">
        <f>SUMIFS(allorders!Q:Q,allorders!L:L,A17,allorders!AG:AG,"&gt;="&amp;日期!$B$12,allorders!AG:AG,"&lt;="&amp;日期!$B$5)</f>
        <v>13.9</v>
      </c>
      <c r="I17">
        <f t="shared" si="0"/>
        <v>1</v>
      </c>
    </row>
    <row r="18" spans="1:9">
      <c r="A18" s="9" t="s">
        <v>166</v>
      </c>
      <c r="B18" t="str">
        <f>VLOOKUP(A18,'[1]子sku-父sku'!$A:$B,2,0)</f>
        <v>N2082Y</v>
      </c>
      <c r="C18">
        <f>SUMIFS(allorders!O:O,allorders!L:L,$A18,allorders!AG:AG,"&lt;="&amp;日期!$B$5,allorders!AG:AG,"&gt;="&amp;日期!$B$6)</f>
        <v>0</v>
      </c>
      <c r="D18">
        <f>SUMIFS(allorders!$O:$O,allorders!$L:$L,$A18,allorders!$AG:$AG,"&lt;="&amp;日期!$B$7,allorders!$AG:$AG,"&gt;="&amp;日期!$B$8)</f>
        <v>0</v>
      </c>
      <c r="E18">
        <f>SUMIFS(allorders!$O:$O,allorders!$L:$L,$A18,allorders!$AG:$AG,"&lt;="&amp;日期!$B$9,allorders!$AG:$AG,"&gt;="&amp;日期!$B$10)</f>
        <v>0</v>
      </c>
      <c r="F18">
        <f>SUMIFS(allorders!$O:$O,allorders!$L:$L,$A18,allorders!$AG:$AG,"&lt;="&amp;日期!$B$11,allorders!$AG:$AG,"&gt;="&amp;日期!$B$12)</f>
        <v>1</v>
      </c>
      <c r="G18">
        <f>SUMIFS(allorders!Q:Q,allorders!L:L,A18,allorders!AG:AG,"&lt;="&amp;日期!$B$5,allorders!AG:AG,"&gt;="&amp;日期!$B$12)/SUM(C18:F18)</f>
        <v>16.9</v>
      </c>
      <c r="H18">
        <f>SUMIFS(allorders!Q:Q,allorders!L:L,A18,allorders!AG:AG,"&gt;="&amp;日期!$B$12,allorders!AG:AG,"&lt;="&amp;日期!$B$5)</f>
        <v>16.9</v>
      </c>
      <c r="I18">
        <f t="shared" si="0"/>
        <v>1</v>
      </c>
    </row>
    <row r="19" spans="1:9">
      <c r="A19" s="9" t="s">
        <v>173</v>
      </c>
      <c r="B19" t="str">
        <f>VLOOKUP(A19,'[1]子sku-父sku'!$A:$B,2,0)</f>
        <v>NY-XUHM331</v>
      </c>
      <c r="C19">
        <f>SUMIFS(allorders!O:O,allorders!L:L,$A19,allorders!AG:AG,"&lt;="&amp;日期!$B$5,allorders!AG:AG,"&gt;="&amp;日期!$B$6)</f>
        <v>0</v>
      </c>
      <c r="D19">
        <f>SUMIFS(allorders!$O:$O,allorders!$L:$L,$A19,allorders!$AG:$AG,"&lt;="&amp;日期!$B$7,allorders!$AG:$AG,"&gt;="&amp;日期!$B$8)</f>
        <v>0</v>
      </c>
      <c r="E19">
        <f>SUMIFS(allorders!$O:$O,allorders!$L:$L,$A19,allorders!$AG:$AG,"&lt;="&amp;日期!$B$9,allorders!$AG:$AG,"&gt;="&amp;日期!$B$10)</f>
        <v>0</v>
      </c>
      <c r="F19">
        <f>SUMIFS(allorders!$O:$O,allorders!$L:$L,$A19,allorders!$AG:$AG,"&lt;="&amp;日期!$B$11,allorders!$AG:$AG,"&gt;="&amp;日期!$B$12)</f>
        <v>1</v>
      </c>
      <c r="G19">
        <f>SUMIFS(allorders!Q:Q,allorders!L:L,A19,allorders!AG:AG,"&lt;="&amp;日期!$B$5,allorders!AG:AG,"&gt;="&amp;日期!$B$12)/SUM(C19:F19)</f>
        <v>9.99</v>
      </c>
      <c r="H19">
        <f>SUMIFS(allorders!Q:Q,allorders!L:L,A19,allorders!AG:AG,"&gt;="&amp;日期!$B$12,allorders!AG:AG,"&lt;="&amp;日期!$B$5)</f>
        <v>9.99</v>
      </c>
      <c r="I19">
        <f t="shared" si="0"/>
        <v>1</v>
      </c>
    </row>
    <row r="20" spans="1:9">
      <c r="A20" s="9" t="s">
        <v>181</v>
      </c>
      <c r="B20" t="str">
        <f>VLOOKUP(A20,'[1]子sku-父sku'!$A:$B,2,0)</f>
        <v>JBLKTK</v>
      </c>
      <c r="C20">
        <f>SUMIFS(allorders!O:O,allorders!L:L,$A20,allorders!AG:AG,"&lt;="&amp;日期!$B$5,allorders!AG:AG,"&gt;="&amp;日期!$B$6)</f>
        <v>0</v>
      </c>
      <c r="D20">
        <f>SUMIFS(allorders!$O:$O,allorders!$L:$L,$A20,allorders!$AG:$AG,"&lt;="&amp;日期!$B$7,allorders!$AG:$AG,"&gt;="&amp;日期!$B$8)</f>
        <v>1</v>
      </c>
      <c r="E20">
        <f>SUMIFS(allorders!$O:$O,allorders!$L:$L,$A20,allorders!$AG:$AG,"&lt;="&amp;日期!$B$9,allorders!$AG:$AG,"&gt;="&amp;日期!$B$10)</f>
        <v>0</v>
      </c>
      <c r="F20">
        <f>SUMIFS(allorders!$O:$O,allorders!$L:$L,$A20,allorders!$AG:$AG,"&lt;="&amp;日期!$B$11,allorders!$AG:$AG,"&gt;="&amp;日期!$B$12)</f>
        <v>1</v>
      </c>
      <c r="G20">
        <f>SUMIFS(allorders!Q:Q,allorders!L:L,A20,allorders!AG:AG,"&lt;="&amp;日期!$B$5,allorders!AG:AG,"&gt;="&amp;日期!$B$12)/SUM(C20:F20)</f>
        <v>20.9</v>
      </c>
      <c r="H20">
        <f>SUMIFS(allorders!Q:Q,allorders!L:L,A20,allorders!AG:AG,"&gt;="&amp;日期!$B$12,allorders!AG:AG,"&lt;="&amp;日期!$B$5)</f>
        <v>41.8</v>
      </c>
      <c r="I20">
        <f t="shared" si="0"/>
        <v>2</v>
      </c>
    </row>
    <row r="21" spans="1:9">
      <c r="A21" s="9" t="s">
        <v>190</v>
      </c>
      <c r="B21" t="str">
        <f>VLOOKUP(A21,'[1]子sku-父sku'!$A:$B,2,0)</f>
        <v>N2716Y</v>
      </c>
      <c r="C21">
        <f>SUMIFS(allorders!O:O,allorders!L:L,$A21,allorders!AG:AG,"&lt;="&amp;日期!$B$5,allorders!AG:AG,"&gt;="&amp;日期!$B$6)</f>
        <v>3</v>
      </c>
      <c r="D21">
        <f>SUMIFS(allorders!$O:$O,allorders!$L:$L,$A21,allorders!$AG:$AG,"&lt;="&amp;日期!$B$7,allorders!$AG:$AG,"&gt;="&amp;日期!$B$8)</f>
        <v>0</v>
      </c>
      <c r="E21">
        <f>SUMIFS(allorders!$O:$O,allorders!$L:$L,$A21,allorders!$AG:$AG,"&lt;="&amp;日期!$B$9,allorders!$AG:$AG,"&gt;="&amp;日期!$B$10)</f>
        <v>1</v>
      </c>
      <c r="F21">
        <f>SUMIFS(allorders!$O:$O,allorders!$L:$L,$A21,allorders!$AG:$AG,"&lt;="&amp;日期!$B$11,allorders!$AG:$AG,"&gt;="&amp;日期!$B$12)</f>
        <v>2</v>
      </c>
      <c r="G21">
        <f>SUMIFS(allorders!Q:Q,allorders!L:L,A21,allorders!AG:AG,"&lt;="&amp;日期!$B$5,allorders!AG:AG,"&gt;="&amp;日期!$B$12)/SUM(C21:F21)</f>
        <v>9.99</v>
      </c>
      <c r="H21">
        <f>SUMIFS(allorders!Q:Q,allorders!L:L,A21,allorders!AG:AG,"&gt;="&amp;日期!$B$12,allorders!AG:AG,"&lt;="&amp;日期!$B$5)</f>
        <v>59.94</v>
      </c>
      <c r="I21">
        <f t="shared" si="0"/>
        <v>6</v>
      </c>
    </row>
    <row r="22" spans="1:9">
      <c r="A22" s="9" t="s">
        <v>199</v>
      </c>
      <c r="B22" t="str">
        <f>VLOOKUP(A22,'[1]子sku-父sku'!$A:$B,2,0)</f>
        <v>JBL-QFFM</v>
      </c>
      <c r="C22">
        <f>SUMIFS(allorders!O:O,allorders!L:L,$A22,allorders!AG:AG,"&lt;="&amp;日期!$B$5,allorders!AG:AG,"&gt;="&amp;日期!$B$6)</f>
        <v>0</v>
      </c>
      <c r="D22">
        <f>SUMIFS(allorders!$O:$O,allorders!$L:$L,$A22,allorders!$AG:$AG,"&lt;="&amp;日期!$B$7,allorders!$AG:$AG,"&gt;="&amp;日期!$B$8)</f>
        <v>0</v>
      </c>
      <c r="E22">
        <f>SUMIFS(allorders!$O:$O,allorders!$L:$L,$A22,allorders!$AG:$AG,"&lt;="&amp;日期!$B$9,allorders!$AG:$AG,"&gt;="&amp;日期!$B$10)</f>
        <v>0</v>
      </c>
      <c r="F22">
        <f>SUMIFS(allorders!$O:$O,allorders!$L:$L,$A22,allorders!$AG:$AG,"&lt;="&amp;日期!$B$11,allorders!$AG:$AG,"&gt;="&amp;日期!$B$12)</f>
        <v>1</v>
      </c>
      <c r="G22">
        <f>SUMIFS(allorders!Q:Q,allorders!L:L,A22,allorders!AG:AG,"&lt;="&amp;日期!$B$5,allorders!AG:AG,"&gt;="&amp;日期!$B$12)/SUM(C22:F22)</f>
        <v>20.9</v>
      </c>
      <c r="H22">
        <f>SUMIFS(allorders!Q:Q,allorders!L:L,A22,allorders!AG:AG,"&gt;="&amp;日期!$B$12,allorders!AG:AG,"&lt;="&amp;日期!$B$5)</f>
        <v>20.9</v>
      </c>
      <c r="I22">
        <f t="shared" si="0"/>
        <v>1</v>
      </c>
    </row>
    <row r="23" spans="1:9">
      <c r="A23" s="9" t="s">
        <v>208</v>
      </c>
      <c r="B23" t="str">
        <f>VLOOKUP(A23,'[1]子sku-父sku'!$A:$B,2,0)</f>
        <v>NY-B15021</v>
      </c>
      <c r="C23">
        <f>SUMIFS(allorders!O:O,allorders!L:L,$A23,allorders!AG:AG,"&lt;="&amp;日期!$B$5,allorders!AG:AG,"&gt;="&amp;日期!$B$6)</f>
        <v>2</v>
      </c>
      <c r="D23">
        <f>SUMIFS(allorders!$O:$O,allorders!$L:$L,$A23,allorders!$AG:$AG,"&lt;="&amp;日期!$B$7,allorders!$AG:$AG,"&gt;="&amp;日期!$B$8)</f>
        <v>0</v>
      </c>
      <c r="E23">
        <f>SUMIFS(allorders!$O:$O,allorders!$L:$L,$A23,allorders!$AG:$AG,"&lt;="&amp;日期!$B$9,allorders!$AG:$AG,"&gt;="&amp;日期!$B$10)</f>
        <v>0</v>
      </c>
      <c r="F23">
        <f>SUMIFS(allorders!$O:$O,allorders!$L:$L,$A23,allorders!$AG:$AG,"&lt;="&amp;日期!$B$11,allorders!$AG:$AG,"&gt;="&amp;日期!$B$12)</f>
        <v>2</v>
      </c>
      <c r="G23">
        <f>SUMIFS(allorders!Q:Q,allorders!L:L,A23,allorders!AG:AG,"&lt;="&amp;日期!$B$5,allorders!AG:AG,"&gt;="&amp;日期!$B$12)/SUM(C23:F23)</f>
        <v>16.99</v>
      </c>
      <c r="H23">
        <f>SUMIFS(allorders!Q:Q,allorders!L:L,A23,allorders!AG:AG,"&gt;="&amp;日期!$B$12,allorders!AG:AG,"&lt;="&amp;日期!$B$5)</f>
        <v>67.96</v>
      </c>
      <c r="I23">
        <f t="shared" si="0"/>
        <v>4</v>
      </c>
    </row>
    <row r="24" spans="1:9">
      <c r="A24" s="9" t="s">
        <v>221</v>
      </c>
      <c r="B24" t="str">
        <f>VLOOKUP(A24,'[1]子sku-父sku'!$A:$B,2,0)</f>
        <v>N263Y</v>
      </c>
      <c r="C24">
        <f>SUMIFS(allorders!O:O,allorders!L:L,$A24,allorders!AG:AG,"&lt;="&amp;日期!$B$5,allorders!AG:AG,"&gt;="&amp;日期!$B$6)</f>
        <v>2</v>
      </c>
      <c r="D24">
        <f>SUMIFS(allorders!$O:$O,allorders!$L:$L,$A24,allorders!$AG:$AG,"&lt;="&amp;日期!$B$7,allorders!$AG:$AG,"&gt;="&amp;日期!$B$8)</f>
        <v>0</v>
      </c>
      <c r="E24">
        <f>SUMIFS(allorders!$O:$O,allorders!$L:$L,$A24,allorders!$AG:$AG,"&lt;="&amp;日期!$B$9,allorders!$AG:$AG,"&gt;="&amp;日期!$B$10)</f>
        <v>0</v>
      </c>
      <c r="F24">
        <f>SUMIFS(allorders!$O:$O,allorders!$L:$L,$A24,allorders!$AG:$AG,"&lt;="&amp;日期!$B$11,allorders!$AG:$AG,"&gt;="&amp;日期!$B$12)</f>
        <v>1</v>
      </c>
      <c r="G24">
        <f>SUMIFS(allorders!Q:Q,allorders!L:L,A24,allorders!AG:AG,"&lt;="&amp;日期!$B$5,allorders!AG:AG,"&gt;="&amp;日期!$B$12)/SUM(C24:F24)</f>
        <v>7.89</v>
      </c>
      <c r="H24">
        <f>SUMIFS(allorders!Q:Q,allorders!L:L,A24,allorders!AG:AG,"&gt;="&amp;日期!$B$12,allorders!AG:AG,"&lt;="&amp;日期!$B$5)</f>
        <v>23.67</v>
      </c>
      <c r="I24">
        <f t="shared" si="0"/>
        <v>3</v>
      </c>
    </row>
    <row r="25" spans="1:9">
      <c r="A25" s="9" t="s">
        <v>227</v>
      </c>
      <c r="B25" t="str">
        <f>VLOOKUP(A25,'[1]子sku-父sku'!$A:$B,2,0)</f>
        <v>N2716Y</v>
      </c>
      <c r="C25">
        <f>SUMIFS(allorders!O:O,allorders!L:L,$A25,allorders!AG:AG,"&lt;="&amp;日期!$B$5,allorders!AG:AG,"&gt;="&amp;日期!$B$6)</f>
        <v>0</v>
      </c>
      <c r="D25">
        <f>SUMIFS(allorders!$O:$O,allorders!$L:$L,$A25,allorders!$AG:$AG,"&lt;="&amp;日期!$B$7,allorders!$AG:$AG,"&gt;="&amp;日期!$B$8)</f>
        <v>1</v>
      </c>
      <c r="E25">
        <f>SUMIFS(allorders!$O:$O,allorders!$L:$L,$A25,allorders!$AG:$AG,"&lt;="&amp;日期!$B$9,allorders!$AG:$AG,"&gt;="&amp;日期!$B$10)</f>
        <v>0</v>
      </c>
      <c r="F25">
        <f>SUMIFS(allorders!$O:$O,allorders!$L:$L,$A25,allorders!$AG:$AG,"&lt;="&amp;日期!$B$11,allorders!$AG:$AG,"&gt;="&amp;日期!$B$12)</f>
        <v>1</v>
      </c>
      <c r="G25">
        <f>SUMIFS(allorders!Q:Q,allorders!L:L,A25,allorders!AG:AG,"&lt;="&amp;日期!$B$5,allorders!AG:AG,"&gt;="&amp;日期!$B$12)/SUM(C25:F25)</f>
        <v>8.53</v>
      </c>
      <c r="H25">
        <f>SUMIFS(allorders!Q:Q,allorders!L:L,A25,allorders!AG:AG,"&gt;="&amp;日期!$B$12,allorders!AG:AG,"&lt;="&amp;日期!$B$5)</f>
        <v>17.06</v>
      </c>
      <c r="I25">
        <f t="shared" si="0"/>
        <v>2</v>
      </c>
    </row>
    <row r="26" spans="1:9">
      <c r="A26" s="9" t="s">
        <v>233</v>
      </c>
      <c r="B26" t="str">
        <f>VLOOKUP(A26,'[1]子sku-父sku'!$A:$B,2,0)</f>
        <v>N3818-2Y</v>
      </c>
      <c r="C26">
        <f>SUMIFS(allorders!O:O,allorders!L:L,$A26,allorders!AG:AG,"&lt;="&amp;日期!$B$5,allorders!AG:AG,"&gt;="&amp;日期!$B$6)</f>
        <v>1</v>
      </c>
      <c r="D26">
        <f>SUMIFS(allorders!$O:$O,allorders!$L:$L,$A26,allorders!$AG:$AG,"&lt;="&amp;日期!$B$7,allorders!$AG:$AG,"&gt;="&amp;日期!$B$8)</f>
        <v>0</v>
      </c>
      <c r="E26">
        <f>SUMIFS(allorders!$O:$O,allorders!$L:$L,$A26,allorders!$AG:$AG,"&lt;="&amp;日期!$B$9,allorders!$AG:$AG,"&gt;="&amp;日期!$B$10)</f>
        <v>0</v>
      </c>
      <c r="F26">
        <f>SUMIFS(allorders!$O:$O,allorders!$L:$L,$A26,allorders!$AG:$AG,"&lt;="&amp;日期!$B$11,allorders!$AG:$AG,"&gt;="&amp;日期!$B$12)</f>
        <v>1</v>
      </c>
      <c r="G26">
        <f>SUMIFS(allorders!Q:Q,allorders!L:L,A26,allorders!AG:AG,"&lt;="&amp;日期!$B$5,allorders!AG:AG,"&gt;="&amp;日期!$B$12)/SUM(C26:F26)</f>
        <v>9.21</v>
      </c>
      <c r="H26">
        <f>SUMIFS(allorders!Q:Q,allorders!L:L,A26,allorders!AG:AG,"&gt;="&amp;日期!$B$12,allorders!AG:AG,"&lt;="&amp;日期!$B$5)</f>
        <v>18.42</v>
      </c>
      <c r="I26">
        <f t="shared" si="0"/>
        <v>2</v>
      </c>
    </row>
    <row r="27" spans="1:9">
      <c r="A27" s="9" t="s">
        <v>241</v>
      </c>
      <c r="B27" t="str">
        <f>VLOOKUP(A27,'[1]子sku-父sku'!$A:$B,2,0)</f>
        <v>NY-B15016</v>
      </c>
      <c r="C27">
        <f>SUMIFS(allorders!O:O,allorders!L:L,$A27,allorders!AG:AG,"&lt;="&amp;日期!$B$5,allorders!AG:AG,"&gt;="&amp;日期!$B$6)</f>
        <v>1</v>
      </c>
      <c r="D27">
        <f>SUMIFS(allorders!$O:$O,allorders!$L:$L,$A27,allorders!$AG:$AG,"&lt;="&amp;日期!$B$7,allorders!$AG:$AG,"&gt;="&amp;日期!$B$8)</f>
        <v>0</v>
      </c>
      <c r="E27">
        <f>SUMIFS(allorders!$O:$O,allorders!$L:$L,$A27,allorders!$AG:$AG,"&lt;="&amp;日期!$B$9,allorders!$AG:$AG,"&gt;="&amp;日期!$B$10)</f>
        <v>0</v>
      </c>
      <c r="F27">
        <f>SUMIFS(allorders!$O:$O,allorders!$L:$L,$A27,allorders!$AG:$AG,"&lt;="&amp;日期!$B$11,allorders!$AG:$AG,"&gt;="&amp;日期!$B$12)</f>
        <v>2</v>
      </c>
      <c r="G27">
        <f>SUMIFS(allorders!Q:Q,allorders!L:L,A27,allorders!AG:AG,"&lt;="&amp;日期!$B$5,allorders!AG:AG,"&gt;="&amp;日期!$B$12)/SUM(C27:F27)</f>
        <v>18.99</v>
      </c>
      <c r="H27">
        <f>SUMIFS(allorders!Q:Q,allorders!L:L,A27,allorders!AG:AG,"&gt;="&amp;日期!$B$12,allorders!AG:AG,"&lt;="&amp;日期!$B$5)</f>
        <v>56.97</v>
      </c>
      <c r="I27">
        <f t="shared" si="0"/>
        <v>3</v>
      </c>
    </row>
    <row r="28" spans="1:9">
      <c r="A28" s="9" t="s">
        <v>249</v>
      </c>
      <c r="B28" t="str">
        <f>VLOOKUP(A28,'[1]子sku-父sku'!$A:$B,2,0)</f>
        <v>N039Y</v>
      </c>
      <c r="C28">
        <f>SUMIFS(allorders!O:O,allorders!L:L,$A28,allorders!AG:AG,"&lt;="&amp;日期!$B$5,allorders!AG:AG,"&gt;="&amp;日期!$B$6)</f>
        <v>1</v>
      </c>
      <c r="D28">
        <f>SUMIFS(allorders!$O:$O,allorders!$L:$L,$A28,allorders!$AG:$AG,"&lt;="&amp;日期!$B$7,allorders!$AG:$AG,"&gt;="&amp;日期!$B$8)</f>
        <v>0</v>
      </c>
      <c r="E28">
        <f>SUMIFS(allorders!$O:$O,allorders!$L:$L,$A28,allorders!$AG:$AG,"&lt;="&amp;日期!$B$9,allorders!$AG:$AG,"&gt;="&amp;日期!$B$10)</f>
        <v>1</v>
      </c>
      <c r="F28">
        <f>SUMIFS(allorders!$O:$O,allorders!$L:$L,$A28,allorders!$AG:$AG,"&lt;="&amp;日期!$B$11,allorders!$AG:$AG,"&gt;="&amp;日期!$B$12)</f>
        <v>1</v>
      </c>
      <c r="G28">
        <f>SUMIFS(allorders!Q:Q,allorders!L:L,A28,allorders!AG:AG,"&lt;="&amp;日期!$B$5,allorders!AG:AG,"&gt;="&amp;日期!$B$12)/SUM(C28:F28)</f>
        <v>9.99</v>
      </c>
      <c r="H28">
        <f>SUMIFS(allorders!Q:Q,allorders!L:L,A28,allorders!AG:AG,"&gt;="&amp;日期!$B$12,allorders!AG:AG,"&lt;="&amp;日期!$B$5)</f>
        <v>29.97</v>
      </c>
      <c r="I28">
        <f t="shared" si="0"/>
        <v>3</v>
      </c>
    </row>
    <row r="29" spans="1:9">
      <c r="A29" s="9" t="s">
        <v>258</v>
      </c>
      <c r="B29" t="str">
        <f>VLOOKUP(A29,'[1]子sku-父sku'!$A:$B,2,0)</f>
        <v>NY-B15021</v>
      </c>
      <c r="C29">
        <f>SUMIFS(allorders!O:O,allorders!L:L,$A29,allorders!AG:AG,"&lt;="&amp;日期!$B$5,allorders!AG:AG,"&gt;="&amp;日期!$B$6)</f>
        <v>0</v>
      </c>
      <c r="D29">
        <f>SUMIFS(allorders!$O:$O,allorders!$L:$L,$A29,allorders!$AG:$AG,"&lt;="&amp;日期!$B$7,allorders!$AG:$AG,"&gt;="&amp;日期!$B$8)</f>
        <v>0</v>
      </c>
      <c r="E29">
        <f>SUMIFS(allorders!$O:$O,allorders!$L:$L,$A29,allorders!$AG:$AG,"&lt;="&amp;日期!$B$9,allorders!$AG:$AG,"&gt;="&amp;日期!$B$10)</f>
        <v>0</v>
      </c>
      <c r="F29">
        <f>SUMIFS(allorders!$O:$O,allorders!$L:$L,$A29,allorders!$AG:$AG,"&lt;="&amp;日期!$B$11,allorders!$AG:$AG,"&gt;="&amp;日期!$B$12)</f>
        <v>1</v>
      </c>
      <c r="G29">
        <f>SUMIFS(allorders!Q:Q,allorders!L:L,A29,allorders!AG:AG,"&lt;="&amp;日期!$B$5,allorders!AG:AG,"&gt;="&amp;日期!$B$12)/SUM(C29:F29)</f>
        <v>16.99</v>
      </c>
      <c r="H29">
        <f>SUMIFS(allorders!Q:Q,allorders!L:L,A29,allorders!AG:AG,"&gt;="&amp;日期!$B$12,allorders!AG:AG,"&lt;="&amp;日期!$B$5)</f>
        <v>16.99</v>
      </c>
      <c r="I29">
        <f t="shared" si="0"/>
        <v>1</v>
      </c>
    </row>
    <row r="30" spans="1:9">
      <c r="A30" s="9" t="s">
        <v>266</v>
      </c>
      <c r="B30" t="str">
        <f>VLOOKUP(A30,'[1]子sku-父sku'!$A:$B,2,0)</f>
        <v>NY-XUHM463</v>
      </c>
      <c r="C30">
        <f>SUMIFS(allorders!O:O,allorders!L:L,$A30,allorders!AG:AG,"&lt;="&amp;日期!$B$5,allorders!AG:AG,"&gt;="&amp;日期!$B$6)</f>
        <v>0</v>
      </c>
      <c r="D30">
        <f>SUMIFS(allorders!$O:$O,allorders!$L:$L,$A30,allorders!$AG:$AG,"&lt;="&amp;日期!$B$7,allorders!$AG:$AG,"&gt;="&amp;日期!$B$8)</f>
        <v>0</v>
      </c>
      <c r="E30">
        <f>SUMIFS(allorders!$O:$O,allorders!$L:$L,$A30,allorders!$AG:$AG,"&lt;="&amp;日期!$B$9,allorders!$AG:$AG,"&gt;="&amp;日期!$B$10)</f>
        <v>0</v>
      </c>
      <c r="F30">
        <f>SUMIFS(allorders!$O:$O,allorders!$L:$L,$A30,allorders!$AG:$AG,"&lt;="&amp;日期!$B$11,allorders!$AG:$AG,"&gt;="&amp;日期!$B$12)</f>
        <v>1</v>
      </c>
      <c r="G30">
        <f>SUMIFS(allorders!Q:Q,allorders!L:L,A30,allorders!AG:AG,"&lt;="&amp;日期!$B$5,allorders!AG:AG,"&gt;="&amp;日期!$B$12)/SUM(C30:F30)</f>
        <v>15.99</v>
      </c>
      <c r="H30">
        <f>SUMIFS(allorders!Q:Q,allorders!L:L,A30,allorders!AG:AG,"&gt;="&amp;日期!$B$12,allorders!AG:AG,"&lt;="&amp;日期!$B$5)</f>
        <v>15.99</v>
      </c>
      <c r="I30">
        <f t="shared" si="0"/>
        <v>1</v>
      </c>
    </row>
    <row r="31" spans="1:9">
      <c r="A31" s="9" t="s">
        <v>274</v>
      </c>
      <c r="B31" t="str">
        <f>VLOOKUP(A31,'[1]子sku-父sku'!$A:$B,2,0)</f>
        <v>NY-B15021</v>
      </c>
      <c r="C31">
        <f>SUMIFS(allorders!O:O,allorders!L:L,$A31,allorders!AG:AG,"&lt;="&amp;日期!$B$5,allorders!AG:AG,"&gt;="&amp;日期!$B$6)</f>
        <v>0</v>
      </c>
      <c r="D31">
        <f>SUMIFS(allorders!$O:$O,allorders!$L:$L,$A31,allorders!$AG:$AG,"&lt;="&amp;日期!$B$7,allorders!$AG:$AG,"&gt;="&amp;日期!$B$8)</f>
        <v>1</v>
      </c>
      <c r="E31">
        <f>SUMIFS(allorders!$O:$O,allorders!$L:$L,$A31,allorders!$AG:$AG,"&lt;="&amp;日期!$B$9,allorders!$AG:$AG,"&gt;="&amp;日期!$B$10)</f>
        <v>0</v>
      </c>
      <c r="F31">
        <f>SUMIFS(allorders!$O:$O,allorders!$L:$L,$A31,allorders!$AG:$AG,"&lt;="&amp;日期!$B$11,allorders!$AG:$AG,"&gt;="&amp;日期!$B$12)</f>
        <v>2</v>
      </c>
      <c r="G31">
        <f>SUMIFS(allorders!Q:Q,allorders!L:L,A31,allorders!AG:AG,"&lt;="&amp;日期!$B$5,allorders!AG:AG,"&gt;="&amp;日期!$B$12)/SUM(C31:F31)</f>
        <v>16.99</v>
      </c>
      <c r="H31">
        <f>SUMIFS(allorders!Q:Q,allorders!L:L,A31,allorders!AG:AG,"&gt;="&amp;日期!$B$12,allorders!AG:AG,"&lt;="&amp;日期!$B$5)</f>
        <v>50.97</v>
      </c>
      <c r="I31">
        <f t="shared" si="0"/>
        <v>3</v>
      </c>
    </row>
    <row r="32" spans="1:9">
      <c r="A32" s="9" t="s">
        <v>281</v>
      </c>
      <c r="B32" t="str">
        <f>VLOOKUP(A32,'[1]子sku-父sku'!$A:$B,2,0)</f>
        <v>NY-B15021</v>
      </c>
      <c r="C32">
        <f>SUMIFS(allorders!O:O,allorders!L:L,$A32,allorders!AG:AG,"&lt;="&amp;日期!$B$5,allorders!AG:AG,"&gt;="&amp;日期!$B$6)</f>
        <v>0</v>
      </c>
      <c r="D32">
        <f>SUMIFS(allorders!$O:$O,allorders!$L:$L,$A32,allorders!$AG:$AG,"&lt;="&amp;日期!$B$7,allorders!$AG:$AG,"&gt;="&amp;日期!$B$8)</f>
        <v>0</v>
      </c>
      <c r="E32">
        <f>SUMIFS(allorders!$O:$O,allorders!$L:$L,$A32,allorders!$AG:$AG,"&lt;="&amp;日期!$B$9,allorders!$AG:$AG,"&gt;="&amp;日期!$B$10)</f>
        <v>0</v>
      </c>
      <c r="F32">
        <f>SUMIFS(allorders!$O:$O,allorders!$L:$L,$A32,allorders!$AG:$AG,"&lt;="&amp;日期!$B$11,allorders!$AG:$AG,"&gt;="&amp;日期!$B$12)</f>
        <v>1</v>
      </c>
      <c r="G32">
        <f>SUMIFS(allorders!Q:Q,allorders!L:L,A32,allorders!AG:AG,"&lt;="&amp;日期!$B$5,allorders!AG:AG,"&gt;="&amp;日期!$B$12)/SUM(C32:F32)</f>
        <v>18.99</v>
      </c>
      <c r="H32">
        <f>SUMIFS(allorders!Q:Q,allorders!L:L,A32,allorders!AG:AG,"&gt;="&amp;日期!$B$12,allorders!AG:AG,"&lt;="&amp;日期!$B$5)</f>
        <v>18.99</v>
      </c>
      <c r="I32">
        <f t="shared" si="0"/>
        <v>1</v>
      </c>
    </row>
    <row r="33" spans="1:9">
      <c r="A33" s="9" t="s">
        <v>289</v>
      </c>
      <c r="B33" t="str">
        <f>VLOOKUP(A33,'[1]子sku-父sku'!$A:$B,2,0)</f>
        <v>N039Y</v>
      </c>
      <c r="C33">
        <f>SUMIFS(allorders!O:O,allorders!L:L,$A33,allorders!AG:AG,"&lt;="&amp;日期!$B$5,allorders!AG:AG,"&gt;="&amp;日期!$B$6)</f>
        <v>1</v>
      </c>
      <c r="D33">
        <f>SUMIFS(allorders!$O:$O,allorders!$L:$L,$A33,allorders!$AG:$AG,"&lt;="&amp;日期!$B$7,allorders!$AG:$AG,"&gt;="&amp;日期!$B$8)</f>
        <v>1</v>
      </c>
      <c r="E33">
        <f>SUMIFS(allorders!$O:$O,allorders!$L:$L,$A33,allorders!$AG:$AG,"&lt;="&amp;日期!$B$9,allorders!$AG:$AG,"&gt;="&amp;日期!$B$10)</f>
        <v>2</v>
      </c>
      <c r="F33">
        <f>SUMIFS(allorders!$O:$O,allorders!$L:$L,$A33,allorders!$AG:$AG,"&lt;="&amp;日期!$B$11,allorders!$AG:$AG,"&gt;="&amp;日期!$B$12)</f>
        <v>1</v>
      </c>
      <c r="G33">
        <f>SUMIFS(allorders!Q:Q,allorders!L:L,A33,allorders!AG:AG,"&lt;="&amp;日期!$B$5,allorders!AG:AG,"&gt;="&amp;日期!$B$12)/SUM(C33:F33)</f>
        <v>9.99</v>
      </c>
      <c r="H33">
        <f>SUMIFS(allorders!Q:Q,allorders!L:L,A33,allorders!AG:AG,"&gt;="&amp;日期!$B$12,allorders!AG:AG,"&lt;="&amp;日期!$B$5)</f>
        <v>49.95</v>
      </c>
      <c r="I33">
        <f t="shared" si="0"/>
        <v>5</v>
      </c>
    </row>
    <row r="34" spans="1:9">
      <c r="A34" s="9" t="s">
        <v>297</v>
      </c>
      <c r="B34" t="str">
        <f>VLOOKUP(A34,'[1]子sku-父sku'!$A:$B,2,0)</f>
        <v>N31459Y</v>
      </c>
      <c r="C34">
        <f>SUMIFS(allorders!O:O,allorders!L:L,$A34,allorders!AG:AG,"&lt;="&amp;日期!$B$5,allorders!AG:AG,"&gt;="&amp;日期!$B$6)</f>
        <v>0</v>
      </c>
      <c r="D34">
        <f>SUMIFS(allorders!$O:$O,allorders!$L:$L,$A34,allorders!$AG:$AG,"&lt;="&amp;日期!$B$7,allorders!$AG:$AG,"&gt;="&amp;日期!$B$8)</f>
        <v>0</v>
      </c>
      <c r="E34">
        <f>SUMIFS(allorders!$O:$O,allorders!$L:$L,$A34,allorders!$AG:$AG,"&lt;="&amp;日期!$B$9,allorders!$AG:$AG,"&gt;="&amp;日期!$B$10)</f>
        <v>0</v>
      </c>
      <c r="F34">
        <f>SUMIFS(allorders!$O:$O,allorders!$L:$L,$A34,allorders!$AG:$AG,"&lt;="&amp;日期!$B$11,allorders!$AG:$AG,"&gt;="&amp;日期!$B$12)</f>
        <v>2</v>
      </c>
      <c r="G34">
        <f>SUMIFS(allorders!Q:Q,allorders!L:L,A34,allorders!AG:AG,"&lt;="&amp;日期!$B$5,allorders!AG:AG,"&gt;="&amp;日期!$B$12)/SUM(C34:F34)</f>
        <v>13.9</v>
      </c>
      <c r="H34">
        <f>SUMIFS(allorders!Q:Q,allorders!L:L,A34,allorders!AG:AG,"&gt;="&amp;日期!$B$12,allorders!AG:AG,"&lt;="&amp;日期!$B$5)</f>
        <v>27.8</v>
      </c>
      <c r="I34">
        <f t="shared" si="0"/>
        <v>2</v>
      </c>
    </row>
    <row r="35" spans="1:9">
      <c r="A35" s="9" t="s">
        <v>311</v>
      </c>
      <c r="B35" t="str">
        <f>VLOOKUP(A35,'[1]子sku-父sku'!$A:$B,2,0)</f>
        <v>MY71115</v>
      </c>
      <c r="C35">
        <f>SUMIFS(allorders!O:O,allorders!L:L,$A35,allorders!AG:AG,"&lt;="&amp;日期!$B$5,allorders!AG:AG,"&gt;="&amp;日期!$B$6)</f>
        <v>1</v>
      </c>
      <c r="D35">
        <f>SUMIFS(allorders!$O:$O,allorders!$L:$L,$A35,allorders!$AG:$AG,"&lt;="&amp;日期!$B$7,allorders!$AG:$AG,"&gt;="&amp;日期!$B$8)</f>
        <v>1</v>
      </c>
      <c r="E35">
        <f>SUMIFS(allorders!$O:$O,allorders!$L:$L,$A35,allorders!$AG:$AG,"&lt;="&amp;日期!$B$9,allorders!$AG:$AG,"&gt;="&amp;日期!$B$10)</f>
        <v>0</v>
      </c>
      <c r="F35">
        <f>SUMIFS(allorders!$O:$O,allorders!$L:$L,$A35,allorders!$AG:$AG,"&lt;="&amp;日期!$B$11,allorders!$AG:$AG,"&gt;="&amp;日期!$B$12)</f>
        <v>1</v>
      </c>
      <c r="G35">
        <f>SUMIFS(allorders!Q:Q,allorders!L:L,A35,allorders!AG:AG,"&lt;="&amp;日期!$B$5,allorders!AG:AG,"&gt;="&amp;日期!$B$12)/SUM(C35:F35)</f>
        <v>42.99</v>
      </c>
      <c r="H35">
        <f>SUMIFS(allorders!Q:Q,allorders!L:L,A35,allorders!AG:AG,"&gt;="&amp;日期!$B$12,allorders!AG:AG,"&lt;="&amp;日期!$B$5)</f>
        <v>128.97</v>
      </c>
      <c r="I35">
        <f t="shared" si="0"/>
        <v>3</v>
      </c>
    </row>
    <row r="36" spans="1:9">
      <c r="A36" s="9" t="s">
        <v>318</v>
      </c>
      <c r="B36" t="str">
        <f>VLOOKUP(A36,'[1]子sku-父sku'!$A:$B,2,0)</f>
        <v>KTKXXK</v>
      </c>
      <c r="C36">
        <f>SUMIFS(allorders!O:O,allorders!L:L,$A36,allorders!AG:AG,"&lt;="&amp;日期!$B$5,allorders!AG:AG,"&gt;="&amp;日期!$B$6)</f>
        <v>3</v>
      </c>
      <c r="D36">
        <f>SUMIFS(allorders!$O:$O,allorders!$L:$L,$A36,allorders!$AG:$AG,"&lt;="&amp;日期!$B$7,allorders!$AG:$AG,"&gt;="&amp;日期!$B$8)</f>
        <v>1</v>
      </c>
      <c r="E36">
        <f>SUMIFS(allorders!$O:$O,allorders!$L:$L,$A36,allorders!$AG:$AG,"&lt;="&amp;日期!$B$9,allorders!$AG:$AG,"&gt;="&amp;日期!$B$10)</f>
        <v>1</v>
      </c>
      <c r="F36">
        <f>SUMIFS(allorders!$O:$O,allorders!$L:$L,$A36,allorders!$AG:$AG,"&lt;="&amp;日期!$B$11,allorders!$AG:$AG,"&gt;="&amp;日期!$B$12)</f>
        <v>1</v>
      </c>
      <c r="G36">
        <f>SUMIFS(allorders!Q:Q,allorders!L:L,A36,allorders!AG:AG,"&lt;="&amp;日期!$B$5,allorders!AG:AG,"&gt;="&amp;日期!$B$12)/SUM(C36:F36)</f>
        <v>20.6433333333333</v>
      </c>
      <c r="H36">
        <f>SUMIFS(allorders!Q:Q,allorders!L:L,A36,allorders!AG:AG,"&gt;="&amp;日期!$B$12,allorders!AG:AG,"&lt;="&amp;日期!$B$5)</f>
        <v>123.86</v>
      </c>
      <c r="I36">
        <f t="shared" si="0"/>
        <v>6</v>
      </c>
    </row>
    <row r="37" spans="1:9">
      <c r="A37" s="9" t="s">
        <v>343</v>
      </c>
      <c r="B37" t="str">
        <f>VLOOKUP(A37,'[1]子sku-父sku'!$A:$B,2,0)</f>
        <v>N31459Y</v>
      </c>
      <c r="C37">
        <f>SUMIFS(allorders!O:O,allorders!L:L,$A37,allorders!AG:AG,"&lt;="&amp;日期!$B$5,allorders!AG:AG,"&gt;="&amp;日期!$B$6)</f>
        <v>0</v>
      </c>
      <c r="D37">
        <f>SUMIFS(allorders!$O:$O,allorders!$L:$L,$A37,allorders!$AG:$AG,"&lt;="&amp;日期!$B$7,allorders!$AG:$AG,"&gt;="&amp;日期!$B$8)</f>
        <v>0</v>
      </c>
      <c r="E37">
        <f>SUMIFS(allorders!$O:$O,allorders!$L:$L,$A37,allorders!$AG:$AG,"&lt;="&amp;日期!$B$9,allorders!$AG:$AG,"&gt;="&amp;日期!$B$10)</f>
        <v>0</v>
      </c>
      <c r="F37">
        <f>SUMIFS(allorders!$O:$O,allorders!$L:$L,$A37,allorders!$AG:$AG,"&lt;="&amp;日期!$B$11,allorders!$AG:$AG,"&gt;="&amp;日期!$B$12)</f>
        <v>0</v>
      </c>
      <c r="G37" t="e">
        <f>SUMIFS(allorders!Q:Q,allorders!L:L,A37,allorders!AG:AG,"&lt;="&amp;日期!$B$5,allorders!AG:AG,"&gt;="&amp;日期!$B$12)/SUM(C37:F37)</f>
        <v>#DIV/0!</v>
      </c>
      <c r="H37">
        <f>SUMIFS(allorders!Q:Q,allorders!L:L,A37,allorders!AG:AG,"&gt;="&amp;日期!$B$12,allorders!AG:AG,"&lt;="&amp;日期!$B$5)</f>
        <v>0</v>
      </c>
      <c r="I37">
        <f t="shared" si="0"/>
        <v>0</v>
      </c>
    </row>
    <row r="38" spans="1:9">
      <c r="A38" s="9" t="s">
        <v>351</v>
      </c>
      <c r="B38" t="str">
        <f>VLOOKUP(A38,'[1]子sku-父sku'!$A:$B,2,0)</f>
        <v>N2716Y</v>
      </c>
      <c r="C38">
        <f>SUMIFS(allorders!O:O,allorders!L:L,$A38,allorders!AG:AG,"&lt;="&amp;日期!$B$5,allorders!AG:AG,"&gt;="&amp;日期!$B$6)</f>
        <v>0</v>
      </c>
      <c r="D38">
        <f>SUMIFS(allorders!$O:$O,allorders!$L:$L,$A38,allorders!$AG:$AG,"&lt;="&amp;日期!$B$7,allorders!$AG:$AG,"&gt;="&amp;日期!$B$8)</f>
        <v>0</v>
      </c>
      <c r="E38">
        <f>SUMIFS(allorders!$O:$O,allorders!$L:$L,$A38,allorders!$AG:$AG,"&lt;="&amp;日期!$B$9,allorders!$AG:$AG,"&gt;="&amp;日期!$B$10)</f>
        <v>1</v>
      </c>
      <c r="F38">
        <f>SUMIFS(allorders!$O:$O,allorders!$L:$L,$A38,allorders!$AG:$AG,"&lt;="&amp;日期!$B$11,allorders!$AG:$AG,"&gt;="&amp;日期!$B$12)</f>
        <v>0</v>
      </c>
      <c r="G38">
        <f>SUMIFS(allorders!Q:Q,allorders!L:L,A38,allorders!AG:AG,"&lt;="&amp;日期!$B$5,allorders!AG:AG,"&gt;="&amp;日期!$B$12)/SUM(C38:F38)</f>
        <v>7.99</v>
      </c>
      <c r="H38">
        <f>SUMIFS(allorders!Q:Q,allorders!L:L,A38,allorders!AG:AG,"&gt;="&amp;日期!$B$12,allorders!AG:AG,"&lt;="&amp;日期!$B$5)</f>
        <v>7.99</v>
      </c>
      <c r="I38">
        <f t="shared" si="0"/>
        <v>1</v>
      </c>
    </row>
    <row r="39" spans="1:9">
      <c r="A39" s="9" t="s">
        <v>360</v>
      </c>
      <c r="B39" t="str">
        <f>VLOOKUP(A39,'[1]子sku-父sku'!$A:$B,2,0)</f>
        <v>NWZE</v>
      </c>
      <c r="C39">
        <f>SUMIFS(allorders!O:O,allorders!L:L,$A39,allorders!AG:AG,"&lt;="&amp;日期!$B$5,allorders!AG:AG,"&gt;="&amp;日期!$B$6)</f>
        <v>0</v>
      </c>
      <c r="D39">
        <f>SUMIFS(allorders!$O:$O,allorders!$L:$L,$A39,allorders!$AG:$AG,"&lt;="&amp;日期!$B$7,allorders!$AG:$AG,"&gt;="&amp;日期!$B$8)</f>
        <v>0</v>
      </c>
      <c r="E39">
        <f>SUMIFS(allorders!$O:$O,allorders!$L:$L,$A39,allorders!$AG:$AG,"&lt;="&amp;日期!$B$9,allorders!$AG:$AG,"&gt;="&amp;日期!$B$10)</f>
        <v>1</v>
      </c>
      <c r="F39">
        <f>SUMIFS(allorders!$O:$O,allorders!$L:$L,$A39,allorders!$AG:$AG,"&lt;="&amp;日期!$B$11,allorders!$AG:$AG,"&gt;="&amp;日期!$B$12)</f>
        <v>0</v>
      </c>
      <c r="G39">
        <f>SUMIFS(allorders!Q:Q,allorders!L:L,A39,allorders!AG:AG,"&lt;="&amp;日期!$B$5,allorders!AG:AG,"&gt;="&amp;日期!$B$12)/SUM(C39:F39)</f>
        <v>18.99</v>
      </c>
      <c r="H39">
        <f>SUMIFS(allorders!Q:Q,allorders!L:L,A39,allorders!AG:AG,"&gt;="&amp;日期!$B$12,allorders!AG:AG,"&lt;="&amp;日期!$B$5)</f>
        <v>18.99</v>
      </c>
      <c r="I39">
        <f t="shared" si="0"/>
        <v>1</v>
      </c>
    </row>
    <row r="40" spans="1:9">
      <c r="A40" s="9" t="s">
        <v>377</v>
      </c>
      <c r="B40" t="str">
        <f>VLOOKUP(A40,'[1]子sku-父sku'!$A:$B,2,0)</f>
        <v>ZSNW</v>
      </c>
      <c r="C40">
        <f>SUMIFS(allorders!O:O,allorders!L:L,$A40,allorders!AG:AG,"&lt;="&amp;日期!$B$5,allorders!AG:AG,"&gt;="&amp;日期!$B$6)</f>
        <v>0</v>
      </c>
      <c r="D40">
        <f>SUMIFS(allorders!$O:$O,allorders!$L:$L,$A40,allorders!$AG:$AG,"&lt;="&amp;日期!$B$7,allorders!$AG:$AG,"&gt;="&amp;日期!$B$8)</f>
        <v>0</v>
      </c>
      <c r="E40">
        <f>SUMIFS(allorders!$O:$O,allorders!$L:$L,$A40,allorders!$AG:$AG,"&lt;="&amp;日期!$B$9,allorders!$AG:$AG,"&gt;="&amp;日期!$B$10)</f>
        <v>1</v>
      </c>
      <c r="F40">
        <f>SUMIFS(allorders!$O:$O,allorders!$L:$L,$A40,allorders!$AG:$AG,"&lt;="&amp;日期!$B$11,allorders!$AG:$AG,"&gt;="&amp;日期!$B$12)</f>
        <v>0</v>
      </c>
      <c r="G40">
        <f>SUMIFS(allorders!Q:Q,allorders!L:L,A40,allorders!AG:AG,"&lt;="&amp;日期!$B$5,allorders!AG:AG,"&gt;="&amp;日期!$B$12)/SUM(C40:F40)</f>
        <v>4.71</v>
      </c>
      <c r="H40">
        <f>SUMIFS(allorders!Q:Q,allorders!L:L,A40,allorders!AG:AG,"&gt;="&amp;日期!$B$12,allorders!AG:AG,"&lt;="&amp;日期!$B$5)</f>
        <v>4.71</v>
      </c>
      <c r="I40">
        <f t="shared" si="0"/>
        <v>1</v>
      </c>
    </row>
    <row r="41" spans="1:9">
      <c r="A41" s="9" t="s">
        <v>385</v>
      </c>
      <c r="B41" t="str">
        <f>VLOOKUP(A41,'[1]子sku-父sku'!$A:$B,2,0)</f>
        <v>N31459Y</v>
      </c>
      <c r="C41">
        <f>SUMIFS(allorders!O:O,allorders!L:L,$A41,allorders!AG:AG,"&lt;="&amp;日期!$B$5,allorders!AG:AG,"&gt;="&amp;日期!$B$6)</f>
        <v>0</v>
      </c>
      <c r="D41">
        <f>SUMIFS(allorders!$O:$O,allorders!$L:$L,$A41,allorders!$AG:$AG,"&lt;="&amp;日期!$B$7,allorders!$AG:$AG,"&gt;="&amp;日期!$B$8)</f>
        <v>0</v>
      </c>
      <c r="E41">
        <f>SUMIFS(allorders!$O:$O,allorders!$L:$L,$A41,allorders!$AG:$AG,"&lt;="&amp;日期!$B$9,allorders!$AG:$AG,"&gt;="&amp;日期!$B$10)</f>
        <v>2</v>
      </c>
      <c r="F41">
        <f>SUMIFS(allorders!$O:$O,allorders!$L:$L,$A41,allorders!$AG:$AG,"&lt;="&amp;日期!$B$11,allorders!$AG:$AG,"&gt;="&amp;日期!$B$12)</f>
        <v>0</v>
      </c>
      <c r="G41">
        <f>SUMIFS(allorders!Q:Q,allorders!L:L,A41,allorders!AG:AG,"&lt;="&amp;日期!$B$5,allorders!AG:AG,"&gt;="&amp;日期!$B$12)/SUM(C41:F41)</f>
        <v>13.9</v>
      </c>
      <c r="H41">
        <f>SUMIFS(allorders!Q:Q,allorders!L:L,A41,allorders!AG:AG,"&gt;="&amp;日期!$B$12,allorders!AG:AG,"&lt;="&amp;日期!$B$5)</f>
        <v>27.8</v>
      </c>
      <c r="I41">
        <f t="shared" si="0"/>
        <v>2</v>
      </c>
    </row>
    <row r="42" spans="1:9">
      <c r="A42" s="9" t="s">
        <v>393</v>
      </c>
      <c r="B42" t="str">
        <f>VLOOKUP(A42,'[1]子sku-父sku'!$A:$B,2,0)</f>
        <v>NY-B15021</v>
      </c>
      <c r="C42">
        <f>SUMIFS(allorders!O:O,allorders!L:L,$A42,allorders!AG:AG,"&lt;="&amp;日期!$B$5,allorders!AG:AG,"&gt;="&amp;日期!$B$6)</f>
        <v>0</v>
      </c>
      <c r="D42">
        <f>SUMIFS(allorders!$O:$O,allorders!$L:$L,$A42,allorders!$AG:$AG,"&lt;="&amp;日期!$B$7,allorders!$AG:$AG,"&gt;="&amp;日期!$B$8)</f>
        <v>0</v>
      </c>
      <c r="E42">
        <f>SUMIFS(allorders!$O:$O,allorders!$L:$L,$A42,allorders!$AG:$AG,"&lt;="&amp;日期!$B$9,allorders!$AG:$AG,"&gt;="&amp;日期!$B$10)</f>
        <v>1</v>
      </c>
      <c r="F42">
        <f>SUMIFS(allorders!$O:$O,allorders!$L:$L,$A42,allorders!$AG:$AG,"&lt;="&amp;日期!$B$11,allorders!$AG:$AG,"&gt;="&amp;日期!$B$12)</f>
        <v>0</v>
      </c>
      <c r="G42">
        <f>SUMIFS(allorders!Q:Q,allorders!L:L,A42,allorders!AG:AG,"&lt;="&amp;日期!$B$5,allorders!AG:AG,"&gt;="&amp;日期!$B$12)/SUM(C42:F42)</f>
        <v>16.99</v>
      </c>
      <c r="H42">
        <f>SUMIFS(allorders!Q:Q,allorders!L:L,A42,allorders!AG:AG,"&gt;="&amp;日期!$B$12,allorders!AG:AG,"&lt;="&amp;日期!$B$5)</f>
        <v>16.99</v>
      </c>
      <c r="I42">
        <f t="shared" si="0"/>
        <v>1</v>
      </c>
    </row>
    <row r="43" spans="1:9">
      <c r="A43" s="9" t="s">
        <v>407</v>
      </c>
      <c r="B43" t="str">
        <f>VLOOKUP(A43,'[1]子sku-父sku'!$A:$B,2,0)</f>
        <v>N2716Y</v>
      </c>
      <c r="C43">
        <f>SUMIFS(allorders!O:O,allorders!L:L,$A43,allorders!AG:AG,"&lt;="&amp;日期!$B$5,allorders!AG:AG,"&gt;="&amp;日期!$B$6)</f>
        <v>0</v>
      </c>
      <c r="D43">
        <f>SUMIFS(allorders!$O:$O,allorders!$L:$L,$A43,allorders!$AG:$AG,"&lt;="&amp;日期!$B$7,allorders!$AG:$AG,"&gt;="&amp;日期!$B$8)</f>
        <v>0</v>
      </c>
      <c r="E43">
        <f>SUMIFS(allorders!$O:$O,allorders!$L:$L,$A43,allorders!$AG:$AG,"&lt;="&amp;日期!$B$9,allorders!$AG:$AG,"&gt;="&amp;日期!$B$10)</f>
        <v>1</v>
      </c>
      <c r="F43">
        <f>SUMIFS(allorders!$O:$O,allorders!$L:$L,$A43,allorders!$AG:$AG,"&lt;="&amp;日期!$B$11,allorders!$AG:$AG,"&gt;="&amp;日期!$B$12)</f>
        <v>0</v>
      </c>
      <c r="G43">
        <f>SUMIFS(allorders!Q:Q,allorders!L:L,A43,allorders!AG:AG,"&lt;="&amp;日期!$B$5,allorders!AG:AG,"&gt;="&amp;日期!$B$12)/SUM(C43:F43)</f>
        <v>9.99</v>
      </c>
      <c r="H43">
        <f>SUMIFS(allorders!Q:Q,allorders!L:L,A43,allorders!AG:AG,"&gt;="&amp;日期!$B$12,allorders!AG:AG,"&lt;="&amp;日期!$B$5)</f>
        <v>9.99</v>
      </c>
      <c r="I43">
        <f t="shared" si="0"/>
        <v>1</v>
      </c>
    </row>
    <row r="44" spans="1:9">
      <c r="A44" s="9" t="s">
        <v>414</v>
      </c>
      <c r="B44" t="str">
        <f>VLOOKUP(A44,'[1]子sku-父sku'!$A:$B,2,0)</f>
        <v>MY71107</v>
      </c>
      <c r="C44">
        <f>SUMIFS(allorders!O:O,allorders!L:L,$A44,allorders!AG:AG,"&lt;="&amp;日期!$B$5,allorders!AG:AG,"&gt;="&amp;日期!$B$6)</f>
        <v>0</v>
      </c>
      <c r="D44">
        <f>SUMIFS(allorders!$O:$O,allorders!$L:$L,$A44,allorders!$AG:$AG,"&lt;="&amp;日期!$B$7,allorders!$AG:$AG,"&gt;="&amp;日期!$B$8)</f>
        <v>0</v>
      </c>
      <c r="E44">
        <f>SUMIFS(allorders!$O:$O,allorders!$L:$L,$A44,allorders!$AG:$AG,"&lt;="&amp;日期!$B$9,allorders!$AG:$AG,"&gt;="&amp;日期!$B$10)</f>
        <v>1</v>
      </c>
      <c r="F44">
        <f>SUMIFS(allorders!$O:$O,allorders!$L:$L,$A44,allorders!$AG:$AG,"&lt;="&amp;日期!$B$11,allorders!$AG:$AG,"&gt;="&amp;日期!$B$12)</f>
        <v>0</v>
      </c>
      <c r="G44">
        <f>SUMIFS(allorders!Q:Q,allorders!L:L,A44,allorders!AG:AG,"&lt;="&amp;日期!$B$5,allorders!AG:AG,"&gt;="&amp;日期!$B$12)/SUM(C44:F44)</f>
        <v>42.99</v>
      </c>
      <c r="H44">
        <f>SUMIFS(allorders!Q:Q,allorders!L:L,A44,allorders!AG:AG,"&gt;="&amp;日期!$B$12,allorders!AG:AG,"&lt;="&amp;日期!$B$5)</f>
        <v>42.99</v>
      </c>
      <c r="I44">
        <f t="shared" si="0"/>
        <v>1</v>
      </c>
    </row>
    <row r="45" spans="1:9">
      <c r="A45" s="9" t="s">
        <v>423</v>
      </c>
      <c r="B45" t="str">
        <f>VLOOKUP(A45,'[1]子sku-父sku'!$A:$B,2,0)</f>
        <v>DDHNY</v>
      </c>
      <c r="C45">
        <f>SUMIFS(allorders!O:O,allorders!L:L,$A45,allorders!AG:AG,"&lt;="&amp;日期!$B$5,allorders!AG:AG,"&gt;="&amp;日期!$B$6)</f>
        <v>0</v>
      </c>
      <c r="D45">
        <f>SUMIFS(allorders!$O:$O,allorders!$L:$L,$A45,allorders!$AG:$AG,"&lt;="&amp;日期!$B$7,allorders!$AG:$AG,"&gt;="&amp;日期!$B$8)</f>
        <v>1</v>
      </c>
      <c r="E45">
        <f>SUMIFS(allorders!$O:$O,allorders!$L:$L,$A45,allorders!$AG:$AG,"&lt;="&amp;日期!$B$9,allorders!$AG:$AG,"&gt;="&amp;日期!$B$10)</f>
        <v>2</v>
      </c>
      <c r="F45">
        <f>SUMIFS(allorders!$O:$O,allorders!$L:$L,$A45,allorders!$AG:$AG,"&lt;="&amp;日期!$B$11,allorders!$AG:$AG,"&gt;="&amp;日期!$B$12)</f>
        <v>0</v>
      </c>
      <c r="G45">
        <f>SUMIFS(allorders!Q:Q,allorders!L:L,A45,allorders!AG:AG,"&lt;="&amp;日期!$B$5,allorders!AG:AG,"&gt;="&amp;日期!$B$12)/SUM(C45:F45)</f>
        <v>15.99</v>
      </c>
      <c r="H45">
        <f>SUMIFS(allorders!Q:Q,allorders!L:L,A45,allorders!AG:AG,"&gt;="&amp;日期!$B$12,allorders!AG:AG,"&lt;="&amp;日期!$B$5)</f>
        <v>47.97</v>
      </c>
      <c r="I45">
        <f t="shared" si="0"/>
        <v>3</v>
      </c>
    </row>
    <row r="46" spans="1:9">
      <c r="A46" s="9" t="s">
        <v>431</v>
      </c>
      <c r="B46" t="str">
        <f>VLOOKUP(A46,'[1]子sku-父sku'!$A:$B,2,0)</f>
        <v>N029Y</v>
      </c>
      <c r="C46">
        <f>SUMIFS(allorders!O:O,allorders!L:L,$A46,allorders!AG:AG,"&lt;="&amp;日期!$B$5,allorders!AG:AG,"&gt;="&amp;日期!$B$6)</f>
        <v>0</v>
      </c>
      <c r="D46">
        <f>SUMIFS(allorders!$O:$O,allorders!$L:$L,$A46,allorders!$AG:$AG,"&lt;="&amp;日期!$B$7,allorders!$AG:$AG,"&gt;="&amp;日期!$B$8)</f>
        <v>0</v>
      </c>
      <c r="E46">
        <f>SUMIFS(allorders!$O:$O,allorders!$L:$L,$A46,allorders!$AG:$AG,"&lt;="&amp;日期!$B$9,allorders!$AG:$AG,"&gt;="&amp;日期!$B$10)</f>
        <v>1</v>
      </c>
      <c r="F46">
        <f>SUMIFS(allorders!$O:$O,allorders!$L:$L,$A46,allorders!$AG:$AG,"&lt;="&amp;日期!$B$11,allorders!$AG:$AG,"&gt;="&amp;日期!$B$12)</f>
        <v>0</v>
      </c>
      <c r="G46">
        <f>SUMIFS(allorders!Q:Q,allorders!L:L,A46,allorders!AG:AG,"&lt;="&amp;日期!$B$5,allorders!AG:AG,"&gt;="&amp;日期!$B$12)/SUM(C46:F46)</f>
        <v>8.08</v>
      </c>
      <c r="H46">
        <f>SUMIFS(allorders!Q:Q,allorders!L:L,A46,allorders!AG:AG,"&gt;="&amp;日期!$B$12,allorders!AG:AG,"&lt;="&amp;日期!$B$5)</f>
        <v>8.08</v>
      </c>
      <c r="I46">
        <f t="shared" si="0"/>
        <v>1</v>
      </c>
    </row>
    <row r="47" spans="1:9">
      <c r="A47" s="9" t="s">
        <v>448</v>
      </c>
      <c r="B47" t="str">
        <f>VLOOKUP(A47,'[1]子sku-父sku'!$A:$B,2,0)</f>
        <v>N31459Y</v>
      </c>
      <c r="C47">
        <f>SUMIFS(allorders!O:O,allorders!L:L,$A47,allorders!AG:AG,"&lt;="&amp;日期!$B$5,allorders!AG:AG,"&gt;="&amp;日期!$B$6)</f>
        <v>2</v>
      </c>
      <c r="D47">
        <f>SUMIFS(allorders!$O:$O,allorders!$L:$L,$A47,allorders!$AG:$AG,"&lt;="&amp;日期!$B$7,allorders!$AG:$AG,"&gt;="&amp;日期!$B$8)</f>
        <v>0</v>
      </c>
      <c r="E47">
        <f>SUMIFS(allorders!$O:$O,allorders!$L:$L,$A47,allorders!$AG:$AG,"&lt;="&amp;日期!$B$9,allorders!$AG:$AG,"&gt;="&amp;日期!$B$10)</f>
        <v>1</v>
      </c>
      <c r="F47">
        <f>SUMIFS(allorders!$O:$O,allorders!$L:$L,$A47,allorders!$AG:$AG,"&lt;="&amp;日期!$B$11,allorders!$AG:$AG,"&gt;="&amp;日期!$B$12)</f>
        <v>0</v>
      </c>
      <c r="G47">
        <f>SUMIFS(allorders!Q:Q,allorders!L:L,A47,allorders!AG:AG,"&lt;="&amp;日期!$B$5,allorders!AG:AG,"&gt;="&amp;日期!$B$12)/SUM(C47:F47)</f>
        <v>13.9</v>
      </c>
      <c r="H47">
        <f>SUMIFS(allorders!Q:Q,allorders!L:L,A47,allorders!AG:AG,"&gt;="&amp;日期!$B$12,allorders!AG:AG,"&lt;="&amp;日期!$B$5)</f>
        <v>41.7</v>
      </c>
      <c r="I47">
        <f t="shared" si="0"/>
        <v>3</v>
      </c>
    </row>
    <row r="48" spans="1:9">
      <c r="A48" s="9" t="s">
        <v>462</v>
      </c>
      <c r="B48" t="str">
        <f>VLOOKUP(A48,'[1]子sku-父sku'!$A:$B,2,0)</f>
        <v>N2716Y</v>
      </c>
      <c r="C48">
        <f>SUMIFS(allorders!O:O,allorders!L:L,$A48,allorders!AG:AG,"&lt;="&amp;日期!$B$5,allorders!AG:AG,"&gt;="&amp;日期!$B$6)</f>
        <v>1</v>
      </c>
      <c r="D48">
        <f>SUMIFS(allorders!$O:$O,allorders!$L:$L,$A48,allorders!$AG:$AG,"&lt;="&amp;日期!$B$7,allorders!$AG:$AG,"&gt;="&amp;日期!$B$8)</f>
        <v>1</v>
      </c>
      <c r="E48">
        <f>SUMIFS(allorders!$O:$O,allorders!$L:$L,$A48,allorders!$AG:$AG,"&lt;="&amp;日期!$B$9,allorders!$AG:$AG,"&gt;="&amp;日期!$B$10)</f>
        <v>1</v>
      </c>
      <c r="F48">
        <f>SUMIFS(allorders!$O:$O,allorders!$L:$L,$A48,allorders!$AG:$AG,"&lt;="&amp;日期!$B$11,allorders!$AG:$AG,"&gt;="&amp;日期!$B$12)</f>
        <v>0</v>
      </c>
      <c r="G48">
        <f>SUMIFS(allorders!Q:Q,allorders!L:L,A48,allorders!AG:AG,"&lt;="&amp;日期!$B$5,allorders!AG:AG,"&gt;="&amp;日期!$B$12)/SUM(C48:F48)</f>
        <v>9.99</v>
      </c>
      <c r="H48">
        <f>SUMIFS(allorders!Q:Q,allorders!L:L,A48,allorders!AG:AG,"&gt;="&amp;日期!$B$12,allorders!AG:AG,"&lt;="&amp;日期!$B$5)</f>
        <v>29.97</v>
      </c>
      <c r="I48">
        <f t="shared" si="0"/>
        <v>3</v>
      </c>
    </row>
    <row r="49" spans="1:9">
      <c r="A49" s="9" t="s">
        <v>479</v>
      </c>
      <c r="B49" t="str">
        <f>VLOOKUP(A49,'[1]子sku-父sku'!$A:$B,2,0)</f>
        <v>NY-B15021</v>
      </c>
      <c r="C49">
        <f>SUMIFS(allorders!O:O,allorders!L:L,$A49,allorders!AG:AG,"&lt;="&amp;日期!$B$5,allorders!AG:AG,"&gt;="&amp;日期!$B$6)</f>
        <v>1</v>
      </c>
      <c r="D49">
        <f>SUMIFS(allorders!$O:$O,allorders!$L:$L,$A49,allorders!$AG:$AG,"&lt;="&amp;日期!$B$7,allorders!$AG:$AG,"&gt;="&amp;日期!$B$8)</f>
        <v>0</v>
      </c>
      <c r="E49">
        <f>SUMIFS(allorders!$O:$O,allorders!$L:$L,$A49,allorders!$AG:$AG,"&lt;="&amp;日期!$B$9,allorders!$AG:$AG,"&gt;="&amp;日期!$B$10)</f>
        <v>1</v>
      </c>
      <c r="F49">
        <f>SUMIFS(allorders!$O:$O,allorders!$L:$L,$A49,allorders!$AG:$AG,"&lt;="&amp;日期!$B$11,allorders!$AG:$AG,"&gt;="&amp;日期!$B$12)</f>
        <v>0</v>
      </c>
      <c r="G49">
        <f>SUMIFS(allorders!Q:Q,allorders!L:L,A49,allorders!AG:AG,"&lt;="&amp;日期!$B$5,allorders!AG:AG,"&gt;="&amp;日期!$B$12)/SUM(C49:F49)</f>
        <v>16.99</v>
      </c>
      <c r="H49">
        <f>SUMIFS(allorders!Q:Q,allorders!L:L,A49,allorders!AG:AG,"&gt;="&amp;日期!$B$12,allorders!AG:AG,"&lt;="&amp;日期!$B$5)</f>
        <v>33.98</v>
      </c>
      <c r="I49">
        <f t="shared" si="0"/>
        <v>2</v>
      </c>
    </row>
    <row r="50" spans="1:9">
      <c r="A50" s="9" t="s">
        <v>487</v>
      </c>
      <c r="B50" t="str">
        <f>VLOOKUP(A50,'[1]子sku-父sku'!$A:$B,2,0)</f>
        <v>DDBNY</v>
      </c>
      <c r="C50">
        <f>SUMIFS(allorders!O:O,allorders!L:L,$A50,allorders!AG:AG,"&lt;="&amp;日期!$B$5,allorders!AG:AG,"&gt;="&amp;日期!$B$6)</f>
        <v>0</v>
      </c>
      <c r="D50">
        <f>SUMIFS(allorders!$O:$O,allorders!$L:$L,$A50,allorders!$AG:$AG,"&lt;="&amp;日期!$B$7,allorders!$AG:$AG,"&gt;="&amp;日期!$B$8)</f>
        <v>0</v>
      </c>
      <c r="E50">
        <f>SUMIFS(allorders!$O:$O,allorders!$L:$L,$A50,allorders!$AG:$AG,"&lt;="&amp;日期!$B$9,allorders!$AG:$AG,"&gt;="&amp;日期!$B$10)</f>
        <v>1</v>
      </c>
      <c r="F50">
        <f>SUMIFS(allorders!$O:$O,allorders!$L:$L,$A50,allorders!$AG:$AG,"&lt;="&amp;日期!$B$11,allorders!$AG:$AG,"&gt;="&amp;日期!$B$12)</f>
        <v>0</v>
      </c>
      <c r="G50">
        <f>SUMIFS(allorders!Q:Q,allorders!L:L,A50,allorders!AG:AG,"&lt;="&amp;日期!$B$5,allorders!AG:AG,"&gt;="&amp;日期!$B$12)/SUM(C50:F50)</f>
        <v>15.99</v>
      </c>
      <c r="H50">
        <f>SUMIFS(allorders!Q:Q,allorders!L:L,A50,allorders!AG:AG,"&gt;="&amp;日期!$B$12,allorders!AG:AG,"&lt;="&amp;日期!$B$5)</f>
        <v>15.99</v>
      </c>
      <c r="I50">
        <f t="shared" si="0"/>
        <v>1</v>
      </c>
    </row>
    <row r="51" spans="1:9">
      <c r="A51" s="9" t="s">
        <v>505</v>
      </c>
      <c r="B51" t="str">
        <f>VLOOKUP(A51,'[1]子sku-父sku'!$A:$B,2,0)</f>
        <v>NY-B15021</v>
      </c>
      <c r="C51">
        <f>SUMIFS(allorders!O:O,allorders!L:L,$A51,allorders!AG:AG,"&lt;="&amp;日期!$B$5,allorders!AG:AG,"&gt;="&amp;日期!$B$6)</f>
        <v>0</v>
      </c>
      <c r="D51">
        <f>SUMIFS(allorders!$O:$O,allorders!$L:$L,$A51,allorders!$AG:$AG,"&lt;="&amp;日期!$B$7,allorders!$AG:$AG,"&gt;="&amp;日期!$B$8)</f>
        <v>1</v>
      </c>
      <c r="E51">
        <f>SUMIFS(allorders!$O:$O,allorders!$L:$L,$A51,allorders!$AG:$AG,"&lt;="&amp;日期!$B$9,allorders!$AG:$AG,"&gt;="&amp;日期!$B$10)</f>
        <v>1</v>
      </c>
      <c r="F51">
        <f>SUMIFS(allorders!$O:$O,allorders!$L:$L,$A51,allorders!$AG:$AG,"&lt;="&amp;日期!$B$11,allorders!$AG:$AG,"&gt;="&amp;日期!$B$12)</f>
        <v>0</v>
      </c>
      <c r="G51">
        <f>SUMIFS(allorders!Q:Q,allorders!L:L,A51,allorders!AG:AG,"&lt;="&amp;日期!$B$5,allorders!AG:AG,"&gt;="&amp;日期!$B$12)/SUM(C51:F51)</f>
        <v>16.99</v>
      </c>
      <c r="H51">
        <f>SUMIFS(allorders!Q:Q,allorders!L:L,A51,allorders!AG:AG,"&gt;="&amp;日期!$B$12,allorders!AG:AG,"&lt;="&amp;日期!$B$5)</f>
        <v>33.98</v>
      </c>
      <c r="I51">
        <f t="shared" si="0"/>
        <v>2</v>
      </c>
    </row>
    <row r="52" spans="1:9">
      <c r="A52" s="9" t="s">
        <v>512</v>
      </c>
      <c r="B52" t="str">
        <f>VLOOKUP(A52,'[1]子sku-父sku'!$A:$B,2,0)</f>
        <v>NY-B15016</v>
      </c>
      <c r="C52">
        <f>SUMIFS(allorders!O:O,allorders!L:L,$A52,allorders!AG:AG,"&lt;="&amp;日期!$B$5,allorders!AG:AG,"&gt;="&amp;日期!$B$6)</f>
        <v>0</v>
      </c>
      <c r="D52">
        <f>SUMIFS(allorders!$O:$O,allorders!$L:$L,$A52,allorders!$AG:$AG,"&lt;="&amp;日期!$B$7,allorders!$AG:$AG,"&gt;="&amp;日期!$B$8)</f>
        <v>0</v>
      </c>
      <c r="E52">
        <f>SUMIFS(allorders!$O:$O,allorders!$L:$L,$A52,allorders!$AG:$AG,"&lt;="&amp;日期!$B$9,allorders!$AG:$AG,"&gt;="&amp;日期!$B$10)</f>
        <v>1</v>
      </c>
      <c r="F52">
        <f>SUMIFS(allorders!$O:$O,allorders!$L:$L,$A52,allorders!$AG:$AG,"&lt;="&amp;日期!$B$11,allorders!$AG:$AG,"&gt;="&amp;日期!$B$12)</f>
        <v>0</v>
      </c>
      <c r="G52">
        <f>SUMIFS(allorders!Q:Q,allorders!L:L,A52,allorders!AG:AG,"&lt;="&amp;日期!$B$5,allorders!AG:AG,"&gt;="&amp;日期!$B$12)/SUM(C52:F52)</f>
        <v>18.99</v>
      </c>
      <c r="H52">
        <f>SUMIFS(allorders!Q:Q,allorders!L:L,A52,allorders!AG:AG,"&gt;="&amp;日期!$B$12,allorders!AG:AG,"&lt;="&amp;日期!$B$5)</f>
        <v>18.99</v>
      </c>
      <c r="I52">
        <f t="shared" si="0"/>
        <v>1</v>
      </c>
    </row>
    <row r="53" spans="1:9">
      <c r="A53" s="9" t="s">
        <v>519</v>
      </c>
      <c r="B53" t="str">
        <f>VLOOKUP(A53,'[1]子sku-父sku'!$A:$B,2,0)</f>
        <v>GJHNY</v>
      </c>
      <c r="C53">
        <f>SUMIFS(allorders!O:O,allorders!L:L,$A53,allorders!AG:AG,"&lt;="&amp;日期!$B$5,allorders!AG:AG,"&gt;="&amp;日期!$B$6)</f>
        <v>1</v>
      </c>
      <c r="D53">
        <f>SUMIFS(allorders!$O:$O,allorders!$L:$L,$A53,allorders!$AG:$AG,"&lt;="&amp;日期!$B$7,allorders!$AG:$AG,"&gt;="&amp;日期!$B$8)</f>
        <v>0</v>
      </c>
      <c r="E53">
        <f>SUMIFS(allorders!$O:$O,allorders!$L:$L,$A53,allorders!$AG:$AG,"&lt;="&amp;日期!$B$9,allorders!$AG:$AG,"&gt;="&amp;日期!$B$10)</f>
        <v>1</v>
      </c>
      <c r="F53">
        <f>SUMIFS(allorders!$O:$O,allorders!$L:$L,$A53,allorders!$AG:$AG,"&lt;="&amp;日期!$B$11,allorders!$AG:$AG,"&gt;="&amp;日期!$B$12)</f>
        <v>0</v>
      </c>
      <c r="G53">
        <f>SUMIFS(allorders!Q:Q,allorders!L:L,A53,allorders!AG:AG,"&lt;="&amp;日期!$B$5,allorders!AG:AG,"&gt;="&amp;日期!$B$12)/SUM(C53:F53)</f>
        <v>15.99</v>
      </c>
      <c r="H53">
        <f>SUMIFS(allorders!Q:Q,allorders!L:L,A53,allorders!AG:AG,"&gt;="&amp;日期!$B$12,allorders!AG:AG,"&lt;="&amp;日期!$B$5)</f>
        <v>31.98</v>
      </c>
      <c r="I53">
        <f t="shared" si="0"/>
        <v>2</v>
      </c>
    </row>
    <row r="54" spans="1:9">
      <c r="A54" s="9" t="s">
        <v>533</v>
      </c>
      <c r="B54" t="str">
        <f>VLOOKUP(A54,'[1]子sku-父sku'!$A:$B,2,0)</f>
        <v>NY-B15021</v>
      </c>
      <c r="C54">
        <f>SUMIFS(allorders!O:O,allorders!L:L,$A54,allorders!AG:AG,"&lt;="&amp;日期!$B$5,allorders!AG:AG,"&gt;="&amp;日期!$B$6)</f>
        <v>0</v>
      </c>
      <c r="D54">
        <f>SUMIFS(allorders!$O:$O,allorders!$L:$L,$A54,allorders!$AG:$AG,"&lt;="&amp;日期!$B$7,allorders!$AG:$AG,"&gt;="&amp;日期!$B$8)</f>
        <v>0</v>
      </c>
      <c r="E54">
        <f>SUMIFS(allorders!$O:$O,allorders!$L:$L,$A54,allorders!$AG:$AG,"&lt;="&amp;日期!$B$9,allorders!$AG:$AG,"&gt;="&amp;日期!$B$10)</f>
        <v>1</v>
      </c>
      <c r="F54">
        <f>SUMIFS(allorders!$O:$O,allorders!$L:$L,$A54,allorders!$AG:$AG,"&lt;="&amp;日期!$B$11,allorders!$AG:$AG,"&gt;="&amp;日期!$B$12)</f>
        <v>0</v>
      </c>
      <c r="G54">
        <f>SUMIFS(allorders!Q:Q,allorders!L:L,A54,allorders!AG:AG,"&lt;="&amp;日期!$B$5,allorders!AG:AG,"&gt;="&amp;日期!$B$12)/SUM(C54:F54)</f>
        <v>18.99</v>
      </c>
      <c r="H54">
        <f>SUMIFS(allorders!Q:Q,allorders!L:L,A54,allorders!AG:AG,"&gt;="&amp;日期!$B$12,allorders!AG:AG,"&lt;="&amp;日期!$B$5)</f>
        <v>18.99</v>
      </c>
      <c r="I54">
        <f t="shared" si="0"/>
        <v>1</v>
      </c>
    </row>
    <row r="55" spans="1:9">
      <c r="A55" s="9" t="s">
        <v>542</v>
      </c>
      <c r="B55" t="str">
        <f>VLOOKUP(A55,'[1]子sku-父sku'!$A:$B,2,0)</f>
        <v>XTLA</v>
      </c>
      <c r="C55">
        <f>SUMIFS(allorders!O:O,allorders!L:L,$A55,allorders!AG:AG,"&lt;="&amp;日期!$B$5,allorders!AG:AG,"&gt;="&amp;日期!$B$6)</f>
        <v>0</v>
      </c>
      <c r="D55">
        <f>SUMIFS(allorders!$O:$O,allorders!$L:$L,$A55,allorders!$AG:$AG,"&lt;="&amp;日期!$B$7,allorders!$AG:$AG,"&gt;="&amp;日期!$B$8)</f>
        <v>0</v>
      </c>
      <c r="E55">
        <f>SUMIFS(allorders!$O:$O,allorders!$L:$L,$A55,allorders!$AG:$AG,"&lt;="&amp;日期!$B$9,allorders!$AG:$AG,"&gt;="&amp;日期!$B$10)</f>
        <v>1</v>
      </c>
      <c r="F55">
        <f>SUMIFS(allorders!$O:$O,allorders!$L:$L,$A55,allorders!$AG:$AG,"&lt;="&amp;日期!$B$11,allorders!$AG:$AG,"&gt;="&amp;日期!$B$12)</f>
        <v>0</v>
      </c>
      <c r="G55">
        <f>SUMIFS(allorders!Q:Q,allorders!L:L,A55,allorders!AG:AG,"&lt;="&amp;日期!$B$5,allorders!AG:AG,"&gt;="&amp;日期!$B$12)/SUM(C55:F55)</f>
        <v>8.79</v>
      </c>
      <c r="H55">
        <f>SUMIFS(allorders!Q:Q,allorders!L:L,A55,allorders!AG:AG,"&gt;="&amp;日期!$B$12,allorders!AG:AG,"&lt;="&amp;日期!$B$5)</f>
        <v>8.79</v>
      </c>
      <c r="I55">
        <f t="shared" si="0"/>
        <v>1</v>
      </c>
    </row>
    <row r="56" spans="1:9">
      <c r="A56" s="9" t="s">
        <v>549</v>
      </c>
      <c r="B56" t="str">
        <f>VLOOKUP(A56,'[1]子sku-父sku'!$A:$B,2,0)</f>
        <v>MZCXK</v>
      </c>
      <c r="C56">
        <f>SUMIFS(allorders!O:O,allorders!L:L,$A56,allorders!AG:AG,"&lt;="&amp;日期!$B$5,allorders!AG:AG,"&gt;="&amp;日期!$B$6)</f>
        <v>1</v>
      </c>
      <c r="D56">
        <f>SUMIFS(allorders!$O:$O,allorders!$L:$L,$A56,allorders!$AG:$AG,"&lt;="&amp;日期!$B$7,allorders!$AG:$AG,"&gt;="&amp;日期!$B$8)</f>
        <v>0</v>
      </c>
      <c r="E56">
        <f>SUMIFS(allorders!$O:$O,allorders!$L:$L,$A56,allorders!$AG:$AG,"&lt;="&amp;日期!$B$9,allorders!$AG:$AG,"&gt;="&amp;日期!$B$10)</f>
        <v>1</v>
      </c>
      <c r="F56">
        <f>SUMIFS(allorders!$O:$O,allorders!$L:$L,$A56,allorders!$AG:$AG,"&lt;="&amp;日期!$B$11,allorders!$AG:$AG,"&gt;="&amp;日期!$B$12)</f>
        <v>0</v>
      </c>
      <c r="G56">
        <f>SUMIFS(allorders!Q:Q,allorders!L:L,A56,allorders!AG:AG,"&lt;="&amp;日期!$B$5,allorders!AG:AG,"&gt;="&amp;日期!$B$12)/SUM(C56:F56)</f>
        <v>7.99</v>
      </c>
      <c r="H56">
        <f>SUMIFS(allorders!Q:Q,allorders!L:L,A56,allorders!AG:AG,"&gt;="&amp;日期!$B$12,allorders!AG:AG,"&lt;="&amp;日期!$B$5)</f>
        <v>15.98</v>
      </c>
      <c r="I56">
        <f t="shared" si="0"/>
        <v>2</v>
      </c>
    </row>
    <row r="57" spans="1:9">
      <c r="A57" s="9" t="s">
        <v>558</v>
      </c>
      <c r="B57" t="str">
        <f>VLOOKUP(A57,'[1]子sku-父sku'!$A:$B,2,0)</f>
        <v>MY71115</v>
      </c>
      <c r="C57">
        <f>SUMIFS(allorders!O:O,allorders!L:L,$A57,allorders!AG:AG,"&lt;="&amp;日期!$B$5,allorders!AG:AG,"&gt;="&amp;日期!$B$6)</f>
        <v>0</v>
      </c>
      <c r="D57">
        <f>SUMIFS(allorders!$O:$O,allorders!$L:$L,$A57,allorders!$AG:$AG,"&lt;="&amp;日期!$B$7,allorders!$AG:$AG,"&gt;="&amp;日期!$B$8)</f>
        <v>0</v>
      </c>
      <c r="E57">
        <f>SUMIFS(allorders!$O:$O,allorders!$L:$L,$A57,allorders!$AG:$AG,"&lt;="&amp;日期!$B$9,allorders!$AG:$AG,"&gt;="&amp;日期!$B$10)</f>
        <v>1</v>
      </c>
      <c r="F57">
        <f>SUMIFS(allorders!$O:$O,allorders!$L:$L,$A57,allorders!$AG:$AG,"&lt;="&amp;日期!$B$11,allorders!$AG:$AG,"&gt;="&amp;日期!$B$12)</f>
        <v>0</v>
      </c>
      <c r="G57">
        <f>SUMIFS(allorders!Q:Q,allorders!L:L,A57,allorders!AG:AG,"&lt;="&amp;日期!$B$5,allorders!AG:AG,"&gt;="&amp;日期!$B$12)/SUM(C57:F57)</f>
        <v>42.99</v>
      </c>
      <c r="H57">
        <f>SUMIFS(allorders!Q:Q,allorders!L:L,A57,allorders!AG:AG,"&gt;="&amp;日期!$B$12,allorders!AG:AG,"&lt;="&amp;日期!$B$5)</f>
        <v>42.99</v>
      </c>
      <c r="I57">
        <f t="shared" si="0"/>
        <v>1</v>
      </c>
    </row>
    <row r="58" spans="1:9">
      <c r="A58" s="9" t="s">
        <v>571</v>
      </c>
      <c r="B58" t="str">
        <f>VLOOKUP(A58,'[1]子sku-父sku'!$A:$B,2,0)</f>
        <v>N3818-2Y</v>
      </c>
      <c r="C58">
        <f>SUMIFS(allorders!O:O,allorders!L:L,$A58,allorders!AG:AG,"&lt;="&amp;日期!$B$5,allorders!AG:AG,"&gt;="&amp;日期!$B$6)</f>
        <v>1</v>
      </c>
      <c r="D58">
        <f>SUMIFS(allorders!$O:$O,allorders!$L:$L,$A58,allorders!$AG:$AG,"&lt;="&amp;日期!$B$7,allorders!$AG:$AG,"&gt;="&amp;日期!$B$8)</f>
        <v>1</v>
      </c>
      <c r="E58">
        <f>SUMIFS(allorders!$O:$O,allorders!$L:$L,$A58,allorders!$AG:$AG,"&lt;="&amp;日期!$B$9,allorders!$AG:$AG,"&gt;="&amp;日期!$B$10)</f>
        <v>0</v>
      </c>
      <c r="F58">
        <f>SUMIFS(allorders!$O:$O,allorders!$L:$L,$A58,allorders!$AG:$AG,"&lt;="&amp;日期!$B$11,allorders!$AG:$AG,"&gt;="&amp;日期!$B$12)</f>
        <v>0</v>
      </c>
      <c r="G58">
        <f>SUMIFS(allorders!Q:Q,allorders!L:L,A58,allorders!AG:AG,"&lt;="&amp;日期!$B$5,allorders!AG:AG,"&gt;="&amp;日期!$B$12)/SUM(C58:F58)</f>
        <v>8.86</v>
      </c>
      <c r="H58">
        <f>SUMIFS(allorders!Q:Q,allorders!L:L,A58,allorders!AG:AG,"&gt;="&amp;日期!$B$12,allorders!AG:AG,"&lt;="&amp;日期!$B$5)</f>
        <v>17.72</v>
      </c>
      <c r="I58">
        <f t="shared" si="0"/>
        <v>2</v>
      </c>
    </row>
    <row r="59" spans="1:9">
      <c r="A59" s="9" t="s">
        <v>583</v>
      </c>
      <c r="B59" t="str">
        <f>VLOOKUP(A59,'[1]子sku-父sku'!$A:$B,2,0)</f>
        <v>NY-B15021</v>
      </c>
      <c r="C59">
        <f>SUMIFS(allorders!O:O,allorders!L:L,$A59,allorders!AG:AG,"&lt;="&amp;日期!$B$5,allorders!AG:AG,"&gt;="&amp;日期!$B$6)</f>
        <v>0</v>
      </c>
      <c r="D59">
        <f>SUMIFS(allorders!$O:$O,allorders!$L:$L,$A59,allorders!$AG:$AG,"&lt;="&amp;日期!$B$7,allorders!$AG:$AG,"&gt;="&amp;日期!$B$8)</f>
        <v>1</v>
      </c>
      <c r="E59">
        <f>SUMIFS(allorders!$O:$O,allorders!$L:$L,$A59,allorders!$AG:$AG,"&lt;="&amp;日期!$B$9,allorders!$AG:$AG,"&gt;="&amp;日期!$B$10)</f>
        <v>0</v>
      </c>
      <c r="F59">
        <f>SUMIFS(allorders!$O:$O,allorders!$L:$L,$A59,allorders!$AG:$AG,"&lt;="&amp;日期!$B$11,allorders!$AG:$AG,"&gt;="&amp;日期!$B$12)</f>
        <v>0</v>
      </c>
      <c r="G59">
        <f>SUMIFS(allorders!Q:Q,allorders!L:L,A59,allorders!AG:AG,"&lt;="&amp;日期!$B$5,allorders!AG:AG,"&gt;="&amp;日期!$B$12)/SUM(C59:F59)</f>
        <v>15.19</v>
      </c>
      <c r="H59">
        <f>SUMIFS(allorders!Q:Q,allorders!L:L,A59,allorders!AG:AG,"&gt;="&amp;日期!$B$12,allorders!AG:AG,"&lt;="&amp;日期!$B$5)</f>
        <v>15.19</v>
      </c>
      <c r="I59">
        <f t="shared" si="0"/>
        <v>1</v>
      </c>
    </row>
    <row r="60" spans="1:9">
      <c r="A60" s="9" t="s">
        <v>591</v>
      </c>
      <c r="B60" t="str">
        <f>VLOOKUP(A60,'[1]子sku-父sku'!$A:$B,2,0)</f>
        <v>N2716Y</v>
      </c>
      <c r="C60">
        <f>SUMIFS(allorders!O:O,allorders!L:L,$A60,allorders!AG:AG,"&lt;="&amp;日期!$B$5,allorders!AG:AG,"&gt;="&amp;日期!$B$6)</f>
        <v>3</v>
      </c>
      <c r="D60">
        <f>SUMIFS(allorders!$O:$O,allorders!$L:$L,$A60,allorders!$AG:$AG,"&lt;="&amp;日期!$B$7,allorders!$AG:$AG,"&gt;="&amp;日期!$B$8)</f>
        <v>1</v>
      </c>
      <c r="E60">
        <f>SUMIFS(allorders!$O:$O,allorders!$L:$L,$A60,allorders!$AG:$AG,"&lt;="&amp;日期!$B$9,allorders!$AG:$AG,"&gt;="&amp;日期!$B$10)</f>
        <v>0</v>
      </c>
      <c r="F60">
        <f>SUMIFS(allorders!$O:$O,allorders!$L:$L,$A60,allorders!$AG:$AG,"&lt;="&amp;日期!$B$11,allorders!$AG:$AG,"&gt;="&amp;日期!$B$12)</f>
        <v>0</v>
      </c>
      <c r="G60">
        <f>SUMIFS(allorders!Q:Q,allorders!L:L,A60,allorders!AG:AG,"&lt;="&amp;日期!$B$5,allorders!AG:AG,"&gt;="&amp;日期!$B$12)/SUM(C60:F60)</f>
        <v>5.41</v>
      </c>
      <c r="H60">
        <f>SUMIFS(allorders!Q:Q,allorders!L:L,A60,allorders!AG:AG,"&gt;="&amp;日期!$B$12,allorders!AG:AG,"&lt;="&amp;日期!$B$5)</f>
        <v>21.64</v>
      </c>
      <c r="I60">
        <f t="shared" si="0"/>
        <v>4</v>
      </c>
    </row>
    <row r="61" spans="1:9">
      <c r="A61" s="9" t="s">
        <v>602</v>
      </c>
      <c r="B61" t="str">
        <f>VLOOKUP(A61,'[1]子sku-父sku'!$A:$B,2,0)</f>
        <v>N039Y</v>
      </c>
      <c r="C61">
        <f>SUMIFS(allorders!O:O,allorders!L:L,$A61,allorders!AG:AG,"&lt;="&amp;日期!$B$5,allorders!AG:AG,"&gt;="&amp;日期!$B$6)</f>
        <v>0</v>
      </c>
      <c r="D61">
        <f>SUMIFS(allorders!$O:$O,allorders!$L:$L,$A61,allorders!$AG:$AG,"&lt;="&amp;日期!$B$7,allorders!$AG:$AG,"&gt;="&amp;日期!$B$8)</f>
        <v>1</v>
      </c>
      <c r="E61">
        <f>SUMIFS(allorders!$O:$O,allorders!$L:$L,$A61,allorders!$AG:$AG,"&lt;="&amp;日期!$B$9,allorders!$AG:$AG,"&gt;="&amp;日期!$B$10)</f>
        <v>0</v>
      </c>
      <c r="F61">
        <f>SUMIFS(allorders!$O:$O,allorders!$L:$L,$A61,allorders!$AG:$AG,"&lt;="&amp;日期!$B$11,allorders!$AG:$AG,"&gt;="&amp;日期!$B$12)</f>
        <v>0</v>
      </c>
      <c r="G61">
        <f>SUMIFS(allorders!Q:Q,allorders!L:L,A61,allorders!AG:AG,"&lt;="&amp;日期!$B$5,allorders!AG:AG,"&gt;="&amp;日期!$B$12)/SUM(C61:F61)</f>
        <v>9.99</v>
      </c>
      <c r="H61">
        <f>SUMIFS(allorders!Q:Q,allorders!L:L,A61,allorders!AG:AG,"&gt;="&amp;日期!$B$12,allorders!AG:AG,"&lt;="&amp;日期!$B$5)</f>
        <v>9.99</v>
      </c>
      <c r="I61">
        <f t="shared" si="0"/>
        <v>1</v>
      </c>
    </row>
    <row r="62" spans="1:9">
      <c r="A62" s="9" t="s">
        <v>625</v>
      </c>
      <c r="B62" t="str">
        <f>VLOOKUP(A62,'[1]子sku-父sku'!$A:$B,2,0)</f>
        <v>NY-B15021</v>
      </c>
      <c r="C62">
        <f>SUMIFS(allorders!O:O,allorders!L:L,$A62,allorders!AG:AG,"&lt;="&amp;日期!$B$5,allorders!AG:AG,"&gt;="&amp;日期!$B$6)</f>
        <v>1</v>
      </c>
      <c r="D62">
        <f>SUMIFS(allorders!$O:$O,allorders!$L:$L,$A62,allorders!$AG:$AG,"&lt;="&amp;日期!$B$7,allorders!$AG:$AG,"&gt;="&amp;日期!$B$8)</f>
        <v>1</v>
      </c>
      <c r="E62">
        <f>SUMIFS(allorders!$O:$O,allorders!$L:$L,$A62,allorders!$AG:$AG,"&lt;="&amp;日期!$B$9,allorders!$AG:$AG,"&gt;="&amp;日期!$B$10)</f>
        <v>0</v>
      </c>
      <c r="F62">
        <f>SUMIFS(allorders!$O:$O,allorders!$L:$L,$A62,allorders!$AG:$AG,"&lt;="&amp;日期!$B$11,allorders!$AG:$AG,"&gt;="&amp;日期!$B$12)</f>
        <v>0</v>
      </c>
      <c r="G62">
        <f>SUMIFS(allorders!Q:Q,allorders!L:L,A62,allorders!AG:AG,"&lt;="&amp;日期!$B$5,allorders!AG:AG,"&gt;="&amp;日期!$B$12)/SUM(C62:F62)</f>
        <v>16.99</v>
      </c>
      <c r="H62">
        <f>SUMIFS(allorders!Q:Q,allorders!L:L,A62,allorders!AG:AG,"&gt;="&amp;日期!$B$12,allorders!AG:AG,"&lt;="&amp;日期!$B$5)</f>
        <v>33.98</v>
      </c>
      <c r="I62">
        <f t="shared" si="0"/>
        <v>2</v>
      </c>
    </row>
    <row r="63" spans="1:9">
      <c r="A63" s="9" t="s">
        <v>633</v>
      </c>
      <c r="B63" t="str">
        <f>VLOOKUP(A63,'[1]子sku-父sku'!$A:$B,2,0)</f>
        <v>ZIMUYH</v>
      </c>
      <c r="C63">
        <f>SUMIFS(allorders!O:O,allorders!L:L,$A63,allorders!AG:AG,"&lt;="&amp;日期!$B$5,allorders!AG:AG,"&gt;="&amp;日期!$B$6)</f>
        <v>1</v>
      </c>
      <c r="D63">
        <f>SUMIFS(allorders!$O:$O,allorders!$L:$L,$A63,allorders!$AG:$AG,"&lt;="&amp;日期!$B$7,allorders!$AG:$AG,"&gt;="&amp;日期!$B$8)</f>
        <v>1</v>
      </c>
      <c r="E63">
        <f>SUMIFS(allorders!$O:$O,allorders!$L:$L,$A63,allorders!$AG:$AG,"&lt;="&amp;日期!$B$9,allorders!$AG:$AG,"&gt;="&amp;日期!$B$10)</f>
        <v>0</v>
      </c>
      <c r="F63">
        <f>SUMIFS(allorders!$O:$O,allorders!$L:$L,$A63,allorders!$AG:$AG,"&lt;="&amp;日期!$B$11,allorders!$AG:$AG,"&gt;="&amp;日期!$B$12)</f>
        <v>0</v>
      </c>
      <c r="G63">
        <f>SUMIFS(allorders!Q:Q,allorders!L:L,A63,allorders!AG:AG,"&lt;="&amp;日期!$B$5,allorders!AG:AG,"&gt;="&amp;日期!$B$12)/SUM(C63:F63)</f>
        <v>5.59</v>
      </c>
      <c r="H63">
        <f>SUMIFS(allorders!Q:Q,allorders!L:L,A63,allorders!AG:AG,"&gt;="&amp;日期!$B$12,allorders!AG:AG,"&lt;="&amp;日期!$B$5)</f>
        <v>11.18</v>
      </c>
      <c r="I63">
        <f t="shared" si="0"/>
        <v>2</v>
      </c>
    </row>
    <row r="64" spans="1:9">
      <c r="A64" s="9" t="s">
        <v>641</v>
      </c>
      <c r="B64" t="str">
        <f>VLOOKUP(A64,'[1]子sku-父sku'!$A:$B,2,0)</f>
        <v>N31459Y</v>
      </c>
      <c r="C64">
        <f>SUMIFS(allorders!O:O,allorders!L:L,$A64,allorders!AG:AG,"&lt;="&amp;日期!$B$5,allorders!AG:AG,"&gt;="&amp;日期!$B$6)</f>
        <v>0</v>
      </c>
      <c r="D64">
        <f>SUMIFS(allorders!$O:$O,allorders!$L:$L,$A64,allorders!$AG:$AG,"&lt;="&amp;日期!$B$7,allorders!$AG:$AG,"&gt;="&amp;日期!$B$8)</f>
        <v>1</v>
      </c>
      <c r="E64">
        <f>SUMIFS(allorders!$O:$O,allorders!$L:$L,$A64,allorders!$AG:$AG,"&lt;="&amp;日期!$B$9,allorders!$AG:$AG,"&gt;="&amp;日期!$B$10)</f>
        <v>0</v>
      </c>
      <c r="F64">
        <f>SUMIFS(allorders!$O:$O,allorders!$L:$L,$A64,allorders!$AG:$AG,"&lt;="&amp;日期!$B$11,allorders!$AG:$AG,"&gt;="&amp;日期!$B$12)</f>
        <v>0</v>
      </c>
      <c r="G64">
        <f>SUMIFS(allorders!Q:Q,allorders!L:L,A64,allorders!AG:AG,"&lt;="&amp;日期!$B$5,allorders!AG:AG,"&gt;="&amp;日期!$B$12)/SUM(C64:F64)</f>
        <v>13.9</v>
      </c>
      <c r="H64">
        <f>SUMIFS(allorders!Q:Q,allorders!L:L,A64,allorders!AG:AG,"&gt;="&amp;日期!$B$12,allorders!AG:AG,"&lt;="&amp;日期!$B$5)</f>
        <v>13.9</v>
      </c>
      <c r="I64">
        <f t="shared" si="0"/>
        <v>1</v>
      </c>
    </row>
    <row r="65" spans="1:9">
      <c r="A65" s="10" t="s">
        <v>649</v>
      </c>
      <c r="B65" t="str">
        <f>VLOOKUP(A65,'[1]子sku-父sku'!$A:$B,2,0)</f>
        <v>N2716Y</v>
      </c>
      <c r="C65">
        <f>SUMIFS(allorders!O:O,allorders!L:L,$A65,allorders!AG:AG,"&lt;="&amp;日期!$B$5,allorders!AG:AG,"&gt;="&amp;日期!$B$6)</f>
        <v>0</v>
      </c>
      <c r="D65">
        <f>SUMIFS(allorders!$O:$O,allorders!$L:$L,$A65,allorders!$AG:$AG,"&lt;="&amp;日期!$B$7,allorders!$AG:$AG,"&gt;="&amp;日期!$B$8)</f>
        <v>1</v>
      </c>
      <c r="E65">
        <f>SUMIFS(allorders!$O:$O,allorders!$L:$L,$A65,allorders!$AG:$AG,"&lt;="&amp;日期!$B$9,allorders!$AG:$AG,"&gt;="&amp;日期!$B$10)</f>
        <v>0</v>
      </c>
      <c r="F65">
        <f>SUMIFS(allorders!$O:$O,allorders!$L:$L,$A65,allorders!$AG:$AG,"&lt;="&amp;日期!$B$11,allorders!$AG:$AG,"&gt;="&amp;日期!$B$12)</f>
        <v>0</v>
      </c>
      <c r="G65">
        <f>SUMIFS(allorders!Q:Q,allorders!L:L,A65,allorders!AG:AG,"&lt;="&amp;日期!$B$5,allorders!AG:AG,"&gt;="&amp;日期!$B$12)/SUM(C65:F65)</f>
        <v>7.46</v>
      </c>
      <c r="H65">
        <f>SUMIFS(allorders!Q:Q,allorders!L:L,A65,allorders!AG:AG,"&gt;="&amp;日期!$B$12,allorders!AG:AG,"&lt;="&amp;日期!$B$5)</f>
        <v>7.46</v>
      </c>
      <c r="I65">
        <f t="shared" si="0"/>
        <v>1</v>
      </c>
    </row>
    <row r="66" spans="1:9">
      <c r="A66" s="10" t="s">
        <v>657</v>
      </c>
      <c r="B66" t="str">
        <f>VLOOKUP(A66,'[1]子sku-父sku'!$A:$B,2,0)</f>
        <v>MY71115</v>
      </c>
      <c r="C66">
        <f>SUMIFS(allorders!O:O,allorders!L:L,$A66,allorders!AG:AG,"&lt;="&amp;日期!$B$5,allorders!AG:AG,"&gt;="&amp;日期!$B$6)</f>
        <v>0</v>
      </c>
      <c r="D66">
        <f>SUMIFS(allorders!$O:$O,allorders!$L:$L,$A66,allorders!$AG:$AG,"&lt;="&amp;日期!$B$7,allorders!$AG:$AG,"&gt;="&amp;日期!$B$8)</f>
        <v>0</v>
      </c>
      <c r="E66">
        <f>SUMIFS(allorders!$O:$O,allorders!$L:$L,$A66,allorders!$AG:$AG,"&lt;="&amp;日期!$B$9,allorders!$AG:$AG,"&gt;="&amp;日期!$B$10)</f>
        <v>0</v>
      </c>
      <c r="F66">
        <f>SUMIFS(allorders!$O:$O,allorders!$L:$L,$A66,allorders!$AG:$AG,"&lt;="&amp;日期!$B$11,allorders!$AG:$AG,"&gt;="&amp;日期!$B$12)</f>
        <v>0</v>
      </c>
      <c r="G66" t="e">
        <f>SUMIFS(allorders!Q:Q,allorders!L:L,A66,allorders!AG:AG,"&lt;="&amp;日期!$B$5,allorders!AG:AG,"&gt;="&amp;日期!$B$12)/SUM(C66:F66)</f>
        <v>#DIV/0!</v>
      </c>
      <c r="H66">
        <f>SUMIFS(allorders!Q:Q,allorders!L:L,A66,allorders!AG:AG,"&gt;="&amp;日期!$B$12,allorders!AG:AG,"&lt;="&amp;日期!$B$5)</f>
        <v>0</v>
      </c>
      <c r="I66">
        <f t="shared" si="0"/>
        <v>0</v>
      </c>
    </row>
    <row r="67" spans="1:9">
      <c r="A67" s="9" t="s">
        <v>674</v>
      </c>
      <c r="B67" t="str">
        <f>VLOOKUP(A67,'[1]子sku-父sku'!$A:$B,2,0)</f>
        <v>NY-B15016</v>
      </c>
      <c r="C67">
        <f>SUMIFS(allorders!O:O,allorders!L:L,$A67,allorders!AG:AG,"&lt;="&amp;日期!$B$5,allorders!AG:AG,"&gt;="&amp;日期!$B$6)</f>
        <v>0</v>
      </c>
      <c r="D67">
        <f>SUMIFS(allorders!$O:$O,allorders!$L:$L,$A67,allorders!$AG:$AG,"&lt;="&amp;日期!$B$7,allorders!$AG:$AG,"&gt;="&amp;日期!$B$8)</f>
        <v>2</v>
      </c>
      <c r="E67">
        <f>SUMIFS(allorders!$O:$O,allorders!$L:$L,$A67,allorders!$AG:$AG,"&lt;="&amp;日期!$B$9,allorders!$AG:$AG,"&gt;="&amp;日期!$B$10)</f>
        <v>0</v>
      </c>
      <c r="F67">
        <f>SUMIFS(allorders!$O:$O,allorders!$L:$L,$A67,allorders!$AG:$AG,"&lt;="&amp;日期!$B$11,allorders!$AG:$AG,"&gt;="&amp;日期!$B$12)</f>
        <v>0</v>
      </c>
      <c r="G67">
        <f>SUMIFS(allorders!Q:Q,allorders!L:L,A67,allorders!AG:AG,"&lt;="&amp;日期!$B$5,allorders!AG:AG,"&gt;="&amp;日期!$B$12)/SUM(C67:F67)</f>
        <v>18.99</v>
      </c>
      <c r="H67">
        <f>SUMIFS(allorders!Q:Q,allorders!L:L,A67,allorders!AG:AG,"&gt;="&amp;日期!$B$12,allorders!AG:AG,"&lt;="&amp;日期!$B$5)</f>
        <v>37.98</v>
      </c>
      <c r="I67">
        <f t="shared" ref="I67:I94" si="1">SUM(C67:F67)</f>
        <v>2</v>
      </c>
    </row>
    <row r="68" spans="1:9">
      <c r="A68" s="9" t="s">
        <v>682</v>
      </c>
      <c r="B68" t="str">
        <f>VLOOKUP(A68,'[1]子sku-父sku'!$A:$B,2,0)</f>
        <v>N9383Y</v>
      </c>
      <c r="C68">
        <f>SUMIFS(allorders!O:O,allorders!L:L,$A68,allorders!AG:AG,"&lt;="&amp;日期!$B$5,allorders!AG:AG,"&gt;="&amp;日期!$B$6)</f>
        <v>0</v>
      </c>
      <c r="D68">
        <f>SUMIFS(allorders!$O:$O,allorders!$L:$L,$A68,allorders!$AG:$AG,"&lt;="&amp;日期!$B$7,allorders!$AG:$AG,"&gt;="&amp;日期!$B$8)</f>
        <v>1</v>
      </c>
      <c r="E68">
        <f>SUMIFS(allorders!$O:$O,allorders!$L:$L,$A68,allorders!$AG:$AG,"&lt;="&amp;日期!$B$9,allorders!$AG:$AG,"&gt;="&amp;日期!$B$10)</f>
        <v>0</v>
      </c>
      <c r="F68">
        <f>SUMIFS(allorders!$O:$O,allorders!$L:$L,$A68,allorders!$AG:$AG,"&lt;="&amp;日期!$B$11,allorders!$AG:$AG,"&gt;="&amp;日期!$B$12)</f>
        <v>0</v>
      </c>
      <c r="G68">
        <f>SUMIFS(allorders!Q:Q,allorders!L:L,A68,allorders!AG:AG,"&lt;="&amp;日期!$B$5,allorders!AG:AG,"&gt;="&amp;日期!$B$12)/SUM(C68:F68)</f>
        <v>12.9</v>
      </c>
      <c r="H68">
        <f>SUMIFS(allorders!Q:Q,allorders!L:L,A68,allorders!AG:AG,"&gt;="&amp;日期!$B$12,allorders!AG:AG,"&lt;="&amp;日期!$B$5)</f>
        <v>12.9</v>
      </c>
      <c r="I68">
        <f t="shared" si="1"/>
        <v>1</v>
      </c>
    </row>
    <row r="69" spans="1:9">
      <c r="A69" s="9" t="s">
        <v>690</v>
      </c>
      <c r="B69" t="str">
        <f>VLOOKUP(A69,'[1]子sku-父sku'!$A:$B,2,0)</f>
        <v>KTKXXK</v>
      </c>
      <c r="C69">
        <f>SUMIFS(allorders!O:O,allorders!L:L,$A69,allorders!AG:AG,"&lt;="&amp;日期!$B$5,allorders!AG:AG,"&gt;="&amp;日期!$B$6)</f>
        <v>0</v>
      </c>
      <c r="D69">
        <f>SUMIFS(allorders!$O:$O,allorders!$L:$L,$A69,allorders!$AG:$AG,"&lt;="&amp;日期!$B$7,allorders!$AG:$AG,"&gt;="&amp;日期!$B$8)</f>
        <v>1</v>
      </c>
      <c r="E69">
        <f>SUMIFS(allorders!$O:$O,allorders!$L:$L,$A69,allorders!$AG:$AG,"&lt;="&amp;日期!$B$9,allorders!$AG:$AG,"&gt;="&amp;日期!$B$10)</f>
        <v>0</v>
      </c>
      <c r="F69">
        <f>SUMIFS(allorders!$O:$O,allorders!$L:$L,$A69,allorders!$AG:$AG,"&lt;="&amp;日期!$B$11,allorders!$AG:$AG,"&gt;="&amp;日期!$B$12)</f>
        <v>0</v>
      </c>
      <c r="G69">
        <f>SUMIFS(allorders!Q:Q,allorders!L:L,A69,allorders!AG:AG,"&lt;="&amp;日期!$B$5,allorders!AG:AG,"&gt;="&amp;日期!$B$12)/SUM(C69:F69)</f>
        <v>23.9</v>
      </c>
      <c r="H69">
        <f>SUMIFS(allorders!Q:Q,allorders!L:L,A69,allorders!AG:AG,"&gt;="&amp;日期!$B$12,allorders!AG:AG,"&lt;="&amp;日期!$B$5)</f>
        <v>23.9</v>
      </c>
      <c r="I69">
        <f t="shared" si="1"/>
        <v>1</v>
      </c>
    </row>
    <row r="70" spans="1:9">
      <c r="A70" s="9" t="s">
        <v>710</v>
      </c>
      <c r="B70" t="str">
        <f>VLOOKUP(A70,'[1]子sku-父sku'!$A:$B,2,0)</f>
        <v>N039Y</v>
      </c>
      <c r="C70">
        <f>SUMIFS(allorders!O:O,allorders!L:L,$A70,allorders!AG:AG,"&lt;="&amp;日期!$B$5,allorders!AG:AG,"&gt;="&amp;日期!$B$6)</f>
        <v>0</v>
      </c>
      <c r="D70">
        <f>SUMIFS(allorders!$O:$O,allorders!$L:$L,$A70,allorders!$AG:$AG,"&lt;="&amp;日期!$B$7,allorders!$AG:$AG,"&gt;="&amp;日期!$B$8)</f>
        <v>1</v>
      </c>
      <c r="E70">
        <f>SUMIFS(allorders!$O:$O,allorders!$L:$L,$A70,allorders!$AG:$AG,"&lt;="&amp;日期!$B$9,allorders!$AG:$AG,"&gt;="&amp;日期!$B$10)</f>
        <v>0</v>
      </c>
      <c r="F70">
        <f>SUMIFS(allorders!$O:$O,allorders!$L:$L,$A70,allorders!$AG:$AG,"&lt;="&amp;日期!$B$11,allorders!$AG:$AG,"&gt;="&amp;日期!$B$12)</f>
        <v>0</v>
      </c>
      <c r="G70">
        <f>SUMIFS(allorders!Q:Q,allorders!L:L,A70,allorders!AG:AG,"&lt;="&amp;日期!$B$5,allorders!AG:AG,"&gt;="&amp;日期!$B$12)/SUM(C70:F70)</f>
        <v>9.99</v>
      </c>
      <c r="H70">
        <f>SUMIFS(allorders!Q:Q,allorders!L:L,A70,allorders!AG:AG,"&gt;="&amp;日期!$B$12,allorders!AG:AG,"&lt;="&amp;日期!$B$5)</f>
        <v>9.99</v>
      </c>
      <c r="I70">
        <f t="shared" si="1"/>
        <v>1</v>
      </c>
    </row>
    <row r="71" spans="1:9">
      <c r="A71" s="9" t="s">
        <v>716</v>
      </c>
      <c r="B71" t="str">
        <f>VLOOKUP(A71,'[1]子sku-父sku'!$A:$B,2,0)</f>
        <v>N299Y</v>
      </c>
      <c r="C71">
        <f>SUMIFS(allorders!O:O,allorders!L:L,$A71,allorders!AG:AG,"&lt;="&amp;日期!$B$5,allorders!AG:AG,"&gt;="&amp;日期!$B$6)</f>
        <v>1</v>
      </c>
      <c r="D71">
        <f>SUMIFS(allorders!$O:$O,allorders!$L:$L,$A71,allorders!$AG:$AG,"&lt;="&amp;日期!$B$7,allorders!$AG:$AG,"&gt;="&amp;日期!$B$8)</f>
        <v>1</v>
      </c>
      <c r="E71">
        <f>SUMIFS(allorders!$O:$O,allorders!$L:$L,$A71,allorders!$AG:$AG,"&lt;="&amp;日期!$B$9,allorders!$AG:$AG,"&gt;="&amp;日期!$B$10)</f>
        <v>0</v>
      </c>
      <c r="F71">
        <f>SUMIFS(allorders!$O:$O,allorders!$L:$L,$A71,allorders!$AG:$AG,"&lt;="&amp;日期!$B$11,allorders!$AG:$AG,"&gt;="&amp;日期!$B$12)</f>
        <v>0</v>
      </c>
      <c r="G71">
        <f>SUMIFS(allorders!Q:Q,allorders!L:L,A71,allorders!AG:AG,"&lt;="&amp;日期!$B$5,allorders!AG:AG,"&gt;="&amp;日期!$B$12)/SUM(C71:F71)</f>
        <v>13.9</v>
      </c>
      <c r="H71">
        <f>SUMIFS(allorders!Q:Q,allorders!L:L,A71,allorders!AG:AG,"&gt;="&amp;日期!$B$12,allorders!AG:AG,"&lt;="&amp;日期!$B$5)</f>
        <v>27.8</v>
      </c>
      <c r="I71">
        <f t="shared" si="1"/>
        <v>2</v>
      </c>
    </row>
    <row r="72" spans="1:9">
      <c r="A72" s="9" t="s">
        <v>725</v>
      </c>
      <c r="B72" t="str">
        <f>VLOOKUP(A72,'[1]子sku-父sku'!$A:$B,2,0)</f>
        <v>NY-B15021</v>
      </c>
      <c r="C72">
        <f>SUMIFS(allorders!O:O,allorders!L:L,$A72,allorders!AG:AG,"&lt;="&amp;日期!$B$5,allorders!AG:AG,"&gt;="&amp;日期!$B$6)</f>
        <v>0</v>
      </c>
      <c r="D72">
        <f>SUMIFS(allorders!$O:$O,allorders!$L:$L,$A72,allorders!$AG:$AG,"&lt;="&amp;日期!$B$7,allorders!$AG:$AG,"&gt;="&amp;日期!$B$8)</f>
        <v>1</v>
      </c>
      <c r="E72">
        <f>SUMIFS(allorders!$O:$O,allorders!$L:$L,$A72,allorders!$AG:$AG,"&lt;="&amp;日期!$B$9,allorders!$AG:$AG,"&gt;="&amp;日期!$B$10)</f>
        <v>0</v>
      </c>
      <c r="F72">
        <f>SUMIFS(allorders!$O:$O,allorders!$L:$L,$A72,allorders!$AG:$AG,"&lt;="&amp;日期!$B$11,allorders!$AG:$AG,"&gt;="&amp;日期!$B$12)</f>
        <v>0</v>
      </c>
      <c r="G72">
        <f>SUMIFS(allorders!Q:Q,allorders!L:L,A72,allorders!AG:AG,"&lt;="&amp;日期!$B$5,allorders!AG:AG,"&gt;="&amp;日期!$B$12)/SUM(C72:F72)</f>
        <v>16.99</v>
      </c>
      <c r="H72">
        <f>SUMIFS(allorders!Q:Q,allorders!L:L,A72,allorders!AG:AG,"&gt;="&amp;日期!$B$12,allorders!AG:AG,"&lt;="&amp;日期!$B$5)</f>
        <v>16.99</v>
      </c>
      <c r="I72">
        <f t="shared" si="1"/>
        <v>1</v>
      </c>
    </row>
    <row r="73" spans="1:9">
      <c r="A73" s="9" t="s">
        <v>733</v>
      </c>
      <c r="B73" t="str">
        <f>VLOOKUP(A73,'[1]子sku-父sku'!$A:$B,2,0)</f>
        <v>N31459Y</v>
      </c>
      <c r="C73">
        <f>SUMIFS(allorders!O:O,allorders!L:L,$A73,allorders!AG:AG,"&lt;="&amp;日期!$B$5,allorders!AG:AG,"&gt;="&amp;日期!$B$6)</f>
        <v>0</v>
      </c>
      <c r="D73">
        <f>SUMIFS(allorders!$O:$O,allorders!$L:$L,$A73,allorders!$AG:$AG,"&lt;="&amp;日期!$B$7,allorders!$AG:$AG,"&gt;="&amp;日期!$B$8)</f>
        <v>1</v>
      </c>
      <c r="E73">
        <f>SUMIFS(allorders!$O:$O,allorders!$L:$L,$A73,allorders!$AG:$AG,"&lt;="&amp;日期!$B$9,allorders!$AG:$AG,"&gt;="&amp;日期!$B$10)</f>
        <v>0</v>
      </c>
      <c r="F73">
        <f>SUMIFS(allorders!$O:$O,allorders!$L:$L,$A73,allorders!$AG:$AG,"&lt;="&amp;日期!$B$11,allorders!$AG:$AG,"&gt;="&amp;日期!$B$12)</f>
        <v>0</v>
      </c>
      <c r="G73">
        <f>SUMIFS(allorders!Q:Q,allorders!L:L,A73,allorders!AG:AG,"&lt;="&amp;日期!$B$5,allorders!AG:AG,"&gt;="&amp;日期!$B$12)/SUM(C73:F73)</f>
        <v>13.9</v>
      </c>
      <c r="H73">
        <f>SUMIFS(allorders!Q:Q,allorders!L:L,A73,allorders!AG:AG,"&gt;="&amp;日期!$B$12,allorders!AG:AG,"&lt;="&amp;日期!$B$5)</f>
        <v>13.9</v>
      </c>
      <c r="I73">
        <f t="shared" si="1"/>
        <v>1</v>
      </c>
    </row>
    <row r="74" spans="1:9">
      <c r="A74" s="9" t="s">
        <v>746</v>
      </c>
      <c r="B74" t="str">
        <f>VLOOKUP(A74,'[1]子sku-父sku'!$A:$B,2,0)</f>
        <v>N31459Y</v>
      </c>
      <c r="C74">
        <f>SUMIFS(allorders!O:O,allorders!L:L,$A74,allorders!AG:AG,"&lt;="&amp;日期!$B$5,allorders!AG:AG,"&gt;="&amp;日期!$B$6)</f>
        <v>1</v>
      </c>
      <c r="D74">
        <f>SUMIFS(allorders!$O:$O,allorders!$L:$L,$A74,allorders!$AG:$AG,"&lt;="&amp;日期!$B$7,allorders!$AG:$AG,"&gt;="&amp;日期!$B$8)</f>
        <v>1</v>
      </c>
      <c r="E74">
        <f>SUMIFS(allorders!$O:$O,allorders!$L:$L,$A74,allorders!$AG:$AG,"&lt;="&amp;日期!$B$9,allorders!$AG:$AG,"&gt;="&amp;日期!$B$10)</f>
        <v>0</v>
      </c>
      <c r="F74">
        <f>SUMIFS(allorders!$O:$O,allorders!$L:$L,$A74,allorders!$AG:$AG,"&lt;="&amp;日期!$B$11,allorders!$AG:$AG,"&gt;="&amp;日期!$B$12)</f>
        <v>0</v>
      </c>
      <c r="G74">
        <f>SUMIFS(allorders!Q:Q,allorders!L:L,A74,allorders!AG:AG,"&lt;="&amp;日期!$B$5,allorders!AG:AG,"&gt;="&amp;日期!$B$12)/SUM(C74:F74)</f>
        <v>13.9</v>
      </c>
      <c r="H74">
        <f>SUMIFS(allorders!Q:Q,allorders!L:L,A74,allorders!AG:AG,"&gt;="&amp;日期!$B$12,allorders!AG:AG,"&lt;="&amp;日期!$B$5)</f>
        <v>27.8</v>
      </c>
      <c r="I74">
        <f t="shared" si="1"/>
        <v>2</v>
      </c>
    </row>
    <row r="75" spans="1:9">
      <c r="A75" s="9" t="s">
        <v>754</v>
      </c>
      <c r="B75" t="str">
        <f>VLOOKUP(A75,'[1]子sku-父sku'!$A:$B,2,0)</f>
        <v>NY-B15021</v>
      </c>
      <c r="C75">
        <f>SUMIFS(allorders!O:O,allorders!L:L,$A75,allorders!AG:AG,"&lt;="&amp;日期!$B$5,allorders!AG:AG,"&gt;="&amp;日期!$B$6)</f>
        <v>0</v>
      </c>
      <c r="D75">
        <f>SUMIFS(allorders!$O:$O,allorders!$L:$L,$A75,allorders!$AG:$AG,"&lt;="&amp;日期!$B$7,allorders!$AG:$AG,"&gt;="&amp;日期!$B$8)</f>
        <v>1</v>
      </c>
      <c r="E75">
        <f>SUMIFS(allorders!$O:$O,allorders!$L:$L,$A75,allorders!$AG:$AG,"&lt;="&amp;日期!$B$9,allorders!$AG:$AG,"&gt;="&amp;日期!$B$10)</f>
        <v>0</v>
      </c>
      <c r="F75">
        <f>SUMIFS(allorders!$O:$O,allorders!$L:$L,$A75,allorders!$AG:$AG,"&lt;="&amp;日期!$B$11,allorders!$AG:$AG,"&gt;="&amp;日期!$B$12)</f>
        <v>0</v>
      </c>
      <c r="G75">
        <f>SUMIFS(allorders!Q:Q,allorders!L:L,A75,allorders!AG:AG,"&lt;="&amp;日期!$B$5,allorders!AG:AG,"&gt;="&amp;日期!$B$12)/SUM(C75:F75)</f>
        <v>18.99</v>
      </c>
      <c r="H75">
        <f>SUMIFS(allorders!Q:Q,allorders!L:L,A75,allorders!AG:AG,"&gt;="&amp;日期!$B$12,allorders!AG:AG,"&lt;="&amp;日期!$B$5)</f>
        <v>18.99</v>
      </c>
      <c r="I75">
        <f t="shared" si="1"/>
        <v>1</v>
      </c>
    </row>
    <row r="76" spans="1:9">
      <c r="A76" s="9" t="s">
        <v>762</v>
      </c>
      <c r="B76" t="str">
        <f>VLOOKUP(A76,'[1]子sku-父sku'!$A:$B,2,0)</f>
        <v>N029Y</v>
      </c>
      <c r="C76">
        <f>SUMIFS(allorders!O:O,allorders!L:L,$A76,allorders!AG:AG,"&lt;="&amp;日期!$B$5,allorders!AG:AG,"&gt;="&amp;日期!$B$6)</f>
        <v>1</v>
      </c>
      <c r="D76">
        <f>SUMIFS(allorders!$O:$O,allorders!$L:$L,$A76,allorders!$AG:$AG,"&lt;="&amp;日期!$B$7,allorders!$AG:$AG,"&gt;="&amp;日期!$B$8)</f>
        <v>1</v>
      </c>
      <c r="E76">
        <f>SUMIFS(allorders!$O:$O,allorders!$L:$L,$A76,allorders!$AG:$AG,"&lt;="&amp;日期!$B$9,allorders!$AG:$AG,"&gt;="&amp;日期!$B$10)</f>
        <v>0</v>
      </c>
      <c r="F76">
        <f>SUMIFS(allorders!$O:$O,allorders!$L:$L,$A76,allorders!$AG:$AG,"&lt;="&amp;日期!$B$11,allorders!$AG:$AG,"&gt;="&amp;日期!$B$12)</f>
        <v>0</v>
      </c>
      <c r="G76">
        <f>SUMIFS(allorders!Q:Q,allorders!L:L,A76,allorders!AG:AG,"&lt;="&amp;日期!$B$5,allorders!AG:AG,"&gt;="&amp;日期!$B$12)/SUM(C76:F76)</f>
        <v>7.68</v>
      </c>
      <c r="H76">
        <f>SUMIFS(allorders!Q:Q,allorders!L:L,A76,allorders!AG:AG,"&gt;="&amp;日期!$B$12,allorders!AG:AG,"&lt;="&amp;日期!$B$5)</f>
        <v>15.36</v>
      </c>
      <c r="I76">
        <f t="shared" si="1"/>
        <v>2</v>
      </c>
    </row>
    <row r="77" spans="1:9">
      <c r="A77" s="9" t="s">
        <v>770</v>
      </c>
      <c r="B77" t="str">
        <f>VLOOKUP(A77,'[1]子sku-父sku'!$A:$B,2,0)</f>
        <v>N531Y</v>
      </c>
      <c r="C77">
        <f>SUMIFS(allorders!O:O,allorders!L:L,$A77,allorders!AG:AG,"&lt;="&amp;日期!$B$5,allorders!AG:AG,"&gt;="&amp;日期!$B$6)</f>
        <v>0</v>
      </c>
      <c r="D77">
        <f>SUMIFS(allorders!$O:$O,allorders!$L:$L,$A77,allorders!$AG:$AG,"&lt;="&amp;日期!$B$7,allorders!$AG:$AG,"&gt;="&amp;日期!$B$8)</f>
        <v>1</v>
      </c>
      <c r="E77">
        <f>SUMIFS(allorders!$O:$O,allorders!$L:$L,$A77,allorders!$AG:$AG,"&lt;="&amp;日期!$B$9,allorders!$AG:$AG,"&gt;="&amp;日期!$B$10)</f>
        <v>0</v>
      </c>
      <c r="F77">
        <f>SUMIFS(allorders!$O:$O,allorders!$L:$L,$A77,allorders!$AG:$AG,"&lt;="&amp;日期!$B$11,allorders!$AG:$AG,"&gt;="&amp;日期!$B$12)</f>
        <v>0</v>
      </c>
      <c r="G77">
        <f>SUMIFS(allorders!Q:Q,allorders!L:L,A77,allorders!AG:AG,"&lt;="&amp;日期!$B$5,allorders!AG:AG,"&gt;="&amp;日期!$B$12)/SUM(C77:F77)</f>
        <v>10.39</v>
      </c>
      <c r="H77">
        <f>SUMIFS(allorders!Q:Q,allorders!L:L,A77,allorders!AG:AG,"&gt;="&amp;日期!$B$12,allorders!AG:AG,"&lt;="&amp;日期!$B$5)</f>
        <v>10.39</v>
      </c>
      <c r="I77">
        <f t="shared" si="1"/>
        <v>1</v>
      </c>
    </row>
    <row r="78" spans="1:9">
      <c r="A78" s="9" t="s">
        <v>778</v>
      </c>
      <c r="B78" t="str">
        <f>VLOOKUP(A78,'[1]子sku-父sku'!$A:$B,2,0)</f>
        <v>NY-XUHM332</v>
      </c>
      <c r="C78">
        <f>SUMIFS(allorders!O:O,allorders!L:L,$A78,allorders!AG:AG,"&lt;="&amp;日期!$B$5,allorders!AG:AG,"&gt;="&amp;日期!$B$6)</f>
        <v>5</v>
      </c>
      <c r="D78">
        <f>SUMIFS(allorders!$O:$O,allorders!$L:$L,$A78,allorders!$AG:$AG,"&lt;="&amp;日期!$B$7,allorders!$AG:$AG,"&gt;="&amp;日期!$B$8)</f>
        <v>4</v>
      </c>
      <c r="E78">
        <f>SUMIFS(allorders!$O:$O,allorders!$L:$L,$A78,allorders!$AG:$AG,"&lt;="&amp;日期!$B$9,allorders!$AG:$AG,"&gt;="&amp;日期!$B$10)</f>
        <v>0</v>
      </c>
      <c r="F78">
        <f>SUMIFS(allorders!$O:$O,allorders!$L:$L,$A78,allorders!$AG:$AG,"&lt;="&amp;日期!$B$11,allorders!$AG:$AG,"&gt;="&amp;日期!$B$12)</f>
        <v>0</v>
      </c>
      <c r="G78">
        <f>SUMIFS(allorders!Q:Q,allorders!L:L,A78,allorders!AG:AG,"&lt;="&amp;日期!$B$5,allorders!AG:AG,"&gt;="&amp;日期!$B$12)/SUM(C78:F78)</f>
        <v>12.99</v>
      </c>
      <c r="H78">
        <f>SUMIFS(allorders!Q:Q,allorders!L:L,A78,allorders!AG:AG,"&gt;="&amp;日期!$B$12,allorders!AG:AG,"&lt;="&amp;日期!$B$5)</f>
        <v>116.91</v>
      </c>
      <c r="I78">
        <f t="shared" si="1"/>
        <v>9</v>
      </c>
    </row>
    <row r="79" spans="1:9">
      <c r="A79" s="9" t="s">
        <v>819</v>
      </c>
      <c r="B79" t="str">
        <f>VLOOKUP(A79,'[1]子sku-父sku'!$A:$B,2,0)</f>
        <v>N87319K</v>
      </c>
      <c r="C79">
        <f>SUMIFS(allorders!O:O,allorders!L:L,$A79,allorders!AG:AG,"&lt;="&amp;日期!$B$5,allorders!AG:AG,"&gt;="&amp;日期!$B$6)</f>
        <v>1</v>
      </c>
      <c r="D79">
        <f>SUMIFS(allorders!$O:$O,allorders!$L:$L,$A79,allorders!$AG:$AG,"&lt;="&amp;日期!$B$7,allorders!$AG:$AG,"&gt;="&amp;日期!$B$8)</f>
        <v>0</v>
      </c>
      <c r="E79">
        <f>SUMIFS(allorders!$O:$O,allorders!$L:$L,$A79,allorders!$AG:$AG,"&lt;="&amp;日期!$B$9,allorders!$AG:$AG,"&gt;="&amp;日期!$B$10)</f>
        <v>0</v>
      </c>
      <c r="F79">
        <f>SUMIFS(allorders!$O:$O,allorders!$L:$L,$A79,allorders!$AG:$AG,"&lt;="&amp;日期!$B$11,allorders!$AG:$AG,"&gt;="&amp;日期!$B$12)</f>
        <v>0</v>
      </c>
      <c r="G79">
        <f>SUMIFS(allorders!Q:Q,allorders!L:L,A79,allorders!AG:AG,"&lt;="&amp;日期!$B$5,allorders!AG:AG,"&gt;="&amp;日期!$B$12)/SUM(C79:F79)</f>
        <v>4.45</v>
      </c>
      <c r="H79">
        <f>SUMIFS(allorders!Q:Q,allorders!L:L,A79,allorders!AG:AG,"&gt;="&amp;日期!$B$12,allorders!AG:AG,"&lt;="&amp;日期!$B$5)</f>
        <v>4.45</v>
      </c>
      <c r="I79">
        <f t="shared" si="1"/>
        <v>1</v>
      </c>
    </row>
    <row r="80" spans="1:9">
      <c r="A80" s="9" t="s">
        <v>840</v>
      </c>
      <c r="B80" t="str">
        <f>VLOOKUP(A80,'[1]子sku-父sku'!$A:$B,2,0)</f>
        <v>TTYCMZFCXH</v>
      </c>
      <c r="C80">
        <f>SUMIFS(allorders!O:O,allorders!L:L,$A80,allorders!AG:AG,"&lt;="&amp;日期!$B$5,allorders!AG:AG,"&gt;="&amp;日期!$B$6)</f>
        <v>4</v>
      </c>
      <c r="D80">
        <f>SUMIFS(allorders!$O:$O,allorders!$L:$L,$A80,allorders!$AG:$AG,"&lt;="&amp;日期!$B$7,allorders!$AG:$AG,"&gt;="&amp;日期!$B$8)</f>
        <v>0</v>
      </c>
      <c r="E80">
        <f>SUMIFS(allorders!$O:$O,allorders!$L:$L,$A80,allorders!$AG:$AG,"&lt;="&amp;日期!$B$9,allorders!$AG:$AG,"&gt;="&amp;日期!$B$10)</f>
        <v>0</v>
      </c>
      <c r="F80">
        <f>SUMIFS(allorders!$O:$O,allorders!$L:$L,$A80,allorders!$AG:$AG,"&lt;="&amp;日期!$B$11,allorders!$AG:$AG,"&gt;="&amp;日期!$B$12)</f>
        <v>0</v>
      </c>
      <c r="G80">
        <f>SUMIFS(allorders!Q:Q,allorders!L:L,A80,allorders!AG:AG,"&lt;="&amp;日期!$B$5,allorders!AG:AG,"&gt;="&amp;日期!$B$12)/SUM(C80:F80)</f>
        <v>36.76</v>
      </c>
      <c r="H80">
        <f>SUMIFS(allorders!Q:Q,allorders!L:L,A80,allorders!AG:AG,"&gt;="&amp;日期!$B$12,allorders!AG:AG,"&lt;="&amp;日期!$B$5)</f>
        <v>147.04</v>
      </c>
      <c r="I80">
        <f t="shared" si="1"/>
        <v>4</v>
      </c>
    </row>
    <row r="81" spans="1:9">
      <c r="A81" s="9" t="s">
        <v>857</v>
      </c>
      <c r="B81" t="str">
        <f>VLOOKUP(A81,'[1]子sku-父sku'!$A:$B,2,0)</f>
        <v>N263Y</v>
      </c>
      <c r="C81">
        <f>SUMIFS(allorders!O:O,allorders!L:L,$A81,allorders!AG:AG,"&lt;="&amp;日期!$B$5,allorders!AG:AG,"&gt;="&amp;日期!$B$6)</f>
        <v>1</v>
      </c>
      <c r="D81">
        <f>SUMIFS(allorders!$O:$O,allorders!$L:$L,$A81,allorders!$AG:$AG,"&lt;="&amp;日期!$B$7,allorders!$AG:$AG,"&gt;="&amp;日期!$B$8)</f>
        <v>0</v>
      </c>
      <c r="E81">
        <f>SUMIFS(allorders!$O:$O,allorders!$L:$L,$A81,allorders!$AG:$AG,"&lt;="&amp;日期!$B$9,allorders!$AG:$AG,"&gt;="&amp;日期!$B$10)</f>
        <v>0</v>
      </c>
      <c r="F81">
        <f>SUMIFS(allorders!$O:$O,allorders!$L:$L,$A81,allorders!$AG:$AG,"&lt;="&amp;日期!$B$11,allorders!$AG:$AG,"&gt;="&amp;日期!$B$12)</f>
        <v>0</v>
      </c>
      <c r="G81">
        <f>SUMIFS(allorders!Q:Q,allorders!L:L,A81,allorders!AG:AG,"&lt;="&amp;日期!$B$5,allorders!AG:AG,"&gt;="&amp;日期!$B$12)/SUM(C81:F81)</f>
        <v>7.97</v>
      </c>
      <c r="H81">
        <f>SUMIFS(allorders!Q:Q,allorders!L:L,A81,allorders!AG:AG,"&gt;="&amp;日期!$B$12,allorders!AG:AG,"&lt;="&amp;日期!$B$5)</f>
        <v>7.97</v>
      </c>
      <c r="I81">
        <f t="shared" si="1"/>
        <v>1</v>
      </c>
    </row>
    <row r="82" spans="1:9">
      <c r="A82" s="9" t="s">
        <v>870</v>
      </c>
      <c r="B82" t="str">
        <f>VLOOKUP(A82,'[1]子sku-父sku'!$A:$B,2,0)</f>
        <v>XTHQ</v>
      </c>
      <c r="C82">
        <f>SUMIFS(allorders!O:O,allorders!L:L,$A82,allorders!AG:AG,"&lt;="&amp;日期!$B$5,allorders!AG:AG,"&gt;="&amp;日期!$B$6)</f>
        <v>1</v>
      </c>
      <c r="D82">
        <f>SUMIFS(allorders!$O:$O,allorders!$L:$L,$A82,allorders!$AG:$AG,"&lt;="&amp;日期!$B$7,allorders!$AG:$AG,"&gt;="&amp;日期!$B$8)</f>
        <v>0</v>
      </c>
      <c r="E82">
        <f>SUMIFS(allorders!$O:$O,allorders!$L:$L,$A82,allorders!$AG:$AG,"&lt;="&amp;日期!$B$9,allorders!$AG:$AG,"&gt;="&amp;日期!$B$10)</f>
        <v>0</v>
      </c>
      <c r="F82">
        <f>SUMIFS(allorders!$O:$O,allorders!$L:$L,$A82,allorders!$AG:$AG,"&lt;="&amp;日期!$B$11,allorders!$AG:$AG,"&gt;="&amp;日期!$B$12)</f>
        <v>0</v>
      </c>
      <c r="G82">
        <f>SUMIFS(allorders!Q:Q,allorders!L:L,A82,allorders!AG:AG,"&lt;="&amp;日期!$B$5,allorders!AG:AG,"&gt;="&amp;日期!$B$12)/SUM(C82:F82)</f>
        <v>8.79</v>
      </c>
      <c r="H82">
        <f>SUMIFS(allorders!Q:Q,allorders!L:L,A82,allorders!AG:AG,"&gt;="&amp;日期!$B$12,allorders!AG:AG,"&lt;="&amp;日期!$B$5)</f>
        <v>8.79</v>
      </c>
      <c r="I82">
        <f t="shared" si="1"/>
        <v>1</v>
      </c>
    </row>
    <row r="83" spans="1:9">
      <c r="A83" s="9" t="s">
        <v>906</v>
      </c>
      <c r="B83" t="str">
        <f>VLOOKUP(A83,'[1]子sku-父sku'!$A:$B,2,0)</f>
        <v>N029Y</v>
      </c>
      <c r="C83">
        <f>SUMIFS(allorders!O:O,allorders!L:L,$A83,allorders!AG:AG,"&lt;="&amp;日期!$B$5,allorders!AG:AG,"&gt;="&amp;日期!$B$6)</f>
        <v>1</v>
      </c>
      <c r="D83">
        <f>SUMIFS(allorders!$O:$O,allorders!$L:$L,$A83,allorders!$AG:$AG,"&lt;="&amp;日期!$B$7,allorders!$AG:$AG,"&gt;="&amp;日期!$B$8)</f>
        <v>0</v>
      </c>
      <c r="E83">
        <f>SUMIFS(allorders!$O:$O,allorders!$L:$L,$A83,allorders!$AG:$AG,"&lt;="&amp;日期!$B$9,allorders!$AG:$AG,"&gt;="&amp;日期!$B$10)</f>
        <v>0</v>
      </c>
      <c r="F83">
        <f>SUMIFS(allorders!$O:$O,allorders!$L:$L,$A83,allorders!$AG:$AG,"&lt;="&amp;日期!$B$11,allorders!$AG:$AG,"&gt;="&amp;日期!$B$12)</f>
        <v>0</v>
      </c>
      <c r="G83">
        <f>SUMIFS(allorders!Q:Q,allorders!L:L,A83,allorders!AG:AG,"&lt;="&amp;日期!$B$5,allorders!AG:AG,"&gt;="&amp;日期!$B$12)/SUM(C83:F83)</f>
        <v>7.99</v>
      </c>
      <c r="H83">
        <f>SUMIFS(allorders!Q:Q,allorders!L:L,A83,allorders!AG:AG,"&gt;="&amp;日期!$B$12,allorders!AG:AG,"&lt;="&amp;日期!$B$5)</f>
        <v>7.99</v>
      </c>
      <c r="I83">
        <f t="shared" si="1"/>
        <v>1</v>
      </c>
    </row>
    <row r="84" spans="1:9">
      <c r="A84" s="9" t="s">
        <v>915</v>
      </c>
      <c r="B84" t="str">
        <f>VLOOKUP(A84,'[1]子sku-父sku'!$A:$B,2,0)</f>
        <v>KTKXXK</v>
      </c>
      <c r="C84">
        <f>SUMIFS(allorders!O:O,allorders!L:L,$A84,allorders!AG:AG,"&lt;="&amp;日期!$B$5,allorders!AG:AG,"&gt;="&amp;日期!$B$6)</f>
        <v>2</v>
      </c>
      <c r="D84">
        <f>SUMIFS(allorders!$O:$O,allorders!$L:$L,$A84,allorders!$AG:$AG,"&lt;="&amp;日期!$B$7,allorders!$AG:$AG,"&gt;="&amp;日期!$B$8)</f>
        <v>0</v>
      </c>
      <c r="E84">
        <f>SUMIFS(allorders!$O:$O,allorders!$L:$L,$A84,allorders!$AG:$AG,"&lt;="&amp;日期!$B$9,allorders!$AG:$AG,"&gt;="&amp;日期!$B$10)</f>
        <v>0</v>
      </c>
      <c r="F84">
        <f>SUMIFS(allorders!$O:$O,allorders!$L:$L,$A84,allorders!$AG:$AG,"&lt;="&amp;日期!$B$11,allorders!$AG:$AG,"&gt;="&amp;日期!$B$12)</f>
        <v>0</v>
      </c>
      <c r="G84">
        <f>SUMIFS(allorders!Q:Q,allorders!L:L,A84,allorders!AG:AG,"&lt;="&amp;日期!$B$5,allorders!AG:AG,"&gt;="&amp;日期!$B$12)/SUM(C84:F84)</f>
        <v>22.99</v>
      </c>
      <c r="H84">
        <f>SUMIFS(allorders!Q:Q,allorders!L:L,A84,allorders!AG:AG,"&gt;="&amp;日期!$B$12,allorders!AG:AG,"&lt;="&amp;日期!$B$5)</f>
        <v>45.98</v>
      </c>
      <c r="I84">
        <f t="shared" si="1"/>
        <v>2</v>
      </c>
    </row>
    <row r="85" spans="1:9">
      <c r="A85" s="9" t="s">
        <v>924</v>
      </c>
      <c r="B85" t="str">
        <f>VLOOKUP(A85,'[1]子sku-父sku'!$A:$B,2,0)</f>
        <v>N31459Y</v>
      </c>
      <c r="C85">
        <f>SUMIFS(allorders!O:O,allorders!L:L,$A85,allorders!AG:AG,"&lt;="&amp;日期!$B$5,allorders!AG:AG,"&gt;="&amp;日期!$B$6)</f>
        <v>1</v>
      </c>
      <c r="D85">
        <f>SUMIFS(allorders!$O:$O,allorders!$L:$L,$A85,allorders!$AG:$AG,"&lt;="&amp;日期!$B$7,allorders!$AG:$AG,"&gt;="&amp;日期!$B$8)</f>
        <v>0</v>
      </c>
      <c r="E85">
        <f>SUMIFS(allorders!$O:$O,allorders!$L:$L,$A85,allorders!$AG:$AG,"&lt;="&amp;日期!$B$9,allorders!$AG:$AG,"&gt;="&amp;日期!$B$10)</f>
        <v>0</v>
      </c>
      <c r="F85">
        <f>SUMIFS(allorders!$O:$O,allorders!$L:$L,$A85,allorders!$AG:$AG,"&lt;="&amp;日期!$B$11,allorders!$AG:$AG,"&gt;="&amp;日期!$B$12)</f>
        <v>0</v>
      </c>
      <c r="G85">
        <f>SUMIFS(allorders!Q:Q,allorders!L:L,A85,allorders!AG:AG,"&lt;="&amp;日期!$B$5,allorders!AG:AG,"&gt;="&amp;日期!$B$12)/SUM(C85:F85)</f>
        <v>13.9</v>
      </c>
      <c r="H85">
        <f>SUMIFS(allorders!Q:Q,allorders!L:L,A85,allorders!AG:AG,"&gt;="&amp;日期!$B$12,allorders!AG:AG,"&lt;="&amp;日期!$B$5)</f>
        <v>13.9</v>
      </c>
      <c r="I85">
        <f t="shared" si="1"/>
        <v>1</v>
      </c>
    </row>
    <row r="86" spans="1:9">
      <c r="A86" s="9" t="s">
        <v>953</v>
      </c>
      <c r="B86" t="str">
        <f>VLOOKUP(A86,'[1]子sku-父sku'!$A:$B,2,0)</f>
        <v>KTKXXK</v>
      </c>
      <c r="C86">
        <f>SUMIFS(allorders!O:O,allorders!L:L,$A86,allorders!AG:AG,"&lt;="&amp;日期!$B$5,allorders!AG:AG,"&gt;="&amp;日期!$B$6)</f>
        <v>4</v>
      </c>
      <c r="D86">
        <f>SUMIFS(allorders!$O:$O,allorders!$L:$L,$A86,allorders!$AG:$AG,"&lt;="&amp;日期!$B$7,allorders!$AG:$AG,"&gt;="&amp;日期!$B$8)</f>
        <v>0</v>
      </c>
      <c r="E86">
        <f>SUMIFS(allorders!$O:$O,allorders!$L:$L,$A86,allorders!$AG:$AG,"&lt;="&amp;日期!$B$9,allorders!$AG:$AG,"&gt;="&amp;日期!$B$10)</f>
        <v>0</v>
      </c>
      <c r="F86">
        <f>SUMIFS(allorders!$O:$O,allorders!$L:$L,$A86,allorders!$AG:$AG,"&lt;="&amp;日期!$B$11,allorders!$AG:$AG,"&gt;="&amp;日期!$B$12)</f>
        <v>0</v>
      </c>
      <c r="G86">
        <f>SUMIFS(allorders!Q:Q,allorders!L:L,A86,allorders!AG:AG,"&lt;="&amp;日期!$B$5,allorders!AG:AG,"&gt;="&amp;日期!$B$12)/SUM(C86:F86)</f>
        <v>22.9</v>
      </c>
      <c r="H86">
        <f>SUMIFS(allorders!Q:Q,allorders!L:L,A86,allorders!AG:AG,"&gt;="&amp;日期!$B$12,allorders!AG:AG,"&lt;="&amp;日期!$B$5)</f>
        <v>91.6</v>
      </c>
      <c r="I86">
        <f t="shared" si="1"/>
        <v>4</v>
      </c>
    </row>
    <row r="87" spans="1:9">
      <c r="A87" s="9" t="s">
        <v>971</v>
      </c>
      <c r="B87" t="str">
        <f>VLOOKUP(A87,'[1]子sku-父sku'!$A:$B,2,0)</f>
        <v>N5100Y</v>
      </c>
      <c r="C87">
        <f>SUMIFS(allorders!O:O,allorders!L:L,$A87,allorders!AG:AG,"&lt;="&amp;日期!$B$5,allorders!AG:AG,"&gt;="&amp;日期!$B$6)</f>
        <v>2</v>
      </c>
      <c r="D87">
        <f>SUMIFS(allorders!$O:$O,allorders!$L:$L,$A87,allorders!$AG:$AG,"&lt;="&amp;日期!$B$7,allorders!$AG:$AG,"&gt;="&amp;日期!$B$8)</f>
        <v>0</v>
      </c>
      <c r="E87">
        <f>SUMIFS(allorders!$O:$O,allorders!$L:$L,$A87,allorders!$AG:$AG,"&lt;="&amp;日期!$B$9,allorders!$AG:$AG,"&gt;="&amp;日期!$B$10)</f>
        <v>0</v>
      </c>
      <c r="F87">
        <f>SUMIFS(allorders!$O:$O,allorders!$L:$L,$A87,allorders!$AG:$AG,"&lt;="&amp;日期!$B$11,allorders!$AG:$AG,"&gt;="&amp;日期!$B$12)</f>
        <v>0</v>
      </c>
      <c r="G87">
        <f>SUMIFS(allorders!Q:Q,allorders!L:L,A87,allorders!AG:AG,"&lt;="&amp;日期!$B$5,allorders!AG:AG,"&gt;="&amp;日期!$B$12)/SUM(C87:F87)</f>
        <v>11.45</v>
      </c>
      <c r="H87">
        <f>SUMIFS(allorders!Q:Q,allorders!L:L,A87,allorders!AG:AG,"&gt;="&amp;日期!$B$12,allorders!AG:AG,"&lt;="&amp;日期!$B$5)</f>
        <v>22.9</v>
      </c>
      <c r="I87">
        <f t="shared" si="1"/>
        <v>2</v>
      </c>
    </row>
    <row r="88" spans="1:9">
      <c r="A88" s="9" t="s">
        <v>984</v>
      </c>
      <c r="B88" t="str">
        <f>VLOOKUP(A88,'[1]子sku-父sku'!$A:$B,2,0)</f>
        <v>JBLKTK</v>
      </c>
      <c r="C88">
        <f>SUMIFS(allorders!O:O,allorders!L:L,$A88,allorders!AG:AG,"&lt;="&amp;日期!$B$5,allorders!AG:AG,"&gt;="&amp;日期!$B$6)</f>
        <v>1</v>
      </c>
      <c r="D88">
        <f>SUMIFS(allorders!$O:$O,allorders!$L:$L,$A88,allorders!$AG:$AG,"&lt;="&amp;日期!$B$7,allorders!$AG:$AG,"&gt;="&amp;日期!$B$8)</f>
        <v>0</v>
      </c>
      <c r="E88">
        <f>SUMIFS(allorders!$O:$O,allorders!$L:$L,$A88,allorders!$AG:$AG,"&lt;="&amp;日期!$B$9,allorders!$AG:$AG,"&gt;="&amp;日期!$B$10)</f>
        <v>0</v>
      </c>
      <c r="F88">
        <f>SUMIFS(allorders!$O:$O,allorders!$L:$L,$A88,allorders!$AG:$AG,"&lt;="&amp;日期!$B$11,allorders!$AG:$AG,"&gt;="&amp;日期!$B$12)</f>
        <v>0</v>
      </c>
      <c r="G88">
        <f>SUMIFS(allorders!Q:Q,allorders!L:L,A88,allorders!AG:AG,"&lt;="&amp;日期!$B$5,allorders!AG:AG,"&gt;="&amp;日期!$B$12)/SUM(C88:F88)</f>
        <v>20.9</v>
      </c>
      <c r="H88">
        <f>SUMIFS(allorders!Q:Q,allorders!L:L,A88,allorders!AG:AG,"&gt;="&amp;日期!$B$12,allorders!AG:AG,"&lt;="&amp;日期!$B$5)</f>
        <v>20.9</v>
      </c>
      <c r="I88">
        <f t="shared" si="1"/>
        <v>1</v>
      </c>
    </row>
    <row r="89" spans="1:9">
      <c r="A89" s="9" t="s">
        <v>1006</v>
      </c>
      <c r="B89" t="str">
        <f>VLOOKUP(A89,'[1]子sku-父sku'!$A:$B,2,0)</f>
        <v>NK-XUHM001</v>
      </c>
      <c r="C89">
        <f>SUMIFS(allorders!O:O,allorders!L:L,$A89,allorders!AG:AG,"&lt;="&amp;日期!$B$5,allorders!AG:AG,"&gt;="&amp;日期!$B$6)</f>
        <v>2</v>
      </c>
      <c r="D89">
        <f>SUMIFS(allorders!$O:$O,allorders!$L:$L,$A89,allorders!$AG:$AG,"&lt;="&amp;日期!$B$7,allorders!$AG:$AG,"&gt;="&amp;日期!$B$8)</f>
        <v>0</v>
      </c>
      <c r="E89">
        <f>SUMIFS(allorders!$O:$O,allorders!$L:$L,$A89,allorders!$AG:$AG,"&lt;="&amp;日期!$B$9,allorders!$AG:$AG,"&gt;="&amp;日期!$B$10)</f>
        <v>0</v>
      </c>
      <c r="F89">
        <f>SUMIFS(allorders!$O:$O,allorders!$L:$L,$A89,allorders!$AG:$AG,"&lt;="&amp;日期!$B$11,allorders!$AG:$AG,"&gt;="&amp;日期!$B$12)</f>
        <v>0</v>
      </c>
      <c r="G89">
        <f>SUMIFS(allorders!Q:Q,allorders!L:L,A89,allorders!AG:AG,"&lt;="&amp;日期!$B$5,allorders!AG:AG,"&gt;="&amp;日期!$B$12)/SUM(C89:F89)</f>
        <v>6.99</v>
      </c>
      <c r="H89">
        <f>SUMIFS(allorders!Q:Q,allorders!L:L,A89,allorders!AG:AG,"&gt;="&amp;日期!$B$12,allorders!AG:AG,"&lt;="&amp;日期!$B$5)</f>
        <v>13.98</v>
      </c>
      <c r="I89">
        <f t="shared" si="1"/>
        <v>2</v>
      </c>
    </row>
    <row r="90" spans="1:9">
      <c r="A90" s="9" t="s">
        <v>1014</v>
      </c>
      <c r="B90" t="str">
        <f>VLOOKUP(A90,'[1]子sku-父sku'!$A:$B,2,0)</f>
        <v>N31459Y</v>
      </c>
      <c r="C90">
        <f>SUMIFS(allorders!O:O,allorders!L:L,$A90,allorders!AG:AG,"&lt;="&amp;日期!$B$5,allorders!AG:AG,"&gt;="&amp;日期!$B$6)</f>
        <v>1</v>
      </c>
      <c r="D90">
        <f>SUMIFS(allorders!$O:$O,allorders!$L:$L,$A90,allorders!$AG:$AG,"&lt;="&amp;日期!$B$7,allorders!$AG:$AG,"&gt;="&amp;日期!$B$8)</f>
        <v>0</v>
      </c>
      <c r="E90">
        <f>SUMIFS(allorders!$O:$O,allorders!$L:$L,$A90,allorders!$AG:$AG,"&lt;="&amp;日期!$B$9,allorders!$AG:$AG,"&gt;="&amp;日期!$B$10)</f>
        <v>0</v>
      </c>
      <c r="F90">
        <f>SUMIFS(allorders!$O:$O,allorders!$L:$L,$A90,allorders!$AG:$AG,"&lt;="&amp;日期!$B$11,allorders!$AG:$AG,"&gt;="&amp;日期!$B$12)</f>
        <v>0</v>
      </c>
      <c r="G90">
        <f>SUMIFS(allorders!Q:Q,allorders!L:L,A90,allorders!AG:AG,"&lt;="&amp;日期!$B$5,allorders!AG:AG,"&gt;="&amp;日期!$B$12)/SUM(C90:F90)</f>
        <v>13.9</v>
      </c>
      <c r="H90">
        <f>SUMIFS(allorders!Q:Q,allorders!L:L,A90,allorders!AG:AG,"&gt;="&amp;日期!$B$12,allorders!AG:AG,"&lt;="&amp;日期!$B$5)</f>
        <v>13.9</v>
      </c>
      <c r="I90">
        <f t="shared" si="1"/>
        <v>1</v>
      </c>
    </row>
    <row r="91" spans="1:9">
      <c r="A91" s="9" t="s">
        <v>1034</v>
      </c>
      <c r="B91" t="str">
        <f>VLOOKUP(A91,'[1]子sku-父sku'!$A:$B,2,0)</f>
        <v>N87232K</v>
      </c>
      <c r="C91">
        <f>SUMIFS(allorders!O:O,allorders!L:L,$A91,allorders!AG:AG,"&lt;="&amp;日期!$B$5,allorders!AG:AG,"&gt;="&amp;日期!$B$6)</f>
        <v>1</v>
      </c>
      <c r="D91">
        <f>SUMIFS(allorders!$O:$O,allorders!$L:$L,$A91,allorders!$AG:$AG,"&lt;="&amp;日期!$B$7,allorders!$AG:$AG,"&gt;="&amp;日期!$B$8)</f>
        <v>0</v>
      </c>
      <c r="E91">
        <f>SUMIFS(allorders!$O:$O,allorders!$L:$L,$A91,allorders!$AG:$AG,"&lt;="&amp;日期!$B$9,allorders!$AG:$AG,"&gt;="&amp;日期!$B$10)</f>
        <v>0</v>
      </c>
      <c r="F91">
        <f>SUMIFS(allorders!$O:$O,allorders!$L:$L,$A91,allorders!$AG:$AG,"&lt;="&amp;日期!$B$11,allorders!$AG:$AG,"&gt;="&amp;日期!$B$12)</f>
        <v>0</v>
      </c>
      <c r="G91">
        <f>SUMIFS(allorders!Q:Q,allorders!L:L,A91,allorders!AG:AG,"&lt;="&amp;日期!$B$5,allorders!AG:AG,"&gt;="&amp;日期!$B$12)/SUM(C91:F91)</f>
        <v>5.27</v>
      </c>
      <c r="H91">
        <f>SUMIFS(allorders!Q:Q,allorders!L:L,A91,allorders!AG:AG,"&gt;="&amp;日期!$B$12,allorders!AG:AG,"&lt;="&amp;日期!$B$5)</f>
        <v>5.27</v>
      </c>
      <c r="I91">
        <f t="shared" si="1"/>
        <v>1</v>
      </c>
    </row>
    <row r="92" spans="1:9">
      <c r="A92" s="9" t="s">
        <v>1052</v>
      </c>
      <c r="B92" t="str">
        <f>VLOOKUP(A92,'[1]子sku-父sku'!$A:$B,2,0)</f>
        <v>NK-XUHM001</v>
      </c>
      <c r="C92">
        <f>SUMIFS(allorders!O:O,allorders!L:L,$A92,allorders!AG:AG,"&lt;="&amp;日期!$B$5,allorders!AG:AG,"&gt;="&amp;日期!$B$6)</f>
        <v>1</v>
      </c>
      <c r="D92">
        <f>SUMIFS(allorders!$O:$O,allorders!$L:$L,$A92,allorders!$AG:$AG,"&lt;="&amp;日期!$B$7,allorders!$AG:$AG,"&gt;="&amp;日期!$B$8)</f>
        <v>0</v>
      </c>
      <c r="E92">
        <f>SUMIFS(allorders!$O:$O,allorders!$L:$L,$A92,allorders!$AG:$AG,"&lt;="&amp;日期!$B$9,allorders!$AG:$AG,"&gt;="&amp;日期!$B$10)</f>
        <v>0</v>
      </c>
      <c r="F92">
        <f>SUMIFS(allorders!$O:$O,allorders!$L:$L,$A92,allorders!$AG:$AG,"&lt;="&amp;日期!$B$11,allorders!$AG:$AG,"&gt;="&amp;日期!$B$12)</f>
        <v>0</v>
      </c>
      <c r="G92">
        <f>SUMIFS(allorders!Q:Q,allorders!L:L,A92,allorders!AG:AG,"&lt;="&amp;日期!$B$5,allorders!AG:AG,"&gt;="&amp;日期!$B$12)/SUM(C92:F92)</f>
        <v>6.99</v>
      </c>
      <c r="H92">
        <f>SUMIFS(allorders!Q:Q,allorders!L:L,A92,allorders!AG:AG,"&gt;="&amp;日期!$B$12,allorders!AG:AG,"&lt;="&amp;日期!$B$5)</f>
        <v>6.99</v>
      </c>
      <c r="I92">
        <f t="shared" si="1"/>
        <v>1</v>
      </c>
    </row>
    <row r="93" spans="1:9">
      <c r="A93" s="9" t="s">
        <v>1066</v>
      </c>
      <c r="B93" t="str">
        <f>VLOOKUP(A93,'[1]子sku-父sku'!$A:$B,2,0)</f>
        <v>N039Y</v>
      </c>
      <c r="C93">
        <f>SUMIFS(allorders!O:O,allorders!L:L,$A93,allorders!AG:AG,"&lt;="&amp;日期!$B$5,allorders!AG:AG,"&gt;="&amp;日期!$B$6)</f>
        <v>1</v>
      </c>
      <c r="D93">
        <f>SUMIFS(allorders!$O:$O,allorders!$L:$L,$A93,allorders!$AG:$AG,"&lt;="&amp;日期!$B$7,allorders!$AG:$AG,"&gt;="&amp;日期!$B$8)</f>
        <v>0</v>
      </c>
      <c r="E93">
        <f>SUMIFS(allorders!$O:$O,allorders!$L:$L,$A93,allorders!$AG:$AG,"&lt;="&amp;日期!$B$9,allorders!$AG:$AG,"&gt;="&amp;日期!$B$10)</f>
        <v>0</v>
      </c>
      <c r="F93">
        <f>SUMIFS(allorders!$O:$O,allorders!$L:$L,$A93,allorders!$AG:$AG,"&lt;="&amp;日期!$B$11,allorders!$AG:$AG,"&gt;="&amp;日期!$B$12)</f>
        <v>0</v>
      </c>
      <c r="G93">
        <f>SUMIFS(allorders!Q:Q,allorders!L:L,A93,allorders!AG:AG,"&lt;="&amp;日期!$B$5,allorders!AG:AG,"&gt;="&amp;日期!$B$12)/SUM(C93:F93)</f>
        <v>7.99</v>
      </c>
      <c r="H93">
        <f>SUMIFS(allorders!Q:Q,allorders!L:L,A93,allorders!AG:AG,"&gt;="&amp;日期!$B$12,allorders!AG:AG,"&lt;="&amp;日期!$B$5)</f>
        <v>7.99</v>
      </c>
      <c r="I93">
        <f t="shared" si="1"/>
        <v>1</v>
      </c>
    </row>
    <row r="94" spans="1:9">
      <c r="A94" s="9" t="s">
        <v>1093</v>
      </c>
      <c r="B94" t="str">
        <f>VLOOKUP(A94,'[1]子sku-父sku'!$A:$B,2,0)</f>
        <v>N2716Y</v>
      </c>
      <c r="C94">
        <f>SUMIFS(allorders!O:O,allorders!L:L,$A94,allorders!AG:AG,"&lt;="&amp;日期!$B$5,allorders!AG:AG,"&gt;="&amp;日期!$B$6)</f>
        <v>1</v>
      </c>
      <c r="D94">
        <f>SUMIFS(allorders!$O:$O,allorders!$L:$L,$A94,allorders!$AG:$AG,"&lt;="&amp;日期!$B$7,allorders!$AG:$AG,"&gt;="&amp;日期!$B$8)</f>
        <v>0</v>
      </c>
      <c r="E94">
        <f>SUMIFS(allorders!$O:$O,allorders!$L:$L,$A94,allorders!$AG:$AG,"&lt;="&amp;日期!$B$9,allorders!$AG:$AG,"&gt;="&amp;日期!$B$10)</f>
        <v>0</v>
      </c>
      <c r="F94">
        <f>SUMIFS(allorders!$O:$O,allorders!$L:$L,$A94,allorders!$AG:$AG,"&lt;="&amp;日期!$B$11,allorders!$AG:$AG,"&gt;="&amp;日期!$B$12)</f>
        <v>0</v>
      </c>
      <c r="G94">
        <f>SUMIFS(allorders!Q:Q,allorders!L:L,A94,allorders!AG:AG,"&lt;="&amp;日期!$B$5,allorders!AG:AG,"&gt;="&amp;日期!$B$12)/SUM(C94:F94)</f>
        <v>9.99</v>
      </c>
      <c r="H94">
        <f>SUMIFS(allorders!Q:Q,allorders!L:L,A94,allorders!AG:AG,"&gt;="&amp;日期!$B$12,allorders!AG:AG,"&lt;="&amp;日期!$B$5)</f>
        <v>9.99</v>
      </c>
      <c r="I94">
        <f t="shared" si="1"/>
        <v>1</v>
      </c>
    </row>
    <row r="171" spans="1:1">
      <c r="A171" s="9" t="s">
        <v>149</v>
      </c>
    </row>
  </sheetData>
  <autoFilter ref="A3:I99">
    <extLst/>
  </autoFilter>
  <pageMargins left="0.699305555555556" right="0.699305555555556" top="0.75" bottom="0.75" header="0.3" footer="0.3"/>
  <headerFooter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4"/>
  <dimension ref="A1:C12"/>
  <sheetViews>
    <sheetView workbookViewId="0">
      <selection activeCell="D25" sqref="D25"/>
    </sheetView>
  </sheetViews>
  <sheetFormatPr defaultColWidth="9" defaultRowHeight="14.25" outlineLevelCol="2"/>
  <cols>
    <col min="1" max="1" width="19" customWidth="1"/>
    <col min="2" max="2" width="17.7083333333333" customWidth="1"/>
  </cols>
  <sheetData>
    <row r="1" spans="1:3">
      <c r="A1" s="3" t="s">
        <v>1142</v>
      </c>
      <c r="B1" s="4">
        <f>B12</f>
        <v>43255</v>
      </c>
      <c r="C1" s="5"/>
    </row>
    <row r="2" spans="1:3">
      <c r="A2" s="3" t="s">
        <v>1143</v>
      </c>
      <c r="B2" s="4">
        <v>43282</v>
      </c>
      <c r="C2" s="5"/>
    </row>
    <row r="3" spans="1:2">
      <c r="A3" s="3"/>
      <c r="B3" s="3"/>
    </row>
    <row r="4" spans="1:2">
      <c r="A4" s="3" t="s">
        <v>1144</v>
      </c>
      <c r="B4" s="3"/>
    </row>
    <row r="5" spans="1:2">
      <c r="A5" s="3" t="s">
        <v>1145</v>
      </c>
      <c r="B5" s="6">
        <f>B2</f>
        <v>43282</v>
      </c>
    </row>
    <row r="6" spans="1:2">
      <c r="A6" s="3" t="s">
        <v>1146</v>
      </c>
      <c r="B6" s="7">
        <f>B5-6</f>
        <v>43276</v>
      </c>
    </row>
    <row r="7" spans="1:2">
      <c r="A7" s="3" t="s">
        <v>1147</v>
      </c>
      <c r="B7" s="7">
        <f>B5-7</f>
        <v>43275</v>
      </c>
    </row>
    <row r="8" spans="1:2">
      <c r="A8" s="3" t="s">
        <v>1148</v>
      </c>
      <c r="B8" s="7">
        <f>B5-13</f>
        <v>43269</v>
      </c>
    </row>
    <row r="9" spans="1:2">
      <c r="A9" s="3" t="s">
        <v>1149</v>
      </c>
      <c r="B9" s="7">
        <f>B5-14</f>
        <v>43268</v>
      </c>
    </row>
    <row r="10" spans="1:2">
      <c r="A10" s="3" t="s">
        <v>1150</v>
      </c>
      <c r="B10" s="7">
        <f>B5-20</f>
        <v>43262</v>
      </c>
    </row>
    <row r="11" spans="1:2">
      <c r="A11" s="3" t="s">
        <v>1151</v>
      </c>
      <c r="B11" s="7">
        <f>B5-21</f>
        <v>43261</v>
      </c>
    </row>
    <row r="12" spans="1:2">
      <c r="A12" s="3" t="s">
        <v>1152</v>
      </c>
      <c r="B12" s="7">
        <f>B5-27</f>
        <v>43255</v>
      </c>
    </row>
  </sheetData>
  <pageMargins left="0.699305555555556" right="0.699305555555556" top="0.75" bottom="0.75" header="0.3" footer="0.3"/>
  <pageSetup paperSize="1" orientation="portrait"/>
  <headerFooter/>
  <drawing r:id="rId1"/>
  <legacyDrawing r:id="rId2"/>
  <controls>
    <mc:AlternateContent xmlns:mc="http://schemas.openxmlformats.org/markup-compatibility/2006">
      <mc:Choice Requires="x14">
        <control shapeId="1025" r:id="rId3" name="CommandButton1">
          <controlPr defaultSize="0" r:id="rId4">
            <anchor moveWithCells="1">
              <from>
                <xdr:col>2</xdr:col>
                <xdr:colOff>28575</xdr:colOff>
                <xdr:row>1</xdr:row>
                <xdr:rowOff>152400</xdr:rowOff>
              </from>
              <to>
                <xdr:col>4</xdr:col>
                <xdr:colOff>47625</xdr:colOff>
                <xdr:row>4</xdr:row>
                <xdr:rowOff>0</xdr:rowOff>
              </to>
            </anchor>
          </controlPr>
        </control>
      </mc:Choice>
      <mc:Fallback>
        <control shapeId="1025" r:id="rId3" name="CommandButton1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5"/>
  <dimension ref="A1:B98"/>
  <sheetViews>
    <sheetView workbookViewId="0">
      <selection activeCell="B2" sqref="B2:B93"/>
    </sheetView>
  </sheetViews>
  <sheetFormatPr defaultColWidth="9" defaultRowHeight="14.25" outlineLevelCol="1"/>
  <cols>
    <col min="1" max="1" width="13.375" customWidth="1"/>
    <col min="2" max="2" width="12.625" style="1"/>
  </cols>
  <sheetData>
    <row r="1" spans="1:2">
      <c r="A1" t="s">
        <v>1134</v>
      </c>
      <c r="B1" s="1" t="s">
        <v>1153</v>
      </c>
    </row>
    <row r="2" ht="15" spans="1:2">
      <c r="A2" t="s">
        <v>1154</v>
      </c>
      <c r="B2" s="2">
        <f>SUMIF(库存报告使用数据处理!B:B,A2,库存报告使用数据处理!H:H)/SUMIF(库存报告使用数据处理!B:B,A2,库存报告使用数据处理!I:I)</f>
        <v>11.69</v>
      </c>
    </row>
    <row r="3" ht="15" spans="1:2">
      <c r="A3" t="s">
        <v>1155</v>
      </c>
      <c r="B3" s="2">
        <f>SUMIF(库存报告使用数据处理!B:B,A3,库存报告使用数据处理!H:H)/SUMIF(库存报告使用数据处理!B:B,A3,库存报告使用数据处理!I:I)</f>
        <v>13.9</v>
      </c>
    </row>
    <row r="4" ht="15" spans="1:2">
      <c r="A4" t="s">
        <v>1156</v>
      </c>
      <c r="B4" s="2">
        <f>SUMIF(库存报告使用数据处理!B:B,A4,库存报告使用数据处理!H:H)/SUMIF(库存报告使用数据处理!B:B,A4,库存报告使用数据处理!I:I)</f>
        <v>9.51388888888889</v>
      </c>
    </row>
    <row r="5" ht="15" spans="1:2">
      <c r="A5" t="s">
        <v>1157</v>
      </c>
      <c r="B5" s="2">
        <f>SUMIF(库存报告使用数据处理!B:B,A5,库存报告使用数据处理!H:H)/SUMIF(库存报告使用数据处理!B:B,A5,库存报告使用数据处理!I:I)</f>
        <v>19.9333333333333</v>
      </c>
    </row>
    <row r="6" ht="15" spans="1:2">
      <c r="A6" t="s">
        <v>1158</v>
      </c>
      <c r="B6" s="2">
        <f>SUMIF(库存报告使用数据处理!B:B,A6,库存报告使用数据处理!H:H)/SUMIF(库存报告使用数据处理!B:B,A6,库存报告使用数据处理!I:I)</f>
        <v>18.99</v>
      </c>
    </row>
    <row r="7" ht="15" spans="1:2">
      <c r="A7" t="s">
        <v>1159</v>
      </c>
      <c r="B7" s="2">
        <f>SUMIF(库存报告使用数据处理!B:B,A7,库存报告使用数据处理!H:H)/SUMIF(库存报告使用数据处理!B:B,A7,库存报告使用数据处理!I:I)</f>
        <v>13.5666666666667</v>
      </c>
    </row>
    <row r="8" ht="15" spans="1:2">
      <c r="A8" t="s">
        <v>1160</v>
      </c>
      <c r="B8" s="2">
        <f>SUMIF(库存报告使用数据处理!B:B,A8,库存报告使用数据处理!H:H)/SUMIF(库存报告使用数据处理!B:B,A8,库存报告使用数据处理!I:I)</f>
        <v>16.72</v>
      </c>
    </row>
    <row r="9" ht="15" spans="1:2">
      <c r="A9" t="s">
        <v>1161</v>
      </c>
      <c r="B9" s="2">
        <f>SUMIF(库存报告使用数据处理!B:B,A9,库存报告使用数据处理!H:H)/SUMIF(库存报告使用数据处理!B:B,A9,库存报告使用数据处理!I:I)</f>
        <v>16.9</v>
      </c>
    </row>
    <row r="10" ht="15" spans="1:2">
      <c r="A10" t="s">
        <v>1162</v>
      </c>
      <c r="B10" s="2">
        <f>SUMIF(库存报告使用数据处理!B:B,A10,库存报告使用数据处理!H:H)/SUMIF(库存报告使用数据处理!B:B,A10,库存报告使用数据处理!I:I)</f>
        <v>9.99</v>
      </c>
    </row>
    <row r="11" ht="15" spans="1:2">
      <c r="A11" t="s">
        <v>1163</v>
      </c>
      <c r="B11" s="2">
        <f>SUMIF(库存报告使用数据处理!B:B,A11,库存报告使用数据处理!H:H)/SUMIF(库存报告使用数据处理!B:B,A11,库存报告使用数据处理!I:I)</f>
        <v>20.9</v>
      </c>
    </row>
    <row r="12" ht="15" spans="1:2">
      <c r="A12" t="s">
        <v>1164</v>
      </c>
      <c r="B12" s="2">
        <f>SUMIF(库存报告使用数据处理!B:B,A12,库存报告使用数据处理!H:H)/SUMIF(库存报告使用数据处理!B:B,A12,库存报告使用数据处理!I:I)</f>
        <v>8.63368421052632</v>
      </c>
    </row>
    <row r="13" ht="15" spans="1:2">
      <c r="A13" t="s">
        <v>1165</v>
      </c>
      <c r="B13" s="2">
        <f>SUMIF(库存报告使用数据处理!B:B,A13,库存报告使用数据处理!H:H)/SUMIF(库存报告使用数据处理!B:B,A13,库存报告使用数据处理!I:I)</f>
        <v>17.2</v>
      </c>
    </row>
    <row r="14" ht="15" spans="1:2">
      <c r="A14" t="s">
        <v>1166</v>
      </c>
      <c r="B14" s="2">
        <f>SUMIF(库存报告使用数据处理!B:B,A14,库存报告使用数据处理!H:H)/SUMIF(库存报告使用数据处理!B:B,A14,库存报告使用数据处理!I:I)</f>
        <v>7.91</v>
      </c>
    </row>
    <row r="15" ht="15" spans="1:2">
      <c r="A15" t="s">
        <v>1167</v>
      </c>
      <c r="B15" s="2">
        <f>SUMIF(库存报告使用数据处理!B:B,A15,库存报告使用数据处理!H:H)/SUMIF(库存报告使用数据处理!B:B,A15,库存报告使用数据处理!I:I)</f>
        <v>9.035</v>
      </c>
    </row>
    <row r="16" ht="15" spans="1:2">
      <c r="A16" t="s">
        <v>1168</v>
      </c>
      <c r="B16" s="2">
        <f>SUMIF(库存报告使用数据处理!B:B,A16,库存报告使用数据处理!H:H)/SUMIF(库存报告使用数据处理!B:B,A16,库存报告使用数据处理!I:I)</f>
        <v>15.99</v>
      </c>
    </row>
    <row r="17" ht="15" spans="1:2">
      <c r="A17" t="s">
        <v>1169</v>
      </c>
      <c r="B17" s="2">
        <f>SUMIF(库存报告使用数据处理!B:B,A17,库存报告使用数据处理!H:H)/SUMIF(库存报告使用数据处理!B:B,A17,库存报告使用数据处理!I:I)</f>
        <v>42.99</v>
      </c>
    </row>
    <row r="18" ht="15" spans="1:2">
      <c r="A18" t="s">
        <v>1170</v>
      </c>
      <c r="B18" s="2">
        <f>SUMIF(库存报告使用数据处理!B:B,A18,库存报告使用数据处理!H:H)/SUMIF(库存报告使用数据处理!B:B,A18,库存报告使用数据处理!I:I)</f>
        <v>21.9492307692308</v>
      </c>
    </row>
    <row r="19" ht="15" spans="1:2">
      <c r="A19" t="s">
        <v>1171</v>
      </c>
      <c r="B19" s="2">
        <f>SUMIF(库存报告使用数据处理!B:B,A19,库存报告使用数据处理!H:H)/SUMIF(库存报告使用数据处理!B:B,A19,库存报告使用数据处理!I:I)</f>
        <v>18.99</v>
      </c>
    </row>
    <row r="20" ht="15" spans="1:2">
      <c r="A20" t="s">
        <v>1172</v>
      </c>
      <c r="B20" s="2">
        <f>SUMIF(库存报告使用数据处理!B:B,A20,库存报告使用数据处理!H:H)/SUMIF(库存报告使用数据处理!B:B,A20,库存报告使用数据处理!I:I)</f>
        <v>4.71</v>
      </c>
    </row>
    <row r="21" ht="15" spans="1:2">
      <c r="A21" t="s">
        <v>1173</v>
      </c>
      <c r="B21" s="2">
        <f>SUMIF(库存报告使用数据处理!B:B,A21,库存报告使用数据处理!H:H)/SUMIF(库存报告使用数据处理!B:B,A21,库存报告使用数据处理!I:I)</f>
        <v>42.99</v>
      </c>
    </row>
    <row r="22" ht="15" spans="1:2">
      <c r="A22" t="s">
        <v>1174</v>
      </c>
      <c r="B22" s="2">
        <f>SUMIF(库存报告使用数据处理!B:B,A22,库存报告使用数据处理!H:H)/SUMIF(库存报告使用数据处理!B:B,A22,库存报告使用数据处理!I:I)</f>
        <v>15.99</v>
      </c>
    </row>
    <row r="23" ht="15" spans="1:2">
      <c r="A23" t="s">
        <v>1175</v>
      </c>
      <c r="B23" s="2">
        <f>SUMIF(库存报告使用数据处理!B:B,A23,库存报告使用数据处理!H:H)/SUMIF(库存报告使用数据处理!B:B,A23,库存报告使用数据处理!I:I)</f>
        <v>7.8575</v>
      </c>
    </row>
    <row r="24" ht="15" spans="1:2">
      <c r="A24" t="s">
        <v>1176</v>
      </c>
      <c r="B24" s="2">
        <f>SUMIF(库存报告使用数据处理!B:B,A24,库存报告使用数据处理!H:H)/SUMIF(库存报告使用数据处理!B:B,A24,库存报告使用数据处理!I:I)</f>
        <v>15.99</v>
      </c>
    </row>
    <row r="25" ht="15" spans="1:2">
      <c r="A25" t="s">
        <v>1177</v>
      </c>
      <c r="B25" s="2">
        <f>SUMIF(库存报告使用数据处理!B:B,A25,库存报告使用数据处理!H:H)/SUMIF(库存报告使用数据处理!B:B,A25,库存报告使用数据处理!I:I)</f>
        <v>15.99</v>
      </c>
    </row>
    <row r="26" ht="15" spans="1:2">
      <c r="A26" t="s">
        <v>1178</v>
      </c>
      <c r="B26" s="2">
        <f>SUMIF(库存报告使用数据处理!B:B,A26,库存报告使用数据处理!H:H)/SUMIF(库存报告使用数据处理!B:B,A26,库存报告使用数据处理!I:I)</f>
        <v>8.79</v>
      </c>
    </row>
    <row r="27" ht="15" spans="1:2">
      <c r="A27" t="s">
        <v>1179</v>
      </c>
      <c r="B27" s="2">
        <f>SUMIF(库存报告使用数据处理!B:B,A27,库存报告使用数据处理!H:H)/SUMIF(库存报告使用数据处理!B:B,A27,库存报告使用数据处理!I:I)</f>
        <v>7.99</v>
      </c>
    </row>
    <row r="28" ht="15" spans="1:2">
      <c r="A28" t="s">
        <v>1180</v>
      </c>
      <c r="B28" s="2">
        <f>SUMIF(库存报告使用数据处理!B:B,A28,库存报告使用数据处理!H:H)/SUMIF(库存报告使用数据处理!B:B,A28,库存报告使用数据处理!I:I)</f>
        <v>5.59</v>
      </c>
    </row>
    <row r="29" ht="15" spans="1:2">
      <c r="A29" t="s">
        <v>1181</v>
      </c>
      <c r="B29" s="2">
        <f>SUMIF(库存报告使用数据处理!B:B,A29,库存报告使用数据处理!H:H)/SUMIF(库存报告使用数据处理!B:B,A29,库存报告使用数据处理!I:I)</f>
        <v>13.9</v>
      </c>
    </row>
    <row r="30" ht="15" spans="1:2">
      <c r="A30" t="s">
        <v>1182</v>
      </c>
      <c r="B30" s="2">
        <f>SUMIF(库存报告使用数据处理!B:B,A30,库存报告使用数据处理!H:H)/SUMIF(库存报告使用数据处理!B:B,A30,库存报告使用数据处理!I:I)</f>
        <v>12.99</v>
      </c>
    </row>
    <row r="31" ht="15" spans="1:2">
      <c r="A31" t="s">
        <v>1183</v>
      </c>
      <c r="B31" s="2">
        <f>SUMIF(库存报告使用数据处理!B:B,A31,库存报告使用数据处理!H:H)/SUMIF(库存报告使用数据处理!B:B,A31,库存报告使用数据处理!I:I)</f>
        <v>4.45</v>
      </c>
    </row>
    <row r="32" ht="15" spans="1:2">
      <c r="A32" t="s">
        <v>1184</v>
      </c>
      <c r="B32" s="2">
        <f>SUMIF(库存报告使用数据处理!B:B,A32,库存报告使用数据处理!H:H)/SUMIF(库存报告使用数据处理!B:B,A32,库存报告使用数据处理!I:I)</f>
        <v>36.76</v>
      </c>
    </row>
    <row r="33" ht="15" spans="1:2">
      <c r="A33" t="s">
        <v>1185</v>
      </c>
      <c r="B33" s="2">
        <f>SUMIF(库存报告使用数据处理!B:B,A33,库存报告使用数据处理!H:H)/SUMIF(库存报告使用数据处理!B:B,A33,库存报告使用数据处理!I:I)</f>
        <v>8.79</v>
      </c>
    </row>
    <row r="34" ht="15" spans="1:2">
      <c r="A34" t="s">
        <v>1186</v>
      </c>
      <c r="B34" s="2">
        <f>SUMIF(库存报告使用数据处理!B:B,A34,库存报告使用数据处理!H:H)/SUMIF(库存报告使用数据处理!B:B,A34,库存报告使用数据处理!I:I)</f>
        <v>11.45</v>
      </c>
    </row>
    <row r="35" ht="15" spans="1:2">
      <c r="A35" t="s">
        <v>1187</v>
      </c>
      <c r="B35" s="2">
        <f>SUMIF(库存报告使用数据处理!B:B,A35,库存报告使用数据处理!H:H)/SUMIF(库存报告使用数据处理!B:B,A35,库存报告使用数据处理!I:I)</f>
        <v>6.99</v>
      </c>
    </row>
    <row r="36" ht="15" spans="1:2">
      <c r="A36" t="s">
        <v>1188</v>
      </c>
      <c r="B36" s="2">
        <f>SUMIF(库存报告使用数据处理!B:B,A36,库存报告使用数据处理!H:H)/SUMIF(库存报告使用数据处理!B:B,A36,库存报告使用数据处理!I:I)</f>
        <v>5.27</v>
      </c>
    </row>
    <row r="37" spans="2:2">
      <c r="B37"/>
    </row>
    <row r="38" spans="2:2">
      <c r="B38"/>
    </row>
    <row r="39" spans="2:2">
      <c r="B39"/>
    </row>
    <row r="40" spans="2:2">
      <c r="B40"/>
    </row>
    <row r="41" spans="2:2">
      <c r="B41"/>
    </row>
    <row r="42" spans="2:2">
      <c r="B42"/>
    </row>
    <row r="43" spans="2:2">
      <c r="B43"/>
    </row>
    <row r="44" spans="2:2">
      <c r="B44"/>
    </row>
    <row r="45" spans="2:2">
      <c r="B45"/>
    </row>
    <row r="46" spans="2:2">
      <c r="B46"/>
    </row>
    <row r="47" spans="2:2">
      <c r="B47"/>
    </row>
    <row r="48" spans="2:2">
      <c r="B48"/>
    </row>
    <row r="49" spans="2:2">
      <c r="B49"/>
    </row>
    <row r="50" spans="2:2">
      <c r="B50"/>
    </row>
    <row r="51" spans="2:2">
      <c r="B51"/>
    </row>
    <row r="52" spans="2:2">
      <c r="B52"/>
    </row>
    <row r="53" spans="2:2">
      <c r="B53"/>
    </row>
    <row r="54" spans="2:2">
      <c r="B54"/>
    </row>
    <row r="55" spans="2:2">
      <c r="B55"/>
    </row>
    <row r="56" spans="2:2">
      <c r="B56"/>
    </row>
    <row r="57" spans="2:2">
      <c r="B57"/>
    </row>
    <row r="58" spans="2:2">
      <c r="B58"/>
    </row>
    <row r="59" spans="2:2">
      <c r="B59"/>
    </row>
    <row r="60" spans="2:2">
      <c r="B60"/>
    </row>
    <row r="61" spans="2:2">
      <c r="B61"/>
    </row>
    <row r="62" spans="2:2">
      <c r="B62"/>
    </row>
    <row r="63" spans="2:2">
      <c r="B63"/>
    </row>
    <row r="64" spans="2:2">
      <c r="B64"/>
    </row>
    <row r="65" spans="2:2">
      <c r="B65"/>
    </row>
    <row r="66" spans="2:2">
      <c r="B66"/>
    </row>
    <row r="67" spans="2:2">
      <c r="B67"/>
    </row>
    <row r="68" spans="2:2">
      <c r="B68"/>
    </row>
    <row r="69" spans="2:2">
      <c r="B69"/>
    </row>
    <row r="70" spans="2:2">
      <c r="B70"/>
    </row>
    <row r="71" spans="2:2">
      <c r="B71"/>
    </row>
    <row r="72" spans="2:2">
      <c r="B72"/>
    </row>
    <row r="73" spans="2:2">
      <c r="B73"/>
    </row>
    <row r="74" spans="2:2">
      <c r="B74"/>
    </row>
    <row r="75" spans="2:2">
      <c r="B75"/>
    </row>
    <row r="76" spans="2:2">
      <c r="B76"/>
    </row>
    <row r="77" spans="2:2">
      <c r="B77"/>
    </row>
    <row r="78" spans="2:2">
      <c r="B78"/>
    </row>
    <row r="79" spans="2:2">
      <c r="B79"/>
    </row>
    <row r="80" spans="2:2">
      <c r="B80"/>
    </row>
    <row r="81" spans="2:2">
      <c r="B81"/>
    </row>
    <row r="82" spans="2:2">
      <c r="B82"/>
    </row>
    <row r="83" spans="2:2">
      <c r="B83"/>
    </row>
    <row r="84" spans="2:2">
      <c r="B84"/>
    </row>
    <row r="85" spans="2:2">
      <c r="B85"/>
    </row>
    <row r="86" spans="2:2">
      <c r="B86"/>
    </row>
    <row r="87" spans="2:2">
      <c r="B87"/>
    </row>
    <row r="88" spans="2:2">
      <c r="B88"/>
    </row>
    <row r="89" spans="2:2">
      <c r="B89"/>
    </row>
    <row r="90" spans="2:2">
      <c r="B90"/>
    </row>
    <row r="91" spans="2:2">
      <c r="B91"/>
    </row>
    <row r="92" spans="2:2">
      <c r="B92"/>
    </row>
    <row r="93" spans="2:2">
      <c r="B93"/>
    </row>
    <row r="94" spans="2:2">
      <c r="B94"/>
    </row>
    <row r="95" spans="2:2">
      <c r="B95"/>
    </row>
    <row r="96" spans="2:2">
      <c r="B96"/>
    </row>
    <row r="97" spans="2:2">
      <c r="B97"/>
    </row>
    <row r="98" spans="2:2">
      <c r="B98"/>
    </row>
  </sheetData>
  <autoFilter ref="A1:B49">
    <extLst/>
  </autoFilter>
  <pageMargins left="0.75" right="0.75" top="1" bottom="1" header="0.511805555555556" footer="0.511805555555556"/>
  <headerFooter/>
  <drawing r:id="rId1"/>
  <legacyDrawing r:id="rId2"/>
  <controls>
    <mc:AlternateContent xmlns:mc="http://schemas.openxmlformats.org/markup-compatibility/2006">
      <mc:Choice Requires="x14">
        <control shapeId="2049" r:id="rId3" name="CommandButton1">
          <controlPr defaultSize="0" r:id="rId4">
            <anchor moveWithCells="1">
              <from>
                <xdr:col>3</xdr:col>
                <xdr:colOff>9525</xdr:colOff>
                <xdr:row>0</xdr:row>
                <xdr:rowOff>171450</xdr:rowOff>
              </from>
              <to>
                <xdr:col>5</xdr:col>
                <xdr:colOff>19050</xdr:colOff>
                <xdr:row>3</xdr:row>
                <xdr:rowOff>19050</xdr:rowOff>
              </to>
            </anchor>
          </controlPr>
        </control>
      </mc:Choice>
      <mc:Fallback>
        <control shapeId="2049" r:id="rId3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allorders</vt:lpstr>
      <vt:lpstr>数据处理(仓储使用)</vt:lpstr>
      <vt:lpstr>库存报告使用数据处理</vt:lpstr>
      <vt:lpstr>日期</vt:lpstr>
      <vt:lpstr>父sku-单价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LMY</cp:lastModifiedBy>
  <dcterms:created xsi:type="dcterms:W3CDTF">2017-11-30T08:51:00Z</dcterms:created>
  <dcterms:modified xsi:type="dcterms:W3CDTF">2018-07-04T08:14:25Z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2052-10.1.0.7400</vt:lpwstr>
  </property>
</Properties>
</file>