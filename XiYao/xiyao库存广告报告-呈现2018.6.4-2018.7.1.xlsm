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'库存（子SKU）'!$A$6:$AV$402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<sst xmlns="http://schemas.openxmlformats.org/spreadsheetml/2006/main" count="1147">
  <si>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</si>
  <si>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</si>
  <si>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</si>
  <si>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</si>
  <si>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</si>
  <si>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</si>
  <si>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</si>
  <si>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</si>
  <si>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</si>
  <si>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</si>
  <si>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</si>
  <si>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</si>
  <si>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</si>
  <si>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</si>
  <si>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</si>
  <si>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</si>
  <si>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</si>
  <si>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</si>
  <si>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</si>
  <si>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</si>
  <si>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</si>
  <si>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</si>
  <si>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</si>
  <si>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</si>
  <si>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</si>
  <si>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</si>
  <si>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</si>
  <si>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</si>
  <si>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</si>
  <si>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</si>
  <si>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</si>
  <si>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</si>
  <si>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</si>
  <si>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</si>
  <si>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</si>
  <si>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</si>
  <si>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</si>
  <si>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</si>
  <si>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</si>
  <si>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</si>
  <si>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</si>
  <si>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</si>
  <si>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</si>
  <si>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</si>
  <si>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</si>
  <si>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</si>
  <si>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</si>
  <si>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</si>
  <si>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</si>
  <si>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</si>
  <si>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</si>
  <si>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</si>
  <si>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B074FPYB9N</t>
  </si>
  <si>
    <t>DDBNY</t>
  </si>
  <si>
    <t>无销量广告费为0.82</t>
  </si>
  <si>
    <t/>
  </si>
  <si>
    <t>无销量广告费为1.67</t>
  </si>
  <si>
    <t>DDHNYK0</t>
  </si>
  <si>
    <t>B074FP8NZF</t>
  </si>
  <si>
    <t>DDHNY</t>
  </si>
  <si>
    <t>无销量广告费为14.03</t>
  </si>
  <si>
    <t>无销量广告费为17.14</t>
  </si>
  <si>
    <t>GJHNYK0</t>
  </si>
  <si>
    <t>B074FQSTJL</t>
  </si>
  <si>
    <t>GJHNY</t>
  </si>
  <si>
    <t>无销量广告费为3.26</t>
  </si>
  <si>
    <t>无销量广告费为2.55</t>
  </si>
  <si>
    <t>HLYHMYSG</t>
  </si>
  <si>
    <t>B0761NFQMT</t>
  </si>
  <si>
    <t>TTYCMZFCXH</t>
  </si>
  <si>
    <t>JBL-QFFMMHL</t>
  </si>
  <si>
    <t>B073F2HG9P</t>
  </si>
  <si>
    <t>JBLKTK</t>
  </si>
  <si>
    <t>JBL-QFFMMHM</t>
  </si>
  <si>
    <t>B073F2WTJX</t>
  </si>
  <si>
    <t>无销量广告费为1.3</t>
  </si>
  <si>
    <t>JBL-QFFMMHS</t>
  </si>
  <si>
    <t>B073F35WHV</t>
  </si>
  <si>
    <t>JBL-QFFMMHXL</t>
  </si>
  <si>
    <t>B073F2M56J</t>
  </si>
  <si>
    <t>JBL-QFFM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</si>
  <si>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</si>
  <si>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</si>
  <si>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</si>
  <si>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</si>
  <si>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</si>
  <si>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</si>
  <si>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</si>
  <si>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</si>
  <si>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无销量广告费为0.93</t>
  </si>
  <si>
    <t>JBL-QFFMR5XL</t>
  </si>
  <si>
    <t>B073F1HX4C</t>
  </si>
  <si>
    <t>JBL-QFFMR5XXL</t>
  </si>
  <si>
    <t>B073F4G8B1</t>
  </si>
  <si>
    <t>无销量广告费为0.34</t>
  </si>
  <si>
    <t>KTKJFKMZFB0M</t>
  </si>
  <si>
    <t>B071JYNC36</t>
  </si>
  <si>
    <t>KTKHLZ</t>
  </si>
  <si>
    <t>KTKW0TW0L</t>
  </si>
  <si>
    <t>B072K4S27N</t>
  </si>
  <si>
    <t>KTKSTY</t>
  </si>
  <si>
    <t>KTKW0TW0XL</t>
  </si>
  <si>
    <t>B071JYNS5V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</si>
  <si>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</si>
  <si>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</si>
  <si>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</si>
  <si>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</si>
  <si>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</si>
  <si>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</si>
  <si>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</si>
  <si>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</si>
  <si>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</si>
  <si>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</si>
  <si>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无销量广告费为6.24</t>
  </si>
  <si>
    <t>KTKXKR0</t>
  </si>
  <si>
    <t>B071NP2X5N</t>
  </si>
  <si>
    <t>无销量广告费为3.69</t>
  </si>
  <si>
    <t>KTKXKW0</t>
  </si>
  <si>
    <t>B0716LH9B7</t>
  </si>
  <si>
    <t>无销量广告费为0.65</t>
  </si>
  <si>
    <t>KTKXKW0L</t>
  </si>
  <si>
    <t>B073XMFYWX</t>
  </si>
  <si>
    <t>KTKXKY0</t>
  </si>
  <si>
    <t>B071HHSJ1R</t>
  </si>
  <si>
    <t>无销量广告费为2.44</t>
  </si>
  <si>
    <t>MY16055K0L</t>
  </si>
  <si>
    <t>B0761V7L2R</t>
  </si>
  <si>
    <t>MQZHK</t>
  </si>
  <si>
    <t>MY16055K0M</t>
  </si>
  <si>
    <t>B0761QBHM9</t>
  </si>
  <si>
    <t>MY16055K0S</t>
  </si>
  <si>
    <t>B0761S8TXR</t>
  </si>
  <si>
    <t>MY16055K0XL</t>
  </si>
  <si>
    <t>B0761N3HJ3</t>
  </si>
  <si>
    <t>MY16055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</si>
  <si>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</si>
  <si>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</si>
  <si>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</si>
  <si>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</si>
  <si>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</si>
  <si>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</si>
  <si>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</si>
  <si>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</si>
  <si>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无销量广告费为0.32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</si>
  <si>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</si>
  <si>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</si>
  <si>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</si>
  <si>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</si>
  <si>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</si>
  <si>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</si>
  <si>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</si>
  <si>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</si>
  <si>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</si>
  <si>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</si>
  <si>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</si>
  <si>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</si>
  <si>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无销量广告费为0.35</t>
  </si>
  <si>
    <t>MY71107K0L</t>
  </si>
  <si>
    <t>B0761PSPTJ</t>
  </si>
  <si>
    <t>MY71107K0S</t>
  </si>
  <si>
    <t>B0761PDMGN</t>
  </si>
  <si>
    <t>MY71107K0XL</t>
  </si>
  <si>
    <t>B0761PVQYZ</t>
  </si>
  <si>
    <t>MY71107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</si>
  <si>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</si>
  <si>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</si>
  <si>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</si>
  <si>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</si>
  <si>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</si>
  <si>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</si>
  <si>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</si>
  <si>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</si>
  <si>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</si>
  <si>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</si>
  <si>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无销量广告费为0.31</t>
  </si>
  <si>
    <t>MY71107MSXXL</t>
  </si>
  <si>
    <t>B0761PTZY2</t>
  </si>
  <si>
    <t>MY71107ZQL</t>
  </si>
  <si>
    <t>B0761NJH9L</t>
  </si>
  <si>
    <t>MY71107ZQM</t>
  </si>
  <si>
    <t>B0761P4LK2</t>
  </si>
  <si>
    <t>无销量广告费为0.33</t>
  </si>
  <si>
    <t>无销量广告费为1.89</t>
  </si>
  <si>
    <t>MY71107ZQS</t>
  </si>
  <si>
    <t>B0761N286T</t>
  </si>
  <si>
    <t>MY71107ZQXL</t>
  </si>
  <si>
    <t>B0761NG4W8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</si>
  <si>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</si>
  <si>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</si>
  <si>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</si>
  <si>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</si>
  <si>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</si>
  <si>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</si>
  <si>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</si>
  <si>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</si>
  <si>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</t>
  </si>
  <si>
    <t>无销量广告费为1.34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</si>
  <si>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</si>
  <si>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</si>
  <si>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</si>
  <si>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</si>
  <si>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</si>
  <si>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</si>
  <si>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</si>
  <si>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</si>
  <si>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无销量广告费为0.39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</si>
  <si>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</si>
  <si>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</si>
  <si>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</si>
  <si>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</si>
  <si>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</si>
  <si>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</si>
  <si>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</si>
  <si>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</si>
  <si>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无销量广告费为0.59</t>
  </si>
  <si>
    <t>MY71115ZQS</t>
  </si>
  <si>
    <t>B0761R6ZG2</t>
  </si>
  <si>
    <t>MY71115ZQXL</t>
  </si>
  <si>
    <t>B0761PBXCV</t>
  </si>
  <si>
    <t>MY71115ZQXXL</t>
  </si>
  <si>
    <t>B0761MLYTQ</t>
  </si>
  <si>
    <t>无销量广告费为0.04</t>
  </si>
  <si>
    <t>N029YE036</t>
  </si>
  <si>
    <t>B074JWL6PF</t>
  </si>
  <si>
    <t>MZCXK</t>
  </si>
  <si>
    <t>无销量广告费为0.7</t>
  </si>
  <si>
    <t>N029YE038</t>
  </si>
  <si>
    <t>B074JWL4F2</t>
  </si>
  <si>
    <t>无销量广告费为0.15</t>
  </si>
  <si>
    <t>N029YE040</t>
  </si>
  <si>
    <t>B074JV7QWX</t>
  </si>
  <si>
    <t>无销量广告费为5.16</t>
  </si>
  <si>
    <t>无销量广告费为7.21</t>
  </si>
  <si>
    <t>N029YHL36</t>
  </si>
  <si>
    <t>B074K1L386</t>
  </si>
  <si>
    <t>N029Y</t>
  </si>
  <si>
    <t>无销量广告费为0.3</t>
  </si>
  <si>
    <t>N029YHL38</t>
  </si>
  <si>
    <t>B074JWS1CB</t>
  </si>
  <si>
    <t>无销量广告费为1.1</t>
  </si>
  <si>
    <t>N029YHL40</t>
  </si>
  <si>
    <t>B074JW5XZ4</t>
  </si>
  <si>
    <t>无销量广告费为7.42</t>
  </si>
  <si>
    <t>无销量广告费为5.48</t>
  </si>
  <si>
    <t>无销量广告费为1.44</t>
  </si>
  <si>
    <t>无销量广告费为1.42</t>
  </si>
  <si>
    <t>N029YMH36</t>
  </si>
  <si>
    <t>B074K5FMRM</t>
  </si>
  <si>
    <t>无销量广告费为0.78</t>
  </si>
  <si>
    <t>N029YMH38</t>
  </si>
  <si>
    <t>B074K26CND</t>
  </si>
  <si>
    <t>无销量广告费为0.43</t>
  </si>
  <si>
    <t>无销量广告费为0.47</t>
  </si>
  <si>
    <t>N029YMH40</t>
  </si>
  <si>
    <t>B074JX2YCN</t>
  </si>
  <si>
    <t>无销量广告费为0.68</t>
  </si>
  <si>
    <t>无销量广告费为0.57</t>
  </si>
  <si>
    <t>无销量广告费为0.51</t>
  </si>
  <si>
    <t>无销量广告费为0.74</t>
  </si>
  <si>
    <t>N039YB036</t>
  </si>
  <si>
    <t>B074JWQ644</t>
  </si>
  <si>
    <t>无销量广告费为0.95</t>
  </si>
  <si>
    <t>无销量广告费为0.99</t>
  </si>
  <si>
    <t>N039YB038</t>
  </si>
  <si>
    <t>B074JX2YCX</t>
  </si>
  <si>
    <t>无销量广告费为0.17</t>
  </si>
  <si>
    <t>无销量广告费为0.85</t>
  </si>
  <si>
    <t>N039YB040</t>
  </si>
  <si>
    <t>B074JTW9NR</t>
  </si>
  <si>
    <t>无销量广告费为0.38</t>
  </si>
  <si>
    <t>N039YG036</t>
  </si>
  <si>
    <t>B074JZ2HSX</t>
  </si>
  <si>
    <t>N039Y</t>
  </si>
  <si>
    <t>无销量广告费为1.28</t>
  </si>
  <si>
    <t>无销量广告费为0.29</t>
  </si>
  <si>
    <t>N039YG038</t>
  </si>
  <si>
    <t>B074JW9ZRS</t>
  </si>
  <si>
    <t>无销量广告费为0.13</t>
  </si>
  <si>
    <t>无销量广告费为3.92</t>
  </si>
  <si>
    <t>无销量广告费为2.38</t>
  </si>
  <si>
    <t>N039YG040</t>
  </si>
  <si>
    <t>B074JW46DX</t>
  </si>
  <si>
    <t>无销量广告费为0.45</t>
  </si>
  <si>
    <t>N039YP036</t>
  </si>
  <si>
    <t>B074K1913X</t>
  </si>
  <si>
    <t>N039YP038</t>
  </si>
  <si>
    <t>B074JXGVBD</t>
  </si>
  <si>
    <t>无销量广告费为1.92</t>
  </si>
  <si>
    <t>无销量广告费为2.63</t>
  </si>
  <si>
    <t>无销量广告费为1.53</t>
  </si>
  <si>
    <t>N039YP040</t>
  </si>
  <si>
    <t>B074JY219R</t>
  </si>
  <si>
    <t>N039YR036</t>
  </si>
  <si>
    <t>B074JYMHZL</t>
  </si>
  <si>
    <t>N039YR038</t>
  </si>
  <si>
    <t>B074K3YM47</t>
  </si>
  <si>
    <t>无销量广告费为0.77</t>
  </si>
  <si>
    <t>N039YR040</t>
  </si>
  <si>
    <t>B074K4GLGJ</t>
  </si>
  <si>
    <t>N039YTHS36</t>
  </si>
  <si>
    <t>B074JTR9T4</t>
  </si>
  <si>
    <t>N039YTHS38</t>
  </si>
  <si>
    <t>B074K3MSFD</t>
  </si>
  <si>
    <t>N039YTHS40</t>
  </si>
  <si>
    <t>B074K4N247</t>
  </si>
  <si>
    <t>N039YXGH36</t>
  </si>
  <si>
    <t>B074K2GJCF</t>
  </si>
  <si>
    <t>无销量广告费为0.63</t>
  </si>
  <si>
    <t>无销量广告费为0.4</t>
  </si>
  <si>
    <t>无销量广告费为1.17</t>
  </si>
  <si>
    <t>N039YXGH38</t>
  </si>
  <si>
    <t>B074JZ42X6</t>
  </si>
  <si>
    <t>无销量广告费为0.2</t>
  </si>
  <si>
    <t>N039YXGH40</t>
  </si>
  <si>
    <t>B074JXZSJM</t>
  </si>
  <si>
    <t>N158YB038</t>
  </si>
  <si>
    <t>B074FXCYQT</t>
  </si>
  <si>
    <t>N1228Y</t>
  </si>
  <si>
    <t>无销量广告费为0.44</t>
  </si>
  <si>
    <t>无销量广告费为2.22</t>
  </si>
  <si>
    <t>无销量广告费为2.68</t>
  </si>
  <si>
    <t>无销量广告费为1.69</t>
  </si>
  <si>
    <t>N158YK038</t>
  </si>
  <si>
    <t>B074FVRK4X</t>
  </si>
  <si>
    <t>N158YR038</t>
  </si>
  <si>
    <t>B074FSXVNK</t>
  </si>
  <si>
    <t>N158Y</t>
  </si>
  <si>
    <t>无销量广告费为0.06</t>
  </si>
  <si>
    <t>无销量广告费为0.71</t>
  </si>
  <si>
    <t>N1709YR042</t>
  </si>
  <si>
    <t>B074CZ4S1V</t>
  </si>
  <si>
    <t>N1709Y</t>
  </si>
  <si>
    <t>无销量广告费为0.26</t>
  </si>
  <si>
    <t>N1709YR046</t>
  </si>
  <si>
    <t>B074CS5P3X</t>
  </si>
  <si>
    <t>无销量广告费为0.09</t>
  </si>
  <si>
    <t>N1709YR048</t>
  </si>
  <si>
    <t>B074CSF1MY</t>
  </si>
  <si>
    <t>无销量广告费为0.37</t>
  </si>
  <si>
    <t>无销量广告费为0.73</t>
  </si>
  <si>
    <t>无销量广告费为0.41</t>
  </si>
  <si>
    <t>N1709YXS48</t>
  </si>
  <si>
    <t>B074CSG4ZS</t>
  </si>
  <si>
    <t>N1709YZS44</t>
  </si>
  <si>
    <t>B074CSPJVW</t>
  </si>
  <si>
    <t>N1709YZS46</t>
  </si>
  <si>
    <t>B074CS535P</t>
  </si>
  <si>
    <t>无销量广告费为0.27</t>
  </si>
  <si>
    <t>N1709YZS48</t>
  </si>
  <si>
    <t>B074CSCRF6</t>
  </si>
  <si>
    <t>N2033YK036</t>
  </si>
  <si>
    <t>B074DVZPS8</t>
  </si>
  <si>
    <t>N2033YK038</t>
  </si>
  <si>
    <t>B074DWGDMH</t>
  </si>
  <si>
    <t>N2033YK040</t>
  </si>
  <si>
    <t>B074DWBXBD</t>
  </si>
  <si>
    <t>无销量广告费为0.24</t>
  </si>
  <si>
    <t>无销量广告费为1.24</t>
  </si>
  <si>
    <t>N2033YK042</t>
  </si>
  <si>
    <t>B074DVVVVP</t>
  </si>
  <si>
    <t>N2033Y</t>
  </si>
  <si>
    <t>N2033YSG36</t>
  </si>
  <si>
    <t>B074DVCJDR</t>
  </si>
  <si>
    <t>N2033YSG40</t>
  </si>
  <si>
    <t>B074DW762P</t>
  </si>
  <si>
    <t>N2033YSG42</t>
  </si>
  <si>
    <t>B074DW59FV</t>
  </si>
  <si>
    <t>N2047YK032</t>
  </si>
  <si>
    <t>B074DVVJND</t>
  </si>
  <si>
    <t>无销量广告费为0.07</t>
  </si>
  <si>
    <t>N2047YK034</t>
  </si>
  <si>
    <t>B074DW274J</t>
  </si>
  <si>
    <t>无销量广告费为0.19</t>
  </si>
  <si>
    <t>N2047YXS32</t>
  </si>
  <si>
    <t>B074DVQP6Q</t>
  </si>
  <si>
    <t>N2047Y</t>
  </si>
  <si>
    <t>N2047YXS36</t>
  </si>
  <si>
    <t>B074DW3W5X</t>
  </si>
  <si>
    <t>N2082YK034</t>
  </si>
  <si>
    <t>B074DWLT99</t>
  </si>
  <si>
    <t>N2082YK036</t>
  </si>
  <si>
    <t>B074DVQ243</t>
  </si>
  <si>
    <t>N2082YK038</t>
  </si>
  <si>
    <t>B074DWFV62</t>
  </si>
  <si>
    <t>N2082YQJ34</t>
  </si>
  <si>
    <t>B074DW5ZSD</t>
  </si>
  <si>
    <t>N2082Y</t>
  </si>
  <si>
    <t>N2082YQJ36</t>
  </si>
  <si>
    <t>B074DVY5J8</t>
  </si>
  <si>
    <t>N2082YQJ38</t>
  </si>
  <si>
    <t>B074DW2MGG</t>
  </si>
  <si>
    <t>N2082YQLS34</t>
  </si>
  <si>
    <t>B074DW1MXR</t>
  </si>
  <si>
    <t>N2082YQLS36</t>
  </si>
  <si>
    <t>B074DW2H3B</t>
  </si>
  <si>
    <t>N2082YQLS38</t>
  </si>
  <si>
    <t>B074DWNCM6</t>
  </si>
  <si>
    <t>N2257YG036</t>
  </si>
  <si>
    <t>B074FL1674</t>
  </si>
  <si>
    <t>无销量广告费为3.67</t>
  </si>
  <si>
    <t>无销量广告费为2.29</t>
  </si>
  <si>
    <t>无销量广告费为2.85</t>
  </si>
  <si>
    <t>N2257YK034</t>
  </si>
  <si>
    <t>B074DVLRRB</t>
  </si>
  <si>
    <t>N2257YK038</t>
  </si>
  <si>
    <t>B074DW6NQD</t>
  </si>
  <si>
    <t>N2257Y</t>
  </si>
  <si>
    <t>无销量广告费为0.56</t>
  </si>
  <si>
    <t>无销量广告费为0.6</t>
  </si>
  <si>
    <t>N2257YR538</t>
  </si>
  <si>
    <t>B074DV7WDZ</t>
  </si>
  <si>
    <t>无销量广告费为0.1</t>
  </si>
  <si>
    <t>N2257YSG36</t>
  </si>
  <si>
    <t>B074DVZ847</t>
  </si>
  <si>
    <t>N2716YHL34</t>
  </si>
  <si>
    <t>B074QJ923S</t>
  </si>
  <si>
    <t>N263Y</t>
  </si>
  <si>
    <t>无销量广告费为1.37</t>
  </si>
  <si>
    <t>无销量广告费为0.46</t>
  </si>
  <si>
    <t>N2716YHL36</t>
  </si>
  <si>
    <t>B074Q9CTNJ</t>
  </si>
  <si>
    <t>无销量广告费为1.08</t>
  </si>
  <si>
    <t>无销量广告费为0.75</t>
  </si>
  <si>
    <t>N2716YHL38</t>
  </si>
  <si>
    <t>B074QQ5S79</t>
  </si>
  <si>
    <t>N2716YMH34</t>
  </si>
  <si>
    <t>B074QGD61W</t>
  </si>
  <si>
    <t>N2716Y</t>
  </si>
  <si>
    <t>N2716YMH36</t>
  </si>
  <si>
    <t>B074QFDH8R</t>
  </si>
  <si>
    <t>N2716YMH38</t>
  </si>
  <si>
    <t>B074QCYQ9L</t>
  </si>
  <si>
    <t>N2716YR034</t>
  </si>
  <si>
    <t>B074QDS9ZN</t>
  </si>
  <si>
    <t>无销量广告费为2.66</t>
  </si>
  <si>
    <t>N2716YR036</t>
  </si>
  <si>
    <t>B074QGLLQN</t>
  </si>
  <si>
    <t>N2716YR038</t>
  </si>
  <si>
    <t>B074QG3P8G</t>
  </si>
  <si>
    <t>N2716YYGL34</t>
  </si>
  <si>
    <t>B074QCGCJC</t>
  </si>
  <si>
    <t>N2716YYGL36</t>
  </si>
  <si>
    <t>B074QDSYXY</t>
  </si>
  <si>
    <t>N2716YYGL38</t>
  </si>
  <si>
    <t>B074Q9RQFH</t>
  </si>
  <si>
    <t>无销量广告费为1.31</t>
  </si>
  <si>
    <t>N31459YB040</t>
  </si>
  <si>
    <t>B074CXLQVY</t>
  </si>
  <si>
    <t>N299Y</t>
  </si>
  <si>
    <t>N31459YB042</t>
  </si>
  <si>
    <t>B074CX8YMH</t>
  </si>
  <si>
    <t>N31459YB044</t>
  </si>
  <si>
    <t>B074CX9229</t>
  </si>
  <si>
    <t>N31459Y</t>
  </si>
  <si>
    <t>N31459YJS42</t>
  </si>
  <si>
    <t>B074CX7NWQ</t>
  </si>
  <si>
    <t>无销量广告费为0.12</t>
  </si>
  <si>
    <t>N31459YJS46</t>
  </si>
  <si>
    <t>B074CXNWMZ</t>
  </si>
  <si>
    <t>无销量广告费为1.16</t>
  </si>
  <si>
    <t>无销量广告费为0.84</t>
  </si>
  <si>
    <t>N31459YLL48</t>
  </si>
  <si>
    <t>B074CXBB31</t>
  </si>
  <si>
    <t>N31459YMH38</t>
  </si>
  <si>
    <t>B074CWRDHL</t>
  </si>
  <si>
    <t>无销量广告费为0.94</t>
  </si>
  <si>
    <t>N31459YMH42</t>
  </si>
  <si>
    <t>B074CXR8YG</t>
  </si>
  <si>
    <t>无销量广告费为1.6</t>
  </si>
  <si>
    <t>N31459YMH44</t>
  </si>
  <si>
    <t>B074CXK4TV</t>
  </si>
  <si>
    <t>N31459YMH46</t>
  </si>
  <si>
    <t>B074CX73CM</t>
  </si>
  <si>
    <t>无销量广告费为2.73</t>
  </si>
  <si>
    <t>无销量广告费为2.11</t>
  </si>
  <si>
    <t>无销量广告费为1.55</t>
  </si>
  <si>
    <t>无销量广告费为4.91</t>
  </si>
  <si>
    <t>N31459YMH48</t>
  </si>
  <si>
    <t>B074CXPPQM</t>
  </si>
  <si>
    <t>N31459YP038</t>
  </si>
  <si>
    <t>B074CXK6RZ</t>
  </si>
  <si>
    <t>无销量广告费为1.06</t>
  </si>
  <si>
    <t>无销量广告费为0.69</t>
  </si>
  <si>
    <t>N31459YP044</t>
  </si>
  <si>
    <t>B074CXP24Y</t>
  </si>
  <si>
    <t>无销量广告费为0.02</t>
  </si>
  <si>
    <t>N31459YP046</t>
  </si>
  <si>
    <t>B074CXNBPV</t>
  </si>
  <si>
    <t>无销量广告费为2.07</t>
  </si>
  <si>
    <t>N31459YP048</t>
  </si>
  <si>
    <t>B074CWTLXY</t>
  </si>
  <si>
    <t>无销量广告费为0.52</t>
  </si>
  <si>
    <t>N31459YR038</t>
  </si>
  <si>
    <t>B074CX7218</t>
  </si>
  <si>
    <t>无销量广告费为4.53</t>
  </si>
  <si>
    <t>无销量广告费为4.15</t>
  </si>
  <si>
    <t>无销量广告费为2.58</t>
  </si>
  <si>
    <t>无销量广告费为3.93</t>
  </si>
  <si>
    <t>N31459YR044</t>
  </si>
  <si>
    <t>B074CXMS2N</t>
  </si>
  <si>
    <t>N3818-2YW038</t>
  </si>
  <si>
    <t>B074CW3HDD</t>
  </si>
  <si>
    <t>N3818-2Y</t>
  </si>
  <si>
    <t>无销量广告费为2.17</t>
  </si>
  <si>
    <t>无销量广告费为1.96</t>
  </si>
  <si>
    <t>N3818-2YW040</t>
  </si>
  <si>
    <t>B074CW3JWV</t>
  </si>
  <si>
    <t>无销量广告费为0.54</t>
  </si>
  <si>
    <t>N3818-2YW044</t>
  </si>
  <si>
    <t>B074CW4J9M</t>
  </si>
  <si>
    <t>N3818-2YW046</t>
  </si>
  <si>
    <t>B074CWWB41</t>
  </si>
  <si>
    <t>无销量广告费为0.9</t>
  </si>
  <si>
    <t>无销量广告费为2.41</t>
  </si>
  <si>
    <t>N3818-2YW048</t>
  </si>
  <si>
    <t>B074CWG2B2</t>
  </si>
  <si>
    <t>无销量广告费为1.14</t>
  </si>
  <si>
    <t>N531YB036</t>
  </si>
  <si>
    <t>B074JVMQRW</t>
  </si>
  <si>
    <t>N5100Y</t>
  </si>
  <si>
    <t>无销量广告费为1.09</t>
  </si>
  <si>
    <t>无销量广告费为1.12</t>
  </si>
  <si>
    <t>N531YB038</t>
  </si>
  <si>
    <t>B074K4DJJR</t>
  </si>
  <si>
    <t>N531YB040</t>
  </si>
  <si>
    <t>B074JW998T</t>
  </si>
  <si>
    <t>N531Y</t>
  </si>
  <si>
    <t>无销量广告费为0.21</t>
  </si>
  <si>
    <t>N531YK034</t>
  </si>
  <si>
    <t>B074K2QJ5H</t>
  </si>
  <si>
    <t>N531YK036</t>
  </si>
  <si>
    <t>B074K4DJKF</t>
  </si>
  <si>
    <t>N531YK038</t>
  </si>
  <si>
    <t>B074JYYM5F</t>
  </si>
  <si>
    <t>N531YK040</t>
  </si>
  <si>
    <t>B074K4K838</t>
  </si>
  <si>
    <t>无销量广告费为0.92</t>
  </si>
  <si>
    <t>无销量广告费为0.61</t>
  </si>
  <si>
    <t>N531YQL34</t>
  </si>
  <si>
    <t>B074K24HL3</t>
  </si>
  <si>
    <t>无销量广告费为0.14</t>
  </si>
  <si>
    <t>N531YQL36</t>
  </si>
  <si>
    <t>B074JXQX4Z</t>
  </si>
  <si>
    <t>N531YQL38</t>
  </si>
  <si>
    <t>B074JXFM38</t>
  </si>
  <si>
    <t>N531YQL40</t>
  </si>
  <si>
    <t>B074JZ1THP</t>
  </si>
  <si>
    <t>无销量广告费为4.21</t>
  </si>
  <si>
    <t>无销量广告费为0.8</t>
  </si>
  <si>
    <t>无销量广告费为2.34</t>
  </si>
  <si>
    <t>无销量广告费为3.74</t>
  </si>
  <si>
    <t>N531YR034</t>
  </si>
  <si>
    <t>B074K3VJ4G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</si>
  <si>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</si>
  <si>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</si>
  <si>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</si>
  <si>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</si>
  <si>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</si>
  <si>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</si>
  <si>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</si>
  <si>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</si>
  <si>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无销量广告费为1</t>
  </si>
  <si>
    <t>无销量广告费为0.79</t>
  </si>
  <si>
    <t>无销量广告费为1.22</t>
  </si>
  <si>
    <t>N531YXS36</t>
  </si>
  <si>
    <t>B074JXZYR5</t>
  </si>
  <si>
    <t>N531YXS38</t>
  </si>
  <si>
    <t>B074JV1QKR</t>
  </si>
  <si>
    <t>无销量广告费为1.27</t>
  </si>
  <si>
    <t>N531YXS40</t>
  </si>
  <si>
    <t>B074JV1QKT</t>
  </si>
  <si>
    <t>N583YQZ36</t>
  </si>
  <si>
    <t>B074DVW5HC</t>
  </si>
  <si>
    <t>N5330Y</t>
  </si>
  <si>
    <t>无销量广告费为0.49</t>
  </si>
  <si>
    <t>N583YQZ38</t>
  </si>
  <si>
    <t>B074FJ37K7</t>
  </si>
  <si>
    <t>无销量广告费为1.26</t>
  </si>
  <si>
    <t>无销量广告费为1.81</t>
  </si>
  <si>
    <t>无销量广告费为0.83</t>
  </si>
  <si>
    <t>N583YQZ40</t>
  </si>
  <si>
    <t>B074DW168F</t>
  </si>
  <si>
    <t>N583YQZ42</t>
  </si>
  <si>
    <t>B074DW2BY6</t>
  </si>
  <si>
    <t>N583Y</t>
  </si>
  <si>
    <t>N583YQZ44</t>
  </si>
  <si>
    <t>B074DVY6FY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</si>
  <si>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</si>
  <si>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</si>
  <si>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</si>
  <si>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</si>
  <si>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</si>
  <si>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</si>
  <si>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</si>
  <si>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</si>
  <si>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</si>
  <si>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</si>
  <si>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</si>
  <si>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</si>
  <si>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</si>
  <si>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</si>
  <si>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</si>
  <si>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</si>
  <si>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</si>
  <si>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</si>
  <si>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</si>
  <si>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N87301KSGL</t>
  </si>
  <si>
    <t>B074FWZFVP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</si>
  <si>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</si>
  <si>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</si>
  <si>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</si>
  <si>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</si>
  <si>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</si>
  <si>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</si>
  <si>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</si>
  <si>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</si>
  <si>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</si>
  <si>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</si>
  <si>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</si>
  <si>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</si>
  <si>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</si>
  <si>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</si>
  <si>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</si>
  <si>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</si>
  <si>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</si>
  <si>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</si>
  <si>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</si>
  <si>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</si>
  <si>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</si>
  <si>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N87309KZHSM</t>
  </si>
  <si>
    <t>B074FTKNM9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</si>
  <si>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</si>
  <si>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</si>
  <si>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</si>
  <si>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</si>
  <si>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</si>
  <si>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</si>
  <si>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</si>
  <si>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</si>
  <si>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</si>
  <si>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</si>
  <si>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</si>
  <si>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</si>
  <si>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</si>
  <si>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</si>
  <si>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</si>
  <si>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</si>
  <si>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</si>
  <si>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</si>
  <si>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</si>
  <si>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</si>
  <si>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</si>
  <si>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</si>
  <si>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</si>
  <si>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</si>
  <si>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</si>
  <si>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</si>
  <si>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N888YK038</t>
  </si>
  <si>
    <t>B074FRC3TW</t>
  </si>
  <si>
    <t>N888YK040</t>
  </si>
  <si>
    <t>B074FTJ6WL</t>
  </si>
  <si>
    <t>N888YK042</t>
  </si>
  <si>
    <t>B074FSCZT2</t>
  </si>
  <si>
    <t>N888Y</t>
  </si>
  <si>
    <t>无销量广告费为0.96</t>
  </si>
  <si>
    <t>N888YR536</t>
  </si>
  <si>
    <t>B074FTW5DS</t>
  </si>
  <si>
    <t>N888YR538</t>
  </si>
  <si>
    <t>B074FRWKSK</t>
  </si>
  <si>
    <t>无销量广告费为0.88</t>
  </si>
  <si>
    <t>N888YR540</t>
  </si>
  <si>
    <t>B074FX3ZFZ</t>
  </si>
  <si>
    <t>无销量广告费为1.05</t>
  </si>
  <si>
    <t>N888YR542</t>
  </si>
  <si>
    <t>B074FXLL7J</t>
  </si>
  <si>
    <t>N888YXS36</t>
  </si>
  <si>
    <t>B074FQWCTK</t>
  </si>
  <si>
    <t>无销量广告费为1.11</t>
  </si>
  <si>
    <t>N888YXS38</t>
  </si>
  <si>
    <t>B074FRX8XF</t>
  </si>
  <si>
    <t>N888YXS40</t>
  </si>
  <si>
    <t>B074FT4GVL</t>
  </si>
  <si>
    <t>N888YXS42</t>
  </si>
  <si>
    <t>B074FVKNXW</t>
  </si>
  <si>
    <t>N89103KHLXL</t>
  </si>
  <si>
    <t>B074FNZXKK</t>
  </si>
  <si>
    <t>N89103K</t>
  </si>
  <si>
    <t>N89103KW0XL</t>
  </si>
  <si>
    <t>B074FXS3XL</t>
  </si>
  <si>
    <t>N89118KMLSXL</t>
  </si>
  <si>
    <t>B074FYXKCH</t>
  </si>
  <si>
    <t>N89118K</t>
  </si>
  <si>
    <t>N89118KW0XL</t>
  </si>
  <si>
    <t>B074FR8NL9</t>
  </si>
  <si>
    <t>N89119KBLL</t>
  </si>
  <si>
    <t>B074FT3DCL</t>
  </si>
  <si>
    <t>N89119KBLM</t>
  </si>
  <si>
    <t>B074FQ84QJ</t>
  </si>
  <si>
    <t>N89119KK0L</t>
  </si>
  <si>
    <t>B074FT665V</t>
  </si>
  <si>
    <t>N89119K</t>
  </si>
  <si>
    <t>N89119KMHL</t>
  </si>
  <si>
    <t>B074FSW752</t>
  </si>
  <si>
    <t>N89119KMHXL</t>
  </si>
  <si>
    <t>B074FVGPRW</t>
  </si>
  <si>
    <t>N89119KR5L</t>
  </si>
  <si>
    <t>B074FYMTFF</t>
  </si>
  <si>
    <t>N89119KR5M</t>
  </si>
  <si>
    <t>B074FWHSLT</t>
  </si>
  <si>
    <t>N89119KXSL</t>
  </si>
  <si>
    <t>B074FWJYDS</t>
  </si>
  <si>
    <t>N89119KXSM</t>
  </si>
  <si>
    <t>B074FSGM8N</t>
  </si>
  <si>
    <t>N89122KBL3XL</t>
  </si>
  <si>
    <t>B074FW1DYK</t>
  </si>
  <si>
    <t>N89122KBL4XL</t>
  </si>
  <si>
    <t>B074FT3T2H</t>
  </si>
  <si>
    <t>N89122KHL2XL</t>
  </si>
  <si>
    <t>B074FWRNDY</t>
  </si>
  <si>
    <t>N89122K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</si>
  <si>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</si>
  <si>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</si>
  <si>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</si>
  <si>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</si>
  <si>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</si>
  <si>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</si>
  <si>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</si>
  <si>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</si>
  <si>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</si>
  <si>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</si>
  <si>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</si>
  <si>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</si>
  <si>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</si>
  <si>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</si>
  <si>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</si>
  <si>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</si>
  <si>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</si>
  <si>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</si>
  <si>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</si>
  <si>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</si>
  <si>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</si>
  <si>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</si>
  <si>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</si>
  <si>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</si>
  <si>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</si>
  <si>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</si>
  <si>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无销量广告费为1.15</t>
  </si>
  <si>
    <t>无销量广告费为1.68</t>
  </si>
  <si>
    <t>N9383YB042</t>
  </si>
  <si>
    <t>B074CWTQW9</t>
  </si>
  <si>
    <t>N9383YB044</t>
  </si>
  <si>
    <t>B074CWMB5Z</t>
  </si>
  <si>
    <t>N9383Y</t>
  </si>
  <si>
    <t>N9383YB046</t>
  </si>
  <si>
    <t>B074CX2BPL</t>
  </si>
  <si>
    <t>无销量广告费为1.43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</si>
  <si>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</si>
  <si>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</si>
  <si>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</si>
  <si>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</si>
  <si>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</si>
  <si>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</si>
  <si>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</si>
  <si>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</si>
  <si>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无销量广告费为1.01</t>
  </si>
  <si>
    <t>无销量广告费为1.97</t>
  </si>
  <si>
    <t>N9383YG046</t>
  </si>
  <si>
    <t>B074CX6ML1</t>
  </si>
  <si>
    <t>N9383YG048</t>
  </si>
  <si>
    <t>B074CWLZDG</t>
  </si>
  <si>
    <t>N9383YMH38</t>
  </si>
  <si>
    <t>B074CWYHQ7</t>
  </si>
  <si>
    <t>无销量广告费为0.67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</si>
  <si>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</si>
  <si>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</si>
  <si>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</si>
  <si>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</si>
  <si>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</si>
  <si>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</si>
  <si>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</si>
  <si>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</si>
  <si>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</si>
  <si>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</si>
  <si>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</si>
  <si>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</si>
  <si>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无销量广告费为0.5</t>
  </si>
  <si>
    <t>N9383YP042</t>
  </si>
  <si>
    <t>B074CWSDCG</t>
  </si>
  <si>
    <t>无销量广告费为1.19</t>
  </si>
  <si>
    <t>N9383YP044</t>
  </si>
  <si>
    <t>B074CWR4ZR</t>
  </si>
  <si>
    <t>N9383YP048</t>
  </si>
  <si>
    <t>B074CWZSVH</t>
  </si>
  <si>
    <t>无销量广告费为0.55</t>
  </si>
  <si>
    <t>N9383YR038</t>
  </si>
  <si>
    <t>B074CWSQFG</t>
  </si>
  <si>
    <t>N9383YR040</t>
  </si>
  <si>
    <t>B074CX22LX</t>
  </si>
  <si>
    <t>N9383YR042</t>
  </si>
  <si>
    <t>B074CWTBK6</t>
  </si>
  <si>
    <t>无销量广告费为0.58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</si>
  <si>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</si>
  <si>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</si>
  <si>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</si>
  <si>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</si>
  <si>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</si>
  <si>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</si>
  <si>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</si>
  <si>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</si>
  <si>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</si>
  <si>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</si>
  <si>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无销量广告费为1.87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</si>
  <si>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</si>
  <si>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</si>
  <si>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</si>
  <si>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</si>
  <si>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</si>
  <si>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</si>
  <si>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</si>
  <si>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</si>
  <si>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N9932YK036</t>
  </si>
  <si>
    <t>B074FTXNPM</t>
  </si>
  <si>
    <t>无销量广告费为2.49</t>
  </si>
  <si>
    <t>N9932YK038</t>
  </si>
  <si>
    <t>B074FTZ9P4</t>
  </si>
  <si>
    <t>无销量广告费为0.05</t>
  </si>
  <si>
    <t>N9932YR034</t>
  </si>
  <si>
    <t>B074FX94G1</t>
  </si>
  <si>
    <t>N9932Y</t>
  </si>
  <si>
    <t>N9932YR036</t>
  </si>
  <si>
    <t>B074FX1CXN</t>
  </si>
  <si>
    <t>N9932YR534</t>
  </si>
  <si>
    <t>B074FTFWR7</t>
  </si>
  <si>
    <t>N9932YR536</t>
  </si>
  <si>
    <t>B074FTV42K</t>
  </si>
  <si>
    <t>无销量广告费为0.03</t>
  </si>
  <si>
    <t>N9932YR538</t>
  </si>
  <si>
    <t>B074FTPHX1</t>
  </si>
  <si>
    <t>无销量广告费为0.18</t>
  </si>
  <si>
    <t>N9932YXS34</t>
  </si>
  <si>
    <t>B074FQ29ZR</t>
  </si>
  <si>
    <t>N9932YXS36</t>
  </si>
  <si>
    <t>B074FVPGVL</t>
  </si>
  <si>
    <t>无销量广告费为1.58</t>
  </si>
  <si>
    <t>N9932YXS38</t>
  </si>
  <si>
    <t>B074FW6SKT</t>
  </si>
  <si>
    <t>NC11YXS42</t>
  </si>
  <si>
    <t>B074DWCC89</t>
  </si>
  <si>
    <t>NC11Y</t>
  </si>
  <si>
    <t>NK-XUHM001-K0-L</t>
  </si>
  <si>
    <t>B078WQCTTM</t>
  </si>
  <si>
    <t>ZIMUYH</t>
  </si>
  <si>
    <t>无销量广告费为0.98</t>
  </si>
  <si>
    <t>NK-XUHM001-K0-M</t>
  </si>
  <si>
    <t>B078WQY3NM</t>
  </si>
  <si>
    <t>ZSNW</t>
  </si>
  <si>
    <t>无销量广告费为0.89</t>
  </si>
  <si>
    <t>无销量广告费为4.77</t>
  </si>
  <si>
    <t>NK-XUHM001-K0-S</t>
  </si>
  <si>
    <t>B078WR3XZL</t>
  </si>
  <si>
    <t>ZZTS</t>
  </si>
  <si>
    <t>NK-XUHM001-K0-XL</t>
  </si>
  <si>
    <t>B078WPYL96</t>
  </si>
  <si>
    <t>NK-XUHM001</t>
  </si>
  <si>
    <t>无销量广告费为10.55</t>
  </si>
  <si>
    <t>无销量广告费为8.11</t>
  </si>
  <si>
    <t>无销量广告费为7.13</t>
  </si>
  <si>
    <t>NK-XUHM001-K0-XXL</t>
  </si>
  <si>
    <t>B078WQHD98</t>
  </si>
  <si>
    <t>无销量广告费为1.83</t>
  </si>
  <si>
    <t>无销量广告费为1.74</t>
  </si>
  <si>
    <t>NY-B15016-K0-L</t>
  </si>
  <si>
    <t>B078NQ9D6V</t>
  </si>
  <si>
    <t>NWZE</t>
  </si>
  <si>
    <t>无销量广告费为1.71</t>
  </si>
  <si>
    <t>无销量广告费为2.83</t>
  </si>
  <si>
    <t>NY-B15016-K0-M</t>
  </si>
  <si>
    <t>B078NN9LW4</t>
  </si>
  <si>
    <t>无销量广告费为0.64</t>
  </si>
  <si>
    <t>NY-B15016-K0-S</t>
  </si>
  <si>
    <t>B078NNNW7X</t>
  </si>
  <si>
    <t>无销量广告费为1.32</t>
  </si>
  <si>
    <t>无销量广告费为0.62</t>
  </si>
  <si>
    <t>NY-B15016-W0-L</t>
  </si>
  <si>
    <t>B078NQ7BCX</t>
  </si>
  <si>
    <t>NY-B15016</t>
  </si>
  <si>
    <t>无销量广告费为1.5</t>
  </si>
  <si>
    <t>NY-B15016-W0-M</t>
  </si>
  <si>
    <t>B078NN9RD2</t>
  </si>
  <si>
    <t>无销量广告费为0.72</t>
  </si>
  <si>
    <t>无销量广告费为1.04</t>
  </si>
  <si>
    <t>NY-B15016-W0-S</t>
  </si>
  <si>
    <t>B078NQ98JD</t>
  </si>
  <si>
    <t>无销量广告费为0.42</t>
  </si>
  <si>
    <t>NY-B15016-Y0-L</t>
  </si>
  <si>
    <t>B078NN9RQR</t>
  </si>
  <si>
    <t>NY-B15016-Y0-M</t>
  </si>
  <si>
    <t>B078NQWBSV</t>
  </si>
  <si>
    <t>无销量广告费为4.6</t>
  </si>
  <si>
    <t>无销量广告费为4.68</t>
  </si>
  <si>
    <t>NY-B15016-Y0-S</t>
  </si>
  <si>
    <t>B078NNB2PQ</t>
  </si>
  <si>
    <t>无销量广告费为10.02</t>
  </si>
  <si>
    <t>无销量广告费为4.81</t>
  </si>
  <si>
    <t>NY-B15021-B0-L</t>
  </si>
  <si>
    <t>B078NQZYP7</t>
  </si>
  <si>
    <t>无销量广告费为0.36</t>
  </si>
  <si>
    <t>NY-B15021-B0-M</t>
  </si>
  <si>
    <t>B078NQ6C6H</t>
  </si>
  <si>
    <t>NY-B15021-B0-S</t>
  </si>
  <si>
    <t>B078NQ2LH1</t>
  </si>
  <si>
    <t>NY-B15021-B0-XL</t>
  </si>
  <si>
    <t>B078NPVY5T</t>
  </si>
  <si>
    <t>NY-B15021</t>
  </si>
  <si>
    <t>NY-B15021-K0-L</t>
  </si>
  <si>
    <t>B078NNLWT7</t>
  </si>
  <si>
    <t>无销量广告费为0.86</t>
  </si>
  <si>
    <t>NY-B15021-K0-M</t>
  </si>
  <si>
    <t>B078NNWT42</t>
  </si>
  <si>
    <t>NY-B15021-K0-S</t>
  </si>
  <si>
    <t>B078NNZQ5Y</t>
  </si>
  <si>
    <t>无销量广告费为0.81</t>
  </si>
  <si>
    <t>NY-B15021-K0-XL</t>
  </si>
  <si>
    <t>B078NPBXD2</t>
  </si>
  <si>
    <t>NY-B15021-PI-L</t>
  </si>
  <si>
    <t>B078NNYW4V</t>
  </si>
  <si>
    <t>无销量广告费为5.17</t>
  </si>
  <si>
    <t>无销量广告费为7.93</t>
  </si>
  <si>
    <t>无销量广告费为8.84</t>
  </si>
  <si>
    <t>无销量广告费为5.94</t>
  </si>
  <si>
    <t>NY-B15021-PI-M</t>
  </si>
  <si>
    <t>B078NQW8Y6</t>
  </si>
  <si>
    <t>无销量广告费为1.07</t>
  </si>
  <si>
    <t>NY-B15021-PI-S</t>
  </si>
  <si>
    <t>B078NGPQK3</t>
  </si>
  <si>
    <t>无销量广告费为1.95</t>
  </si>
  <si>
    <t>NY-B15021-PI-XL</t>
  </si>
  <si>
    <t>B078NNZWD6</t>
  </si>
  <si>
    <t>无销量广告费为2.91</t>
  </si>
  <si>
    <t>无销量广告费为4.11</t>
  </si>
  <si>
    <t>NY-B15021-W0-XL</t>
  </si>
  <si>
    <t>B078NNZ9M6</t>
  </si>
  <si>
    <t>无销量广告费为2.67</t>
  </si>
  <si>
    <t>无销量广告费为1.02</t>
  </si>
  <si>
    <t>NY-XUHM001-K0-36C</t>
  </si>
  <si>
    <t>B078WPW9YL</t>
  </si>
  <si>
    <t>无销量广告费为1.76</t>
  </si>
  <si>
    <t>NY-XUHM001-K0-38C</t>
  </si>
  <si>
    <t>B078WQN4YQ</t>
  </si>
  <si>
    <t>无销量广告费为1.03</t>
  </si>
  <si>
    <t>NY-XUHM001-K0-40C</t>
  </si>
  <si>
    <t>B078WQ3MJ9</t>
  </si>
  <si>
    <t>无销量广告费为2.47</t>
  </si>
  <si>
    <t>NY-XUHM001-K0-42C</t>
  </si>
  <si>
    <t>B078WR4F43</t>
  </si>
  <si>
    <t>无销量广告费为2.31</t>
  </si>
  <si>
    <t>NY-XUHM001-K0-44C</t>
  </si>
  <si>
    <t>B078WRDL9P</t>
  </si>
  <si>
    <t>无销量广告费为0.23</t>
  </si>
  <si>
    <t>NY-XUHM002-K0-L</t>
  </si>
  <si>
    <t>B07BKR7DCF</t>
  </si>
  <si>
    <t>NY-XUHM002-K0-M</t>
  </si>
  <si>
    <t>B07BKT1Y4D</t>
  </si>
  <si>
    <t>NY-XUHM002-K0-S</t>
  </si>
  <si>
    <t>B07BKNH45J</t>
  </si>
  <si>
    <t>无销量广告费为2.56</t>
  </si>
  <si>
    <t>无销量广告费为1.47</t>
  </si>
  <si>
    <t>无销量广告费为3.98</t>
  </si>
  <si>
    <t>NY-XUHM002-PI-L</t>
  </si>
  <si>
    <t>B07BKR7DCG</t>
  </si>
  <si>
    <t>无销量广告费为8.37</t>
  </si>
  <si>
    <t>无销量广告费为14.5</t>
  </si>
  <si>
    <t>NY-XUHM002-PI-M</t>
  </si>
  <si>
    <t>B07BKSWCR3</t>
  </si>
  <si>
    <t>无销量广告费为3.53</t>
  </si>
  <si>
    <t>NY-XUHM002-PI-S</t>
  </si>
  <si>
    <t>B07BKR8D8Z</t>
  </si>
  <si>
    <t>无销量广告费为6.55</t>
  </si>
  <si>
    <t>无销量广告费为1.49</t>
  </si>
  <si>
    <t>NY-XUHM005-GA-L</t>
  </si>
  <si>
    <t>B07BKTKK7K</t>
  </si>
  <si>
    <t>无销量广告费为1.41</t>
  </si>
  <si>
    <t>NY-XUHM005-GA-M</t>
  </si>
  <si>
    <t>B07BKTCPPS</t>
  </si>
  <si>
    <t>无销量广告费为0.87</t>
  </si>
  <si>
    <t>NY-XUHM005-GA-S</t>
  </si>
  <si>
    <t>B07BKWBM9B</t>
  </si>
  <si>
    <t>无销量广告费为1.23</t>
  </si>
  <si>
    <t>无销量广告费为2.04</t>
  </si>
  <si>
    <t>NY-XUHM005-K0-L</t>
  </si>
  <si>
    <t>B07BKTSQ1R</t>
  </si>
  <si>
    <t>无销量广告费为1.72</t>
  </si>
  <si>
    <t>NY-XUHM005-K0-M</t>
  </si>
  <si>
    <t>B07BKTLC85</t>
  </si>
  <si>
    <t>无销量广告费为2.06</t>
  </si>
  <si>
    <t>无销量广告费为0.28</t>
  </si>
  <si>
    <t>NY-XUHM005-K0-S</t>
  </si>
  <si>
    <t>B07BKS8YTN</t>
  </si>
  <si>
    <t>NY-XUHM011-K0-36C</t>
  </si>
  <si>
    <t>B078WQVSNV</t>
  </si>
  <si>
    <t>无销量广告费为2.81</t>
  </si>
  <si>
    <t>NY-XUHM011-K0-38C</t>
  </si>
  <si>
    <t>B078WRMSBV</t>
  </si>
  <si>
    <t>无销量广告费为0.53</t>
  </si>
  <si>
    <t>NY-XUHM011-K0-40C</t>
  </si>
  <si>
    <t>B078WQMW23</t>
  </si>
  <si>
    <t>NY-XUHM011-K0-42C</t>
  </si>
  <si>
    <t>B078WQV8SF</t>
  </si>
  <si>
    <t>NK-XUHM011</t>
  </si>
  <si>
    <t>NY-XUHM011-K0-44C</t>
  </si>
  <si>
    <t>B078WRLGFX</t>
  </si>
  <si>
    <t>NY-XUHM331-B0-L</t>
  </si>
  <si>
    <t>B07BKS4NK1</t>
  </si>
  <si>
    <t>NY-XUHM331</t>
  </si>
  <si>
    <t>NY-XUHM332-HS-M</t>
  </si>
  <si>
    <t>B07BKNWPWQ</t>
  </si>
  <si>
    <t>NY-XUHM332</t>
  </si>
  <si>
    <t>无销量广告费为0.25</t>
  </si>
  <si>
    <t>NY-XUHM333-HS-L</t>
  </si>
  <si>
    <t>B07B3V3G8H</t>
  </si>
  <si>
    <t>NY-XUHM333</t>
  </si>
  <si>
    <t>NY-XUHM333-HS-M</t>
  </si>
  <si>
    <t>B07B3V3BV5</t>
  </si>
  <si>
    <t>NY-XUHM333-HS-S</t>
  </si>
  <si>
    <t>B07B3TW6D2</t>
  </si>
  <si>
    <t>NY-XUHM463-K0-L</t>
  </si>
  <si>
    <t>B07BKQTYFV</t>
  </si>
  <si>
    <t>NY-XUHM463</t>
  </si>
  <si>
    <t>NY-XUHM463-K0-M</t>
  </si>
  <si>
    <t>B07BKVPJ6Q</t>
  </si>
  <si>
    <t>NY-XUHM463-K0-S</t>
  </si>
  <si>
    <t>B07BKSX1D6</t>
  </si>
  <si>
    <t>NY-XUHM463-K0-XL</t>
  </si>
  <si>
    <t>B07BKQLKBG</t>
  </si>
  <si>
    <t>NY-XUHM463-P0-L</t>
  </si>
  <si>
    <t>B07BKRLXJK</t>
  </si>
  <si>
    <t>NY-XUHM463-P0-M</t>
  </si>
  <si>
    <t>B07BKRPH4T</t>
  </si>
  <si>
    <t>NY-XUHM463-P0-S</t>
  </si>
  <si>
    <t>B07BKPX8X2</t>
  </si>
  <si>
    <t>NY-XUHM463-P0-XL</t>
  </si>
  <si>
    <t>B07BKQDRB2</t>
  </si>
  <si>
    <t>无销量广告费为0.48</t>
  </si>
  <si>
    <t>无销量广告费为1.18</t>
  </si>
  <si>
    <t>无销量广告费为3.39</t>
  </si>
  <si>
    <t>PYJKDKB0L</t>
  </si>
  <si>
    <t>B073WBNY9P</t>
  </si>
  <si>
    <t>PYJKCX</t>
  </si>
  <si>
    <t>PYJKDKK0XXXL</t>
  </si>
  <si>
    <t>B073WBR2D4</t>
  </si>
  <si>
    <t>PYJKDK</t>
  </si>
  <si>
    <t>PYJKDKR0L</t>
  </si>
  <si>
    <t>B073WB3TLC</t>
  </si>
  <si>
    <t>PYJKDKY0M</t>
  </si>
  <si>
    <t>B073W69WZK</t>
  </si>
  <si>
    <t>PYJKJSB0XL</t>
  </si>
  <si>
    <t>B073WTW1SS</t>
  </si>
  <si>
    <t>PYJKHS</t>
  </si>
  <si>
    <t>PYJKJSK0L</t>
  </si>
  <si>
    <t>B073WTPJLR</t>
  </si>
  <si>
    <t>PYJKJS</t>
  </si>
  <si>
    <t>PYJKJSK0M</t>
  </si>
  <si>
    <t>B073WTRPXK</t>
  </si>
  <si>
    <t>PYJKJSK0XL</t>
  </si>
  <si>
    <t>B073WV1KVP</t>
  </si>
  <si>
    <t>PYJKJSK0XXXL</t>
  </si>
  <si>
    <t>B073WTQ7YC</t>
  </si>
  <si>
    <t>PYJKJSR0L</t>
  </si>
  <si>
    <t>B073WTTKP4</t>
  </si>
  <si>
    <t>PYJKJSY0XXXL</t>
  </si>
  <si>
    <t>B073TWLDHK</t>
  </si>
  <si>
    <t>PYJKTSK0L</t>
  </si>
  <si>
    <t>B073WV5CCK</t>
  </si>
  <si>
    <t>PYJKTSKFL</t>
  </si>
  <si>
    <t>B073WTZ549</t>
  </si>
  <si>
    <t>PYJKTS</t>
  </si>
  <si>
    <t>PYJKTSR0L</t>
  </si>
  <si>
    <t>B073WT7S1J</t>
  </si>
  <si>
    <t>PYJKTSY0L</t>
  </si>
  <si>
    <t>B073W6VTYY</t>
  </si>
  <si>
    <t>SPHNYK0</t>
  </si>
  <si>
    <t>B074FP8V7K</t>
  </si>
  <si>
    <t>SJKTK</t>
  </si>
  <si>
    <t>无销量广告费为3.64</t>
  </si>
  <si>
    <t>TTCX36851</t>
  </si>
  <si>
    <t>B072RD6VF2</t>
  </si>
  <si>
    <t>TMKTK</t>
  </si>
  <si>
    <t>TTYCMZFCX1</t>
  </si>
  <si>
    <t>B072N2WZ5J</t>
  </si>
  <si>
    <t>TTYCMZFCS</t>
  </si>
  <si>
    <t>TTYCMZFCX2</t>
  </si>
  <si>
    <t>B072KH5Y75</t>
  </si>
  <si>
    <t>TTYCMZFCX3</t>
  </si>
  <si>
    <t>B071K8MVBL</t>
  </si>
  <si>
    <t>TTYCYH3688BLACK</t>
  </si>
  <si>
    <t>B0721PYJL2</t>
  </si>
  <si>
    <t>TTYCYCSH</t>
  </si>
  <si>
    <t>XTHQK0A</t>
  </si>
  <si>
    <t>B074NYX45B</t>
  </si>
  <si>
    <t>XTHQ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</si>
  <si>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</si>
  <si>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</si>
  <si>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</si>
  <si>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</si>
  <si>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</si>
  <si>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</si>
  <si>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</si>
  <si>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</si>
  <si>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无销量广告费为0.16</t>
  </si>
  <si>
    <t>XTHQXSB</t>
  </si>
  <si>
    <t>B074NY9YM1</t>
  </si>
  <si>
    <t>XTHQXSC</t>
  </si>
  <si>
    <t>B074NNZXDV</t>
  </si>
  <si>
    <t>XTHQXSD</t>
  </si>
  <si>
    <t>B074NQW8FF</t>
  </si>
  <si>
    <t>XTLAK0A</t>
  </si>
  <si>
    <t>B074P2RFBZ</t>
  </si>
  <si>
    <t>XTLA</t>
  </si>
  <si>
    <t>XTLAK0B</t>
  </si>
  <si>
    <t>B074NQW76F</t>
  </si>
  <si>
    <t>XTLAXSC</t>
  </si>
  <si>
    <t>B074NZSTV3</t>
  </si>
  <si>
    <t>XYBXBAF008W0L</t>
  </si>
  <si>
    <t>B071YQ9S6C</t>
  </si>
  <si>
    <t>XXBF</t>
  </si>
  <si>
    <t>XYBXBAF008W0XL</t>
  </si>
  <si>
    <t>B0722LHQ3T</t>
  </si>
  <si>
    <t>XXGNW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</si>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</sst>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3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1" borderId="3" applyNumberFormat="0" applyFont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" applyNumberFormat="0" applyFill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20" fillId="16" borderId="6" applyNumberFormat="0" applyAlignment="0" applyProtection="0">
      <alignment vertical="center"/>
    </xf>
    <xf numFmtId="0" fontId="21" fillId="16" borderId="2" applyNumberFormat="0" applyAlignment="0" applyProtection="0">
      <alignment vertical="center"/>
    </xf>
    <xf numFmtId="0" fontId="23" fillId="17" borderId="8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B0716LH9B7</v>
          </cell>
          <cell r="B2">
            <v>0</v>
          </cell>
          <cell r="C2">
            <v>0</v>
          </cell>
          <cell r="D2">
            <v>0</v>
          </cell>
          <cell r="E2">
            <v>10</v>
          </cell>
        </row>
        <row r="3">
          <cell r="A3" t="str">
            <v>B071HHSJ1R</v>
          </cell>
          <cell r="B3">
            <v>54</v>
          </cell>
          <cell r="C3">
            <v>15</v>
          </cell>
          <cell r="D3">
            <v>16</v>
          </cell>
          <cell r="E3">
            <v>4</v>
          </cell>
        </row>
        <row r="4">
          <cell r="A4" t="str">
            <v>B071K8MVBL</v>
          </cell>
          <cell r="B4">
            <v>1</v>
          </cell>
          <cell r="C4">
            <v>0</v>
          </cell>
          <cell r="D4">
            <v>1</v>
          </cell>
          <cell r="E4">
            <v>3</v>
          </cell>
        </row>
        <row r="5">
          <cell r="A5" t="str">
            <v>B071NP2X5N</v>
          </cell>
          <cell r="B5">
            <v>71</v>
          </cell>
          <cell r="C5">
            <v>14</v>
          </cell>
          <cell r="D5">
            <v>20</v>
          </cell>
          <cell r="E5">
            <v>32</v>
          </cell>
        </row>
        <row r="6">
          <cell r="A6" t="str">
            <v>B071RNC571</v>
          </cell>
          <cell r="B6">
            <v>2</v>
          </cell>
          <cell r="C6">
            <v>1</v>
          </cell>
          <cell r="D6">
            <v>0</v>
          </cell>
          <cell r="E6">
            <v>2</v>
          </cell>
        </row>
        <row r="7">
          <cell r="A7" t="str">
            <v>B071VFYY2V</v>
          </cell>
          <cell r="B7">
            <v>0</v>
          </cell>
          <cell r="C7">
            <v>0</v>
          </cell>
          <cell r="D7">
            <v>0</v>
          </cell>
          <cell r="E7">
            <v>11</v>
          </cell>
        </row>
        <row r="8">
          <cell r="A8" t="str">
            <v>B071YQ9S6C</v>
          </cell>
          <cell r="B8">
            <v>3</v>
          </cell>
          <cell r="C8">
            <v>0</v>
          </cell>
          <cell r="D8">
            <v>1</v>
          </cell>
          <cell r="E8">
            <v>1</v>
          </cell>
        </row>
        <row r="9">
          <cell r="A9" t="str">
            <v>B0721PYJL2</v>
          </cell>
          <cell r="B9">
            <v>0</v>
          </cell>
          <cell r="C9">
            <v>2</v>
          </cell>
          <cell r="D9">
            <v>0</v>
          </cell>
          <cell r="E9">
            <v>2</v>
          </cell>
        </row>
        <row r="10">
          <cell r="A10" t="str">
            <v>B0722LHQ3T</v>
          </cell>
          <cell r="B10">
            <v>1</v>
          </cell>
          <cell r="C10">
            <v>0</v>
          </cell>
          <cell r="D10">
            <v>1</v>
          </cell>
          <cell r="E10">
            <v>2</v>
          </cell>
        </row>
        <row r="11">
          <cell r="A11" t="str">
            <v>B0725CDCCN</v>
          </cell>
          <cell r="B11">
            <v>0</v>
          </cell>
          <cell r="C11">
            <v>0</v>
          </cell>
          <cell r="D11">
            <v>0</v>
          </cell>
          <cell r="E11">
            <v>10</v>
          </cell>
        </row>
        <row r="12">
          <cell r="A12" t="str">
            <v>B072N2WZ5J</v>
          </cell>
          <cell r="B12">
            <v>1</v>
          </cell>
          <cell r="C12">
            <v>2</v>
          </cell>
          <cell r="D12">
            <v>1</v>
          </cell>
          <cell r="E12">
            <v>3</v>
          </cell>
        </row>
        <row r="13">
          <cell r="A13" t="str">
            <v>B072RD6VF2</v>
          </cell>
          <cell r="B13">
            <v>1</v>
          </cell>
          <cell r="C13">
            <v>1</v>
          </cell>
          <cell r="D13">
            <v>1</v>
          </cell>
          <cell r="E13">
            <v>2</v>
          </cell>
        </row>
        <row r="14">
          <cell r="A14" t="str">
            <v>B073F1HX4C</v>
          </cell>
          <cell r="B14">
            <v>1</v>
          </cell>
          <cell r="C14">
            <v>0</v>
          </cell>
          <cell r="D14">
            <v>0</v>
          </cell>
          <cell r="E14">
            <v>6</v>
          </cell>
        </row>
        <row r="15">
          <cell r="A15" t="str">
            <v>B073F1L1DN</v>
          </cell>
          <cell r="B15">
            <v>3</v>
          </cell>
          <cell r="C15">
            <v>2</v>
          </cell>
          <cell r="D15">
            <v>1</v>
          </cell>
          <cell r="E15">
            <v>2</v>
          </cell>
        </row>
        <row r="16">
          <cell r="A16" t="str">
            <v>B073F29B28</v>
          </cell>
          <cell r="B16">
            <v>0</v>
          </cell>
          <cell r="C16">
            <v>0</v>
          </cell>
          <cell r="D16">
            <v>0</v>
          </cell>
          <cell r="E16">
            <v>3</v>
          </cell>
        </row>
        <row r="17">
          <cell r="A17" t="str">
            <v>B073F2HG9P</v>
          </cell>
          <cell r="B17">
            <v>1</v>
          </cell>
          <cell r="C17">
            <v>3</v>
          </cell>
          <cell r="D17">
            <v>0</v>
          </cell>
          <cell r="E17">
            <v>2</v>
          </cell>
        </row>
        <row r="18">
          <cell r="A18" t="str">
            <v>B073F2M56J</v>
          </cell>
          <cell r="B18">
            <v>2</v>
          </cell>
          <cell r="C18">
            <v>4</v>
          </cell>
          <cell r="D18">
            <v>1</v>
          </cell>
          <cell r="E18">
            <v>4</v>
          </cell>
        </row>
        <row r="19">
          <cell r="A19" t="str">
            <v>B073F2QMQK</v>
          </cell>
          <cell r="B19">
            <v>1</v>
          </cell>
          <cell r="C19">
            <v>2</v>
          </cell>
          <cell r="D19">
            <v>1</v>
          </cell>
          <cell r="E19">
            <v>5</v>
          </cell>
        </row>
        <row r="20">
          <cell r="A20" t="str">
            <v>B073F2WTJX</v>
          </cell>
          <cell r="B20">
            <v>4</v>
          </cell>
          <cell r="C20">
            <v>0</v>
          </cell>
          <cell r="D20">
            <v>0</v>
          </cell>
          <cell r="E20">
            <v>1</v>
          </cell>
        </row>
        <row r="21">
          <cell r="A21" t="str">
            <v>B073F35WHV</v>
          </cell>
          <cell r="B21">
            <v>0</v>
          </cell>
          <cell r="C21">
            <v>1</v>
          </cell>
          <cell r="D21">
            <v>3</v>
          </cell>
          <cell r="E21">
            <v>1</v>
          </cell>
        </row>
        <row r="22">
          <cell r="A22" t="str">
            <v>B073F4G8B1</v>
          </cell>
          <cell r="B22">
            <v>1</v>
          </cell>
          <cell r="C22">
            <v>3</v>
          </cell>
          <cell r="D22">
            <v>1</v>
          </cell>
          <cell r="E22">
            <v>6</v>
          </cell>
        </row>
        <row r="23">
          <cell r="A23" t="str">
            <v>B073TWLDHK</v>
          </cell>
          <cell r="B23">
            <v>1</v>
          </cell>
          <cell r="C23">
            <v>0</v>
          </cell>
          <cell r="D23">
            <v>1</v>
          </cell>
          <cell r="E23">
            <v>1</v>
          </cell>
        </row>
        <row r="24">
          <cell r="A24" t="str">
            <v>B073W39HF6</v>
          </cell>
          <cell r="B24">
            <v>0</v>
          </cell>
          <cell r="C24">
            <v>0</v>
          </cell>
          <cell r="D24">
            <v>0</v>
          </cell>
          <cell r="E24">
            <v>1</v>
          </cell>
        </row>
        <row r="25">
          <cell r="A25" t="str">
            <v>B073W69WZK</v>
          </cell>
          <cell r="B25">
            <v>1</v>
          </cell>
          <cell r="C25">
            <v>0</v>
          </cell>
          <cell r="D25">
            <v>0</v>
          </cell>
          <cell r="E25">
            <v>1</v>
          </cell>
        </row>
        <row r="26">
          <cell r="A26" t="str">
            <v>B073W6VTYY</v>
          </cell>
          <cell r="B26">
            <v>3</v>
          </cell>
          <cell r="C26">
            <v>1</v>
          </cell>
          <cell r="D26">
            <v>1</v>
          </cell>
          <cell r="E26">
            <v>1</v>
          </cell>
        </row>
        <row r="27">
          <cell r="A27" t="str">
            <v>B073WBNY9P</v>
          </cell>
          <cell r="B27">
            <v>3</v>
          </cell>
          <cell r="C27">
            <v>0</v>
          </cell>
          <cell r="D27">
            <v>1</v>
          </cell>
          <cell r="E27">
            <v>2</v>
          </cell>
        </row>
        <row r="28">
          <cell r="A28" t="str">
            <v>B073WT7S1J</v>
          </cell>
          <cell r="B28">
            <v>2</v>
          </cell>
          <cell r="C28">
            <v>0</v>
          </cell>
          <cell r="D28">
            <v>3</v>
          </cell>
          <cell r="E28">
            <v>2</v>
          </cell>
        </row>
        <row r="29">
          <cell r="A29" t="str">
            <v>B073WTQ7YC</v>
          </cell>
          <cell r="B29">
            <v>1</v>
          </cell>
          <cell r="C29">
            <v>0</v>
          </cell>
          <cell r="D29">
            <v>0</v>
          </cell>
          <cell r="E29">
            <v>1</v>
          </cell>
        </row>
        <row r="30">
          <cell r="A30" t="str">
            <v>B073WTRPXK</v>
          </cell>
          <cell r="B30">
            <v>0</v>
          </cell>
          <cell r="C30">
            <v>1</v>
          </cell>
          <cell r="D30">
            <v>2</v>
          </cell>
          <cell r="E30">
            <v>1</v>
          </cell>
        </row>
        <row r="31">
          <cell r="A31" t="str">
            <v>B073WTTKP4</v>
          </cell>
          <cell r="B31">
            <v>1</v>
          </cell>
          <cell r="C31">
            <v>2</v>
          </cell>
          <cell r="D31">
            <v>0</v>
          </cell>
          <cell r="E31">
            <v>1</v>
          </cell>
        </row>
        <row r="32">
          <cell r="A32" t="str">
            <v>B073WTZ549</v>
          </cell>
          <cell r="B32">
            <v>1</v>
          </cell>
          <cell r="C32">
            <v>1</v>
          </cell>
          <cell r="D32">
            <v>1</v>
          </cell>
          <cell r="E32">
            <v>1</v>
          </cell>
        </row>
        <row r="33">
          <cell r="A33" t="str">
            <v>B073WV1KVP</v>
          </cell>
          <cell r="B33">
            <v>1</v>
          </cell>
          <cell r="C33">
            <v>1</v>
          </cell>
          <cell r="D33">
            <v>2</v>
          </cell>
          <cell r="E33">
            <v>2</v>
          </cell>
        </row>
        <row r="34">
          <cell r="A34" t="str">
            <v>B073XLK4G5</v>
          </cell>
          <cell r="B34">
            <v>0</v>
          </cell>
          <cell r="C34">
            <v>1</v>
          </cell>
          <cell r="D34">
            <v>1</v>
          </cell>
          <cell r="E34">
            <v>6</v>
          </cell>
        </row>
        <row r="35">
          <cell r="A35" t="str">
            <v>B073XMFYWX</v>
          </cell>
          <cell r="B35">
            <v>33</v>
          </cell>
          <cell r="C35">
            <v>16</v>
          </cell>
          <cell r="D35">
            <v>14</v>
          </cell>
          <cell r="E35">
            <v>30</v>
          </cell>
        </row>
        <row r="36">
          <cell r="A36" t="str">
            <v>B074CW3HDD</v>
          </cell>
          <cell r="B36">
            <v>10</v>
          </cell>
          <cell r="C36">
            <v>3</v>
          </cell>
          <cell r="D36">
            <v>2</v>
          </cell>
          <cell r="E36">
            <v>2</v>
          </cell>
        </row>
        <row r="37">
          <cell r="A37" t="str">
            <v>B074CW4J9M</v>
          </cell>
          <cell r="B37">
            <v>5</v>
          </cell>
          <cell r="C37">
            <v>1</v>
          </cell>
          <cell r="D37">
            <v>2</v>
          </cell>
          <cell r="E37">
            <v>2</v>
          </cell>
        </row>
        <row r="38">
          <cell r="A38" t="str">
            <v>B074CWLV9M</v>
          </cell>
          <cell r="B38">
            <v>3</v>
          </cell>
          <cell r="C38">
            <v>0</v>
          </cell>
          <cell r="D38">
            <v>2</v>
          </cell>
          <cell r="E38">
            <v>1</v>
          </cell>
        </row>
        <row r="39">
          <cell r="A39" t="str">
            <v>B074CWN2HB</v>
          </cell>
          <cell r="B39">
            <v>0</v>
          </cell>
          <cell r="C39">
            <v>0</v>
          </cell>
          <cell r="D39">
            <v>3</v>
          </cell>
          <cell r="E39">
            <v>1</v>
          </cell>
        </row>
        <row r="40">
          <cell r="A40" t="str">
            <v>B074CWPQFT</v>
          </cell>
          <cell r="B40">
            <v>1</v>
          </cell>
          <cell r="C40">
            <v>0</v>
          </cell>
          <cell r="D40">
            <v>2</v>
          </cell>
          <cell r="E40">
            <v>1</v>
          </cell>
        </row>
        <row r="41">
          <cell r="A41" t="str">
            <v>B074CWQJVH</v>
          </cell>
          <cell r="B41">
            <v>3</v>
          </cell>
          <cell r="C41">
            <v>2</v>
          </cell>
          <cell r="D41">
            <v>1</v>
          </cell>
          <cell r="E41">
            <v>1</v>
          </cell>
        </row>
        <row r="42">
          <cell r="A42" t="str">
            <v>B074CWQPZP</v>
          </cell>
          <cell r="B42">
            <v>0</v>
          </cell>
          <cell r="C42">
            <v>0</v>
          </cell>
          <cell r="D42">
            <v>1</v>
          </cell>
          <cell r="E42">
            <v>1</v>
          </cell>
        </row>
        <row r="43">
          <cell r="A43" t="str">
            <v>B074CWR3FL</v>
          </cell>
          <cell r="B43">
            <v>2</v>
          </cell>
          <cell r="C43">
            <v>3</v>
          </cell>
          <cell r="D43">
            <v>0</v>
          </cell>
          <cell r="E43">
            <v>1</v>
          </cell>
        </row>
        <row r="44">
          <cell r="A44" t="str">
            <v>B074CWRDHL</v>
          </cell>
          <cell r="B44">
            <v>11</v>
          </cell>
          <cell r="C44">
            <v>5</v>
          </cell>
          <cell r="D44">
            <v>2</v>
          </cell>
          <cell r="E44">
            <v>6</v>
          </cell>
        </row>
        <row r="45">
          <cell r="A45" t="str">
            <v>B074CWSQFG</v>
          </cell>
          <cell r="B45">
            <v>2</v>
          </cell>
          <cell r="C45">
            <v>0</v>
          </cell>
          <cell r="D45">
            <v>2</v>
          </cell>
          <cell r="E45">
            <v>1</v>
          </cell>
        </row>
        <row r="46">
          <cell r="A46" t="str">
            <v>B074CWTLXY</v>
          </cell>
          <cell r="B46">
            <v>0</v>
          </cell>
          <cell r="C46">
            <v>0</v>
          </cell>
          <cell r="D46">
            <v>2</v>
          </cell>
          <cell r="E46">
            <v>2</v>
          </cell>
        </row>
        <row r="47">
          <cell r="A47" t="str">
            <v>B074CWTQW9</v>
          </cell>
          <cell r="B47">
            <v>2</v>
          </cell>
          <cell r="C47">
            <v>2</v>
          </cell>
          <cell r="D47">
            <v>0</v>
          </cell>
          <cell r="E47">
            <v>2</v>
          </cell>
        </row>
        <row r="48">
          <cell r="A48" t="str">
            <v>B074CWWB41</v>
          </cell>
          <cell r="B48">
            <v>5</v>
          </cell>
          <cell r="C48">
            <v>1</v>
          </cell>
          <cell r="D48">
            <v>0</v>
          </cell>
          <cell r="E48">
            <v>2</v>
          </cell>
        </row>
        <row r="49">
          <cell r="A49" t="str">
            <v>B074CWYHQ7</v>
          </cell>
          <cell r="B49">
            <v>2</v>
          </cell>
          <cell r="C49">
            <v>2</v>
          </cell>
          <cell r="D49">
            <v>1</v>
          </cell>
          <cell r="E49">
            <v>2</v>
          </cell>
        </row>
        <row r="50">
          <cell r="A50" t="str">
            <v>B074CWZFK3</v>
          </cell>
          <cell r="B50">
            <v>0</v>
          </cell>
          <cell r="C50">
            <v>2</v>
          </cell>
          <cell r="D50">
            <v>4</v>
          </cell>
          <cell r="E50">
            <v>3</v>
          </cell>
        </row>
        <row r="51">
          <cell r="A51" t="str">
            <v>B074CWZRZ9</v>
          </cell>
          <cell r="B51">
            <v>0</v>
          </cell>
          <cell r="C51">
            <v>2</v>
          </cell>
          <cell r="D51">
            <v>1</v>
          </cell>
          <cell r="E51">
            <v>1</v>
          </cell>
        </row>
        <row r="52">
          <cell r="A52" t="str">
            <v>B074CX1PRD</v>
          </cell>
          <cell r="B52">
            <v>2</v>
          </cell>
          <cell r="C52">
            <v>6</v>
          </cell>
          <cell r="D52">
            <v>1</v>
          </cell>
          <cell r="E52">
            <v>3</v>
          </cell>
        </row>
        <row r="53">
          <cell r="A53" t="str">
            <v>B074CX451K</v>
          </cell>
          <cell r="B53">
            <v>1</v>
          </cell>
          <cell r="C53">
            <v>1</v>
          </cell>
          <cell r="D53">
            <v>0</v>
          </cell>
          <cell r="E53">
            <v>3</v>
          </cell>
        </row>
        <row r="54">
          <cell r="A54" t="str">
            <v>B074CX4VVP</v>
          </cell>
          <cell r="B54">
            <v>3</v>
          </cell>
          <cell r="C54">
            <v>0</v>
          </cell>
          <cell r="D54">
            <v>0</v>
          </cell>
          <cell r="E54">
            <v>1</v>
          </cell>
        </row>
        <row r="55">
          <cell r="A55" t="str">
            <v>B074CX534Z</v>
          </cell>
          <cell r="B55">
            <v>1</v>
          </cell>
          <cell r="C55">
            <v>7</v>
          </cell>
          <cell r="D55">
            <v>1</v>
          </cell>
          <cell r="E55">
            <v>10</v>
          </cell>
        </row>
        <row r="56">
          <cell r="A56" t="str">
            <v>B074CX6ML1</v>
          </cell>
          <cell r="B56">
            <v>2</v>
          </cell>
          <cell r="C56">
            <v>1</v>
          </cell>
          <cell r="D56">
            <v>2</v>
          </cell>
          <cell r="E56">
            <v>1</v>
          </cell>
        </row>
        <row r="57">
          <cell r="A57" t="str">
            <v>B074CX7218</v>
          </cell>
          <cell r="B57">
            <v>5</v>
          </cell>
          <cell r="C57">
            <v>5</v>
          </cell>
          <cell r="D57">
            <v>4</v>
          </cell>
          <cell r="E57">
            <v>2</v>
          </cell>
        </row>
        <row r="58">
          <cell r="A58" t="str">
            <v>B074CX73CM</v>
          </cell>
          <cell r="B58">
            <v>6</v>
          </cell>
          <cell r="C58">
            <v>4</v>
          </cell>
          <cell r="D58">
            <v>4</v>
          </cell>
          <cell r="E58">
            <v>8</v>
          </cell>
        </row>
        <row r="59">
          <cell r="A59" t="str">
            <v>B074CX7NWQ</v>
          </cell>
          <cell r="B59">
            <v>6</v>
          </cell>
          <cell r="C59">
            <v>2</v>
          </cell>
          <cell r="D59">
            <v>0</v>
          </cell>
          <cell r="E59">
            <v>3</v>
          </cell>
        </row>
        <row r="60">
          <cell r="A60" t="str">
            <v>B074CX8YMH</v>
          </cell>
          <cell r="B60">
            <v>5</v>
          </cell>
          <cell r="C60">
            <v>1</v>
          </cell>
          <cell r="D60">
            <v>0</v>
          </cell>
          <cell r="E60">
            <v>2</v>
          </cell>
        </row>
        <row r="61">
          <cell r="A61" t="str">
            <v>B074CX9229</v>
          </cell>
          <cell r="B61">
            <v>3</v>
          </cell>
          <cell r="C61">
            <v>0</v>
          </cell>
          <cell r="D61">
            <v>0</v>
          </cell>
          <cell r="E61">
            <v>2</v>
          </cell>
        </row>
        <row r="62">
          <cell r="A62" t="str">
            <v>B074CX95R8</v>
          </cell>
          <cell r="B62">
            <v>3</v>
          </cell>
          <cell r="C62">
            <v>1</v>
          </cell>
          <cell r="D62">
            <v>0</v>
          </cell>
          <cell r="E62">
            <v>2</v>
          </cell>
        </row>
        <row r="63">
          <cell r="A63" t="str">
            <v>B074CXBB31</v>
          </cell>
          <cell r="B63">
            <v>0</v>
          </cell>
          <cell r="C63">
            <v>4</v>
          </cell>
          <cell r="D63">
            <v>10</v>
          </cell>
          <cell r="E63">
            <v>5</v>
          </cell>
        </row>
        <row r="64">
          <cell r="A64" t="str">
            <v>B074CXHT3T</v>
          </cell>
          <cell r="B64">
            <v>4</v>
          </cell>
          <cell r="C64">
            <v>1</v>
          </cell>
          <cell r="D64">
            <v>0</v>
          </cell>
          <cell r="E64">
            <v>1</v>
          </cell>
        </row>
        <row r="65">
          <cell r="A65" t="str">
            <v>B074CXK4TV</v>
          </cell>
          <cell r="B65">
            <v>4</v>
          </cell>
          <cell r="C65">
            <v>2</v>
          </cell>
          <cell r="D65">
            <v>0</v>
          </cell>
          <cell r="E65">
            <v>1</v>
          </cell>
        </row>
        <row r="66">
          <cell r="A66" t="str">
            <v>B074CXK6RZ</v>
          </cell>
          <cell r="B66">
            <v>5</v>
          </cell>
          <cell r="C66">
            <v>3</v>
          </cell>
          <cell r="D66">
            <v>2</v>
          </cell>
          <cell r="E66">
            <v>5</v>
          </cell>
        </row>
        <row r="67">
          <cell r="A67" t="str">
            <v>B074CXLQVY</v>
          </cell>
          <cell r="B67">
            <v>10</v>
          </cell>
          <cell r="C67">
            <v>2</v>
          </cell>
          <cell r="D67">
            <v>1</v>
          </cell>
          <cell r="E67">
            <v>1</v>
          </cell>
        </row>
        <row r="68">
          <cell r="A68" t="str">
            <v>B074CXMS2N</v>
          </cell>
          <cell r="B68">
            <v>2</v>
          </cell>
          <cell r="C68">
            <v>3</v>
          </cell>
          <cell r="D68">
            <v>1</v>
          </cell>
          <cell r="E68">
            <v>1</v>
          </cell>
        </row>
        <row r="69">
          <cell r="A69" t="str">
            <v>B074CXNBPV</v>
          </cell>
          <cell r="B69">
            <v>0</v>
          </cell>
          <cell r="C69">
            <v>0</v>
          </cell>
          <cell r="D69">
            <v>2</v>
          </cell>
          <cell r="E69">
            <v>3</v>
          </cell>
        </row>
        <row r="70">
          <cell r="A70" t="str">
            <v>B074CXP24Y</v>
          </cell>
          <cell r="B70">
            <v>3</v>
          </cell>
          <cell r="C70">
            <v>1</v>
          </cell>
          <cell r="D70">
            <v>0</v>
          </cell>
          <cell r="E70">
            <v>3</v>
          </cell>
        </row>
        <row r="71">
          <cell r="A71" t="str">
            <v>B074CXPPQM</v>
          </cell>
          <cell r="B71">
            <v>4</v>
          </cell>
          <cell r="C71">
            <v>1</v>
          </cell>
          <cell r="D71">
            <v>1</v>
          </cell>
          <cell r="E71">
            <v>7</v>
          </cell>
        </row>
        <row r="72">
          <cell r="A72" t="str">
            <v>B074CXQ86P</v>
          </cell>
          <cell r="B72">
            <v>21</v>
          </cell>
          <cell r="C72">
            <v>11</v>
          </cell>
          <cell r="D72">
            <v>7</v>
          </cell>
          <cell r="E72">
            <v>63</v>
          </cell>
        </row>
        <row r="73">
          <cell r="A73" t="str">
            <v>B074CXR8YG</v>
          </cell>
          <cell r="B73">
            <v>3</v>
          </cell>
          <cell r="C73">
            <v>2</v>
          </cell>
          <cell r="D73">
            <v>0</v>
          </cell>
          <cell r="E73">
            <v>4</v>
          </cell>
        </row>
        <row r="74">
          <cell r="A74" t="str">
            <v>B074DVQR1S</v>
          </cell>
          <cell r="B74">
            <v>0</v>
          </cell>
          <cell r="C74">
            <v>0</v>
          </cell>
          <cell r="D74">
            <v>0</v>
          </cell>
          <cell r="E74">
            <v>2</v>
          </cell>
        </row>
        <row r="75">
          <cell r="A75" t="str">
            <v>B074DVVJND</v>
          </cell>
          <cell r="B75">
            <v>1</v>
          </cell>
          <cell r="C75">
            <v>1</v>
          </cell>
          <cell r="D75">
            <v>1</v>
          </cell>
          <cell r="E75">
            <v>3</v>
          </cell>
        </row>
        <row r="76">
          <cell r="A76" t="str">
            <v>B074DVY5J8</v>
          </cell>
          <cell r="B76">
            <v>2</v>
          </cell>
          <cell r="C76">
            <v>0</v>
          </cell>
          <cell r="D76">
            <v>0</v>
          </cell>
          <cell r="E76">
            <v>1</v>
          </cell>
        </row>
        <row r="77">
          <cell r="A77" t="str">
            <v>B074DVY6FY</v>
          </cell>
          <cell r="B77">
            <v>2</v>
          </cell>
          <cell r="C77">
            <v>0</v>
          </cell>
          <cell r="D77">
            <v>0</v>
          </cell>
          <cell r="E77">
            <v>1</v>
          </cell>
        </row>
        <row r="78">
          <cell r="A78" t="str">
            <v>B074DVZ847</v>
          </cell>
          <cell r="B78">
            <v>1</v>
          </cell>
          <cell r="C78">
            <v>1</v>
          </cell>
          <cell r="D78">
            <v>0</v>
          </cell>
          <cell r="E78">
            <v>1</v>
          </cell>
        </row>
        <row r="79">
          <cell r="A79" t="str">
            <v>B074DW1MXR</v>
          </cell>
          <cell r="B79">
            <v>2</v>
          </cell>
          <cell r="C79">
            <v>0</v>
          </cell>
          <cell r="D79">
            <v>1</v>
          </cell>
          <cell r="E79">
            <v>1</v>
          </cell>
        </row>
        <row r="80">
          <cell r="A80" t="str">
            <v>B074DW274J</v>
          </cell>
          <cell r="B80">
            <v>2</v>
          </cell>
          <cell r="C80">
            <v>0</v>
          </cell>
          <cell r="D80">
            <v>0</v>
          </cell>
          <cell r="E80">
            <v>2</v>
          </cell>
        </row>
        <row r="81">
          <cell r="A81" t="str">
            <v>B074DW2H3B</v>
          </cell>
          <cell r="B81">
            <v>1</v>
          </cell>
          <cell r="C81">
            <v>2</v>
          </cell>
          <cell r="D81">
            <v>1</v>
          </cell>
          <cell r="E81">
            <v>1</v>
          </cell>
        </row>
        <row r="82">
          <cell r="A82" t="str">
            <v>B074DW2MGG</v>
          </cell>
          <cell r="B82">
            <v>2</v>
          </cell>
          <cell r="C82">
            <v>2</v>
          </cell>
          <cell r="D82">
            <v>0</v>
          </cell>
          <cell r="E82">
            <v>1</v>
          </cell>
        </row>
        <row r="83">
          <cell r="A83" t="str">
            <v>B074DWBXBD</v>
          </cell>
          <cell r="B83">
            <v>2</v>
          </cell>
          <cell r="C83">
            <v>1</v>
          </cell>
          <cell r="D83">
            <v>3</v>
          </cell>
          <cell r="E83">
            <v>1</v>
          </cell>
        </row>
        <row r="84">
          <cell r="A84" t="str">
            <v>B074DWFHTM</v>
          </cell>
          <cell r="B84">
            <v>3</v>
          </cell>
          <cell r="C84">
            <v>1</v>
          </cell>
          <cell r="D84">
            <v>2</v>
          </cell>
          <cell r="E84">
            <v>1</v>
          </cell>
        </row>
        <row r="85">
          <cell r="A85" t="str">
            <v>B074DWFV62</v>
          </cell>
          <cell r="B85">
            <v>1</v>
          </cell>
          <cell r="C85">
            <v>2</v>
          </cell>
          <cell r="D85">
            <v>0</v>
          </cell>
          <cell r="E85">
            <v>2</v>
          </cell>
        </row>
        <row r="86">
          <cell r="A86" t="str">
            <v>B074DWNCM6</v>
          </cell>
          <cell r="B86">
            <v>0</v>
          </cell>
          <cell r="C86">
            <v>0</v>
          </cell>
          <cell r="D86">
            <v>0</v>
          </cell>
          <cell r="E86">
            <v>2</v>
          </cell>
        </row>
        <row r="87">
          <cell r="A87" t="str">
            <v>B074FJ37K7</v>
          </cell>
          <cell r="B87">
            <v>1</v>
          </cell>
          <cell r="C87">
            <v>1</v>
          </cell>
          <cell r="D87">
            <v>1</v>
          </cell>
          <cell r="E87">
            <v>1</v>
          </cell>
        </row>
        <row r="88">
          <cell r="A88" t="str">
            <v>B074FL1674</v>
          </cell>
          <cell r="B88">
            <v>4</v>
          </cell>
          <cell r="C88">
            <v>2</v>
          </cell>
          <cell r="D88">
            <v>1</v>
          </cell>
          <cell r="E88">
            <v>3</v>
          </cell>
        </row>
        <row r="89">
          <cell r="A89" t="str">
            <v>B074FNN3HY</v>
          </cell>
          <cell r="B89">
            <v>0</v>
          </cell>
          <cell r="C89">
            <v>0</v>
          </cell>
          <cell r="D89">
            <v>0</v>
          </cell>
          <cell r="E89">
            <v>1</v>
          </cell>
        </row>
        <row r="90">
          <cell r="A90" t="str">
            <v>B074FP8NZF</v>
          </cell>
          <cell r="B90">
            <v>19</v>
          </cell>
          <cell r="C90">
            <v>9</v>
          </cell>
          <cell r="D90">
            <v>20</v>
          </cell>
          <cell r="E90">
            <v>14</v>
          </cell>
        </row>
        <row r="91">
          <cell r="A91" t="str">
            <v>B074FP8V7K</v>
          </cell>
          <cell r="B91">
            <v>4</v>
          </cell>
          <cell r="C91">
            <v>4</v>
          </cell>
          <cell r="D91">
            <v>3</v>
          </cell>
          <cell r="E91">
            <v>6</v>
          </cell>
        </row>
        <row r="92">
          <cell r="A92" t="str">
            <v>B074FPYB9N</v>
          </cell>
          <cell r="B92">
            <v>5</v>
          </cell>
          <cell r="C92">
            <v>6</v>
          </cell>
          <cell r="D92">
            <v>2</v>
          </cell>
          <cell r="E92">
            <v>4</v>
          </cell>
        </row>
        <row r="93">
          <cell r="A93" t="str">
            <v>B074FQ29ZR</v>
          </cell>
          <cell r="B93">
            <v>1</v>
          </cell>
          <cell r="C93">
            <v>2</v>
          </cell>
          <cell r="D93">
            <v>1</v>
          </cell>
          <cell r="E93">
            <v>1</v>
          </cell>
        </row>
        <row r="94">
          <cell r="A94" t="str">
            <v>B074FQ84QJ</v>
          </cell>
          <cell r="B94">
            <v>0</v>
          </cell>
          <cell r="C94">
            <v>0</v>
          </cell>
          <cell r="D94">
            <v>1</v>
          </cell>
          <cell r="E94">
            <v>1</v>
          </cell>
        </row>
        <row r="95">
          <cell r="A95" t="str">
            <v>B074FQSTJL</v>
          </cell>
          <cell r="B95">
            <v>10</v>
          </cell>
          <cell r="C95">
            <v>8</v>
          </cell>
          <cell r="D95">
            <v>5</v>
          </cell>
          <cell r="E95">
            <v>9</v>
          </cell>
        </row>
        <row r="96">
          <cell r="A96" t="str">
            <v>B074FR8NL9</v>
          </cell>
          <cell r="B96">
            <v>1</v>
          </cell>
          <cell r="C96">
            <v>0</v>
          </cell>
          <cell r="D96">
            <v>0</v>
          </cell>
          <cell r="E96">
            <v>1</v>
          </cell>
        </row>
        <row r="97">
          <cell r="A97" t="str">
            <v>B074FRGW4F</v>
          </cell>
          <cell r="B97">
            <v>0</v>
          </cell>
          <cell r="C97">
            <v>0</v>
          </cell>
          <cell r="D97">
            <v>0</v>
          </cell>
          <cell r="E97">
            <v>1</v>
          </cell>
        </row>
        <row r="98">
          <cell r="A98" t="str">
            <v>B074FSCZT2</v>
          </cell>
          <cell r="B98">
            <v>2</v>
          </cell>
          <cell r="C98">
            <v>4</v>
          </cell>
          <cell r="D98">
            <v>1</v>
          </cell>
          <cell r="E98">
            <v>1</v>
          </cell>
        </row>
        <row r="99">
          <cell r="A99" t="str">
            <v>B074FSGM8N</v>
          </cell>
          <cell r="B99">
            <v>2</v>
          </cell>
          <cell r="C99">
            <v>0</v>
          </cell>
          <cell r="D99">
            <v>2</v>
          </cell>
          <cell r="E99">
            <v>1</v>
          </cell>
        </row>
        <row r="100">
          <cell r="A100" t="str">
            <v>B074FSTDKH</v>
          </cell>
          <cell r="B100">
            <v>1</v>
          </cell>
          <cell r="C100">
            <v>1</v>
          </cell>
          <cell r="D100">
            <v>0</v>
          </cell>
          <cell r="E100">
            <v>2</v>
          </cell>
        </row>
        <row r="101">
          <cell r="A101" t="str">
            <v>B074FSXB2H</v>
          </cell>
          <cell r="B101">
            <v>1</v>
          </cell>
          <cell r="C101">
            <v>3</v>
          </cell>
          <cell r="D101">
            <v>1</v>
          </cell>
          <cell r="E101">
            <v>2</v>
          </cell>
        </row>
        <row r="102">
          <cell r="A102" t="str">
            <v>B074FSXVNK</v>
          </cell>
          <cell r="B102">
            <v>1</v>
          </cell>
          <cell r="C102">
            <v>2</v>
          </cell>
          <cell r="D102">
            <v>2</v>
          </cell>
          <cell r="E102">
            <v>2</v>
          </cell>
        </row>
        <row r="103">
          <cell r="A103" t="str">
            <v>B074FT1X4P</v>
          </cell>
          <cell r="B103">
            <v>0</v>
          </cell>
          <cell r="C103">
            <v>0</v>
          </cell>
          <cell r="D103">
            <v>0</v>
          </cell>
          <cell r="E103">
            <v>1</v>
          </cell>
        </row>
        <row r="104">
          <cell r="A104" t="str">
            <v>B074FT3DCL</v>
          </cell>
          <cell r="B104">
            <v>1</v>
          </cell>
          <cell r="C104">
            <v>0</v>
          </cell>
          <cell r="D104">
            <v>2</v>
          </cell>
          <cell r="E104">
            <v>1</v>
          </cell>
        </row>
        <row r="105">
          <cell r="A105" t="str">
            <v>B074FT3T2H</v>
          </cell>
          <cell r="B105">
            <v>1</v>
          </cell>
          <cell r="C105">
            <v>1</v>
          </cell>
          <cell r="D105">
            <v>0</v>
          </cell>
          <cell r="E105">
            <v>1</v>
          </cell>
        </row>
        <row r="106">
          <cell r="A106" t="str">
            <v>B074FT665V</v>
          </cell>
          <cell r="B106">
            <v>1</v>
          </cell>
          <cell r="C106">
            <v>0</v>
          </cell>
          <cell r="D106">
            <v>1</v>
          </cell>
          <cell r="E106">
            <v>2</v>
          </cell>
        </row>
        <row r="107">
          <cell r="A107" t="str">
            <v>B074FTCSNQ</v>
          </cell>
          <cell r="B107">
            <v>0</v>
          </cell>
          <cell r="C107">
            <v>2</v>
          </cell>
          <cell r="D107">
            <v>1</v>
          </cell>
          <cell r="E107">
            <v>1</v>
          </cell>
        </row>
        <row r="108">
          <cell r="A108" t="str">
            <v>B074FTCSP4</v>
          </cell>
          <cell r="B108">
            <v>2</v>
          </cell>
          <cell r="C108">
            <v>0</v>
          </cell>
          <cell r="D108">
            <v>1</v>
          </cell>
          <cell r="E108">
            <v>2</v>
          </cell>
        </row>
        <row r="109">
          <cell r="A109" t="str">
            <v>B074FTFWR7</v>
          </cell>
          <cell r="B109">
            <v>1</v>
          </cell>
          <cell r="C109">
            <v>1</v>
          </cell>
          <cell r="D109">
            <v>0</v>
          </cell>
          <cell r="E109">
            <v>3</v>
          </cell>
        </row>
        <row r="110">
          <cell r="A110" t="str">
            <v>B074FTPHX1</v>
          </cell>
          <cell r="B110">
            <v>3</v>
          </cell>
          <cell r="C110">
            <v>2</v>
          </cell>
          <cell r="D110">
            <v>0</v>
          </cell>
          <cell r="E110">
            <v>4</v>
          </cell>
        </row>
        <row r="111">
          <cell r="A111" t="str">
            <v>B074FTV42K</v>
          </cell>
          <cell r="B111">
            <v>2</v>
          </cell>
          <cell r="C111">
            <v>2</v>
          </cell>
          <cell r="D111">
            <v>0</v>
          </cell>
          <cell r="E111">
            <v>2</v>
          </cell>
        </row>
        <row r="112">
          <cell r="A112" t="str">
            <v>B074FTW5DS</v>
          </cell>
          <cell r="B112">
            <v>0</v>
          </cell>
          <cell r="C112">
            <v>1</v>
          </cell>
          <cell r="D112">
            <v>2</v>
          </cell>
          <cell r="E112">
            <v>1</v>
          </cell>
        </row>
        <row r="113">
          <cell r="A113" t="str">
            <v>B074FTXNPM</v>
          </cell>
          <cell r="B113">
            <v>1</v>
          </cell>
          <cell r="C113">
            <v>4</v>
          </cell>
          <cell r="D113">
            <v>1</v>
          </cell>
          <cell r="E113">
            <v>3</v>
          </cell>
        </row>
        <row r="114">
          <cell r="A114" t="str">
            <v>B074FTYZMD</v>
          </cell>
          <cell r="B114">
            <v>1</v>
          </cell>
          <cell r="C114">
            <v>1</v>
          </cell>
          <cell r="D114">
            <v>0</v>
          </cell>
          <cell r="E114">
            <v>1</v>
          </cell>
        </row>
        <row r="115">
          <cell r="A115" t="str">
            <v>B074FTZ9P4</v>
          </cell>
          <cell r="B115">
            <v>2</v>
          </cell>
          <cell r="C115">
            <v>1</v>
          </cell>
          <cell r="D115">
            <v>1</v>
          </cell>
          <cell r="E115">
            <v>1</v>
          </cell>
        </row>
        <row r="116">
          <cell r="A116" t="str">
            <v>B074FV2QSZ</v>
          </cell>
          <cell r="B116">
            <v>3</v>
          </cell>
          <cell r="C116">
            <v>2</v>
          </cell>
          <cell r="D116">
            <v>2</v>
          </cell>
          <cell r="E116">
            <v>1</v>
          </cell>
        </row>
        <row r="117">
          <cell r="A117" t="str">
            <v>B074FVPGVL</v>
          </cell>
          <cell r="B117">
            <v>1</v>
          </cell>
          <cell r="C117">
            <v>1</v>
          </cell>
          <cell r="D117">
            <v>3</v>
          </cell>
          <cell r="E117">
            <v>2</v>
          </cell>
        </row>
        <row r="118">
          <cell r="A118" t="str">
            <v>B074FVRK4X</v>
          </cell>
          <cell r="B118">
            <v>1</v>
          </cell>
          <cell r="C118">
            <v>1</v>
          </cell>
          <cell r="D118">
            <v>3</v>
          </cell>
          <cell r="E118">
            <v>1</v>
          </cell>
        </row>
        <row r="119">
          <cell r="A119" t="str">
            <v>B074FVVYW2</v>
          </cell>
          <cell r="B119">
            <v>3</v>
          </cell>
          <cell r="C119">
            <v>0</v>
          </cell>
          <cell r="D119">
            <v>0</v>
          </cell>
          <cell r="E119">
            <v>1</v>
          </cell>
        </row>
        <row r="120">
          <cell r="A120" t="str">
            <v>B074FVZ2LG</v>
          </cell>
          <cell r="B120">
            <v>1</v>
          </cell>
          <cell r="C120">
            <v>1</v>
          </cell>
          <cell r="D120">
            <v>0</v>
          </cell>
          <cell r="E120">
            <v>1</v>
          </cell>
        </row>
        <row r="121">
          <cell r="A121" t="str">
            <v>B074FW1KLY</v>
          </cell>
          <cell r="B121">
            <v>0</v>
          </cell>
          <cell r="C121">
            <v>0</v>
          </cell>
          <cell r="D121">
            <v>0</v>
          </cell>
          <cell r="E121">
            <v>2</v>
          </cell>
        </row>
        <row r="122">
          <cell r="A122" t="str">
            <v>B074FW6SKT</v>
          </cell>
          <cell r="B122">
            <v>2</v>
          </cell>
          <cell r="C122">
            <v>1</v>
          </cell>
          <cell r="D122">
            <v>1</v>
          </cell>
          <cell r="E122">
            <v>2</v>
          </cell>
        </row>
        <row r="123">
          <cell r="A123" t="str">
            <v>B074FW8FGF</v>
          </cell>
          <cell r="B123">
            <v>2</v>
          </cell>
          <cell r="C123">
            <v>1</v>
          </cell>
          <cell r="D123">
            <v>2</v>
          </cell>
          <cell r="E123">
            <v>2</v>
          </cell>
        </row>
        <row r="124">
          <cell r="A124" t="str">
            <v>B074FWGTNB</v>
          </cell>
          <cell r="B124">
            <v>1</v>
          </cell>
          <cell r="C124">
            <v>1</v>
          </cell>
          <cell r="D124">
            <v>0</v>
          </cell>
          <cell r="E124">
            <v>1</v>
          </cell>
        </row>
        <row r="125">
          <cell r="A125" t="str">
            <v>B074FWRNDY</v>
          </cell>
          <cell r="B125">
            <v>2</v>
          </cell>
          <cell r="C125">
            <v>1</v>
          </cell>
          <cell r="D125">
            <v>1</v>
          </cell>
          <cell r="E125">
            <v>1</v>
          </cell>
        </row>
        <row r="126">
          <cell r="A126" t="str">
            <v>B074FWRY86</v>
          </cell>
          <cell r="B126">
            <v>1</v>
          </cell>
          <cell r="C126">
            <v>2</v>
          </cell>
          <cell r="D126">
            <v>0</v>
          </cell>
          <cell r="E126">
            <v>3</v>
          </cell>
        </row>
        <row r="127">
          <cell r="A127" t="str">
            <v>B074FWT3JN</v>
          </cell>
          <cell r="B127">
            <v>2</v>
          </cell>
          <cell r="C127">
            <v>1</v>
          </cell>
          <cell r="D127">
            <v>1</v>
          </cell>
          <cell r="E127">
            <v>2</v>
          </cell>
        </row>
        <row r="128">
          <cell r="A128" t="str">
            <v>B074FX3HCW</v>
          </cell>
          <cell r="B128">
            <v>4</v>
          </cell>
          <cell r="C128">
            <v>1</v>
          </cell>
          <cell r="D128">
            <v>0</v>
          </cell>
          <cell r="E128">
            <v>1</v>
          </cell>
        </row>
        <row r="129">
          <cell r="A129" t="str">
            <v>B074FX3ZFZ</v>
          </cell>
          <cell r="B129">
            <v>4</v>
          </cell>
          <cell r="C129">
            <v>0</v>
          </cell>
          <cell r="D129">
            <v>1</v>
          </cell>
          <cell r="E129">
            <v>1</v>
          </cell>
        </row>
        <row r="130">
          <cell r="A130" t="str">
            <v>B074FX94G1</v>
          </cell>
          <cell r="B130">
            <v>2</v>
          </cell>
          <cell r="C130">
            <v>2</v>
          </cell>
          <cell r="D130">
            <v>1</v>
          </cell>
          <cell r="E130">
            <v>2</v>
          </cell>
        </row>
        <row r="131">
          <cell r="A131" t="str">
            <v>B074FXCYQT</v>
          </cell>
          <cell r="B131">
            <v>1</v>
          </cell>
          <cell r="C131">
            <v>1</v>
          </cell>
          <cell r="D131">
            <v>2</v>
          </cell>
          <cell r="E131">
            <v>4</v>
          </cell>
        </row>
        <row r="132">
          <cell r="A132" t="str">
            <v>B074FXLL7J</v>
          </cell>
          <cell r="B132">
            <v>2</v>
          </cell>
          <cell r="C132">
            <v>2</v>
          </cell>
          <cell r="D132">
            <v>2</v>
          </cell>
          <cell r="E132">
            <v>2</v>
          </cell>
        </row>
        <row r="133">
          <cell r="A133" t="str">
            <v>B074FXLSHW</v>
          </cell>
          <cell r="B133">
            <v>1</v>
          </cell>
          <cell r="C133">
            <v>3</v>
          </cell>
          <cell r="D133">
            <v>2</v>
          </cell>
          <cell r="E133">
            <v>1</v>
          </cell>
        </row>
        <row r="134">
          <cell r="A134" t="str">
            <v>B074FXM33R</v>
          </cell>
          <cell r="B134">
            <v>2</v>
          </cell>
          <cell r="C134">
            <v>0</v>
          </cell>
          <cell r="D134">
            <v>1</v>
          </cell>
          <cell r="E134">
            <v>1</v>
          </cell>
        </row>
        <row r="135">
          <cell r="A135" t="str">
            <v>B074FXMP5R</v>
          </cell>
          <cell r="B135">
            <v>2</v>
          </cell>
          <cell r="C135">
            <v>3</v>
          </cell>
          <cell r="D135">
            <v>2</v>
          </cell>
          <cell r="E135">
            <v>1</v>
          </cell>
        </row>
        <row r="136">
          <cell r="A136" t="str">
            <v>B074FXSQV1</v>
          </cell>
          <cell r="B136">
            <v>1</v>
          </cell>
          <cell r="C136">
            <v>1</v>
          </cell>
          <cell r="D136">
            <v>0</v>
          </cell>
          <cell r="E136">
            <v>1</v>
          </cell>
        </row>
        <row r="137">
          <cell r="A137" t="str">
            <v>B074FXTKQH</v>
          </cell>
          <cell r="B137">
            <v>2</v>
          </cell>
          <cell r="C137">
            <v>1</v>
          </cell>
          <cell r="D137">
            <v>1</v>
          </cell>
          <cell r="E137">
            <v>5</v>
          </cell>
        </row>
        <row r="138">
          <cell r="A138" t="str">
            <v>B074FZKWPJ</v>
          </cell>
          <cell r="B138">
            <v>2</v>
          </cell>
          <cell r="C138">
            <v>3</v>
          </cell>
          <cell r="D138">
            <v>1</v>
          </cell>
          <cell r="E138">
            <v>2</v>
          </cell>
        </row>
        <row r="139">
          <cell r="A139" t="str">
            <v>B074FZYNXK</v>
          </cell>
          <cell r="B139">
            <v>0</v>
          </cell>
          <cell r="C139">
            <v>2</v>
          </cell>
          <cell r="D139">
            <v>0</v>
          </cell>
          <cell r="E139">
            <v>1</v>
          </cell>
        </row>
        <row r="140">
          <cell r="A140" t="str">
            <v>B074JTR9T4</v>
          </cell>
          <cell r="B140">
            <v>4</v>
          </cell>
          <cell r="C140">
            <v>1</v>
          </cell>
          <cell r="D140">
            <v>2</v>
          </cell>
          <cell r="E140">
            <v>3</v>
          </cell>
        </row>
        <row r="141">
          <cell r="A141" t="str">
            <v>B074JTW9NR</v>
          </cell>
          <cell r="B141">
            <v>2</v>
          </cell>
          <cell r="C141">
            <v>2</v>
          </cell>
          <cell r="D141">
            <v>1</v>
          </cell>
          <cell r="E141">
            <v>1</v>
          </cell>
        </row>
        <row r="142">
          <cell r="A142" t="str">
            <v>B074JV1QKR</v>
          </cell>
          <cell r="B142">
            <v>0</v>
          </cell>
          <cell r="C142">
            <v>3</v>
          </cell>
          <cell r="D142">
            <v>0</v>
          </cell>
          <cell r="E142">
            <v>1</v>
          </cell>
        </row>
        <row r="143">
          <cell r="A143" t="str">
            <v>B074JV1QKT</v>
          </cell>
          <cell r="B143">
            <v>2</v>
          </cell>
          <cell r="C143">
            <v>4</v>
          </cell>
          <cell r="D143">
            <v>1</v>
          </cell>
          <cell r="E143">
            <v>2</v>
          </cell>
        </row>
        <row r="144">
          <cell r="A144" t="str">
            <v>B074JV7QWX</v>
          </cell>
          <cell r="B144">
            <v>1</v>
          </cell>
          <cell r="C144">
            <v>2</v>
          </cell>
          <cell r="D144">
            <v>6</v>
          </cell>
          <cell r="E144">
            <v>14</v>
          </cell>
        </row>
        <row r="145">
          <cell r="A145" t="str">
            <v>B074JVF4LK</v>
          </cell>
          <cell r="B145">
            <v>5</v>
          </cell>
          <cell r="C145">
            <v>6</v>
          </cell>
          <cell r="D145">
            <v>1</v>
          </cell>
          <cell r="E145">
            <v>7</v>
          </cell>
        </row>
        <row r="146">
          <cell r="A146" t="str">
            <v>B074JVMQRW</v>
          </cell>
          <cell r="B146">
            <v>7</v>
          </cell>
          <cell r="C146">
            <v>3</v>
          </cell>
          <cell r="D146">
            <v>1</v>
          </cell>
          <cell r="E146">
            <v>2</v>
          </cell>
        </row>
        <row r="147">
          <cell r="A147" t="str">
            <v>B074JW46DX</v>
          </cell>
          <cell r="B147">
            <v>3</v>
          </cell>
          <cell r="C147">
            <v>4</v>
          </cell>
          <cell r="D147">
            <v>3</v>
          </cell>
          <cell r="E147">
            <v>4</v>
          </cell>
        </row>
        <row r="148">
          <cell r="A148" t="str">
            <v>B074JW5XZ4</v>
          </cell>
          <cell r="B148">
            <v>6</v>
          </cell>
          <cell r="C148">
            <v>9</v>
          </cell>
          <cell r="D148">
            <v>3</v>
          </cell>
          <cell r="E148">
            <v>8</v>
          </cell>
        </row>
        <row r="149">
          <cell r="A149" t="str">
            <v>B074JW998T</v>
          </cell>
          <cell r="B149">
            <v>2</v>
          </cell>
          <cell r="C149">
            <v>5</v>
          </cell>
          <cell r="D149">
            <v>1</v>
          </cell>
          <cell r="E149">
            <v>1</v>
          </cell>
        </row>
        <row r="150">
          <cell r="A150" t="str">
            <v>B074JW9ZRS</v>
          </cell>
          <cell r="B150">
            <v>4</v>
          </cell>
          <cell r="C150">
            <v>4</v>
          </cell>
          <cell r="D150">
            <v>3</v>
          </cell>
          <cell r="E150">
            <v>6</v>
          </cell>
        </row>
        <row r="151">
          <cell r="A151" t="str">
            <v>B074JWL4F2</v>
          </cell>
          <cell r="B151">
            <v>4</v>
          </cell>
          <cell r="C151">
            <v>3</v>
          </cell>
          <cell r="D151">
            <v>7</v>
          </cell>
          <cell r="E151">
            <v>2</v>
          </cell>
        </row>
        <row r="152">
          <cell r="A152" t="str">
            <v>B074JWL6PF</v>
          </cell>
          <cell r="B152">
            <v>4</v>
          </cell>
          <cell r="C152">
            <v>5</v>
          </cell>
          <cell r="D152">
            <v>1</v>
          </cell>
          <cell r="E152">
            <v>4</v>
          </cell>
        </row>
        <row r="153">
          <cell r="A153" t="str">
            <v>B074JWQ644</v>
          </cell>
          <cell r="B153">
            <v>7</v>
          </cell>
          <cell r="C153">
            <v>2</v>
          </cell>
          <cell r="D153">
            <v>0</v>
          </cell>
          <cell r="E153">
            <v>4</v>
          </cell>
        </row>
        <row r="154">
          <cell r="A154" t="str">
            <v>B074JWS1CB</v>
          </cell>
          <cell r="B154">
            <v>5</v>
          </cell>
          <cell r="C154">
            <v>4</v>
          </cell>
          <cell r="D154">
            <v>2</v>
          </cell>
          <cell r="E154">
            <v>3</v>
          </cell>
        </row>
        <row r="155">
          <cell r="A155" t="str">
            <v>B074JX2YCN</v>
          </cell>
          <cell r="B155">
            <v>5</v>
          </cell>
          <cell r="C155">
            <v>3</v>
          </cell>
          <cell r="D155">
            <v>2</v>
          </cell>
          <cell r="E155">
            <v>2</v>
          </cell>
        </row>
        <row r="156">
          <cell r="A156" t="str">
            <v>B074JX2YCX</v>
          </cell>
          <cell r="B156">
            <v>4</v>
          </cell>
          <cell r="C156">
            <v>2</v>
          </cell>
          <cell r="D156">
            <v>2</v>
          </cell>
          <cell r="E156">
            <v>1</v>
          </cell>
        </row>
        <row r="157">
          <cell r="A157" t="str">
            <v>B074JXFM38</v>
          </cell>
          <cell r="B157">
            <v>4</v>
          </cell>
          <cell r="C157">
            <v>1</v>
          </cell>
          <cell r="D157">
            <v>0</v>
          </cell>
          <cell r="E157">
            <v>1</v>
          </cell>
        </row>
        <row r="158">
          <cell r="A158" t="str">
            <v>B074JXGVBD</v>
          </cell>
          <cell r="B158">
            <v>2</v>
          </cell>
          <cell r="C158">
            <v>1</v>
          </cell>
          <cell r="D158">
            <v>1</v>
          </cell>
          <cell r="E158">
            <v>2</v>
          </cell>
        </row>
        <row r="159">
          <cell r="A159" t="str">
            <v>B074JXHFTJ</v>
          </cell>
          <cell r="B159">
            <v>4</v>
          </cell>
          <cell r="C159">
            <v>3</v>
          </cell>
          <cell r="D159">
            <v>0</v>
          </cell>
          <cell r="E159">
            <v>1</v>
          </cell>
        </row>
        <row r="160">
          <cell r="A160" t="str">
            <v>B074JXQX4Z</v>
          </cell>
          <cell r="B160">
            <v>5</v>
          </cell>
          <cell r="C160">
            <v>0</v>
          </cell>
          <cell r="D160">
            <v>0</v>
          </cell>
          <cell r="E160">
            <v>2</v>
          </cell>
        </row>
        <row r="161">
          <cell r="A161" t="str">
            <v>B074JXZYR5</v>
          </cell>
          <cell r="B161">
            <v>7</v>
          </cell>
          <cell r="C161">
            <v>1</v>
          </cell>
          <cell r="D161">
            <v>0</v>
          </cell>
          <cell r="E161">
            <v>2</v>
          </cell>
        </row>
        <row r="162">
          <cell r="A162" t="str">
            <v>B074JY219R</v>
          </cell>
          <cell r="B162">
            <v>3</v>
          </cell>
          <cell r="C162">
            <v>2</v>
          </cell>
          <cell r="D162">
            <v>0</v>
          </cell>
          <cell r="E162">
            <v>2</v>
          </cell>
        </row>
        <row r="163">
          <cell r="A163" t="str">
            <v>B074JYD8F3</v>
          </cell>
          <cell r="B163">
            <v>3</v>
          </cell>
          <cell r="C163">
            <v>3</v>
          </cell>
          <cell r="D163">
            <v>2</v>
          </cell>
          <cell r="E163">
            <v>3</v>
          </cell>
        </row>
        <row r="164">
          <cell r="A164" t="str">
            <v>B074JYMHZL</v>
          </cell>
          <cell r="B164">
            <v>4</v>
          </cell>
          <cell r="C164">
            <v>3</v>
          </cell>
          <cell r="D164">
            <v>5</v>
          </cell>
          <cell r="E164">
            <v>2</v>
          </cell>
        </row>
        <row r="165">
          <cell r="A165" t="str">
            <v>B074JYYM5F</v>
          </cell>
          <cell r="B165">
            <v>2</v>
          </cell>
          <cell r="C165">
            <v>1</v>
          </cell>
          <cell r="D165">
            <v>0</v>
          </cell>
          <cell r="E165">
            <v>1</v>
          </cell>
        </row>
        <row r="166">
          <cell r="A166" t="str">
            <v>B074JZ1THP</v>
          </cell>
          <cell r="B166">
            <v>13</v>
          </cell>
          <cell r="C166">
            <v>2</v>
          </cell>
          <cell r="D166">
            <v>4</v>
          </cell>
          <cell r="E166">
            <v>3</v>
          </cell>
        </row>
        <row r="167">
          <cell r="A167" t="str">
            <v>B074JZ2HSX</v>
          </cell>
          <cell r="B167">
            <v>2</v>
          </cell>
          <cell r="C167">
            <v>3</v>
          </cell>
          <cell r="D167">
            <v>0</v>
          </cell>
          <cell r="E167">
            <v>2</v>
          </cell>
        </row>
        <row r="168">
          <cell r="A168" t="str">
            <v>B074JZ42X6</v>
          </cell>
          <cell r="B168">
            <v>2</v>
          </cell>
          <cell r="C168">
            <v>2</v>
          </cell>
          <cell r="D168">
            <v>1</v>
          </cell>
          <cell r="E168">
            <v>2</v>
          </cell>
        </row>
        <row r="169">
          <cell r="A169" t="str">
            <v>B074K1JLQ3</v>
          </cell>
          <cell r="B169">
            <v>8</v>
          </cell>
          <cell r="C169">
            <v>9</v>
          </cell>
          <cell r="D169">
            <v>7</v>
          </cell>
          <cell r="E169">
            <v>10</v>
          </cell>
        </row>
        <row r="170">
          <cell r="A170" t="str">
            <v>B074K1L386</v>
          </cell>
          <cell r="B170">
            <v>2</v>
          </cell>
          <cell r="C170">
            <v>5</v>
          </cell>
          <cell r="D170">
            <v>2</v>
          </cell>
          <cell r="E170">
            <v>3</v>
          </cell>
        </row>
        <row r="171">
          <cell r="A171" t="str">
            <v>B074K24HL3</v>
          </cell>
          <cell r="B171">
            <v>1</v>
          </cell>
          <cell r="C171">
            <v>1</v>
          </cell>
          <cell r="D171">
            <v>2</v>
          </cell>
          <cell r="E171">
            <v>1</v>
          </cell>
        </row>
        <row r="172">
          <cell r="A172" t="str">
            <v>B074K26CND</v>
          </cell>
          <cell r="B172">
            <v>2</v>
          </cell>
          <cell r="C172">
            <v>2</v>
          </cell>
          <cell r="D172">
            <v>4</v>
          </cell>
          <cell r="E172">
            <v>4</v>
          </cell>
        </row>
        <row r="173">
          <cell r="A173" t="str">
            <v>B074K2GJCF</v>
          </cell>
          <cell r="B173">
            <v>2</v>
          </cell>
          <cell r="C173">
            <v>2</v>
          </cell>
          <cell r="D173">
            <v>3</v>
          </cell>
          <cell r="E173">
            <v>1</v>
          </cell>
        </row>
        <row r="174">
          <cell r="A174" t="str">
            <v>B074K2QJ5H</v>
          </cell>
          <cell r="B174">
            <v>2</v>
          </cell>
          <cell r="C174">
            <v>1</v>
          </cell>
          <cell r="D174">
            <v>2</v>
          </cell>
          <cell r="E174">
            <v>3</v>
          </cell>
        </row>
        <row r="175">
          <cell r="A175" t="str">
            <v>B074K2VQNZ</v>
          </cell>
          <cell r="B175">
            <v>3</v>
          </cell>
          <cell r="C175">
            <v>4</v>
          </cell>
          <cell r="D175">
            <v>3</v>
          </cell>
          <cell r="E175">
            <v>4</v>
          </cell>
        </row>
        <row r="176">
          <cell r="A176" t="str">
            <v>B074K3VJ4G</v>
          </cell>
          <cell r="B176">
            <v>2</v>
          </cell>
          <cell r="C176">
            <v>2</v>
          </cell>
          <cell r="D176">
            <v>1</v>
          </cell>
          <cell r="E176">
            <v>2</v>
          </cell>
        </row>
        <row r="177">
          <cell r="A177" t="str">
            <v>B074K3YM47</v>
          </cell>
          <cell r="B177">
            <v>2</v>
          </cell>
          <cell r="C177">
            <v>3</v>
          </cell>
          <cell r="D177">
            <v>1</v>
          </cell>
          <cell r="E177">
            <v>6</v>
          </cell>
        </row>
        <row r="178">
          <cell r="A178" t="str">
            <v>B074K4DJJR</v>
          </cell>
          <cell r="B178">
            <v>3</v>
          </cell>
          <cell r="C178">
            <v>2</v>
          </cell>
          <cell r="D178">
            <v>0</v>
          </cell>
          <cell r="E178">
            <v>3</v>
          </cell>
        </row>
        <row r="179">
          <cell r="A179" t="str">
            <v>B074K4DJKF</v>
          </cell>
          <cell r="B179">
            <v>4</v>
          </cell>
          <cell r="C179">
            <v>0</v>
          </cell>
          <cell r="D179">
            <v>1</v>
          </cell>
          <cell r="E179">
            <v>3</v>
          </cell>
        </row>
        <row r="180">
          <cell r="A180" t="str">
            <v>B074K4GLGJ</v>
          </cell>
          <cell r="B180">
            <v>3</v>
          </cell>
          <cell r="C180">
            <v>6</v>
          </cell>
          <cell r="D180">
            <v>7</v>
          </cell>
          <cell r="E180">
            <v>7</v>
          </cell>
        </row>
        <row r="181">
          <cell r="A181" t="str">
            <v>B074K4N247</v>
          </cell>
          <cell r="B181">
            <v>6</v>
          </cell>
          <cell r="C181">
            <v>3</v>
          </cell>
          <cell r="D181">
            <v>1</v>
          </cell>
          <cell r="E181">
            <v>2</v>
          </cell>
        </row>
        <row r="182">
          <cell r="A182" t="str">
            <v>B074K5FMRM</v>
          </cell>
          <cell r="B182">
            <v>1</v>
          </cell>
          <cell r="C182">
            <v>5</v>
          </cell>
          <cell r="D182">
            <v>1</v>
          </cell>
          <cell r="E182">
            <v>2</v>
          </cell>
        </row>
        <row r="183">
          <cell r="A183" t="str">
            <v>B074NQW76F</v>
          </cell>
          <cell r="B183">
            <v>1</v>
          </cell>
          <cell r="C183">
            <v>2</v>
          </cell>
          <cell r="D183">
            <v>1</v>
          </cell>
          <cell r="E183">
            <v>1</v>
          </cell>
        </row>
        <row r="184">
          <cell r="A184" t="str">
            <v>B074NQW8FF</v>
          </cell>
          <cell r="B184">
            <v>1</v>
          </cell>
          <cell r="C184">
            <v>3</v>
          </cell>
          <cell r="D184">
            <v>0</v>
          </cell>
          <cell r="E184">
            <v>2</v>
          </cell>
        </row>
        <row r="185">
          <cell r="A185" t="str">
            <v>B074NWMYV7</v>
          </cell>
          <cell r="B185">
            <v>3</v>
          </cell>
          <cell r="C185">
            <v>1</v>
          </cell>
          <cell r="D185">
            <v>1</v>
          </cell>
          <cell r="E185">
            <v>2</v>
          </cell>
        </row>
        <row r="186">
          <cell r="A186" t="str">
            <v>B074NXL8BJ</v>
          </cell>
          <cell r="B186">
            <v>3</v>
          </cell>
          <cell r="C186">
            <v>3</v>
          </cell>
          <cell r="D186">
            <v>2</v>
          </cell>
          <cell r="E186">
            <v>4</v>
          </cell>
        </row>
        <row r="187">
          <cell r="A187" t="str">
            <v>B074NY9YM1</v>
          </cell>
          <cell r="B187">
            <v>1</v>
          </cell>
          <cell r="C187">
            <v>0</v>
          </cell>
          <cell r="D187">
            <v>1</v>
          </cell>
          <cell r="E187">
            <v>1</v>
          </cell>
        </row>
        <row r="188">
          <cell r="A188" t="str">
            <v>B074NYX45B</v>
          </cell>
          <cell r="B188">
            <v>1</v>
          </cell>
          <cell r="C188">
            <v>1</v>
          </cell>
          <cell r="D188">
            <v>1</v>
          </cell>
          <cell r="E188">
            <v>1</v>
          </cell>
        </row>
        <row r="189">
          <cell r="A189" t="str">
            <v>B074NZSTV3</v>
          </cell>
          <cell r="B189">
            <v>1</v>
          </cell>
          <cell r="C189">
            <v>4</v>
          </cell>
          <cell r="D189">
            <v>0</v>
          </cell>
          <cell r="E189">
            <v>1</v>
          </cell>
        </row>
        <row r="190">
          <cell r="A190" t="str">
            <v>B074P1BLMD</v>
          </cell>
          <cell r="B190">
            <v>2</v>
          </cell>
          <cell r="C190">
            <v>1</v>
          </cell>
          <cell r="D190">
            <v>1</v>
          </cell>
          <cell r="E190">
            <v>2</v>
          </cell>
        </row>
        <row r="191">
          <cell r="A191" t="str">
            <v>B074P1H1SL</v>
          </cell>
          <cell r="B191">
            <v>3</v>
          </cell>
          <cell r="C191">
            <v>3</v>
          </cell>
          <cell r="D191">
            <v>1</v>
          </cell>
          <cell r="E191">
            <v>1</v>
          </cell>
        </row>
        <row r="192">
          <cell r="A192" t="str">
            <v>B074P2RFBZ</v>
          </cell>
          <cell r="B192">
            <v>1</v>
          </cell>
          <cell r="C192">
            <v>3</v>
          </cell>
          <cell r="D192">
            <v>1</v>
          </cell>
          <cell r="E192">
            <v>2</v>
          </cell>
        </row>
        <row r="193">
          <cell r="A193" t="str">
            <v>B074Q9CTNJ</v>
          </cell>
          <cell r="B193">
            <v>4</v>
          </cell>
          <cell r="C193">
            <v>4</v>
          </cell>
          <cell r="D193">
            <v>1</v>
          </cell>
          <cell r="E193">
            <v>4</v>
          </cell>
        </row>
        <row r="194">
          <cell r="A194" t="str">
            <v>B074Q9RQFH</v>
          </cell>
          <cell r="B194">
            <v>3</v>
          </cell>
          <cell r="C194">
            <v>1</v>
          </cell>
          <cell r="D194">
            <v>2</v>
          </cell>
          <cell r="E194">
            <v>3</v>
          </cell>
        </row>
        <row r="195">
          <cell r="A195" t="str">
            <v>B074Q9S43R</v>
          </cell>
          <cell r="B195">
            <v>16</v>
          </cell>
          <cell r="C195">
            <v>15</v>
          </cell>
          <cell r="D195">
            <v>10</v>
          </cell>
          <cell r="E195">
            <v>14</v>
          </cell>
        </row>
        <row r="196">
          <cell r="A196" t="str">
            <v>B074QCGCJC</v>
          </cell>
          <cell r="B196">
            <v>6</v>
          </cell>
          <cell r="C196">
            <v>1</v>
          </cell>
          <cell r="D196">
            <v>3</v>
          </cell>
          <cell r="E196">
            <v>9</v>
          </cell>
        </row>
        <row r="197">
          <cell r="A197" t="str">
            <v>B074QCYQ9L</v>
          </cell>
          <cell r="B197">
            <v>9</v>
          </cell>
          <cell r="C197">
            <v>1</v>
          </cell>
          <cell r="D197">
            <v>1</v>
          </cell>
          <cell r="E197">
            <v>2</v>
          </cell>
        </row>
        <row r="198">
          <cell r="A198" t="str">
            <v>B074QDS9ZN</v>
          </cell>
          <cell r="B198">
            <v>5</v>
          </cell>
          <cell r="C198">
            <v>3</v>
          </cell>
          <cell r="D198">
            <v>3</v>
          </cell>
          <cell r="E198">
            <v>4</v>
          </cell>
        </row>
        <row r="199">
          <cell r="A199" t="str">
            <v>B074QDSYXY</v>
          </cell>
          <cell r="B199">
            <v>3</v>
          </cell>
          <cell r="C199">
            <v>4</v>
          </cell>
          <cell r="D199">
            <v>1</v>
          </cell>
          <cell r="E199">
            <v>4</v>
          </cell>
        </row>
        <row r="200">
          <cell r="A200" t="str">
            <v>B074QFDH8R</v>
          </cell>
          <cell r="B200">
            <v>7</v>
          </cell>
          <cell r="C200">
            <v>3</v>
          </cell>
          <cell r="D200">
            <v>2</v>
          </cell>
          <cell r="E200">
            <v>3</v>
          </cell>
        </row>
        <row r="201">
          <cell r="A201" t="str">
            <v>B074QG3P8G</v>
          </cell>
          <cell r="B201">
            <v>6</v>
          </cell>
          <cell r="C201">
            <v>2</v>
          </cell>
          <cell r="D201">
            <v>3</v>
          </cell>
          <cell r="E201">
            <v>4</v>
          </cell>
        </row>
        <row r="202">
          <cell r="A202" t="str">
            <v>B074QGD61W</v>
          </cell>
          <cell r="B202">
            <v>3</v>
          </cell>
          <cell r="C202">
            <v>1</v>
          </cell>
          <cell r="D202">
            <v>4</v>
          </cell>
          <cell r="E202">
            <v>8</v>
          </cell>
        </row>
        <row r="203">
          <cell r="A203" t="str">
            <v>B074QGLLQN</v>
          </cell>
          <cell r="B203">
            <v>3</v>
          </cell>
          <cell r="C203">
            <v>5</v>
          </cell>
          <cell r="D203">
            <v>3</v>
          </cell>
          <cell r="E203">
            <v>7</v>
          </cell>
        </row>
        <row r="204">
          <cell r="A204" t="str">
            <v>B074QJ923S</v>
          </cell>
          <cell r="B204">
            <v>5</v>
          </cell>
          <cell r="C204">
            <v>1</v>
          </cell>
          <cell r="D204">
            <v>2</v>
          </cell>
          <cell r="E204">
            <v>3</v>
          </cell>
        </row>
        <row r="205">
          <cell r="A205" t="str">
            <v>B074QQ5S79</v>
          </cell>
          <cell r="B205">
            <v>4</v>
          </cell>
          <cell r="C205">
            <v>1</v>
          </cell>
          <cell r="D205">
            <v>2</v>
          </cell>
          <cell r="E205">
            <v>6</v>
          </cell>
        </row>
        <row r="206">
          <cell r="A206" t="str">
            <v>B0761MLYTQ</v>
          </cell>
          <cell r="B206">
            <v>11</v>
          </cell>
          <cell r="C206">
            <v>4</v>
          </cell>
          <cell r="D206">
            <v>3</v>
          </cell>
          <cell r="E206">
            <v>7</v>
          </cell>
        </row>
        <row r="207">
          <cell r="A207" t="str">
            <v>B0761MXCJB</v>
          </cell>
          <cell r="B207">
            <v>9</v>
          </cell>
          <cell r="C207">
            <v>4</v>
          </cell>
          <cell r="D207">
            <v>8</v>
          </cell>
          <cell r="E207">
            <v>2</v>
          </cell>
        </row>
        <row r="208">
          <cell r="A208" t="str">
            <v>B0761N286T</v>
          </cell>
          <cell r="B208">
            <v>15</v>
          </cell>
          <cell r="C208">
            <v>16</v>
          </cell>
          <cell r="D208">
            <v>8</v>
          </cell>
          <cell r="E208">
            <v>10</v>
          </cell>
        </row>
        <row r="209">
          <cell r="A209" t="str">
            <v>B0761N3HJ3</v>
          </cell>
          <cell r="B209">
            <v>6</v>
          </cell>
          <cell r="C209">
            <v>5</v>
          </cell>
          <cell r="D209">
            <v>2</v>
          </cell>
          <cell r="E209">
            <v>6</v>
          </cell>
        </row>
        <row r="210">
          <cell r="A210" t="str">
            <v>B0761N46BN</v>
          </cell>
          <cell r="B210">
            <v>14</v>
          </cell>
          <cell r="C210">
            <v>14</v>
          </cell>
          <cell r="D210">
            <v>2</v>
          </cell>
          <cell r="E210">
            <v>4</v>
          </cell>
        </row>
        <row r="211">
          <cell r="A211" t="str">
            <v>B0761NFQMT</v>
          </cell>
          <cell r="B211">
            <v>17</v>
          </cell>
          <cell r="C211">
            <v>11</v>
          </cell>
          <cell r="D211">
            <v>5</v>
          </cell>
          <cell r="E211">
            <v>1</v>
          </cell>
        </row>
        <row r="212">
          <cell r="A212" t="str">
            <v>B0761NFTQC</v>
          </cell>
          <cell r="B212">
            <v>5</v>
          </cell>
          <cell r="C212">
            <v>4</v>
          </cell>
          <cell r="D212">
            <v>3</v>
          </cell>
          <cell r="E212">
            <v>4</v>
          </cell>
        </row>
        <row r="213">
          <cell r="A213" t="str">
            <v>B0761NGWJD</v>
          </cell>
          <cell r="B213">
            <v>6</v>
          </cell>
          <cell r="C213">
            <v>6</v>
          </cell>
          <cell r="D213">
            <v>5</v>
          </cell>
          <cell r="E213">
            <v>6</v>
          </cell>
        </row>
        <row r="214">
          <cell r="A214" t="str">
            <v>B0761NGYTK</v>
          </cell>
          <cell r="B214">
            <v>27</v>
          </cell>
          <cell r="C214">
            <v>19</v>
          </cell>
          <cell r="D214">
            <v>18</v>
          </cell>
          <cell r="E214">
            <v>19</v>
          </cell>
        </row>
        <row r="215">
          <cell r="A215" t="str">
            <v>B0761NHB1Y</v>
          </cell>
          <cell r="B215">
            <v>9</v>
          </cell>
          <cell r="C215">
            <v>6</v>
          </cell>
          <cell r="D215">
            <v>5</v>
          </cell>
          <cell r="E215">
            <v>1</v>
          </cell>
        </row>
        <row r="216">
          <cell r="A216" t="str">
            <v>B0761NJPNM</v>
          </cell>
          <cell r="B216">
            <v>26</v>
          </cell>
          <cell r="C216">
            <v>17</v>
          </cell>
          <cell r="D216">
            <v>15</v>
          </cell>
          <cell r="E216">
            <v>6</v>
          </cell>
        </row>
        <row r="217">
          <cell r="A217" t="str">
            <v>B0761NM1NH</v>
          </cell>
          <cell r="B217">
            <v>9</v>
          </cell>
          <cell r="C217">
            <v>6</v>
          </cell>
          <cell r="D217">
            <v>2</v>
          </cell>
          <cell r="E217">
            <v>2</v>
          </cell>
        </row>
        <row r="218">
          <cell r="A218" t="str">
            <v>B0761NM3BZ</v>
          </cell>
          <cell r="B218">
            <v>74</v>
          </cell>
          <cell r="C218">
            <v>69</v>
          </cell>
          <cell r="D218">
            <v>43</v>
          </cell>
          <cell r="E218">
            <v>39</v>
          </cell>
        </row>
        <row r="219">
          <cell r="A219" t="str">
            <v>B0761NM3SZ</v>
          </cell>
          <cell r="B219">
            <v>41</v>
          </cell>
          <cell r="C219">
            <v>23</v>
          </cell>
          <cell r="D219">
            <v>13</v>
          </cell>
          <cell r="E219">
            <v>13</v>
          </cell>
        </row>
        <row r="220">
          <cell r="A220" t="str">
            <v>B0761NNDWM</v>
          </cell>
          <cell r="B220">
            <v>13</v>
          </cell>
          <cell r="C220">
            <v>17</v>
          </cell>
          <cell r="D220">
            <v>19</v>
          </cell>
          <cell r="E220">
            <v>8</v>
          </cell>
        </row>
        <row r="221">
          <cell r="A221" t="str">
            <v>B0761NNM84</v>
          </cell>
          <cell r="B221">
            <v>19</v>
          </cell>
          <cell r="C221">
            <v>7</v>
          </cell>
          <cell r="D221">
            <v>10</v>
          </cell>
          <cell r="E221">
            <v>9</v>
          </cell>
        </row>
        <row r="222">
          <cell r="A222" t="str">
            <v>B0761P4LK2</v>
          </cell>
          <cell r="B222">
            <v>34</v>
          </cell>
          <cell r="C222">
            <v>15</v>
          </cell>
          <cell r="D222">
            <v>20</v>
          </cell>
          <cell r="E222">
            <v>24</v>
          </cell>
        </row>
        <row r="223">
          <cell r="A223" t="str">
            <v>B0761P4LKC</v>
          </cell>
          <cell r="B223">
            <v>19</v>
          </cell>
          <cell r="C223">
            <v>30</v>
          </cell>
          <cell r="D223">
            <v>50</v>
          </cell>
          <cell r="E223">
            <v>23</v>
          </cell>
        </row>
        <row r="224">
          <cell r="A224" t="str">
            <v>B0761PBXCV</v>
          </cell>
          <cell r="B224">
            <v>12</v>
          </cell>
          <cell r="C224">
            <v>6</v>
          </cell>
          <cell r="D224">
            <v>4</v>
          </cell>
          <cell r="E224">
            <v>7</v>
          </cell>
        </row>
        <row r="225">
          <cell r="A225" t="str">
            <v>B0761PDHV5</v>
          </cell>
          <cell r="B225">
            <v>5</v>
          </cell>
          <cell r="C225">
            <v>8</v>
          </cell>
          <cell r="D225">
            <v>3</v>
          </cell>
          <cell r="E225">
            <v>6</v>
          </cell>
        </row>
        <row r="226">
          <cell r="A226" t="str">
            <v>B0761PDMGN</v>
          </cell>
          <cell r="B226">
            <v>23</v>
          </cell>
          <cell r="C226">
            <v>25</v>
          </cell>
          <cell r="D226">
            <v>5</v>
          </cell>
          <cell r="E226">
            <v>11</v>
          </cell>
        </row>
        <row r="227">
          <cell r="A227" t="str">
            <v>B0761PL2N2</v>
          </cell>
          <cell r="B227">
            <v>12</v>
          </cell>
          <cell r="C227">
            <v>5</v>
          </cell>
          <cell r="D227">
            <v>3</v>
          </cell>
          <cell r="E227">
            <v>5</v>
          </cell>
        </row>
        <row r="228">
          <cell r="A228" t="str">
            <v>B0761PSPTJ</v>
          </cell>
          <cell r="B228">
            <v>7</v>
          </cell>
          <cell r="C228">
            <v>5</v>
          </cell>
          <cell r="D228">
            <v>8</v>
          </cell>
          <cell r="E228">
            <v>7</v>
          </cell>
        </row>
        <row r="229">
          <cell r="A229" t="str">
            <v>B0761PTZY2</v>
          </cell>
          <cell r="B229">
            <v>19</v>
          </cell>
          <cell r="C229">
            <v>8</v>
          </cell>
          <cell r="D229">
            <v>17</v>
          </cell>
          <cell r="E229">
            <v>5</v>
          </cell>
        </row>
        <row r="230">
          <cell r="A230" t="str">
            <v>B0761PV952</v>
          </cell>
          <cell r="B230">
            <v>12</v>
          </cell>
          <cell r="C230">
            <v>7</v>
          </cell>
          <cell r="D230">
            <v>6</v>
          </cell>
          <cell r="E230">
            <v>1</v>
          </cell>
        </row>
        <row r="231">
          <cell r="A231" t="str">
            <v>B0761PWB12</v>
          </cell>
          <cell r="B231">
            <v>6</v>
          </cell>
          <cell r="C231">
            <v>2</v>
          </cell>
          <cell r="D231">
            <v>4</v>
          </cell>
          <cell r="E231">
            <v>3</v>
          </cell>
        </row>
        <row r="232">
          <cell r="A232" t="str">
            <v>B0761PXTK8</v>
          </cell>
          <cell r="B232">
            <v>5</v>
          </cell>
          <cell r="C232">
            <v>9</v>
          </cell>
          <cell r="D232">
            <v>4</v>
          </cell>
          <cell r="E232">
            <v>7</v>
          </cell>
        </row>
        <row r="233">
          <cell r="A233" t="str">
            <v>B0761Q4YF6</v>
          </cell>
          <cell r="B233">
            <v>11</v>
          </cell>
          <cell r="C233">
            <v>9</v>
          </cell>
          <cell r="D233">
            <v>6</v>
          </cell>
          <cell r="E233">
            <v>7</v>
          </cell>
        </row>
        <row r="234">
          <cell r="A234" t="str">
            <v>B0761Q7KPX</v>
          </cell>
          <cell r="B234">
            <v>7</v>
          </cell>
          <cell r="C234">
            <v>10</v>
          </cell>
          <cell r="D234">
            <v>5</v>
          </cell>
          <cell r="E234">
            <v>2</v>
          </cell>
        </row>
        <row r="235">
          <cell r="A235" t="str">
            <v>B0761Q9VPH</v>
          </cell>
          <cell r="B235">
            <v>15</v>
          </cell>
          <cell r="C235">
            <v>5</v>
          </cell>
          <cell r="D235">
            <v>6</v>
          </cell>
          <cell r="E235">
            <v>4</v>
          </cell>
        </row>
        <row r="236">
          <cell r="A236" t="str">
            <v>B0761QBHM9</v>
          </cell>
          <cell r="B236">
            <v>5</v>
          </cell>
          <cell r="C236">
            <v>6</v>
          </cell>
          <cell r="D236">
            <v>2</v>
          </cell>
          <cell r="E236">
            <v>5</v>
          </cell>
        </row>
        <row r="237">
          <cell r="A237" t="str">
            <v>B0761QW2JK</v>
          </cell>
          <cell r="B237">
            <v>12</v>
          </cell>
          <cell r="C237">
            <v>4</v>
          </cell>
          <cell r="D237">
            <v>2</v>
          </cell>
          <cell r="E237">
            <v>2</v>
          </cell>
        </row>
        <row r="238">
          <cell r="A238" t="str">
            <v>B0761R6ZG2</v>
          </cell>
          <cell r="B238">
            <v>11</v>
          </cell>
          <cell r="C238">
            <v>11</v>
          </cell>
          <cell r="D238">
            <v>1</v>
          </cell>
          <cell r="E238">
            <v>3</v>
          </cell>
        </row>
        <row r="239">
          <cell r="A239" t="str">
            <v>B0761R93J2</v>
          </cell>
          <cell r="B239">
            <v>13</v>
          </cell>
          <cell r="C239">
            <v>9</v>
          </cell>
          <cell r="D239">
            <v>4</v>
          </cell>
          <cell r="E239">
            <v>4</v>
          </cell>
        </row>
        <row r="240">
          <cell r="A240" t="str">
            <v>B0761S2M63</v>
          </cell>
          <cell r="B240">
            <v>7</v>
          </cell>
          <cell r="C240">
            <v>6</v>
          </cell>
          <cell r="D240">
            <v>4</v>
          </cell>
          <cell r="E240">
            <v>10</v>
          </cell>
        </row>
        <row r="241">
          <cell r="A241" t="str">
            <v>B0761S8TXR</v>
          </cell>
          <cell r="B241">
            <v>5</v>
          </cell>
          <cell r="C241">
            <v>4</v>
          </cell>
          <cell r="D241">
            <v>0</v>
          </cell>
          <cell r="E241">
            <v>1</v>
          </cell>
        </row>
        <row r="242">
          <cell r="A242" t="str">
            <v>B0761SKR3P</v>
          </cell>
          <cell r="B242">
            <v>17</v>
          </cell>
          <cell r="C242">
            <v>5</v>
          </cell>
          <cell r="D242">
            <v>6</v>
          </cell>
          <cell r="E242">
            <v>6</v>
          </cell>
        </row>
        <row r="243">
          <cell r="A243" t="str">
            <v>B0761V7L2R</v>
          </cell>
          <cell r="B243">
            <v>8</v>
          </cell>
          <cell r="C243">
            <v>4</v>
          </cell>
          <cell r="D243">
            <v>6</v>
          </cell>
          <cell r="E243">
            <v>2</v>
          </cell>
        </row>
        <row r="244">
          <cell r="A244" t="str">
            <v>B078NGPQK3</v>
          </cell>
          <cell r="B244">
            <v>2</v>
          </cell>
          <cell r="C244">
            <v>1</v>
          </cell>
          <cell r="D244">
            <v>0</v>
          </cell>
          <cell r="E244">
            <v>4</v>
          </cell>
        </row>
        <row r="245">
          <cell r="A245" t="str">
            <v>B078NN9LW4</v>
          </cell>
          <cell r="B245">
            <v>3</v>
          </cell>
          <cell r="C245">
            <v>2</v>
          </cell>
          <cell r="D245">
            <v>5</v>
          </cell>
          <cell r="E245">
            <v>1</v>
          </cell>
        </row>
        <row r="246">
          <cell r="A246" t="str">
            <v>B078NN9RD2</v>
          </cell>
          <cell r="B246">
            <v>3</v>
          </cell>
          <cell r="C246">
            <v>5</v>
          </cell>
          <cell r="D246">
            <v>3</v>
          </cell>
          <cell r="E246">
            <v>3</v>
          </cell>
        </row>
        <row r="247">
          <cell r="A247" t="str">
            <v>B078NN9RQR</v>
          </cell>
          <cell r="B247">
            <v>0</v>
          </cell>
          <cell r="C247">
            <v>0</v>
          </cell>
          <cell r="D247">
            <v>0</v>
          </cell>
          <cell r="E247">
            <v>1</v>
          </cell>
        </row>
        <row r="248">
          <cell r="A248" t="str">
            <v>B078NNB2PQ</v>
          </cell>
          <cell r="B248">
            <v>15</v>
          </cell>
          <cell r="C248">
            <v>10</v>
          </cell>
          <cell r="D248">
            <v>8</v>
          </cell>
          <cell r="E248">
            <v>16</v>
          </cell>
        </row>
        <row r="249">
          <cell r="A249" t="str">
            <v>B078NNLWT7</v>
          </cell>
          <cell r="B249">
            <v>4</v>
          </cell>
          <cell r="C249">
            <v>7</v>
          </cell>
          <cell r="D249">
            <v>2</v>
          </cell>
          <cell r="E249">
            <v>5</v>
          </cell>
        </row>
        <row r="250">
          <cell r="A250" t="str">
            <v>B078NNNW7X</v>
          </cell>
          <cell r="B250">
            <v>5</v>
          </cell>
          <cell r="C250">
            <v>2</v>
          </cell>
          <cell r="D250">
            <v>4</v>
          </cell>
          <cell r="E250">
            <v>2</v>
          </cell>
        </row>
        <row r="251">
          <cell r="A251" t="str">
            <v>B078NNWT42</v>
          </cell>
          <cell r="B251">
            <v>6</v>
          </cell>
          <cell r="C251">
            <v>2</v>
          </cell>
          <cell r="D251">
            <v>1</v>
          </cell>
          <cell r="E251">
            <v>4</v>
          </cell>
        </row>
        <row r="252">
          <cell r="A252" t="str">
            <v>B078NNYW4V</v>
          </cell>
          <cell r="B252">
            <v>10</v>
          </cell>
          <cell r="C252">
            <v>9</v>
          </cell>
          <cell r="D252">
            <v>11</v>
          </cell>
          <cell r="E252">
            <v>12</v>
          </cell>
        </row>
        <row r="253">
          <cell r="A253" t="str">
            <v>B078NNZ9M6</v>
          </cell>
          <cell r="B253">
            <v>7</v>
          </cell>
          <cell r="C253">
            <v>1</v>
          </cell>
          <cell r="D253">
            <v>4</v>
          </cell>
          <cell r="E253">
            <v>4</v>
          </cell>
        </row>
        <row r="254">
          <cell r="A254" t="str">
            <v>B078NNZQ5Y</v>
          </cell>
          <cell r="B254">
            <v>2</v>
          </cell>
          <cell r="C254">
            <v>2</v>
          </cell>
          <cell r="D254">
            <v>1</v>
          </cell>
          <cell r="E254">
            <v>1</v>
          </cell>
        </row>
        <row r="255">
          <cell r="A255" t="str">
            <v>B078NNZWD6</v>
          </cell>
          <cell r="B255">
            <v>7</v>
          </cell>
          <cell r="C255">
            <v>4</v>
          </cell>
          <cell r="D255">
            <v>6</v>
          </cell>
          <cell r="E255">
            <v>1</v>
          </cell>
        </row>
        <row r="256">
          <cell r="A256" t="str">
            <v>B078NPBXD2</v>
          </cell>
          <cell r="B256">
            <v>4</v>
          </cell>
          <cell r="C256">
            <v>0</v>
          </cell>
          <cell r="D256">
            <v>3</v>
          </cell>
          <cell r="E256">
            <v>2</v>
          </cell>
        </row>
        <row r="257">
          <cell r="A257" t="str">
            <v>B078NPV9SY</v>
          </cell>
          <cell r="B257">
            <v>13</v>
          </cell>
          <cell r="C257">
            <v>4</v>
          </cell>
          <cell r="D257">
            <v>3</v>
          </cell>
          <cell r="E257">
            <v>3</v>
          </cell>
        </row>
        <row r="258">
          <cell r="A258" t="str">
            <v>B078NPVY5T</v>
          </cell>
          <cell r="B258">
            <v>2</v>
          </cell>
          <cell r="C258">
            <v>5</v>
          </cell>
          <cell r="D258">
            <v>1</v>
          </cell>
          <cell r="E258">
            <v>2</v>
          </cell>
        </row>
        <row r="259">
          <cell r="A259" t="str">
            <v>B078NQ2LH1</v>
          </cell>
          <cell r="B259">
            <v>2</v>
          </cell>
          <cell r="C259">
            <v>0</v>
          </cell>
          <cell r="D259">
            <v>0</v>
          </cell>
          <cell r="E259">
            <v>1</v>
          </cell>
        </row>
        <row r="260">
          <cell r="A260" t="str">
            <v>B078NQ6C6H</v>
          </cell>
          <cell r="B260">
            <v>3</v>
          </cell>
          <cell r="C260">
            <v>2</v>
          </cell>
          <cell r="D260">
            <v>0</v>
          </cell>
          <cell r="E260">
            <v>1</v>
          </cell>
        </row>
        <row r="261">
          <cell r="A261" t="str">
            <v>B078NQ7BCX</v>
          </cell>
          <cell r="B261">
            <v>6</v>
          </cell>
          <cell r="C261">
            <v>10</v>
          </cell>
          <cell r="D261">
            <v>5</v>
          </cell>
          <cell r="E261">
            <v>5</v>
          </cell>
        </row>
        <row r="262">
          <cell r="A262" t="str">
            <v>B078NQ8ZF7</v>
          </cell>
          <cell r="B262">
            <v>16</v>
          </cell>
          <cell r="C262">
            <v>22</v>
          </cell>
          <cell r="D262">
            <v>13</v>
          </cell>
          <cell r="E262">
            <v>16</v>
          </cell>
        </row>
        <row r="263">
          <cell r="A263" t="str">
            <v>B078NQ98JD</v>
          </cell>
          <cell r="B263">
            <v>4</v>
          </cell>
          <cell r="C263">
            <v>5</v>
          </cell>
          <cell r="D263">
            <v>4</v>
          </cell>
          <cell r="E263">
            <v>3</v>
          </cell>
        </row>
        <row r="264">
          <cell r="A264" t="str">
            <v>B078NQ9D6V</v>
          </cell>
          <cell r="B264">
            <v>3</v>
          </cell>
          <cell r="C264">
            <v>5</v>
          </cell>
          <cell r="D264">
            <v>1</v>
          </cell>
          <cell r="E264">
            <v>2</v>
          </cell>
        </row>
        <row r="265">
          <cell r="A265" t="str">
            <v>B078NQW8Y6</v>
          </cell>
          <cell r="B265">
            <v>3</v>
          </cell>
          <cell r="C265">
            <v>6</v>
          </cell>
          <cell r="D265">
            <v>4</v>
          </cell>
          <cell r="E265">
            <v>2</v>
          </cell>
        </row>
        <row r="266">
          <cell r="A266" t="str">
            <v>B078NQWBSV</v>
          </cell>
          <cell r="B266">
            <v>13</v>
          </cell>
          <cell r="C266">
            <v>12</v>
          </cell>
          <cell r="D266">
            <v>12</v>
          </cell>
          <cell r="E266">
            <v>21</v>
          </cell>
        </row>
        <row r="267">
          <cell r="A267" t="str">
            <v>B078NQZYP7</v>
          </cell>
          <cell r="B267">
            <v>5</v>
          </cell>
          <cell r="C267">
            <v>11</v>
          </cell>
          <cell r="D267">
            <v>1</v>
          </cell>
          <cell r="E267">
            <v>2</v>
          </cell>
        </row>
        <row r="268">
          <cell r="A268" t="str">
            <v>B078WPW9YL</v>
          </cell>
          <cell r="B268">
            <v>3</v>
          </cell>
          <cell r="C268">
            <v>3</v>
          </cell>
          <cell r="D268">
            <v>4</v>
          </cell>
          <cell r="E268">
            <v>4</v>
          </cell>
        </row>
        <row r="269">
          <cell r="A269" t="str">
            <v>B078WPYL96</v>
          </cell>
          <cell r="B269">
            <v>7</v>
          </cell>
          <cell r="C269">
            <v>4</v>
          </cell>
          <cell r="D269">
            <v>4</v>
          </cell>
          <cell r="E269">
            <v>8</v>
          </cell>
        </row>
        <row r="270">
          <cell r="A270" t="str">
            <v>B078WQ3MJ9</v>
          </cell>
          <cell r="B270">
            <v>5</v>
          </cell>
          <cell r="C270">
            <v>2</v>
          </cell>
          <cell r="D270">
            <v>0</v>
          </cell>
          <cell r="E270">
            <v>1</v>
          </cell>
        </row>
        <row r="271">
          <cell r="A271" t="str">
            <v>B078WQCTTM</v>
          </cell>
          <cell r="B271">
            <v>2</v>
          </cell>
          <cell r="C271">
            <v>9</v>
          </cell>
          <cell r="D271">
            <v>3</v>
          </cell>
          <cell r="E271">
            <v>2</v>
          </cell>
        </row>
        <row r="272">
          <cell r="A272" t="str">
            <v>B078WQHD98</v>
          </cell>
          <cell r="B272">
            <v>4</v>
          </cell>
          <cell r="C272">
            <v>0</v>
          </cell>
          <cell r="D272">
            <v>0</v>
          </cell>
          <cell r="E272">
            <v>7</v>
          </cell>
        </row>
        <row r="273">
          <cell r="A273" t="str">
            <v>B078WQMW23</v>
          </cell>
          <cell r="B273">
            <v>3</v>
          </cell>
          <cell r="C273">
            <v>1</v>
          </cell>
          <cell r="D273">
            <v>0</v>
          </cell>
          <cell r="E273">
            <v>1</v>
          </cell>
        </row>
        <row r="274">
          <cell r="A274" t="str">
            <v>B078WQVSNV</v>
          </cell>
          <cell r="B274">
            <v>3</v>
          </cell>
          <cell r="C274">
            <v>2</v>
          </cell>
          <cell r="D274">
            <v>4</v>
          </cell>
          <cell r="E274">
            <v>1</v>
          </cell>
        </row>
        <row r="275">
          <cell r="A275" t="str">
            <v>B078WQY3NM</v>
          </cell>
          <cell r="B275">
            <v>2</v>
          </cell>
          <cell r="C275">
            <v>3</v>
          </cell>
          <cell r="D275">
            <v>5</v>
          </cell>
          <cell r="E275">
            <v>5</v>
          </cell>
        </row>
        <row r="276">
          <cell r="A276" t="str">
            <v>B078WR3XZL</v>
          </cell>
          <cell r="B276">
            <v>2</v>
          </cell>
          <cell r="C276">
            <v>3</v>
          </cell>
          <cell r="D276">
            <v>1</v>
          </cell>
          <cell r="E276">
            <v>2</v>
          </cell>
        </row>
        <row r="277">
          <cell r="A277" t="str">
            <v>B078WR4F43</v>
          </cell>
          <cell r="B277">
            <v>3</v>
          </cell>
          <cell r="C277">
            <v>1</v>
          </cell>
          <cell r="D277">
            <v>1</v>
          </cell>
          <cell r="E277">
            <v>1</v>
          </cell>
        </row>
        <row r="278">
          <cell r="A278" t="str">
            <v>B078WR6PY8</v>
          </cell>
          <cell r="B278">
            <v>9</v>
          </cell>
          <cell r="C278">
            <v>2</v>
          </cell>
          <cell r="D278">
            <v>2</v>
          </cell>
          <cell r="E278">
            <v>9</v>
          </cell>
        </row>
        <row r="279">
          <cell r="A279" t="str">
            <v>B078WRDL9P</v>
          </cell>
          <cell r="B279">
            <v>0</v>
          </cell>
          <cell r="C279">
            <v>0</v>
          </cell>
          <cell r="D279">
            <v>0</v>
          </cell>
          <cell r="E279">
            <v>2</v>
          </cell>
        </row>
        <row r="280">
          <cell r="A280" t="str">
            <v>B078WRMSBV</v>
          </cell>
          <cell r="B280">
            <v>1</v>
          </cell>
          <cell r="C280">
            <v>1</v>
          </cell>
          <cell r="D280">
            <v>1</v>
          </cell>
          <cell r="E280">
            <v>1</v>
          </cell>
        </row>
        <row r="281">
          <cell r="A281" t="str">
            <v>B07B3TW6D2</v>
          </cell>
          <cell r="B281">
            <v>2</v>
          </cell>
          <cell r="C281">
            <v>2</v>
          </cell>
          <cell r="D281">
            <v>2</v>
          </cell>
          <cell r="E281">
            <v>2</v>
          </cell>
        </row>
        <row r="282">
          <cell r="A282" t="str">
            <v>B07B3TXJH7</v>
          </cell>
          <cell r="B282">
            <v>13</v>
          </cell>
          <cell r="C282">
            <v>11</v>
          </cell>
          <cell r="D282">
            <v>2</v>
          </cell>
          <cell r="E282">
            <v>2</v>
          </cell>
        </row>
        <row r="283">
          <cell r="A283" t="str">
            <v>B07B3V3BV5</v>
          </cell>
          <cell r="B283">
            <v>4</v>
          </cell>
          <cell r="C283">
            <v>2</v>
          </cell>
          <cell r="D283">
            <v>3</v>
          </cell>
          <cell r="E283">
            <v>1</v>
          </cell>
        </row>
        <row r="284">
          <cell r="A284" t="str">
            <v>B07B3V3G8H</v>
          </cell>
          <cell r="B284">
            <v>3</v>
          </cell>
          <cell r="C284">
            <v>5</v>
          </cell>
          <cell r="D284">
            <v>1</v>
          </cell>
          <cell r="E284">
            <v>1</v>
          </cell>
        </row>
        <row r="285">
          <cell r="A285" t="str">
            <v>B07BKNH45J</v>
          </cell>
          <cell r="B285">
            <v>4</v>
          </cell>
          <cell r="C285">
            <v>4</v>
          </cell>
          <cell r="D285">
            <v>3</v>
          </cell>
          <cell r="E285">
            <v>9</v>
          </cell>
        </row>
        <row r="286">
          <cell r="A286" t="str">
            <v>B07BKNWPWQ</v>
          </cell>
          <cell r="B286">
            <v>8</v>
          </cell>
          <cell r="C286">
            <v>9</v>
          </cell>
          <cell r="D286">
            <v>3</v>
          </cell>
          <cell r="E286">
            <v>1</v>
          </cell>
        </row>
        <row r="287">
          <cell r="A287" t="str">
            <v>B07BKQDRB2</v>
          </cell>
          <cell r="B287">
            <v>2</v>
          </cell>
          <cell r="C287">
            <v>1</v>
          </cell>
          <cell r="D287">
            <v>4</v>
          </cell>
          <cell r="E287">
            <v>4</v>
          </cell>
        </row>
        <row r="288">
          <cell r="A288" t="str">
            <v>B07BKQLKBG</v>
          </cell>
          <cell r="B288">
            <v>3</v>
          </cell>
          <cell r="C288">
            <v>2</v>
          </cell>
          <cell r="D288">
            <v>2</v>
          </cell>
          <cell r="E288">
            <v>3</v>
          </cell>
        </row>
        <row r="289">
          <cell r="A289" t="str">
            <v>B07BKQTYFV</v>
          </cell>
          <cell r="B289">
            <v>1</v>
          </cell>
          <cell r="C289">
            <v>0</v>
          </cell>
          <cell r="D289">
            <v>1</v>
          </cell>
          <cell r="E289">
            <v>2</v>
          </cell>
        </row>
        <row r="290">
          <cell r="A290" t="str">
            <v>B07BKR7DCF</v>
          </cell>
          <cell r="B290">
            <v>6</v>
          </cell>
          <cell r="C290">
            <v>7</v>
          </cell>
          <cell r="D290">
            <v>6</v>
          </cell>
          <cell r="E290">
            <v>14</v>
          </cell>
        </row>
        <row r="291">
          <cell r="A291" t="str">
            <v>B07BKR7DCG</v>
          </cell>
          <cell r="B291">
            <v>15</v>
          </cell>
          <cell r="C291">
            <v>20</v>
          </cell>
          <cell r="D291">
            <v>21</v>
          </cell>
          <cell r="E291">
            <v>20</v>
          </cell>
        </row>
        <row r="292">
          <cell r="A292" t="str">
            <v>B07BKR8D8Z</v>
          </cell>
          <cell r="B292">
            <v>20</v>
          </cell>
          <cell r="C292">
            <v>3</v>
          </cell>
          <cell r="D292">
            <v>2</v>
          </cell>
          <cell r="E292">
            <v>3</v>
          </cell>
        </row>
        <row r="293">
          <cell r="A293" t="str">
            <v>B07BKR9KYR</v>
          </cell>
          <cell r="B293">
            <v>20</v>
          </cell>
          <cell r="C293">
            <v>14</v>
          </cell>
          <cell r="D293">
            <v>17</v>
          </cell>
          <cell r="E293">
            <v>31</v>
          </cell>
        </row>
        <row r="294">
          <cell r="A294" t="str">
            <v>B07BKRLXJK</v>
          </cell>
          <cell r="B294">
            <v>3</v>
          </cell>
          <cell r="C294">
            <v>0</v>
          </cell>
          <cell r="D294">
            <v>1</v>
          </cell>
          <cell r="E294">
            <v>3</v>
          </cell>
        </row>
        <row r="295">
          <cell r="A295" t="str">
            <v>B07BKRPH4T</v>
          </cell>
          <cell r="B295">
            <v>4</v>
          </cell>
          <cell r="C295">
            <v>1</v>
          </cell>
          <cell r="D295">
            <v>0</v>
          </cell>
          <cell r="E295">
            <v>4</v>
          </cell>
        </row>
        <row r="296">
          <cell r="A296" t="str">
            <v>B07BKS4NK1</v>
          </cell>
          <cell r="B296">
            <v>5</v>
          </cell>
          <cell r="C296">
            <v>1</v>
          </cell>
          <cell r="D296">
            <v>0</v>
          </cell>
          <cell r="E296">
            <v>3</v>
          </cell>
        </row>
        <row r="297">
          <cell r="A297" t="str">
            <v>B07BKS8YTN</v>
          </cell>
          <cell r="B297">
            <v>0</v>
          </cell>
          <cell r="C297">
            <v>0</v>
          </cell>
          <cell r="D297">
            <v>0</v>
          </cell>
          <cell r="E297">
            <v>9</v>
          </cell>
        </row>
        <row r="298">
          <cell r="A298" t="str">
            <v>B07BKSWCR3</v>
          </cell>
          <cell r="B298">
            <v>8</v>
          </cell>
          <cell r="C298">
            <v>1</v>
          </cell>
          <cell r="D298">
            <v>2</v>
          </cell>
          <cell r="E298">
            <v>3</v>
          </cell>
        </row>
        <row r="299">
          <cell r="A299" t="str">
            <v>B07BKSX1D6</v>
          </cell>
          <cell r="B299">
            <v>3</v>
          </cell>
          <cell r="C299">
            <v>0</v>
          </cell>
          <cell r="D299">
            <v>2</v>
          </cell>
          <cell r="E299">
            <v>1</v>
          </cell>
        </row>
        <row r="300">
          <cell r="A300" t="str">
            <v>B07BKT1Y4D</v>
          </cell>
          <cell r="B300">
            <v>5</v>
          </cell>
          <cell r="C300">
            <v>1</v>
          </cell>
          <cell r="D300">
            <v>4</v>
          </cell>
          <cell r="E300">
            <v>5</v>
          </cell>
        </row>
        <row r="301">
          <cell r="A301" t="str">
            <v>B07BKTCPPS</v>
          </cell>
          <cell r="B301">
            <v>1</v>
          </cell>
          <cell r="C301">
            <v>1</v>
          </cell>
          <cell r="D301">
            <v>2</v>
          </cell>
          <cell r="E301">
            <v>4</v>
          </cell>
        </row>
        <row r="302">
          <cell r="A302" t="str">
            <v>B07BKTLC85</v>
          </cell>
          <cell r="B302">
            <v>6</v>
          </cell>
          <cell r="C302">
            <v>6</v>
          </cell>
          <cell r="D302">
            <v>0</v>
          </cell>
          <cell r="E302">
            <v>2</v>
          </cell>
        </row>
        <row r="303">
          <cell r="A303" t="str">
            <v>B07BKTSQ1R</v>
          </cell>
          <cell r="B303">
            <v>5</v>
          </cell>
          <cell r="C303">
            <v>2</v>
          </cell>
          <cell r="D303">
            <v>5</v>
          </cell>
          <cell r="E303">
            <v>3</v>
          </cell>
        </row>
        <row r="304">
          <cell r="A304" t="str">
            <v>B07BKWBM9B</v>
          </cell>
          <cell r="B304">
            <v>3</v>
          </cell>
          <cell r="C304">
            <v>0</v>
          </cell>
          <cell r="D304">
            <v>2</v>
          </cell>
          <cell r="E304">
            <v>3</v>
          </cell>
        </row>
        <row r="305">
          <cell r="A305" t="str">
            <v>B07BKWNVLL</v>
          </cell>
          <cell r="B305">
            <v>3</v>
          </cell>
          <cell r="C305">
            <v>3</v>
          </cell>
          <cell r="D305">
            <v>4</v>
          </cell>
          <cell r="E305">
            <v>16</v>
          </cell>
        </row>
        <row r="306">
          <cell r="A306" t="str">
            <v>B07DC3CQDX</v>
          </cell>
          <cell r="B306">
            <v>6</v>
          </cell>
          <cell r="C306">
            <v>10</v>
          </cell>
          <cell r="D306">
            <v>20</v>
          </cell>
          <cell r="E306">
            <v>34</v>
          </cell>
        </row>
        <row r="307">
          <cell r="A307" t="str">
            <v>B07DG2NGBY</v>
          </cell>
          <cell r="B307">
            <v>258</v>
          </cell>
          <cell r="C307">
            <v>220</v>
          </cell>
          <cell r="D307">
            <v>155</v>
          </cell>
          <cell r="E307">
            <v>91</v>
          </cell>
        </row>
        <row r="308">
          <cell r="A308" t="str">
            <v>B073WB3TLC</v>
          </cell>
          <cell r="B308">
            <v>2</v>
          </cell>
          <cell r="C308">
            <v>2</v>
          </cell>
          <cell r="D308">
            <v>1</v>
          </cell>
          <cell r="E308">
            <v>0</v>
          </cell>
        </row>
        <row r="309">
          <cell r="A309" t="str">
            <v>B073WBR2D4</v>
          </cell>
          <cell r="B309">
            <v>4</v>
          </cell>
          <cell r="C309">
            <v>2</v>
          </cell>
          <cell r="D309">
            <v>1</v>
          </cell>
          <cell r="E309">
            <v>0</v>
          </cell>
        </row>
        <row r="310">
          <cell r="A310" t="str">
            <v>B073WTPJLR</v>
          </cell>
          <cell r="B310">
            <v>2</v>
          </cell>
          <cell r="C310">
            <v>2</v>
          </cell>
          <cell r="D310">
            <v>2</v>
          </cell>
          <cell r="E310">
            <v>0</v>
          </cell>
        </row>
        <row r="311">
          <cell r="A311" t="str">
            <v>B073WTW1SS</v>
          </cell>
          <cell r="B311">
            <v>1</v>
          </cell>
          <cell r="C311">
            <v>2</v>
          </cell>
          <cell r="D311">
            <v>1</v>
          </cell>
          <cell r="E311">
            <v>0</v>
          </cell>
        </row>
        <row r="312">
          <cell r="A312" t="str">
            <v>B073WV5CCK</v>
          </cell>
          <cell r="B312">
            <v>0</v>
          </cell>
          <cell r="C312">
            <v>1</v>
          </cell>
          <cell r="D312">
            <v>1</v>
          </cell>
          <cell r="E312">
            <v>0</v>
          </cell>
        </row>
        <row r="313">
          <cell r="A313" t="str">
            <v>B074CS5P3X</v>
          </cell>
          <cell r="B313">
            <v>1</v>
          </cell>
          <cell r="C313">
            <v>0</v>
          </cell>
          <cell r="D313">
            <v>1</v>
          </cell>
          <cell r="E313">
            <v>0</v>
          </cell>
        </row>
        <row r="314">
          <cell r="A314" t="str">
            <v>B074CSF1MY</v>
          </cell>
          <cell r="B314">
            <v>3</v>
          </cell>
          <cell r="C314">
            <v>2</v>
          </cell>
          <cell r="D314">
            <v>2</v>
          </cell>
          <cell r="E314">
            <v>0</v>
          </cell>
        </row>
        <row r="315">
          <cell r="A315" t="str">
            <v>B074CSG4ZS</v>
          </cell>
          <cell r="B315">
            <v>2</v>
          </cell>
          <cell r="C315">
            <v>2</v>
          </cell>
          <cell r="D315">
            <v>2</v>
          </cell>
          <cell r="E315">
            <v>0</v>
          </cell>
        </row>
        <row r="316">
          <cell r="A316" t="str">
            <v>B074CV3L2T</v>
          </cell>
          <cell r="B316">
            <v>5</v>
          </cell>
          <cell r="C316">
            <v>3</v>
          </cell>
          <cell r="D316">
            <v>3</v>
          </cell>
          <cell r="E316">
            <v>0</v>
          </cell>
        </row>
        <row r="317">
          <cell r="A317" t="str">
            <v>B074CW3JWV</v>
          </cell>
          <cell r="B317">
            <v>5</v>
          </cell>
          <cell r="C317">
            <v>3</v>
          </cell>
          <cell r="D317">
            <v>4</v>
          </cell>
          <cell r="E317">
            <v>0</v>
          </cell>
        </row>
        <row r="318">
          <cell r="A318" t="str">
            <v>B074CWBNL1</v>
          </cell>
          <cell r="B318">
            <v>4</v>
          </cell>
          <cell r="C318">
            <v>0</v>
          </cell>
          <cell r="D318">
            <v>1</v>
          </cell>
          <cell r="E318">
            <v>0</v>
          </cell>
        </row>
        <row r="319">
          <cell r="A319" t="str">
            <v>B074CWG2B2</v>
          </cell>
          <cell r="B319">
            <v>3</v>
          </cell>
          <cell r="C319">
            <v>4</v>
          </cell>
          <cell r="D319">
            <v>1</v>
          </cell>
          <cell r="E319">
            <v>0</v>
          </cell>
        </row>
        <row r="320">
          <cell r="A320" t="str">
            <v>B074CWG8L2</v>
          </cell>
          <cell r="B320">
            <v>4</v>
          </cell>
          <cell r="C320">
            <v>3</v>
          </cell>
          <cell r="D320">
            <v>1</v>
          </cell>
          <cell r="E320">
            <v>0</v>
          </cell>
        </row>
        <row r="321">
          <cell r="A321" t="str">
            <v>B074CWJNRX</v>
          </cell>
          <cell r="B321">
            <v>4</v>
          </cell>
          <cell r="C321">
            <v>1</v>
          </cell>
          <cell r="D321">
            <v>1</v>
          </cell>
          <cell r="E321">
            <v>0</v>
          </cell>
        </row>
        <row r="322">
          <cell r="A322" t="str">
            <v>B074CWR4ZR</v>
          </cell>
          <cell r="B322">
            <v>4</v>
          </cell>
          <cell r="C322">
            <v>0</v>
          </cell>
          <cell r="D322">
            <v>1</v>
          </cell>
          <cell r="E322">
            <v>0</v>
          </cell>
        </row>
        <row r="323">
          <cell r="A323" t="str">
            <v>B074CWSDCG</v>
          </cell>
          <cell r="B323">
            <v>2</v>
          </cell>
          <cell r="C323">
            <v>5</v>
          </cell>
          <cell r="D323">
            <v>3</v>
          </cell>
          <cell r="E323">
            <v>0</v>
          </cell>
        </row>
        <row r="324">
          <cell r="A324" t="str">
            <v>B074CWZSVH</v>
          </cell>
          <cell r="B324">
            <v>1</v>
          </cell>
          <cell r="C324">
            <v>3</v>
          </cell>
          <cell r="D324">
            <v>1</v>
          </cell>
          <cell r="E324">
            <v>0</v>
          </cell>
        </row>
        <row r="325">
          <cell r="A325" t="str">
            <v>B074CX2BPL</v>
          </cell>
          <cell r="B325">
            <v>3</v>
          </cell>
          <cell r="C325">
            <v>2</v>
          </cell>
          <cell r="D325">
            <v>1</v>
          </cell>
          <cell r="E325">
            <v>0</v>
          </cell>
        </row>
        <row r="326">
          <cell r="A326" t="str">
            <v>B074CXNWMZ</v>
          </cell>
          <cell r="B326">
            <v>3</v>
          </cell>
          <cell r="C326">
            <v>1</v>
          </cell>
          <cell r="D326">
            <v>6</v>
          </cell>
          <cell r="E326">
            <v>0</v>
          </cell>
        </row>
        <row r="327">
          <cell r="A327" t="str">
            <v>B074DV7WDZ</v>
          </cell>
          <cell r="B327">
            <v>0</v>
          </cell>
          <cell r="C327">
            <v>2</v>
          </cell>
          <cell r="D327">
            <v>1</v>
          </cell>
          <cell r="E327">
            <v>0</v>
          </cell>
        </row>
        <row r="328">
          <cell r="A328" t="str">
            <v>B074DVCJDR</v>
          </cell>
          <cell r="B328">
            <v>3</v>
          </cell>
          <cell r="C328">
            <v>1</v>
          </cell>
          <cell r="D328">
            <v>2</v>
          </cell>
          <cell r="E328">
            <v>0</v>
          </cell>
        </row>
        <row r="329">
          <cell r="A329" t="str">
            <v>B074DVQP6Q</v>
          </cell>
          <cell r="B329">
            <v>1</v>
          </cell>
          <cell r="C329">
            <v>3</v>
          </cell>
          <cell r="D329">
            <v>1</v>
          </cell>
          <cell r="E329">
            <v>0</v>
          </cell>
        </row>
        <row r="330">
          <cell r="A330" t="str">
            <v>B074DVVVVP</v>
          </cell>
          <cell r="B330">
            <v>0</v>
          </cell>
          <cell r="C330">
            <v>0</v>
          </cell>
          <cell r="D330">
            <v>2</v>
          </cell>
          <cell r="E330">
            <v>0</v>
          </cell>
        </row>
        <row r="331">
          <cell r="A331" t="str">
            <v>B074DW5ZSD</v>
          </cell>
          <cell r="B331">
            <v>3</v>
          </cell>
          <cell r="C331">
            <v>0</v>
          </cell>
          <cell r="D331">
            <v>1</v>
          </cell>
          <cell r="E331">
            <v>0</v>
          </cell>
        </row>
        <row r="332">
          <cell r="A332" t="str">
            <v>B074DW6NQD</v>
          </cell>
          <cell r="B332">
            <v>2</v>
          </cell>
          <cell r="C332">
            <v>1</v>
          </cell>
          <cell r="D332">
            <v>1</v>
          </cell>
          <cell r="E332">
            <v>0</v>
          </cell>
        </row>
        <row r="333">
          <cell r="A333" t="str">
            <v>B074DWGDMH</v>
          </cell>
          <cell r="B333">
            <v>0</v>
          </cell>
          <cell r="C333">
            <v>0</v>
          </cell>
          <cell r="D333">
            <v>1</v>
          </cell>
          <cell r="E333">
            <v>0</v>
          </cell>
        </row>
        <row r="334">
          <cell r="A334" t="str">
            <v>B074FQWCTK</v>
          </cell>
          <cell r="B334">
            <v>1</v>
          </cell>
          <cell r="C334">
            <v>2</v>
          </cell>
          <cell r="D334">
            <v>2</v>
          </cell>
          <cell r="E334">
            <v>0</v>
          </cell>
        </row>
        <row r="335">
          <cell r="A335" t="str">
            <v>B074FRWKSK</v>
          </cell>
          <cell r="B335">
            <v>2</v>
          </cell>
          <cell r="C335">
            <v>0</v>
          </cell>
          <cell r="D335">
            <v>2</v>
          </cell>
          <cell r="E335">
            <v>0</v>
          </cell>
        </row>
        <row r="336">
          <cell r="A336" t="str">
            <v>B074FRX8XF</v>
          </cell>
          <cell r="B336">
            <v>0</v>
          </cell>
          <cell r="C336">
            <v>0</v>
          </cell>
          <cell r="D336">
            <v>2</v>
          </cell>
          <cell r="E336">
            <v>0</v>
          </cell>
        </row>
        <row r="337">
          <cell r="A337" t="str">
            <v>B074FS9DHG</v>
          </cell>
          <cell r="B337">
            <v>1</v>
          </cell>
          <cell r="C337">
            <v>0</v>
          </cell>
          <cell r="D337">
            <v>1</v>
          </cell>
          <cell r="E337">
            <v>0</v>
          </cell>
        </row>
        <row r="338">
          <cell r="A338" t="str">
            <v>B074FSW752</v>
          </cell>
          <cell r="B338">
            <v>1</v>
          </cell>
          <cell r="C338">
            <v>1</v>
          </cell>
          <cell r="D338">
            <v>1</v>
          </cell>
          <cell r="E338">
            <v>0</v>
          </cell>
        </row>
        <row r="339">
          <cell r="A339" t="str">
            <v>B074FTB99W</v>
          </cell>
          <cell r="B339">
            <v>1</v>
          </cell>
          <cell r="C339">
            <v>1</v>
          </cell>
          <cell r="D339">
            <v>1</v>
          </cell>
          <cell r="E339">
            <v>0</v>
          </cell>
        </row>
        <row r="340">
          <cell r="A340" t="str">
            <v>B074FTCGDW</v>
          </cell>
          <cell r="B340">
            <v>1</v>
          </cell>
          <cell r="C340">
            <v>0</v>
          </cell>
          <cell r="D340">
            <v>2</v>
          </cell>
          <cell r="E340">
            <v>0</v>
          </cell>
        </row>
        <row r="341">
          <cell r="A341" t="str">
            <v>B074FVCMHJ</v>
          </cell>
          <cell r="B341">
            <v>2</v>
          </cell>
          <cell r="C341">
            <v>1</v>
          </cell>
          <cell r="D341">
            <v>2</v>
          </cell>
          <cell r="E341">
            <v>0</v>
          </cell>
        </row>
        <row r="342">
          <cell r="A342" t="str">
            <v>B074FVGPRW</v>
          </cell>
          <cell r="B342">
            <v>2</v>
          </cell>
          <cell r="C342">
            <v>0</v>
          </cell>
          <cell r="D342">
            <v>2</v>
          </cell>
          <cell r="E342">
            <v>0</v>
          </cell>
        </row>
        <row r="343">
          <cell r="A343" t="str">
            <v>B074FVKNXW</v>
          </cell>
          <cell r="B343">
            <v>2</v>
          </cell>
          <cell r="C343">
            <v>0</v>
          </cell>
          <cell r="D343">
            <v>2</v>
          </cell>
          <cell r="E343">
            <v>0</v>
          </cell>
        </row>
        <row r="344">
          <cell r="A344" t="str">
            <v>B074FVVHPR</v>
          </cell>
          <cell r="B344">
            <v>2</v>
          </cell>
          <cell r="C344">
            <v>1</v>
          </cell>
          <cell r="D344">
            <v>1</v>
          </cell>
          <cell r="E344">
            <v>0</v>
          </cell>
        </row>
        <row r="345">
          <cell r="A345" t="str">
            <v>B074FW1DYK</v>
          </cell>
          <cell r="B345">
            <v>2</v>
          </cell>
          <cell r="C345">
            <v>1</v>
          </cell>
          <cell r="D345">
            <v>1</v>
          </cell>
          <cell r="E345">
            <v>0</v>
          </cell>
        </row>
        <row r="346">
          <cell r="A346" t="str">
            <v>B074FW2887</v>
          </cell>
          <cell r="B346">
            <v>0</v>
          </cell>
          <cell r="C346">
            <v>0</v>
          </cell>
          <cell r="D346">
            <v>2</v>
          </cell>
          <cell r="E346">
            <v>0</v>
          </cell>
        </row>
        <row r="347">
          <cell r="A347" t="str">
            <v>B074FW571Z</v>
          </cell>
          <cell r="B347">
            <v>1</v>
          </cell>
          <cell r="C347">
            <v>0</v>
          </cell>
          <cell r="D347">
            <v>2</v>
          </cell>
          <cell r="E347">
            <v>0</v>
          </cell>
        </row>
        <row r="348">
          <cell r="A348" t="str">
            <v>B074FX1CXN</v>
          </cell>
          <cell r="B348">
            <v>5</v>
          </cell>
          <cell r="C348">
            <v>0</v>
          </cell>
          <cell r="D348">
            <v>2</v>
          </cell>
          <cell r="E348">
            <v>0</v>
          </cell>
        </row>
        <row r="349">
          <cell r="A349" t="str">
            <v>B074FYG9SM</v>
          </cell>
          <cell r="B349">
            <v>0</v>
          </cell>
          <cell r="C349">
            <v>0</v>
          </cell>
          <cell r="D349">
            <v>1</v>
          </cell>
          <cell r="E349">
            <v>0</v>
          </cell>
        </row>
        <row r="350">
          <cell r="A350" t="str">
            <v>B074K3MSFD</v>
          </cell>
          <cell r="B350">
            <v>3</v>
          </cell>
          <cell r="C350">
            <v>1</v>
          </cell>
          <cell r="D350">
            <v>2</v>
          </cell>
          <cell r="E350">
            <v>0</v>
          </cell>
        </row>
        <row r="351">
          <cell r="A351" t="str">
            <v>B074K4K838</v>
          </cell>
          <cell r="B351">
            <v>4</v>
          </cell>
          <cell r="C351">
            <v>4</v>
          </cell>
          <cell r="D351">
            <v>5</v>
          </cell>
          <cell r="E351">
            <v>0</v>
          </cell>
        </row>
        <row r="352">
          <cell r="A352" t="str">
            <v>B074K53FDK</v>
          </cell>
          <cell r="B352">
            <v>3</v>
          </cell>
          <cell r="C352">
            <v>1</v>
          </cell>
          <cell r="D352">
            <v>1</v>
          </cell>
          <cell r="E352">
            <v>0</v>
          </cell>
        </row>
        <row r="353">
          <cell r="A353" t="str">
            <v>B074NNZXDV</v>
          </cell>
          <cell r="B353">
            <v>1</v>
          </cell>
          <cell r="C353">
            <v>2</v>
          </cell>
          <cell r="D353">
            <v>3</v>
          </cell>
          <cell r="E353">
            <v>0</v>
          </cell>
        </row>
        <row r="354">
          <cell r="A354" t="str">
            <v>B078WQN4YQ</v>
          </cell>
          <cell r="B354">
            <v>2</v>
          </cell>
          <cell r="C354">
            <v>1</v>
          </cell>
          <cell r="D354">
            <v>1</v>
          </cell>
          <cell r="E354">
            <v>0</v>
          </cell>
        </row>
        <row r="355">
          <cell r="A355" t="str">
            <v>B078WQV8SF</v>
          </cell>
          <cell r="B355">
            <v>3</v>
          </cell>
          <cell r="C355">
            <v>0</v>
          </cell>
          <cell r="D355">
            <v>2</v>
          </cell>
          <cell r="E355">
            <v>0</v>
          </cell>
        </row>
        <row r="356">
          <cell r="A356" t="str">
            <v>B078WRLGFX</v>
          </cell>
          <cell r="B356">
            <v>2</v>
          </cell>
          <cell r="C356">
            <v>0</v>
          </cell>
          <cell r="D356">
            <v>2</v>
          </cell>
          <cell r="E356">
            <v>0</v>
          </cell>
        </row>
        <row r="357">
          <cell r="A357" t="str">
            <v>B07BKPX8X2</v>
          </cell>
          <cell r="B357">
            <v>3</v>
          </cell>
          <cell r="C357">
            <v>2</v>
          </cell>
          <cell r="D357">
            <v>3</v>
          </cell>
          <cell r="E357">
            <v>0</v>
          </cell>
        </row>
        <row r="358">
          <cell r="A358" t="str">
            <v>B07BKTFWMH</v>
          </cell>
          <cell r="B358">
            <v>2</v>
          </cell>
          <cell r="C358">
            <v>1</v>
          </cell>
          <cell r="D358">
            <v>2</v>
          </cell>
          <cell r="E358">
            <v>0</v>
          </cell>
        </row>
        <row r="359">
          <cell r="A359" t="str">
            <v>B07BKTKK7K</v>
          </cell>
          <cell r="B359">
            <v>5</v>
          </cell>
          <cell r="C359">
            <v>2</v>
          </cell>
          <cell r="D359">
            <v>4</v>
          </cell>
          <cell r="E359">
            <v>0</v>
          </cell>
        </row>
        <row r="360">
          <cell r="A360" t="str">
            <v>B071JYNS5V</v>
          </cell>
          <cell r="B360">
            <v>3</v>
          </cell>
          <cell r="C360">
            <v>1</v>
          </cell>
          <cell r="D360">
            <v>0</v>
          </cell>
          <cell r="E360">
            <v>0</v>
          </cell>
        </row>
        <row r="361">
          <cell r="A361" t="str">
            <v>B072KH5Y75</v>
          </cell>
          <cell r="B361">
            <v>0</v>
          </cell>
          <cell r="C361">
            <v>2</v>
          </cell>
          <cell r="D361">
            <v>0</v>
          </cell>
          <cell r="E361">
            <v>0</v>
          </cell>
        </row>
        <row r="362">
          <cell r="A362" t="str">
            <v>B073W5J3FN</v>
          </cell>
          <cell r="B362">
            <v>1</v>
          </cell>
          <cell r="C362">
            <v>1</v>
          </cell>
          <cell r="D362">
            <v>0</v>
          </cell>
          <cell r="E362">
            <v>0</v>
          </cell>
        </row>
        <row r="363">
          <cell r="A363" t="str">
            <v>B074CS535P</v>
          </cell>
          <cell r="B363">
            <v>1</v>
          </cell>
          <cell r="C363">
            <v>3</v>
          </cell>
          <cell r="D363">
            <v>0</v>
          </cell>
          <cell r="E363">
            <v>0</v>
          </cell>
        </row>
        <row r="364">
          <cell r="A364" t="str">
            <v>B074CSPJVW</v>
          </cell>
          <cell r="B364">
            <v>3</v>
          </cell>
          <cell r="C364">
            <v>3</v>
          </cell>
          <cell r="D364">
            <v>0</v>
          </cell>
          <cell r="E364">
            <v>0</v>
          </cell>
        </row>
        <row r="365">
          <cell r="A365" t="str">
            <v>B074CWLZDG</v>
          </cell>
          <cell r="B365">
            <v>1</v>
          </cell>
          <cell r="C365">
            <v>1</v>
          </cell>
          <cell r="D365">
            <v>0</v>
          </cell>
          <cell r="E365">
            <v>0</v>
          </cell>
        </row>
        <row r="366">
          <cell r="A366" t="str">
            <v>B074CWMB62</v>
          </cell>
          <cell r="B366">
            <v>1</v>
          </cell>
          <cell r="C366">
            <v>1</v>
          </cell>
          <cell r="D366">
            <v>0</v>
          </cell>
          <cell r="E366">
            <v>0</v>
          </cell>
        </row>
        <row r="367">
          <cell r="A367" t="str">
            <v>B074CWZG9L</v>
          </cell>
          <cell r="B367">
            <v>1</v>
          </cell>
          <cell r="C367">
            <v>3</v>
          </cell>
          <cell r="D367">
            <v>0</v>
          </cell>
          <cell r="E367">
            <v>0</v>
          </cell>
        </row>
        <row r="368">
          <cell r="A368" t="str">
            <v>B074CZ4S1V</v>
          </cell>
          <cell r="B368">
            <v>2</v>
          </cell>
          <cell r="C368">
            <v>2</v>
          </cell>
          <cell r="D368">
            <v>0</v>
          </cell>
          <cell r="E368">
            <v>0</v>
          </cell>
        </row>
        <row r="369">
          <cell r="A369" t="str">
            <v>B074DVZPS8</v>
          </cell>
          <cell r="B369">
            <v>1</v>
          </cell>
          <cell r="C369">
            <v>1</v>
          </cell>
          <cell r="D369">
            <v>0</v>
          </cell>
          <cell r="E369">
            <v>0</v>
          </cell>
        </row>
        <row r="370">
          <cell r="A370" t="str">
            <v>B074DW1685</v>
          </cell>
          <cell r="B370">
            <v>1</v>
          </cell>
          <cell r="C370">
            <v>1</v>
          </cell>
          <cell r="D370">
            <v>0</v>
          </cell>
          <cell r="E370">
            <v>0</v>
          </cell>
        </row>
        <row r="371">
          <cell r="A371" t="str">
            <v>B074DWD9YY</v>
          </cell>
          <cell r="B371">
            <v>2</v>
          </cell>
          <cell r="C371">
            <v>2</v>
          </cell>
          <cell r="D371">
            <v>0</v>
          </cell>
          <cell r="E371">
            <v>0</v>
          </cell>
        </row>
        <row r="372">
          <cell r="A372" t="str">
            <v>B074DWLT99</v>
          </cell>
          <cell r="B372">
            <v>1</v>
          </cell>
          <cell r="C372">
            <v>2</v>
          </cell>
          <cell r="D372">
            <v>0</v>
          </cell>
          <cell r="E372">
            <v>0</v>
          </cell>
        </row>
        <row r="373">
          <cell r="A373" t="str">
            <v>B074FRC3TW</v>
          </cell>
          <cell r="B373">
            <v>2</v>
          </cell>
          <cell r="C373">
            <v>1</v>
          </cell>
          <cell r="D373">
            <v>0</v>
          </cell>
          <cell r="E373">
            <v>0</v>
          </cell>
        </row>
        <row r="374">
          <cell r="A374" t="str">
            <v>B074FVYSML</v>
          </cell>
          <cell r="B374">
            <v>1</v>
          </cell>
          <cell r="C374">
            <v>1</v>
          </cell>
          <cell r="D374">
            <v>0</v>
          </cell>
          <cell r="E374">
            <v>0</v>
          </cell>
        </row>
        <row r="375">
          <cell r="A375" t="str">
            <v>B074FXVQD5</v>
          </cell>
          <cell r="B375">
            <v>1</v>
          </cell>
          <cell r="C375">
            <v>1</v>
          </cell>
          <cell r="D375">
            <v>0</v>
          </cell>
          <cell r="E375">
            <v>0</v>
          </cell>
        </row>
        <row r="376">
          <cell r="A376" t="str">
            <v>B074FYL2WF</v>
          </cell>
          <cell r="B376">
            <v>3</v>
          </cell>
          <cell r="C376">
            <v>1</v>
          </cell>
          <cell r="D376">
            <v>0</v>
          </cell>
          <cell r="E376">
            <v>0</v>
          </cell>
        </row>
        <row r="377">
          <cell r="A377" t="str">
            <v>B074FYMTFF</v>
          </cell>
          <cell r="B377">
            <v>2</v>
          </cell>
          <cell r="C377">
            <v>1</v>
          </cell>
          <cell r="D377">
            <v>0</v>
          </cell>
          <cell r="E377">
            <v>0</v>
          </cell>
        </row>
        <row r="378">
          <cell r="A378" t="str">
            <v>B074FZHXMJ</v>
          </cell>
          <cell r="B378">
            <v>2</v>
          </cell>
          <cell r="C378">
            <v>1</v>
          </cell>
          <cell r="D378">
            <v>0</v>
          </cell>
          <cell r="E378">
            <v>0</v>
          </cell>
        </row>
        <row r="379">
          <cell r="A379" t="str">
            <v>B074JXZSJM</v>
          </cell>
          <cell r="B379">
            <v>3</v>
          </cell>
          <cell r="C379">
            <v>2</v>
          </cell>
          <cell r="D379">
            <v>0</v>
          </cell>
          <cell r="E379">
            <v>0</v>
          </cell>
        </row>
        <row r="380">
          <cell r="A380" t="str">
            <v>B074JY1RXB</v>
          </cell>
          <cell r="B380">
            <v>3</v>
          </cell>
          <cell r="C380">
            <v>1</v>
          </cell>
          <cell r="D380">
            <v>0</v>
          </cell>
          <cell r="E380">
            <v>0</v>
          </cell>
        </row>
        <row r="381">
          <cell r="A381" t="str">
            <v>B074NXZPYK</v>
          </cell>
          <cell r="B381">
            <v>2</v>
          </cell>
          <cell r="C381">
            <v>2</v>
          </cell>
          <cell r="D381">
            <v>0</v>
          </cell>
          <cell r="E381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64</v>
          </cell>
          <cell r="D2">
            <v>33</v>
          </cell>
          <cell r="E2">
            <v>32</v>
          </cell>
          <cell r="F2">
            <v>39</v>
          </cell>
        </row>
        <row r="3">
          <cell r="A3" t="str">
            <v>N531YR038</v>
          </cell>
          <cell r="B3" t="str">
            <v>N531Y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  <cell r="G3">
            <v>12.99</v>
          </cell>
        </row>
        <row r="4">
          <cell r="A4" t="str">
            <v>N31459YMH48</v>
          </cell>
          <cell r="B4" t="str">
            <v>N31459Y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  <cell r="G4">
            <v>13.9</v>
          </cell>
        </row>
        <row r="5">
          <cell r="A5" t="str">
            <v>N039YG036</v>
          </cell>
          <cell r="B5" t="str">
            <v>N039Y</v>
          </cell>
          <cell r="C5">
            <v>0</v>
          </cell>
          <cell r="D5">
            <v>0</v>
          </cell>
          <cell r="E5">
            <v>0</v>
          </cell>
          <cell r="F5">
            <v>1</v>
          </cell>
          <cell r="G5">
            <v>9.99</v>
          </cell>
        </row>
        <row r="6">
          <cell r="A6" t="str">
            <v>N039YTHS36</v>
          </cell>
          <cell r="B6" t="str">
            <v>N039Y</v>
          </cell>
          <cell r="C6">
            <v>1</v>
          </cell>
          <cell r="D6">
            <v>0</v>
          </cell>
          <cell r="E6">
            <v>1</v>
          </cell>
          <cell r="F6">
            <v>1</v>
          </cell>
          <cell r="G6">
            <v>7.8</v>
          </cell>
        </row>
        <row r="7">
          <cell r="A7" t="str">
            <v>N039YR040</v>
          </cell>
          <cell r="B7" t="str">
            <v>N039Y</v>
          </cell>
          <cell r="C7">
            <v>1</v>
          </cell>
          <cell r="D7">
            <v>0</v>
          </cell>
          <cell r="E7">
            <v>1</v>
          </cell>
          <cell r="F7">
            <v>1</v>
          </cell>
          <cell r="G7">
            <v>9.99</v>
          </cell>
        </row>
        <row r="8">
          <cell r="A8" t="str">
            <v>KTKXKG0</v>
          </cell>
          <cell r="B8" t="str">
            <v>KTKXJFK</v>
          </cell>
          <cell r="C8">
            <v>0</v>
          </cell>
          <cell r="D8">
            <v>0</v>
          </cell>
          <cell r="E8">
            <v>1</v>
          </cell>
          <cell r="F8">
            <v>1</v>
          </cell>
          <cell r="G8">
            <v>14.95</v>
          </cell>
        </row>
        <row r="9">
          <cell r="A9" t="str">
            <v>KTKXKB0</v>
          </cell>
          <cell r="B9" t="str">
            <v>KTKXJFK</v>
          </cell>
          <cell r="C9">
            <v>0</v>
          </cell>
          <cell r="D9">
            <v>0</v>
          </cell>
          <cell r="E9">
            <v>0</v>
          </cell>
          <cell r="F9">
            <v>1</v>
          </cell>
          <cell r="G9">
            <v>29.9</v>
          </cell>
        </row>
        <row r="10">
          <cell r="A10" t="str">
            <v>NY-B15016-Y0-L</v>
          </cell>
          <cell r="B10" t="str">
            <v>NY-B15016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18.99</v>
          </cell>
        </row>
        <row r="11">
          <cell r="A11" t="str">
            <v>N9383YR038</v>
          </cell>
          <cell r="B11" t="str">
            <v>N9383Y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13.9</v>
          </cell>
        </row>
        <row r="12">
          <cell r="A12" t="str">
            <v>N9383YXGH38</v>
          </cell>
          <cell r="B12" t="str">
            <v>N9383Y</v>
          </cell>
          <cell r="C12">
            <v>0</v>
          </cell>
          <cell r="D12">
            <v>0</v>
          </cell>
          <cell r="E12">
            <v>0</v>
          </cell>
          <cell r="F12">
            <v>1</v>
          </cell>
          <cell r="G12">
            <v>13.9</v>
          </cell>
        </row>
        <row r="13">
          <cell r="A13" t="str">
            <v>N31459YJS42</v>
          </cell>
          <cell r="B13" t="str">
            <v>N31459Y</v>
          </cell>
          <cell r="C13">
            <v>0</v>
          </cell>
          <cell r="D13">
            <v>0</v>
          </cell>
          <cell r="E13">
            <v>0</v>
          </cell>
          <cell r="F13">
            <v>1</v>
          </cell>
          <cell r="G13">
            <v>13.9</v>
          </cell>
        </row>
        <row r="14">
          <cell r="A14" t="str">
            <v>JBL-QFFMR5L</v>
          </cell>
          <cell r="B14" t="str">
            <v>JBL-QFFM</v>
          </cell>
          <cell r="C14">
            <v>0</v>
          </cell>
          <cell r="D14">
            <v>0</v>
          </cell>
          <cell r="E14">
            <v>1</v>
          </cell>
          <cell r="F14">
            <v>1</v>
          </cell>
          <cell r="G14">
            <v>10.45</v>
          </cell>
        </row>
        <row r="15">
          <cell r="A15" t="str">
            <v>JBL-QFFMR5M</v>
          </cell>
          <cell r="B15" t="str">
            <v>JBL-QFFM</v>
          </cell>
          <cell r="C15">
            <v>0</v>
          </cell>
          <cell r="D15">
            <v>0</v>
          </cell>
          <cell r="E15">
            <v>1</v>
          </cell>
          <cell r="F15">
            <v>1</v>
          </cell>
          <cell r="G15">
            <v>20.9</v>
          </cell>
        </row>
        <row r="16">
          <cell r="A16" t="str">
            <v>NY-B15016-Y0-S</v>
          </cell>
          <cell r="B16" t="str">
            <v>NY-B15016</v>
          </cell>
          <cell r="C16">
            <v>2</v>
          </cell>
          <cell r="D16">
            <v>0</v>
          </cell>
          <cell r="E16">
            <v>0</v>
          </cell>
          <cell r="F16">
            <v>1</v>
          </cell>
          <cell r="G16">
            <v>18.99</v>
          </cell>
        </row>
        <row r="17">
          <cell r="A17" t="str">
            <v>N31459YMH38</v>
          </cell>
          <cell r="B17" t="str">
            <v>N31459Y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13.9</v>
          </cell>
        </row>
        <row r="18">
          <cell r="A18" t="str">
            <v>N2082YQLS38</v>
          </cell>
          <cell r="B18" t="str">
            <v>N2082Y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16.9</v>
          </cell>
        </row>
        <row r="19">
          <cell r="A19" t="str">
            <v>NY-XUHM331-B0-L</v>
          </cell>
          <cell r="B19" t="str">
            <v>NY-XUHM331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9.99</v>
          </cell>
        </row>
        <row r="20">
          <cell r="A20" t="str">
            <v>JBL-QFFMMHL</v>
          </cell>
          <cell r="B20" t="str">
            <v>JBLKTK</v>
          </cell>
          <cell r="C20">
            <v>0</v>
          </cell>
          <cell r="D20">
            <v>1</v>
          </cell>
          <cell r="E20">
            <v>0</v>
          </cell>
          <cell r="F20">
            <v>1</v>
          </cell>
          <cell r="G20">
            <v>20.9</v>
          </cell>
        </row>
        <row r="21">
          <cell r="A21" t="str">
            <v>N2716YR036</v>
          </cell>
          <cell r="B21" t="str">
            <v>N2716Y</v>
          </cell>
          <cell r="C21">
            <v>3</v>
          </cell>
          <cell r="D21">
            <v>0</v>
          </cell>
          <cell r="E21">
            <v>1</v>
          </cell>
          <cell r="F21">
            <v>2</v>
          </cell>
          <cell r="G21">
            <v>9.99</v>
          </cell>
        </row>
        <row r="22">
          <cell r="A22" t="str">
            <v>JBL-QFFMMHXL</v>
          </cell>
          <cell r="B22" t="str">
            <v>JBL-QFFM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20.9</v>
          </cell>
        </row>
        <row r="23">
          <cell r="A23" t="str">
            <v>NY-XUHM002-K0-L</v>
          </cell>
          <cell r="B23" t="str">
            <v>NY-B15021</v>
          </cell>
          <cell r="C23">
            <v>2</v>
          </cell>
          <cell r="D23">
            <v>0</v>
          </cell>
          <cell r="E23">
            <v>0</v>
          </cell>
          <cell r="F23">
            <v>2</v>
          </cell>
          <cell r="G23">
            <v>16.99</v>
          </cell>
        </row>
        <row r="24">
          <cell r="A24" t="str">
            <v>N2716YHL36</v>
          </cell>
          <cell r="B24" t="str">
            <v>N263Y</v>
          </cell>
          <cell r="C24">
            <v>2</v>
          </cell>
          <cell r="D24">
            <v>0</v>
          </cell>
          <cell r="E24">
            <v>0</v>
          </cell>
          <cell r="F24">
            <v>1</v>
          </cell>
          <cell r="G24">
            <v>7.89</v>
          </cell>
        </row>
        <row r="25">
          <cell r="A25" t="str">
            <v>N2716YYGL36</v>
          </cell>
          <cell r="B25" t="str">
            <v>N2716Y</v>
          </cell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8.53</v>
          </cell>
        </row>
        <row r="26">
          <cell r="A26" t="str">
            <v>N3818-2YW038</v>
          </cell>
          <cell r="B26" t="str">
            <v>N3818-2Y</v>
          </cell>
          <cell r="C26">
            <v>1</v>
          </cell>
          <cell r="D26">
            <v>0</v>
          </cell>
          <cell r="E26">
            <v>0</v>
          </cell>
          <cell r="F26">
            <v>1</v>
          </cell>
          <cell r="G26">
            <v>9.21</v>
          </cell>
        </row>
        <row r="27">
          <cell r="A27" t="str">
            <v>NY-B15016-Y0-M</v>
          </cell>
          <cell r="B27" t="str">
            <v>NY-B15016</v>
          </cell>
          <cell r="C27">
            <v>1</v>
          </cell>
          <cell r="D27">
            <v>0</v>
          </cell>
          <cell r="E27">
            <v>0</v>
          </cell>
          <cell r="F27">
            <v>2</v>
          </cell>
          <cell r="G27">
            <v>18.99</v>
          </cell>
        </row>
        <row r="28">
          <cell r="A28" t="str">
            <v>N039YR038</v>
          </cell>
          <cell r="B28" t="str">
            <v>N039Y</v>
          </cell>
          <cell r="C28">
            <v>1</v>
          </cell>
          <cell r="D28">
            <v>0</v>
          </cell>
          <cell r="E28">
            <v>1</v>
          </cell>
          <cell r="F28">
            <v>1</v>
          </cell>
          <cell r="G28">
            <v>9.99</v>
          </cell>
        </row>
        <row r="29">
          <cell r="A29" t="str">
            <v>NY-XUHM005-K0-S</v>
          </cell>
          <cell r="B29" t="str">
            <v>NY-B15021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16.99</v>
          </cell>
        </row>
        <row r="30">
          <cell r="A30" t="str">
            <v>NY-XUHM463-K0-XL</v>
          </cell>
          <cell r="B30" t="str">
            <v>NY-XUHM463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15.99</v>
          </cell>
        </row>
        <row r="31">
          <cell r="A31" t="str">
            <v>NY-XUHM002-PI-L</v>
          </cell>
          <cell r="B31" t="str">
            <v>NY-B15021</v>
          </cell>
          <cell r="C31">
            <v>0</v>
          </cell>
          <cell r="D31">
            <v>1</v>
          </cell>
          <cell r="E31">
            <v>0</v>
          </cell>
          <cell r="F31">
            <v>2</v>
          </cell>
          <cell r="G31">
            <v>16.99</v>
          </cell>
        </row>
        <row r="32">
          <cell r="A32" t="str">
            <v>NY-B15021-K0-XL</v>
          </cell>
          <cell r="B32" t="str">
            <v>NY-B15021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18.99</v>
          </cell>
        </row>
        <row r="33">
          <cell r="A33" t="str">
            <v>N039YR036</v>
          </cell>
          <cell r="B33" t="str">
            <v>N039Y</v>
          </cell>
          <cell r="C33">
            <v>1</v>
          </cell>
          <cell r="D33">
            <v>1</v>
          </cell>
          <cell r="E33">
            <v>2</v>
          </cell>
          <cell r="F33">
            <v>1</v>
          </cell>
          <cell r="G33">
            <v>9.99</v>
          </cell>
        </row>
        <row r="34">
          <cell r="A34" t="str">
            <v>N31459YMH42</v>
          </cell>
          <cell r="B34" t="str">
            <v>N31459Y</v>
          </cell>
          <cell r="C34">
            <v>0</v>
          </cell>
          <cell r="D34">
            <v>0</v>
          </cell>
          <cell r="E34">
            <v>0</v>
          </cell>
          <cell r="F34">
            <v>2</v>
          </cell>
          <cell r="G34">
            <v>13.9</v>
          </cell>
        </row>
        <row r="35">
          <cell r="A35" t="str">
            <v>MY71115K0XXL</v>
          </cell>
          <cell r="B35" t="str">
            <v>MY71115</v>
          </cell>
          <cell r="C35">
            <v>1</v>
          </cell>
          <cell r="D35">
            <v>1</v>
          </cell>
          <cell r="E35">
            <v>0</v>
          </cell>
          <cell r="F35">
            <v>1</v>
          </cell>
          <cell r="G35">
            <v>42.99</v>
          </cell>
        </row>
        <row r="36">
          <cell r="A36" t="str">
            <v>KTKXKW0L</v>
          </cell>
          <cell r="B36" t="str">
            <v>KTKXXK</v>
          </cell>
          <cell r="C36">
            <v>3</v>
          </cell>
          <cell r="D36">
            <v>1</v>
          </cell>
          <cell r="E36">
            <v>1</v>
          </cell>
          <cell r="F36">
            <v>1</v>
          </cell>
          <cell r="G36">
            <v>20.6433333333333</v>
          </cell>
        </row>
        <row r="37">
          <cell r="A37" t="str">
            <v>N31459YR038</v>
          </cell>
          <cell r="B37" t="str">
            <v>N31459Y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 t="e">
            <v>#DIV/0!</v>
          </cell>
        </row>
        <row r="38">
          <cell r="A38" t="str">
            <v>N2716YMH34</v>
          </cell>
          <cell r="B38" t="str">
            <v>N2716Y</v>
          </cell>
          <cell r="C38">
            <v>0</v>
          </cell>
          <cell r="D38">
            <v>0</v>
          </cell>
          <cell r="E38">
            <v>1</v>
          </cell>
          <cell r="F38">
            <v>0</v>
          </cell>
          <cell r="G38">
            <v>7.99</v>
          </cell>
        </row>
        <row r="39">
          <cell r="A39" t="str">
            <v>NY-B15016-K0-M</v>
          </cell>
          <cell r="B39" t="str">
            <v>NWZE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18.99</v>
          </cell>
        </row>
        <row r="40">
          <cell r="A40" t="str">
            <v>NK-XUHM001-K0-M</v>
          </cell>
          <cell r="B40" t="str">
            <v>ZSNW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4.71</v>
          </cell>
        </row>
        <row r="41">
          <cell r="A41" t="str">
            <v>N31459YP038</v>
          </cell>
          <cell r="B41" t="str">
            <v>N31459Y</v>
          </cell>
          <cell r="C41">
            <v>0</v>
          </cell>
          <cell r="D41">
            <v>0</v>
          </cell>
          <cell r="E41">
            <v>2</v>
          </cell>
          <cell r="F41">
            <v>0</v>
          </cell>
          <cell r="G41">
            <v>13.9</v>
          </cell>
        </row>
        <row r="42">
          <cell r="A42" t="str">
            <v>NY-XUHM002-K0-M</v>
          </cell>
          <cell r="B42" t="str">
            <v>NY-B15021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16.99</v>
          </cell>
        </row>
        <row r="43">
          <cell r="A43" t="str">
            <v>N2716YMH38</v>
          </cell>
          <cell r="B43" t="str">
            <v>N2716Y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9.99</v>
          </cell>
        </row>
        <row r="44">
          <cell r="A44" t="str">
            <v>MY71107MSM</v>
          </cell>
          <cell r="B44" t="str">
            <v>MY71107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42.99</v>
          </cell>
        </row>
        <row r="45">
          <cell r="A45" t="str">
            <v>DDHNYK0</v>
          </cell>
          <cell r="B45" t="str">
            <v>DDHNY</v>
          </cell>
          <cell r="C45">
            <v>0</v>
          </cell>
          <cell r="D45">
            <v>1</v>
          </cell>
          <cell r="E45">
            <v>2</v>
          </cell>
          <cell r="F45">
            <v>0</v>
          </cell>
          <cell r="G45">
            <v>15.99</v>
          </cell>
        </row>
        <row r="46">
          <cell r="A46" t="str">
            <v>N039YB038</v>
          </cell>
          <cell r="B46" t="str">
            <v>N029Y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8.08</v>
          </cell>
        </row>
        <row r="47">
          <cell r="A47" t="str">
            <v>N31459YLL48</v>
          </cell>
          <cell r="B47" t="str">
            <v>N31459Y</v>
          </cell>
          <cell r="C47">
            <v>2</v>
          </cell>
          <cell r="D47">
            <v>0</v>
          </cell>
          <cell r="E47">
            <v>1</v>
          </cell>
          <cell r="F47">
            <v>0</v>
          </cell>
          <cell r="G47">
            <v>13.9</v>
          </cell>
        </row>
        <row r="48">
          <cell r="A48" t="str">
            <v>N2716YR034</v>
          </cell>
          <cell r="B48" t="str">
            <v>N2716Y</v>
          </cell>
          <cell r="C48">
            <v>1</v>
          </cell>
          <cell r="D48">
            <v>1</v>
          </cell>
          <cell r="E48">
            <v>1</v>
          </cell>
          <cell r="F48">
            <v>0</v>
          </cell>
          <cell r="G48">
            <v>9.99</v>
          </cell>
        </row>
        <row r="49">
          <cell r="A49" t="str">
            <v>NY-XUHM005-GA-M</v>
          </cell>
          <cell r="B49" t="str">
            <v>NY-B15021</v>
          </cell>
          <cell r="C49">
            <v>1</v>
          </cell>
          <cell r="D49">
            <v>0</v>
          </cell>
          <cell r="E49">
            <v>1</v>
          </cell>
          <cell r="F49">
            <v>0</v>
          </cell>
          <cell r="G49">
            <v>16.99</v>
          </cell>
        </row>
        <row r="50">
          <cell r="A50" t="str">
            <v>DDBNYW0</v>
          </cell>
          <cell r="B50" t="str">
            <v>DDBNY</v>
          </cell>
          <cell r="C50">
            <v>0</v>
          </cell>
          <cell r="D50">
            <v>0</v>
          </cell>
          <cell r="E50">
            <v>1</v>
          </cell>
          <cell r="F50">
            <v>0</v>
          </cell>
          <cell r="G50">
            <v>15.99</v>
          </cell>
        </row>
        <row r="51">
          <cell r="A51" t="str">
            <v>NY-XUHM005-K0-L</v>
          </cell>
          <cell r="B51" t="str">
            <v>NY-B15021</v>
          </cell>
          <cell r="C51">
            <v>0</v>
          </cell>
          <cell r="D51">
            <v>1</v>
          </cell>
          <cell r="E51">
            <v>1</v>
          </cell>
          <cell r="F51">
            <v>0</v>
          </cell>
          <cell r="G51">
            <v>16.99</v>
          </cell>
        </row>
        <row r="52">
          <cell r="A52" t="str">
            <v>NY-B15016-W0-L</v>
          </cell>
          <cell r="B52" t="str">
            <v>NY-B15016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18.99</v>
          </cell>
        </row>
        <row r="53">
          <cell r="A53" t="str">
            <v>GJHNYK0</v>
          </cell>
          <cell r="B53" t="str">
            <v>GJHNY</v>
          </cell>
          <cell r="C53">
            <v>1</v>
          </cell>
          <cell r="D53">
            <v>0</v>
          </cell>
          <cell r="E53">
            <v>1</v>
          </cell>
          <cell r="F53">
            <v>0</v>
          </cell>
          <cell r="G53">
            <v>15.99</v>
          </cell>
        </row>
        <row r="54">
          <cell r="A54" t="str">
            <v>NY-B15021-PI-XL</v>
          </cell>
          <cell r="B54" t="str">
            <v>NY-B15021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18.99</v>
          </cell>
        </row>
        <row r="55">
          <cell r="A55" t="str">
            <v>XTLAK0B</v>
          </cell>
          <cell r="B55" t="str">
            <v>XTLA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8.79</v>
          </cell>
        </row>
        <row r="56">
          <cell r="A56" t="str">
            <v>N029YE038</v>
          </cell>
          <cell r="B56" t="str">
            <v>MZCXK</v>
          </cell>
          <cell r="C56">
            <v>1</v>
          </cell>
          <cell r="D56">
            <v>0</v>
          </cell>
          <cell r="E56">
            <v>1</v>
          </cell>
          <cell r="F56">
            <v>0</v>
          </cell>
          <cell r="G56">
            <v>7.99</v>
          </cell>
        </row>
        <row r="57">
          <cell r="A57" t="str">
            <v>MY71115ZQXL</v>
          </cell>
          <cell r="B57" t="str">
            <v>MY71115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42.99</v>
          </cell>
        </row>
        <row r="58">
          <cell r="A58" t="str">
            <v>N3818-2YW046</v>
          </cell>
          <cell r="B58" t="str">
            <v>N3818-2Y</v>
          </cell>
          <cell r="C58">
            <v>1</v>
          </cell>
          <cell r="D58">
            <v>1</v>
          </cell>
          <cell r="E58">
            <v>0</v>
          </cell>
          <cell r="F58">
            <v>0</v>
          </cell>
          <cell r="G58">
            <v>8.86</v>
          </cell>
        </row>
        <row r="59">
          <cell r="A59" t="str">
            <v>NY-B15021-PI-M</v>
          </cell>
          <cell r="B59" t="str">
            <v>NY-B15021</v>
          </cell>
          <cell r="C59">
            <v>0</v>
          </cell>
          <cell r="D59">
            <v>1</v>
          </cell>
          <cell r="E59">
            <v>0</v>
          </cell>
          <cell r="F59">
            <v>0</v>
          </cell>
          <cell r="G59">
            <v>15.19</v>
          </cell>
        </row>
        <row r="60">
          <cell r="A60" t="str">
            <v>N2716YMH36</v>
          </cell>
          <cell r="B60" t="str">
            <v>N2716Y</v>
          </cell>
          <cell r="C60">
            <v>3</v>
          </cell>
          <cell r="D60">
            <v>1</v>
          </cell>
          <cell r="E60">
            <v>0</v>
          </cell>
          <cell r="F60">
            <v>0</v>
          </cell>
          <cell r="G60">
            <v>5.41</v>
          </cell>
        </row>
        <row r="61">
          <cell r="A61" t="str">
            <v>N039YTHS38</v>
          </cell>
          <cell r="B61" t="str">
            <v>N039Y</v>
          </cell>
          <cell r="C61">
            <v>0</v>
          </cell>
          <cell r="D61">
            <v>1</v>
          </cell>
          <cell r="E61">
            <v>0</v>
          </cell>
          <cell r="F61">
            <v>0</v>
          </cell>
          <cell r="G61">
            <v>9.99</v>
          </cell>
        </row>
        <row r="62">
          <cell r="A62" t="str">
            <v>NY-XUHM002-PI-M</v>
          </cell>
          <cell r="B62" t="str">
            <v>NY-B15021</v>
          </cell>
          <cell r="C62">
            <v>1</v>
          </cell>
          <cell r="D62">
            <v>1</v>
          </cell>
          <cell r="E62">
            <v>0</v>
          </cell>
          <cell r="F62">
            <v>0</v>
          </cell>
          <cell r="G62">
            <v>16.99</v>
          </cell>
        </row>
        <row r="63">
          <cell r="A63" t="str">
            <v>NK-XUHM001-K0-L</v>
          </cell>
          <cell r="B63" t="str">
            <v>ZIMUYH</v>
          </cell>
          <cell r="C63">
            <v>1</v>
          </cell>
          <cell r="D63">
            <v>1</v>
          </cell>
          <cell r="E63">
            <v>0</v>
          </cell>
          <cell r="F63">
            <v>0</v>
          </cell>
          <cell r="G63">
            <v>5.59</v>
          </cell>
        </row>
        <row r="64">
          <cell r="A64" t="str">
            <v>N31459YP048</v>
          </cell>
          <cell r="B64" t="str">
            <v>N31459Y</v>
          </cell>
          <cell r="C64">
            <v>0</v>
          </cell>
          <cell r="D64">
            <v>1</v>
          </cell>
          <cell r="E64">
            <v>0</v>
          </cell>
          <cell r="F64">
            <v>0</v>
          </cell>
          <cell r="G64">
            <v>13.9</v>
          </cell>
        </row>
        <row r="65">
          <cell r="A65" t="str">
            <v>N2716YYGL38</v>
          </cell>
          <cell r="B65" t="str">
            <v>N2716Y</v>
          </cell>
          <cell r="C65">
            <v>0</v>
          </cell>
          <cell r="D65">
            <v>1</v>
          </cell>
          <cell r="E65">
            <v>0</v>
          </cell>
          <cell r="F65">
            <v>0</v>
          </cell>
          <cell r="G65">
            <v>7.46</v>
          </cell>
        </row>
        <row r="66">
          <cell r="A66" t="str">
            <v>MY71115ZQXXL</v>
          </cell>
          <cell r="B66" t="str">
            <v>MY71115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 t="e">
            <v>#DIV/0!</v>
          </cell>
        </row>
        <row r="67">
          <cell r="A67" t="str">
            <v>NY-B15016-W0-S</v>
          </cell>
          <cell r="B67" t="str">
            <v>NY-B15016</v>
          </cell>
          <cell r="C67">
            <v>0</v>
          </cell>
          <cell r="D67">
            <v>2</v>
          </cell>
          <cell r="E67">
            <v>0</v>
          </cell>
          <cell r="F67">
            <v>0</v>
          </cell>
          <cell r="G67">
            <v>18.99</v>
          </cell>
        </row>
        <row r="68">
          <cell r="A68" t="str">
            <v>N9932YK036</v>
          </cell>
          <cell r="B68" t="str">
            <v>N9383Y</v>
          </cell>
          <cell r="C68">
            <v>0</v>
          </cell>
          <cell r="D68">
            <v>1</v>
          </cell>
          <cell r="E68">
            <v>0</v>
          </cell>
          <cell r="F68">
            <v>0</v>
          </cell>
          <cell r="G68">
            <v>12.9</v>
          </cell>
        </row>
        <row r="69">
          <cell r="A69" t="str">
            <v>KTKXKG0L</v>
          </cell>
          <cell r="B69" t="str">
            <v>KTKXXK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23.9</v>
          </cell>
        </row>
        <row r="70">
          <cell r="A70" t="str">
            <v>N039YG038</v>
          </cell>
          <cell r="B70" t="str">
            <v>N039Y</v>
          </cell>
          <cell r="C70">
            <v>0</v>
          </cell>
          <cell r="D70">
            <v>1</v>
          </cell>
          <cell r="E70">
            <v>0</v>
          </cell>
          <cell r="F70">
            <v>0</v>
          </cell>
          <cell r="G70">
            <v>9.99</v>
          </cell>
        </row>
        <row r="71">
          <cell r="A71" t="str">
            <v>N31459YB040</v>
          </cell>
          <cell r="B71" t="str">
            <v>N299Y</v>
          </cell>
          <cell r="C71">
            <v>1</v>
          </cell>
          <cell r="D71">
            <v>1</v>
          </cell>
          <cell r="E71">
            <v>0</v>
          </cell>
          <cell r="F71">
            <v>0</v>
          </cell>
          <cell r="G71">
            <v>13.9</v>
          </cell>
        </row>
        <row r="72">
          <cell r="A72" t="str">
            <v>NY-XUHM005-GA-L</v>
          </cell>
          <cell r="B72" t="str">
            <v>NY-B15021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16.99</v>
          </cell>
        </row>
        <row r="73">
          <cell r="A73" t="str">
            <v>N31459YP046</v>
          </cell>
          <cell r="B73" t="str">
            <v>N31459Y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13.9</v>
          </cell>
        </row>
        <row r="74">
          <cell r="A74" t="str">
            <v>N31459YR044</v>
          </cell>
          <cell r="B74" t="str">
            <v>N31459Y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13.9</v>
          </cell>
        </row>
        <row r="75">
          <cell r="A75" t="str">
            <v>NY-B15021-B0-XL</v>
          </cell>
          <cell r="B75" t="str">
            <v>NY-B15021</v>
          </cell>
          <cell r="C75">
            <v>0</v>
          </cell>
          <cell r="D75">
            <v>1</v>
          </cell>
          <cell r="E75">
            <v>0</v>
          </cell>
          <cell r="F75">
            <v>0</v>
          </cell>
          <cell r="G75">
            <v>18.99</v>
          </cell>
        </row>
        <row r="76">
          <cell r="A76" t="str">
            <v>N029YHL36</v>
          </cell>
          <cell r="B76" t="str">
            <v>N029Y</v>
          </cell>
          <cell r="C76">
            <v>1</v>
          </cell>
          <cell r="D76">
            <v>1</v>
          </cell>
          <cell r="E76">
            <v>0</v>
          </cell>
          <cell r="F76">
            <v>0</v>
          </cell>
          <cell r="G76">
            <v>7.68</v>
          </cell>
        </row>
        <row r="77">
          <cell r="A77" t="str">
            <v>N531YK040</v>
          </cell>
          <cell r="B77" t="str">
            <v>N531Y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10.39</v>
          </cell>
        </row>
        <row r="78">
          <cell r="A78" t="str">
            <v>NY-XUHM332-HS-M</v>
          </cell>
          <cell r="B78" t="str">
            <v>NY-XUHM332</v>
          </cell>
          <cell r="C78">
            <v>5</v>
          </cell>
          <cell r="D78">
            <v>4</v>
          </cell>
          <cell r="E78">
            <v>0</v>
          </cell>
          <cell r="F78">
            <v>0</v>
          </cell>
          <cell r="G78">
            <v>12.99</v>
          </cell>
        </row>
        <row r="79">
          <cell r="A79" t="str">
            <v>N87319KXSL</v>
          </cell>
          <cell r="B79" t="str">
            <v>N87319K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4.45</v>
          </cell>
        </row>
        <row r="80">
          <cell r="A80" t="str">
            <v>HLYHMYSG</v>
          </cell>
          <cell r="B80" t="str">
            <v>TTYCMZFCXH</v>
          </cell>
          <cell r="C80">
            <v>4</v>
          </cell>
          <cell r="D80">
            <v>0</v>
          </cell>
          <cell r="E80">
            <v>0</v>
          </cell>
          <cell r="F80">
            <v>0</v>
          </cell>
          <cell r="G80">
            <v>36.76</v>
          </cell>
        </row>
        <row r="81">
          <cell r="A81" t="str">
            <v>N2716YHL38</v>
          </cell>
          <cell r="B81" t="str">
            <v>N263Y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7.97</v>
          </cell>
        </row>
        <row r="82">
          <cell r="A82" t="str">
            <v>XTHQXSC</v>
          </cell>
          <cell r="B82" t="str">
            <v>XTHQ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8.79</v>
          </cell>
        </row>
        <row r="83">
          <cell r="A83" t="str">
            <v>N029YMH36</v>
          </cell>
          <cell r="B83" t="str">
            <v>N029Y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7.99</v>
          </cell>
        </row>
        <row r="84">
          <cell r="A84" t="str">
            <v>KTKXKY0</v>
          </cell>
          <cell r="B84" t="str">
            <v>KTKXXK</v>
          </cell>
          <cell r="C84">
            <v>2</v>
          </cell>
          <cell r="D84">
            <v>0</v>
          </cell>
          <cell r="E84">
            <v>0</v>
          </cell>
          <cell r="F84">
            <v>0</v>
          </cell>
          <cell r="G84">
            <v>22.99</v>
          </cell>
        </row>
        <row r="85">
          <cell r="A85" t="str">
            <v>N31459YP044</v>
          </cell>
          <cell r="B85" t="str">
            <v>N31459Y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13.9</v>
          </cell>
        </row>
        <row r="86">
          <cell r="A86" t="str">
            <v>KTKXKR0</v>
          </cell>
          <cell r="B86" t="str">
            <v>KTKXXK</v>
          </cell>
          <cell r="C86">
            <v>4</v>
          </cell>
          <cell r="D86">
            <v>0</v>
          </cell>
          <cell r="E86">
            <v>0</v>
          </cell>
          <cell r="F86">
            <v>0</v>
          </cell>
          <cell r="G86">
            <v>22.9</v>
          </cell>
        </row>
        <row r="87">
          <cell r="A87" t="str">
            <v>N531YB036</v>
          </cell>
          <cell r="B87" t="str">
            <v>N5100Y</v>
          </cell>
          <cell r="C87">
            <v>2</v>
          </cell>
          <cell r="D87">
            <v>0</v>
          </cell>
          <cell r="E87">
            <v>0</v>
          </cell>
          <cell r="F87">
            <v>0</v>
          </cell>
          <cell r="G87">
            <v>11.45</v>
          </cell>
        </row>
        <row r="88">
          <cell r="A88" t="str">
            <v>JBL-QFFMMHS</v>
          </cell>
          <cell r="B88" t="str">
            <v>JBLKTK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20.9</v>
          </cell>
        </row>
        <row r="89">
          <cell r="A89" t="str">
            <v>NK-XUHM001-K0-XXL</v>
          </cell>
          <cell r="B89" t="str">
            <v>NK-XUHM001</v>
          </cell>
          <cell r="C89">
            <v>2</v>
          </cell>
          <cell r="D89">
            <v>0</v>
          </cell>
          <cell r="E89">
            <v>0</v>
          </cell>
          <cell r="F89">
            <v>0</v>
          </cell>
          <cell r="G89">
            <v>6.99</v>
          </cell>
        </row>
        <row r="90">
          <cell r="A90" t="str">
            <v>N31459YJS46</v>
          </cell>
          <cell r="B90" t="str">
            <v>N31459Y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13.9</v>
          </cell>
        </row>
        <row r="91">
          <cell r="A91" t="str">
            <v>N87232KP0XL</v>
          </cell>
          <cell r="B91" t="str">
            <v>N87232K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5.27</v>
          </cell>
        </row>
        <row r="92">
          <cell r="A92" t="str">
            <v>NK-XUHM001-K0-XL</v>
          </cell>
          <cell r="B92" t="str">
            <v>NK-XUHM001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6.99</v>
          </cell>
        </row>
        <row r="93">
          <cell r="A93" t="str">
            <v>N039YXGH40</v>
          </cell>
          <cell r="B93" t="str">
            <v>N039Y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7.99</v>
          </cell>
        </row>
        <row r="94">
          <cell r="A94" t="str">
            <v>N2716YYGL34</v>
          </cell>
          <cell r="B94" t="str">
            <v>N2716Y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9.99</v>
          </cell>
        </row>
        <row r="171">
          <cell r="A171" t="str">
            <v>NY-B15016-Y0-S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N531Y</v>
          </cell>
          <cell r="B2">
            <v>11.69</v>
          </cell>
        </row>
        <row r="3">
          <cell r="A3" t="str">
            <v>N31459Y</v>
          </cell>
          <cell r="B3">
            <v>13.9</v>
          </cell>
        </row>
        <row r="4">
          <cell r="A4" t="str">
            <v>N039Y</v>
          </cell>
          <cell r="B4">
            <v>9.51388888888889</v>
          </cell>
        </row>
        <row r="5">
          <cell r="A5" t="str">
            <v>KTKXJFK</v>
          </cell>
          <cell r="B5">
            <v>19.9333333333333</v>
          </cell>
        </row>
        <row r="6">
          <cell r="A6" t="str">
            <v>NY-B15016</v>
          </cell>
          <cell r="B6">
            <v>18.99</v>
          </cell>
        </row>
        <row r="7">
          <cell r="A7" t="str">
            <v>N9383Y</v>
          </cell>
          <cell r="B7">
            <v>13.5666666666667</v>
          </cell>
        </row>
        <row r="8">
          <cell r="A8" t="str">
            <v>JBL-QFFM</v>
          </cell>
          <cell r="B8">
            <v>16.72</v>
          </cell>
        </row>
        <row r="9">
          <cell r="A9" t="str">
            <v>N2082Y</v>
          </cell>
          <cell r="B9">
            <v>16.9</v>
          </cell>
        </row>
        <row r="10">
          <cell r="A10" t="str">
            <v>NY-XUHM331</v>
          </cell>
          <cell r="B10">
            <v>9.99</v>
          </cell>
        </row>
        <row r="11">
          <cell r="A11" t="str">
            <v>JBLKTK</v>
          </cell>
          <cell r="B11">
            <v>20.9</v>
          </cell>
        </row>
        <row r="12">
          <cell r="A12" t="str">
            <v>N2716Y</v>
          </cell>
          <cell r="B12">
            <v>8.63368421052632</v>
          </cell>
        </row>
        <row r="13">
          <cell r="A13" t="str">
            <v>NY-B15021</v>
          </cell>
          <cell r="B13">
            <v>17.2</v>
          </cell>
        </row>
        <row r="14">
          <cell r="A14" t="str">
            <v>N263Y</v>
          </cell>
          <cell r="B14">
            <v>7.91</v>
          </cell>
        </row>
        <row r="15">
          <cell r="A15" t="str">
            <v>N3818-2Y</v>
          </cell>
          <cell r="B15">
            <v>9.035</v>
          </cell>
        </row>
        <row r="16">
          <cell r="A16" t="str">
            <v>NY-XUHM463</v>
          </cell>
          <cell r="B16">
            <v>15.99</v>
          </cell>
        </row>
        <row r="17">
          <cell r="A17" t="str">
            <v>MY71115</v>
          </cell>
          <cell r="B17">
            <v>42.99</v>
          </cell>
        </row>
        <row r="18">
          <cell r="A18" t="str">
            <v>KTKXXK</v>
          </cell>
          <cell r="B18">
            <v>21.9492307692308</v>
          </cell>
        </row>
        <row r="19">
          <cell r="A19" t="str">
            <v>NWZE</v>
          </cell>
          <cell r="B19">
            <v>18.99</v>
          </cell>
        </row>
        <row r="20">
          <cell r="A20" t="str">
            <v>ZSNW</v>
          </cell>
          <cell r="B20">
            <v>4.71</v>
          </cell>
        </row>
        <row r="21">
          <cell r="A21" t="str">
            <v>MY71107</v>
          </cell>
          <cell r="B21">
            <v>42.99</v>
          </cell>
        </row>
        <row r="22">
          <cell r="A22" t="str">
            <v>DDHNY</v>
          </cell>
          <cell r="B22">
            <v>15.99</v>
          </cell>
        </row>
        <row r="23">
          <cell r="A23" t="str">
            <v>N029Y</v>
          </cell>
          <cell r="B23">
            <v>7.8575</v>
          </cell>
        </row>
        <row r="24">
          <cell r="A24" t="str">
            <v>DDBNY</v>
          </cell>
          <cell r="B24">
            <v>15.99</v>
          </cell>
        </row>
        <row r="25">
          <cell r="A25" t="str">
            <v>GJHNY</v>
          </cell>
          <cell r="B25">
            <v>15.99</v>
          </cell>
        </row>
        <row r="26">
          <cell r="A26" t="str">
            <v>XTLA</v>
          </cell>
          <cell r="B26">
            <v>8.79</v>
          </cell>
        </row>
        <row r="27">
          <cell r="A27" t="str">
            <v>MZCXK</v>
          </cell>
          <cell r="B27">
            <v>7.99</v>
          </cell>
        </row>
        <row r="28">
          <cell r="A28" t="str">
            <v>ZIMUYH</v>
          </cell>
          <cell r="B28">
            <v>5.59</v>
          </cell>
        </row>
        <row r="29">
          <cell r="A29" t="str">
            <v>N299Y</v>
          </cell>
          <cell r="B29">
            <v>13.9</v>
          </cell>
        </row>
        <row r="30">
          <cell r="A30" t="str">
            <v>NY-XUHM332</v>
          </cell>
          <cell r="B30">
            <v>12.99</v>
          </cell>
        </row>
        <row r="31">
          <cell r="A31" t="str">
            <v>N87319K</v>
          </cell>
          <cell r="B31">
            <v>4.45</v>
          </cell>
        </row>
        <row r="32">
          <cell r="A32" t="str">
            <v>TTYCMZFCXH</v>
          </cell>
          <cell r="B32">
            <v>36.76</v>
          </cell>
        </row>
        <row r="33">
          <cell r="A33" t="str">
            <v>XTHQ</v>
          </cell>
          <cell r="B33">
            <v>8.79</v>
          </cell>
        </row>
        <row r="34">
          <cell r="A34" t="str">
            <v>N5100Y</v>
          </cell>
          <cell r="B34">
            <v>11.45</v>
          </cell>
        </row>
        <row r="35">
          <cell r="A35" t="str">
            <v>NK-XUHM001</v>
          </cell>
          <cell r="B35">
            <v>6.99</v>
          </cell>
        </row>
        <row r="36">
          <cell r="A36" t="str">
            <v>N87232K</v>
          </cell>
          <cell r="B36">
            <v>5.27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402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43255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2018/6/25-2018/7/1</v>
      </c>
      <c r="E3" s="14" t="str">
        <f>TEXT(时间!$B$8,"yyyy/M/d")&amp;"-"&amp;TEXT(时间!$B$7,"yyyy/M/d")</f>
        <v>2018/6/18-2018/6/24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64</v>
      </c>
      <c r="E5" s="5">
        <f>SUM(E6:E19972)</f>
        <v>33</v>
      </c>
      <c r="F5" s="5">
        <f>SUM(F6:F19972)</f>
        <v>32</v>
      </c>
      <c r="G5" s="5">
        <f>SUM(G6:G19972)</f>
        <v>39</v>
      </c>
      <c r="I5" s="5">
        <f t="shared" ref="I5:O5" si="4">SUM(I6:I2972)</f>
        <v>4395</v>
      </c>
      <c r="J5" s="5">
        <f t="shared" si="4"/>
        <v>0</v>
      </c>
      <c r="K5" s="5">
        <f t="shared" si="4"/>
        <v>0</v>
      </c>
      <c r="L5" s="5">
        <f t="shared" si="4"/>
        <v>2</v>
      </c>
      <c r="M5" s="5">
        <f t="shared" si="4"/>
        <v>4397</v>
      </c>
      <c r="N5" s="5">
        <f t="shared" si="4"/>
        <v>15</v>
      </c>
      <c r="O5" s="5">
        <f t="shared" si="4"/>
        <v>3999</v>
      </c>
      <c r="AB5" s="5">
        <f>SUM(AB6:AB2072)</f>
        <v>162.94</v>
      </c>
      <c r="AC5" s="5">
        <f>SUM(AC6:AC2072)</f>
        <v>168.45</v>
      </c>
      <c r="AD5" s="5">
        <f>SUM(AD6:AD2072)</f>
        <v>173.67</v>
      </c>
      <c r="AE5" s="5">
        <f>SUM(AE6:AE2072)</f>
        <v>248.79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1</v>
      </c>
      <c r="G6" s="33">
        <v>0</v>
      </c>
      <c r="H6" s="34">
        <v>15.99</v>
      </c>
      <c r="I6">
        <v>24</v>
      </c>
      <c r="J6" s="35">
        <v>0</v>
      </c>
      <c r="K6" s="35">
        <v>0</v>
      </c>
      <c r="L6" s="35">
        <v>0</v>
      </c>
      <c r="M6">
        <v>24</v>
      </c>
      <c r="N6">
        <v>0</v>
      </c>
      <c r="O6">
        <v>25</v>
      </c>
      <c r="P6">
        <v>467</v>
      </c>
      <c r="Q6">
        <v>258</v>
      </c>
      <c r="R6">
        <v>389</v>
      </c>
      <c r="S6">
        <v>1122</v>
      </c>
      <c r="T6">
        <v>1</v>
      </c>
      <c r="U6">
        <v>0</v>
      </c>
      <c r="V6">
        <v>1</v>
      </c>
      <c r="W6">
        <v>2</v>
      </c>
      <c r="X6" s="23">
        <v>0.00214132762312634</v>
      </c>
      <c r="Y6" s="23">
        <v>0</v>
      </c>
      <c r="Z6" s="23">
        <v>0.0025706940874036</v>
      </c>
      <c r="AA6" s="23">
        <v>0.0017825311942959</v>
      </c>
      <c r="AB6">
        <v>0.82</v>
      </c>
      <c r="AC6">
        <v>0</v>
      </c>
      <c r="AD6">
        <v>1</v>
      </c>
      <c r="AE6">
        <v>1.67</v>
      </c>
      <c r="AF6" s="23" t="s">
        <v>54</v>
      </c>
      <c r="AG6" s="23" t="s">
        <v>55</v>
      </c>
      <c r="AH6" s="23">
        <v>0.0625390869293308</v>
      </c>
      <c r="AI6" s="23" t="s">
        <v>56</v>
      </c>
      <c r="AJ6">
        <v>5</v>
      </c>
      <c r="AK6">
        <v>6</v>
      </c>
      <c r="AL6">
        <v>2</v>
      </c>
      <c r="AM6">
        <v>4</v>
      </c>
      <c r="AN6" s="23">
        <v>0</v>
      </c>
      <c r="AO6" s="23">
        <v>0</v>
      </c>
      <c r="AP6" s="23">
        <v>0.5</v>
      </c>
      <c r="AQ6" s="23">
        <v>0</v>
      </c>
      <c r="AR6" s="37">
        <v>0</v>
      </c>
      <c r="AS6" s="37">
        <v>0</v>
      </c>
      <c r="AT6" s="37">
        <v>24</v>
      </c>
      <c r="AU6" s="33" t="str">
        <f t="shared" si="3"/>
        <v>库存为24</v>
      </c>
      <c r="AV6" s="38" t="str">
        <f>IFERROR(时间!$B$4+AU6,"上周无销量")</f>
        <v>上周无销量</v>
      </c>
    </row>
    <row r="7" spans="1:48">
      <c r="A7" s="21" t="s">
        <v>57</v>
      </c>
      <c r="B7" t="s">
        <v>58</v>
      </c>
      <c r="C7" t="s">
        <v>59</v>
      </c>
      <c r="D7" s="33">
        <v>0</v>
      </c>
      <c r="E7" s="33">
        <v>1</v>
      </c>
      <c r="F7" s="33">
        <v>2</v>
      </c>
      <c r="G7" s="33">
        <v>0</v>
      </c>
      <c r="H7" s="34">
        <v>15.99</v>
      </c>
      <c r="I7">
        <v>7</v>
      </c>
      <c r="J7" s="35">
        <v>0</v>
      </c>
      <c r="K7" s="35">
        <v>0</v>
      </c>
      <c r="L7" s="35">
        <v>0</v>
      </c>
      <c r="M7">
        <v>7</v>
      </c>
      <c r="N7">
        <v>0</v>
      </c>
      <c r="O7">
        <v>7</v>
      </c>
      <c r="P7">
        <v>5406</v>
      </c>
      <c r="Q7">
        <v>3636</v>
      </c>
      <c r="R7">
        <v>5303</v>
      </c>
      <c r="S7">
        <v>9501</v>
      </c>
      <c r="T7">
        <v>16</v>
      </c>
      <c r="U7">
        <v>24</v>
      </c>
      <c r="V7">
        <v>29</v>
      </c>
      <c r="W7">
        <v>29</v>
      </c>
      <c r="X7" s="23">
        <v>0.00295967443581206</v>
      </c>
      <c r="Y7" s="23">
        <v>0.0066006600660066</v>
      </c>
      <c r="Z7" s="23">
        <v>0.00546860267772959</v>
      </c>
      <c r="AA7" s="23">
        <v>0.00305231028312809</v>
      </c>
      <c r="AB7">
        <v>14.03</v>
      </c>
      <c r="AC7">
        <v>18.3</v>
      </c>
      <c r="AD7">
        <v>20.41</v>
      </c>
      <c r="AE7">
        <v>17.14</v>
      </c>
      <c r="AF7" s="23" t="s">
        <v>60</v>
      </c>
      <c r="AG7" s="23">
        <v>1.14446529080675</v>
      </c>
      <c r="AH7" s="23">
        <v>0.638211382113821</v>
      </c>
      <c r="AI7" s="23" t="s">
        <v>61</v>
      </c>
      <c r="AJ7">
        <v>19</v>
      </c>
      <c r="AK7">
        <v>9</v>
      </c>
      <c r="AL7">
        <v>20</v>
      </c>
      <c r="AM7">
        <v>14</v>
      </c>
      <c r="AN7" s="23">
        <v>0</v>
      </c>
      <c r="AO7" s="23">
        <v>0.111111111111111</v>
      </c>
      <c r="AP7" s="23">
        <v>0.1</v>
      </c>
      <c r="AQ7" s="23">
        <v>0</v>
      </c>
      <c r="AR7" s="37">
        <v>0</v>
      </c>
      <c r="AS7" s="37">
        <v>0</v>
      </c>
      <c r="AT7" s="37">
        <v>7</v>
      </c>
      <c r="AU7" s="33" t="str">
        <f t="shared" si="3"/>
        <v>库存为7</v>
      </c>
      <c r="AV7" s="38" t="str">
        <f>IFERROR(时间!$B$4+AU7,"上周无销量")</f>
        <v>上周无销量</v>
      </c>
    </row>
    <row r="8" spans="1:48">
      <c r="A8" s="21" t="s">
        <v>62</v>
      </c>
      <c r="B8" t="s">
        <v>63</v>
      </c>
      <c r="C8" t="s">
        <v>64</v>
      </c>
      <c r="D8" s="33">
        <v>1</v>
      </c>
      <c r="E8" s="33">
        <v>0</v>
      </c>
      <c r="F8" s="33">
        <v>1</v>
      </c>
      <c r="G8" s="33">
        <v>0</v>
      </c>
      <c r="H8" s="34">
        <v>15.99</v>
      </c>
      <c r="I8">
        <v>41</v>
      </c>
      <c r="J8" s="35">
        <v>0</v>
      </c>
      <c r="K8" s="35">
        <v>0</v>
      </c>
      <c r="L8" s="35">
        <v>0</v>
      </c>
      <c r="M8">
        <v>41</v>
      </c>
      <c r="N8">
        <v>0</v>
      </c>
      <c r="O8">
        <v>42</v>
      </c>
      <c r="P8">
        <v>963</v>
      </c>
      <c r="Q8">
        <v>663</v>
      </c>
      <c r="R8">
        <v>1088</v>
      </c>
      <c r="S8">
        <v>2456</v>
      </c>
      <c r="T8">
        <v>10</v>
      </c>
      <c r="U8">
        <v>4</v>
      </c>
      <c r="V8">
        <v>2</v>
      </c>
      <c r="W8">
        <v>7</v>
      </c>
      <c r="X8" s="23">
        <v>0.0103842159916926</v>
      </c>
      <c r="Y8" s="23">
        <v>0.00603318250377074</v>
      </c>
      <c r="Z8" s="23">
        <v>0.00183823529411765</v>
      </c>
      <c r="AA8" s="23">
        <v>0.00285016286644951</v>
      </c>
      <c r="AB8">
        <v>8.45</v>
      </c>
      <c r="AC8">
        <v>3.26</v>
      </c>
      <c r="AD8">
        <v>1.52</v>
      </c>
      <c r="AE8">
        <v>2.55</v>
      </c>
      <c r="AF8" s="23">
        <v>0.528455284552846</v>
      </c>
      <c r="AG8" s="23" t="s">
        <v>65</v>
      </c>
      <c r="AH8" s="23">
        <v>0.0950594121325829</v>
      </c>
      <c r="AI8" s="23" t="s">
        <v>66</v>
      </c>
      <c r="AJ8">
        <v>10</v>
      </c>
      <c r="AK8">
        <v>8</v>
      </c>
      <c r="AL8">
        <v>5</v>
      </c>
      <c r="AM8">
        <v>9</v>
      </c>
      <c r="AN8" s="23">
        <v>0.1</v>
      </c>
      <c r="AO8" s="23">
        <v>0</v>
      </c>
      <c r="AP8" s="23">
        <v>0.2</v>
      </c>
      <c r="AQ8" s="23">
        <v>0</v>
      </c>
      <c r="AR8" s="37">
        <v>0.142857142857143</v>
      </c>
      <c r="AS8" s="37">
        <v>8.57142857142857</v>
      </c>
      <c r="AT8" s="37">
        <v>32.4285714285714</v>
      </c>
      <c r="AU8" s="33">
        <f t="shared" si="3"/>
        <v>287</v>
      </c>
      <c r="AV8" s="38">
        <f>IFERROR(时间!$B$4+AU8,"上周无销量")</f>
        <v>43570</v>
      </c>
    </row>
    <row r="9" spans="1:48">
      <c r="A9" s="21" t="s">
        <v>67</v>
      </c>
      <c r="B9" t="s">
        <v>68</v>
      </c>
      <c r="C9" t="s">
        <v>69</v>
      </c>
      <c r="D9" s="33">
        <v>4</v>
      </c>
      <c r="E9" s="33">
        <v>0</v>
      </c>
      <c r="F9" s="33">
        <v>0</v>
      </c>
      <c r="G9" s="33">
        <v>0</v>
      </c>
      <c r="H9" s="34">
        <v>36.76</v>
      </c>
      <c r="I9">
        <v>45</v>
      </c>
      <c r="J9" s="35">
        <v>0</v>
      </c>
      <c r="K9" s="35">
        <v>0</v>
      </c>
      <c r="L9" s="35">
        <v>0</v>
      </c>
      <c r="M9">
        <v>45</v>
      </c>
      <c r="N9">
        <v>0</v>
      </c>
      <c r="O9">
        <v>47</v>
      </c>
      <c r="P9">
        <v>0</v>
      </c>
      <c r="Q9">
        <v>0</v>
      </c>
      <c r="R9">
        <v>6</v>
      </c>
      <c r="S9">
        <v>51</v>
      </c>
      <c r="T9">
        <v>0</v>
      </c>
      <c r="U9">
        <v>0</v>
      </c>
      <c r="V9">
        <v>0</v>
      </c>
      <c r="W9">
        <v>0</v>
      </c>
      <c r="X9" s="23" t="s">
        <v>55</v>
      </c>
      <c r="Y9" s="23" t="s">
        <v>55</v>
      </c>
      <c r="Z9" s="23">
        <v>0</v>
      </c>
      <c r="AA9" s="23">
        <v>0</v>
      </c>
      <c r="AB9">
        <v>0</v>
      </c>
      <c r="AC9">
        <v>0</v>
      </c>
      <c r="AD9">
        <v>0</v>
      </c>
      <c r="AE9">
        <v>0</v>
      </c>
      <c r="AF9" s="23" t="s">
        <v>55</v>
      </c>
      <c r="AG9" s="23" t="s">
        <v>55</v>
      </c>
      <c r="AH9" s="23" t="s">
        <v>55</v>
      </c>
      <c r="AI9" s="23" t="s">
        <v>55</v>
      </c>
      <c r="AJ9">
        <v>17</v>
      </c>
      <c r="AK9">
        <v>11</v>
      </c>
      <c r="AL9">
        <v>5</v>
      </c>
      <c r="AM9">
        <v>1</v>
      </c>
      <c r="AN9" s="23">
        <v>0.235294117647059</v>
      </c>
      <c r="AO9" s="23">
        <v>0</v>
      </c>
      <c r="AP9" s="23">
        <v>0</v>
      </c>
      <c r="AQ9" s="23">
        <v>0</v>
      </c>
      <c r="AR9" s="37">
        <v>0.571428571428571</v>
      </c>
      <c r="AS9" s="37">
        <v>34.2857142857143</v>
      </c>
      <c r="AT9" s="37">
        <v>10.7142857142857</v>
      </c>
      <c r="AU9" s="33">
        <f t="shared" si="3"/>
        <v>78</v>
      </c>
      <c r="AV9" s="38">
        <f>IFERROR(时间!$B$4+AU9,"上周无销量")</f>
        <v>43361</v>
      </c>
    </row>
    <row r="10" spans="1:48">
      <c r="A10" s="21" t="s">
        <v>70</v>
      </c>
      <c r="B10" t="s">
        <v>71</v>
      </c>
      <c r="C10" t="s">
        <v>72</v>
      </c>
      <c r="D10" s="33">
        <v>0</v>
      </c>
      <c r="E10" s="33">
        <v>1</v>
      </c>
      <c r="F10" s="33">
        <v>0</v>
      </c>
      <c r="G10" s="33">
        <v>1</v>
      </c>
      <c r="H10" s="34">
        <v>20.9</v>
      </c>
      <c r="I10">
        <v>3</v>
      </c>
      <c r="J10" s="35">
        <v>0</v>
      </c>
      <c r="K10" s="35">
        <v>0</v>
      </c>
      <c r="L10" s="35">
        <v>0</v>
      </c>
      <c r="M10">
        <v>3</v>
      </c>
      <c r="N10">
        <v>0</v>
      </c>
      <c r="O10">
        <v>3</v>
      </c>
      <c r="P10">
        <v>0</v>
      </c>
      <c r="Q10">
        <v>0</v>
      </c>
      <c r="R10">
        <v>0</v>
      </c>
      <c r="S10">
        <v>305</v>
      </c>
      <c r="T10">
        <v>0</v>
      </c>
      <c r="U10">
        <v>0</v>
      </c>
      <c r="V10">
        <v>0</v>
      </c>
      <c r="W10">
        <v>0</v>
      </c>
      <c r="X10" s="23" t="s">
        <v>55</v>
      </c>
      <c r="Y10" s="23" t="s">
        <v>55</v>
      </c>
      <c r="Z10" s="23" t="s">
        <v>55</v>
      </c>
      <c r="AA10" s="23">
        <v>0</v>
      </c>
      <c r="AB10">
        <v>0</v>
      </c>
      <c r="AC10">
        <v>0</v>
      </c>
      <c r="AD10">
        <v>0</v>
      </c>
      <c r="AE10">
        <v>0</v>
      </c>
      <c r="AF10" s="23" t="s">
        <v>55</v>
      </c>
      <c r="AG10" s="23" t="s">
        <v>55</v>
      </c>
      <c r="AH10" s="23" t="s">
        <v>55</v>
      </c>
      <c r="AI10" s="23" t="s">
        <v>55</v>
      </c>
      <c r="AJ10">
        <v>1</v>
      </c>
      <c r="AK10">
        <v>3</v>
      </c>
      <c r="AL10">
        <v>0</v>
      </c>
      <c r="AM10">
        <v>2</v>
      </c>
      <c r="AN10" s="23">
        <v>0</v>
      </c>
      <c r="AO10" s="23">
        <v>0.333333333333333</v>
      </c>
      <c r="AP10" s="23" t="s">
        <v>55</v>
      </c>
      <c r="AQ10" s="23">
        <v>0.5</v>
      </c>
      <c r="AR10" s="37">
        <v>0</v>
      </c>
      <c r="AS10" s="37">
        <v>0</v>
      </c>
      <c r="AT10" s="37">
        <v>3</v>
      </c>
      <c r="AU10" s="33" t="str">
        <f t="shared" si="3"/>
        <v>库存为3</v>
      </c>
      <c r="AV10" s="38" t="str">
        <f>IFERROR(时间!$B$4+AU10,"上周无销量")</f>
        <v>上周无销量</v>
      </c>
    </row>
    <row r="11" spans="1:48">
      <c r="A11" s="21" t="s">
        <v>73</v>
      </c>
      <c r="B11" t="s">
        <v>74</v>
      </c>
      <c r="C11" t="s">
        <v>72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3</v>
      </c>
      <c r="J11" s="35">
        <v>0</v>
      </c>
      <c r="K11" s="35">
        <v>0</v>
      </c>
      <c r="L11" s="35">
        <v>0</v>
      </c>
      <c r="M11">
        <v>3</v>
      </c>
      <c r="N11">
        <v>0</v>
      </c>
      <c r="O11">
        <v>3</v>
      </c>
      <c r="P11">
        <v>0</v>
      </c>
      <c r="Q11">
        <v>0</v>
      </c>
      <c r="R11">
        <v>0</v>
      </c>
      <c r="S11">
        <v>224</v>
      </c>
      <c r="T11">
        <v>0</v>
      </c>
      <c r="U11">
        <v>0</v>
      </c>
      <c r="V11">
        <v>0</v>
      </c>
      <c r="W11">
        <v>5</v>
      </c>
      <c r="X11" s="23" t="s">
        <v>55</v>
      </c>
      <c r="Y11" s="23" t="s">
        <v>55</v>
      </c>
      <c r="Z11" s="23" t="s">
        <v>55</v>
      </c>
      <c r="AA11" s="23">
        <v>0.0223214285714286</v>
      </c>
      <c r="AB11">
        <v>0</v>
      </c>
      <c r="AC11">
        <v>0</v>
      </c>
      <c r="AD11">
        <v>0</v>
      </c>
      <c r="AE11">
        <v>1.3</v>
      </c>
      <c r="AF11" s="23" t="s">
        <v>55</v>
      </c>
      <c r="AG11" s="23" t="s">
        <v>55</v>
      </c>
      <c r="AH11" s="23" t="s">
        <v>55</v>
      </c>
      <c r="AI11" s="23" t="s">
        <v>75</v>
      </c>
      <c r="AJ11">
        <v>4</v>
      </c>
      <c r="AK11">
        <v>0</v>
      </c>
      <c r="AL11">
        <v>0</v>
      </c>
      <c r="AM11">
        <v>1</v>
      </c>
      <c r="AN11" s="23">
        <v>0</v>
      </c>
      <c r="AO11" s="23" t="s">
        <v>55</v>
      </c>
      <c r="AP11" s="23" t="s">
        <v>55</v>
      </c>
      <c r="AQ11" s="23">
        <v>0</v>
      </c>
      <c r="AR11" s="37">
        <v>0</v>
      </c>
      <c r="AS11" s="37">
        <v>0</v>
      </c>
      <c r="AT11" s="37">
        <v>3</v>
      </c>
      <c r="AU11" s="33" t="str">
        <f t="shared" si="3"/>
        <v>库存为3</v>
      </c>
      <c r="AV11" s="38" t="str">
        <f>IFERROR(时间!$B$4+AU11,"上周无销量")</f>
        <v>上周无销量</v>
      </c>
    </row>
    <row r="12" spans="1:48">
      <c r="A12" s="21" t="s">
        <v>76</v>
      </c>
      <c r="B12" t="s">
        <v>77</v>
      </c>
      <c r="C12" t="s">
        <v>72</v>
      </c>
      <c r="D12" s="33">
        <v>1</v>
      </c>
      <c r="E12" s="33">
        <v>0</v>
      </c>
      <c r="F12" s="33">
        <v>0</v>
      </c>
      <c r="G12" s="33">
        <v>0</v>
      </c>
      <c r="H12" s="34">
        <v>20.9</v>
      </c>
      <c r="I12">
        <v>0</v>
      </c>
      <c r="J12" s="35">
        <v>0</v>
      </c>
      <c r="K12" s="35">
        <v>0</v>
      </c>
      <c r="L12" s="35">
        <v>0</v>
      </c>
      <c r="M12">
        <v>0</v>
      </c>
      <c r="N12">
        <v>0</v>
      </c>
      <c r="O12">
        <v>1</v>
      </c>
      <c r="P12" t="s">
        <v>55</v>
      </c>
      <c r="Q12" t="s">
        <v>55</v>
      </c>
      <c r="R12" t="s">
        <v>55</v>
      </c>
      <c r="S12" t="s">
        <v>55</v>
      </c>
      <c r="T12" t="s">
        <v>55</v>
      </c>
      <c r="U12" t="s">
        <v>55</v>
      </c>
      <c r="V12" t="s">
        <v>55</v>
      </c>
      <c r="W12" t="s">
        <v>55</v>
      </c>
      <c r="X12" s="23" t="s">
        <v>55</v>
      </c>
      <c r="Y12" s="23" t="s">
        <v>55</v>
      </c>
      <c r="Z12" s="23" t="s">
        <v>55</v>
      </c>
      <c r="AA12" s="23" t="s">
        <v>55</v>
      </c>
      <c r="AB12" t="s">
        <v>55</v>
      </c>
      <c r="AC12" t="s">
        <v>55</v>
      </c>
      <c r="AD12" t="s">
        <v>55</v>
      </c>
      <c r="AE12" t="s">
        <v>55</v>
      </c>
      <c r="AF12" s="23" t="s">
        <v>55</v>
      </c>
      <c r="AG12" s="23" t="s">
        <v>55</v>
      </c>
      <c r="AH12" s="23" t="s">
        <v>55</v>
      </c>
      <c r="AI12" s="23" t="s">
        <v>55</v>
      </c>
      <c r="AJ12">
        <v>0</v>
      </c>
      <c r="AK12">
        <v>1</v>
      </c>
      <c r="AL12">
        <v>3</v>
      </c>
      <c r="AM12">
        <v>1</v>
      </c>
      <c r="AN12" s="23" t="s">
        <v>55</v>
      </c>
      <c r="AO12" s="23">
        <v>0</v>
      </c>
      <c r="AP12" s="23">
        <v>0</v>
      </c>
      <c r="AQ12" s="23">
        <v>0</v>
      </c>
      <c r="AR12" s="37">
        <v>0.142857142857143</v>
      </c>
      <c r="AS12" s="37">
        <v>8.57142857142857</v>
      </c>
      <c r="AT12" s="37">
        <v>-8.57142857142857</v>
      </c>
      <c r="AU12" s="33">
        <f t="shared" si="3"/>
        <v>0</v>
      </c>
      <c r="AV12" s="38">
        <f>IFERROR(时间!$B$4+AU12,"上周无销量")</f>
        <v>43283</v>
      </c>
    </row>
    <row r="13" spans="1:48">
      <c r="A13" s="21" t="s">
        <v>78</v>
      </c>
      <c r="B13" t="s">
        <v>79</v>
      </c>
      <c r="C13" t="s">
        <v>80</v>
      </c>
      <c r="D13" s="33">
        <v>0</v>
      </c>
      <c r="E13" s="33">
        <v>0</v>
      </c>
      <c r="F13" s="33">
        <v>0</v>
      </c>
      <c r="G13" s="33">
        <v>1</v>
      </c>
      <c r="H13" s="34">
        <v>20.9</v>
      </c>
      <c r="I13">
        <v>2</v>
      </c>
      <c r="J13" s="35">
        <v>0</v>
      </c>
      <c r="K13" s="35">
        <v>0</v>
      </c>
      <c r="L13" s="35">
        <v>0</v>
      </c>
      <c r="M13">
        <v>2</v>
      </c>
      <c r="N13">
        <v>0</v>
      </c>
      <c r="O13">
        <v>2</v>
      </c>
      <c r="P13">
        <v>0</v>
      </c>
      <c r="Q13">
        <v>0</v>
      </c>
      <c r="R13">
        <v>0</v>
      </c>
      <c r="S13">
        <v>179</v>
      </c>
      <c r="T13">
        <v>0</v>
      </c>
      <c r="U13">
        <v>0</v>
      </c>
      <c r="V13">
        <v>0</v>
      </c>
      <c r="W13">
        <v>1</v>
      </c>
      <c r="X13" s="23" t="s">
        <v>55</v>
      </c>
      <c r="Y13" s="23" t="s">
        <v>55</v>
      </c>
      <c r="Z13" s="23" t="s">
        <v>55</v>
      </c>
      <c r="AA13" s="23">
        <v>0.00558659217877095</v>
      </c>
      <c r="AB13">
        <v>0</v>
      </c>
      <c r="AC13">
        <v>0</v>
      </c>
      <c r="AD13">
        <v>0</v>
      </c>
      <c r="AE13">
        <v>0.16</v>
      </c>
      <c r="AF13" s="23" t="s">
        <v>55</v>
      </c>
      <c r="AG13" s="23" t="s">
        <v>55</v>
      </c>
      <c r="AH13" s="23" t="s">
        <v>55</v>
      </c>
      <c r="AI13" s="23">
        <v>0.0076555023923445</v>
      </c>
      <c r="AJ13">
        <v>2</v>
      </c>
      <c r="AK13">
        <v>4</v>
      </c>
      <c r="AL13">
        <v>1</v>
      </c>
      <c r="AM13">
        <v>4</v>
      </c>
      <c r="AN13" s="23">
        <v>0</v>
      </c>
      <c r="AO13" s="23">
        <v>0</v>
      </c>
      <c r="AP13" s="23">
        <v>0</v>
      </c>
      <c r="AQ13" s="23">
        <v>0.25</v>
      </c>
      <c r="AR13" s="37">
        <v>0</v>
      </c>
      <c r="AS13" s="37">
        <v>0</v>
      </c>
      <c r="AT13" s="37">
        <v>2</v>
      </c>
      <c r="AU13" s="33" t="str">
        <f t="shared" si="3"/>
        <v>库存为2</v>
      </c>
      <c r="AV13" s="38" t="str">
        <f>IFERROR(时间!$B$4+AU13,"上周无销量")</f>
        <v>上周无销量</v>
      </c>
    </row>
    <row r="14" spans="1:48">
      <c r="A14" s="21" t="s">
        <v>81</v>
      </c>
      <c r="B14" t="s">
        <v>82</v>
      </c>
      <c r="C14" t="s">
        <v>80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55</v>
      </c>
      <c r="Q14" t="s">
        <v>55</v>
      </c>
      <c r="R14" t="s">
        <v>55</v>
      </c>
      <c r="S14" t="s">
        <v>55</v>
      </c>
      <c r="T14" t="s">
        <v>55</v>
      </c>
      <c r="U14" t="s">
        <v>55</v>
      </c>
      <c r="V14" t="s">
        <v>55</v>
      </c>
      <c r="W14" t="s">
        <v>55</v>
      </c>
      <c r="X14" s="23" t="s">
        <v>55</v>
      </c>
      <c r="Y14" s="23" t="s">
        <v>55</v>
      </c>
      <c r="Z14" s="23" t="s">
        <v>55</v>
      </c>
      <c r="AA14" s="23" t="s">
        <v>55</v>
      </c>
      <c r="AB14" t="s">
        <v>55</v>
      </c>
      <c r="AC14" t="s">
        <v>55</v>
      </c>
      <c r="AD14" t="s">
        <v>55</v>
      </c>
      <c r="AE14" t="s">
        <v>55</v>
      </c>
      <c r="AF14" s="23" t="s">
        <v>55</v>
      </c>
      <c r="AG14" s="23" t="s">
        <v>55</v>
      </c>
      <c r="AH14" s="23" t="s">
        <v>55</v>
      </c>
      <c r="AI14" s="23" t="s">
        <v>55</v>
      </c>
      <c r="AJ14">
        <v>0</v>
      </c>
      <c r="AK14">
        <v>0</v>
      </c>
      <c r="AL14">
        <v>0</v>
      </c>
      <c r="AM14">
        <v>0</v>
      </c>
      <c r="AN14" s="23" t="s">
        <v>55</v>
      </c>
      <c r="AO14" s="23" t="s">
        <v>55</v>
      </c>
      <c r="AP14" s="23" t="s">
        <v>55</v>
      </c>
      <c r="AQ14" s="23" t="s">
        <v>55</v>
      </c>
      <c r="AR14" s="37">
        <v>0</v>
      </c>
      <c r="AS14" s="37">
        <v>0</v>
      </c>
      <c r="AT14" s="37">
        <v>0</v>
      </c>
      <c r="AU14" s="33" t="str">
        <f t="shared" si="3"/>
        <v>库存为0</v>
      </c>
      <c r="AV14" s="38" t="str">
        <f>IFERROR(时间!$B$4+AU14,"上周无销量")</f>
        <v>上周无销量</v>
      </c>
    </row>
    <row r="15" spans="1:48">
      <c r="A15" s="21" t="s">
        <v>83</v>
      </c>
      <c r="B15" t="s">
        <v>84</v>
      </c>
      <c r="C15" t="s">
        <v>80</v>
      </c>
      <c r="D15" s="33">
        <v>0</v>
      </c>
      <c r="E15" s="33">
        <v>0</v>
      </c>
      <c r="F15" s="33">
        <v>1</v>
      </c>
      <c r="G15" s="33">
        <v>1</v>
      </c>
      <c r="H15" s="34">
        <v>10.45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41</v>
      </c>
      <c r="T15">
        <v>0</v>
      </c>
      <c r="U15">
        <v>0</v>
      </c>
      <c r="V15">
        <v>0</v>
      </c>
      <c r="W15">
        <v>0</v>
      </c>
      <c r="X15" s="23" t="s">
        <v>55</v>
      </c>
      <c r="Y15" s="23" t="s">
        <v>55</v>
      </c>
      <c r="Z15" s="23" t="s">
        <v>55</v>
      </c>
      <c r="AA15" s="23">
        <v>0</v>
      </c>
      <c r="AB15">
        <v>0</v>
      </c>
      <c r="AC15">
        <v>0</v>
      </c>
      <c r="AD15">
        <v>0</v>
      </c>
      <c r="AE15">
        <v>0</v>
      </c>
      <c r="AF15" s="23" t="s">
        <v>55</v>
      </c>
      <c r="AG15" s="23" t="s">
        <v>55</v>
      </c>
      <c r="AH15" s="23" t="s">
        <v>55</v>
      </c>
      <c r="AI15" s="23" t="s">
        <v>55</v>
      </c>
      <c r="AJ15">
        <v>0</v>
      </c>
      <c r="AK15">
        <v>0</v>
      </c>
      <c r="AL15">
        <v>0</v>
      </c>
      <c r="AM15">
        <v>3</v>
      </c>
      <c r="AN15" s="23" t="s">
        <v>55</v>
      </c>
      <c r="AO15" s="23" t="s">
        <v>55</v>
      </c>
      <c r="AP15" s="23" t="s">
        <v>55</v>
      </c>
      <c r="AQ15" s="23">
        <v>0.333333333333333</v>
      </c>
      <c r="AR15" s="37">
        <v>0</v>
      </c>
      <c r="AS15" s="37">
        <v>0</v>
      </c>
      <c r="AT15" s="37">
        <v>0</v>
      </c>
      <c r="AU15" s="33" t="str">
        <f t="shared" si="3"/>
        <v>库存为0</v>
      </c>
      <c r="AV15" s="38" t="str">
        <f>IFERROR(时间!$B$4+AU15,"上周无销量")</f>
        <v>上周无销量</v>
      </c>
    </row>
    <row r="16" spans="1:48">
      <c r="A16" s="21" t="s">
        <v>85</v>
      </c>
      <c r="B16" t="s">
        <v>86</v>
      </c>
      <c r="C16" t="s">
        <v>80</v>
      </c>
      <c r="D16" s="33">
        <v>0</v>
      </c>
      <c r="E16" s="33">
        <v>0</v>
      </c>
      <c r="F16" s="33">
        <v>1</v>
      </c>
      <c r="G16" s="33">
        <v>1</v>
      </c>
      <c r="H16" s="34">
        <v>20.9</v>
      </c>
      <c r="I16">
        <v>2</v>
      </c>
      <c r="J16" s="35">
        <v>0</v>
      </c>
      <c r="K16" s="35">
        <v>0</v>
      </c>
      <c r="L16" s="35">
        <v>0</v>
      </c>
      <c r="M16">
        <v>2</v>
      </c>
      <c r="N16">
        <v>0</v>
      </c>
      <c r="O16">
        <v>2</v>
      </c>
      <c r="P16">
        <v>0</v>
      </c>
      <c r="Q16">
        <v>0</v>
      </c>
      <c r="R16">
        <v>0</v>
      </c>
      <c r="S16">
        <v>395</v>
      </c>
      <c r="T16">
        <v>0</v>
      </c>
      <c r="U16">
        <v>0</v>
      </c>
      <c r="V16">
        <v>0</v>
      </c>
      <c r="W16">
        <v>3</v>
      </c>
      <c r="X16" s="23" t="s">
        <v>55</v>
      </c>
      <c r="Y16" s="23" t="s">
        <v>55</v>
      </c>
      <c r="Z16" s="23" t="s">
        <v>55</v>
      </c>
      <c r="AA16" s="23">
        <v>0.00759493670886076</v>
      </c>
      <c r="AB16">
        <v>0</v>
      </c>
      <c r="AC16">
        <v>0</v>
      </c>
      <c r="AD16">
        <v>0</v>
      </c>
      <c r="AE16">
        <v>0.92</v>
      </c>
      <c r="AF16" s="23" t="s">
        <v>55</v>
      </c>
      <c r="AG16" s="23" t="s">
        <v>55</v>
      </c>
      <c r="AH16" s="23" t="s">
        <v>55</v>
      </c>
      <c r="AI16" s="23">
        <v>0.0440191387559809</v>
      </c>
      <c r="AJ16">
        <v>1</v>
      </c>
      <c r="AK16">
        <v>2</v>
      </c>
      <c r="AL16">
        <v>1</v>
      </c>
      <c r="AM16">
        <v>5</v>
      </c>
      <c r="AN16" s="23">
        <v>0</v>
      </c>
      <c r="AO16" s="23">
        <v>0</v>
      </c>
      <c r="AP16" s="23">
        <v>1</v>
      </c>
      <c r="AQ16" s="23">
        <v>0.2</v>
      </c>
      <c r="AR16" s="37">
        <v>0</v>
      </c>
      <c r="AS16" s="37">
        <v>0</v>
      </c>
      <c r="AT16" s="37">
        <v>2</v>
      </c>
      <c r="AU16" s="33" t="str">
        <f t="shared" si="3"/>
        <v>库存为2</v>
      </c>
      <c r="AV16" s="38" t="str">
        <f>IFERROR(时间!$B$4+AU16,"上周无销量")</f>
        <v>上周无销量</v>
      </c>
    </row>
    <row r="17" spans="1:48">
      <c r="A17" s="21" t="s">
        <v>87</v>
      </c>
      <c r="B17" t="s">
        <v>88</v>
      </c>
      <c r="C17" t="s">
        <v>80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5</v>
      </c>
      <c r="J17" s="35">
        <v>0</v>
      </c>
      <c r="K17" s="35">
        <v>0</v>
      </c>
      <c r="L17" s="35">
        <v>0</v>
      </c>
      <c r="M17">
        <v>5</v>
      </c>
      <c r="N17">
        <v>0</v>
      </c>
      <c r="O17">
        <v>5</v>
      </c>
      <c r="P17">
        <v>0</v>
      </c>
      <c r="Q17">
        <v>0</v>
      </c>
      <c r="R17">
        <v>0</v>
      </c>
      <c r="S17">
        <v>266</v>
      </c>
      <c r="T17">
        <v>0</v>
      </c>
      <c r="U17">
        <v>0</v>
      </c>
      <c r="V17">
        <v>0</v>
      </c>
      <c r="W17">
        <v>3</v>
      </c>
      <c r="X17" s="23" t="s">
        <v>55</v>
      </c>
      <c r="Y17" s="23" t="s">
        <v>55</v>
      </c>
      <c r="Z17" s="23" t="s">
        <v>55</v>
      </c>
      <c r="AA17" s="23">
        <v>0.0112781954887218</v>
      </c>
      <c r="AB17">
        <v>0</v>
      </c>
      <c r="AC17">
        <v>0</v>
      </c>
      <c r="AD17">
        <v>0</v>
      </c>
      <c r="AE17">
        <v>0.93</v>
      </c>
      <c r="AF17" s="23" t="s">
        <v>55</v>
      </c>
      <c r="AG17" s="23" t="s">
        <v>55</v>
      </c>
      <c r="AH17" s="23" t="s">
        <v>55</v>
      </c>
      <c r="AI17" s="23" t="s">
        <v>89</v>
      </c>
      <c r="AJ17">
        <v>3</v>
      </c>
      <c r="AK17">
        <v>2</v>
      </c>
      <c r="AL17">
        <v>1</v>
      </c>
      <c r="AM17">
        <v>2</v>
      </c>
      <c r="AN17" s="23">
        <v>0</v>
      </c>
      <c r="AO17" s="23">
        <v>0</v>
      </c>
      <c r="AP17" s="23">
        <v>0</v>
      </c>
      <c r="AQ17" s="23">
        <v>0</v>
      </c>
      <c r="AR17" s="37">
        <v>0</v>
      </c>
      <c r="AS17" s="37">
        <v>0</v>
      </c>
      <c r="AT17" s="37">
        <v>5</v>
      </c>
      <c r="AU17" s="33" t="str">
        <f t="shared" si="3"/>
        <v>库存为5</v>
      </c>
      <c r="AV17" s="38" t="str">
        <f>IFERROR(时间!$B$4+AU17,"上周无销量")</f>
        <v>上周无销量</v>
      </c>
    </row>
    <row r="18" spans="1:48">
      <c r="A18" s="21" t="s">
        <v>90</v>
      </c>
      <c r="B18" t="s">
        <v>91</v>
      </c>
      <c r="C18" t="s">
        <v>80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3</v>
      </c>
      <c r="J18" s="35">
        <v>0</v>
      </c>
      <c r="K18" s="35">
        <v>0</v>
      </c>
      <c r="L18" s="35">
        <v>0</v>
      </c>
      <c r="M18">
        <v>3</v>
      </c>
      <c r="N18">
        <v>0</v>
      </c>
      <c r="O18">
        <v>4</v>
      </c>
      <c r="P18">
        <v>0</v>
      </c>
      <c r="Q18">
        <v>0</v>
      </c>
      <c r="R18">
        <v>0</v>
      </c>
      <c r="S18">
        <v>101</v>
      </c>
      <c r="T18">
        <v>0</v>
      </c>
      <c r="U18">
        <v>0</v>
      </c>
      <c r="V18">
        <v>0</v>
      </c>
      <c r="W18">
        <v>0</v>
      </c>
      <c r="X18" s="23" t="s">
        <v>55</v>
      </c>
      <c r="Y18" s="23" t="s">
        <v>55</v>
      </c>
      <c r="Z18" s="23" t="s">
        <v>55</v>
      </c>
      <c r="AA18" s="23">
        <v>0</v>
      </c>
      <c r="AB18">
        <v>0</v>
      </c>
      <c r="AC18">
        <v>0</v>
      </c>
      <c r="AD18">
        <v>0</v>
      </c>
      <c r="AE18">
        <v>0</v>
      </c>
      <c r="AF18" s="23" t="s">
        <v>55</v>
      </c>
      <c r="AG18" s="23" t="s">
        <v>55</v>
      </c>
      <c r="AH18" s="23" t="s">
        <v>55</v>
      </c>
      <c r="AI18" s="23" t="s">
        <v>55</v>
      </c>
      <c r="AJ18">
        <v>1</v>
      </c>
      <c r="AK18">
        <v>0</v>
      </c>
      <c r="AL18">
        <v>0</v>
      </c>
      <c r="AM18">
        <v>6</v>
      </c>
      <c r="AN18" s="23">
        <v>0</v>
      </c>
      <c r="AO18" s="23" t="s">
        <v>55</v>
      </c>
      <c r="AP18" s="23" t="s">
        <v>55</v>
      </c>
      <c r="AQ18" s="23">
        <v>0</v>
      </c>
      <c r="AR18" s="37">
        <v>0</v>
      </c>
      <c r="AS18" s="37">
        <v>0</v>
      </c>
      <c r="AT18" s="37">
        <v>3</v>
      </c>
      <c r="AU18" s="33" t="str">
        <f t="shared" si="3"/>
        <v>库存为3</v>
      </c>
      <c r="AV18" s="38" t="str">
        <f>IFERROR(时间!$B$4+AU18,"上周无销量")</f>
        <v>上周无销量</v>
      </c>
    </row>
    <row r="19" spans="1:48">
      <c r="A19" s="21" t="s">
        <v>92</v>
      </c>
      <c r="B19" t="s">
        <v>93</v>
      </c>
      <c r="C19" t="s">
        <v>80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5</v>
      </c>
      <c r="J19" s="35">
        <v>0</v>
      </c>
      <c r="K19" s="35">
        <v>0</v>
      </c>
      <c r="L19" s="35">
        <v>0</v>
      </c>
      <c r="M19">
        <v>5</v>
      </c>
      <c r="N19">
        <v>0</v>
      </c>
      <c r="O19">
        <v>5</v>
      </c>
      <c r="P19">
        <v>0</v>
      </c>
      <c r="Q19">
        <v>0</v>
      </c>
      <c r="R19">
        <v>0</v>
      </c>
      <c r="S19">
        <v>327</v>
      </c>
      <c r="T19">
        <v>0</v>
      </c>
      <c r="U19">
        <v>0</v>
      </c>
      <c r="V19">
        <v>0</v>
      </c>
      <c r="W19">
        <v>1</v>
      </c>
      <c r="X19" s="23" t="s">
        <v>55</v>
      </c>
      <c r="Y19" s="23" t="s">
        <v>55</v>
      </c>
      <c r="Z19" s="23" t="s">
        <v>55</v>
      </c>
      <c r="AA19" s="23">
        <v>0.00305810397553517</v>
      </c>
      <c r="AB19">
        <v>0</v>
      </c>
      <c r="AC19">
        <v>0</v>
      </c>
      <c r="AD19">
        <v>0</v>
      </c>
      <c r="AE19">
        <v>0.34</v>
      </c>
      <c r="AF19" s="23" t="s">
        <v>55</v>
      </c>
      <c r="AG19" s="23" t="s">
        <v>55</v>
      </c>
      <c r="AH19" s="23" t="s">
        <v>55</v>
      </c>
      <c r="AI19" s="23" t="s">
        <v>94</v>
      </c>
      <c r="AJ19">
        <v>1</v>
      </c>
      <c r="AK19">
        <v>3</v>
      </c>
      <c r="AL19">
        <v>1</v>
      </c>
      <c r="AM19">
        <v>6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5</v>
      </c>
      <c r="AU19" s="33" t="str">
        <f t="shared" si="3"/>
        <v>库存为5</v>
      </c>
      <c r="AV19" s="38" t="str">
        <f>IFERROR(时间!$B$4+AU19,"上周无销量")</f>
        <v>上周无销量</v>
      </c>
    </row>
    <row r="20" spans="1:48">
      <c r="A20" s="21" t="s">
        <v>95</v>
      </c>
      <c r="B20" t="s">
        <v>96</v>
      </c>
      <c r="C20" t="s">
        <v>97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0</v>
      </c>
      <c r="J20" s="35">
        <v>0</v>
      </c>
      <c r="K20" s="35">
        <v>0</v>
      </c>
      <c r="L20" s="35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102</v>
      </c>
      <c r="T20">
        <v>0</v>
      </c>
      <c r="U20">
        <v>0</v>
      </c>
      <c r="V20">
        <v>0</v>
      </c>
      <c r="W20">
        <v>0</v>
      </c>
      <c r="X20" s="23" t="s">
        <v>55</v>
      </c>
      <c r="Y20" s="23" t="s">
        <v>55</v>
      </c>
      <c r="Z20" s="23" t="s">
        <v>55</v>
      </c>
      <c r="AA20" s="23">
        <v>0</v>
      </c>
      <c r="AB20">
        <v>0</v>
      </c>
      <c r="AC20">
        <v>0</v>
      </c>
      <c r="AD20">
        <v>0</v>
      </c>
      <c r="AE20">
        <v>0</v>
      </c>
      <c r="AF20" s="23" t="s">
        <v>55</v>
      </c>
      <c r="AG20" s="23" t="s">
        <v>55</v>
      </c>
      <c r="AH20" s="23" t="s">
        <v>55</v>
      </c>
      <c r="AI20" s="23" t="s">
        <v>55</v>
      </c>
      <c r="AJ20">
        <v>0</v>
      </c>
      <c r="AK20">
        <v>0</v>
      </c>
      <c r="AL20">
        <v>0</v>
      </c>
      <c r="AM20">
        <v>0</v>
      </c>
      <c r="AN20" s="23" t="s">
        <v>55</v>
      </c>
      <c r="AO20" s="23" t="s">
        <v>55</v>
      </c>
      <c r="AP20" s="23" t="s">
        <v>55</v>
      </c>
      <c r="AQ20" s="23" t="s">
        <v>55</v>
      </c>
      <c r="AR20" s="37">
        <v>0</v>
      </c>
      <c r="AS20" s="37">
        <v>0</v>
      </c>
      <c r="AT20" s="37">
        <v>0</v>
      </c>
      <c r="AU20" s="33" t="str">
        <f t="shared" si="3"/>
        <v>库存为0</v>
      </c>
      <c r="AV20" s="38" t="str">
        <f>IFERROR(时间!$B$4+AU20,"上周无销量")</f>
        <v>上周无销量</v>
      </c>
    </row>
    <row r="21" spans="1:48">
      <c r="A21" s="21" t="s">
        <v>98</v>
      </c>
      <c r="B21" t="s">
        <v>99</v>
      </c>
      <c r="C21" t="s">
        <v>100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0</v>
      </c>
      <c r="J21" s="35">
        <v>0</v>
      </c>
      <c r="K21" s="35">
        <v>0</v>
      </c>
      <c r="L21" s="35">
        <v>0</v>
      </c>
      <c r="M21">
        <v>0</v>
      </c>
      <c r="N21">
        <v>0</v>
      </c>
      <c r="O21">
        <v>0</v>
      </c>
      <c r="P21" t="s">
        <v>55</v>
      </c>
      <c r="Q21" t="s">
        <v>55</v>
      </c>
      <c r="R21" t="s">
        <v>55</v>
      </c>
      <c r="S21" t="s">
        <v>55</v>
      </c>
      <c r="T21" t="s">
        <v>55</v>
      </c>
      <c r="U21" t="s">
        <v>55</v>
      </c>
      <c r="V21" t="s">
        <v>55</v>
      </c>
      <c r="W21" t="s">
        <v>55</v>
      </c>
      <c r="X21" s="23" t="s">
        <v>55</v>
      </c>
      <c r="Y21" s="23" t="s">
        <v>55</v>
      </c>
      <c r="Z21" s="23" t="s">
        <v>55</v>
      </c>
      <c r="AA21" s="23" t="s">
        <v>55</v>
      </c>
      <c r="AB21" t="s">
        <v>55</v>
      </c>
      <c r="AC21" t="s">
        <v>55</v>
      </c>
      <c r="AD21" t="s">
        <v>55</v>
      </c>
      <c r="AE21" t="s">
        <v>55</v>
      </c>
      <c r="AF21" s="23" t="s">
        <v>55</v>
      </c>
      <c r="AG21" s="23" t="s">
        <v>55</v>
      </c>
      <c r="AH21" s="23" t="s">
        <v>55</v>
      </c>
      <c r="AI21" s="23" t="s">
        <v>55</v>
      </c>
      <c r="AJ21">
        <v>0</v>
      </c>
      <c r="AK21">
        <v>0</v>
      </c>
      <c r="AL21">
        <v>0</v>
      </c>
      <c r="AM21">
        <v>0</v>
      </c>
      <c r="AN21" s="23" t="s">
        <v>55</v>
      </c>
      <c r="AO21" s="23" t="s">
        <v>55</v>
      </c>
      <c r="AP21" s="23" t="s">
        <v>55</v>
      </c>
      <c r="AQ21" s="23" t="s">
        <v>55</v>
      </c>
      <c r="AR21" s="37">
        <v>0</v>
      </c>
      <c r="AS21" s="37">
        <v>0</v>
      </c>
      <c r="AT21" s="37">
        <v>0</v>
      </c>
      <c r="AU21" s="33" t="str">
        <f t="shared" si="3"/>
        <v>库存为0</v>
      </c>
      <c r="AV21" s="38" t="str">
        <f>IFERROR(时间!$B$4+AU21,"上周无销量")</f>
        <v>上周无销量</v>
      </c>
    </row>
    <row r="22" spans="1:48">
      <c r="A22" s="21" t="s">
        <v>101</v>
      </c>
      <c r="B22" t="s">
        <v>102</v>
      </c>
      <c r="C22" t="s">
        <v>100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1</v>
      </c>
      <c r="J22" s="35">
        <v>0</v>
      </c>
      <c r="K22" s="35">
        <v>0</v>
      </c>
      <c r="L22" s="35">
        <v>0</v>
      </c>
      <c r="M22">
        <v>1</v>
      </c>
      <c r="N22">
        <v>0</v>
      </c>
      <c r="O22">
        <v>0</v>
      </c>
      <c r="P22" t="s">
        <v>55</v>
      </c>
      <c r="Q22" t="s">
        <v>55</v>
      </c>
      <c r="R22" t="s">
        <v>55</v>
      </c>
      <c r="S22" t="s">
        <v>55</v>
      </c>
      <c r="T22" t="s">
        <v>55</v>
      </c>
      <c r="U22" t="s">
        <v>55</v>
      </c>
      <c r="V22" t="s">
        <v>55</v>
      </c>
      <c r="W22" t="s">
        <v>55</v>
      </c>
      <c r="X22" s="23" t="s">
        <v>55</v>
      </c>
      <c r="Y22" s="23" t="s">
        <v>55</v>
      </c>
      <c r="Z22" s="23" t="s">
        <v>55</v>
      </c>
      <c r="AA22" s="23" t="s">
        <v>55</v>
      </c>
      <c r="AB22" t="s">
        <v>55</v>
      </c>
      <c r="AC22" t="s">
        <v>55</v>
      </c>
      <c r="AD22" t="s">
        <v>55</v>
      </c>
      <c r="AE22" t="s">
        <v>55</v>
      </c>
      <c r="AF22" s="23" t="s">
        <v>55</v>
      </c>
      <c r="AG22" s="23" t="s">
        <v>55</v>
      </c>
      <c r="AH22" s="23" t="s">
        <v>55</v>
      </c>
      <c r="AI22" s="23" t="s">
        <v>55</v>
      </c>
      <c r="AJ22">
        <v>3</v>
      </c>
      <c r="AK22">
        <v>1</v>
      </c>
      <c r="AL22">
        <v>0</v>
      </c>
      <c r="AM22">
        <v>0</v>
      </c>
      <c r="AN22" s="23">
        <v>0</v>
      </c>
      <c r="AO22" s="23">
        <v>0</v>
      </c>
      <c r="AP22" s="23" t="s">
        <v>55</v>
      </c>
      <c r="AQ22" s="23" t="s">
        <v>55</v>
      </c>
      <c r="AR22" s="37">
        <v>0</v>
      </c>
      <c r="AS22" s="37">
        <v>0</v>
      </c>
      <c r="AT22" s="37">
        <v>1</v>
      </c>
      <c r="AU22" s="33" t="str">
        <f t="shared" si="3"/>
        <v>库存为1</v>
      </c>
      <c r="AV22" s="38" t="str">
        <f>IFERROR(时间!$B$4+AU22,"上周无销量")</f>
        <v>上周无销量</v>
      </c>
    </row>
    <row r="23" spans="1:48">
      <c r="A23" s="21" t="s">
        <v>103</v>
      </c>
      <c r="B23" t="s">
        <v>104</v>
      </c>
      <c r="C23" t="s">
        <v>105</v>
      </c>
      <c r="D23" s="33">
        <v>0</v>
      </c>
      <c r="E23" s="33">
        <v>0</v>
      </c>
      <c r="F23" s="33">
        <v>0</v>
      </c>
      <c r="G23" s="33">
        <v>1</v>
      </c>
      <c r="H23" s="34">
        <v>29.9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444</v>
      </c>
      <c r="T23">
        <v>0</v>
      </c>
      <c r="U23">
        <v>0</v>
      </c>
      <c r="V23">
        <v>0</v>
      </c>
      <c r="W23">
        <v>1</v>
      </c>
      <c r="X23" s="23" t="s">
        <v>55</v>
      </c>
      <c r="Y23" s="23" t="s">
        <v>55</v>
      </c>
      <c r="Z23" s="23" t="s">
        <v>55</v>
      </c>
      <c r="AA23" s="23">
        <v>0.00225225225225225</v>
      </c>
      <c r="AB23">
        <v>0</v>
      </c>
      <c r="AC23">
        <v>0</v>
      </c>
      <c r="AD23">
        <v>0</v>
      </c>
      <c r="AE23">
        <v>0.38</v>
      </c>
      <c r="AF23" s="23" t="s">
        <v>55</v>
      </c>
      <c r="AG23" s="23" t="s">
        <v>55</v>
      </c>
      <c r="AH23" s="23" t="s">
        <v>55</v>
      </c>
      <c r="AI23" s="23">
        <v>0.0127090301003344</v>
      </c>
      <c r="AJ23">
        <v>0</v>
      </c>
      <c r="AK23">
        <v>0</v>
      </c>
      <c r="AL23">
        <v>0</v>
      </c>
      <c r="AM23">
        <v>10</v>
      </c>
      <c r="AN23" s="23" t="s">
        <v>55</v>
      </c>
      <c r="AO23" s="23" t="s">
        <v>55</v>
      </c>
      <c r="AP23" s="23" t="s">
        <v>55</v>
      </c>
      <c r="AQ23" s="23">
        <v>0.1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106</v>
      </c>
      <c r="B24" t="s">
        <v>107</v>
      </c>
      <c r="C24" t="s">
        <v>105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55</v>
      </c>
      <c r="Q24" t="s">
        <v>55</v>
      </c>
      <c r="R24" t="s">
        <v>55</v>
      </c>
      <c r="S24" t="s">
        <v>55</v>
      </c>
      <c r="T24" t="s">
        <v>55</v>
      </c>
      <c r="U24" t="s">
        <v>55</v>
      </c>
      <c r="V24" t="s">
        <v>55</v>
      </c>
      <c r="W24" t="s">
        <v>55</v>
      </c>
      <c r="X24" s="23" t="s">
        <v>55</v>
      </c>
      <c r="Y24" s="23" t="s">
        <v>55</v>
      </c>
      <c r="Z24" s="23" t="s">
        <v>55</v>
      </c>
      <c r="AA24" s="23" t="s">
        <v>55</v>
      </c>
      <c r="AB24" t="s">
        <v>55</v>
      </c>
      <c r="AC24" t="s">
        <v>55</v>
      </c>
      <c r="AD24" t="s">
        <v>55</v>
      </c>
      <c r="AE24" t="s">
        <v>55</v>
      </c>
      <c r="AF24" s="23" t="s">
        <v>55</v>
      </c>
      <c r="AG24" s="23" t="s">
        <v>55</v>
      </c>
      <c r="AH24" s="23" t="s">
        <v>55</v>
      </c>
      <c r="AI24" s="23" t="s">
        <v>55</v>
      </c>
      <c r="AJ24">
        <v>0</v>
      </c>
      <c r="AK24">
        <v>0</v>
      </c>
      <c r="AL24">
        <v>0</v>
      </c>
      <c r="AM24">
        <v>0</v>
      </c>
      <c r="AN24" s="23" t="s">
        <v>55</v>
      </c>
      <c r="AO24" s="23" t="s">
        <v>55</v>
      </c>
      <c r="AP24" s="23" t="s">
        <v>55</v>
      </c>
      <c r="AQ24" s="23" t="s">
        <v>55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108</v>
      </c>
      <c r="B25" t="s">
        <v>109</v>
      </c>
      <c r="C25" t="s">
        <v>105</v>
      </c>
      <c r="D25" s="33">
        <v>0</v>
      </c>
      <c r="E25" s="33">
        <v>0</v>
      </c>
      <c r="F25" s="33">
        <v>1</v>
      </c>
      <c r="G25" s="33">
        <v>1</v>
      </c>
      <c r="H25" s="34">
        <v>14.95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404</v>
      </c>
      <c r="T25">
        <v>0</v>
      </c>
      <c r="U25">
        <v>0</v>
      </c>
      <c r="V25">
        <v>0</v>
      </c>
      <c r="W25">
        <v>3</v>
      </c>
      <c r="X25" s="23" t="s">
        <v>55</v>
      </c>
      <c r="Y25" s="23" t="s">
        <v>55</v>
      </c>
      <c r="Z25" s="23" t="s">
        <v>55</v>
      </c>
      <c r="AA25" s="23">
        <v>0.00742574257425743</v>
      </c>
      <c r="AB25">
        <v>0</v>
      </c>
      <c r="AC25">
        <v>0</v>
      </c>
      <c r="AD25">
        <v>0</v>
      </c>
      <c r="AE25">
        <v>1.12</v>
      </c>
      <c r="AF25" s="23" t="s">
        <v>55</v>
      </c>
      <c r="AG25" s="23" t="s">
        <v>55</v>
      </c>
      <c r="AH25" s="23" t="s">
        <v>55</v>
      </c>
      <c r="AI25" s="23">
        <v>0.0749163879598662</v>
      </c>
      <c r="AJ25">
        <v>0</v>
      </c>
      <c r="AK25">
        <v>0</v>
      </c>
      <c r="AL25">
        <v>0</v>
      </c>
      <c r="AM25">
        <v>11</v>
      </c>
      <c r="AN25" s="23" t="s">
        <v>55</v>
      </c>
      <c r="AO25" s="23" t="s">
        <v>55</v>
      </c>
      <c r="AP25" s="23" t="s">
        <v>55</v>
      </c>
      <c r="AQ25" s="23">
        <v>0.0909090909090909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110</v>
      </c>
      <c r="B26" t="s">
        <v>111</v>
      </c>
      <c r="C26" t="s">
        <v>112</v>
      </c>
      <c r="D26" s="33">
        <v>0</v>
      </c>
      <c r="E26" s="33">
        <v>1</v>
      </c>
      <c r="F26" s="33">
        <v>0</v>
      </c>
      <c r="G26" s="33">
        <v>0</v>
      </c>
      <c r="H26" s="34">
        <v>23.9</v>
      </c>
      <c r="I26">
        <v>0</v>
      </c>
      <c r="J26" s="35">
        <v>0</v>
      </c>
      <c r="K26" s="35">
        <v>0</v>
      </c>
      <c r="L26" s="35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2727</v>
      </c>
      <c r="T26">
        <v>0</v>
      </c>
      <c r="U26">
        <v>0</v>
      </c>
      <c r="V26">
        <v>0</v>
      </c>
      <c r="W26">
        <v>20</v>
      </c>
      <c r="X26" s="23" t="s">
        <v>55</v>
      </c>
      <c r="Y26" s="23" t="s">
        <v>55</v>
      </c>
      <c r="Z26" s="23" t="s">
        <v>55</v>
      </c>
      <c r="AA26" s="23">
        <v>0.00733406674000733</v>
      </c>
      <c r="AB26">
        <v>0</v>
      </c>
      <c r="AC26">
        <v>0</v>
      </c>
      <c r="AD26">
        <v>0</v>
      </c>
      <c r="AE26">
        <v>6.24</v>
      </c>
      <c r="AF26" s="23" t="s">
        <v>55</v>
      </c>
      <c r="AG26" s="23" t="s">
        <v>55</v>
      </c>
      <c r="AH26" s="23" t="s">
        <v>55</v>
      </c>
      <c r="AI26" s="23" t="s">
        <v>113</v>
      </c>
      <c r="AJ26">
        <v>0</v>
      </c>
      <c r="AK26">
        <v>1</v>
      </c>
      <c r="AL26">
        <v>1</v>
      </c>
      <c r="AM26">
        <v>6</v>
      </c>
      <c r="AN26" s="23" t="s">
        <v>55</v>
      </c>
      <c r="AO26" s="23">
        <v>1</v>
      </c>
      <c r="AP26" s="23">
        <v>0</v>
      </c>
      <c r="AQ26" s="23">
        <v>0</v>
      </c>
      <c r="AR26" s="37">
        <v>0</v>
      </c>
      <c r="AS26" s="37">
        <v>0</v>
      </c>
      <c r="AT26" s="37">
        <v>0</v>
      </c>
      <c r="AU26" s="33" t="str">
        <f t="shared" si="3"/>
        <v>库存为0</v>
      </c>
      <c r="AV26" s="38" t="str">
        <f>IFERROR(时间!$B$4+AU26,"上周无销量")</f>
        <v>上周无销量</v>
      </c>
    </row>
    <row r="27" spans="1:48">
      <c r="A27" s="21" t="s">
        <v>114</v>
      </c>
      <c r="B27" t="s">
        <v>115</v>
      </c>
      <c r="C27" t="s">
        <v>112</v>
      </c>
      <c r="D27" s="33">
        <v>4</v>
      </c>
      <c r="E27" s="33">
        <v>0</v>
      </c>
      <c r="F27" s="33">
        <v>0</v>
      </c>
      <c r="G27" s="33">
        <v>0</v>
      </c>
      <c r="H27" s="34">
        <v>22.9</v>
      </c>
      <c r="I27">
        <v>7</v>
      </c>
      <c r="J27" s="35">
        <v>0</v>
      </c>
      <c r="K27" s="35">
        <v>0</v>
      </c>
      <c r="L27" s="35">
        <v>0</v>
      </c>
      <c r="M27">
        <v>7</v>
      </c>
      <c r="N27">
        <v>0</v>
      </c>
      <c r="O27">
        <v>5</v>
      </c>
      <c r="P27">
        <v>0</v>
      </c>
      <c r="Q27">
        <v>0</v>
      </c>
      <c r="R27">
        <v>0</v>
      </c>
      <c r="S27">
        <v>2073</v>
      </c>
      <c r="T27">
        <v>0</v>
      </c>
      <c r="U27">
        <v>0</v>
      </c>
      <c r="V27">
        <v>0</v>
      </c>
      <c r="W27">
        <v>13</v>
      </c>
      <c r="X27" s="23" t="s">
        <v>55</v>
      </c>
      <c r="Y27" s="23" t="s">
        <v>55</v>
      </c>
      <c r="Z27" s="23" t="s">
        <v>55</v>
      </c>
      <c r="AA27" s="23">
        <v>0.00627110467920888</v>
      </c>
      <c r="AB27">
        <v>0</v>
      </c>
      <c r="AC27">
        <v>0</v>
      </c>
      <c r="AD27">
        <v>0</v>
      </c>
      <c r="AE27">
        <v>3.69</v>
      </c>
      <c r="AF27" s="23" t="s">
        <v>55</v>
      </c>
      <c r="AG27" s="23" t="s">
        <v>55</v>
      </c>
      <c r="AH27" s="23" t="s">
        <v>55</v>
      </c>
      <c r="AI27" s="23" t="s">
        <v>116</v>
      </c>
      <c r="AJ27">
        <v>71</v>
      </c>
      <c r="AK27">
        <v>14</v>
      </c>
      <c r="AL27">
        <v>20</v>
      </c>
      <c r="AM27">
        <v>32</v>
      </c>
      <c r="AN27" s="23">
        <v>0.0563380281690141</v>
      </c>
      <c r="AO27" s="23">
        <v>0</v>
      </c>
      <c r="AP27" s="23">
        <v>0</v>
      </c>
      <c r="AQ27" s="23">
        <v>0</v>
      </c>
      <c r="AR27" s="37">
        <v>0.571428571428571</v>
      </c>
      <c r="AS27" s="37">
        <v>34.2857142857143</v>
      </c>
      <c r="AT27" s="37">
        <v>-27.2857142857143</v>
      </c>
      <c r="AU27" s="33">
        <f t="shared" si="3"/>
        <v>12</v>
      </c>
      <c r="AV27" s="38">
        <f>IFERROR(时间!$B$4+AU27,"上周无销量")</f>
        <v>43295</v>
      </c>
    </row>
    <row r="28" spans="1:48">
      <c r="A28" s="21" t="s">
        <v>117</v>
      </c>
      <c r="B28" t="s">
        <v>118</v>
      </c>
      <c r="C28" t="s">
        <v>112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185</v>
      </c>
      <c r="T28">
        <v>0</v>
      </c>
      <c r="U28">
        <v>0</v>
      </c>
      <c r="V28">
        <v>0</v>
      </c>
      <c r="W28">
        <v>2</v>
      </c>
      <c r="X28" s="23" t="s">
        <v>55</v>
      </c>
      <c r="Y28" s="23" t="s">
        <v>55</v>
      </c>
      <c r="Z28" s="23" t="s">
        <v>55</v>
      </c>
      <c r="AA28" s="23">
        <v>0.0108108108108108</v>
      </c>
      <c r="AB28">
        <v>0</v>
      </c>
      <c r="AC28">
        <v>0</v>
      </c>
      <c r="AD28">
        <v>0</v>
      </c>
      <c r="AE28">
        <v>0.65</v>
      </c>
      <c r="AF28" s="23" t="s">
        <v>55</v>
      </c>
      <c r="AG28" s="23" t="s">
        <v>55</v>
      </c>
      <c r="AH28" s="23" t="s">
        <v>55</v>
      </c>
      <c r="AI28" s="23" t="s">
        <v>119</v>
      </c>
      <c r="AJ28">
        <v>0</v>
      </c>
      <c r="AK28">
        <v>0</v>
      </c>
      <c r="AL28">
        <v>0</v>
      </c>
      <c r="AM28">
        <v>10</v>
      </c>
      <c r="AN28" s="23" t="s">
        <v>55</v>
      </c>
      <c r="AO28" s="23" t="s">
        <v>55</v>
      </c>
      <c r="AP28" s="23" t="s">
        <v>55</v>
      </c>
      <c r="AQ28" s="23">
        <v>0</v>
      </c>
      <c r="AR28" s="37">
        <v>0</v>
      </c>
      <c r="AS28" s="37">
        <v>0</v>
      </c>
      <c r="AT28" s="37">
        <v>0</v>
      </c>
      <c r="AU28" s="33" t="str">
        <f t="shared" si="3"/>
        <v>库存为0</v>
      </c>
      <c r="AV28" s="38" t="str">
        <f>IFERROR(时间!$B$4+AU28,"上周无销量")</f>
        <v>上周无销量</v>
      </c>
    </row>
    <row r="29" spans="1:48">
      <c r="A29" s="21" t="s">
        <v>120</v>
      </c>
      <c r="B29" t="s">
        <v>121</v>
      </c>
      <c r="C29" t="s">
        <v>112</v>
      </c>
      <c r="D29" s="33">
        <v>3</v>
      </c>
      <c r="E29" s="33">
        <v>1</v>
      </c>
      <c r="F29" s="33">
        <v>1</v>
      </c>
      <c r="G29" s="33">
        <v>1</v>
      </c>
      <c r="H29" s="34">
        <v>20.6433333333333</v>
      </c>
      <c r="I29">
        <v>14</v>
      </c>
      <c r="J29" s="35">
        <v>0</v>
      </c>
      <c r="K29" s="35">
        <v>0</v>
      </c>
      <c r="L29" s="35">
        <v>0</v>
      </c>
      <c r="M29">
        <v>14</v>
      </c>
      <c r="N29">
        <v>0</v>
      </c>
      <c r="O29">
        <v>10</v>
      </c>
      <c r="P29">
        <v>0</v>
      </c>
      <c r="Q29">
        <v>0</v>
      </c>
      <c r="R29">
        <v>0</v>
      </c>
      <c r="S29">
        <v>2853</v>
      </c>
      <c r="T29">
        <v>0</v>
      </c>
      <c r="U29">
        <v>0</v>
      </c>
      <c r="V29">
        <v>0</v>
      </c>
      <c r="W29">
        <v>21</v>
      </c>
      <c r="X29" s="23" t="s">
        <v>55</v>
      </c>
      <c r="Y29" s="23" t="s">
        <v>55</v>
      </c>
      <c r="Z29" s="23" t="s">
        <v>55</v>
      </c>
      <c r="AA29" s="23">
        <v>0.00736067297581493</v>
      </c>
      <c r="AB29">
        <v>0</v>
      </c>
      <c r="AC29">
        <v>0</v>
      </c>
      <c r="AD29">
        <v>0</v>
      </c>
      <c r="AE29">
        <v>6.4</v>
      </c>
      <c r="AF29" s="23" t="s">
        <v>55</v>
      </c>
      <c r="AG29" s="23" t="s">
        <v>55</v>
      </c>
      <c r="AH29" s="23" t="s">
        <v>55</v>
      </c>
      <c r="AI29" s="23">
        <v>0.310027450347167</v>
      </c>
      <c r="AJ29">
        <v>33</v>
      </c>
      <c r="AK29">
        <v>16</v>
      </c>
      <c r="AL29">
        <v>14</v>
      </c>
      <c r="AM29">
        <v>30</v>
      </c>
      <c r="AN29" s="23">
        <v>0.0909090909090909</v>
      </c>
      <c r="AO29" s="23">
        <v>0.0625</v>
      </c>
      <c r="AP29" s="23">
        <v>0.0714285714285714</v>
      </c>
      <c r="AQ29" s="23">
        <v>0.0333333333333333</v>
      </c>
      <c r="AR29" s="37">
        <v>0.428571428571429</v>
      </c>
      <c r="AS29" s="37">
        <v>25.7142857142857</v>
      </c>
      <c r="AT29" s="37">
        <v>-11.7142857142857</v>
      </c>
      <c r="AU29" s="33">
        <f t="shared" si="3"/>
        <v>32</v>
      </c>
      <c r="AV29" s="38">
        <f>IFERROR(时间!$B$4+AU29,"上周无销量")</f>
        <v>43315</v>
      </c>
    </row>
    <row r="30" spans="1:48">
      <c r="A30" s="21" t="s">
        <v>122</v>
      </c>
      <c r="B30" t="s">
        <v>123</v>
      </c>
      <c r="C30" t="s">
        <v>112</v>
      </c>
      <c r="D30" s="33">
        <v>2</v>
      </c>
      <c r="E30" s="33">
        <v>0</v>
      </c>
      <c r="F30" s="33">
        <v>0</v>
      </c>
      <c r="G30" s="33">
        <v>0</v>
      </c>
      <c r="H30" s="34">
        <v>22.99</v>
      </c>
      <c r="I30">
        <v>7</v>
      </c>
      <c r="J30" s="35">
        <v>0</v>
      </c>
      <c r="K30" s="35">
        <v>0</v>
      </c>
      <c r="L30" s="35">
        <v>0</v>
      </c>
      <c r="M30">
        <v>7</v>
      </c>
      <c r="N30">
        <v>0</v>
      </c>
      <c r="O30">
        <v>4</v>
      </c>
      <c r="P30">
        <v>0</v>
      </c>
      <c r="Q30">
        <v>0</v>
      </c>
      <c r="R30">
        <v>0</v>
      </c>
      <c r="S30">
        <v>1032</v>
      </c>
      <c r="T30">
        <v>0</v>
      </c>
      <c r="U30">
        <v>0</v>
      </c>
      <c r="V30">
        <v>0</v>
      </c>
      <c r="W30">
        <v>11</v>
      </c>
      <c r="X30" s="23" t="s">
        <v>55</v>
      </c>
      <c r="Y30" s="23" t="s">
        <v>55</v>
      </c>
      <c r="Z30" s="23" t="s">
        <v>55</v>
      </c>
      <c r="AA30" s="23">
        <v>0.0106589147286822</v>
      </c>
      <c r="AB30">
        <v>0</v>
      </c>
      <c r="AC30">
        <v>0</v>
      </c>
      <c r="AD30">
        <v>0</v>
      </c>
      <c r="AE30">
        <v>2.44</v>
      </c>
      <c r="AF30" s="23" t="s">
        <v>55</v>
      </c>
      <c r="AG30" s="23" t="s">
        <v>55</v>
      </c>
      <c r="AH30" s="23" t="s">
        <v>55</v>
      </c>
      <c r="AI30" s="23" t="s">
        <v>124</v>
      </c>
      <c r="AJ30">
        <v>54</v>
      </c>
      <c r="AK30">
        <v>15</v>
      </c>
      <c r="AL30">
        <v>16</v>
      </c>
      <c r="AM30">
        <v>4</v>
      </c>
      <c r="AN30" s="23">
        <v>0.037037037037037</v>
      </c>
      <c r="AO30" s="23">
        <v>0</v>
      </c>
      <c r="AP30" s="23">
        <v>0</v>
      </c>
      <c r="AQ30" s="23">
        <v>0</v>
      </c>
      <c r="AR30" s="37">
        <v>0.285714285714286</v>
      </c>
      <c r="AS30" s="37">
        <v>17.1428571428571</v>
      </c>
      <c r="AT30" s="37">
        <v>-10.1428571428571</v>
      </c>
      <c r="AU30" s="33">
        <f t="shared" si="3"/>
        <v>24</v>
      </c>
      <c r="AV30" s="38">
        <f>IFERROR(时间!$B$4+AU30,"上周无销量")</f>
        <v>43307</v>
      </c>
    </row>
    <row r="31" spans="1:48">
      <c r="A31" s="21" t="s">
        <v>125</v>
      </c>
      <c r="B31" t="s">
        <v>126</v>
      </c>
      <c r="C31" t="s">
        <v>127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2</v>
      </c>
      <c r="J31" s="35">
        <v>0</v>
      </c>
      <c r="K31" s="35">
        <v>0</v>
      </c>
      <c r="L31" s="35">
        <v>0</v>
      </c>
      <c r="M31">
        <v>2</v>
      </c>
      <c r="N31">
        <v>0</v>
      </c>
      <c r="O31">
        <v>1</v>
      </c>
      <c r="P31" t="s">
        <v>55</v>
      </c>
      <c r="Q31" t="s">
        <v>55</v>
      </c>
      <c r="R31" t="s">
        <v>55</v>
      </c>
      <c r="S31" t="s">
        <v>55</v>
      </c>
      <c r="T31" t="s">
        <v>55</v>
      </c>
      <c r="U31" t="s">
        <v>55</v>
      </c>
      <c r="V31" t="s">
        <v>55</v>
      </c>
      <c r="W31" t="s">
        <v>55</v>
      </c>
      <c r="X31" s="23" t="s">
        <v>55</v>
      </c>
      <c r="Y31" s="23" t="s">
        <v>55</v>
      </c>
      <c r="Z31" s="23" t="s">
        <v>55</v>
      </c>
      <c r="AA31" s="23" t="s">
        <v>55</v>
      </c>
      <c r="AB31" t="s">
        <v>55</v>
      </c>
      <c r="AC31" t="s">
        <v>55</v>
      </c>
      <c r="AD31" t="s">
        <v>55</v>
      </c>
      <c r="AE31" t="s">
        <v>55</v>
      </c>
      <c r="AF31" s="23" t="s">
        <v>55</v>
      </c>
      <c r="AG31" s="23" t="s">
        <v>55</v>
      </c>
      <c r="AH31" s="23" t="s">
        <v>55</v>
      </c>
      <c r="AI31" s="23" t="s">
        <v>55</v>
      </c>
      <c r="AJ31">
        <v>8</v>
      </c>
      <c r="AK31">
        <v>4</v>
      </c>
      <c r="AL31">
        <v>6</v>
      </c>
      <c r="AM31">
        <v>2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2</v>
      </c>
      <c r="AU31" s="33" t="str">
        <f t="shared" si="3"/>
        <v>库存为2</v>
      </c>
      <c r="AV31" s="38" t="str">
        <f>IFERROR(时间!$B$4+AU31,"上周无销量")</f>
        <v>上周无销量</v>
      </c>
    </row>
    <row r="32" spans="1:48">
      <c r="A32" s="21" t="s">
        <v>128</v>
      </c>
      <c r="B32" t="s">
        <v>129</v>
      </c>
      <c r="C32" t="s">
        <v>127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5</v>
      </c>
      <c r="J32" s="35">
        <v>0</v>
      </c>
      <c r="K32" s="35">
        <v>0</v>
      </c>
      <c r="L32" s="35">
        <v>0</v>
      </c>
      <c r="M32">
        <v>5</v>
      </c>
      <c r="N32">
        <v>0</v>
      </c>
      <c r="O32">
        <v>5</v>
      </c>
      <c r="P32">
        <v>0</v>
      </c>
      <c r="Q32">
        <v>0</v>
      </c>
      <c r="R32">
        <v>13</v>
      </c>
      <c r="S32">
        <v>66</v>
      </c>
      <c r="T32">
        <v>0</v>
      </c>
      <c r="U32">
        <v>0</v>
      </c>
      <c r="V32">
        <v>0</v>
      </c>
      <c r="W32">
        <v>0</v>
      </c>
      <c r="X32" s="23" t="s">
        <v>55</v>
      </c>
      <c r="Y32" s="23" t="s">
        <v>55</v>
      </c>
      <c r="Z32" s="23">
        <v>0</v>
      </c>
      <c r="AA32" s="23">
        <v>0</v>
      </c>
      <c r="AB32">
        <v>0</v>
      </c>
      <c r="AC32">
        <v>0</v>
      </c>
      <c r="AD32">
        <v>0</v>
      </c>
      <c r="AE32">
        <v>0</v>
      </c>
      <c r="AF32" s="23" t="s">
        <v>55</v>
      </c>
      <c r="AG32" s="23" t="s">
        <v>55</v>
      </c>
      <c r="AH32" s="23" t="s">
        <v>55</v>
      </c>
      <c r="AI32" s="23" t="s">
        <v>55</v>
      </c>
      <c r="AJ32">
        <v>5</v>
      </c>
      <c r="AK32">
        <v>6</v>
      </c>
      <c r="AL32">
        <v>2</v>
      </c>
      <c r="AM32">
        <v>5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5</v>
      </c>
      <c r="AU32" s="33" t="str">
        <f t="shared" si="3"/>
        <v>库存为5</v>
      </c>
      <c r="AV32" s="38" t="str">
        <f>IFERROR(时间!$B$4+AU32,"上周无销量")</f>
        <v>上周无销量</v>
      </c>
    </row>
    <row r="33" spans="1:48">
      <c r="A33" s="21" t="s">
        <v>130</v>
      </c>
      <c r="B33" t="s">
        <v>131</v>
      </c>
      <c r="C33" t="s">
        <v>127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2</v>
      </c>
      <c r="J33" s="35">
        <v>0</v>
      </c>
      <c r="K33" s="35">
        <v>0</v>
      </c>
      <c r="L33" s="35">
        <v>0</v>
      </c>
      <c r="M33">
        <v>2</v>
      </c>
      <c r="N33">
        <v>0</v>
      </c>
      <c r="O33">
        <v>2</v>
      </c>
      <c r="P33" t="s">
        <v>55</v>
      </c>
      <c r="Q33" t="s">
        <v>55</v>
      </c>
      <c r="R33" t="s">
        <v>55</v>
      </c>
      <c r="S33" t="s">
        <v>55</v>
      </c>
      <c r="T33" t="s">
        <v>55</v>
      </c>
      <c r="U33" t="s">
        <v>55</v>
      </c>
      <c r="V33" t="s">
        <v>55</v>
      </c>
      <c r="W33" t="s">
        <v>55</v>
      </c>
      <c r="X33" s="23" t="s">
        <v>55</v>
      </c>
      <c r="Y33" s="23" t="s">
        <v>55</v>
      </c>
      <c r="Z33" s="23" t="s">
        <v>55</v>
      </c>
      <c r="AA33" s="23" t="s">
        <v>55</v>
      </c>
      <c r="AB33" t="s">
        <v>55</v>
      </c>
      <c r="AC33" t="s">
        <v>55</v>
      </c>
      <c r="AD33" t="s">
        <v>55</v>
      </c>
      <c r="AE33" t="s">
        <v>55</v>
      </c>
      <c r="AF33" s="23" t="s">
        <v>55</v>
      </c>
      <c r="AG33" s="23" t="s">
        <v>55</v>
      </c>
      <c r="AH33" s="23" t="s">
        <v>55</v>
      </c>
      <c r="AI33" s="23" t="s">
        <v>55</v>
      </c>
      <c r="AJ33">
        <v>5</v>
      </c>
      <c r="AK33">
        <v>4</v>
      </c>
      <c r="AL33">
        <v>0</v>
      </c>
      <c r="AM33">
        <v>1</v>
      </c>
      <c r="AN33" s="23">
        <v>0</v>
      </c>
      <c r="AO33" s="23">
        <v>0</v>
      </c>
      <c r="AP33" s="23" t="s">
        <v>55</v>
      </c>
      <c r="AQ33" s="23">
        <v>0</v>
      </c>
      <c r="AR33" s="37">
        <v>0</v>
      </c>
      <c r="AS33" s="37">
        <v>0</v>
      </c>
      <c r="AT33" s="37">
        <v>2</v>
      </c>
      <c r="AU33" s="33" t="str">
        <f t="shared" si="3"/>
        <v>库存为2</v>
      </c>
      <c r="AV33" s="38" t="str">
        <f>IFERROR(时间!$B$4+AU33,"上周无销量")</f>
        <v>上周无销量</v>
      </c>
    </row>
    <row r="34" spans="1:48">
      <c r="A34" s="21" t="s">
        <v>132</v>
      </c>
      <c r="B34" t="s">
        <v>133</v>
      </c>
      <c r="C34" t="s">
        <v>134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3</v>
      </c>
      <c r="J34" s="35">
        <v>0</v>
      </c>
      <c r="K34" s="35">
        <v>0</v>
      </c>
      <c r="L34" s="35">
        <v>0</v>
      </c>
      <c r="M34">
        <v>3</v>
      </c>
      <c r="N34">
        <v>0</v>
      </c>
      <c r="O34">
        <v>3</v>
      </c>
      <c r="P34" t="s">
        <v>55</v>
      </c>
      <c r="Q34" t="s">
        <v>55</v>
      </c>
      <c r="R34" t="s">
        <v>55</v>
      </c>
      <c r="S34" t="s">
        <v>55</v>
      </c>
      <c r="T34" t="s">
        <v>55</v>
      </c>
      <c r="U34" t="s">
        <v>55</v>
      </c>
      <c r="V34" t="s">
        <v>55</v>
      </c>
      <c r="W34" t="s">
        <v>55</v>
      </c>
      <c r="X34" s="23" t="s">
        <v>55</v>
      </c>
      <c r="Y34" s="23" t="s">
        <v>55</v>
      </c>
      <c r="Z34" s="23" t="s">
        <v>55</v>
      </c>
      <c r="AA34" s="23" t="s">
        <v>55</v>
      </c>
      <c r="AB34" t="s">
        <v>55</v>
      </c>
      <c r="AC34" t="s">
        <v>55</v>
      </c>
      <c r="AD34" t="s">
        <v>55</v>
      </c>
      <c r="AE34" t="s">
        <v>55</v>
      </c>
      <c r="AF34" s="23" t="s">
        <v>55</v>
      </c>
      <c r="AG34" s="23" t="s">
        <v>55</v>
      </c>
      <c r="AH34" s="23" t="s">
        <v>55</v>
      </c>
      <c r="AI34" s="23" t="s">
        <v>55</v>
      </c>
      <c r="AJ34">
        <v>6</v>
      </c>
      <c r="AK34">
        <v>5</v>
      </c>
      <c r="AL34">
        <v>2</v>
      </c>
      <c r="AM34">
        <v>6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3</v>
      </c>
      <c r="AU34" s="33" t="str">
        <f t="shared" si="3"/>
        <v>库存为3</v>
      </c>
      <c r="AV34" s="38" t="str">
        <f>IFERROR(时间!$B$4+AU34,"上周无销量")</f>
        <v>上周无销量</v>
      </c>
    </row>
    <row r="35" spans="1:48">
      <c r="A35" s="21" t="s">
        <v>135</v>
      </c>
      <c r="B35" t="s">
        <v>136</v>
      </c>
      <c r="C35" t="s">
        <v>134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2</v>
      </c>
      <c r="J35" s="35">
        <v>0</v>
      </c>
      <c r="K35" s="35">
        <v>0</v>
      </c>
      <c r="L35" s="35">
        <v>0</v>
      </c>
      <c r="M35">
        <v>2</v>
      </c>
      <c r="N35">
        <v>0</v>
      </c>
      <c r="O35">
        <v>1</v>
      </c>
      <c r="P35" t="s">
        <v>55</v>
      </c>
      <c r="Q35" t="s">
        <v>55</v>
      </c>
      <c r="R35" t="s">
        <v>55</v>
      </c>
      <c r="S35" t="s">
        <v>55</v>
      </c>
      <c r="T35" t="s">
        <v>55</v>
      </c>
      <c r="U35" t="s">
        <v>55</v>
      </c>
      <c r="V35" t="s">
        <v>55</v>
      </c>
      <c r="W35" t="s">
        <v>55</v>
      </c>
      <c r="X35" s="23" t="s">
        <v>55</v>
      </c>
      <c r="Y35" s="23" t="s">
        <v>55</v>
      </c>
      <c r="Z35" s="23" t="s">
        <v>55</v>
      </c>
      <c r="AA35" s="23" t="s">
        <v>55</v>
      </c>
      <c r="AB35" t="s">
        <v>55</v>
      </c>
      <c r="AC35" t="s">
        <v>55</v>
      </c>
      <c r="AD35" t="s">
        <v>55</v>
      </c>
      <c r="AE35" t="s">
        <v>55</v>
      </c>
      <c r="AF35" s="23" t="s">
        <v>55</v>
      </c>
      <c r="AG35" s="23" t="s">
        <v>55</v>
      </c>
      <c r="AH35" s="23" t="s">
        <v>55</v>
      </c>
      <c r="AI35" s="23" t="s">
        <v>55</v>
      </c>
      <c r="AJ35">
        <v>13</v>
      </c>
      <c r="AK35">
        <v>9</v>
      </c>
      <c r="AL35">
        <v>4</v>
      </c>
      <c r="AM35">
        <v>4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2</v>
      </c>
      <c r="AU35" s="33" t="str">
        <f t="shared" si="3"/>
        <v>库存为2</v>
      </c>
      <c r="AV35" s="38" t="str">
        <f>IFERROR(时间!$B$4+AU35,"上周无销量")</f>
        <v>上周无销量</v>
      </c>
    </row>
    <row r="36" spans="1:48">
      <c r="A36" s="21" t="s">
        <v>137</v>
      </c>
      <c r="B36" t="s">
        <v>138</v>
      </c>
      <c r="C36" t="s">
        <v>134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4</v>
      </c>
      <c r="J36" s="35">
        <v>0</v>
      </c>
      <c r="K36" s="35">
        <v>0</v>
      </c>
      <c r="L36" s="35">
        <v>0</v>
      </c>
      <c r="M36">
        <v>4</v>
      </c>
      <c r="N36">
        <v>0</v>
      </c>
      <c r="O36">
        <v>4</v>
      </c>
      <c r="P36" t="s">
        <v>55</v>
      </c>
      <c r="Q36" t="s">
        <v>55</v>
      </c>
      <c r="R36" t="s">
        <v>55</v>
      </c>
      <c r="S36" t="s">
        <v>55</v>
      </c>
      <c r="T36" t="s">
        <v>55</v>
      </c>
      <c r="U36" t="s">
        <v>55</v>
      </c>
      <c r="V36" t="s">
        <v>55</v>
      </c>
      <c r="W36" t="s">
        <v>55</v>
      </c>
      <c r="X36" s="23" t="s">
        <v>55</v>
      </c>
      <c r="Y36" s="23" t="s">
        <v>55</v>
      </c>
      <c r="Z36" s="23" t="s">
        <v>55</v>
      </c>
      <c r="AA36" s="23" t="s">
        <v>55</v>
      </c>
      <c r="AB36" t="s">
        <v>55</v>
      </c>
      <c r="AC36" t="s">
        <v>55</v>
      </c>
      <c r="AD36" t="s">
        <v>55</v>
      </c>
      <c r="AE36" t="s">
        <v>55</v>
      </c>
      <c r="AF36" s="23" t="s">
        <v>55</v>
      </c>
      <c r="AG36" s="23" t="s">
        <v>55</v>
      </c>
      <c r="AH36" s="23" t="s">
        <v>55</v>
      </c>
      <c r="AI36" s="23" t="s">
        <v>55</v>
      </c>
      <c r="AJ36">
        <v>9</v>
      </c>
      <c r="AK36">
        <v>6</v>
      </c>
      <c r="AL36">
        <v>2</v>
      </c>
      <c r="AM36">
        <v>2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4</v>
      </c>
      <c r="AU36" s="33" t="str">
        <f t="shared" si="3"/>
        <v>库存为4</v>
      </c>
      <c r="AV36" s="38" t="str">
        <f>IFERROR(时间!$B$4+AU36,"上周无销量")</f>
        <v>上周无销量</v>
      </c>
    </row>
    <row r="37" spans="1:48">
      <c r="A37" s="21" t="s">
        <v>139</v>
      </c>
      <c r="B37" t="s">
        <v>140</v>
      </c>
      <c r="C37" t="s">
        <v>134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5</v>
      </c>
      <c r="J37" s="35">
        <v>0</v>
      </c>
      <c r="K37" s="35">
        <v>0</v>
      </c>
      <c r="L37" s="35">
        <v>0</v>
      </c>
      <c r="M37">
        <v>5</v>
      </c>
      <c r="N37">
        <v>0</v>
      </c>
      <c r="O37">
        <v>5</v>
      </c>
      <c r="P37" t="s">
        <v>55</v>
      </c>
      <c r="Q37" t="s">
        <v>55</v>
      </c>
      <c r="R37" t="s">
        <v>55</v>
      </c>
      <c r="S37" t="s">
        <v>55</v>
      </c>
      <c r="T37" t="s">
        <v>55</v>
      </c>
      <c r="U37" t="s">
        <v>55</v>
      </c>
      <c r="V37" t="s">
        <v>55</v>
      </c>
      <c r="W37" t="s">
        <v>55</v>
      </c>
      <c r="X37" s="23" t="s">
        <v>55</v>
      </c>
      <c r="Y37" s="23" t="s">
        <v>55</v>
      </c>
      <c r="Z37" s="23" t="s">
        <v>55</v>
      </c>
      <c r="AA37" s="23" t="s">
        <v>55</v>
      </c>
      <c r="AB37" t="s">
        <v>55</v>
      </c>
      <c r="AC37" t="s">
        <v>55</v>
      </c>
      <c r="AD37" t="s">
        <v>55</v>
      </c>
      <c r="AE37" t="s">
        <v>55</v>
      </c>
      <c r="AF37" s="23" t="s">
        <v>55</v>
      </c>
      <c r="AG37" s="23" t="s">
        <v>55</v>
      </c>
      <c r="AH37" s="23" t="s">
        <v>55</v>
      </c>
      <c r="AI37" s="23" t="s">
        <v>55</v>
      </c>
      <c r="AJ37">
        <v>15</v>
      </c>
      <c r="AK37">
        <v>5</v>
      </c>
      <c r="AL37">
        <v>6</v>
      </c>
      <c r="AM37">
        <v>4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5</v>
      </c>
      <c r="AU37" s="33" t="str">
        <f t="shared" si="3"/>
        <v>库存为5</v>
      </c>
      <c r="AV37" s="38" t="str">
        <f>IFERROR(时间!$B$4+AU37,"上周无销量")</f>
        <v>上周无销量</v>
      </c>
    </row>
    <row r="38" spans="1:48">
      <c r="A38" s="21" t="s">
        <v>141</v>
      </c>
      <c r="B38" t="s">
        <v>142</v>
      </c>
      <c r="C38" t="s">
        <v>134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>
        <v>0</v>
      </c>
      <c r="Q38">
        <v>0</v>
      </c>
      <c r="R38">
        <v>8</v>
      </c>
      <c r="S38">
        <v>63</v>
      </c>
      <c r="T38">
        <v>0</v>
      </c>
      <c r="U38">
        <v>0</v>
      </c>
      <c r="V38">
        <v>0</v>
      </c>
      <c r="W38">
        <v>1</v>
      </c>
      <c r="X38" s="23" t="s">
        <v>55</v>
      </c>
      <c r="Y38" s="23" t="s">
        <v>55</v>
      </c>
      <c r="Z38" s="23">
        <v>0</v>
      </c>
      <c r="AA38" s="23">
        <v>0.0158730158730159</v>
      </c>
      <c r="AB38">
        <v>0</v>
      </c>
      <c r="AC38">
        <v>0</v>
      </c>
      <c r="AD38">
        <v>0</v>
      </c>
      <c r="AE38">
        <v>0.32</v>
      </c>
      <c r="AF38" s="23" t="s">
        <v>55</v>
      </c>
      <c r="AG38" s="23" t="s">
        <v>55</v>
      </c>
      <c r="AH38" s="23" t="s">
        <v>55</v>
      </c>
      <c r="AI38" s="23" t="s">
        <v>143</v>
      </c>
      <c r="AJ38">
        <v>7</v>
      </c>
      <c r="AK38">
        <v>10</v>
      </c>
      <c r="AL38">
        <v>5</v>
      </c>
      <c r="AM38">
        <v>2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3"/>
        <v>库存为4</v>
      </c>
      <c r="AV38" s="38" t="str">
        <f>IFERROR(时间!$B$4+AU38,"上周无销量")</f>
        <v>上周无销量</v>
      </c>
    </row>
    <row r="39" spans="1:48">
      <c r="A39" s="21" t="s">
        <v>144</v>
      </c>
      <c r="B39" t="s">
        <v>145</v>
      </c>
      <c r="C39" t="s">
        <v>134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4</v>
      </c>
      <c r="J39" s="35">
        <v>0</v>
      </c>
      <c r="K39" s="35">
        <v>0</v>
      </c>
      <c r="L39" s="35">
        <v>0</v>
      </c>
      <c r="M39">
        <v>4</v>
      </c>
      <c r="N39">
        <v>0</v>
      </c>
      <c r="O39">
        <v>4</v>
      </c>
      <c r="P39" t="s">
        <v>55</v>
      </c>
      <c r="Q39" t="s">
        <v>55</v>
      </c>
      <c r="R39" t="s">
        <v>55</v>
      </c>
      <c r="S39" t="s">
        <v>55</v>
      </c>
      <c r="T39" t="s">
        <v>55</v>
      </c>
      <c r="U39" t="s">
        <v>55</v>
      </c>
      <c r="V39" t="s">
        <v>55</v>
      </c>
      <c r="W39" t="s">
        <v>55</v>
      </c>
      <c r="X39" s="23" t="s">
        <v>55</v>
      </c>
      <c r="Y39" s="23" t="s">
        <v>55</v>
      </c>
      <c r="Z39" s="23" t="s">
        <v>55</v>
      </c>
      <c r="AA39" s="23" t="s">
        <v>55</v>
      </c>
      <c r="AB39" t="s">
        <v>55</v>
      </c>
      <c r="AC39" t="s">
        <v>55</v>
      </c>
      <c r="AD39" t="s">
        <v>55</v>
      </c>
      <c r="AE39" t="s">
        <v>55</v>
      </c>
      <c r="AF39" s="23" t="s">
        <v>55</v>
      </c>
      <c r="AG39" s="23" t="s">
        <v>55</v>
      </c>
      <c r="AH39" s="23" t="s">
        <v>55</v>
      </c>
      <c r="AI39" s="23" t="s">
        <v>55</v>
      </c>
      <c r="AJ39">
        <v>12</v>
      </c>
      <c r="AK39">
        <v>4</v>
      </c>
      <c r="AL39">
        <v>2</v>
      </c>
      <c r="AM39">
        <v>2</v>
      </c>
      <c r="AN39" s="23">
        <v>0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4</v>
      </c>
      <c r="AU39" s="33" t="str">
        <f t="shared" si="3"/>
        <v>库存为4</v>
      </c>
      <c r="AV39" s="38" t="str">
        <f>IFERROR(时间!$B$4+AU39,"上周无销量")</f>
        <v>上周无销量</v>
      </c>
    </row>
    <row r="40" spans="1:48">
      <c r="A40" s="21" t="s">
        <v>146</v>
      </c>
      <c r="B40" t="s">
        <v>147</v>
      </c>
      <c r="C40" t="s">
        <v>134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>
        <v>0</v>
      </c>
      <c r="Q40">
        <v>0</v>
      </c>
      <c r="R40">
        <v>0</v>
      </c>
      <c r="S40">
        <v>156</v>
      </c>
      <c r="T40">
        <v>0</v>
      </c>
      <c r="U40">
        <v>0</v>
      </c>
      <c r="V40">
        <v>0</v>
      </c>
      <c r="W40">
        <v>0</v>
      </c>
      <c r="X40" s="23" t="s">
        <v>55</v>
      </c>
      <c r="Y40" s="23" t="s">
        <v>55</v>
      </c>
      <c r="Z40" s="23" t="s">
        <v>55</v>
      </c>
      <c r="AA40" s="23">
        <v>0</v>
      </c>
      <c r="AB40">
        <v>0</v>
      </c>
      <c r="AC40">
        <v>0</v>
      </c>
      <c r="AD40">
        <v>0</v>
      </c>
      <c r="AE40">
        <v>0</v>
      </c>
      <c r="AF40" s="23" t="s">
        <v>55</v>
      </c>
      <c r="AG40" s="23" t="s">
        <v>55</v>
      </c>
      <c r="AH40" s="23" t="s">
        <v>55</v>
      </c>
      <c r="AI40" s="23" t="s">
        <v>55</v>
      </c>
      <c r="AJ40">
        <v>5</v>
      </c>
      <c r="AK40">
        <v>9</v>
      </c>
      <c r="AL40">
        <v>4</v>
      </c>
      <c r="AM40">
        <v>7</v>
      </c>
      <c r="AN40" s="23">
        <v>0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3"/>
        <v>库存为2</v>
      </c>
      <c r="AV40" s="38" t="str">
        <f>IFERROR(时间!$B$4+AU40,"上周无销量")</f>
        <v>上周无销量</v>
      </c>
    </row>
    <row r="41" spans="1:48">
      <c r="A41" s="21" t="s">
        <v>148</v>
      </c>
      <c r="B41" t="s">
        <v>149</v>
      </c>
      <c r="C41" t="s">
        <v>134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1</v>
      </c>
      <c r="J41" s="35">
        <v>0</v>
      </c>
      <c r="K41" s="35">
        <v>0</v>
      </c>
      <c r="L41" s="35">
        <v>0</v>
      </c>
      <c r="M41">
        <v>1</v>
      </c>
      <c r="N41">
        <v>0</v>
      </c>
      <c r="O41">
        <v>1</v>
      </c>
      <c r="P41" t="s">
        <v>55</v>
      </c>
      <c r="Q41" t="s">
        <v>55</v>
      </c>
      <c r="R41" t="s">
        <v>55</v>
      </c>
      <c r="S41" t="s">
        <v>55</v>
      </c>
      <c r="T41" t="s">
        <v>55</v>
      </c>
      <c r="U41" t="s">
        <v>55</v>
      </c>
      <c r="V41" t="s">
        <v>55</v>
      </c>
      <c r="W41" t="s">
        <v>55</v>
      </c>
      <c r="X41" s="23" t="s">
        <v>55</v>
      </c>
      <c r="Y41" s="23" t="s">
        <v>55</v>
      </c>
      <c r="Z41" s="23" t="s">
        <v>55</v>
      </c>
      <c r="AA41" s="23" t="s">
        <v>55</v>
      </c>
      <c r="AB41" t="s">
        <v>55</v>
      </c>
      <c r="AC41" t="s">
        <v>55</v>
      </c>
      <c r="AD41" t="s">
        <v>55</v>
      </c>
      <c r="AE41" t="s">
        <v>55</v>
      </c>
      <c r="AF41" s="23" t="s">
        <v>55</v>
      </c>
      <c r="AG41" s="23" t="s">
        <v>55</v>
      </c>
      <c r="AH41" s="23" t="s">
        <v>55</v>
      </c>
      <c r="AI41" s="23" t="s">
        <v>55</v>
      </c>
      <c r="AJ41">
        <v>11</v>
      </c>
      <c r="AK41">
        <v>9</v>
      </c>
      <c r="AL41">
        <v>6</v>
      </c>
      <c r="AM41">
        <v>7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1</v>
      </c>
      <c r="AU41" s="33" t="str">
        <f t="shared" si="3"/>
        <v>库存为1</v>
      </c>
      <c r="AV41" s="38" t="str">
        <f>IFERROR(时间!$B$4+AU41,"上周无销量")</f>
        <v>上周无销量</v>
      </c>
    </row>
    <row r="42" spans="1:48">
      <c r="A42" s="21" t="s">
        <v>150</v>
      </c>
      <c r="B42" t="s">
        <v>151</v>
      </c>
      <c r="C42" t="s">
        <v>134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3</v>
      </c>
      <c r="J42" s="35">
        <v>0</v>
      </c>
      <c r="K42" s="35">
        <v>0</v>
      </c>
      <c r="L42" s="35">
        <v>0</v>
      </c>
      <c r="M42">
        <v>3</v>
      </c>
      <c r="N42">
        <v>0</v>
      </c>
      <c r="O42">
        <v>3</v>
      </c>
      <c r="P42" t="s">
        <v>55</v>
      </c>
      <c r="Q42" t="s">
        <v>55</v>
      </c>
      <c r="R42" t="s">
        <v>55</v>
      </c>
      <c r="S42" t="s">
        <v>55</v>
      </c>
      <c r="T42" t="s">
        <v>55</v>
      </c>
      <c r="U42" t="s">
        <v>55</v>
      </c>
      <c r="V42" t="s">
        <v>55</v>
      </c>
      <c r="W42" t="s">
        <v>55</v>
      </c>
      <c r="X42" s="23" t="s">
        <v>55</v>
      </c>
      <c r="Y42" s="23" t="s">
        <v>55</v>
      </c>
      <c r="Z42" s="23" t="s">
        <v>55</v>
      </c>
      <c r="AA42" s="23" t="s">
        <v>55</v>
      </c>
      <c r="AB42" t="s">
        <v>55</v>
      </c>
      <c r="AC42" t="s">
        <v>55</v>
      </c>
      <c r="AD42" t="s">
        <v>55</v>
      </c>
      <c r="AE42" t="s">
        <v>55</v>
      </c>
      <c r="AF42" s="23" t="s">
        <v>55</v>
      </c>
      <c r="AG42" s="23" t="s">
        <v>55</v>
      </c>
      <c r="AH42" s="23" t="s">
        <v>55</v>
      </c>
      <c r="AI42" s="23" t="s">
        <v>55</v>
      </c>
      <c r="AJ42">
        <v>12</v>
      </c>
      <c r="AK42">
        <v>5</v>
      </c>
      <c r="AL42">
        <v>3</v>
      </c>
      <c r="AM42">
        <v>5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3</v>
      </c>
      <c r="AU42" s="33" t="str">
        <f t="shared" si="3"/>
        <v>库存为3</v>
      </c>
      <c r="AV42" s="38" t="str">
        <f>IFERROR(时间!$B$4+AU42,"上周无销量")</f>
        <v>上周无销量</v>
      </c>
    </row>
    <row r="43" spans="1:48">
      <c r="A43" s="21" t="s">
        <v>152</v>
      </c>
      <c r="B43" t="s">
        <v>153</v>
      </c>
      <c r="C43" t="s">
        <v>134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0</v>
      </c>
      <c r="J43" s="35">
        <v>0</v>
      </c>
      <c r="K43" s="35">
        <v>0</v>
      </c>
      <c r="L43" s="35">
        <v>0</v>
      </c>
      <c r="M43">
        <v>0</v>
      </c>
      <c r="N43">
        <v>0</v>
      </c>
      <c r="O43">
        <v>0</v>
      </c>
      <c r="P43" t="s">
        <v>55</v>
      </c>
      <c r="Q43" t="s">
        <v>55</v>
      </c>
      <c r="R43" t="s">
        <v>55</v>
      </c>
      <c r="S43" t="s">
        <v>55</v>
      </c>
      <c r="T43" t="s">
        <v>55</v>
      </c>
      <c r="U43" t="s">
        <v>55</v>
      </c>
      <c r="V43" t="s">
        <v>55</v>
      </c>
      <c r="W43" t="s">
        <v>55</v>
      </c>
      <c r="X43" s="23" t="s">
        <v>55</v>
      </c>
      <c r="Y43" s="23" t="s">
        <v>55</v>
      </c>
      <c r="Z43" s="23" t="s">
        <v>55</v>
      </c>
      <c r="AA43" s="23" t="s">
        <v>55</v>
      </c>
      <c r="AB43" t="s">
        <v>55</v>
      </c>
      <c r="AC43" t="s">
        <v>55</v>
      </c>
      <c r="AD43" t="s">
        <v>55</v>
      </c>
      <c r="AE43" t="s">
        <v>55</v>
      </c>
      <c r="AF43" s="23" t="s">
        <v>55</v>
      </c>
      <c r="AG43" s="23" t="s">
        <v>55</v>
      </c>
      <c r="AH43" s="23" t="s">
        <v>55</v>
      </c>
      <c r="AI43" s="23" t="s">
        <v>55</v>
      </c>
      <c r="AJ43">
        <v>0</v>
      </c>
      <c r="AK43">
        <v>0</v>
      </c>
      <c r="AL43">
        <v>0</v>
      </c>
      <c r="AM43">
        <v>0</v>
      </c>
      <c r="AN43" s="23" t="s">
        <v>55</v>
      </c>
      <c r="AO43" s="23" t="s">
        <v>55</v>
      </c>
      <c r="AP43" s="23" t="s">
        <v>55</v>
      </c>
      <c r="AQ43" s="23" t="s">
        <v>55</v>
      </c>
      <c r="AR43" s="37">
        <v>0</v>
      </c>
      <c r="AS43" s="37">
        <v>0</v>
      </c>
      <c r="AT43" s="37">
        <v>0</v>
      </c>
      <c r="AU43" s="33" t="str">
        <f t="shared" si="3"/>
        <v>库存为0</v>
      </c>
      <c r="AV43" s="38" t="str">
        <f>IFERROR(时间!$B$4+AU43,"上周无销量")</f>
        <v>上周无销量</v>
      </c>
    </row>
    <row r="44" spans="1:48">
      <c r="A44" s="21" t="s">
        <v>154</v>
      </c>
      <c r="B44" t="s">
        <v>155</v>
      </c>
      <c r="C44" t="s">
        <v>134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4</v>
      </c>
      <c r="J44" s="35">
        <v>0</v>
      </c>
      <c r="K44" s="35">
        <v>0</v>
      </c>
      <c r="L44" s="35">
        <v>0</v>
      </c>
      <c r="M44">
        <v>4</v>
      </c>
      <c r="N44">
        <v>0</v>
      </c>
      <c r="O44">
        <v>1</v>
      </c>
      <c r="P44">
        <v>0</v>
      </c>
      <c r="Q44">
        <v>0</v>
      </c>
      <c r="R44">
        <v>0</v>
      </c>
      <c r="S44">
        <v>75</v>
      </c>
      <c r="T44">
        <v>0</v>
      </c>
      <c r="U44">
        <v>0</v>
      </c>
      <c r="V44">
        <v>0</v>
      </c>
      <c r="W44">
        <v>1</v>
      </c>
      <c r="X44" s="23" t="s">
        <v>55</v>
      </c>
      <c r="Y44" s="23" t="s">
        <v>55</v>
      </c>
      <c r="Z44" s="23" t="s">
        <v>55</v>
      </c>
      <c r="AA44" s="23">
        <v>0.0133333333333333</v>
      </c>
      <c r="AB44">
        <v>0</v>
      </c>
      <c r="AC44">
        <v>0</v>
      </c>
      <c r="AD44">
        <v>0</v>
      </c>
      <c r="AE44">
        <v>0.35</v>
      </c>
      <c r="AF44" s="23" t="s">
        <v>55</v>
      </c>
      <c r="AG44" s="23" t="s">
        <v>55</v>
      </c>
      <c r="AH44" s="23" t="s">
        <v>55</v>
      </c>
      <c r="AI44" s="23" t="s">
        <v>156</v>
      </c>
      <c r="AJ44">
        <v>27</v>
      </c>
      <c r="AK44">
        <v>19</v>
      </c>
      <c r="AL44">
        <v>18</v>
      </c>
      <c r="AM44">
        <v>19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4</v>
      </c>
      <c r="AU44" s="33" t="str">
        <f t="shared" si="3"/>
        <v>库存为4</v>
      </c>
      <c r="AV44" s="38" t="str">
        <f>IFERROR(时间!$B$4+AU44,"上周无销量")</f>
        <v>上周无销量</v>
      </c>
    </row>
    <row r="45" spans="1:48">
      <c r="A45" s="21" t="s">
        <v>157</v>
      </c>
      <c r="B45" t="s">
        <v>158</v>
      </c>
      <c r="C45" t="s">
        <v>134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1</v>
      </c>
      <c r="J45" s="35">
        <v>0</v>
      </c>
      <c r="K45" s="35">
        <v>0</v>
      </c>
      <c r="L45" s="35">
        <v>0</v>
      </c>
      <c r="M45">
        <v>1</v>
      </c>
      <c r="N45">
        <v>1</v>
      </c>
      <c r="O45">
        <v>1</v>
      </c>
      <c r="P45" t="s">
        <v>55</v>
      </c>
      <c r="Q45" t="s">
        <v>55</v>
      </c>
      <c r="R45" t="s">
        <v>55</v>
      </c>
      <c r="S45" t="s">
        <v>55</v>
      </c>
      <c r="T45" t="s">
        <v>55</v>
      </c>
      <c r="U45" t="s">
        <v>55</v>
      </c>
      <c r="V45" t="s">
        <v>55</v>
      </c>
      <c r="W45" t="s">
        <v>55</v>
      </c>
      <c r="X45" s="23" t="s">
        <v>55</v>
      </c>
      <c r="Y45" s="23" t="s">
        <v>55</v>
      </c>
      <c r="Z45" s="23" t="s">
        <v>55</v>
      </c>
      <c r="AA45" s="23" t="s">
        <v>55</v>
      </c>
      <c r="AB45" t="s">
        <v>55</v>
      </c>
      <c r="AC45" t="s">
        <v>55</v>
      </c>
      <c r="AD45" t="s">
        <v>55</v>
      </c>
      <c r="AE45" t="s">
        <v>55</v>
      </c>
      <c r="AF45" s="23" t="s">
        <v>55</v>
      </c>
      <c r="AG45" s="23" t="s">
        <v>55</v>
      </c>
      <c r="AH45" s="23" t="s">
        <v>55</v>
      </c>
      <c r="AI45" s="23" t="s">
        <v>55</v>
      </c>
      <c r="AJ45">
        <v>7</v>
      </c>
      <c r="AK45">
        <v>5</v>
      </c>
      <c r="AL45">
        <v>8</v>
      </c>
      <c r="AM45">
        <v>7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1</v>
      </c>
      <c r="AU45" s="33" t="str">
        <f t="shared" si="3"/>
        <v>库存为1</v>
      </c>
      <c r="AV45" s="38" t="str">
        <f>IFERROR(时间!$B$4+AU45,"上周无销量")</f>
        <v>上周无销量</v>
      </c>
    </row>
    <row r="46" spans="1:48">
      <c r="A46" s="21" t="s">
        <v>159</v>
      </c>
      <c r="B46" t="s">
        <v>160</v>
      </c>
      <c r="C46" t="s">
        <v>134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4</v>
      </c>
      <c r="J46" s="35">
        <v>0</v>
      </c>
      <c r="K46" s="35">
        <v>0</v>
      </c>
      <c r="L46" s="35">
        <v>0</v>
      </c>
      <c r="M46">
        <v>4</v>
      </c>
      <c r="N46">
        <v>0</v>
      </c>
      <c r="O46">
        <v>3</v>
      </c>
      <c r="P46" t="s">
        <v>55</v>
      </c>
      <c r="Q46" t="s">
        <v>55</v>
      </c>
      <c r="R46" t="s">
        <v>55</v>
      </c>
      <c r="S46" t="s">
        <v>55</v>
      </c>
      <c r="T46" t="s">
        <v>55</v>
      </c>
      <c r="U46" t="s">
        <v>55</v>
      </c>
      <c r="V46" t="s">
        <v>55</v>
      </c>
      <c r="W46" t="s">
        <v>55</v>
      </c>
      <c r="X46" s="23" t="s">
        <v>55</v>
      </c>
      <c r="Y46" s="23" t="s">
        <v>55</v>
      </c>
      <c r="Z46" s="23" t="s">
        <v>55</v>
      </c>
      <c r="AA46" s="23" t="s">
        <v>55</v>
      </c>
      <c r="AB46" t="s">
        <v>55</v>
      </c>
      <c r="AC46" t="s">
        <v>55</v>
      </c>
      <c r="AD46" t="s">
        <v>55</v>
      </c>
      <c r="AE46" t="s">
        <v>55</v>
      </c>
      <c r="AF46" s="23" t="s">
        <v>55</v>
      </c>
      <c r="AG46" s="23" t="s">
        <v>55</v>
      </c>
      <c r="AH46" s="23" t="s">
        <v>55</v>
      </c>
      <c r="AI46" s="23" t="s">
        <v>55</v>
      </c>
      <c r="AJ46">
        <v>23</v>
      </c>
      <c r="AK46">
        <v>25</v>
      </c>
      <c r="AL46">
        <v>5</v>
      </c>
      <c r="AM46">
        <v>11</v>
      </c>
      <c r="AN46" s="23">
        <v>0</v>
      </c>
      <c r="AO46" s="23">
        <v>0</v>
      </c>
      <c r="AP46" s="23">
        <v>0</v>
      </c>
      <c r="AQ46" s="23">
        <v>0</v>
      </c>
      <c r="AR46" s="37">
        <v>0</v>
      </c>
      <c r="AS46" s="37">
        <v>0</v>
      </c>
      <c r="AT46" s="37">
        <v>4</v>
      </c>
      <c r="AU46" s="33" t="str">
        <f t="shared" si="3"/>
        <v>库存为4</v>
      </c>
      <c r="AV46" s="38" t="str">
        <f>IFERROR(时间!$B$4+AU46,"上周无销量")</f>
        <v>上周无销量</v>
      </c>
    </row>
    <row r="47" spans="1:48">
      <c r="A47" s="21" t="s">
        <v>161</v>
      </c>
      <c r="B47" t="s">
        <v>162</v>
      </c>
      <c r="C47" t="s">
        <v>163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3</v>
      </c>
      <c r="O47">
        <v>0</v>
      </c>
      <c r="P47" t="s">
        <v>55</v>
      </c>
      <c r="Q47" t="s">
        <v>55</v>
      </c>
      <c r="R47" t="s">
        <v>55</v>
      </c>
      <c r="S47" t="s">
        <v>55</v>
      </c>
      <c r="T47" t="s">
        <v>55</v>
      </c>
      <c r="U47" t="s">
        <v>55</v>
      </c>
      <c r="V47" t="s">
        <v>55</v>
      </c>
      <c r="W47" t="s">
        <v>55</v>
      </c>
      <c r="X47" s="23" t="s">
        <v>55</v>
      </c>
      <c r="Y47" s="23" t="s">
        <v>55</v>
      </c>
      <c r="Z47" s="23" t="s">
        <v>55</v>
      </c>
      <c r="AA47" s="23" t="s">
        <v>55</v>
      </c>
      <c r="AB47" t="s">
        <v>55</v>
      </c>
      <c r="AC47" t="s">
        <v>55</v>
      </c>
      <c r="AD47" t="s">
        <v>55</v>
      </c>
      <c r="AE47" t="s">
        <v>55</v>
      </c>
      <c r="AF47" s="23" t="s">
        <v>55</v>
      </c>
      <c r="AG47" s="23" t="s">
        <v>55</v>
      </c>
      <c r="AH47" s="23" t="s">
        <v>55</v>
      </c>
      <c r="AI47" s="23" t="s">
        <v>55</v>
      </c>
      <c r="AJ47">
        <v>0</v>
      </c>
      <c r="AK47">
        <v>0</v>
      </c>
      <c r="AL47">
        <v>0</v>
      </c>
      <c r="AM47">
        <v>0</v>
      </c>
      <c r="AN47" s="23" t="s">
        <v>55</v>
      </c>
      <c r="AO47" s="23" t="s">
        <v>55</v>
      </c>
      <c r="AP47" s="23" t="s">
        <v>55</v>
      </c>
      <c r="AQ47" s="23" t="s">
        <v>55</v>
      </c>
      <c r="AR47" s="37">
        <v>0</v>
      </c>
      <c r="AS47" s="37">
        <v>0</v>
      </c>
      <c r="AT47" s="37">
        <v>0</v>
      </c>
      <c r="AU47" s="33" t="str">
        <f t="shared" si="3"/>
        <v>库存为0</v>
      </c>
      <c r="AV47" s="38" t="str">
        <f>IFERROR(时间!$B$4+AU47,"上周无销量")</f>
        <v>上周无销量</v>
      </c>
    </row>
    <row r="48" spans="1:48">
      <c r="A48" s="21" t="s">
        <v>164</v>
      </c>
      <c r="B48" t="s">
        <v>165</v>
      </c>
      <c r="C48" t="s">
        <v>163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0</v>
      </c>
      <c r="J48" s="35">
        <v>0</v>
      </c>
      <c r="K48" s="35">
        <v>0</v>
      </c>
      <c r="L48" s="35">
        <v>0</v>
      </c>
      <c r="M48">
        <v>0</v>
      </c>
      <c r="N48">
        <v>0</v>
      </c>
      <c r="O48">
        <v>0</v>
      </c>
      <c r="P48" t="s">
        <v>55</v>
      </c>
      <c r="Q48" t="s">
        <v>55</v>
      </c>
      <c r="R48" t="s">
        <v>55</v>
      </c>
      <c r="S48" t="s">
        <v>55</v>
      </c>
      <c r="T48" t="s">
        <v>55</v>
      </c>
      <c r="U48" t="s">
        <v>55</v>
      </c>
      <c r="V48" t="s">
        <v>55</v>
      </c>
      <c r="W48" t="s">
        <v>55</v>
      </c>
      <c r="X48" s="23" t="s">
        <v>55</v>
      </c>
      <c r="Y48" s="23" t="s">
        <v>55</v>
      </c>
      <c r="Z48" s="23" t="s">
        <v>55</v>
      </c>
      <c r="AA48" s="23" t="s">
        <v>55</v>
      </c>
      <c r="AB48" t="s">
        <v>55</v>
      </c>
      <c r="AC48" t="s">
        <v>55</v>
      </c>
      <c r="AD48" t="s">
        <v>55</v>
      </c>
      <c r="AE48" t="s">
        <v>55</v>
      </c>
      <c r="AF48" s="23" t="s">
        <v>55</v>
      </c>
      <c r="AG48" s="23" t="s">
        <v>55</v>
      </c>
      <c r="AH48" s="23" t="s">
        <v>55</v>
      </c>
      <c r="AI48" s="23" t="s">
        <v>55</v>
      </c>
      <c r="AJ48">
        <v>0</v>
      </c>
      <c r="AK48">
        <v>0</v>
      </c>
      <c r="AL48">
        <v>0</v>
      </c>
      <c r="AM48">
        <v>0</v>
      </c>
      <c r="AN48" s="23" t="s">
        <v>55</v>
      </c>
      <c r="AO48" s="23" t="s">
        <v>55</v>
      </c>
      <c r="AP48" s="23" t="s">
        <v>55</v>
      </c>
      <c r="AQ48" s="23" t="s">
        <v>55</v>
      </c>
      <c r="AR48" s="37">
        <v>0</v>
      </c>
      <c r="AS48" s="37">
        <v>0</v>
      </c>
      <c r="AT48" s="37">
        <v>0</v>
      </c>
      <c r="AU48" s="33" t="str">
        <f t="shared" si="3"/>
        <v>库存为0</v>
      </c>
      <c r="AV48" s="38" t="str">
        <f>IFERROR(时间!$B$4+AU48,"上周无销量")</f>
        <v>上周无销量</v>
      </c>
    </row>
    <row r="49" spans="1:48">
      <c r="A49" s="21" t="s">
        <v>166</v>
      </c>
      <c r="B49" t="s">
        <v>167</v>
      </c>
      <c r="C49" t="s">
        <v>163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3</v>
      </c>
      <c r="J49" s="35">
        <v>0</v>
      </c>
      <c r="K49" s="35">
        <v>0</v>
      </c>
      <c r="L49" s="35">
        <v>0</v>
      </c>
      <c r="M49">
        <v>3</v>
      </c>
      <c r="N49">
        <v>2</v>
      </c>
      <c r="O49">
        <v>3</v>
      </c>
      <c r="P49" t="s">
        <v>55</v>
      </c>
      <c r="Q49" t="s">
        <v>55</v>
      </c>
      <c r="R49" t="s">
        <v>55</v>
      </c>
      <c r="S49" t="s">
        <v>55</v>
      </c>
      <c r="T49" t="s">
        <v>55</v>
      </c>
      <c r="U49" t="s">
        <v>55</v>
      </c>
      <c r="V49" t="s">
        <v>55</v>
      </c>
      <c r="W49" t="s">
        <v>55</v>
      </c>
      <c r="X49" s="23" t="s">
        <v>55</v>
      </c>
      <c r="Y49" s="23" t="s">
        <v>55</v>
      </c>
      <c r="Z49" s="23" t="s">
        <v>55</v>
      </c>
      <c r="AA49" s="23" t="s">
        <v>55</v>
      </c>
      <c r="AB49" t="s">
        <v>55</v>
      </c>
      <c r="AC49" t="s">
        <v>55</v>
      </c>
      <c r="AD49" t="s">
        <v>55</v>
      </c>
      <c r="AE49" t="s">
        <v>55</v>
      </c>
      <c r="AF49" s="23" t="s">
        <v>55</v>
      </c>
      <c r="AG49" s="23" t="s">
        <v>55</v>
      </c>
      <c r="AH49" s="23" t="s">
        <v>55</v>
      </c>
      <c r="AI49" s="23" t="s">
        <v>55</v>
      </c>
      <c r="AJ49">
        <v>19</v>
      </c>
      <c r="AK49">
        <v>30</v>
      </c>
      <c r="AL49">
        <v>50</v>
      </c>
      <c r="AM49">
        <v>23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3</v>
      </c>
      <c r="AU49" s="33" t="str">
        <f t="shared" si="3"/>
        <v>库存为3</v>
      </c>
      <c r="AV49" s="38" t="str">
        <f>IFERROR(时间!$B$4+AU49,"上周无销量")</f>
        <v>上周无销量</v>
      </c>
    </row>
    <row r="50" spans="1:48">
      <c r="A50" s="21" t="s">
        <v>168</v>
      </c>
      <c r="B50" t="s">
        <v>169</v>
      </c>
      <c r="C50" t="s">
        <v>163</v>
      </c>
      <c r="D50" s="33">
        <v>0</v>
      </c>
      <c r="E50" s="33">
        <v>0</v>
      </c>
      <c r="F50" s="33">
        <v>1</v>
      </c>
      <c r="G50" s="33">
        <v>0</v>
      </c>
      <c r="H50" s="34">
        <v>42.99</v>
      </c>
      <c r="I50">
        <v>7</v>
      </c>
      <c r="J50" s="35">
        <v>0</v>
      </c>
      <c r="K50" s="35">
        <v>0</v>
      </c>
      <c r="L50" s="35">
        <v>0</v>
      </c>
      <c r="M50">
        <v>7</v>
      </c>
      <c r="N50">
        <v>1</v>
      </c>
      <c r="O50">
        <v>7</v>
      </c>
      <c r="P50">
        <v>0</v>
      </c>
      <c r="Q50">
        <v>0</v>
      </c>
      <c r="R50">
        <v>6</v>
      </c>
      <c r="S50">
        <v>77</v>
      </c>
      <c r="T50">
        <v>0</v>
      </c>
      <c r="U50">
        <v>0</v>
      </c>
      <c r="V50">
        <v>0</v>
      </c>
      <c r="W50">
        <v>0</v>
      </c>
      <c r="X50" s="23" t="s">
        <v>55</v>
      </c>
      <c r="Y50" s="23" t="s">
        <v>55</v>
      </c>
      <c r="Z50" s="23">
        <v>0</v>
      </c>
      <c r="AA50" s="23">
        <v>0</v>
      </c>
      <c r="AB50">
        <v>0</v>
      </c>
      <c r="AC50">
        <v>0</v>
      </c>
      <c r="AD50">
        <v>0</v>
      </c>
      <c r="AE50">
        <v>0</v>
      </c>
      <c r="AF50" s="23" t="s">
        <v>55</v>
      </c>
      <c r="AG50" s="23" t="s">
        <v>55</v>
      </c>
      <c r="AH50" s="23" t="s">
        <v>55</v>
      </c>
      <c r="AI50" s="23" t="s">
        <v>55</v>
      </c>
      <c r="AJ50">
        <v>26</v>
      </c>
      <c r="AK50">
        <v>17</v>
      </c>
      <c r="AL50">
        <v>15</v>
      </c>
      <c r="AM50">
        <v>6</v>
      </c>
      <c r="AN50" s="23">
        <v>0</v>
      </c>
      <c r="AO50" s="23">
        <v>0</v>
      </c>
      <c r="AP50" s="23">
        <v>0.0666666666666667</v>
      </c>
      <c r="AQ50" s="23">
        <v>0</v>
      </c>
      <c r="AR50" s="37">
        <v>0</v>
      </c>
      <c r="AS50" s="37">
        <v>0</v>
      </c>
      <c r="AT50" s="37">
        <v>7</v>
      </c>
      <c r="AU50" s="33" t="str">
        <f t="shared" si="3"/>
        <v>库存为7</v>
      </c>
      <c r="AV50" s="38" t="str">
        <f>IFERROR(时间!$B$4+AU50,"上周无销量")</f>
        <v>上周无销量</v>
      </c>
    </row>
    <row r="51" spans="1:48">
      <c r="A51" s="21" t="s">
        <v>170</v>
      </c>
      <c r="B51" t="s">
        <v>171</v>
      </c>
      <c r="C51" t="s">
        <v>163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55</v>
      </c>
      <c r="Q51" t="s">
        <v>55</v>
      </c>
      <c r="R51" t="s">
        <v>55</v>
      </c>
      <c r="S51" t="s">
        <v>55</v>
      </c>
      <c r="T51" t="s">
        <v>55</v>
      </c>
      <c r="U51" t="s">
        <v>55</v>
      </c>
      <c r="V51" t="s">
        <v>55</v>
      </c>
      <c r="W51" t="s">
        <v>55</v>
      </c>
      <c r="X51" s="23" t="s">
        <v>55</v>
      </c>
      <c r="Y51" s="23" t="s">
        <v>55</v>
      </c>
      <c r="Z51" s="23" t="s">
        <v>55</v>
      </c>
      <c r="AA51" s="23" t="s">
        <v>55</v>
      </c>
      <c r="AB51" t="s">
        <v>55</v>
      </c>
      <c r="AC51" t="s">
        <v>55</v>
      </c>
      <c r="AD51" t="s">
        <v>55</v>
      </c>
      <c r="AE51" t="s">
        <v>55</v>
      </c>
      <c r="AF51" s="23" t="s">
        <v>55</v>
      </c>
      <c r="AG51" s="23" t="s">
        <v>55</v>
      </c>
      <c r="AH51" s="23" t="s">
        <v>55</v>
      </c>
      <c r="AI51" s="23" t="s">
        <v>55</v>
      </c>
      <c r="AJ51">
        <v>41</v>
      </c>
      <c r="AK51">
        <v>23</v>
      </c>
      <c r="AL51">
        <v>13</v>
      </c>
      <c r="AM51">
        <v>13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3"/>
        <v>库存为5</v>
      </c>
      <c r="AV51" s="38" t="str">
        <f>IFERROR(时间!$B$4+AU51,"上周无销量")</f>
        <v>上周无销量</v>
      </c>
    </row>
    <row r="52" spans="1:48">
      <c r="A52" s="21" t="s">
        <v>172</v>
      </c>
      <c r="B52" t="s">
        <v>173</v>
      </c>
      <c r="C52" t="s">
        <v>163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8</v>
      </c>
      <c r="J52" s="35">
        <v>0</v>
      </c>
      <c r="K52" s="35">
        <v>0</v>
      </c>
      <c r="L52" s="35">
        <v>0</v>
      </c>
      <c r="M52">
        <v>8</v>
      </c>
      <c r="N52">
        <v>1</v>
      </c>
      <c r="O52">
        <v>8</v>
      </c>
      <c r="P52">
        <v>0</v>
      </c>
      <c r="Q52">
        <v>0</v>
      </c>
      <c r="R52">
        <v>45</v>
      </c>
      <c r="S52">
        <v>212</v>
      </c>
      <c r="T52">
        <v>0</v>
      </c>
      <c r="U52">
        <v>0</v>
      </c>
      <c r="V52">
        <v>0</v>
      </c>
      <c r="W52">
        <v>1</v>
      </c>
      <c r="X52" s="23" t="s">
        <v>55</v>
      </c>
      <c r="Y52" s="23" t="s">
        <v>55</v>
      </c>
      <c r="Z52" s="23">
        <v>0</v>
      </c>
      <c r="AA52" s="23">
        <v>0.00471698113207547</v>
      </c>
      <c r="AB52">
        <v>0</v>
      </c>
      <c r="AC52">
        <v>0</v>
      </c>
      <c r="AD52">
        <v>0</v>
      </c>
      <c r="AE52">
        <v>0.31</v>
      </c>
      <c r="AF52" s="23" t="s">
        <v>55</v>
      </c>
      <c r="AG52" s="23" t="s">
        <v>55</v>
      </c>
      <c r="AH52" s="23" t="s">
        <v>55</v>
      </c>
      <c r="AI52" s="23" t="s">
        <v>174</v>
      </c>
      <c r="AJ52">
        <v>19</v>
      </c>
      <c r="AK52">
        <v>7</v>
      </c>
      <c r="AL52">
        <v>10</v>
      </c>
      <c r="AM52">
        <v>9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8</v>
      </c>
      <c r="AU52" s="33" t="str">
        <f t="shared" si="3"/>
        <v>库存为8</v>
      </c>
      <c r="AV52" s="38" t="str">
        <f>IFERROR(时间!$B$4+AU52,"上周无销量")</f>
        <v>上周无销量</v>
      </c>
    </row>
    <row r="53" spans="1:48">
      <c r="A53" s="21" t="s">
        <v>175</v>
      </c>
      <c r="B53" t="s">
        <v>176</v>
      </c>
      <c r="C53" t="s">
        <v>163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10</v>
      </c>
      <c r="J53" s="35">
        <v>0</v>
      </c>
      <c r="K53" s="35">
        <v>0</v>
      </c>
      <c r="L53" s="35">
        <v>0</v>
      </c>
      <c r="M53">
        <v>10</v>
      </c>
      <c r="N53">
        <v>0</v>
      </c>
      <c r="O53">
        <v>9</v>
      </c>
      <c r="P53">
        <v>0</v>
      </c>
      <c r="Q53">
        <v>0</v>
      </c>
      <c r="R53">
        <v>6</v>
      </c>
      <c r="S53">
        <v>24</v>
      </c>
      <c r="T53">
        <v>0</v>
      </c>
      <c r="U53">
        <v>0</v>
      </c>
      <c r="V53">
        <v>0</v>
      </c>
      <c r="W53">
        <v>0</v>
      </c>
      <c r="X53" s="23" t="s">
        <v>55</v>
      </c>
      <c r="Y53" s="23" t="s">
        <v>55</v>
      </c>
      <c r="Z53" s="23">
        <v>0</v>
      </c>
      <c r="AA53" s="23">
        <v>0</v>
      </c>
      <c r="AB53">
        <v>0</v>
      </c>
      <c r="AC53">
        <v>0</v>
      </c>
      <c r="AD53">
        <v>0</v>
      </c>
      <c r="AE53">
        <v>0</v>
      </c>
      <c r="AF53" s="23" t="s">
        <v>55</v>
      </c>
      <c r="AG53" s="23" t="s">
        <v>55</v>
      </c>
      <c r="AH53" s="23" t="s">
        <v>55</v>
      </c>
      <c r="AI53" s="23" t="s">
        <v>55</v>
      </c>
      <c r="AJ53">
        <v>19</v>
      </c>
      <c r="AK53">
        <v>8</v>
      </c>
      <c r="AL53">
        <v>17</v>
      </c>
      <c r="AM53">
        <v>5</v>
      </c>
      <c r="AN53" s="23">
        <v>0</v>
      </c>
      <c r="AO53" s="23">
        <v>0</v>
      </c>
      <c r="AP53" s="23">
        <v>0</v>
      </c>
      <c r="AQ53" s="23">
        <v>0</v>
      </c>
      <c r="AR53" s="37">
        <v>0</v>
      </c>
      <c r="AS53" s="37">
        <v>0</v>
      </c>
      <c r="AT53" s="37">
        <v>10</v>
      </c>
      <c r="AU53" s="33" t="str">
        <f t="shared" si="3"/>
        <v>库存为10</v>
      </c>
      <c r="AV53" s="38" t="str">
        <f>IFERROR(时间!$B$4+AU53,"上周无销量")</f>
        <v>上周无销量</v>
      </c>
    </row>
    <row r="54" spans="1:48">
      <c r="A54" s="21" t="s">
        <v>177</v>
      </c>
      <c r="B54" t="s">
        <v>178</v>
      </c>
      <c r="C54" t="s">
        <v>163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0</v>
      </c>
      <c r="J54" s="35">
        <v>0</v>
      </c>
      <c r="K54" s="35">
        <v>0</v>
      </c>
      <c r="L54" s="35">
        <v>0</v>
      </c>
      <c r="M54">
        <v>0</v>
      </c>
      <c r="N54">
        <v>1</v>
      </c>
      <c r="O54">
        <v>0</v>
      </c>
      <c r="P54" t="s">
        <v>55</v>
      </c>
      <c r="Q54" t="s">
        <v>55</v>
      </c>
      <c r="R54" t="s">
        <v>55</v>
      </c>
      <c r="S54" t="s">
        <v>55</v>
      </c>
      <c r="T54" t="s">
        <v>55</v>
      </c>
      <c r="U54" t="s">
        <v>55</v>
      </c>
      <c r="V54" t="s">
        <v>55</v>
      </c>
      <c r="W54" t="s">
        <v>55</v>
      </c>
      <c r="X54" s="23" t="s">
        <v>55</v>
      </c>
      <c r="Y54" s="23" t="s">
        <v>55</v>
      </c>
      <c r="Z54" s="23" t="s">
        <v>55</v>
      </c>
      <c r="AA54" s="23" t="s">
        <v>55</v>
      </c>
      <c r="AB54" t="s">
        <v>55</v>
      </c>
      <c r="AC54" t="s">
        <v>55</v>
      </c>
      <c r="AD54" t="s">
        <v>55</v>
      </c>
      <c r="AE54" t="s">
        <v>55</v>
      </c>
      <c r="AF54" s="23" t="s">
        <v>55</v>
      </c>
      <c r="AG54" s="23" t="s">
        <v>55</v>
      </c>
      <c r="AH54" s="23" t="s">
        <v>55</v>
      </c>
      <c r="AI54" s="23" t="s">
        <v>55</v>
      </c>
      <c r="AJ54">
        <v>0</v>
      </c>
      <c r="AK54">
        <v>0</v>
      </c>
      <c r="AL54">
        <v>0</v>
      </c>
      <c r="AM54">
        <v>0</v>
      </c>
      <c r="AN54" s="23" t="s">
        <v>55</v>
      </c>
      <c r="AO54" s="23" t="s">
        <v>55</v>
      </c>
      <c r="AP54" s="23" t="s">
        <v>55</v>
      </c>
      <c r="AQ54" s="23" t="s">
        <v>55</v>
      </c>
      <c r="AR54" s="37">
        <v>0</v>
      </c>
      <c r="AS54" s="37">
        <v>0</v>
      </c>
      <c r="AT54" s="37">
        <v>0</v>
      </c>
      <c r="AU54" s="33" t="str">
        <f t="shared" si="3"/>
        <v>库存为0</v>
      </c>
      <c r="AV54" s="38" t="str">
        <f>IFERROR(时间!$B$4+AU54,"上周无销量")</f>
        <v>上周无销量</v>
      </c>
    </row>
    <row r="55" spans="1:48">
      <c r="A55" s="21" t="s">
        <v>179</v>
      </c>
      <c r="B55" t="s">
        <v>180</v>
      </c>
      <c r="C55" t="s">
        <v>163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0</v>
      </c>
      <c r="P55">
        <v>0</v>
      </c>
      <c r="Q55">
        <v>0</v>
      </c>
      <c r="R55">
        <v>253</v>
      </c>
      <c r="S55">
        <v>1248</v>
      </c>
      <c r="T55">
        <v>0</v>
      </c>
      <c r="U55">
        <v>0</v>
      </c>
      <c r="V55">
        <v>1</v>
      </c>
      <c r="W55">
        <v>5</v>
      </c>
      <c r="X55" s="23" t="s">
        <v>55</v>
      </c>
      <c r="Y55" s="23" t="s">
        <v>55</v>
      </c>
      <c r="Z55" s="23">
        <v>0.00395256916996047</v>
      </c>
      <c r="AA55" s="23">
        <v>0.00400641025641026</v>
      </c>
      <c r="AB55">
        <v>0</v>
      </c>
      <c r="AC55">
        <v>0</v>
      </c>
      <c r="AD55">
        <v>0.33</v>
      </c>
      <c r="AE55">
        <v>1.89</v>
      </c>
      <c r="AF55" s="23" t="s">
        <v>55</v>
      </c>
      <c r="AG55" s="23" t="s">
        <v>55</v>
      </c>
      <c r="AH55" s="23" t="s">
        <v>181</v>
      </c>
      <c r="AI55" s="23" t="s">
        <v>182</v>
      </c>
      <c r="AJ55">
        <v>34</v>
      </c>
      <c r="AK55">
        <v>15</v>
      </c>
      <c r="AL55">
        <v>20</v>
      </c>
      <c r="AM55">
        <v>24</v>
      </c>
      <c r="AN55" s="23">
        <v>0</v>
      </c>
      <c r="AO55" s="23">
        <v>0</v>
      </c>
      <c r="AP55" s="23">
        <v>0</v>
      </c>
      <c r="AQ55" s="23">
        <v>0</v>
      </c>
      <c r="AR55" s="37">
        <v>0</v>
      </c>
      <c r="AS55" s="37">
        <v>0</v>
      </c>
      <c r="AT55" s="37">
        <v>1</v>
      </c>
      <c r="AU55" s="33" t="str">
        <f t="shared" si="3"/>
        <v>库存为1</v>
      </c>
      <c r="AV55" s="38" t="str">
        <f>IFERROR(时间!$B$4+AU55,"上周无销量")</f>
        <v>上周无销量</v>
      </c>
    </row>
    <row r="56" spans="1:48">
      <c r="A56" s="21" t="s">
        <v>183</v>
      </c>
      <c r="B56" t="s">
        <v>184</v>
      </c>
      <c r="C56" t="s">
        <v>163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2</v>
      </c>
      <c r="J56" s="35">
        <v>0</v>
      </c>
      <c r="K56" s="35">
        <v>0</v>
      </c>
      <c r="L56" s="35">
        <v>0</v>
      </c>
      <c r="M56">
        <v>2</v>
      </c>
      <c r="N56">
        <v>0</v>
      </c>
      <c r="O56">
        <v>2</v>
      </c>
      <c r="P56">
        <v>0</v>
      </c>
      <c r="Q56">
        <v>0</v>
      </c>
      <c r="R56">
        <v>10</v>
      </c>
      <c r="S56">
        <v>35</v>
      </c>
      <c r="T56">
        <v>0</v>
      </c>
      <c r="U56">
        <v>0</v>
      </c>
      <c r="V56">
        <v>0</v>
      </c>
      <c r="W56">
        <v>0</v>
      </c>
      <c r="X56" s="23" t="s">
        <v>55</v>
      </c>
      <c r="Y56" s="23" t="s">
        <v>55</v>
      </c>
      <c r="Z56" s="23">
        <v>0</v>
      </c>
      <c r="AA56" s="23">
        <v>0</v>
      </c>
      <c r="AB56">
        <v>0</v>
      </c>
      <c r="AC56">
        <v>0</v>
      </c>
      <c r="AD56">
        <v>0</v>
      </c>
      <c r="AE56">
        <v>0</v>
      </c>
      <c r="AF56" s="23" t="s">
        <v>55</v>
      </c>
      <c r="AG56" s="23" t="s">
        <v>55</v>
      </c>
      <c r="AH56" s="23" t="s">
        <v>55</v>
      </c>
      <c r="AI56" s="23" t="s">
        <v>55</v>
      </c>
      <c r="AJ56">
        <v>15</v>
      </c>
      <c r="AK56">
        <v>16</v>
      </c>
      <c r="AL56">
        <v>8</v>
      </c>
      <c r="AM56">
        <v>10</v>
      </c>
      <c r="AN56" s="23">
        <v>0</v>
      </c>
      <c r="AO56" s="23">
        <v>0</v>
      </c>
      <c r="AP56" s="23">
        <v>0</v>
      </c>
      <c r="AQ56" s="23">
        <v>0</v>
      </c>
      <c r="AR56" s="37">
        <v>0</v>
      </c>
      <c r="AS56" s="37">
        <v>0</v>
      </c>
      <c r="AT56" s="37">
        <v>2</v>
      </c>
      <c r="AU56" s="33" t="str">
        <f t="shared" si="3"/>
        <v>库存为2</v>
      </c>
      <c r="AV56" s="38" t="str">
        <f>IFERROR(时间!$B$4+AU56,"上周无销量")</f>
        <v>上周无销量</v>
      </c>
    </row>
    <row r="57" spans="1:48">
      <c r="A57" s="21" t="s">
        <v>185</v>
      </c>
      <c r="B57" t="s">
        <v>186</v>
      </c>
      <c r="C57" t="s">
        <v>163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0</v>
      </c>
      <c r="J57" s="35">
        <v>0</v>
      </c>
      <c r="K57" s="35">
        <v>0</v>
      </c>
      <c r="L57" s="35">
        <v>0</v>
      </c>
      <c r="M57">
        <v>0</v>
      </c>
      <c r="N57">
        <v>1</v>
      </c>
      <c r="O57">
        <v>0</v>
      </c>
      <c r="P57" t="s">
        <v>55</v>
      </c>
      <c r="Q57" t="s">
        <v>55</v>
      </c>
      <c r="R57" t="s">
        <v>55</v>
      </c>
      <c r="S57" t="s">
        <v>55</v>
      </c>
      <c r="T57" t="s">
        <v>55</v>
      </c>
      <c r="U57" t="s">
        <v>55</v>
      </c>
      <c r="V57" t="s">
        <v>55</v>
      </c>
      <c r="W57" t="s">
        <v>55</v>
      </c>
      <c r="X57" s="23" t="s">
        <v>55</v>
      </c>
      <c r="Y57" s="23" t="s">
        <v>55</v>
      </c>
      <c r="Z57" s="23" t="s">
        <v>55</v>
      </c>
      <c r="AA57" s="23" t="s">
        <v>55</v>
      </c>
      <c r="AB57" t="s">
        <v>55</v>
      </c>
      <c r="AC57" t="s">
        <v>55</v>
      </c>
      <c r="AD57" t="s">
        <v>55</v>
      </c>
      <c r="AE57" t="s">
        <v>55</v>
      </c>
      <c r="AF57" s="23" t="s">
        <v>55</v>
      </c>
      <c r="AG57" s="23" t="s">
        <v>55</v>
      </c>
      <c r="AH57" s="23" t="s">
        <v>55</v>
      </c>
      <c r="AI57" s="23" t="s">
        <v>55</v>
      </c>
      <c r="AJ57">
        <v>0</v>
      </c>
      <c r="AK57">
        <v>0</v>
      </c>
      <c r="AL57">
        <v>0</v>
      </c>
      <c r="AM57">
        <v>0</v>
      </c>
      <c r="AN57" s="23" t="s">
        <v>55</v>
      </c>
      <c r="AO57" s="23" t="s">
        <v>55</v>
      </c>
      <c r="AP57" s="23" t="s">
        <v>55</v>
      </c>
      <c r="AQ57" s="23" t="s">
        <v>55</v>
      </c>
      <c r="AR57" s="37">
        <v>0</v>
      </c>
      <c r="AS57" s="37">
        <v>0</v>
      </c>
      <c r="AT57" s="37">
        <v>0</v>
      </c>
      <c r="AU57" s="33" t="str">
        <f t="shared" si="3"/>
        <v>库存为0</v>
      </c>
      <c r="AV57" s="38" t="str">
        <f>IFERROR(时间!$B$4+AU57,"上周无销量")</f>
        <v>上周无销量</v>
      </c>
    </row>
    <row r="58" spans="1:48">
      <c r="A58" s="21" t="s">
        <v>187</v>
      </c>
      <c r="B58" t="s">
        <v>188</v>
      </c>
      <c r="C58" t="s">
        <v>163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0</v>
      </c>
      <c r="J58" s="35">
        <v>0</v>
      </c>
      <c r="K58" s="35">
        <v>0</v>
      </c>
      <c r="L58" s="35">
        <v>0</v>
      </c>
      <c r="M58">
        <v>0</v>
      </c>
      <c r="N58">
        <v>0</v>
      </c>
      <c r="O58">
        <v>0</v>
      </c>
      <c r="P58" t="s">
        <v>55</v>
      </c>
      <c r="Q58" t="s">
        <v>55</v>
      </c>
      <c r="R58" t="s">
        <v>55</v>
      </c>
      <c r="S58" t="s">
        <v>55</v>
      </c>
      <c r="T58" t="s">
        <v>55</v>
      </c>
      <c r="U58" t="s">
        <v>55</v>
      </c>
      <c r="V58" t="s">
        <v>55</v>
      </c>
      <c r="W58" t="s">
        <v>55</v>
      </c>
      <c r="X58" s="23" t="s">
        <v>55</v>
      </c>
      <c r="Y58" s="23" t="s">
        <v>55</v>
      </c>
      <c r="Z58" s="23" t="s">
        <v>55</v>
      </c>
      <c r="AA58" s="23" t="s">
        <v>55</v>
      </c>
      <c r="AB58" t="s">
        <v>55</v>
      </c>
      <c r="AC58" t="s">
        <v>55</v>
      </c>
      <c r="AD58" t="s">
        <v>55</v>
      </c>
      <c r="AE58" t="s">
        <v>55</v>
      </c>
      <c r="AF58" s="23" t="s">
        <v>55</v>
      </c>
      <c r="AG58" s="23" t="s">
        <v>55</v>
      </c>
      <c r="AH58" s="23" t="s">
        <v>55</v>
      </c>
      <c r="AI58" s="23" t="s">
        <v>55</v>
      </c>
      <c r="AJ58">
        <v>0</v>
      </c>
      <c r="AK58">
        <v>0</v>
      </c>
      <c r="AL58">
        <v>0</v>
      </c>
      <c r="AM58">
        <v>0</v>
      </c>
      <c r="AN58" s="23" t="s">
        <v>55</v>
      </c>
      <c r="AO58" s="23" t="s">
        <v>55</v>
      </c>
      <c r="AP58" s="23" t="s">
        <v>55</v>
      </c>
      <c r="AQ58" s="23" t="s">
        <v>55</v>
      </c>
      <c r="AR58" s="37">
        <v>0</v>
      </c>
      <c r="AS58" s="37">
        <v>0</v>
      </c>
      <c r="AT58" s="37">
        <v>0</v>
      </c>
      <c r="AU58" s="33" t="str">
        <f t="shared" si="3"/>
        <v>库存为0</v>
      </c>
      <c r="AV58" s="38" t="str">
        <f>IFERROR(时间!$B$4+AU58,"上周无销量")</f>
        <v>上周无销量</v>
      </c>
    </row>
    <row r="59" spans="1:48">
      <c r="A59" s="21" t="s">
        <v>189</v>
      </c>
      <c r="B59" t="s">
        <v>190</v>
      </c>
      <c r="C59" t="s">
        <v>163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1</v>
      </c>
      <c r="J59" s="35">
        <v>0</v>
      </c>
      <c r="K59" s="35">
        <v>0</v>
      </c>
      <c r="L59" s="35">
        <v>0</v>
      </c>
      <c r="M59">
        <v>1</v>
      </c>
      <c r="N59">
        <v>1</v>
      </c>
      <c r="O59">
        <v>1</v>
      </c>
      <c r="P59" t="s">
        <v>55</v>
      </c>
      <c r="Q59" t="s">
        <v>55</v>
      </c>
      <c r="R59" t="s">
        <v>55</v>
      </c>
      <c r="S59" t="s">
        <v>55</v>
      </c>
      <c r="T59" t="s">
        <v>55</v>
      </c>
      <c r="U59" t="s">
        <v>55</v>
      </c>
      <c r="V59" t="s">
        <v>55</v>
      </c>
      <c r="W59" t="s">
        <v>55</v>
      </c>
      <c r="X59" s="23" t="s">
        <v>55</v>
      </c>
      <c r="Y59" s="23" t="s">
        <v>55</v>
      </c>
      <c r="Z59" s="23" t="s">
        <v>55</v>
      </c>
      <c r="AA59" s="23" t="s">
        <v>55</v>
      </c>
      <c r="AB59" t="s">
        <v>55</v>
      </c>
      <c r="AC59" t="s">
        <v>55</v>
      </c>
      <c r="AD59" t="s">
        <v>55</v>
      </c>
      <c r="AE59" t="s">
        <v>55</v>
      </c>
      <c r="AF59" s="23" t="s">
        <v>55</v>
      </c>
      <c r="AG59" s="23" t="s">
        <v>55</v>
      </c>
      <c r="AH59" s="23" t="s">
        <v>55</v>
      </c>
      <c r="AI59" s="23" t="s">
        <v>55</v>
      </c>
      <c r="AJ59">
        <v>13</v>
      </c>
      <c r="AK59">
        <v>17</v>
      </c>
      <c r="AL59">
        <v>19</v>
      </c>
      <c r="AM59">
        <v>8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1</v>
      </c>
      <c r="AU59" s="33" t="str">
        <f t="shared" si="3"/>
        <v>库存为1</v>
      </c>
      <c r="AV59" s="38" t="str">
        <f>IFERROR(时间!$B$4+AU59,"上周无销量")</f>
        <v>上周无销量</v>
      </c>
    </row>
    <row r="60" spans="1:48">
      <c r="A60" s="21" t="s">
        <v>191</v>
      </c>
      <c r="B60" t="s">
        <v>192</v>
      </c>
      <c r="C60" t="s">
        <v>163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4</v>
      </c>
      <c r="J60" s="35">
        <v>0</v>
      </c>
      <c r="K60" s="35">
        <v>0</v>
      </c>
      <c r="L60" s="35">
        <v>0</v>
      </c>
      <c r="M60">
        <v>4</v>
      </c>
      <c r="N60">
        <v>1</v>
      </c>
      <c r="O60">
        <v>3</v>
      </c>
      <c r="P60" t="s">
        <v>55</v>
      </c>
      <c r="Q60" t="s">
        <v>55</v>
      </c>
      <c r="R60" t="s">
        <v>55</v>
      </c>
      <c r="S60" t="s">
        <v>55</v>
      </c>
      <c r="T60" t="s">
        <v>55</v>
      </c>
      <c r="U60" t="s">
        <v>55</v>
      </c>
      <c r="V60" t="s">
        <v>55</v>
      </c>
      <c r="W60" t="s">
        <v>55</v>
      </c>
      <c r="X60" s="23" t="s">
        <v>55</v>
      </c>
      <c r="Y60" s="23" t="s">
        <v>55</v>
      </c>
      <c r="Z60" s="23" t="s">
        <v>55</v>
      </c>
      <c r="AA60" s="23" t="s">
        <v>55</v>
      </c>
      <c r="AB60" t="s">
        <v>55</v>
      </c>
      <c r="AC60" t="s">
        <v>55</v>
      </c>
      <c r="AD60" t="s">
        <v>55</v>
      </c>
      <c r="AE60" t="s">
        <v>55</v>
      </c>
      <c r="AF60" s="23" t="s">
        <v>55</v>
      </c>
      <c r="AG60" s="23" t="s">
        <v>55</v>
      </c>
      <c r="AH60" s="23" t="s">
        <v>55</v>
      </c>
      <c r="AI60" s="23" t="s">
        <v>55</v>
      </c>
      <c r="AJ60">
        <v>5</v>
      </c>
      <c r="AK60">
        <v>8</v>
      </c>
      <c r="AL60">
        <v>3</v>
      </c>
      <c r="AM60">
        <v>6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4</v>
      </c>
      <c r="AU60" s="33" t="str">
        <f t="shared" si="3"/>
        <v>库存为4</v>
      </c>
      <c r="AV60" s="38" t="str">
        <f>IFERROR(时间!$B$4+AU60,"上周无销量")</f>
        <v>上周无销量</v>
      </c>
    </row>
    <row r="61" spans="1:48">
      <c r="A61" s="21" t="s">
        <v>193</v>
      </c>
      <c r="B61" t="s">
        <v>194</v>
      </c>
      <c r="C61" t="s">
        <v>195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6</v>
      </c>
      <c r="J61" s="35">
        <v>0</v>
      </c>
      <c r="K61" s="35">
        <v>0</v>
      </c>
      <c r="L61" s="35">
        <v>0</v>
      </c>
      <c r="M61">
        <v>6</v>
      </c>
      <c r="N61">
        <v>0</v>
      </c>
      <c r="O61">
        <v>6</v>
      </c>
      <c r="P61">
        <v>0</v>
      </c>
      <c r="Q61">
        <v>0</v>
      </c>
      <c r="R61">
        <v>149</v>
      </c>
      <c r="S61">
        <v>823</v>
      </c>
      <c r="T61">
        <v>0</v>
      </c>
      <c r="U61">
        <v>0</v>
      </c>
      <c r="V61">
        <v>0</v>
      </c>
      <c r="W61">
        <v>4</v>
      </c>
      <c r="X61" s="23" t="s">
        <v>55</v>
      </c>
      <c r="Y61" s="23" t="s">
        <v>55</v>
      </c>
      <c r="Z61" s="23">
        <v>0</v>
      </c>
      <c r="AA61" s="23">
        <v>0.00486026731470231</v>
      </c>
      <c r="AB61">
        <v>0</v>
      </c>
      <c r="AC61">
        <v>0</v>
      </c>
      <c r="AD61">
        <v>0</v>
      </c>
      <c r="AE61">
        <v>1.34</v>
      </c>
      <c r="AF61" s="23" t="s">
        <v>55</v>
      </c>
      <c r="AG61" s="23" t="s">
        <v>55</v>
      </c>
      <c r="AH61" s="23" t="s">
        <v>55</v>
      </c>
      <c r="AI61" s="23" t="s">
        <v>196</v>
      </c>
      <c r="AJ61">
        <v>6</v>
      </c>
      <c r="AK61">
        <v>6</v>
      </c>
      <c r="AL61">
        <v>5</v>
      </c>
      <c r="AM61">
        <v>6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6</v>
      </c>
      <c r="AU61" s="33" t="str">
        <f t="shared" si="3"/>
        <v>库存为6</v>
      </c>
      <c r="AV61" s="38" t="str">
        <f>IFERROR(时间!$B$4+AU61,"上周无销量")</f>
        <v>上周无销量</v>
      </c>
    </row>
    <row r="62" spans="1:48">
      <c r="A62" s="21" t="s">
        <v>197</v>
      </c>
      <c r="B62" t="s">
        <v>198</v>
      </c>
      <c r="C62" t="s">
        <v>195</v>
      </c>
      <c r="D62" s="33">
        <v>1</v>
      </c>
      <c r="E62" s="33">
        <v>1</v>
      </c>
      <c r="F62" s="33">
        <v>0</v>
      </c>
      <c r="G62" s="33">
        <v>1</v>
      </c>
      <c r="H62" s="34">
        <v>42.99</v>
      </c>
      <c r="I62">
        <v>2</v>
      </c>
      <c r="J62" s="35">
        <v>0</v>
      </c>
      <c r="K62" s="35">
        <v>0</v>
      </c>
      <c r="L62" s="35">
        <v>0</v>
      </c>
      <c r="M62">
        <v>2</v>
      </c>
      <c r="N62">
        <v>0</v>
      </c>
      <c r="O62">
        <v>3</v>
      </c>
      <c r="P62">
        <v>0</v>
      </c>
      <c r="Q62">
        <v>0</v>
      </c>
      <c r="R62">
        <v>358</v>
      </c>
      <c r="S62">
        <v>1879</v>
      </c>
      <c r="T62">
        <v>0</v>
      </c>
      <c r="U62">
        <v>0</v>
      </c>
      <c r="V62">
        <v>0</v>
      </c>
      <c r="W62">
        <v>2</v>
      </c>
      <c r="X62" s="23" t="s">
        <v>55</v>
      </c>
      <c r="Y62" s="23" t="s">
        <v>55</v>
      </c>
      <c r="Z62" s="23">
        <v>0</v>
      </c>
      <c r="AA62" s="23">
        <v>0.00106439595529537</v>
      </c>
      <c r="AB62">
        <v>0</v>
      </c>
      <c r="AC62">
        <v>0</v>
      </c>
      <c r="AD62">
        <v>0</v>
      </c>
      <c r="AE62">
        <v>0.6</v>
      </c>
      <c r="AF62" s="23" t="s">
        <v>55</v>
      </c>
      <c r="AG62" s="23" t="s">
        <v>55</v>
      </c>
      <c r="AH62" s="23" t="s">
        <v>55</v>
      </c>
      <c r="AI62" s="23">
        <v>0.0139567341242149</v>
      </c>
      <c r="AJ62">
        <v>17</v>
      </c>
      <c r="AK62">
        <v>5</v>
      </c>
      <c r="AL62">
        <v>6</v>
      </c>
      <c r="AM62">
        <v>6</v>
      </c>
      <c r="AN62" s="23">
        <v>0.0588235294117647</v>
      </c>
      <c r="AO62" s="23">
        <v>0.2</v>
      </c>
      <c r="AP62" s="23">
        <v>0</v>
      </c>
      <c r="AQ62" s="23">
        <v>0.166666666666667</v>
      </c>
      <c r="AR62" s="37">
        <v>0.142857142857143</v>
      </c>
      <c r="AS62" s="37">
        <v>8.57142857142857</v>
      </c>
      <c r="AT62" s="37">
        <v>-6.57142857142857</v>
      </c>
      <c r="AU62" s="33">
        <f t="shared" si="3"/>
        <v>14</v>
      </c>
      <c r="AV62" s="38">
        <f>IFERROR(时间!$B$4+AU62,"上周无销量")</f>
        <v>43297</v>
      </c>
    </row>
    <row r="63" spans="1:48">
      <c r="A63" s="21" t="s">
        <v>199</v>
      </c>
      <c r="B63" t="s">
        <v>200</v>
      </c>
      <c r="C63" t="s">
        <v>195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5</v>
      </c>
      <c r="J63" s="35">
        <v>0</v>
      </c>
      <c r="K63" s="35">
        <v>0</v>
      </c>
      <c r="L63" s="35">
        <v>0</v>
      </c>
      <c r="M63">
        <v>5</v>
      </c>
      <c r="N63">
        <v>0</v>
      </c>
      <c r="O63">
        <v>5</v>
      </c>
      <c r="P63" t="s">
        <v>55</v>
      </c>
      <c r="Q63" t="s">
        <v>55</v>
      </c>
      <c r="R63" t="s">
        <v>55</v>
      </c>
      <c r="S63" t="s">
        <v>55</v>
      </c>
      <c r="T63" t="s">
        <v>55</v>
      </c>
      <c r="U63" t="s">
        <v>55</v>
      </c>
      <c r="V63" t="s">
        <v>55</v>
      </c>
      <c r="W63" t="s">
        <v>55</v>
      </c>
      <c r="X63" s="23" t="s">
        <v>55</v>
      </c>
      <c r="Y63" s="23" t="s">
        <v>55</v>
      </c>
      <c r="Z63" s="23" t="s">
        <v>55</v>
      </c>
      <c r="AA63" s="23" t="s">
        <v>55</v>
      </c>
      <c r="AB63" t="s">
        <v>55</v>
      </c>
      <c r="AC63" t="s">
        <v>55</v>
      </c>
      <c r="AD63" t="s">
        <v>55</v>
      </c>
      <c r="AE63" t="s">
        <v>55</v>
      </c>
      <c r="AF63" s="23" t="s">
        <v>55</v>
      </c>
      <c r="AG63" s="23" t="s">
        <v>55</v>
      </c>
      <c r="AH63" s="23" t="s">
        <v>55</v>
      </c>
      <c r="AI63" s="23" t="s">
        <v>55</v>
      </c>
      <c r="AJ63">
        <v>5</v>
      </c>
      <c r="AK63">
        <v>4</v>
      </c>
      <c r="AL63">
        <v>3</v>
      </c>
      <c r="AM63">
        <v>4</v>
      </c>
      <c r="AN63" s="23">
        <v>0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5</v>
      </c>
      <c r="AU63" s="33" t="str">
        <f t="shared" si="3"/>
        <v>库存为5</v>
      </c>
      <c r="AV63" s="38" t="str">
        <f>IFERROR(时间!$B$4+AU63,"上周无销量")</f>
        <v>上周无销量</v>
      </c>
    </row>
    <row r="64" spans="1:48">
      <c r="A64" s="21" t="s">
        <v>201</v>
      </c>
      <c r="B64" t="s">
        <v>202</v>
      </c>
      <c r="C64" t="s">
        <v>195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4</v>
      </c>
      <c r="J64" s="35">
        <v>0</v>
      </c>
      <c r="K64" s="35">
        <v>0</v>
      </c>
      <c r="L64" s="35">
        <v>0</v>
      </c>
      <c r="M64">
        <v>4</v>
      </c>
      <c r="N64">
        <v>0</v>
      </c>
      <c r="O64">
        <v>3</v>
      </c>
      <c r="P64" t="s">
        <v>55</v>
      </c>
      <c r="Q64" t="s">
        <v>55</v>
      </c>
      <c r="R64" t="s">
        <v>55</v>
      </c>
      <c r="S64" t="s">
        <v>55</v>
      </c>
      <c r="T64" t="s">
        <v>55</v>
      </c>
      <c r="U64" t="s">
        <v>55</v>
      </c>
      <c r="V64" t="s">
        <v>55</v>
      </c>
      <c r="W64" t="s">
        <v>55</v>
      </c>
      <c r="X64" s="23" t="s">
        <v>55</v>
      </c>
      <c r="Y64" s="23" t="s">
        <v>55</v>
      </c>
      <c r="Z64" s="23" t="s">
        <v>55</v>
      </c>
      <c r="AA64" s="23" t="s">
        <v>55</v>
      </c>
      <c r="AB64" t="s">
        <v>55</v>
      </c>
      <c r="AC64" t="s">
        <v>55</v>
      </c>
      <c r="AD64" t="s">
        <v>55</v>
      </c>
      <c r="AE64" t="s">
        <v>55</v>
      </c>
      <c r="AF64" s="23" t="s">
        <v>55</v>
      </c>
      <c r="AG64" s="23" t="s">
        <v>55</v>
      </c>
      <c r="AH64" s="23" t="s">
        <v>55</v>
      </c>
      <c r="AI64" s="23" t="s">
        <v>55</v>
      </c>
      <c r="AJ64">
        <v>12</v>
      </c>
      <c r="AK64">
        <v>7</v>
      </c>
      <c r="AL64">
        <v>6</v>
      </c>
      <c r="AM64">
        <v>1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4</v>
      </c>
      <c r="AU64" s="33" t="str">
        <f t="shared" si="3"/>
        <v>库存为4</v>
      </c>
      <c r="AV64" s="38" t="str">
        <f>IFERROR(时间!$B$4+AU64,"上周无销量")</f>
        <v>上周无销量</v>
      </c>
    </row>
    <row r="65" spans="1:48">
      <c r="A65" s="21" t="s">
        <v>203</v>
      </c>
      <c r="B65" t="s">
        <v>204</v>
      </c>
      <c r="C65" t="s">
        <v>195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5</v>
      </c>
      <c r="J65" s="35">
        <v>0</v>
      </c>
      <c r="K65" s="35">
        <v>0</v>
      </c>
      <c r="L65" s="35">
        <v>0</v>
      </c>
      <c r="M65">
        <v>5</v>
      </c>
      <c r="N65">
        <v>0</v>
      </c>
      <c r="O65">
        <v>5</v>
      </c>
      <c r="P65">
        <v>0</v>
      </c>
      <c r="Q65">
        <v>0</v>
      </c>
      <c r="R65">
        <v>22</v>
      </c>
      <c r="S65">
        <v>89</v>
      </c>
      <c r="T65">
        <v>0</v>
      </c>
      <c r="U65">
        <v>0</v>
      </c>
      <c r="V65">
        <v>0</v>
      </c>
      <c r="W65">
        <v>1</v>
      </c>
      <c r="X65" s="23" t="s">
        <v>55</v>
      </c>
      <c r="Y65" s="23" t="s">
        <v>55</v>
      </c>
      <c r="Z65" s="23">
        <v>0</v>
      </c>
      <c r="AA65" s="23">
        <v>0.0112359550561798</v>
      </c>
      <c r="AB65">
        <v>0</v>
      </c>
      <c r="AC65">
        <v>0</v>
      </c>
      <c r="AD65">
        <v>0</v>
      </c>
      <c r="AE65">
        <v>0.39</v>
      </c>
      <c r="AF65" s="23" t="s">
        <v>55</v>
      </c>
      <c r="AG65" s="23" t="s">
        <v>55</v>
      </c>
      <c r="AH65" s="23" t="s">
        <v>55</v>
      </c>
      <c r="AI65" s="23" t="s">
        <v>205</v>
      </c>
      <c r="AJ65">
        <v>9</v>
      </c>
      <c r="AK65">
        <v>6</v>
      </c>
      <c r="AL65">
        <v>5</v>
      </c>
      <c r="AM65">
        <v>1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5</v>
      </c>
      <c r="AU65" s="33" t="str">
        <f t="shared" si="3"/>
        <v>库存为5</v>
      </c>
      <c r="AV65" s="38" t="str">
        <f>IFERROR(时间!$B$4+AU65,"上周无销量")</f>
        <v>上周无销量</v>
      </c>
    </row>
    <row r="66" spans="1:48">
      <c r="A66" s="21" t="s">
        <v>206</v>
      </c>
      <c r="B66" t="s">
        <v>207</v>
      </c>
      <c r="C66" t="s">
        <v>195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5</v>
      </c>
      <c r="J66" s="35">
        <v>0</v>
      </c>
      <c r="K66" s="35">
        <v>0</v>
      </c>
      <c r="L66" s="35">
        <v>0</v>
      </c>
      <c r="M66">
        <v>5</v>
      </c>
      <c r="N66">
        <v>0</v>
      </c>
      <c r="O66">
        <v>5</v>
      </c>
      <c r="P66" t="s">
        <v>55</v>
      </c>
      <c r="Q66" t="s">
        <v>55</v>
      </c>
      <c r="R66" t="s">
        <v>55</v>
      </c>
      <c r="S66" t="s">
        <v>55</v>
      </c>
      <c r="T66" t="s">
        <v>55</v>
      </c>
      <c r="U66" t="s">
        <v>55</v>
      </c>
      <c r="V66" t="s">
        <v>55</v>
      </c>
      <c r="W66" t="s">
        <v>55</v>
      </c>
      <c r="X66" s="23" t="s">
        <v>55</v>
      </c>
      <c r="Y66" s="23" t="s">
        <v>55</v>
      </c>
      <c r="Z66" s="23" t="s">
        <v>55</v>
      </c>
      <c r="AA66" s="23" t="s">
        <v>55</v>
      </c>
      <c r="AB66" t="s">
        <v>55</v>
      </c>
      <c r="AC66" t="s">
        <v>55</v>
      </c>
      <c r="AD66" t="s">
        <v>55</v>
      </c>
      <c r="AE66" t="s">
        <v>55</v>
      </c>
      <c r="AF66" s="23" t="s">
        <v>55</v>
      </c>
      <c r="AG66" s="23" t="s">
        <v>55</v>
      </c>
      <c r="AH66" s="23" t="s">
        <v>55</v>
      </c>
      <c r="AI66" s="23" t="s">
        <v>55</v>
      </c>
      <c r="AJ66">
        <v>6</v>
      </c>
      <c r="AK66">
        <v>2</v>
      </c>
      <c r="AL66">
        <v>4</v>
      </c>
      <c r="AM66">
        <v>3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5</v>
      </c>
      <c r="AU66" s="33" t="str">
        <f t="shared" si="3"/>
        <v>库存为5</v>
      </c>
      <c r="AV66" s="38" t="str">
        <f>IFERROR(时间!$B$4+AU66,"上周无销量")</f>
        <v>上周无销量</v>
      </c>
    </row>
    <row r="67" spans="1:48">
      <c r="A67" s="21" t="s">
        <v>208</v>
      </c>
      <c r="B67" t="s">
        <v>209</v>
      </c>
      <c r="C67" t="s">
        <v>195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4</v>
      </c>
      <c r="J67" s="35">
        <v>0</v>
      </c>
      <c r="K67" s="35">
        <v>0</v>
      </c>
      <c r="L67" s="35">
        <v>0</v>
      </c>
      <c r="M67">
        <v>4</v>
      </c>
      <c r="N67">
        <v>0</v>
      </c>
      <c r="O67">
        <v>4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s="23" t="s">
        <v>55</v>
      </c>
      <c r="Y67" s="23" t="s">
        <v>55</v>
      </c>
      <c r="Z67" s="23" t="s">
        <v>55</v>
      </c>
      <c r="AA67" s="23" t="s">
        <v>55</v>
      </c>
      <c r="AB67" t="s">
        <v>55</v>
      </c>
      <c r="AC67" t="s">
        <v>55</v>
      </c>
      <c r="AD67" t="s">
        <v>55</v>
      </c>
      <c r="AE67" t="s">
        <v>55</v>
      </c>
      <c r="AF67" s="23" t="s">
        <v>55</v>
      </c>
      <c r="AG67" s="23" t="s">
        <v>55</v>
      </c>
      <c r="AH67" s="23" t="s">
        <v>55</v>
      </c>
      <c r="AI67" s="23" t="s">
        <v>55</v>
      </c>
      <c r="AJ67">
        <v>14</v>
      </c>
      <c r="AK67">
        <v>14</v>
      </c>
      <c r="AL67">
        <v>2</v>
      </c>
      <c r="AM67">
        <v>4</v>
      </c>
      <c r="AN67" s="23">
        <v>0</v>
      </c>
      <c r="AO67" s="23">
        <v>0</v>
      </c>
      <c r="AP67" s="23">
        <v>0</v>
      </c>
      <c r="AQ67" s="23">
        <v>0</v>
      </c>
      <c r="AR67" s="37">
        <v>0</v>
      </c>
      <c r="AS67" s="37">
        <v>0</v>
      </c>
      <c r="AT67" s="37">
        <v>4</v>
      </c>
      <c r="AU67" s="33" t="str">
        <f t="shared" si="3"/>
        <v>库存为4</v>
      </c>
      <c r="AV67" s="38" t="str">
        <f>IFERROR(时间!$B$4+AU67,"上周无销量")</f>
        <v>上周无销量</v>
      </c>
    </row>
    <row r="68" spans="1:48">
      <c r="A68" s="21" t="s">
        <v>210</v>
      </c>
      <c r="B68" t="s">
        <v>211</v>
      </c>
      <c r="C68" t="s">
        <v>195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5</v>
      </c>
      <c r="J68" s="35">
        <v>0</v>
      </c>
      <c r="K68" s="35">
        <v>0</v>
      </c>
      <c r="L68" s="35">
        <v>0</v>
      </c>
      <c r="M68">
        <v>5</v>
      </c>
      <c r="N68">
        <v>0</v>
      </c>
      <c r="O68">
        <v>4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s="23" t="s">
        <v>55</v>
      </c>
      <c r="Y68" s="23" t="s">
        <v>55</v>
      </c>
      <c r="Z68" s="23" t="s">
        <v>55</v>
      </c>
      <c r="AA68" s="23" t="s">
        <v>55</v>
      </c>
      <c r="AB68" t="s">
        <v>55</v>
      </c>
      <c r="AC68" t="s">
        <v>55</v>
      </c>
      <c r="AD68" t="s">
        <v>55</v>
      </c>
      <c r="AE68" t="s">
        <v>55</v>
      </c>
      <c r="AF68" s="23" t="s">
        <v>55</v>
      </c>
      <c r="AG68" s="23" t="s">
        <v>55</v>
      </c>
      <c r="AH68" s="23" t="s">
        <v>55</v>
      </c>
      <c r="AI68" s="23" t="s">
        <v>55</v>
      </c>
      <c r="AJ68">
        <v>7</v>
      </c>
      <c r="AK68">
        <v>6</v>
      </c>
      <c r="AL68">
        <v>4</v>
      </c>
      <c r="AM68">
        <v>10</v>
      </c>
      <c r="AN68" s="23">
        <v>0</v>
      </c>
      <c r="AO68" s="23">
        <v>0</v>
      </c>
      <c r="AP68" s="23">
        <v>0</v>
      </c>
      <c r="AQ68" s="23">
        <v>0</v>
      </c>
      <c r="AR68" s="37">
        <v>0</v>
      </c>
      <c r="AS68" s="37">
        <v>0</v>
      </c>
      <c r="AT68" s="37">
        <v>5</v>
      </c>
      <c r="AU68" s="33" t="str">
        <f t="shared" si="3"/>
        <v>库存为5</v>
      </c>
      <c r="AV68" s="38" t="str">
        <f>IFERROR(时间!$B$4+AU68,"上周无销量")</f>
        <v>上周无销量</v>
      </c>
    </row>
    <row r="69" spans="1:48">
      <c r="A69" s="21" t="s">
        <v>212</v>
      </c>
      <c r="B69" t="s">
        <v>213</v>
      </c>
      <c r="C69" t="s">
        <v>195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7</v>
      </c>
      <c r="J69" s="35">
        <v>0</v>
      </c>
      <c r="K69" s="35">
        <v>0</v>
      </c>
      <c r="L69" s="35">
        <v>0</v>
      </c>
      <c r="M69">
        <v>7</v>
      </c>
      <c r="N69">
        <v>0</v>
      </c>
      <c r="O69">
        <v>7</v>
      </c>
      <c r="P69">
        <v>0</v>
      </c>
      <c r="Q69">
        <v>0</v>
      </c>
      <c r="R69">
        <v>54</v>
      </c>
      <c r="S69">
        <v>289</v>
      </c>
      <c r="T69">
        <v>0</v>
      </c>
      <c r="U69">
        <v>0</v>
      </c>
      <c r="V69">
        <v>1</v>
      </c>
      <c r="W69">
        <v>0</v>
      </c>
      <c r="X69" s="23" t="s">
        <v>55</v>
      </c>
      <c r="Y69" s="23" t="s">
        <v>55</v>
      </c>
      <c r="Z69" s="23">
        <v>0.0185185185185185</v>
      </c>
      <c r="AA69" s="23">
        <v>0</v>
      </c>
      <c r="AB69">
        <v>0</v>
      </c>
      <c r="AC69">
        <v>0</v>
      </c>
      <c r="AD69">
        <v>0.59</v>
      </c>
      <c r="AE69">
        <v>0</v>
      </c>
      <c r="AF69" s="23" t="s">
        <v>55</v>
      </c>
      <c r="AG69" s="23" t="s">
        <v>55</v>
      </c>
      <c r="AH69" s="23" t="s">
        <v>214</v>
      </c>
      <c r="AI69" s="23" t="s">
        <v>55</v>
      </c>
      <c r="AJ69">
        <v>9</v>
      </c>
      <c r="AK69">
        <v>4</v>
      </c>
      <c r="AL69">
        <v>8</v>
      </c>
      <c r="AM69">
        <v>2</v>
      </c>
      <c r="AN69" s="23">
        <v>0</v>
      </c>
      <c r="AO69" s="23">
        <v>0</v>
      </c>
      <c r="AP69" s="23">
        <v>0</v>
      </c>
      <c r="AQ69" s="23">
        <v>0</v>
      </c>
      <c r="AR69" s="37">
        <v>0</v>
      </c>
      <c r="AS69" s="37">
        <v>0</v>
      </c>
      <c r="AT69" s="37">
        <v>7</v>
      </c>
      <c r="AU69" s="33" t="str">
        <f t="shared" ref="AU69:AU132" si="5">IF(AR69="","库存为"&amp;M69,IF(AS69=0,"库存为"&amp;M69,INT(M69/AR69)))</f>
        <v>库存为7</v>
      </c>
      <c r="AV69" s="38" t="str">
        <f>IFERROR(时间!$B$4+AU69,"上周无销量")</f>
        <v>上周无销量</v>
      </c>
    </row>
    <row r="70" spans="1:48">
      <c r="A70" s="21" t="s">
        <v>215</v>
      </c>
      <c r="B70" t="s">
        <v>216</v>
      </c>
      <c r="C70" t="s">
        <v>195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6</v>
      </c>
      <c r="J70" s="35">
        <v>0</v>
      </c>
      <c r="K70" s="35">
        <v>0</v>
      </c>
      <c r="L70" s="35">
        <v>0</v>
      </c>
      <c r="M70">
        <v>6</v>
      </c>
      <c r="N70">
        <v>0</v>
      </c>
      <c r="O70">
        <v>6</v>
      </c>
      <c r="P70" t="s">
        <v>55</v>
      </c>
      <c r="Q70" t="s">
        <v>55</v>
      </c>
      <c r="R70" t="s">
        <v>55</v>
      </c>
      <c r="S70" t="s">
        <v>55</v>
      </c>
      <c r="T70" t="s">
        <v>55</v>
      </c>
      <c r="U70" t="s">
        <v>55</v>
      </c>
      <c r="V70" t="s">
        <v>55</v>
      </c>
      <c r="W70" t="s">
        <v>55</v>
      </c>
      <c r="X70" s="23" t="s">
        <v>55</v>
      </c>
      <c r="Y70" s="23" t="s">
        <v>55</v>
      </c>
      <c r="Z70" s="23" t="s">
        <v>55</v>
      </c>
      <c r="AA70" s="23" t="s">
        <v>55</v>
      </c>
      <c r="AB70" t="s">
        <v>55</v>
      </c>
      <c r="AC70" t="s">
        <v>55</v>
      </c>
      <c r="AD70" t="s">
        <v>55</v>
      </c>
      <c r="AE70" t="s">
        <v>55</v>
      </c>
      <c r="AF70" s="23" t="s">
        <v>55</v>
      </c>
      <c r="AG70" s="23" t="s">
        <v>55</v>
      </c>
      <c r="AH70" s="23" t="s">
        <v>55</v>
      </c>
      <c r="AI70" s="23" t="s">
        <v>55</v>
      </c>
      <c r="AJ70">
        <v>11</v>
      </c>
      <c r="AK70">
        <v>11</v>
      </c>
      <c r="AL70">
        <v>1</v>
      </c>
      <c r="AM70">
        <v>3</v>
      </c>
      <c r="AN70" s="23">
        <v>0</v>
      </c>
      <c r="AO70" s="23">
        <v>0</v>
      </c>
      <c r="AP70" s="23">
        <v>0</v>
      </c>
      <c r="AQ70" s="23">
        <v>0</v>
      </c>
      <c r="AR70" s="37">
        <v>0</v>
      </c>
      <c r="AS70" s="37">
        <v>0</v>
      </c>
      <c r="AT70" s="37">
        <v>6</v>
      </c>
      <c r="AU70" s="33" t="str">
        <f t="shared" si="5"/>
        <v>库存为6</v>
      </c>
      <c r="AV70" s="38" t="str">
        <f>IFERROR(时间!$B$4+AU70,"上周无销量")</f>
        <v>上周无销量</v>
      </c>
    </row>
    <row r="71" spans="1:48">
      <c r="A71" s="21" t="s">
        <v>217</v>
      </c>
      <c r="B71" t="s">
        <v>218</v>
      </c>
      <c r="C71" t="s">
        <v>195</v>
      </c>
      <c r="D71" s="33">
        <v>0</v>
      </c>
      <c r="E71" s="33">
        <v>0</v>
      </c>
      <c r="F71" s="33">
        <v>1</v>
      </c>
      <c r="G71" s="33">
        <v>0</v>
      </c>
      <c r="H71" s="34">
        <v>42.99</v>
      </c>
      <c r="I71">
        <v>5</v>
      </c>
      <c r="J71" s="35">
        <v>0</v>
      </c>
      <c r="K71" s="35">
        <v>0</v>
      </c>
      <c r="L71" s="35">
        <v>0</v>
      </c>
      <c r="M71">
        <v>5</v>
      </c>
      <c r="N71">
        <v>2</v>
      </c>
      <c r="O71">
        <v>3</v>
      </c>
      <c r="P71">
        <v>0</v>
      </c>
      <c r="Q71">
        <v>0</v>
      </c>
      <c r="R71">
        <v>134</v>
      </c>
      <c r="S71">
        <v>915</v>
      </c>
      <c r="T71">
        <v>0</v>
      </c>
      <c r="U71">
        <v>0</v>
      </c>
      <c r="V71">
        <v>0</v>
      </c>
      <c r="W71">
        <v>0</v>
      </c>
      <c r="X71" s="23" t="s">
        <v>55</v>
      </c>
      <c r="Y71" s="23" t="s">
        <v>55</v>
      </c>
      <c r="Z71" s="23">
        <v>0</v>
      </c>
      <c r="AA71" s="23">
        <v>0</v>
      </c>
      <c r="AB71">
        <v>0</v>
      </c>
      <c r="AC71">
        <v>0</v>
      </c>
      <c r="AD71">
        <v>0</v>
      </c>
      <c r="AE71">
        <v>0</v>
      </c>
      <c r="AF71" s="23" t="s">
        <v>55</v>
      </c>
      <c r="AG71" s="23" t="s">
        <v>55</v>
      </c>
      <c r="AH71" s="23" t="s">
        <v>55</v>
      </c>
      <c r="AI71" s="23" t="s">
        <v>55</v>
      </c>
      <c r="AJ71">
        <v>12</v>
      </c>
      <c r="AK71">
        <v>6</v>
      </c>
      <c r="AL71">
        <v>4</v>
      </c>
      <c r="AM71">
        <v>7</v>
      </c>
      <c r="AN71" s="23">
        <v>0</v>
      </c>
      <c r="AO71" s="23">
        <v>0</v>
      </c>
      <c r="AP71" s="23">
        <v>0.25</v>
      </c>
      <c r="AQ71" s="23">
        <v>0</v>
      </c>
      <c r="AR71" s="37">
        <v>0</v>
      </c>
      <c r="AS71" s="37">
        <v>0</v>
      </c>
      <c r="AT71" s="37">
        <v>5</v>
      </c>
      <c r="AU71" s="33" t="str">
        <f t="shared" si="5"/>
        <v>库存为5</v>
      </c>
      <c r="AV71" s="38" t="str">
        <f>IFERROR(时间!$B$4+AU71,"上周无销量")</f>
        <v>上周无销量</v>
      </c>
    </row>
    <row r="72" spans="1:48">
      <c r="A72" s="21" t="s">
        <v>219</v>
      </c>
      <c r="B72" t="s">
        <v>220</v>
      </c>
      <c r="C72" t="s">
        <v>195</v>
      </c>
      <c r="D72" s="33">
        <v>0</v>
      </c>
      <c r="E72" s="33">
        <v>0</v>
      </c>
      <c r="F72" s="33">
        <v>0</v>
      </c>
      <c r="G72" s="33">
        <v>0</v>
      </c>
      <c r="H72" s="34">
        <v>0</v>
      </c>
      <c r="I72">
        <v>8</v>
      </c>
      <c r="J72" s="35">
        <v>0</v>
      </c>
      <c r="K72" s="35">
        <v>0</v>
      </c>
      <c r="L72" s="35">
        <v>0</v>
      </c>
      <c r="M72">
        <v>8</v>
      </c>
      <c r="N72">
        <v>0</v>
      </c>
      <c r="O72">
        <v>8</v>
      </c>
      <c r="P72">
        <v>0</v>
      </c>
      <c r="Q72">
        <v>0</v>
      </c>
      <c r="R72">
        <v>52</v>
      </c>
      <c r="S72">
        <v>414</v>
      </c>
      <c r="T72">
        <v>0</v>
      </c>
      <c r="U72">
        <v>0</v>
      </c>
      <c r="V72">
        <v>0</v>
      </c>
      <c r="W72">
        <v>1</v>
      </c>
      <c r="X72" s="23" t="s">
        <v>55</v>
      </c>
      <c r="Y72" s="23" t="s">
        <v>55</v>
      </c>
      <c r="Z72" s="23">
        <v>0</v>
      </c>
      <c r="AA72" s="23">
        <v>0.00241545893719807</v>
      </c>
      <c r="AB72">
        <v>0</v>
      </c>
      <c r="AC72">
        <v>0</v>
      </c>
      <c r="AD72">
        <v>0</v>
      </c>
      <c r="AE72">
        <v>0.04</v>
      </c>
      <c r="AF72" s="23" t="s">
        <v>55</v>
      </c>
      <c r="AG72" s="23" t="s">
        <v>55</v>
      </c>
      <c r="AH72" s="23" t="s">
        <v>55</v>
      </c>
      <c r="AI72" s="23" t="s">
        <v>221</v>
      </c>
      <c r="AJ72">
        <v>11</v>
      </c>
      <c r="AK72">
        <v>4</v>
      </c>
      <c r="AL72">
        <v>3</v>
      </c>
      <c r="AM72">
        <v>7</v>
      </c>
      <c r="AN72" s="23">
        <v>0</v>
      </c>
      <c r="AO72" s="23">
        <v>0</v>
      </c>
      <c r="AP72" s="23">
        <v>0</v>
      </c>
      <c r="AQ72" s="23">
        <v>0</v>
      </c>
      <c r="AR72" s="37">
        <v>0</v>
      </c>
      <c r="AS72" s="37">
        <v>0</v>
      </c>
      <c r="AT72" s="37">
        <v>8</v>
      </c>
      <c r="AU72" s="33" t="str">
        <f t="shared" si="5"/>
        <v>库存为8</v>
      </c>
      <c r="AV72" s="38" t="str">
        <f>IFERROR(时间!$B$4+AU72,"上周无销量")</f>
        <v>上周无销量</v>
      </c>
    </row>
    <row r="73" spans="1:48">
      <c r="A73" s="21" t="s">
        <v>222</v>
      </c>
      <c r="B73" t="s">
        <v>223</v>
      </c>
      <c r="C73" t="s">
        <v>224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43</v>
      </c>
      <c r="J73" s="35">
        <v>0</v>
      </c>
      <c r="K73" s="35">
        <v>0</v>
      </c>
      <c r="L73" s="35">
        <v>0</v>
      </c>
      <c r="M73">
        <v>43</v>
      </c>
      <c r="N73">
        <v>0</v>
      </c>
      <c r="O73">
        <v>43</v>
      </c>
      <c r="P73">
        <v>63</v>
      </c>
      <c r="Q73">
        <v>214</v>
      </c>
      <c r="R73">
        <v>602</v>
      </c>
      <c r="S73">
        <v>418</v>
      </c>
      <c r="T73">
        <v>0</v>
      </c>
      <c r="U73">
        <v>0</v>
      </c>
      <c r="V73">
        <v>1</v>
      </c>
      <c r="W73">
        <v>0</v>
      </c>
      <c r="X73" s="23">
        <v>0</v>
      </c>
      <c r="Y73" s="23">
        <v>0</v>
      </c>
      <c r="Z73" s="23">
        <v>0.00166112956810631</v>
      </c>
      <c r="AA73" s="23">
        <v>0</v>
      </c>
      <c r="AB73">
        <v>0</v>
      </c>
      <c r="AC73">
        <v>0</v>
      </c>
      <c r="AD73">
        <v>0.7</v>
      </c>
      <c r="AE73">
        <v>0</v>
      </c>
      <c r="AF73" s="23" t="s">
        <v>55</v>
      </c>
      <c r="AG73" s="23" t="s">
        <v>55</v>
      </c>
      <c r="AH73" s="23" t="s">
        <v>225</v>
      </c>
      <c r="AI73" s="23" t="s">
        <v>55</v>
      </c>
      <c r="AJ73">
        <v>4</v>
      </c>
      <c r="AK73">
        <v>5</v>
      </c>
      <c r="AL73">
        <v>1</v>
      </c>
      <c r="AM73">
        <v>4</v>
      </c>
      <c r="AN73" s="23">
        <v>0</v>
      </c>
      <c r="AO73" s="23">
        <v>0</v>
      </c>
      <c r="AP73" s="23">
        <v>0</v>
      </c>
      <c r="AQ73" s="23">
        <v>0</v>
      </c>
      <c r="AR73" s="37">
        <v>0</v>
      </c>
      <c r="AS73" s="37">
        <v>0</v>
      </c>
      <c r="AT73" s="37">
        <v>43</v>
      </c>
      <c r="AU73" s="33" t="str">
        <f t="shared" si="5"/>
        <v>库存为43</v>
      </c>
      <c r="AV73" s="38" t="str">
        <f>IFERROR(时间!$B$4+AU73,"上周无销量")</f>
        <v>上周无销量</v>
      </c>
    </row>
    <row r="74" spans="1:48">
      <c r="A74" s="21" t="s">
        <v>226</v>
      </c>
      <c r="B74" t="s">
        <v>227</v>
      </c>
      <c r="C74" t="s">
        <v>224</v>
      </c>
      <c r="D74" s="33">
        <v>1</v>
      </c>
      <c r="E74" s="33">
        <v>0</v>
      </c>
      <c r="F74" s="33">
        <v>1</v>
      </c>
      <c r="G74" s="33">
        <v>0</v>
      </c>
      <c r="H74" s="34">
        <v>7.99</v>
      </c>
      <c r="I74">
        <v>41</v>
      </c>
      <c r="J74" s="35">
        <v>0</v>
      </c>
      <c r="K74" s="35">
        <v>0</v>
      </c>
      <c r="L74" s="35">
        <v>0</v>
      </c>
      <c r="M74">
        <v>41</v>
      </c>
      <c r="N74">
        <v>0</v>
      </c>
      <c r="O74">
        <v>41</v>
      </c>
      <c r="P74">
        <v>528</v>
      </c>
      <c r="Q74">
        <v>685</v>
      </c>
      <c r="R74">
        <v>1736</v>
      </c>
      <c r="S74">
        <v>1126</v>
      </c>
      <c r="T74">
        <v>1</v>
      </c>
      <c r="U74">
        <v>1</v>
      </c>
      <c r="V74">
        <v>0</v>
      </c>
      <c r="W74">
        <v>0</v>
      </c>
      <c r="X74" s="23">
        <v>0.00189393939393939</v>
      </c>
      <c r="Y74" s="23">
        <v>0.00145985401459854</v>
      </c>
      <c r="Z74" s="23">
        <v>0</v>
      </c>
      <c r="AA74" s="23">
        <v>0</v>
      </c>
      <c r="AB74">
        <v>0.4</v>
      </c>
      <c r="AC74">
        <v>0.15</v>
      </c>
      <c r="AD74">
        <v>0</v>
      </c>
      <c r="AE74">
        <v>0</v>
      </c>
      <c r="AF74" s="23">
        <v>0.0500625782227785</v>
      </c>
      <c r="AG74" s="23" t="s">
        <v>228</v>
      </c>
      <c r="AH74" s="23" t="s">
        <v>55</v>
      </c>
      <c r="AI74" s="23" t="s">
        <v>55</v>
      </c>
      <c r="AJ74">
        <v>4</v>
      </c>
      <c r="AK74">
        <v>3</v>
      </c>
      <c r="AL74">
        <v>7</v>
      </c>
      <c r="AM74">
        <v>2</v>
      </c>
      <c r="AN74" s="23">
        <v>0.25</v>
      </c>
      <c r="AO74" s="23">
        <v>0</v>
      </c>
      <c r="AP74" s="23">
        <v>0.142857142857143</v>
      </c>
      <c r="AQ74" s="23">
        <v>0</v>
      </c>
      <c r="AR74" s="37">
        <v>0.142857142857143</v>
      </c>
      <c r="AS74" s="37">
        <v>8.57142857142857</v>
      </c>
      <c r="AT74" s="37">
        <v>32.4285714285714</v>
      </c>
      <c r="AU74" s="33">
        <f t="shared" si="5"/>
        <v>287</v>
      </c>
      <c r="AV74" s="38">
        <f>IFERROR(时间!$B$4+AU74,"上周无销量")</f>
        <v>43570</v>
      </c>
    </row>
    <row r="75" spans="1:48">
      <c r="A75" s="21" t="s">
        <v>229</v>
      </c>
      <c r="B75" t="s">
        <v>230</v>
      </c>
      <c r="C75" t="s">
        <v>224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46</v>
      </c>
      <c r="J75" s="35">
        <v>0</v>
      </c>
      <c r="K75" s="35">
        <v>0</v>
      </c>
      <c r="L75" s="35">
        <v>0</v>
      </c>
      <c r="M75">
        <v>46</v>
      </c>
      <c r="N75">
        <v>0</v>
      </c>
      <c r="O75">
        <v>46</v>
      </c>
      <c r="P75">
        <v>128</v>
      </c>
      <c r="Q75">
        <v>466</v>
      </c>
      <c r="R75">
        <v>4966</v>
      </c>
      <c r="S75">
        <v>11034</v>
      </c>
      <c r="T75">
        <v>0</v>
      </c>
      <c r="U75">
        <v>1</v>
      </c>
      <c r="V75">
        <v>14</v>
      </c>
      <c r="W75">
        <v>21</v>
      </c>
      <c r="X75" s="23">
        <v>0</v>
      </c>
      <c r="Y75" s="23">
        <v>0.00214592274678112</v>
      </c>
      <c r="Z75" s="23">
        <v>0.00281917035843737</v>
      </c>
      <c r="AA75" s="23">
        <v>0.00190320826536161</v>
      </c>
      <c r="AB75">
        <v>0</v>
      </c>
      <c r="AC75">
        <v>0.39</v>
      </c>
      <c r="AD75">
        <v>5.16</v>
      </c>
      <c r="AE75">
        <v>7.21</v>
      </c>
      <c r="AF75" s="23" t="s">
        <v>55</v>
      </c>
      <c r="AG75" s="23" t="s">
        <v>205</v>
      </c>
      <c r="AH75" s="23" t="s">
        <v>231</v>
      </c>
      <c r="AI75" s="23" t="s">
        <v>232</v>
      </c>
      <c r="AJ75">
        <v>1</v>
      </c>
      <c r="AK75">
        <v>2</v>
      </c>
      <c r="AL75">
        <v>6</v>
      </c>
      <c r="AM75">
        <v>14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46</v>
      </c>
      <c r="AU75" s="33" t="str">
        <f t="shared" si="5"/>
        <v>库存为46</v>
      </c>
      <c r="AV75" s="38" t="str">
        <f>IFERROR(时间!$B$4+AU75,"上周无销量")</f>
        <v>上周无销量</v>
      </c>
    </row>
    <row r="76" spans="1:48">
      <c r="A76" s="21" t="s">
        <v>233</v>
      </c>
      <c r="B76" t="s">
        <v>234</v>
      </c>
      <c r="C76" t="s">
        <v>235</v>
      </c>
      <c r="D76" s="33">
        <v>1</v>
      </c>
      <c r="E76" s="33">
        <v>1</v>
      </c>
      <c r="F76" s="33">
        <v>0</v>
      </c>
      <c r="G76" s="33">
        <v>0</v>
      </c>
      <c r="H76" s="34">
        <v>7.68</v>
      </c>
      <c r="I76">
        <v>41</v>
      </c>
      <c r="J76" s="35">
        <v>0</v>
      </c>
      <c r="K76" s="35">
        <v>0</v>
      </c>
      <c r="L76" s="35">
        <v>0</v>
      </c>
      <c r="M76">
        <v>41</v>
      </c>
      <c r="N76">
        <v>0</v>
      </c>
      <c r="O76">
        <v>42</v>
      </c>
      <c r="P76">
        <v>260</v>
      </c>
      <c r="Q76">
        <v>232</v>
      </c>
      <c r="R76">
        <v>383</v>
      </c>
      <c r="S76">
        <v>275</v>
      </c>
      <c r="T76">
        <v>0</v>
      </c>
      <c r="U76">
        <v>0</v>
      </c>
      <c r="V76">
        <v>1</v>
      </c>
      <c r="W76">
        <v>0</v>
      </c>
      <c r="X76" s="23">
        <v>0</v>
      </c>
      <c r="Y76" s="23">
        <v>0</v>
      </c>
      <c r="Z76" s="23">
        <v>0.00261096605744125</v>
      </c>
      <c r="AA76" s="23">
        <v>0</v>
      </c>
      <c r="AB76">
        <v>0</v>
      </c>
      <c r="AC76">
        <v>0</v>
      </c>
      <c r="AD76">
        <v>0.3</v>
      </c>
      <c r="AE76">
        <v>0</v>
      </c>
      <c r="AF76" s="23" t="s">
        <v>55</v>
      </c>
      <c r="AG76" s="23" t="s">
        <v>55</v>
      </c>
      <c r="AH76" s="23" t="s">
        <v>236</v>
      </c>
      <c r="AI76" s="23" t="s">
        <v>55</v>
      </c>
      <c r="AJ76">
        <v>2</v>
      </c>
      <c r="AK76">
        <v>5</v>
      </c>
      <c r="AL76">
        <v>2</v>
      </c>
      <c r="AM76">
        <v>3</v>
      </c>
      <c r="AN76" s="23">
        <v>0.5</v>
      </c>
      <c r="AO76" s="23">
        <v>0.2</v>
      </c>
      <c r="AP76" s="23">
        <v>0</v>
      </c>
      <c r="AQ76" s="23">
        <v>0</v>
      </c>
      <c r="AR76" s="37">
        <v>0.142857142857143</v>
      </c>
      <c r="AS76" s="37">
        <v>8.57142857142857</v>
      </c>
      <c r="AT76" s="37">
        <v>32.4285714285714</v>
      </c>
      <c r="AU76" s="33">
        <f t="shared" si="5"/>
        <v>287</v>
      </c>
      <c r="AV76" s="38">
        <f>IFERROR(时间!$B$4+AU76,"上周无销量")</f>
        <v>43570</v>
      </c>
    </row>
    <row r="77" spans="1:48">
      <c r="A77" s="21" t="s">
        <v>237</v>
      </c>
      <c r="B77" t="s">
        <v>238</v>
      </c>
      <c r="C77" t="s">
        <v>235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44</v>
      </c>
      <c r="J77" s="35">
        <v>0</v>
      </c>
      <c r="K77" s="35">
        <v>0</v>
      </c>
      <c r="L77" s="35">
        <v>0</v>
      </c>
      <c r="M77">
        <v>44</v>
      </c>
      <c r="N77">
        <v>0</v>
      </c>
      <c r="O77">
        <v>43</v>
      </c>
      <c r="P77">
        <v>480</v>
      </c>
      <c r="Q77">
        <v>443</v>
      </c>
      <c r="R77">
        <v>472</v>
      </c>
      <c r="S77">
        <v>306</v>
      </c>
      <c r="T77">
        <v>0</v>
      </c>
      <c r="U77">
        <v>0</v>
      </c>
      <c r="V77">
        <v>4</v>
      </c>
      <c r="W77">
        <v>0</v>
      </c>
      <c r="X77" s="23">
        <v>0</v>
      </c>
      <c r="Y77" s="23">
        <v>0</v>
      </c>
      <c r="Z77" s="23">
        <v>0.00847457627118644</v>
      </c>
      <c r="AA77" s="23">
        <v>0</v>
      </c>
      <c r="AB77">
        <v>0</v>
      </c>
      <c r="AC77">
        <v>0</v>
      </c>
      <c r="AD77">
        <v>1.1</v>
      </c>
      <c r="AE77">
        <v>0</v>
      </c>
      <c r="AF77" s="23" t="s">
        <v>55</v>
      </c>
      <c r="AG77" s="23" t="s">
        <v>55</v>
      </c>
      <c r="AH77" s="23" t="s">
        <v>239</v>
      </c>
      <c r="AI77" s="23" t="s">
        <v>55</v>
      </c>
      <c r="AJ77">
        <v>5</v>
      </c>
      <c r="AK77">
        <v>4</v>
      </c>
      <c r="AL77">
        <v>2</v>
      </c>
      <c r="AM77">
        <v>3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44</v>
      </c>
      <c r="AU77" s="33" t="str">
        <f t="shared" si="5"/>
        <v>库存为44</v>
      </c>
      <c r="AV77" s="38" t="str">
        <f>IFERROR(时间!$B$4+AU77,"上周无销量")</f>
        <v>上周无销量</v>
      </c>
    </row>
    <row r="78" spans="1:48">
      <c r="A78" s="21" t="s">
        <v>240</v>
      </c>
      <c r="B78" t="s">
        <v>241</v>
      </c>
      <c r="C78" t="s">
        <v>235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46</v>
      </c>
      <c r="J78" s="35">
        <v>0</v>
      </c>
      <c r="K78" s="35">
        <v>0</v>
      </c>
      <c r="L78" s="35">
        <v>0</v>
      </c>
      <c r="M78">
        <v>46</v>
      </c>
      <c r="N78">
        <v>0</v>
      </c>
      <c r="O78">
        <v>45</v>
      </c>
      <c r="P78">
        <v>3834</v>
      </c>
      <c r="Q78">
        <v>2874</v>
      </c>
      <c r="R78">
        <v>1051</v>
      </c>
      <c r="S78">
        <v>1016</v>
      </c>
      <c r="T78">
        <v>19</v>
      </c>
      <c r="U78">
        <v>16</v>
      </c>
      <c r="V78">
        <v>5</v>
      </c>
      <c r="W78">
        <v>5</v>
      </c>
      <c r="X78" s="23">
        <v>0.00495565988523735</v>
      </c>
      <c r="Y78" s="23">
        <v>0.00556715379262352</v>
      </c>
      <c r="Z78" s="23">
        <v>0.00475737392959087</v>
      </c>
      <c r="AA78" s="23">
        <v>0.00492125984251968</v>
      </c>
      <c r="AB78">
        <v>7.42</v>
      </c>
      <c r="AC78">
        <v>5.48</v>
      </c>
      <c r="AD78">
        <v>1.44</v>
      </c>
      <c r="AE78">
        <v>1.42</v>
      </c>
      <c r="AF78" s="23" t="s">
        <v>242</v>
      </c>
      <c r="AG78" s="23" t="s">
        <v>243</v>
      </c>
      <c r="AH78" s="23" t="s">
        <v>244</v>
      </c>
      <c r="AI78" s="23" t="s">
        <v>245</v>
      </c>
      <c r="AJ78">
        <v>6</v>
      </c>
      <c r="AK78">
        <v>9</v>
      </c>
      <c r="AL78">
        <v>3</v>
      </c>
      <c r="AM78">
        <v>8</v>
      </c>
      <c r="AN78" s="23">
        <v>0</v>
      </c>
      <c r="AO78" s="23">
        <v>0</v>
      </c>
      <c r="AP78" s="23">
        <v>0</v>
      </c>
      <c r="AQ78" s="23">
        <v>0</v>
      </c>
      <c r="AR78" s="37">
        <v>0</v>
      </c>
      <c r="AS78" s="37">
        <v>0</v>
      </c>
      <c r="AT78" s="37">
        <v>46</v>
      </c>
      <c r="AU78" s="33" t="str">
        <f t="shared" si="5"/>
        <v>库存为46</v>
      </c>
      <c r="AV78" s="38" t="str">
        <f>IFERROR(时间!$B$4+AU78,"上周无销量")</f>
        <v>上周无销量</v>
      </c>
    </row>
    <row r="79" spans="1:48">
      <c r="A79" s="21" t="s">
        <v>246</v>
      </c>
      <c r="B79" t="s">
        <v>247</v>
      </c>
      <c r="C79" t="s">
        <v>235</v>
      </c>
      <c r="D79" s="33">
        <v>1</v>
      </c>
      <c r="E79" s="33">
        <v>0</v>
      </c>
      <c r="F79" s="33">
        <v>0</v>
      </c>
      <c r="G79" s="33">
        <v>0</v>
      </c>
      <c r="H79" s="34">
        <v>7.99</v>
      </c>
      <c r="I79">
        <v>32</v>
      </c>
      <c r="J79" s="35">
        <v>0</v>
      </c>
      <c r="K79" s="35">
        <v>0</v>
      </c>
      <c r="L79" s="35">
        <v>0</v>
      </c>
      <c r="M79">
        <v>32</v>
      </c>
      <c r="N79">
        <v>0</v>
      </c>
      <c r="O79">
        <v>33</v>
      </c>
      <c r="P79">
        <v>140</v>
      </c>
      <c r="Q79">
        <v>270</v>
      </c>
      <c r="R79">
        <v>484</v>
      </c>
      <c r="S79">
        <v>384</v>
      </c>
      <c r="T79">
        <v>0</v>
      </c>
      <c r="U79">
        <v>2</v>
      </c>
      <c r="V79">
        <v>0</v>
      </c>
      <c r="W79">
        <v>0</v>
      </c>
      <c r="X79" s="23">
        <v>0</v>
      </c>
      <c r="Y79" s="23">
        <v>0.00740740740740741</v>
      </c>
      <c r="Z79" s="23">
        <v>0</v>
      </c>
      <c r="AA79" s="23">
        <v>0</v>
      </c>
      <c r="AB79">
        <v>0</v>
      </c>
      <c r="AC79">
        <v>0.78</v>
      </c>
      <c r="AD79">
        <v>0</v>
      </c>
      <c r="AE79">
        <v>0</v>
      </c>
      <c r="AF79" s="23" t="s">
        <v>55</v>
      </c>
      <c r="AG79" s="23" t="s">
        <v>248</v>
      </c>
      <c r="AH79" s="23" t="s">
        <v>55</v>
      </c>
      <c r="AI79" s="23" t="s">
        <v>55</v>
      </c>
      <c r="AJ79">
        <v>1</v>
      </c>
      <c r="AK79">
        <v>5</v>
      </c>
      <c r="AL79">
        <v>1</v>
      </c>
      <c r="AM79">
        <v>2</v>
      </c>
      <c r="AN79" s="23">
        <v>1</v>
      </c>
      <c r="AO79" s="23">
        <v>0</v>
      </c>
      <c r="AP79" s="23">
        <v>0</v>
      </c>
      <c r="AQ79" s="23">
        <v>0</v>
      </c>
      <c r="AR79" s="37">
        <v>0.142857142857143</v>
      </c>
      <c r="AS79" s="37">
        <v>8.57142857142857</v>
      </c>
      <c r="AT79" s="37">
        <v>23.4285714285714</v>
      </c>
      <c r="AU79" s="33">
        <f t="shared" si="5"/>
        <v>224</v>
      </c>
      <c r="AV79" s="38">
        <f>IFERROR(时间!$B$4+AU79,"上周无销量")</f>
        <v>43507</v>
      </c>
    </row>
    <row r="80" spans="1:48">
      <c r="A80" s="21" t="s">
        <v>249</v>
      </c>
      <c r="B80" t="s">
        <v>250</v>
      </c>
      <c r="C80" t="s">
        <v>235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74</v>
      </c>
      <c r="J80" s="35">
        <v>0</v>
      </c>
      <c r="K80" s="35">
        <v>0</v>
      </c>
      <c r="L80" s="35">
        <v>0</v>
      </c>
      <c r="M80">
        <v>74</v>
      </c>
      <c r="N80">
        <v>0</v>
      </c>
      <c r="O80">
        <v>73</v>
      </c>
      <c r="P80">
        <v>521</v>
      </c>
      <c r="Q80">
        <v>975</v>
      </c>
      <c r="R80">
        <v>2050</v>
      </c>
      <c r="S80">
        <v>1933</v>
      </c>
      <c r="T80">
        <v>1</v>
      </c>
      <c r="U80">
        <v>1</v>
      </c>
      <c r="V80">
        <v>0</v>
      </c>
      <c r="W80">
        <v>5</v>
      </c>
      <c r="X80" s="23">
        <v>0.00191938579654511</v>
      </c>
      <c r="Y80" s="23">
        <v>0.00102564102564103</v>
      </c>
      <c r="Z80" s="23">
        <v>0</v>
      </c>
      <c r="AA80" s="23">
        <v>0.00258665287118469</v>
      </c>
      <c r="AB80">
        <v>0.43</v>
      </c>
      <c r="AC80">
        <v>0.47</v>
      </c>
      <c r="AD80">
        <v>0</v>
      </c>
      <c r="AE80">
        <v>1.42</v>
      </c>
      <c r="AF80" s="23" t="s">
        <v>251</v>
      </c>
      <c r="AG80" s="23" t="s">
        <v>252</v>
      </c>
      <c r="AH80" s="23" t="s">
        <v>55</v>
      </c>
      <c r="AI80" s="23" t="s">
        <v>245</v>
      </c>
      <c r="AJ80">
        <v>2</v>
      </c>
      <c r="AK80">
        <v>2</v>
      </c>
      <c r="AL80">
        <v>4</v>
      </c>
      <c r="AM80">
        <v>4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74</v>
      </c>
      <c r="AU80" s="33" t="str">
        <f t="shared" si="5"/>
        <v>库存为74</v>
      </c>
      <c r="AV80" s="38" t="str">
        <f>IFERROR(时间!$B$4+AU80,"上周无销量")</f>
        <v>上周无销量</v>
      </c>
    </row>
    <row r="81" spans="1:48">
      <c r="A81" s="21" t="s">
        <v>253</v>
      </c>
      <c r="B81" t="s">
        <v>254</v>
      </c>
      <c r="C81" t="s">
        <v>235</v>
      </c>
      <c r="D81" s="33">
        <v>0</v>
      </c>
      <c r="E81" s="33">
        <v>0</v>
      </c>
      <c r="F81" s="33">
        <v>0</v>
      </c>
      <c r="G81" s="33">
        <v>0</v>
      </c>
      <c r="H81" s="34">
        <v>0</v>
      </c>
      <c r="I81">
        <v>35</v>
      </c>
      <c r="J81" s="35">
        <v>0</v>
      </c>
      <c r="K81" s="35">
        <v>0</v>
      </c>
      <c r="L81" s="35">
        <v>0</v>
      </c>
      <c r="M81">
        <v>35</v>
      </c>
      <c r="N81">
        <v>0</v>
      </c>
      <c r="O81">
        <v>34</v>
      </c>
      <c r="P81">
        <v>2263</v>
      </c>
      <c r="Q81">
        <v>1700</v>
      </c>
      <c r="R81">
        <v>1274</v>
      </c>
      <c r="S81">
        <v>1456</v>
      </c>
      <c r="T81">
        <v>2</v>
      </c>
      <c r="U81">
        <v>3</v>
      </c>
      <c r="V81">
        <v>2</v>
      </c>
      <c r="W81">
        <v>3</v>
      </c>
      <c r="X81" s="23">
        <v>0.000883782589482987</v>
      </c>
      <c r="Y81" s="23">
        <v>0.00176470588235294</v>
      </c>
      <c r="Z81" s="23">
        <v>0.00156985871271586</v>
      </c>
      <c r="AA81" s="23">
        <v>0.00206043956043956</v>
      </c>
      <c r="AB81">
        <v>0.68</v>
      </c>
      <c r="AC81">
        <v>0.57</v>
      </c>
      <c r="AD81">
        <v>0.51</v>
      </c>
      <c r="AE81">
        <v>0.74</v>
      </c>
      <c r="AF81" s="23" t="s">
        <v>255</v>
      </c>
      <c r="AG81" s="23" t="s">
        <v>256</v>
      </c>
      <c r="AH81" s="23" t="s">
        <v>257</v>
      </c>
      <c r="AI81" s="23" t="s">
        <v>258</v>
      </c>
      <c r="AJ81">
        <v>5</v>
      </c>
      <c r="AK81">
        <v>3</v>
      </c>
      <c r="AL81">
        <v>2</v>
      </c>
      <c r="AM81">
        <v>2</v>
      </c>
      <c r="AN81" s="23">
        <v>0</v>
      </c>
      <c r="AO81" s="23">
        <v>0</v>
      </c>
      <c r="AP81" s="23">
        <v>0</v>
      </c>
      <c r="AQ81" s="23">
        <v>0</v>
      </c>
      <c r="AR81" s="37">
        <v>0</v>
      </c>
      <c r="AS81" s="37">
        <v>0</v>
      </c>
      <c r="AT81" s="37">
        <v>35</v>
      </c>
      <c r="AU81" s="33" t="str">
        <f t="shared" si="5"/>
        <v>库存为35</v>
      </c>
      <c r="AV81" s="38" t="str">
        <f>IFERROR(时间!$B$4+AU81,"上周无销量")</f>
        <v>上周无销量</v>
      </c>
    </row>
    <row r="82" spans="1:48">
      <c r="A82" s="21" t="s">
        <v>259</v>
      </c>
      <c r="B82" t="s">
        <v>260</v>
      </c>
      <c r="C82" t="s">
        <v>235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33</v>
      </c>
      <c r="J82" s="35">
        <v>0</v>
      </c>
      <c r="K82" s="35">
        <v>0</v>
      </c>
      <c r="L82" s="35">
        <v>0</v>
      </c>
      <c r="M82">
        <v>33</v>
      </c>
      <c r="N82">
        <v>0</v>
      </c>
      <c r="O82">
        <v>32</v>
      </c>
      <c r="P82">
        <v>949</v>
      </c>
      <c r="Q82">
        <v>712</v>
      </c>
      <c r="R82">
        <v>740</v>
      </c>
      <c r="S82">
        <v>285</v>
      </c>
      <c r="T82">
        <v>2</v>
      </c>
      <c r="U82">
        <v>2</v>
      </c>
      <c r="V82">
        <v>0</v>
      </c>
      <c r="W82">
        <v>0</v>
      </c>
      <c r="X82" s="23">
        <v>0.00210748155953635</v>
      </c>
      <c r="Y82" s="23">
        <v>0.00280898876404494</v>
      </c>
      <c r="Z82" s="23">
        <v>0</v>
      </c>
      <c r="AA82" s="23">
        <v>0</v>
      </c>
      <c r="AB82">
        <v>0.95</v>
      </c>
      <c r="AC82">
        <v>0.99</v>
      </c>
      <c r="AD82">
        <v>0</v>
      </c>
      <c r="AE82">
        <v>0</v>
      </c>
      <c r="AF82" s="23" t="s">
        <v>261</v>
      </c>
      <c r="AG82" s="23" t="s">
        <v>262</v>
      </c>
      <c r="AH82" s="23" t="s">
        <v>55</v>
      </c>
      <c r="AI82" s="23" t="s">
        <v>55</v>
      </c>
      <c r="AJ82">
        <v>7</v>
      </c>
      <c r="AK82">
        <v>2</v>
      </c>
      <c r="AL82">
        <v>0</v>
      </c>
      <c r="AM82">
        <v>4</v>
      </c>
      <c r="AN82" s="23">
        <v>0</v>
      </c>
      <c r="AO82" s="23">
        <v>0</v>
      </c>
      <c r="AP82" s="23" t="s">
        <v>55</v>
      </c>
      <c r="AQ82" s="23">
        <v>0</v>
      </c>
      <c r="AR82" s="37">
        <v>0</v>
      </c>
      <c r="AS82" s="37">
        <v>0</v>
      </c>
      <c r="AT82" s="37">
        <v>33</v>
      </c>
      <c r="AU82" s="33" t="str">
        <f t="shared" si="5"/>
        <v>库存为33</v>
      </c>
      <c r="AV82" s="38" t="str">
        <f>IFERROR(时间!$B$4+AU82,"上周无销量")</f>
        <v>上周无销量</v>
      </c>
    </row>
    <row r="83" spans="1:48">
      <c r="A83" s="21" t="s">
        <v>263</v>
      </c>
      <c r="B83" t="s">
        <v>264</v>
      </c>
      <c r="C83" t="s">
        <v>235</v>
      </c>
      <c r="D83" s="33">
        <v>0</v>
      </c>
      <c r="E83" s="33">
        <v>0</v>
      </c>
      <c r="F83" s="33">
        <v>1</v>
      </c>
      <c r="G83" s="33">
        <v>0</v>
      </c>
      <c r="H83" s="34">
        <v>8.08</v>
      </c>
      <c r="I83">
        <v>29</v>
      </c>
      <c r="J83" s="35">
        <v>0</v>
      </c>
      <c r="K83" s="35">
        <v>0</v>
      </c>
      <c r="L83" s="35">
        <v>0</v>
      </c>
      <c r="M83">
        <v>29</v>
      </c>
      <c r="N83">
        <v>0</v>
      </c>
      <c r="O83">
        <v>29</v>
      </c>
      <c r="P83">
        <v>72</v>
      </c>
      <c r="Q83">
        <v>66</v>
      </c>
      <c r="R83">
        <v>46</v>
      </c>
      <c r="S83">
        <v>213</v>
      </c>
      <c r="T83">
        <v>0</v>
      </c>
      <c r="U83">
        <v>1</v>
      </c>
      <c r="V83">
        <v>0</v>
      </c>
      <c r="W83">
        <v>3</v>
      </c>
      <c r="X83" s="23">
        <v>0</v>
      </c>
      <c r="Y83" s="23">
        <v>0.0151515151515152</v>
      </c>
      <c r="Z83" s="23">
        <v>0</v>
      </c>
      <c r="AA83" s="23">
        <v>0.0140845070422535</v>
      </c>
      <c r="AB83">
        <v>0</v>
      </c>
      <c r="AC83">
        <v>0.17</v>
      </c>
      <c r="AD83">
        <v>0</v>
      </c>
      <c r="AE83">
        <v>0.85</v>
      </c>
      <c r="AF83" s="23" t="s">
        <v>55</v>
      </c>
      <c r="AG83" s="23" t="s">
        <v>265</v>
      </c>
      <c r="AH83" s="23" t="s">
        <v>55</v>
      </c>
      <c r="AI83" s="23" t="s">
        <v>266</v>
      </c>
      <c r="AJ83">
        <v>4</v>
      </c>
      <c r="AK83">
        <v>2</v>
      </c>
      <c r="AL83">
        <v>2</v>
      </c>
      <c r="AM83">
        <v>1</v>
      </c>
      <c r="AN83" s="23">
        <v>0</v>
      </c>
      <c r="AO83" s="23">
        <v>0</v>
      </c>
      <c r="AP83" s="23">
        <v>0.5</v>
      </c>
      <c r="AQ83" s="23">
        <v>0</v>
      </c>
      <c r="AR83" s="37">
        <v>0</v>
      </c>
      <c r="AS83" s="37">
        <v>0</v>
      </c>
      <c r="AT83" s="37">
        <v>29</v>
      </c>
      <c r="AU83" s="33" t="str">
        <f t="shared" si="5"/>
        <v>库存为29</v>
      </c>
      <c r="AV83" s="38" t="str">
        <f>IFERROR(时间!$B$4+AU83,"上周无销量")</f>
        <v>上周无销量</v>
      </c>
    </row>
    <row r="84" spans="1:48">
      <c r="A84" s="21" t="s">
        <v>267</v>
      </c>
      <c r="B84" t="s">
        <v>268</v>
      </c>
      <c r="C84" t="s">
        <v>235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27</v>
      </c>
      <c r="J84" s="35">
        <v>0</v>
      </c>
      <c r="K84" s="35">
        <v>0</v>
      </c>
      <c r="L84" s="35">
        <v>0</v>
      </c>
      <c r="M84">
        <v>27</v>
      </c>
      <c r="N84">
        <v>0</v>
      </c>
      <c r="O84">
        <v>27</v>
      </c>
      <c r="P84">
        <v>113</v>
      </c>
      <c r="Q84">
        <v>145</v>
      </c>
      <c r="R84">
        <v>188</v>
      </c>
      <c r="S84">
        <v>102</v>
      </c>
      <c r="T84">
        <v>0</v>
      </c>
      <c r="U84">
        <v>1</v>
      </c>
      <c r="V84">
        <v>0</v>
      </c>
      <c r="W84">
        <v>1</v>
      </c>
      <c r="X84" s="23">
        <v>0</v>
      </c>
      <c r="Y84" s="23">
        <v>0.00689655172413793</v>
      </c>
      <c r="Z84" s="23">
        <v>0</v>
      </c>
      <c r="AA84" s="23">
        <v>0.00980392156862745</v>
      </c>
      <c r="AB84">
        <v>0</v>
      </c>
      <c r="AC84">
        <v>0.38</v>
      </c>
      <c r="AD84">
        <v>0</v>
      </c>
      <c r="AE84">
        <v>0.3</v>
      </c>
      <c r="AF84" s="23" t="s">
        <v>55</v>
      </c>
      <c r="AG84" s="23" t="s">
        <v>269</v>
      </c>
      <c r="AH84" s="23" t="s">
        <v>55</v>
      </c>
      <c r="AI84" s="23" t="s">
        <v>236</v>
      </c>
      <c r="AJ84">
        <v>2</v>
      </c>
      <c r="AK84">
        <v>2</v>
      </c>
      <c r="AL84">
        <v>1</v>
      </c>
      <c r="AM84">
        <v>1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27</v>
      </c>
      <c r="AU84" s="33" t="str">
        <f t="shared" si="5"/>
        <v>库存为27</v>
      </c>
      <c r="AV84" s="38" t="str">
        <f>IFERROR(时间!$B$4+AU84,"上周无销量")</f>
        <v>上周无销量</v>
      </c>
    </row>
    <row r="85" spans="1:48">
      <c r="A85" s="21" t="s">
        <v>270</v>
      </c>
      <c r="B85" t="s">
        <v>271</v>
      </c>
      <c r="C85" t="s">
        <v>272</v>
      </c>
      <c r="D85" s="33">
        <v>0</v>
      </c>
      <c r="E85" s="33">
        <v>0</v>
      </c>
      <c r="F85" s="33">
        <v>0</v>
      </c>
      <c r="G85" s="33">
        <v>1</v>
      </c>
      <c r="H85" s="34">
        <v>9.99</v>
      </c>
      <c r="I85">
        <v>25</v>
      </c>
      <c r="J85" s="35">
        <v>0</v>
      </c>
      <c r="K85" s="35">
        <v>0</v>
      </c>
      <c r="L85" s="35">
        <v>0</v>
      </c>
      <c r="M85">
        <v>25</v>
      </c>
      <c r="N85">
        <v>0</v>
      </c>
      <c r="O85">
        <v>25</v>
      </c>
      <c r="P85">
        <v>227</v>
      </c>
      <c r="Q85">
        <v>335</v>
      </c>
      <c r="R85">
        <v>2474</v>
      </c>
      <c r="S85">
        <v>8589</v>
      </c>
      <c r="T85">
        <v>2</v>
      </c>
      <c r="U85">
        <v>2</v>
      </c>
      <c r="V85">
        <v>0</v>
      </c>
      <c r="W85">
        <v>4</v>
      </c>
      <c r="X85" s="23">
        <v>0.00881057268722467</v>
      </c>
      <c r="Y85" s="23">
        <v>0.00597014925373134</v>
      </c>
      <c r="Z85" s="23">
        <v>0</v>
      </c>
      <c r="AA85" s="23">
        <v>0.0004657119571545</v>
      </c>
      <c r="AB85">
        <v>1.28</v>
      </c>
      <c r="AC85">
        <v>0.29</v>
      </c>
      <c r="AD85">
        <v>0</v>
      </c>
      <c r="AE85">
        <v>1.28</v>
      </c>
      <c r="AF85" s="23" t="s">
        <v>273</v>
      </c>
      <c r="AG85" s="23" t="s">
        <v>274</v>
      </c>
      <c r="AH85" s="23" t="s">
        <v>55</v>
      </c>
      <c r="AI85" s="23">
        <v>0.128128128128128</v>
      </c>
      <c r="AJ85">
        <v>2</v>
      </c>
      <c r="AK85">
        <v>3</v>
      </c>
      <c r="AL85">
        <v>0</v>
      </c>
      <c r="AM85">
        <v>2</v>
      </c>
      <c r="AN85" s="23">
        <v>0</v>
      </c>
      <c r="AO85" s="23">
        <v>0</v>
      </c>
      <c r="AP85" s="23" t="s">
        <v>55</v>
      </c>
      <c r="AQ85" s="23">
        <v>0.5</v>
      </c>
      <c r="AR85" s="37">
        <v>0</v>
      </c>
      <c r="AS85" s="37">
        <v>0</v>
      </c>
      <c r="AT85" s="37">
        <v>25</v>
      </c>
      <c r="AU85" s="33" t="str">
        <f t="shared" si="5"/>
        <v>库存为25</v>
      </c>
      <c r="AV85" s="38" t="str">
        <f>IFERROR(时间!$B$4+AU85,"上周无销量")</f>
        <v>上周无销量</v>
      </c>
    </row>
    <row r="86" spans="1:48">
      <c r="A86" s="21" t="s">
        <v>275</v>
      </c>
      <c r="B86" t="s">
        <v>276</v>
      </c>
      <c r="C86" t="s">
        <v>272</v>
      </c>
      <c r="D86" s="33">
        <v>0</v>
      </c>
      <c r="E86" s="33">
        <v>1</v>
      </c>
      <c r="F86" s="33">
        <v>0</v>
      </c>
      <c r="G86" s="33">
        <v>0</v>
      </c>
      <c r="H86" s="34">
        <v>9.99</v>
      </c>
      <c r="I86">
        <v>26</v>
      </c>
      <c r="J86" s="35">
        <v>0</v>
      </c>
      <c r="K86" s="35">
        <v>0</v>
      </c>
      <c r="L86" s="35">
        <v>0</v>
      </c>
      <c r="M86">
        <v>26</v>
      </c>
      <c r="N86">
        <v>0</v>
      </c>
      <c r="O86">
        <v>26</v>
      </c>
      <c r="P86">
        <v>469</v>
      </c>
      <c r="Q86">
        <v>1800</v>
      </c>
      <c r="R86">
        <v>10476</v>
      </c>
      <c r="S86">
        <v>7989</v>
      </c>
      <c r="T86">
        <v>1</v>
      </c>
      <c r="U86">
        <v>4</v>
      </c>
      <c r="V86">
        <v>20</v>
      </c>
      <c r="W86">
        <v>12</v>
      </c>
      <c r="X86" s="23">
        <v>0.00213219616204691</v>
      </c>
      <c r="Y86" s="23">
        <v>0.00222222222222222</v>
      </c>
      <c r="Z86" s="23">
        <v>0.00190912562046583</v>
      </c>
      <c r="AA86" s="23">
        <v>0.00150206533984228</v>
      </c>
      <c r="AB86">
        <v>0.13</v>
      </c>
      <c r="AC86">
        <v>0.81</v>
      </c>
      <c r="AD86">
        <v>3.92</v>
      </c>
      <c r="AE86">
        <v>2.38</v>
      </c>
      <c r="AF86" s="23" t="s">
        <v>277</v>
      </c>
      <c r="AG86" s="23">
        <v>0.0810810810810811</v>
      </c>
      <c r="AH86" s="23" t="s">
        <v>278</v>
      </c>
      <c r="AI86" s="23" t="s">
        <v>279</v>
      </c>
      <c r="AJ86">
        <v>4</v>
      </c>
      <c r="AK86">
        <v>4</v>
      </c>
      <c r="AL86">
        <v>3</v>
      </c>
      <c r="AM86">
        <v>6</v>
      </c>
      <c r="AN86" s="23">
        <v>0</v>
      </c>
      <c r="AO86" s="23">
        <v>0.25</v>
      </c>
      <c r="AP86" s="23">
        <v>0</v>
      </c>
      <c r="AQ86" s="23">
        <v>0</v>
      </c>
      <c r="AR86" s="37">
        <v>0</v>
      </c>
      <c r="AS86" s="37">
        <v>0</v>
      </c>
      <c r="AT86" s="37">
        <v>26</v>
      </c>
      <c r="AU86" s="33" t="str">
        <f t="shared" si="5"/>
        <v>库存为26</v>
      </c>
      <c r="AV86" s="38" t="str">
        <f>IFERROR(时间!$B$4+AU86,"上周无销量")</f>
        <v>上周无销量</v>
      </c>
    </row>
    <row r="87" spans="1:48">
      <c r="A87" s="21" t="s">
        <v>280</v>
      </c>
      <c r="B87" t="s">
        <v>281</v>
      </c>
      <c r="C87" t="s">
        <v>272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33</v>
      </c>
      <c r="J87" s="35">
        <v>0</v>
      </c>
      <c r="K87" s="35">
        <v>0</v>
      </c>
      <c r="L87" s="35">
        <v>0</v>
      </c>
      <c r="M87">
        <v>33</v>
      </c>
      <c r="N87">
        <v>0</v>
      </c>
      <c r="O87">
        <v>33</v>
      </c>
      <c r="P87">
        <v>132</v>
      </c>
      <c r="Q87">
        <v>101</v>
      </c>
      <c r="R87">
        <v>127</v>
      </c>
      <c r="S87">
        <v>52</v>
      </c>
      <c r="T87">
        <v>1</v>
      </c>
      <c r="U87">
        <v>2</v>
      </c>
      <c r="V87">
        <v>0</v>
      </c>
      <c r="W87">
        <v>1</v>
      </c>
      <c r="X87" s="23">
        <v>0.00757575757575758</v>
      </c>
      <c r="Y87" s="23">
        <v>0.0198019801980198</v>
      </c>
      <c r="Z87" s="23">
        <v>0</v>
      </c>
      <c r="AA87" s="23">
        <v>0.0192307692307692</v>
      </c>
      <c r="AB87">
        <v>0.47</v>
      </c>
      <c r="AC87">
        <v>0.7</v>
      </c>
      <c r="AD87">
        <v>0</v>
      </c>
      <c r="AE87">
        <v>0.45</v>
      </c>
      <c r="AF87" s="23" t="s">
        <v>252</v>
      </c>
      <c r="AG87" s="23" t="s">
        <v>225</v>
      </c>
      <c r="AH87" s="23" t="s">
        <v>55</v>
      </c>
      <c r="AI87" s="23" t="s">
        <v>282</v>
      </c>
      <c r="AJ87">
        <v>3</v>
      </c>
      <c r="AK87">
        <v>4</v>
      </c>
      <c r="AL87">
        <v>3</v>
      </c>
      <c r="AM87">
        <v>4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33</v>
      </c>
      <c r="AU87" s="33" t="str">
        <f t="shared" si="5"/>
        <v>库存为33</v>
      </c>
      <c r="AV87" s="38" t="str">
        <f>IFERROR(时间!$B$4+AU87,"上周无销量")</f>
        <v>上周无销量</v>
      </c>
    </row>
    <row r="88" spans="1:48">
      <c r="A88" s="21" t="s">
        <v>283</v>
      </c>
      <c r="B88" t="s">
        <v>284</v>
      </c>
      <c r="C88" t="s">
        <v>272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27</v>
      </c>
      <c r="J88" s="35">
        <v>0</v>
      </c>
      <c r="K88" s="35">
        <v>0</v>
      </c>
      <c r="L88" s="35">
        <v>0</v>
      </c>
      <c r="M88">
        <v>27</v>
      </c>
      <c r="N88">
        <v>0</v>
      </c>
      <c r="O88">
        <v>27</v>
      </c>
      <c r="P88">
        <v>193</v>
      </c>
      <c r="Q88">
        <v>142</v>
      </c>
      <c r="R88">
        <v>99</v>
      </c>
      <c r="S88">
        <v>64</v>
      </c>
      <c r="T88">
        <v>0</v>
      </c>
      <c r="U88">
        <v>0</v>
      </c>
      <c r="V88">
        <v>0</v>
      </c>
      <c r="W88">
        <v>0</v>
      </c>
      <c r="X88" s="23">
        <v>0</v>
      </c>
      <c r="Y88" s="23">
        <v>0</v>
      </c>
      <c r="Z88" s="23">
        <v>0</v>
      </c>
      <c r="AA88" s="23">
        <v>0</v>
      </c>
      <c r="AB88">
        <v>0</v>
      </c>
      <c r="AC88">
        <v>0</v>
      </c>
      <c r="AD88">
        <v>0</v>
      </c>
      <c r="AE88">
        <v>0</v>
      </c>
      <c r="AF88" s="23" t="s">
        <v>55</v>
      </c>
      <c r="AG88" s="23" t="s">
        <v>55</v>
      </c>
      <c r="AH88" s="23" t="s">
        <v>55</v>
      </c>
      <c r="AI88" s="23" t="s">
        <v>55</v>
      </c>
      <c r="AJ88">
        <v>0</v>
      </c>
      <c r="AK88">
        <v>0</v>
      </c>
      <c r="AL88">
        <v>0</v>
      </c>
      <c r="AM88">
        <v>0</v>
      </c>
      <c r="AN88" s="23" t="s">
        <v>55</v>
      </c>
      <c r="AO88" s="23" t="s">
        <v>55</v>
      </c>
      <c r="AP88" s="23" t="s">
        <v>55</v>
      </c>
      <c r="AQ88" s="23" t="s">
        <v>55</v>
      </c>
      <c r="AR88" s="37">
        <v>0</v>
      </c>
      <c r="AS88" s="37">
        <v>0</v>
      </c>
      <c r="AT88" s="37">
        <v>27</v>
      </c>
      <c r="AU88" s="33" t="str">
        <f t="shared" si="5"/>
        <v>库存为27</v>
      </c>
      <c r="AV88" s="38" t="str">
        <f>IFERROR(时间!$B$4+AU88,"上周无销量")</f>
        <v>上周无销量</v>
      </c>
    </row>
    <row r="89" spans="1:48">
      <c r="A89" s="21" t="s">
        <v>285</v>
      </c>
      <c r="B89" t="s">
        <v>286</v>
      </c>
      <c r="C89" t="s">
        <v>272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30</v>
      </c>
      <c r="J89" s="35">
        <v>0</v>
      </c>
      <c r="K89" s="35">
        <v>0</v>
      </c>
      <c r="L89" s="35">
        <v>0</v>
      </c>
      <c r="M89">
        <v>30</v>
      </c>
      <c r="N89">
        <v>0</v>
      </c>
      <c r="O89">
        <v>30</v>
      </c>
      <c r="P89">
        <v>2962</v>
      </c>
      <c r="Q89">
        <v>2838</v>
      </c>
      <c r="R89">
        <v>3896</v>
      </c>
      <c r="S89">
        <v>1840</v>
      </c>
      <c r="T89">
        <v>4</v>
      </c>
      <c r="U89">
        <v>6</v>
      </c>
      <c r="V89">
        <v>4</v>
      </c>
      <c r="W89">
        <v>2</v>
      </c>
      <c r="X89" s="23">
        <v>0.00135043889264011</v>
      </c>
      <c r="Y89" s="23">
        <v>0.00211416490486258</v>
      </c>
      <c r="Z89" s="23">
        <v>0.00102669404517454</v>
      </c>
      <c r="AA89" s="23">
        <v>0.00108695652173913</v>
      </c>
      <c r="AB89">
        <v>1.92</v>
      </c>
      <c r="AC89">
        <v>2.63</v>
      </c>
      <c r="AD89">
        <v>1.53</v>
      </c>
      <c r="AE89">
        <v>0.65</v>
      </c>
      <c r="AF89" s="23" t="s">
        <v>287</v>
      </c>
      <c r="AG89" s="23" t="s">
        <v>288</v>
      </c>
      <c r="AH89" s="23" t="s">
        <v>289</v>
      </c>
      <c r="AI89" s="23" t="s">
        <v>119</v>
      </c>
      <c r="AJ89">
        <v>2</v>
      </c>
      <c r="AK89">
        <v>1</v>
      </c>
      <c r="AL89">
        <v>1</v>
      </c>
      <c r="AM89">
        <v>2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30</v>
      </c>
      <c r="AU89" s="33" t="str">
        <f t="shared" si="5"/>
        <v>库存为30</v>
      </c>
      <c r="AV89" s="38" t="str">
        <f>IFERROR(时间!$B$4+AU89,"上周无销量")</f>
        <v>上周无销量</v>
      </c>
    </row>
    <row r="90" spans="1:48">
      <c r="A90" s="21" t="s">
        <v>290</v>
      </c>
      <c r="B90" t="s">
        <v>291</v>
      </c>
      <c r="C90" t="s">
        <v>272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30</v>
      </c>
      <c r="J90" s="35">
        <v>0</v>
      </c>
      <c r="K90" s="35">
        <v>0</v>
      </c>
      <c r="L90" s="35">
        <v>0</v>
      </c>
      <c r="M90">
        <v>30</v>
      </c>
      <c r="N90">
        <v>0</v>
      </c>
      <c r="O90">
        <v>30</v>
      </c>
      <c r="P90">
        <v>516</v>
      </c>
      <c r="Q90">
        <v>543</v>
      </c>
      <c r="R90">
        <v>166</v>
      </c>
      <c r="S90">
        <v>16</v>
      </c>
      <c r="T90">
        <v>1</v>
      </c>
      <c r="U90">
        <v>0</v>
      </c>
      <c r="V90">
        <v>0</v>
      </c>
      <c r="W90">
        <v>0</v>
      </c>
      <c r="X90" s="23">
        <v>0.00193798449612403</v>
      </c>
      <c r="Y90" s="23">
        <v>0</v>
      </c>
      <c r="Z90" s="23">
        <v>0</v>
      </c>
      <c r="AA90" s="23">
        <v>0</v>
      </c>
      <c r="AB90">
        <v>0.29</v>
      </c>
      <c r="AC90">
        <v>0</v>
      </c>
      <c r="AD90">
        <v>0</v>
      </c>
      <c r="AE90">
        <v>0</v>
      </c>
      <c r="AF90" s="23" t="s">
        <v>274</v>
      </c>
      <c r="AG90" s="23" t="s">
        <v>55</v>
      </c>
      <c r="AH90" s="23" t="s">
        <v>55</v>
      </c>
      <c r="AI90" s="23" t="s">
        <v>55</v>
      </c>
      <c r="AJ90">
        <v>3</v>
      </c>
      <c r="AK90">
        <v>2</v>
      </c>
      <c r="AL90">
        <v>0</v>
      </c>
      <c r="AM90">
        <v>2</v>
      </c>
      <c r="AN90" s="23">
        <v>0</v>
      </c>
      <c r="AO90" s="23">
        <v>0</v>
      </c>
      <c r="AP90" s="23" t="s">
        <v>55</v>
      </c>
      <c r="AQ90" s="23">
        <v>0</v>
      </c>
      <c r="AR90" s="37">
        <v>0</v>
      </c>
      <c r="AS90" s="37">
        <v>0</v>
      </c>
      <c r="AT90" s="37">
        <v>30</v>
      </c>
      <c r="AU90" s="33" t="str">
        <f t="shared" si="5"/>
        <v>库存为30</v>
      </c>
      <c r="AV90" s="38" t="str">
        <f>IFERROR(时间!$B$4+AU90,"上周无销量")</f>
        <v>上周无销量</v>
      </c>
    </row>
    <row r="91" spans="1:48">
      <c r="A91" s="21" t="s">
        <v>292</v>
      </c>
      <c r="B91" t="s">
        <v>293</v>
      </c>
      <c r="C91" t="s">
        <v>272</v>
      </c>
      <c r="D91" s="33">
        <v>1</v>
      </c>
      <c r="E91" s="33">
        <v>1</v>
      </c>
      <c r="F91" s="33">
        <v>2</v>
      </c>
      <c r="G91" s="33">
        <v>1</v>
      </c>
      <c r="H91" s="34">
        <v>9.99</v>
      </c>
      <c r="I91">
        <v>10</v>
      </c>
      <c r="J91" s="35">
        <v>0</v>
      </c>
      <c r="K91" s="35">
        <v>0</v>
      </c>
      <c r="L91" s="35">
        <v>0</v>
      </c>
      <c r="M91">
        <v>10</v>
      </c>
      <c r="N91">
        <v>0</v>
      </c>
      <c r="O91">
        <v>10</v>
      </c>
      <c r="P91">
        <v>272</v>
      </c>
      <c r="Q91">
        <v>151</v>
      </c>
      <c r="R91">
        <v>223</v>
      </c>
      <c r="S91">
        <v>44</v>
      </c>
      <c r="T91">
        <v>0</v>
      </c>
      <c r="U91">
        <v>0</v>
      </c>
      <c r="V91">
        <v>1</v>
      </c>
      <c r="W91">
        <v>0</v>
      </c>
      <c r="X91" s="23">
        <v>0</v>
      </c>
      <c r="Y91" s="23">
        <v>0</v>
      </c>
      <c r="Z91" s="23">
        <v>0.00448430493273543</v>
      </c>
      <c r="AA91" s="23">
        <v>0</v>
      </c>
      <c r="AB91">
        <v>0</v>
      </c>
      <c r="AC91">
        <v>0</v>
      </c>
      <c r="AD91">
        <v>0.46</v>
      </c>
      <c r="AE91">
        <v>0</v>
      </c>
      <c r="AF91" s="23" t="s">
        <v>55</v>
      </c>
      <c r="AG91" s="23" t="s">
        <v>55</v>
      </c>
      <c r="AH91" s="23">
        <v>0.023023023023023</v>
      </c>
      <c r="AI91" s="23" t="s">
        <v>55</v>
      </c>
      <c r="AJ91">
        <v>4</v>
      </c>
      <c r="AK91">
        <v>3</v>
      </c>
      <c r="AL91">
        <v>5</v>
      </c>
      <c r="AM91">
        <v>2</v>
      </c>
      <c r="AN91" s="23">
        <v>0.25</v>
      </c>
      <c r="AO91" s="23">
        <v>0.333333333333333</v>
      </c>
      <c r="AP91" s="23">
        <v>0.4</v>
      </c>
      <c r="AQ91" s="23">
        <v>0.5</v>
      </c>
      <c r="AR91" s="37">
        <v>0.142857142857143</v>
      </c>
      <c r="AS91" s="37">
        <v>8.57142857142857</v>
      </c>
      <c r="AT91" s="37">
        <v>1.42857142857143</v>
      </c>
      <c r="AU91" s="33">
        <f t="shared" si="5"/>
        <v>70</v>
      </c>
      <c r="AV91" s="38">
        <f>IFERROR(时间!$B$4+AU91,"上周无销量")</f>
        <v>43353</v>
      </c>
    </row>
    <row r="92" spans="1:48">
      <c r="A92" s="21" t="s">
        <v>294</v>
      </c>
      <c r="B92" t="s">
        <v>295</v>
      </c>
      <c r="C92" t="s">
        <v>272</v>
      </c>
      <c r="D92" s="33">
        <v>1</v>
      </c>
      <c r="E92" s="33">
        <v>0</v>
      </c>
      <c r="F92" s="33">
        <v>1</v>
      </c>
      <c r="G92" s="33">
        <v>1</v>
      </c>
      <c r="H92" s="34">
        <v>9.99</v>
      </c>
      <c r="I92">
        <v>2</v>
      </c>
      <c r="J92" s="35">
        <v>0</v>
      </c>
      <c r="K92" s="35">
        <v>0</v>
      </c>
      <c r="L92" s="35">
        <v>0</v>
      </c>
      <c r="M92">
        <v>2</v>
      </c>
      <c r="N92">
        <v>0</v>
      </c>
      <c r="O92">
        <v>2</v>
      </c>
      <c r="P92">
        <v>1730</v>
      </c>
      <c r="Q92">
        <v>1098</v>
      </c>
      <c r="R92">
        <v>3835</v>
      </c>
      <c r="S92">
        <v>5592</v>
      </c>
      <c r="T92">
        <v>0</v>
      </c>
      <c r="U92">
        <v>2</v>
      </c>
      <c r="V92">
        <v>7</v>
      </c>
      <c r="W92">
        <v>8</v>
      </c>
      <c r="X92" s="23">
        <v>0</v>
      </c>
      <c r="Y92" s="23">
        <v>0.00182149362477231</v>
      </c>
      <c r="Z92" s="23">
        <v>0.00182529335071708</v>
      </c>
      <c r="AA92" s="23">
        <v>0.00143061516452074</v>
      </c>
      <c r="AB92">
        <v>0</v>
      </c>
      <c r="AC92">
        <v>0.77</v>
      </c>
      <c r="AD92">
        <v>3.02</v>
      </c>
      <c r="AE92">
        <v>2.86</v>
      </c>
      <c r="AF92" s="23" t="s">
        <v>55</v>
      </c>
      <c r="AG92" s="23" t="s">
        <v>296</v>
      </c>
      <c r="AH92" s="23">
        <v>0.302302302302302</v>
      </c>
      <c r="AI92" s="23">
        <v>0.286286286286286</v>
      </c>
      <c r="AJ92">
        <v>2</v>
      </c>
      <c r="AK92">
        <v>3</v>
      </c>
      <c r="AL92">
        <v>1</v>
      </c>
      <c r="AM92">
        <v>6</v>
      </c>
      <c r="AN92" s="23">
        <v>0.5</v>
      </c>
      <c r="AO92" s="23">
        <v>0</v>
      </c>
      <c r="AP92" s="23">
        <v>1</v>
      </c>
      <c r="AQ92" s="23">
        <v>0.166666666666667</v>
      </c>
      <c r="AR92" s="37">
        <v>0.142857142857143</v>
      </c>
      <c r="AS92" s="37">
        <v>8.57142857142857</v>
      </c>
      <c r="AT92" s="37">
        <v>-6.57142857142857</v>
      </c>
      <c r="AU92" s="33">
        <f t="shared" si="5"/>
        <v>14</v>
      </c>
      <c r="AV92" s="38">
        <f>IFERROR(时间!$B$4+AU92,"上周无销量")</f>
        <v>43297</v>
      </c>
    </row>
    <row r="93" spans="1:48">
      <c r="A93" s="21" t="s">
        <v>297</v>
      </c>
      <c r="B93" t="s">
        <v>298</v>
      </c>
      <c r="C93" t="s">
        <v>272</v>
      </c>
      <c r="D93" s="33">
        <v>1</v>
      </c>
      <c r="E93" s="33">
        <v>0</v>
      </c>
      <c r="F93" s="33">
        <v>1</v>
      </c>
      <c r="G93" s="33">
        <v>1</v>
      </c>
      <c r="H93" s="34">
        <v>9.99</v>
      </c>
      <c r="I93">
        <v>22</v>
      </c>
      <c r="J93" s="35">
        <v>0</v>
      </c>
      <c r="K93" s="35">
        <v>0</v>
      </c>
      <c r="L93" s="35">
        <v>0</v>
      </c>
      <c r="M93">
        <v>22</v>
      </c>
      <c r="N93">
        <v>0</v>
      </c>
      <c r="O93">
        <v>22</v>
      </c>
      <c r="P93">
        <v>1112</v>
      </c>
      <c r="Q93">
        <v>1159</v>
      </c>
      <c r="R93">
        <v>378</v>
      </c>
      <c r="S93">
        <v>189</v>
      </c>
      <c r="T93">
        <v>2</v>
      </c>
      <c r="U93">
        <v>2</v>
      </c>
      <c r="V93">
        <v>2</v>
      </c>
      <c r="W93">
        <v>1</v>
      </c>
      <c r="X93" s="23">
        <v>0.00179856115107914</v>
      </c>
      <c r="Y93" s="23">
        <v>0.00172562553925798</v>
      </c>
      <c r="Z93" s="23">
        <v>0.00529100529100529</v>
      </c>
      <c r="AA93" s="23">
        <v>0.00529100529100529</v>
      </c>
      <c r="AB93">
        <v>0.78</v>
      </c>
      <c r="AC93">
        <v>0.77</v>
      </c>
      <c r="AD93">
        <v>0.79</v>
      </c>
      <c r="AE93">
        <v>0.36</v>
      </c>
      <c r="AF93" s="23">
        <v>0.0780780780780781</v>
      </c>
      <c r="AG93" s="23" t="s">
        <v>296</v>
      </c>
      <c r="AH93" s="23">
        <v>0.0790790790790791</v>
      </c>
      <c r="AI93" s="23">
        <v>0.036036036036036</v>
      </c>
      <c r="AJ93">
        <v>3</v>
      </c>
      <c r="AK93">
        <v>6</v>
      </c>
      <c r="AL93">
        <v>7</v>
      </c>
      <c r="AM93">
        <v>7</v>
      </c>
      <c r="AN93" s="23">
        <v>0.333333333333333</v>
      </c>
      <c r="AO93" s="23">
        <v>0</v>
      </c>
      <c r="AP93" s="23">
        <v>0.142857142857143</v>
      </c>
      <c r="AQ93" s="23">
        <v>0.142857142857143</v>
      </c>
      <c r="AR93" s="37">
        <v>0.142857142857143</v>
      </c>
      <c r="AS93" s="37">
        <v>8.57142857142857</v>
      </c>
      <c r="AT93" s="37">
        <v>13.4285714285714</v>
      </c>
      <c r="AU93" s="33">
        <f t="shared" si="5"/>
        <v>154</v>
      </c>
      <c r="AV93" s="38">
        <f>IFERROR(时间!$B$4+AU93,"上周无销量")</f>
        <v>43437</v>
      </c>
    </row>
    <row r="94" spans="1:48">
      <c r="A94" s="21" t="s">
        <v>299</v>
      </c>
      <c r="B94" t="s">
        <v>300</v>
      </c>
      <c r="C94" t="s">
        <v>272</v>
      </c>
      <c r="D94" s="33">
        <v>1</v>
      </c>
      <c r="E94" s="33">
        <v>0</v>
      </c>
      <c r="F94" s="33">
        <v>1</v>
      </c>
      <c r="G94" s="33">
        <v>1</v>
      </c>
      <c r="H94" s="34">
        <v>7.8</v>
      </c>
      <c r="I94">
        <v>25</v>
      </c>
      <c r="J94" s="35">
        <v>0</v>
      </c>
      <c r="K94" s="35">
        <v>0</v>
      </c>
      <c r="L94" s="35">
        <v>0</v>
      </c>
      <c r="M94">
        <v>25</v>
      </c>
      <c r="N94">
        <v>0</v>
      </c>
      <c r="O94">
        <v>26</v>
      </c>
      <c r="P94">
        <v>130</v>
      </c>
      <c r="Q94">
        <v>33</v>
      </c>
      <c r="R94">
        <v>37</v>
      </c>
      <c r="S94">
        <v>46</v>
      </c>
      <c r="T94">
        <v>1</v>
      </c>
      <c r="U94">
        <v>0</v>
      </c>
      <c r="V94">
        <v>0</v>
      </c>
      <c r="W94">
        <v>0</v>
      </c>
      <c r="X94" s="23">
        <v>0.00769230769230769</v>
      </c>
      <c r="Y94" s="23">
        <v>0</v>
      </c>
      <c r="Z94" s="23">
        <v>0</v>
      </c>
      <c r="AA94" s="23">
        <v>0</v>
      </c>
      <c r="AB94">
        <v>0.29</v>
      </c>
      <c r="AC94">
        <v>0</v>
      </c>
      <c r="AD94">
        <v>0</v>
      </c>
      <c r="AE94">
        <v>0</v>
      </c>
      <c r="AF94" s="23">
        <v>0.0371794871794872</v>
      </c>
      <c r="AG94" s="23" t="s">
        <v>55</v>
      </c>
      <c r="AH94" s="23" t="s">
        <v>55</v>
      </c>
      <c r="AI94" s="23" t="s">
        <v>55</v>
      </c>
      <c r="AJ94">
        <v>4</v>
      </c>
      <c r="AK94">
        <v>1</v>
      </c>
      <c r="AL94">
        <v>2</v>
      </c>
      <c r="AM94">
        <v>3</v>
      </c>
      <c r="AN94" s="23">
        <v>0.25</v>
      </c>
      <c r="AO94" s="23">
        <v>0</v>
      </c>
      <c r="AP94" s="23">
        <v>0.5</v>
      </c>
      <c r="AQ94" s="23">
        <v>0.333333333333333</v>
      </c>
      <c r="AR94" s="37">
        <v>0.142857142857143</v>
      </c>
      <c r="AS94" s="37">
        <v>8.57142857142857</v>
      </c>
      <c r="AT94" s="37">
        <v>16.4285714285714</v>
      </c>
      <c r="AU94" s="33">
        <f t="shared" si="5"/>
        <v>175</v>
      </c>
      <c r="AV94" s="38">
        <f>IFERROR(时间!$B$4+AU94,"上周无销量")</f>
        <v>43458</v>
      </c>
    </row>
    <row r="95" spans="1:48">
      <c r="A95" s="21" t="s">
        <v>301</v>
      </c>
      <c r="B95" t="s">
        <v>302</v>
      </c>
      <c r="C95" t="s">
        <v>272</v>
      </c>
      <c r="D95" s="33">
        <v>0</v>
      </c>
      <c r="E95" s="33">
        <v>1</v>
      </c>
      <c r="F95" s="33">
        <v>0</v>
      </c>
      <c r="G95" s="33">
        <v>0</v>
      </c>
      <c r="H95" s="34">
        <v>9.99</v>
      </c>
      <c r="I95">
        <v>29</v>
      </c>
      <c r="J95" s="35">
        <v>0</v>
      </c>
      <c r="K95" s="35">
        <v>0</v>
      </c>
      <c r="L95" s="35">
        <v>0</v>
      </c>
      <c r="M95">
        <v>29</v>
      </c>
      <c r="N95">
        <v>0</v>
      </c>
      <c r="O95">
        <v>29</v>
      </c>
      <c r="P95">
        <v>85</v>
      </c>
      <c r="Q95">
        <v>52</v>
      </c>
      <c r="R95">
        <v>92</v>
      </c>
      <c r="S95">
        <v>462</v>
      </c>
      <c r="T95">
        <v>0</v>
      </c>
      <c r="U95">
        <v>0</v>
      </c>
      <c r="V95">
        <v>0</v>
      </c>
      <c r="W95">
        <v>1</v>
      </c>
      <c r="X95" s="23">
        <v>0</v>
      </c>
      <c r="Y95" s="23">
        <v>0</v>
      </c>
      <c r="Z95" s="23">
        <v>0</v>
      </c>
      <c r="AA95" s="23">
        <v>0.00216450216450216</v>
      </c>
      <c r="AB95">
        <v>0</v>
      </c>
      <c r="AC95">
        <v>0</v>
      </c>
      <c r="AD95">
        <v>0</v>
      </c>
      <c r="AE95">
        <v>0.45</v>
      </c>
      <c r="AF95" s="23" t="s">
        <v>55</v>
      </c>
      <c r="AG95" s="23" t="s">
        <v>55</v>
      </c>
      <c r="AH95" s="23" t="s">
        <v>55</v>
      </c>
      <c r="AI95" s="23" t="s">
        <v>282</v>
      </c>
      <c r="AJ95">
        <v>3</v>
      </c>
      <c r="AK95">
        <v>1</v>
      </c>
      <c r="AL95">
        <v>2</v>
      </c>
      <c r="AM95">
        <v>0</v>
      </c>
      <c r="AN95" s="23">
        <v>0</v>
      </c>
      <c r="AO95" s="23">
        <v>1</v>
      </c>
      <c r="AP95" s="23">
        <v>0</v>
      </c>
      <c r="AQ95" s="23" t="s">
        <v>55</v>
      </c>
      <c r="AR95" s="37">
        <v>0</v>
      </c>
      <c r="AS95" s="37">
        <v>0</v>
      </c>
      <c r="AT95" s="37">
        <v>29</v>
      </c>
      <c r="AU95" s="33" t="str">
        <f t="shared" si="5"/>
        <v>库存为29</v>
      </c>
      <c r="AV95" s="38" t="str">
        <f>IFERROR(时间!$B$4+AU95,"上周无销量")</f>
        <v>上周无销量</v>
      </c>
    </row>
    <row r="96" spans="1:48">
      <c r="A96" s="21" t="s">
        <v>303</v>
      </c>
      <c r="B96" t="s">
        <v>304</v>
      </c>
      <c r="C96" t="s">
        <v>272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32</v>
      </c>
      <c r="J96" s="35">
        <v>0</v>
      </c>
      <c r="K96" s="35">
        <v>0</v>
      </c>
      <c r="L96" s="35">
        <v>0</v>
      </c>
      <c r="M96">
        <v>32</v>
      </c>
      <c r="N96">
        <v>0</v>
      </c>
      <c r="O96">
        <v>31</v>
      </c>
      <c r="P96">
        <v>429</v>
      </c>
      <c r="Q96">
        <v>361</v>
      </c>
      <c r="R96">
        <v>245</v>
      </c>
      <c r="S96">
        <v>256</v>
      </c>
      <c r="T96">
        <v>2</v>
      </c>
      <c r="U96">
        <v>0</v>
      </c>
      <c r="V96">
        <v>2</v>
      </c>
      <c r="W96">
        <v>0</v>
      </c>
      <c r="X96" s="23">
        <v>0.00466200466200466</v>
      </c>
      <c r="Y96" s="23">
        <v>0</v>
      </c>
      <c r="Z96" s="23">
        <v>0.00816326530612245</v>
      </c>
      <c r="AA96" s="23">
        <v>0</v>
      </c>
      <c r="AB96">
        <v>0.93</v>
      </c>
      <c r="AC96">
        <v>0</v>
      </c>
      <c r="AD96">
        <v>0.74</v>
      </c>
      <c r="AE96">
        <v>0</v>
      </c>
      <c r="AF96" s="23" t="s">
        <v>89</v>
      </c>
      <c r="AG96" s="23" t="s">
        <v>55</v>
      </c>
      <c r="AH96" s="23" t="s">
        <v>258</v>
      </c>
      <c r="AI96" s="23" t="s">
        <v>55</v>
      </c>
      <c r="AJ96">
        <v>6</v>
      </c>
      <c r="AK96">
        <v>3</v>
      </c>
      <c r="AL96">
        <v>1</v>
      </c>
      <c r="AM96">
        <v>2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32</v>
      </c>
      <c r="AU96" s="33" t="str">
        <f t="shared" si="5"/>
        <v>库存为32</v>
      </c>
      <c r="AV96" s="38" t="str">
        <f>IFERROR(时间!$B$4+AU96,"上周无销量")</f>
        <v>上周无销量</v>
      </c>
    </row>
    <row r="97" spans="1:48">
      <c r="A97" s="21" t="s">
        <v>305</v>
      </c>
      <c r="B97" t="s">
        <v>306</v>
      </c>
      <c r="C97" t="s">
        <v>272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32</v>
      </c>
      <c r="J97" s="35">
        <v>0</v>
      </c>
      <c r="K97" s="35">
        <v>0</v>
      </c>
      <c r="L97" s="35">
        <v>0</v>
      </c>
      <c r="M97">
        <v>32</v>
      </c>
      <c r="N97">
        <v>0</v>
      </c>
      <c r="O97">
        <v>32</v>
      </c>
      <c r="P97">
        <v>330</v>
      </c>
      <c r="Q97">
        <v>1601</v>
      </c>
      <c r="R97">
        <v>4485</v>
      </c>
      <c r="S97">
        <v>1484</v>
      </c>
      <c r="T97">
        <v>0</v>
      </c>
      <c r="U97">
        <v>1</v>
      </c>
      <c r="V97">
        <v>2</v>
      </c>
      <c r="W97">
        <v>3</v>
      </c>
      <c r="X97" s="23">
        <v>0</v>
      </c>
      <c r="Y97" s="23">
        <v>0.000624609618988132</v>
      </c>
      <c r="Z97" s="23">
        <v>0.000445930880713489</v>
      </c>
      <c r="AA97" s="23">
        <v>0.00202156334231806</v>
      </c>
      <c r="AB97">
        <v>0</v>
      </c>
      <c r="AC97">
        <v>0.63</v>
      </c>
      <c r="AD97">
        <v>0.4</v>
      </c>
      <c r="AE97">
        <v>1.17</v>
      </c>
      <c r="AF97" s="23" t="s">
        <v>55</v>
      </c>
      <c r="AG97" s="23" t="s">
        <v>307</v>
      </c>
      <c r="AH97" s="23" t="s">
        <v>308</v>
      </c>
      <c r="AI97" s="23" t="s">
        <v>309</v>
      </c>
      <c r="AJ97">
        <v>2</v>
      </c>
      <c r="AK97">
        <v>2</v>
      </c>
      <c r="AL97">
        <v>3</v>
      </c>
      <c r="AM97">
        <v>1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32</v>
      </c>
      <c r="AU97" s="33" t="str">
        <f t="shared" si="5"/>
        <v>库存为32</v>
      </c>
      <c r="AV97" s="38" t="str">
        <f>IFERROR(时间!$B$4+AU97,"上周无销量")</f>
        <v>上周无销量</v>
      </c>
    </row>
    <row r="98" spans="1:48">
      <c r="A98" s="21" t="s">
        <v>310</v>
      </c>
      <c r="B98" t="s">
        <v>311</v>
      </c>
      <c r="C98" t="s">
        <v>272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33</v>
      </c>
      <c r="J98" s="35">
        <v>0</v>
      </c>
      <c r="K98" s="35">
        <v>0</v>
      </c>
      <c r="L98" s="35">
        <v>0</v>
      </c>
      <c r="M98">
        <v>33</v>
      </c>
      <c r="N98">
        <v>0</v>
      </c>
      <c r="O98">
        <v>33</v>
      </c>
      <c r="P98">
        <v>2521</v>
      </c>
      <c r="Q98">
        <v>1739</v>
      </c>
      <c r="R98">
        <v>2442</v>
      </c>
      <c r="S98">
        <v>631</v>
      </c>
      <c r="T98">
        <v>1</v>
      </c>
      <c r="U98">
        <v>0</v>
      </c>
      <c r="V98">
        <v>1</v>
      </c>
      <c r="W98">
        <v>0</v>
      </c>
      <c r="X98" s="23">
        <v>0.000396667988893296</v>
      </c>
      <c r="Y98" s="23">
        <v>0</v>
      </c>
      <c r="Z98" s="23">
        <v>0.00040950040950041</v>
      </c>
      <c r="AA98" s="23">
        <v>0</v>
      </c>
      <c r="AB98">
        <v>0.2</v>
      </c>
      <c r="AC98">
        <v>0</v>
      </c>
      <c r="AD98">
        <v>0.3</v>
      </c>
      <c r="AE98">
        <v>0</v>
      </c>
      <c r="AF98" s="23" t="s">
        <v>312</v>
      </c>
      <c r="AG98" s="23" t="s">
        <v>55</v>
      </c>
      <c r="AH98" s="23" t="s">
        <v>236</v>
      </c>
      <c r="AI98" s="23" t="s">
        <v>55</v>
      </c>
      <c r="AJ98">
        <v>2</v>
      </c>
      <c r="AK98">
        <v>2</v>
      </c>
      <c r="AL98">
        <v>1</v>
      </c>
      <c r="AM98">
        <v>2</v>
      </c>
      <c r="AN98" s="23">
        <v>0</v>
      </c>
      <c r="AO98" s="23">
        <v>0</v>
      </c>
      <c r="AP98" s="23">
        <v>0</v>
      </c>
      <c r="AQ98" s="23">
        <v>0</v>
      </c>
      <c r="AR98" s="37">
        <v>0</v>
      </c>
      <c r="AS98" s="37">
        <v>0</v>
      </c>
      <c r="AT98" s="37">
        <v>33</v>
      </c>
      <c r="AU98" s="33" t="str">
        <f t="shared" si="5"/>
        <v>库存为33</v>
      </c>
      <c r="AV98" s="38" t="str">
        <f>IFERROR(时间!$B$4+AU98,"上周无销量")</f>
        <v>上周无销量</v>
      </c>
    </row>
    <row r="99" spans="1:48">
      <c r="A99" s="21" t="s">
        <v>313</v>
      </c>
      <c r="B99" t="s">
        <v>314</v>
      </c>
      <c r="C99" t="s">
        <v>272</v>
      </c>
      <c r="D99" s="33">
        <v>1</v>
      </c>
      <c r="E99" s="33">
        <v>0</v>
      </c>
      <c r="F99" s="33">
        <v>0</v>
      </c>
      <c r="G99" s="33">
        <v>0</v>
      </c>
      <c r="H99" s="34">
        <v>7.99</v>
      </c>
      <c r="I99">
        <v>29</v>
      </c>
      <c r="J99" s="35">
        <v>0</v>
      </c>
      <c r="K99" s="35">
        <v>0</v>
      </c>
      <c r="L99" s="35">
        <v>0</v>
      </c>
      <c r="M99">
        <v>29</v>
      </c>
      <c r="N99">
        <v>0</v>
      </c>
      <c r="O99">
        <v>30</v>
      </c>
      <c r="P99">
        <v>64</v>
      </c>
      <c r="Q99">
        <v>316</v>
      </c>
      <c r="R99">
        <v>358</v>
      </c>
      <c r="S99">
        <v>437</v>
      </c>
      <c r="T99">
        <v>0</v>
      </c>
      <c r="U99">
        <v>1</v>
      </c>
      <c r="V99">
        <v>0</v>
      </c>
      <c r="W99">
        <v>0</v>
      </c>
      <c r="X99" s="23">
        <v>0</v>
      </c>
      <c r="Y99" s="23">
        <v>0.00316455696202532</v>
      </c>
      <c r="Z99" s="23">
        <v>0</v>
      </c>
      <c r="AA99" s="23">
        <v>0</v>
      </c>
      <c r="AB99">
        <v>0</v>
      </c>
      <c r="AC99">
        <v>0.68</v>
      </c>
      <c r="AD99">
        <v>0</v>
      </c>
      <c r="AE99">
        <v>0</v>
      </c>
      <c r="AF99" s="23" t="s">
        <v>55</v>
      </c>
      <c r="AG99" s="23" t="s">
        <v>255</v>
      </c>
      <c r="AH99" s="23" t="s">
        <v>55</v>
      </c>
      <c r="AI99" s="23" t="s">
        <v>55</v>
      </c>
      <c r="AJ99">
        <v>3</v>
      </c>
      <c r="AK99">
        <v>2</v>
      </c>
      <c r="AL99">
        <v>0</v>
      </c>
      <c r="AM99">
        <v>0</v>
      </c>
      <c r="AN99" s="23">
        <v>0.333333333333333</v>
      </c>
      <c r="AO99" s="23">
        <v>0</v>
      </c>
      <c r="AP99" s="23" t="s">
        <v>55</v>
      </c>
      <c r="AQ99" s="23" t="s">
        <v>55</v>
      </c>
      <c r="AR99" s="37">
        <v>0.142857142857143</v>
      </c>
      <c r="AS99" s="37">
        <v>8.57142857142857</v>
      </c>
      <c r="AT99" s="37">
        <v>20.4285714285714</v>
      </c>
      <c r="AU99" s="33">
        <f t="shared" si="5"/>
        <v>203</v>
      </c>
      <c r="AV99" s="38">
        <f>IFERROR(时间!$B$4+AU99,"上周无销量")</f>
        <v>43486</v>
      </c>
    </row>
    <row r="100" spans="1:48">
      <c r="A100" s="21" t="s">
        <v>315</v>
      </c>
      <c r="B100" t="s">
        <v>316</v>
      </c>
      <c r="C100" t="s">
        <v>317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2</v>
      </c>
      <c r="J100" s="35">
        <v>0</v>
      </c>
      <c r="K100" s="35">
        <v>0</v>
      </c>
      <c r="L100" s="35">
        <v>0</v>
      </c>
      <c r="M100">
        <v>2</v>
      </c>
      <c r="N100">
        <v>0</v>
      </c>
      <c r="O100">
        <v>2</v>
      </c>
      <c r="P100">
        <v>1404</v>
      </c>
      <c r="Q100">
        <v>1334</v>
      </c>
      <c r="R100">
        <v>951</v>
      </c>
      <c r="S100">
        <v>1129</v>
      </c>
      <c r="T100">
        <v>2</v>
      </c>
      <c r="U100">
        <v>9</v>
      </c>
      <c r="V100">
        <v>9</v>
      </c>
      <c r="W100">
        <v>8</v>
      </c>
      <c r="X100" s="23">
        <v>0.00142450142450142</v>
      </c>
      <c r="Y100" s="23">
        <v>0.00674662668665667</v>
      </c>
      <c r="Z100" s="23">
        <v>0.00946372239747634</v>
      </c>
      <c r="AA100" s="23">
        <v>0.0070859167404783</v>
      </c>
      <c r="AB100">
        <v>0.44</v>
      </c>
      <c r="AC100">
        <v>2.22</v>
      </c>
      <c r="AD100">
        <v>2.68</v>
      </c>
      <c r="AE100">
        <v>1.69</v>
      </c>
      <c r="AF100" s="23" t="s">
        <v>318</v>
      </c>
      <c r="AG100" s="23" t="s">
        <v>319</v>
      </c>
      <c r="AH100" s="23" t="s">
        <v>320</v>
      </c>
      <c r="AI100" s="23" t="s">
        <v>321</v>
      </c>
      <c r="AJ100">
        <v>1</v>
      </c>
      <c r="AK100">
        <v>1</v>
      </c>
      <c r="AL100">
        <v>2</v>
      </c>
      <c r="AM100">
        <v>4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2</v>
      </c>
      <c r="AU100" s="33" t="str">
        <f t="shared" si="5"/>
        <v>库存为2</v>
      </c>
      <c r="AV100" s="38" t="str">
        <f>IFERROR(时间!$B$4+AU100,"上周无销量")</f>
        <v>上周无销量</v>
      </c>
    </row>
    <row r="101" spans="1:48">
      <c r="A101" s="21" t="s">
        <v>322</v>
      </c>
      <c r="B101" t="s">
        <v>323</v>
      </c>
      <c r="C101" t="s">
        <v>317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2</v>
      </c>
      <c r="J101" s="35">
        <v>0</v>
      </c>
      <c r="K101" s="35">
        <v>0</v>
      </c>
      <c r="L101" s="35">
        <v>0</v>
      </c>
      <c r="M101">
        <v>2</v>
      </c>
      <c r="N101">
        <v>0</v>
      </c>
      <c r="O101">
        <v>2</v>
      </c>
      <c r="P101">
        <v>19</v>
      </c>
      <c r="Q101">
        <v>140</v>
      </c>
      <c r="R101">
        <v>60</v>
      </c>
      <c r="S101">
        <v>167</v>
      </c>
      <c r="T101">
        <v>0</v>
      </c>
      <c r="U101">
        <v>0</v>
      </c>
      <c r="V101">
        <v>2</v>
      </c>
      <c r="W101">
        <v>1</v>
      </c>
      <c r="X101" s="23">
        <v>0</v>
      </c>
      <c r="Y101" s="23">
        <v>0</v>
      </c>
      <c r="Z101" s="23">
        <v>0.0333333333333333</v>
      </c>
      <c r="AA101" s="23">
        <v>0.00598802395209581</v>
      </c>
      <c r="AB101">
        <v>0</v>
      </c>
      <c r="AC101">
        <v>0</v>
      </c>
      <c r="AD101">
        <v>0.44</v>
      </c>
      <c r="AE101">
        <v>0.39</v>
      </c>
      <c r="AF101" s="23" t="s">
        <v>55</v>
      </c>
      <c r="AG101" s="23" t="s">
        <v>55</v>
      </c>
      <c r="AH101" s="23" t="s">
        <v>318</v>
      </c>
      <c r="AI101" s="23" t="s">
        <v>205</v>
      </c>
      <c r="AJ101">
        <v>1</v>
      </c>
      <c r="AK101">
        <v>1</v>
      </c>
      <c r="AL101">
        <v>3</v>
      </c>
      <c r="AM101">
        <v>1</v>
      </c>
      <c r="AN101" s="23">
        <v>0</v>
      </c>
      <c r="AO101" s="23">
        <v>0</v>
      </c>
      <c r="AP101" s="23">
        <v>0</v>
      </c>
      <c r="AQ101" s="23">
        <v>0</v>
      </c>
      <c r="AR101" s="37">
        <v>0</v>
      </c>
      <c r="AS101" s="37">
        <v>0</v>
      </c>
      <c r="AT101" s="37">
        <v>2</v>
      </c>
      <c r="AU101" s="33" t="str">
        <f t="shared" si="5"/>
        <v>库存为2</v>
      </c>
      <c r="AV101" s="38" t="str">
        <f>IFERROR(时间!$B$4+AU101,"上周无销量")</f>
        <v>上周无销量</v>
      </c>
    </row>
    <row r="102" spans="1:48">
      <c r="A102" s="21" t="s">
        <v>324</v>
      </c>
      <c r="B102" t="s">
        <v>325</v>
      </c>
      <c r="C102" t="s">
        <v>326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2</v>
      </c>
      <c r="J102" s="35">
        <v>0</v>
      </c>
      <c r="K102" s="35">
        <v>0</v>
      </c>
      <c r="L102" s="35">
        <v>0</v>
      </c>
      <c r="M102">
        <v>2</v>
      </c>
      <c r="N102">
        <v>0</v>
      </c>
      <c r="O102">
        <v>2</v>
      </c>
      <c r="P102">
        <v>37</v>
      </c>
      <c r="Q102">
        <v>99</v>
      </c>
      <c r="R102">
        <v>282</v>
      </c>
      <c r="S102">
        <v>21</v>
      </c>
      <c r="T102">
        <v>0</v>
      </c>
      <c r="U102">
        <v>1</v>
      </c>
      <c r="V102">
        <v>2</v>
      </c>
      <c r="W102">
        <v>0</v>
      </c>
      <c r="X102" s="23">
        <v>0</v>
      </c>
      <c r="Y102" s="23">
        <v>0.0101010101010101</v>
      </c>
      <c r="Z102" s="23">
        <v>0.00709219858156028</v>
      </c>
      <c r="AA102" s="23">
        <v>0</v>
      </c>
      <c r="AB102">
        <v>0</v>
      </c>
      <c r="AC102">
        <v>0.06</v>
      </c>
      <c r="AD102">
        <v>0.71</v>
      </c>
      <c r="AE102">
        <v>0</v>
      </c>
      <c r="AF102" s="23" t="s">
        <v>55</v>
      </c>
      <c r="AG102" s="23" t="s">
        <v>327</v>
      </c>
      <c r="AH102" s="23" t="s">
        <v>328</v>
      </c>
      <c r="AI102" s="23" t="s">
        <v>55</v>
      </c>
      <c r="AJ102">
        <v>1</v>
      </c>
      <c r="AK102">
        <v>2</v>
      </c>
      <c r="AL102">
        <v>2</v>
      </c>
      <c r="AM102">
        <v>2</v>
      </c>
      <c r="AN102" s="23">
        <v>0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2</v>
      </c>
      <c r="AU102" s="33" t="str">
        <f t="shared" si="5"/>
        <v>库存为2</v>
      </c>
      <c r="AV102" s="38" t="str">
        <f>IFERROR(时间!$B$4+AU102,"上周无销量")</f>
        <v>上周无销量</v>
      </c>
    </row>
    <row r="103" spans="1:48">
      <c r="A103" s="21" t="s">
        <v>329</v>
      </c>
      <c r="B103" t="s">
        <v>330</v>
      </c>
      <c r="C103" t="s">
        <v>331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2</v>
      </c>
      <c r="J103" s="35">
        <v>0</v>
      </c>
      <c r="K103" s="35">
        <v>0</v>
      </c>
      <c r="L103" s="35">
        <v>0</v>
      </c>
      <c r="M103">
        <v>2</v>
      </c>
      <c r="N103">
        <v>0</v>
      </c>
      <c r="O103">
        <v>2</v>
      </c>
      <c r="P103">
        <v>252</v>
      </c>
      <c r="Q103">
        <v>385</v>
      </c>
      <c r="R103">
        <v>244</v>
      </c>
      <c r="S103">
        <v>258</v>
      </c>
      <c r="T103">
        <v>1</v>
      </c>
      <c r="U103">
        <v>0</v>
      </c>
      <c r="V103">
        <v>0</v>
      </c>
      <c r="W103">
        <v>0</v>
      </c>
      <c r="X103" s="23">
        <v>0.00396825396825397</v>
      </c>
      <c r="Y103" s="23">
        <v>0</v>
      </c>
      <c r="Z103" s="23">
        <v>0</v>
      </c>
      <c r="AA103" s="23">
        <v>0</v>
      </c>
      <c r="AB103">
        <v>0.26</v>
      </c>
      <c r="AC103">
        <v>0</v>
      </c>
      <c r="AD103">
        <v>0</v>
      </c>
      <c r="AE103">
        <v>0</v>
      </c>
      <c r="AF103" s="23" t="s">
        <v>332</v>
      </c>
      <c r="AG103" s="23" t="s">
        <v>55</v>
      </c>
      <c r="AH103" s="23" t="s">
        <v>55</v>
      </c>
      <c r="AI103" s="23" t="s">
        <v>55</v>
      </c>
      <c r="AJ103">
        <v>2</v>
      </c>
      <c r="AK103">
        <v>2</v>
      </c>
      <c r="AL103">
        <v>0</v>
      </c>
      <c r="AM103">
        <v>0</v>
      </c>
      <c r="AN103" s="23">
        <v>0</v>
      </c>
      <c r="AO103" s="23">
        <v>0</v>
      </c>
      <c r="AP103" s="23" t="s">
        <v>55</v>
      </c>
      <c r="AQ103" s="23" t="s">
        <v>55</v>
      </c>
      <c r="AR103" s="37">
        <v>0</v>
      </c>
      <c r="AS103" s="37">
        <v>0</v>
      </c>
      <c r="AT103" s="37">
        <v>2</v>
      </c>
      <c r="AU103" s="33" t="str">
        <f t="shared" si="5"/>
        <v>库存为2</v>
      </c>
      <c r="AV103" s="38" t="str">
        <f>IFERROR(时间!$B$4+AU103,"上周无销量")</f>
        <v>上周无销量</v>
      </c>
    </row>
    <row r="104" spans="1:48">
      <c r="A104" s="21" t="s">
        <v>333</v>
      </c>
      <c r="B104" t="s">
        <v>334</v>
      </c>
      <c r="C104" t="s">
        <v>331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8</v>
      </c>
      <c r="J104" s="35">
        <v>0</v>
      </c>
      <c r="K104" s="35">
        <v>0</v>
      </c>
      <c r="L104" s="35">
        <v>0</v>
      </c>
      <c r="M104">
        <v>8</v>
      </c>
      <c r="N104">
        <v>0</v>
      </c>
      <c r="O104">
        <v>8</v>
      </c>
      <c r="P104">
        <v>4</v>
      </c>
      <c r="Q104">
        <v>8</v>
      </c>
      <c r="R104">
        <v>4</v>
      </c>
      <c r="S104">
        <v>2</v>
      </c>
      <c r="T104">
        <v>0</v>
      </c>
      <c r="U104">
        <v>0</v>
      </c>
      <c r="V104">
        <v>1</v>
      </c>
      <c r="W104">
        <v>0</v>
      </c>
      <c r="X104" s="23">
        <v>0</v>
      </c>
      <c r="Y104" s="23">
        <v>0</v>
      </c>
      <c r="Z104" s="23">
        <v>0.25</v>
      </c>
      <c r="AA104" s="23">
        <v>0</v>
      </c>
      <c r="AB104">
        <v>0</v>
      </c>
      <c r="AC104">
        <v>0</v>
      </c>
      <c r="AD104">
        <v>0.09</v>
      </c>
      <c r="AE104">
        <v>0</v>
      </c>
      <c r="AF104" s="23" t="s">
        <v>55</v>
      </c>
      <c r="AG104" s="23" t="s">
        <v>55</v>
      </c>
      <c r="AH104" s="23" t="s">
        <v>335</v>
      </c>
      <c r="AI104" s="23" t="s">
        <v>55</v>
      </c>
      <c r="AJ104">
        <v>1</v>
      </c>
      <c r="AK104">
        <v>0</v>
      </c>
      <c r="AL104">
        <v>1</v>
      </c>
      <c r="AM104">
        <v>0</v>
      </c>
      <c r="AN104" s="23">
        <v>0</v>
      </c>
      <c r="AO104" s="23" t="s">
        <v>55</v>
      </c>
      <c r="AP104" s="23">
        <v>0</v>
      </c>
      <c r="AQ104" s="23" t="s">
        <v>55</v>
      </c>
      <c r="AR104" s="37">
        <v>0</v>
      </c>
      <c r="AS104" s="37">
        <v>0</v>
      </c>
      <c r="AT104" s="37">
        <v>8</v>
      </c>
      <c r="AU104" s="33" t="str">
        <f t="shared" si="5"/>
        <v>库存为8</v>
      </c>
      <c r="AV104" s="38" t="str">
        <f>IFERROR(时间!$B$4+AU104,"上周无销量")</f>
        <v>上周无销量</v>
      </c>
    </row>
    <row r="105" spans="1:48">
      <c r="A105" s="21" t="s">
        <v>336</v>
      </c>
      <c r="B105" t="s">
        <v>337</v>
      </c>
      <c r="C105" t="s">
        <v>331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16</v>
      </c>
      <c r="J105" s="35">
        <v>0</v>
      </c>
      <c r="K105" s="35">
        <v>0</v>
      </c>
      <c r="L105" s="35">
        <v>0</v>
      </c>
      <c r="M105">
        <v>16</v>
      </c>
      <c r="N105">
        <v>0</v>
      </c>
      <c r="O105">
        <v>16</v>
      </c>
      <c r="P105">
        <v>227</v>
      </c>
      <c r="Q105">
        <v>276</v>
      </c>
      <c r="R105">
        <v>170</v>
      </c>
      <c r="S105">
        <v>193</v>
      </c>
      <c r="T105">
        <v>3</v>
      </c>
      <c r="U105">
        <v>1</v>
      </c>
      <c r="V105">
        <v>3</v>
      </c>
      <c r="W105">
        <v>1</v>
      </c>
      <c r="X105" s="23">
        <v>0.013215859030837</v>
      </c>
      <c r="Y105" s="23">
        <v>0.0036231884057971</v>
      </c>
      <c r="Z105" s="23">
        <v>0.0176470588235294</v>
      </c>
      <c r="AA105" s="23">
        <v>0.00518134715025907</v>
      </c>
      <c r="AB105">
        <v>0.85</v>
      </c>
      <c r="AC105">
        <v>0.37</v>
      </c>
      <c r="AD105">
        <v>0.73</v>
      </c>
      <c r="AE105">
        <v>0.41</v>
      </c>
      <c r="AF105" s="23" t="s">
        <v>266</v>
      </c>
      <c r="AG105" s="23" t="s">
        <v>338</v>
      </c>
      <c r="AH105" s="23" t="s">
        <v>339</v>
      </c>
      <c r="AI105" s="23" t="s">
        <v>340</v>
      </c>
      <c r="AJ105">
        <v>3</v>
      </c>
      <c r="AK105">
        <v>2</v>
      </c>
      <c r="AL105">
        <v>2</v>
      </c>
      <c r="AM105">
        <v>0</v>
      </c>
      <c r="AN105" s="23">
        <v>0</v>
      </c>
      <c r="AO105" s="23">
        <v>0</v>
      </c>
      <c r="AP105" s="23">
        <v>0</v>
      </c>
      <c r="AQ105" s="23" t="s">
        <v>55</v>
      </c>
      <c r="AR105" s="37">
        <v>0</v>
      </c>
      <c r="AS105" s="37">
        <v>0</v>
      </c>
      <c r="AT105" s="37">
        <v>16</v>
      </c>
      <c r="AU105" s="33" t="str">
        <f t="shared" si="5"/>
        <v>库存为16</v>
      </c>
      <c r="AV105" s="38" t="str">
        <f>IFERROR(时间!$B$4+AU105,"上周无销量")</f>
        <v>上周无销量</v>
      </c>
    </row>
    <row r="106" spans="1:48">
      <c r="A106" s="21" t="s">
        <v>341</v>
      </c>
      <c r="B106" t="s">
        <v>342</v>
      </c>
      <c r="C106" t="s">
        <v>331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1</v>
      </c>
      <c r="P106">
        <v>13</v>
      </c>
      <c r="Q106">
        <v>40</v>
      </c>
      <c r="R106">
        <v>47</v>
      </c>
      <c r="S106">
        <v>49</v>
      </c>
      <c r="T106">
        <v>0</v>
      </c>
      <c r="U106">
        <v>0</v>
      </c>
      <c r="V106">
        <v>0</v>
      </c>
      <c r="W106">
        <v>0</v>
      </c>
      <c r="X106" s="23">
        <v>0</v>
      </c>
      <c r="Y106" s="23">
        <v>0</v>
      </c>
      <c r="Z106" s="23">
        <v>0</v>
      </c>
      <c r="AA106" s="23">
        <v>0</v>
      </c>
      <c r="AB106">
        <v>0</v>
      </c>
      <c r="AC106">
        <v>0</v>
      </c>
      <c r="AD106">
        <v>0</v>
      </c>
      <c r="AE106">
        <v>0</v>
      </c>
      <c r="AF106" s="23" t="s">
        <v>55</v>
      </c>
      <c r="AG106" s="23" t="s">
        <v>55</v>
      </c>
      <c r="AH106" s="23" t="s">
        <v>55</v>
      </c>
      <c r="AI106" s="23" t="s">
        <v>55</v>
      </c>
      <c r="AJ106">
        <v>2</v>
      </c>
      <c r="AK106">
        <v>2</v>
      </c>
      <c r="AL106">
        <v>2</v>
      </c>
      <c r="AM106">
        <v>0</v>
      </c>
      <c r="AN106" s="23">
        <v>0</v>
      </c>
      <c r="AO106" s="23">
        <v>0</v>
      </c>
      <c r="AP106" s="23">
        <v>0</v>
      </c>
      <c r="AQ106" s="23" t="s">
        <v>55</v>
      </c>
      <c r="AR106" s="37">
        <v>0</v>
      </c>
      <c r="AS106" s="37">
        <v>0</v>
      </c>
      <c r="AT106" s="37">
        <v>1</v>
      </c>
      <c r="AU106" s="33" t="str">
        <f t="shared" si="5"/>
        <v>库存为1</v>
      </c>
      <c r="AV106" s="38" t="str">
        <f>IFERROR(时间!$B$4+AU106,"上周无销量")</f>
        <v>上周无销量</v>
      </c>
    </row>
    <row r="107" spans="1:48">
      <c r="A107" s="21" t="s">
        <v>343</v>
      </c>
      <c r="B107" t="s">
        <v>344</v>
      </c>
      <c r="C107" t="s">
        <v>331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4</v>
      </c>
      <c r="J107" s="35">
        <v>0</v>
      </c>
      <c r="K107" s="35">
        <v>0</v>
      </c>
      <c r="L107" s="35">
        <v>0</v>
      </c>
      <c r="M107">
        <v>4</v>
      </c>
      <c r="N107">
        <v>0</v>
      </c>
      <c r="O107">
        <v>4</v>
      </c>
      <c r="P107">
        <v>2</v>
      </c>
      <c r="Q107">
        <v>3</v>
      </c>
      <c r="R107">
        <v>5</v>
      </c>
      <c r="S107">
        <v>2</v>
      </c>
      <c r="T107">
        <v>0</v>
      </c>
      <c r="U107">
        <v>0</v>
      </c>
      <c r="V107">
        <v>0</v>
      </c>
      <c r="W107">
        <v>0</v>
      </c>
      <c r="X107" s="23">
        <v>0</v>
      </c>
      <c r="Y107" s="23">
        <v>0</v>
      </c>
      <c r="Z107" s="23">
        <v>0</v>
      </c>
      <c r="AA107" s="23">
        <v>0</v>
      </c>
      <c r="AB107">
        <v>0</v>
      </c>
      <c r="AC107">
        <v>0</v>
      </c>
      <c r="AD107">
        <v>0</v>
      </c>
      <c r="AE107">
        <v>0</v>
      </c>
      <c r="AF107" s="23" t="s">
        <v>55</v>
      </c>
      <c r="AG107" s="23" t="s">
        <v>55</v>
      </c>
      <c r="AH107" s="23" t="s">
        <v>55</v>
      </c>
      <c r="AI107" s="23" t="s">
        <v>55</v>
      </c>
      <c r="AJ107">
        <v>3</v>
      </c>
      <c r="AK107">
        <v>3</v>
      </c>
      <c r="AL107">
        <v>0</v>
      </c>
      <c r="AM107">
        <v>0</v>
      </c>
      <c r="AN107" s="23">
        <v>0</v>
      </c>
      <c r="AO107" s="23">
        <v>0</v>
      </c>
      <c r="AP107" s="23" t="s">
        <v>55</v>
      </c>
      <c r="AQ107" s="23" t="s">
        <v>55</v>
      </c>
      <c r="AR107" s="37">
        <v>0</v>
      </c>
      <c r="AS107" s="37">
        <v>0</v>
      </c>
      <c r="AT107" s="37">
        <v>4</v>
      </c>
      <c r="AU107" s="33" t="str">
        <f t="shared" si="5"/>
        <v>库存为4</v>
      </c>
      <c r="AV107" s="38" t="str">
        <f>IFERROR(时间!$B$4+AU107,"上周无销量")</f>
        <v>上周无销量</v>
      </c>
    </row>
    <row r="108" spans="1:48">
      <c r="A108" s="21" t="s">
        <v>345</v>
      </c>
      <c r="B108" t="s">
        <v>346</v>
      </c>
      <c r="C108" t="s">
        <v>331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8</v>
      </c>
      <c r="J108" s="35">
        <v>0</v>
      </c>
      <c r="K108" s="35">
        <v>0</v>
      </c>
      <c r="L108" s="35">
        <v>0</v>
      </c>
      <c r="M108">
        <v>8</v>
      </c>
      <c r="N108">
        <v>0</v>
      </c>
      <c r="O108">
        <v>8</v>
      </c>
      <c r="P108">
        <v>170</v>
      </c>
      <c r="Q108">
        <v>86</v>
      </c>
      <c r="R108">
        <v>77</v>
      </c>
      <c r="S108">
        <v>72</v>
      </c>
      <c r="T108">
        <v>0</v>
      </c>
      <c r="U108">
        <v>1</v>
      </c>
      <c r="V108">
        <v>0</v>
      </c>
      <c r="W108">
        <v>1</v>
      </c>
      <c r="X108" s="23">
        <v>0</v>
      </c>
      <c r="Y108" s="23">
        <v>0.0116279069767442</v>
      </c>
      <c r="Z108" s="23">
        <v>0</v>
      </c>
      <c r="AA108" s="23">
        <v>0.0138888888888889</v>
      </c>
      <c r="AB108">
        <v>0</v>
      </c>
      <c r="AC108">
        <v>0.27</v>
      </c>
      <c r="AD108">
        <v>0</v>
      </c>
      <c r="AE108">
        <v>0.59</v>
      </c>
      <c r="AF108" s="23" t="s">
        <v>55</v>
      </c>
      <c r="AG108" s="23" t="s">
        <v>347</v>
      </c>
      <c r="AH108" s="23" t="s">
        <v>55</v>
      </c>
      <c r="AI108" s="23" t="s">
        <v>214</v>
      </c>
      <c r="AJ108">
        <v>1</v>
      </c>
      <c r="AK108">
        <v>3</v>
      </c>
      <c r="AL108">
        <v>0</v>
      </c>
      <c r="AM108">
        <v>0</v>
      </c>
      <c r="AN108" s="23">
        <v>0</v>
      </c>
      <c r="AO108" s="23">
        <v>0</v>
      </c>
      <c r="AP108" s="23" t="s">
        <v>55</v>
      </c>
      <c r="AQ108" s="23" t="s">
        <v>55</v>
      </c>
      <c r="AR108" s="37">
        <v>0</v>
      </c>
      <c r="AS108" s="37">
        <v>0</v>
      </c>
      <c r="AT108" s="37">
        <v>8</v>
      </c>
      <c r="AU108" s="33" t="str">
        <f t="shared" si="5"/>
        <v>库存为8</v>
      </c>
      <c r="AV108" s="38" t="str">
        <f>IFERROR(时间!$B$4+AU108,"上周无销量")</f>
        <v>上周无销量</v>
      </c>
    </row>
    <row r="109" spans="1:48">
      <c r="A109" s="21" t="s">
        <v>348</v>
      </c>
      <c r="B109" t="s">
        <v>349</v>
      </c>
      <c r="C109" t="s">
        <v>331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3</v>
      </c>
      <c r="J109" s="35">
        <v>0</v>
      </c>
      <c r="K109" s="35">
        <v>0</v>
      </c>
      <c r="L109" s="35">
        <v>0</v>
      </c>
      <c r="M109">
        <v>3</v>
      </c>
      <c r="N109">
        <v>0</v>
      </c>
      <c r="O109">
        <v>3</v>
      </c>
      <c r="P109">
        <v>1</v>
      </c>
      <c r="Q109">
        <v>4</v>
      </c>
      <c r="R109">
        <v>6</v>
      </c>
      <c r="S109">
        <v>5</v>
      </c>
      <c r="T109">
        <v>0</v>
      </c>
      <c r="U109">
        <v>0</v>
      </c>
      <c r="V109">
        <v>0</v>
      </c>
      <c r="W109">
        <v>0</v>
      </c>
      <c r="X109" s="23">
        <v>0</v>
      </c>
      <c r="Y109" s="23">
        <v>0</v>
      </c>
      <c r="Z109" s="23">
        <v>0</v>
      </c>
      <c r="AA109" s="23">
        <v>0</v>
      </c>
      <c r="AB109">
        <v>0</v>
      </c>
      <c r="AC109">
        <v>0</v>
      </c>
      <c r="AD109">
        <v>0</v>
      </c>
      <c r="AE109">
        <v>0</v>
      </c>
      <c r="AF109" s="23" t="s">
        <v>55</v>
      </c>
      <c r="AG109" s="23" t="s">
        <v>55</v>
      </c>
      <c r="AH109" s="23" t="s">
        <v>55</v>
      </c>
      <c r="AI109" s="23" t="s">
        <v>55</v>
      </c>
      <c r="AJ109">
        <v>0</v>
      </c>
      <c r="AK109">
        <v>0</v>
      </c>
      <c r="AL109">
        <v>0</v>
      </c>
      <c r="AM109">
        <v>0</v>
      </c>
      <c r="AN109" s="23" t="s">
        <v>55</v>
      </c>
      <c r="AO109" s="23" t="s">
        <v>55</v>
      </c>
      <c r="AP109" s="23" t="s">
        <v>55</v>
      </c>
      <c r="AQ109" s="23" t="s">
        <v>55</v>
      </c>
      <c r="AR109" s="37">
        <v>0</v>
      </c>
      <c r="AS109" s="37">
        <v>0</v>
      </c>
      <c r="AT109" s="37">
        <v>3</v>
      </c>
      <c r="AU109" s="33" t="str">
        <f t="shared" si="5"/>
        <v>库存为3</v>
      </c>
      <c r="AV109" s="38" t="str">
        <f>IFERROR(时间!$B$4+AU109,"上周无销量")</f>
        <v>上周无销量</v>
      </c>
    </row>
    <row r="110" spans="1:48">
      <c r="A110" s="21" t="s">
        <v>350</v>
      </c>
      <c r="B110" t="s">
        <v>351</v>
      </c>
      <c r="C110" t="s">
        <v>331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2</v>
      </c>
      <c r="J110" s="35">
        <v>0</v>
      </c>
      <c r="K110" s="35">
        <v>0</v>
      </c>
      <c r="L110" s="35">
        <v>0</v>
      </c>
      <c r="M110">
        <v>2</v>
      </c>
      <c r="N110">
        <v>0</v>
      </c>
      <c r="O110">
        <v>2</v>
      </c>
      <c r="P110">
        <v>208</v>
      </c>
      <c r="Q110">
        <v>141</v>
      </c>
      <c r="R110">
        <v>96</v>
      </c>
      <c r="S110">
        <v>25</v>
      </c>
      <c r="T110">
        <v>1</v>
      </c>
      <c r="U110">
        <v>0</v>
      </c>
      <c r="V110">
        <v>0</v>
      </c>
      <c r="W110">
        <v>0</v>
      </c>
      <c r="X110" s="23">
        <v>0.00480769230769231</v>
      </c>
      <c r="Y110" s="23">
        <v>0</v>
      </c>
      <c r="Z110" s="23">
        <v>0</v>
      </c>
      <c r="AA110" s="23">
        <v>0</v>
      </c>
      <c r="AB110">
        <v>0.04</v>
      </c>
      <c r="AC110">
        <v>0</v>
      </c>
      <c r="AD110">
        <v>0</v>
      </c>
      <c r="AE110">
        <v>0</v>
      </c>
      <c r="AF110" s="23" t="s">
        <v>221</v>
      </c>
      <c r="AG110" s="23" t="s">
        <v>55</v>
      </c>
      <c r="AH110" s="23" t="s">
        <v>55</v>
      </c>
      <c r="AI110" s="23" t="s">
        <v>55</v>
      </c>
      <c r="AJ110">
        <v>1</v>
      </c>
      <c r="AK110">
        <v>1</v>
      </c>
      <c r="AL110">
        <v>0</v>
      </c>
      <c r="AM110">
        <v>0</v>
      </c>
      <c r="AN110" s="23">
        <v>0</v>
      </c>
      <c r="AO110" s="23">
        <v>0</v>
      </c>
      <c r="AP110" s="23" t="s">
        <v>55</v>
      </c>
      <c r="AQ110" s="23" t="s">
        <v>55</v>
      </c>
      <c r="AR110" s="37">
        <v>0</v>
      </c>
      <c r="AS110" s="37">
        <v>0</v>
      </c>
      <c r="AT110" s="37">
        <v>2</v>
      </c>
      <c r="AU110" s="33" t="str">
        <f t="shared" si="5"/>
        <v>库存为2</v>
      </c>
      <c r="AV110" s="38" t="str">
        <f>IFERROR(时间!$B$4+AU110,"上周无销量")</f>
        <v>上周无销量</v>
      </c>
    </row>
    <row r="111" spans="1:48">
      <c r="A111" s="21" t="s">
        <v>352</v>
      </c>
      <c r="B111" t="s">
        <v>353</v>
      </c>
      <c r="C111" t="s">
        <v>331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1</v>
      </c>
      <c r="J111" s="35">
        <v>0</v>
      </c>
      <c r="K111" s="35">
        <v>0</v>
      </c>
      <c r="L111" s="35">
        <v>0</v>
      </c>
      <c r="M111">
        <v>1</v>
      </c>
      <c r="N111">
        <v>0</v>
      </c>
      <c r="O111">
        <v>1</v>
      </c>
      <c r="P111">
        <v>86</v>
      </c>
      <c r="Q111">
        <v>105</v>
      </c>
      <c r="R111">
        <v>145</v>
      </c>
      <c r="S111">
        <v>55</v>
      </c>
      <c r="T111">
        <v>0</v>
      </c>
      <c r="U111">
        <v>0</v>
      </c>
      <c r="V111">
        <v>0</v>
      </c>
      <c r="W111">
        <v>0</v>
      </c>
      <c r="X111" s="23">
        <v>0</v>
      </c>
      <c r="Y111" s="23">
        <v>0</v>
      </c>
      <c r="Z111" s="23">
        <v>0</v>
      </c>
      <c r="AA111" s="23">
        <v>0</v>
      </c>
      <c r="AB111">
        <v>0</v>
      </c>
      <c r="AC111">
        <v>0</v>
      </c>
      <c r="AD111">
        <v>0</v>
      </c>
      <c r="AE111">
        <v>0</v>
      </c>
      <c r="AF111" s="23" t="s">
        <v>55</v>
      </c>
      <c r="AG111" s="23" t="s">
        <v>55</v>
      </c>
      <c r="AH111" s="23" t="s">
        <v>55</v>
      </c>
      <c r="AI111" s="23" t="s">
        <v>55</v>
      </c>
      <c r="AJ111">
        <v>0</v>
      </c>
      <c r="AK111">
        <v>0</v>
      </c>
      <c r="AL111">
        <v>1</v>
      </c>
      <c r="AM111">
        <v>0</v>
      </c>
      <c r="AN111" s="23" t="s">
        <v>55</v>
      </c>
      <c r="AO111" s="23" t="s">
        <v>55</v>
      </c>
      <c r="AP111" s="23">
        <v>0</v>
      </c>
      <c r="AQ111" s="23" t="s">
        <v>55</v>
      </c>
      <c r="AR111" s="37">
        <v>0</v>
      </c>
      <c r="AS111" s="37">
        <v>0</v>
      </c>
      <c r="AT111" s="37">
        <v>1</v>
      </c>
      <c r="AU111" s="33" t="str">
        <f t="shared" si="5"/>
        <v>库存为1</v>
      </c>
      <c r="AV111" s="38" t="str">
        <f>IFERROR(时间!$B$4+AU111,"上周无销量")</f>
        <v>上周无销量</v>
      </c>
    </row>
    <row r="112" spans="1:48">
      <c r="A112" s="21" t="s">
        <v>354</v>
      </c>
      <c r="B112" t="s">
        <v>355</v>
      </c>
      <c r="C112" t="s">
        <v>331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2</v>
      </c>
      <c r="J112" s="35">
        <v>0</v>
      </c>
      <c r="K112" s="35">
        <v>0</v>
      </c>
      <c r="L112" s="35">
        <v>0</v>
      </c>
      <c r="M112">
        <v>2</v>
      </c>
      <c r="N112">
        <v>0</v>
      </c>
      <c r="O112">
        <v>2</v>
      </c>
      <c r="P112">
        <v>1288</v>
      </c>
      <c r="Q112">
        <v>1184</v>
      </c>
      <c r="R112">
        <v>812</v>
      </c>
      <c r="S112">
        <v>627</v>
      </c>
      <c r="T112">
        <v>3</v>
      </c>
      <c r="U112">
        <v>3</v>
      </c>
      <c r="V112">
        <v>2</v>
      </c>
      <c r="W112">
        <v>4</v>
      </c>
      <c r="X112" s="23">
        <v>0.00232919254658385</v>
      </c>
      <c r="Y112" s="23">
        <v>0.00253378378378378</v>
      </c>
      <c r="Z112" s="23">
        <v>0.00246305418719212</v>
      </c>
      <c r="AA112" s="23">
        <v>0.00637958532695375</v>
      </c>
      <c r="AB112">
        <v>0.85</v>
      </c>
      <c r="AC112">
        <v>0.24</v>
      </c>
      <c r="AD112">
        <v>0.41</v>
      </c>
      <c r="AE112">
        <v>1.24</v>
      </c>
      <c r="AF112" s="23" t="s">
        <v>266</v>
      </c>
      <c r="AG112" s="23" t="s">
        <v>356</v>
      </c>
      <c r="AH112" s="23" t="s">
        <v>340</v>
      </c>
      <c r="AI112" s="23" t="s">
        <v>357</v>
      </c>
      <c r="AJ112">
        <v>2</v>
      </c>
      <c r="AK112">
        <v>1</v>
      </c>
      <c r="AL112">
        <v>3</v>
      </c>
      <c r="AM112">
        <v>1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2</v>
      </c>
      <c r="AU112" s="33" t="str">
        <f t="shared" si="5"/>
        <v>库存为2</v>
      </c>
      <c r="AV112" s="38" t="str">
        <f>IFERROR(时间!$B$4+AU112,"上周无销量")</f>
        <v>上周无销量</v>
      </c>
    </row>
    <row r="113" spans="1:48">
      <c r="A113" s="21" t="s">
        <v>358</v>
      </c>
      <c r="B113" t="s">
        <v>359</v>
      </c>
      <c r="C113" t="s">
        <v>360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1</v>
      </c>
      <c r="P113">
        <v>126</v>
      </c>
      <c r="Q113">
        <v>7</v>
      </c>
      <c r="R113">
        <v>7</v>
      </c>
      <c r="S113">
        <v>5</v>
      </c>
      <c r="T113">
        <v>0</v>
      </c>
      <c r="U113">
        <v>0</v>
      </c>
      <c r="V113">
        <v>0</v>
      </c>
      <c r="W113">
        <v>0</v>
      </c>
      <c r="X113" s="23">
        <v>0</v>
      </c>
      <c r="Y113" s="23">
        <v>0</v>
      </c>
      <c r="Z113" s="23">
        <v>0</v>
      </c>
      <c r="AA113" s="23">
        <v>0</v>
      </c>
      <c r="AB113">
        <v>0</v>
      </c>
      <c r="AC113">
        <v>0</v>
      </c>
      <c r="AD113">
        <v>0</v>
      </c>
      <c r="AE113">
        <v>0</v>
      </c>
      <c r="AF113" s="23" t="s">
        <v>55</v>
      </c>
      <c r="AG113" s="23" t="s">
        <v>55</v>
      </c>
      <c r="AH113" s="23" t="s">
        <v>55</v>
      </c>
      <c r="AI113" s="23" t="s">
        <v>55</v>
      </c>
      <c r="AJ113">
        <v>0</v>
      </c>
      <c r="AK113">
        <v>0</v>
      </c>
      <c r="AL113">
        <v>2</v>
      </c>
      <c r="AM113">
        <v>0</v>
      </c>
      <c r="AN113" s="23" t="s">
        <v>55</v>
      </c>
      <c r="AO113" s="23" t="s">
        <v>55</v>
      </c>
      <c r="AP113" s="23">
        <v>0</v>
      </c>
      <c r="AQ113" s="23" t="s">
        <v>55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361</v>
      </c>
      <c r="B114" t="s">
        <v>362</v>
      </c>
      <c r="C114" t="s">
        <v>360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1</v>
      </c>
      <c r="J114" s="35">
        <v>0</v>
      </c>
      <c r="K114" s="35">
        <v>0</v>
      </c>
      <c r="L114" s="35">
        <v>0</v>
      </c>
      <c r="M114">
        <v>1</v>
      </c>
      <c r="N114">
        <v>0</v>
      </c>
      <c r="O114">
        <v>1</v>
      </c>
      <c r="P114">
        <v>78</v>
      </c>
      <c r="Q114">
        <v>23</v>
      </c>
      <c r="R114">
        <v>100</v>
      </c>
      <c r="S114">
        <v>54</v>
      </c>
      <c r="T114">
        <v>0</v>
      </c>
      <c r="U114">
        <v>0</v>
      </c>
      <c r="V114">
        <v>0</v>
      </c>
      <c r="W114">
        <v>0</v>
      </c>
      <c r="X114" s="23">
        <v>0</v>
      </c>
      <c r="Y114" s="23">
        <v>0</v>
      </c>
      <c r="Z114" s="23">
        <v>0</v>
      </c>
      <c r="AA114" s="23">
        <v>0</v>
      </c>
      <c r="AB114">
        <v>0</v>
      </c>
      <c r="AC114">
        <v>0</v>
      </c>
      <c r="AD114">
        <v>0</v>
      </c>
      <c r="AE114">
        <v>0</v>
      </c>
      <c r="AF114" s="23" t="s">
        <v>55</v>
      </c>
      <c r="AG114" s="23" t="s">
        <v>55</v>
      </c>
      <c r="AH114" s="23" t="s">
        <v>55</v>
      </c>
      <c r="AI114" s="23" t="s">
        <v>55</v>
      </c>
      <c r="AJ114">
        <v>3</v>
      </c>
      <c r="AK114">
        <v>1</v>
      </c>
      <c r="AL114">
        <v>2</v>
      </c>
      <c r="AM114">
        <v>0</v>
      </c>
      <c r="AN114" s="23">
        <v>0</v>
      </c>
      <c r="AO114" s="23">
        <v>0</v>
      </c>
      <c r="AP114" s="23">
        <v>0</v>
      </c>
      <c r="AQ114" s="23" t="s">
        <v>55</v>
      </c>
      <c r="AR114" s="37">
        <v>0</v>
      </c>
      <c r="AS114" s="37">
        <v>0</v>
      </c>
      <c r="AT114" s="37">
        <v>1</v>
      </c>
      <c r="AU114" s="33" t="str">
        <f t="shared" si="5"/>
        <v>库存为1</v>
      </c>
      <c r="AV114" s="38" t="str">
        <f>IFERROR(时间!$B$4+AU114,"上周无销量")</f>
        <v>上周无销量</v>
      </c>
    </row>
    <row r="115" spans="1:48">
      <c r="A115" s="21" t="s">
        <v>363</v>
      </c>
      <c r="B115" t="s">
        <v>364</v>
      </c>
      <c r="C115" t="s">
        <v>360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1</v>
      </c>
      <c r="J115" s="35">
        <v>0</v>
      </c>
      <c r="K115" s="35">
        <v>0</v>
      </c>
      <c r="L115" s="35">
        <v>0</v>
      </c>
      <c r="M115">
        <v>1</v>
      </c>
      <c r="N115">
        <v>0</v>
      </c>
      <c r="O115">
        <v>1</v>
      </c>
      <c r="P115">
        <v>270</v>
      </c>
      <c r="Q115">
        <v>282</v>
      </c>
      <c r="R115">
        <v>105</v>
      </c>
      <c r="S115">
        <v>36</v>
      </c>
      <c r="T115">
        <v>0</v>
      </c>
      <c r="U115">
        <v>0</v>
      </c>
      <c r="V115">
        <v>0</v>
      </c>
      <c r="W115">
        <v>0</v>
      </c>
      <c r="X115" s="23">
        <v>0</v>
      </c>
      <c r="Y115" s="23">
        <v>0</v>
      </c>
      <c r="Z115" s="23">
        <v>0</v>
      </c>
      <c r="AA115" s="23">
        <v>0</v>
      </c>
      <c r="AB115">
        <v>0</v>
      </c>
      <c r="AC115">
        <v>0</v>
      </c>
      <c r="AD115">
        <v>0</v>
      </c>
      <c r="AE115">
        <v>0</v>
      </c>
      <c r="AF115" s="23" t="s">
        <v>55</v>
      </c>
      <c r="AG115" s="23" t="s">
        <v>55</v>
      </c>
      <c r="AH115" s="23" t="s">
        <v>55</v>
      </c>
      <c r="AI115" s="23" t="s">
        <v>55</v>
      </c>
      <c r="AJ115">
        <v>0</v>
      </c>
      <c r="AK115">
        <v>0</v>
      </c>
      <c r="AL115">
        <v>0</v>
      </c>
      <c r="AM115">
        <v>0</v>
      </c>
      <c r="AN115" s="23" t="s">
        <v>55</v>
      </c>
      <c r="AO115" s="23" t="s">
        <v>55</v>
      </c>
      <c r="AP115" s="23" t="s">
        <v>55</v>
      </c>
      <c r="AQ115" s="23" t="s">
        <v>55</v>
      </c>
      <c r="AR115" s="37">
        <v>0</v>
      </c>
      <c r="AS115" s="37">
        <v>0</v>
      </c>
      <c r="AT115" s="37">
        <v>1</v>
      </c>
      <c r="AU115" s="33" t="str">
        <f t="shared" si="5"/>
        <v>库存为1</v>
      </c>
      <c r="AV115" s="38" t="str">
        <f>IFERROR(时间!$B$4+AU115,"上周无销量")</f>
        <v>上周无销量</v>
      </c>
    </row>
    <row r="116" spans="1:48">
      <c r="A116" s="21" t="s">
        <v>365</v>
      </c>
      <c r="B116" t="s">
        <v>366</v>
      </c>
      <c r="C116" t="s">
        <v>360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0</v>
      </c>
      <c r="J116" s="35">
        <v>0</v>
      </c>
      <c r="K116" s="35">
        <v>0</v>
      </c>
      <c r="L116" s="35">
        <v>0</v>
      </c>
      <c r="M116">
        <v>0</v>
      </c>
      <c r="N116">
        <v>0</v>
      </c>
      <c r="O116">
        <v>0</v>
      </c>
      <c r="P116" t="s">
        <v>55</v>
      </c>
      <c r="Q116" t="s">
        <v>55</v>
      </c>
      <c r="R116" t="s">
        <v>55</v>
      </c>
      <c r="S116" t="s">
        <v>55</v>
      </c>
      <c r="T116" t="s">
        <v>55</v>
      </c>
      <c r="U116" t="s">
        <v>55</v>
      </c>
      <c r="V116" t="s">
        <v>55</v>
      </c>
      <c r="W116" t="s">
        <v>55</v>
      </c>
      <c r="X116" s="23" t="s">
        <v>55</v>
      </c>
      <c r="Y116" s="23" t="s">
        <v>55</v>
      </c>
      <c r="Z116" s="23" t="s">
        <v>55</v>
      </c>
      <c r="AA116" s="23" t="s">
        <v>55</v>
      </c>
      <c r="AB116" t="s">
        <v>55</v>
      </c>
      <c r="AC116" t="s">
        <v>55</v>
      </c>
      <c r="AD116" t="s">
        <v>55</v>
      </c>
      <c r="AE116" t="s">
        <v>55</v>
      </c>
      <c r="AF116" s="23" t="s">
        <v>55</v>
      </c>
      <c r="AG116" s="23" t="s">
        <v>55</v>
      </c>
      <c r="AH116" s="23" t="s">
        <v>55</v>
      </c>
      <c r="AI116" s="23" t="s">
        <v>55</v>
      </c>
      <c r="AJ116">
        <v>0</v>
      </c>
      <c r="AK116">
        <v>0</v>
      </c>
      <c r="AL116">
        <v>0</v>
      </c>
      <c r="AM116">
        <v>0</v>
      </c>
      <c r="AN116" s="23" t="s">
        <v>55</v>
      </c>
      <c r="AO116" s="23" t="s">
        <v>55</v>
      </c>
      <c r="AP116" s="23" t="s">
        <v>55</v>
      </c>
      <c r="AQ116" s="23" t="s">
        <v>55</v>
      </c>
      <c r="AR116" s="37">
        <v>0</v>
      </c>
      <c r="AS116" s="37">
        <v>0</v>
      </c>
      <c r="AT116" s="37">
        <v>0</v>
      </c>
      <c r="AU116" s="33" t="str">
        <f t="shared" si="5"/>
        <v>库存为0</v>
      </c>
      <c r="AV116" s="38" t="str">
        <f>IFERROR(时间!$B$4+AU116,"上周无销量")</f>
        <v>上周无销量</v>
      </c>
    </row>
    <row r="117" spans="1:48">
      <c r="A117" s="21" t="s">
        <v>367</v>
      </c>
      <c r="B117" t="s">
        <v>368</v>
      </c>
      <c r="C117" t="s">
        <v>360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1</v>
      </c>
      <c r="J117" s="35">
        <v>0</v>
      </c>
      <c r="K117" s="35">
        <v>0</v>
      </c>
      <c r="L117" s="35">
        <v>0</v>
      </c>
      <c r="M117">
        <v>1</v>
      </c>
      <c r="N117">
        <v>0</v>
      </c>
      <c r="O117">
        <v>1</v>
      </c>
      <c r="P117">
        <v>1</v>
      </c>
      <c r="Q117">
        <v>17</v>
      </c>
      <c r="R117">
        <v>7</v>
      </c>
      <c r="S117">
        <v>3</v>
      </c>
      <c r="T117">
        <v>0</v>
      </c>
      <c r="U117">
        <v>0</v>
      </c>
      <c r="V117">
        <v>1</v>
      </c>
      <c r="W117">
        <v>0</v>
      </c>
      <c r="X117" s="23">
        <v>0</v>
      </c>
      <c r="Y117" s="23">
        <v>0</v>
      </c>
      <c r="Z117" s="23">
        <v>0.142857142857143</v>
      </c>
      <c r="AA117" s="23">
        <v>0</v>
      </c>
      <c r="AB117">
        <v>0</v>
      </c>
      <c r="AC117">
        <v>0</v>
      </c>
      <c r="AD117">
        <v>0.07</v>
      </c>
      <c r="AE117">
        <v>0</v>
      </c>
      <c r="AF117" s="23" t="s">
        <v>55</v>
      </c>
      <c r="AG117" s="23" t="s">
        <v>55</v>
      </c>
      <c r="AH117" s="23" t="s">
        <v>369</v>
      </c>
      <c r="AI117" s="23" t="s">
        <v>55</v>
      </c>
      <c r="AJ117">
        <v>1</v>
      </c>
      <c r="AK117">
        <v>1</v>
      </c>
      <c r="AL117">
        <v>1</v>
      </c>
      <c r="AM117">
        <v>3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1</v>
      </c>
      <c r="AU117" s="33" t="str">
        <f t="shared" si="5"/>
        <v>库存为1</v>
      </c>
      <c r="AV117" s="38" t="str">
        <f>IFERROR(时间!$B$4+AU117,"上周无销量")</f>
        <v>上周无销量</v>
      </c>
    </row>
    <row r="118" spans="1:48">
      <c r="A118" s="21" t="s">
        <v>370</v>
      </c>
      <c r="B118" t="s">
        <v>371</v>
      </c>
      <c r="C118" t="s">
        <v>360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1</v>
      </c>
      <c r="J118" s="35">
        <v>0</v>
      </c>
      <c r="K118" s="35">
        <v>0</v>
      </c>
      <c r="L118" s="35">
        <v>0</v>
      </c>
      <c r="M118">
        <v>1</v>
      </c>
      <c r="N118">
        <v>0</v>
      </c>
      <c r="O118">
        <v>1</v>
      </c>
      <c r="P118">
        <v>62</v>
      </c>
      <c r="Q118">
        <v>41</v>
      </c>
      <c r="R118">
        <v>12</v>
      </c>
      <c r="S118">
        <v>18</v>
      </c>
      <c r="T118">
        <v>1</v>
      </c>
      <c r="U118">
        <v>0</v>
      </c>
      <c r="V118">
        <v>0</v>
      </c>
      <c r="W118">
        <v>0</v>
      </c>
      <c r="X118" s="23">
        <v>0.0161290322580645</v>
      </c>
      <c r="Y118" s="23">
        <v>0</v>
      </c>
      <c r="Z118" s="23">
        <v>0</v>
      </c>
      <c r="AA118" s="23">
        <v>0</v>
      </c>
      <c r="AB118">
        <v>0.19</v>
      </c>
      <c r="AC118">
        <v>0</v>
      </c>
      <c r="AD118">
        <v>0</v>
      </c>
      <c r="AE118">
        <v>0</v>
      </c>
      <c r="AF118" s="23" t="s">
        <v>372</v>
      </c>
      <c r="AG118" s="23" t="s">
        <v>55</v>
      </c>
      <c r="AH118" s="23" t="s">
        <v>55</v>
      </c>
      <c r="AI118" s="23" t="s">
        <v>55</v>
      </c>
      <c r="AJ118">
        <v>2</v>
      </c>
      <c r="AK118">
        <v>0</v>
      </c>
      <c r="AL118">
        <v>0</v>
      </c>
      <c r="AM118">
        <v>2</v>
      </c>
      <c r="AN118" s="23">
        <v>0</v>
      </c>
      <c r="AO118" s="23" t="s">
        <v>55</v>
      </c>
      <c r="AP118" s="23" t="s">
        <v>55</v>
      </c>
      <c r="AQ118" s="23">
        <v>0</v>
      </c>
      <c r="AR118" s="37">
        <v>0</v>
      </c>
      <c r="AS118" s="37">
        <v>0</v>
      </c>
      <c r="AT118" s="37">
        <v>1</v>
      </c>
      <c r="AU118" s="33" t="str">
        <f t="shared" si="5"/>
        <v>库存为1</v>
      </c>
      <c r="AV118" s="38" t="str">
        <f>IFERROR(时间!$B$4+AU118,"上周无销量")</f>
        <v>上周无销量</v>
      </c>
    </row>
    <row r="119" spans="1:48">
      <c r="A119" s="21" t="s">
        <v>373</v>
      </c>
      <c r="B119" t="s">
        <v>374</v>
      </c>
      <c r="C119" t="s">
        <v>375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1</v>
      </c>
      <c r="J119" s="35">
        <v>0</v>
      </c>
      <c r="K119" s="35">
        <v>0</v>
      </c>
      <c r="L119" s="35">
        <v>0</v>
      </c>
      <c r="M119">
        <v>1</v>
      </c>
      <c r="N119">
        <v>0</v>
      </c>
      <c r="O119">
        <v>1</v>
      </c>
      <c r="P119">
        <v>180</v>
      </c>
      <c r="Q119">
        <v>309</v>
      </c>
      <c r="R119">
        <v>122</v>
      </c>
      <c r="S119">
        <v>243</v>
      </c>
      <c r="T119">
        <v>0</v>
      </c>
      <c r="U119">
        <v>0</v>
      </c>
      <c r="V119">
        <v>1</v>
      </c>
      <c r="W119">
        <v>0</v>
      </c>
      <c r="X119" s="23">
        <v>0</v>
      </c>
      <c r="Y119" s="23">
        <v>0</v>
      </c>
      <c r="Z119" s="23">
        <v>0.00819672131147541</v>
      </c>
      <c r="AA119" s="23">
        <v>0</v>
      </c>
      <c r="AB119">
        <v>0</v>
      </c>
      <c r="AC119">
        <v>0</v>
      </c>
      <c r="AD119">
        <v>0.41</v>
      </c>
      <c r="AE119">
        <v>0</v>
      </c>
      <c r="AF119" s="23" t="s">
        <v>55</v>
      </c>
      <c r="AG119" s="23" t="s">
        <v>55</v>
      </c>
      <c r="AH119" s="23" t="s">
        <v>340</v>
      </c>
      <c r="AI119" s="23" t="s">
        <v>55</v>
      </c>
      <c r="AJ119">
        <v>1</v>
      </c>
      <c r="AK119">
        <v>3</v>
      </c>
      <c r="AL119">
        <v>1</v>
      </c>
      <c r="AM119">
        <v>0</v>
      </c>
      <c r="AN119" s="23">
        <v>0</v>
      </c>
      <c r="AO119" s="23">
        <v>0</v>
      </c>
      <c r="AP119" s="23">
        <v>0</v>
      </c>
      <c r="AQ119" s="23" t="s">
        <v>55</v>
      </c>
      <c r="AR119" s="37">
        <v>0</v>
      </c>
      <c r="AS119" s="37">
        <v>0</v>
      </c>
      <c r="AT119" s="37">
        <v>1</v>
      </c>
      <c r="AU119" s="33" t="str">
        <f t="shared" si="5"/>
        <v>库存为1</v>
      </c>
      <c r="AV119" s="38" t="str">
        <f>IFERROR(时间!$B$4+AU119,"上周无销量")</f>
        <v>上周无销量</v>
      </c>
    </row>
    <row r="120" spans="1:48">
      <c r="A120" s="21" t="s">
        <v>376</v>
      </c>
      <c r="B120" t="s">
        <v>377</v>
      </c>
      <c r="C120" t="s">
        <v>375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0</v>
      </c>
      <c r="J120" s="35">
        <v>0</v>
      </c>
      <c r="K120" s="35">
        <v>0</v>
      </c>
      <c r="L120" s="35">
        <v>0</v>
      </c>
      <c r="M120">
        <v>0</v>
      </c>
      <c r="N120">
        <v>0</v>
      </c>
      <c r="O120">
        <v>0</v>
      </c>
      <c r="P120" t="s">
        <v>55</v>
      </c>
      <c r="Q120" t="s">
        <v>55</v>
      </c>
      <c r="R120" t="s">
        <v>55</v>
      </c>
      <c r="S120" t="s">
        <v>55</v>
      </c>
      <c r="T120" t="s">
        <v>55</v>
      </c>
      <c r="U120" t="s">
        <v>55</v>
      </c>
      <c r="V120" t="s">
        <v>55</v>
      </c>
      <c r="W120" t="s">
        <v>55</v>
      </c>
      <c r="X120" s="23" t="s">
        <v>55</v>
      </c>
      <c r="Y120" s="23" t="s">
        <v>55</v>
      </c>
      <c r="Z120" s="23" t="s">
        <v>55</v>
      </c>
      <c r="AA120" s="23" t="s">
        <v>55</v>
      </c>
      <c r="AB120" t="s">
        <v>55</v>
      </c>
      <c r="AC120" t="s">
        <v>55</v>
      </c>
      <c r="AD120" t="s">
        <v>55</v>
      </c>
      <c r="AE120" t="s">
        <v>55</v>
      </c>
      <c r="AF120" s="23" t="s">
        <v>55</v>
      </c>
      <c r="AG120" s="23" t="s">
        <v>55</v>
      </c>
      <c r="AH120" s="23" t="s">
        <v>55</v>
      </c>
      <c r="AI120" s="23" t="s">
        <v>55</v>
      </c>
      <c r="AJ120">
        <v>0</v>
      </c>
      <c r="AK120">
        <v>0</v>
      </c>
      <c r="AL120">
        <v>0</v>
      </c>
      <c r="AM120">
        <v>0</v>
      </c>
      <c r="AN120" s="23" t="s">
        <v>55</v>
      </c>
      <c r="AO120" s="23" t="s">
        <v>55</v>
      </c>
      <c r="AP120" s="23" t="s">
        <v>55</v>
      </c>
      <c r="AQ120" s="23" t="s">
        <v>55</v>
      </c>
      <c r="AR120" s="37">
        <v>0</v>
      </c>
      <c r="AS120" s="37">
        <v>0</v>
      </c>
      <c r="AT120" s="37">
        <v>0</v>
      </c>
      <c r="AU120" s="33" t="str">
        <f t="shared" si="5"/>
        <v>库存为0</v>
      </c>
      <c r="AV120" s="38" t="str">
        <f>IFERROR(时间!$B$4+AU120,"上周无销量")</f>
        <v>上周无销量</v>
      </c>
    </row>
    <row r="121" spans="1:48">
      <c r="A121" s="21" t="s">
        <v>378</v>
      </c>
      <c r="B121" t="s">
        <v>379</v>
      </c>
      <c r="C121" t="s">
        <v>375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2</v>
      </c>
      <c r="J121" s="35">
        <v>0</v>
      </c>
      <c r="K121" s="35">
        <v>0</v>
      </c>
      <c r="L121" s="35">
        <v>0</v>
      </c>
      <c r="M121">
        <v>2</v>
      </c>
      <c r="N121">
        <v>0</v>
      </c>
      <c r="O121">
        <v>2</v>
      </c>
      <c r="P121">
        <v>100</v>
      </c>
      <c r="Q121">
        <v>24</v>
      </c>
      <c r="R121">
        <v>24</v>
      </c>
      <c r="S121">
        <v>11</v>
      </c>
      <c r="T121">
        <v>0</v>
      </c>
      <c r="U121">
        <v>1</v>
      </c>
      <c r="V121">
        <v>0</v>
      </c>
      <c r="W121">
        <v>0</v>
      </c>
      <c r="X121" s="23">
        <v>0</v>
      </c>
      <c r="Y121" s="23">
        <v>0.0416666666666667</v>
      </c>
      <c r="Z121" s="23">
        <v>0</v>
      </c>
      <c r="AA121" s="23">
        <v>0</v>
      </c>
      <c r="AB121">
        <v>0</v>
      </c>
      <c r="AC121">
        <v>0.04</v>
      </c>
      <c r="AD121">
        <v>0</v>
      </c>
      <c r="AE121">
        <v>0</v>
      </c>
      <c r="AF121" s="23" t="s">
        <v>55</v>
      </c>
      <c r="AG121" s="23" t="s">
        <v>221</v>
      </c>
      <c r="AH121" s="23" t="s">
        <v>55</v>
      </c>
      <c r="AI121" s="23" t="s">
        <v>55</v>
      </c>
      <c r="AJ121">
        <v>1</v>
      </c>
      <c r="AK121">
        <v>2</v>
      </c>
      <c r="AL121">
        <v>0</v>
      </c>
      <c r="AM121">
        <v>0</v>
      </c>
      <c r="AN121" s="23">
        <v>0</v>
      </c>
      <c r="AO121" s="23">
        <v>0</v>
      </c>
      <c r="AP121" s="23" t="s">
        <v>55</v>
      </c>
      <c r="AQ121" s="23" t="s">
        <v>55</v>
      </c>
      <c r="AR121" s="37">
        <v>0</v>
      </c>
      <c r="AS121" s="37">
        <v>0</v>
      </c>
      <c r="AT121" s="37">
        <v>2</v>
      </c>
      <c r="AU121" s="33" t="str">
        <f t="shared" si="5"/>
        <v>库存为2</v>
      </c>
      <c r="AV121" s="38" t="str">
        <f>IFERROR(时间!$B$4+AU121,"上周无销量")</f>
        <v>上周无销量</v>
      </c>
    </row>
    <row r="122" spans="1:48">
      <c r="A122" s="21" t="s">
        <v>380</v>
      </c>
      <c r="B122" t="s">
        <v>381</v>
      </c>
      <c r="C122" t="s">
        <v>375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0</v>
      </c>
      <c r="J122" s="35">
        <v>0</v>
      </c>
      <c r="K122" s="35">
        <v>0</v>
      </c>
      <c r="L122" s="35">
        <v>0</v>
      </c>
      <c r="M122">
        <v>0</v>
      </c>
      <c r="N122">
        <v>0</v>
      </c>
      <c r="O122">
        <v>0</v>
      </c>
      <c r="P122" t="s">
        <v>55</v>
      </c>
      <c r="Q122" t="s">
        <v>55</v>
      </c>
      <c r="R122" t="s">
        <v>55</v>
      </c>
      <c r="S122" t="s">
        <v>55</v>
      </c>
      <c r="T122" t="s">
        <v>55</v>
      </c>
      <c r="U122" t="s">
        <v>55</v>
      </c>
      <c r="V122" t="s">
        <v>55</v>
      </c>
      <c r="W122" t="s">
        <v>55</v>
      </c>
      <c r="X122" s="23" t="s">
        <v>55</v>
      </c>
      <c r="Y122" s="23" t="s">
        <v>55</v>
      </c>
      <c r="Z122" s="23" t="s">
        <v>55</v>
      </c>
      <c r="AA122" s="23" t="s">
        <v>55</v>
      </c>
      <c r="AB122" t="s">
        <v>55</v>
      </c>
      <c r="AC122" t="s">
        <v>55</v>
      </c>
      <c r="AD122" t="s">
        <v>55</v>
      </c>
      <c r="AE122" t="s">
        <v>55</v>
      </c>
      <c r="AF122" s="23" t="s">
        <v>55</v>
      </c>
      <c r="AG122" s="23" t="s">
        <v>55</v>
      </c>
      <c r="AH122" s="23" t="s">
        <v>55</v>
      </c>
      <c r="AI122" s="23" t="s">
        <v>55</v>
      </c>
      <c r="AJ122">
        <v>0</v>
      </c>
      <c r="AK122">
        <v>0</v>
      </c>
      <c r="AL122">
        <v>0</v>
      </c>
      <c r="AM122">
        <v>0</v>
      </c>
      <c r="AN122" s="23" t="s">
        <v>55</v>
      </c>
      <c r="AO122" s="23" t="s">
        <v>55</v>
      </c>
      <c r="AP122" s="23" t="s">
        <v>55</v>
      </c>
      <c r="AQ122" s="23" t="s">
        <v>55</v>
      </c>
      <c r="AR122" s="37">
        <v>0</v>
      </c>
      <c r="AS122" s="37">
        <v>0</v>
      </c>
      <c r="AT122" s="37">
        <v>0</v>
      </c>
      <c r="AU122" s="33" t="str">
        <f t="shared" si="5"/>
        <v>库存为0</v>
      </c>
      <c r="AV122" s="38" t="str">
        <f>IFERROR(时间!$B$4+AU122,"上周无销量")</f>
        <v>上周无销量</v>
      </c>
    </row>
    <row r="123" spans="1:48">
      <c r="A123" s="21" t="s">
        <v>382</v>
      </c>
      <c r="B123" t="s">
        <v>383</v>
      </c>
      <c r="C123" t="s">
        <v>375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2</v>
      </c>
      <c r="J123" s="35">
        <v>0</v>
      </c>
      <c r="K123" s="35">
        <v>0</v>
      </c>
      <c r="L123" s="35">
        <v>0</v>
      </c>
      <c r="M123">
        <v>2</v>
      </c>
      <c r="N123">
        <v>0</v>
      </c>
      <c r="O123">
        <v>2</v>
      </c>
      <c r="P123">
        <v>604</v>
      </c>
      <c r="Q123">
        <v>710</v>
      </c>
      <c r="R123">
        <v>630</v>
      </c>
      <c r="S123">
        <v>814</v>
      </c>
      <c r="T123">
        <v>1</v>
      </c>
      <c r="U123">
        <v>1</v>
      </c>
      <c r="V123">
        <v>0</v>
      </c>
      <c r="W123">
        <v>1</v>
      </c>
      <c r="X123" s="23">
        <v>0.00165562913907285</v>
      </c>
      <c r="Y123" s="23">
        <v>0.00140845070422535</v>
      </c>
      <c r="Z123" s="23">
        <v>0</v>
      </c>
      <c r="AA123" s="23">
        <v>0.00122850122850123</v>
      </c>
      <c r="AB123">
        <v>0.31</v>
      </c>
      <c r="AC123">
        <v>0.19</v>
      </c>
      <c r="AD123">
        <v>0</v>
      </c>
      <c r="AE123">
        <v>0.41</v>
      </c>
      <c r="AF123" s="23" t="s">
        <v>174</v>
      </c>
      <c r="AG123" s="23" t="s">
        <v>372</v>
      </c>
      <c r="AH123" s="23" t="s">
        <v>55</v>
      </c>
      <c r="AI123" s="23" t="s">
        <v>340</v>
      </c>
      <c r="AJ123">
        <v>1</v>
      </c>
      <c r="AK123">
        <v>2</v>
      </c>
      <c r="AL123">
        <v>0</v>
      </c>
      <c r="AM123">
        <v>2</v>
      </c>
      <c r="AN123" s="23">
        <v>0</v>
      </c>
      <c r="AO123" s="23">
        <v>0</v>
      </c>
      <c r="AP123" s="23" t="s">
        <v>55</v>
      </c>
      <c r="AQ123" s="23">
        <v>0</v>
      </c>
      <c r="AR123" s="37">
        <v>0</v>
      </c>
      <c r="AS123" s="37">
        <v>0</v>
      </c>
      <c r="AT123" s="37">
        <v>2</v>
      </c>
      <c r="AU123" s="33" t="str">
        <f t="shared" si="5"/>
        <v>库存为2</v>
      </c>
      <c r="AV123" s="38" t="str">
        <f>IFERROR(时间!$B$4+AU123,"上周无销量")</f>
        <v>上周无销量</v>
      </c>
    </row>
    <row r="124" spans="1:48">
      <c r="A124" s="21" t="s">
        <v>384</v>
      </c>
      <c r="B124" t="s">
        <v>385</v>
      </c>
      <c r="C124" t="s">
        <v>386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</v>
      </c>
      <c r="J124" s="35">
        <v>0</v>
      </c>
      <c r="K124" s="35">
        <v>0</v>
      </c>
      <c r="L124" s="35">
        <v>0</v>
      </c>
      <c r="M124">
        <v>1</v>
      </c>
      <c r="N124">
        <v>0</v>
      </c>
      <c r="O124">
        <v>1</v>
      </c>
      <c r="P124">
        <v>35</v>
      </c>
      <c r="Q124">
        <v>24</v>
      </c>
      <c r="R124">
        <v>4</v>
      </c>
      <c r="S124">
        <v>5</v>
      </c>
      <c r="T124">
        <v>0</v>
      </c>
      <c r="U124">
        <v>0</v>
      </c>
      <c r="V124">
        <v>1</v>
      </c>
      <c r="W124">
        <v>0</v>
      </c>
      <c r="X124" s="23">
        <v>0</v>
      </c>
      <c r="Y124" s="23">
        <v>0</v>
      </c>
      <c r="Z124" s="23">
        <v>0.25</v>
      </c>
      <c r="AA124" s="23">
        <v>0</v>
      </c>
      <c r="AB124">
        <v>0</v>
      </c>
      <c r="AC124">
        <v>0</v>
      </c>
      <c r="AD124">
        <v>0.39</v>
      </c>
      <c r="AE124">
        <v>0</v>
      </c>
      <c r="AF124" s="23" t="s">
        <v>55</v>
      </c>
      <c r="AG124" s="23" t="s">
        <v>55</v>
      </c>
      <c r="AH124" s="23" t="s">
        <v>205</v>
      </c>
      <c r="AI124" s="23" t="s">
        <v>55</v>
      </c>
      <c r="AJ124">
        <v>3</v>
      </c>
      <c r="AK124">
        <v>0</v>
      </c>
      <c r="AL124">
        <v>1</v>
      </c>
      <c r="AM124">
        <v>0</v>
      </c>
      <c r="AN124" s="23">
        <v>0</v>
      </c>
      <c r="AO124" s="23" t="s">
        <v>55</v>
      </c>
      <c r="AP124" s="23">
        <v>0</v>
      </c>
      <c r="AQ124" s="23" t="s">
        <v>55</v>
      </c>
      <c r="AR124" s="37">
        <v>0</v>
      </c>
      <c r="AS124" s="37">
        <v>0</v>
      </c>
      <c r="AT124" s="37">
        <v>1</v>
      </c>
      <c r="AU124" s="33" t="str">
        <f t="shared" si="5"/>
        <v>库存为1</v>
      </c>
      <c r="AV124" s="38" t="str">
        <f>IFERROR(时间!$B$4+AU124,"上周无销量")</f>
        <v>上周无销量</v>
      </c>
    </row>
    <row r="125" spans="1:48">
      <c r="A125" s="21" t="s">
        <v>387</v>
      </c>
      <c r="B125" t="s">
        <v>388</v>
      </c>
      <c r="C125" t="s">
        <v>386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</v>
      </c>
      <c r="J125" s="35">
        <v>0</v>
      </c>
      <c r="K125" s="35">
        <v>0</v>
      </c>
      <c r="L125" s="35">
        <v>0</v>
      </c>
      <c r="M125">
        <v>1</v>
      </c>
      <c r="N125">
        <v>0</v>
      </c>
      <c r="O125">
        <v>1</v>
      </c>
      <c r="P125">
        <v>125</v>
      </c>
      <c r="Q125">
        <v>77</v>
      </c>
      <c r="R125">
        <v>49</v>
      </c>
      <c r="S125">
        <v>0</v>
      </c>
      <c r="T125">
        <v>0</v>
      </c>
      <c r="U125">
        <v>0</v>
      </c>
      <c r="V125">
        <v>0</v>
      </c>
      <c r="W125">
        <v>0</v>
      </c>
      <c r="X125" s="23">
        <v>0</v>
      </c>
      <c r="Y125" s="23">
        <v>0</v>
      </c>
      <c r="Z125" s="23">
        <v>0</v>
      </c>
      <c r="AA125" s="23" t="s">
        <v>55</v>
      </c>
      <c r="AB125">
        <v>0</v>
      </c>
      <c r="AC125">
        <v>0</v>
      </c>
      <c r="AD125">
        <v>0</v>
      </c>
      <c r="AE125">
        <v>0</v>
      </c>
      <c r="AF125" s="23" t="s">
        <v>55</v>
      </c>
      <c r="AG125" s="23" t="s">
        <v>55</v>
      </c>
      <c r="AH125" s="23" t="s">
        <v>55</v>
      </c>
      <c r="AI125" s="23" t="s">
        <v>55</v>
      </c>
      <c r="AJ125">
        <v>2</v>
      </c>
      <c r="AK125">
        <v>0</v>
      </c>
      <c r="AL125">
        <v>0</v>
      </c>
      <c r="AM125">
        <v>1</v>
      </c>
      <c r="AN125" s="23">
        <v>0</v>
      </c>
      <c r="AO125" s="23" t="s">
        <v>55</v>
      </c>
      <c r="AP125" s="23" t="s">
        <v>55</v>
      </c>
      <c r="AQ125" s="23">
        <v>0</v>
      </c>
      <c r="AR125" s="37">
        <v>0</v>
      </c>
      <c r="AS125" s="37">
        <v>0</v>
      </c>
      <c r="AT125" s="37">
        <v>1</v>
      </c>
      <c r="AU125" s="33" t="str">
        <f t="shared" si="5"/>
        <v>库存为1</v>
      </c>
      <c r="AV125" s="38" t="str">
        <f>IFERROR(时间!$B$4+AU125,"上周无销量")</f>
        <v>上周无销量</v>
      </c>
    </row>
    <row r="126" spans="1:48">
      <c r="A126" s="21" t="s">
        <v>389</v>
      </c>
      <c r="B126" t="s">
        <v>390</v>
      </c>
      <c r="C126" t="s">
        <v>386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1</v>
      </c>
      <c r="J126" s="35">
        <v>0</v>
      </c>
      <c r="K126" s="35">
        <v>0</v>
      </c>
      <c r="L126" s="35">
        <v>0</v>
      </c>
      <c r="M126">
        <v>1</v>
      </c>
      <c r="N126">
        <v>0</v>
      </c>
      <c r="O126">
        <v>1</v>
      </c>
      <c r="P126">
        <v>32</v>
      </c>
      <c r="Q126">
        <v>34</v>
      </c>
      <c r="R126">
        <v>22</v>
      </c>
      <c r="S126">
        <v>43</v>
      </c>
      <c r="T126">
        <v>0</v>
      </c>
      <c r="U126">
        <v>1</v>
      </c>
      <c r="V126">
        <v>1</v>
      </c>
      <c r="W126">
        <v>0</v>
      </c>
      <c r="X126" s="23">
        <v>0</v>
      </c>
      <c r="Y126" s="23">
        <v>0.0294117647058824</v>
      </c>
      <c r="Z126" s="23">
        <v>0.0454545454545455</v>
      </c>
      <c r="AA126" s="23">
        <v>0</v>
      </c>
      <c r="AB126">
        <v>0</v>
      </c>
      <c r="AC126">
        <v>0.26</v>
      </c>
      <c r="AD126">
        <v>0.41</v>
      </c>
      <c r="AE126">
        <v>0</v>
      </c>
      <c r="AF126" s="23" t="s">
        <v>55</v>
      </c>
      <c r="AG126" s="23" t="s">
        <v>332</v>
      </c>
      <c r="AH126" s="23" t="s">
        <v>340</v>
      </c>
      <c r="AI126" s="23" t="s">
        <v>55</v>
      </c>
      <c r="AJ126">
        <v>2</v>
      </c>
      <c r="AK126">
        <v>2</v>
      </c>
      <c r="AL126">
        <v>0</v>
      </c>
      <c r="AM126">
        <v>1</v>
      </c>
      <c r="AN126" s="23">
        <v>0</v>
      </c>
      <c r="AO126" s="23">
        <v>0</v>
      </c>
      <c r="AP126" s="23" t="s">
        <v>55</v>
      </c>
      <c r="AQ126" s="23">
        <v>0</v>
      </c>
      <c r="AR126" s="37">
        <v>0</v>
      </c>
      <c r="AS126" s="37">
        <v>0</v>
      </c>
      <c r="AT126" s="37">
        <v>1</v>
      </c>
      <c r="AU126" s="33" t="str">
        <f t="shared" si="5"/>
        <v>库存为1</v>
      </c>
      <c r="AV126" s="38" t="str">
        <f>IFERROR(时间!$B$4+AU126,"上周无销量")</f>
        <v>上周无销量</v>
      </c>
    </row>
    <row r="127" spans="1:48">
      <c r="A127" s="21" t="s">
        <v>391</v>
      </c>
      <c r="B127" t="s">
        <v>392</v>
      </c>
      <c r="C127" t="s">
        <v>386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1</v>
      </c>
      <c r="J127" s="35">
        <v>0</v>
      </c>
      <c r="K127" s="35">
        <v>0</v>
      </c>
      <c r="L127" s="35">
        <v>0</v>
      </c>
      <c r="M127">
        <v>1</v>
      </c>
      <c r="N127">
        <v>0</v>
      </c>
      <c r="O127">
        <v>1</v>
      </c>
      <c r="P127">
        <v>7</v>
      </c>
      <c r="Q127">
        <v>42</v>
      </c>
      <c r="R127">
        <v>21</v>
      </c>
      <c r="S127">
        <v>14</v>
      </c>
      <c r="T127">
        <v>0</v>
      </c>
      <c r="U127">
        <v>0</v>
      </c>
      <c r="V127">
        <v>0</v>
      </c>
      <c r="W127">
        <v>0</v>
      </c>
      <c r="X127" s="23">
        <v>0</v>
      </c>
      <c r="Y127" s="23">
        <v>0</v>
      </c>
      <c r="Z127" s="23">
        <v>0</v>
      </c>
      <c r="AA127" s="23">
        <v>0</v>
      </c>
      <c r="AB127">
        <v>0</v>
      </c>
      <c r="AC127">
        <v>0</v>
      </c>
      <c r="AD127">
        <v>0</v>
      </c>
      <c r="AE127">
        <v>0</v>
      </c>
      <c r="AF127" s="23" t="s">
        <v>55</v>
      </c>
      <c r="AG127" s="23" t="s">
        <v>55</v>
      </c>
      <c r="AH127" s="23" t="s">
        <v>55</v>
      </c>
      <c r="AI127" s="23" t="s">
        <v>55</v>
      </c>
      <c r="AJ127">
        <v>2</v>
      </c>
      <c r="AK127">
        <v>0</v>
      </c>
      <c r="AL127">
        <v>1</v>
      </c>
      <c r="AM127">
        <v>1</v>
      </c>
      <c r="AN127" s="23">
        <v>0</v>
      </c>
      <c r="AO127" s="23" t="s">
        <v>55</v>
      </c>
      <c r="AP127" s="23">
        <v>0</v>
      </c>
      <c r="AQ127" s="23">
        <v>0</v>
      </c>
      <c r="AR127" s="37">
        <v>0</v>
      </c>
      <c r="AS127" s="37">
        <v>0</v>
      </c>
      <c r="AT127" s="37">
        <v>1</v>
      </c>
      <c r="AU127" s="33" t="str">
        <f t="shared" si="5"/>
        <v>库存为1</v>
      </c>
      <c r="AV127" s="38" t="str">
        <f>IFERROR(时间!$B$4+AU127,"上周无销量")</f>
        <v>上周无销量</v>
      </c>
    </row>
    <row r="128" spans="1:48">
      <c r="A128" s="21" t="s">
        <v>393</v>
      </c>
      <c r="B128" t="s">
        <v>394</v>
      </c>
      <c r="C128" t="s">
        <v>386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1</v>
      </c>
      <c r="J128" s="35">
        <v>0</v>
      </c>
      <c r="K128" s="35">
        <v>0</v>
      </c>
      <c r="L128" s="35">
        <v>0</v>
      </c>
      <c r="M128">
        <v>1</v>
      </c>
      <c r="N128">
        <v>0</v>
      </c>
      <c r="O128">
        <v>1</v>
      </c>
      <c r="P128">
        <v>70</v>
      </c>
      <c r="Q128">
        <v>28</v>
      </c>
      <c r="R128">
        <v>27</v>
      </c>
      <c r="S128">
        <v>15</v>
      </c>
      <c r="T128">
        <v>0</v>
      </c>
      <c r="U128">
        <v>0</v>
      </c>
      <c r="V128">
        <v>0</v>
      </c>
      <c r="W128">
        <v>0</v>
      </c>
      <c r="X128" s="23">
        <v>0</v>
      </c>
      <c r="Y128" s="23">
        <v>0</v>
      </c>
      <c r="Z128" s="23">
        <v>0</v>
      </c>
      <c r="AA128" s="23">
        <v>0</v>
      </c>
      <c r="AB128">
        <v>0</v>
      </c>
      <c r="AC128">
        <v>0</v>
      </c>
      <c r="AD128">
        <v>0</v>
      </c>
      <c r="AE128">
        <v>0</v>
      </c>
      <c r="AF128" s="23" t="s">
        <v>55</v>
      </c>
      <c r="AG128" s="23" t="s">
        <v>55</v>
      </c>
      <c r="AH128" s="23" t="s">
        <v>55</v>
      </c>
      <c r="AI128" s="23" t="s">
        <v>55</v>
      </c>
      <c r="AJ128">
        <v>1</v>
      </c>
      <c r="AK128">
        <v>2</v>
      </c>
      <c r="AL128">
        <v>1</v>
      </c>
      <c r="AM128">
        <v>1</v>
      </c>
      <c r="AN128" s="23">
        <v>0</v>
      </c>
      <c r="AO128" s="23">
        <v>0</v>
      </c>
      <c r="AP128" s="23">
        <v>0</v>
      </c>
      <c r="AQ128" s="23">
        <v>0</v>
      </c>
      <c r="AR128" s="37">
        <v>0</v>
      </c>
      <c r="AS128" s="37">
        <v>0</v>
      </c>
      <c r="AT128" s="37">
        <v>1</v>
      </c>
      <c r="AU128" s="33" t="str">
        <f t="shared" si="5"/>
        <v>库存为1</v>
      </c>
      <c r="AV128" s="38" t="str">
        <f>IFERROR(时间!$B$4+AU128,"上周无销量")</f>
        <v>上周无销量</v>
      </c>
    </row>
    <row r="129" spans="1:48">
      <c r="A129" s="21" t="s">
        <v>395</v>
      </c>
      <c r="B129" t="s">
        <v>396</v>
      </c>
      <c r="C129" t="s">
        <v>386</v>
      </c>
      <c r="D129" s="33">
        <v>0</v>
      </c>
      <c r="E129" s="33">
        <v>0</v>
      </c>
      <c r="F129" s="33">
        <v>0</v>
      </c>
      <c r="G129" s="33">
        <v>1</v>
      </c>
      <c r="H129" s="34">
        <v>16.9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243</v>
      </c>
      <c r="T129">
        <v>0</v>
      </c>
      <c r="U129">
        <v>0</v>
      </c>
      <c r="V129">
        <v>0</v>
      </c>
      <c r="W129">
        <v>0</v>
      </c>
      <c r="X129" s="23" t="s">
        <v>55</v>
      </c>
      <c r="Y129" s="23" t="s">
        <v>55</v>
      </c>
      <c r="Z129" s="23" t="s">
        <v>55</v>
      </c>
      <c r="AA129" s="23">
        <v>0</v>
      </c>
      <c r="AB129">
        <v>0</v>
      </c>
      <c r="AC129">
        <v>0</v>
      </c>
      <c r="AD129">
        <v>0</v>
      </c>
      <c r="AE129">
        <v>0</v>
      </c>
      <c r="AF129" s="23" t="s">
        <v>55</v>
      </c>
      <c r="AG129" s="23" t="s">
        <v>55</v>
      </c>
      <c r="AH129" s="23" t="s">
        <v>55</v>
      </c>
      <c r="AI129" s="23" t="s">
        <v>55</v>
      </c>
      <c r="AJ129">
        <v>0</v>
      </c>
      <c r="AK129">
        <v>0</v>
      </c>
      <c r="AL129">
        <v>0</v>
      </c>
      <c r="AM129">
        <v>2</v>
      </c>
      <c r="AN129" s="23" t="s">
        <v>55</v>
      </c>
      <c r="AO129" s="23" t="s">
        <v>55</v>
      </c>
      <c r="AP129" s="23" t="s">
        <v>55</v>
      </c>
      <c r="AQ129" s="23">
        <v>0.5</v>
      </c>
      <c r="AR129" s="37">
        <v>0</v>
      </c>
      <c r="AS129" s="37">
        <v>0</v>
      </c>
      <c r="AT129" s="37">
        <v>0</v>
      </c>
      <c r="AU129" s="33" t="str">
        <f t="shared" si="5"/>
        <v>库存为0</v>
      </c>
      <c r="AV129" s="38" t="str">
        <f>IFERROR(时间!$B$4+AU129,"上周无销量")</f>
        <v>上周无销量</v>
      </c>
    </row>
    <row r="130" spans="1:48">
      <c r="A130" s="21" t="s">
        <v>397</v>
      </c>
      <c r="B130" t="s">
        <v>398</v>
      </c>
      <c r="C130" t="s">
        <v>386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1</v>
      </c>
      <c r="J130" s="35">
        <v>0</v>
      </c>
      <c r="K130" s="35">
        <v>0</v>
      </c>
      <c r="L130" s="35">
        <v>0</v>
      </c>
      <c r="M130">
        <v>1</v>
      </c>
      <c r="N130">
        <v>0</v>
      </c>
      <c r="O130">
        <v>1</v>
      </c>
      <c r="P130">
        <v>1007</v>
      </c>
      <c r="Q130">
        <v>820</v>
      </c>
      <c r="R130">
        <v>609</v>
      </c>
      <c r="S130">
        <v>738</v>
      </c>
      <c r="T130">
        <v>14</v>
      </c>
      <c r="U130">
        <v>7</v>
      </c>
      <c r="V130">
        <v>4</v>
      </c>
      <c r="W130">
        <v>10</v>
      </c>
      <c r="X130" s="23">
        <v>0.0139026812313803</v>
      </c>
      <c r="Y130" s="23">
        <v>0.00853658536585366</v>
      </c>
      <c r="Z130" s="23">
        <v>0.00656814449917898</v>
      </c>
      <c r="AA130" s="23">
        <v>0.013550135501355</v>
      </c>
      <c r="AB130">
        <v>3.67</v>
      </c>
      <c r="AC130">
        <v>2.29</v>
      </c>
      <c r="AD130">
        <v>1.28</v>
      </c>
      <c r="AE130">
        <v>2.85</v>
      </c>
      <c r="AF130" s="23" t="s">
        <v>399</v>
      </c>
      <c r="AG130" s="23" t="s">
        <v>400</v>
      </c>
      <c r="AH130" s="23" t="s">
        <v>273</v>
      </c>
      <c r="AI130" s="23" t="s">
        <v>401</v>
      </c>
      <c r="AJ130">
        <v>4</v>
      </c>
      <c r="AK130">
        <v>2</v>
      </c>
      <c r="AL130">
        <v>1</v>
      </c>
      <c r="AM130">
        <v>3</v>
      </c>
      <c r="AN130" s="23">
        <v>0</v>
      </c>
      <c r="AO130" s="23">
        <v>0</v>
      </c>
      <c r="AP130" s="23">
        <v>0</v>
      </c>
      <c r="AQ130" s="23">
        <v>0</v>
      </c>
      <c r="AR130" s="37">
        <v>0</v>
      </c>
      <c r="AS130" s="37">
        <v>0</v>
      </c>
      <c r="AT130" s="37">
        <v>1</v>
      </c>
      <c r="AU130" s="33" t="str">
        <f t="shared" si="5"/>
        <v>库存为1</v>
      </c>
      <c r="AV130" s="38" t="str">
        <f>IFERROR(时间!$B$4+AU130,"上周无销量")</f>
        <v>上周无销量</v>
      </c>
    </row>
    <row r="131" spans="1:48">
      <c r="A131" s="21" t="s">
        <v>402</v>
      </c>
      <c r="B131" t="s">
        <v>403</v>
      </c>
      <c r="C131" t="s">
        <v>386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 t="s">
        <v>55</v>
      </c>
      <c r="Q131" t="s">
        <v>55</v>
      </c>
      <c r="R131" t="s">
        <v>55</v>
      </c>
      <c r="S131" t="s">
        <v>55</v>
      </c>
      <c r="T131" t="s">
        <v>55</v>
      </c>
      <c r="U131" t="s">
        <v>55</v>
      </c>
      <c r="V131" t="s">
        <v>55</v>
      </c>
      <c r="W131" t="s">
        <v>55</v>
      </c>
      <c r="X131" s="23" t="s">
        <v>55</v>
      </c>
      <c r="Y131" s="23" t="s">
        <v>55</v>
      </c>
      <c r="Z131" s="23" t="s">
        <v>55</v>
      </c>
      <c r="AA131" s="23" t="s">
        <v>55</v>
      </c>
      <c r="AB131" t="s">
        <v>55</v>
      </c>
      <c r="AC131" t="s">
        <v>55</v>
      </c>
      <c r="AD131" t="s">
        <v>55</v>
      </c>
      <c r="AE131" t="s">
        <v>55</v>
      </c>
      <c r="AF131" s="23" t="s">
        <v>55</v>
      </c>
      <c r="AG131" s="23" t="s">
        <v>55</v>
      </c>
      <c r="AH131" s="23" t="s">
        <v>55</v>
      </c>
      <c r="AI131" s="23" t="s">
        <v>55</v>
      </c>
      <c r="AJ131">
        <v>0</v>
      </c>
      <c r="AK131">
        <v>0</v>
      </c>
      <c r="AL131">
        <v>0</v>
      </c>
      <c r="AM131">
        <v>0</v>
      </c>
      <c r="AN131" s="23" t="s">
        <v>55</v>
      </c>
      <c r="AO131" s="23" t="s">
        <v>55</v>
      </c>
      <c r="AP131" s="23" t="s">
        <v>55</v>
      </c>
      <c r="AQ131" s="23" t="s">
        <v>55</v>
      </c>
      <c r="AR131" s="37">
        <v>0</v>
      </c>
      <c r="AS131" s="37">
        <v>0</v>
      </c>
      <c r="AT131" s="37">
        <v>0</v>
      </c>
      <c r="AU131" s="33" t="str">
        <f t="shared" si="5"/>
        <v>库存为0</v>
      </c>
      <c r="AV131" s="38" t="str">
        <f>IFERROR(时间!$B$4+AU131,"上周无销量")</f>
        <v>上周无销量</v>
      </c>
    </row>
    <row r="132" spans="1:48">
      <c r="A132" s="21" t="s">
        <v>404</v>
      </c>
      <c r="B132" t="s">
        <v>405</v>
      </c>
      <c r="C132" t="s">
        <v>406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1</v>
      </c>
      <c r="J132" s="35">
        <v>0</v>
      </c>
      <c r="K132" s="35">
        <v>0</v>
      </c>
      <c r="L132" s="35">
        <v>0</v>
      </c>
      <c r="M132">
        <v>1</v>
      </c>
      <c r="N132">
        <v>0</v>
      </c>
      <c r="O132">
        <v>1</v>
      </c>
      <c r="P132">
        <v>7</v>
      </c>
      <c r="Q132">
        <v>11</v>
      </c>
      <c r="R132">
        <v>13</v>
      </c>
      <c r="S132">
        <v>46</v>
      </c>
      <c r="T132">
        <v>0</v>
      </c>
      <c r="U132">
        <v>1</v>
      </c>
      <c r="V132">
        <v>0</v>
      </c>
      <c r="W132">
        <v>1</v>
      </c>
      <c r="X132" s="23">
        <v>0</v>
      </c>
      <c r="Y132" s="23">
        <v>0.0909090909090909</v>
      </c>
      <c r="Z132" s="23">
        <v>0</v>
      </c>
      <c r="AA132" s="23">
        <v>0.0217391304347826</v>
      </c>
      <c r="AB132">
        <v>0</v>
      </c>
      <c r="AC132">
        <v>0.56</v>
      </c>
      <c r="AD132">
        <v>0</v>
      </c>
      <c r="AE132">
        <v>0.6</v>
      </c>
      <c r="AF132" s="23" t="s">
        <v>55</v>
      </c>
      <c r="AG132" s="23" t="s">
        <v>407</v>
      </c>
      <c r="AH132" s="23" t="s">
        <v>55</v>
      </c>
      <c r="AI132" s="23" t="s">
        <v>408</v>
      </c>
      <c r="AJ132">
        <v>2</v>
      </c>
      <c r="AK132">
        <v>1</v>
      </c>
      <c r="AL132">
        <v>1</v>
      </c>
      <c r="AM132">
        <v>0</v>
      </c>
      <c r="AN132" s="23">
        <v>0</v>
      </c>
      <c r="AO132" s="23">
        <v>0</v>
      </c>
      <c r="AP132" s="23">
        <v>0</v>
      </c>
      <c r="AQ132" s="23" t="s">
        <v>55</v>
      </c>
      <c r="AR132" s="37">
        <v>0</v>
      </c>
      <c r="AS132" s="37">
        <v>0</v>
      </c>
      <c r="AT132" s="37">
        <v>1</v>
      </c>
      <c r="AU132" s="33" t="str">
        <f t="shared" si="5"/>
        <v>库存为1</v>
      </c>
      <c r="AV132" s="38" t="str">
        <f>IFERROR(时间!$B$4+AU132,"上周无销量")</f>
        <v>上周无销量</v>
      </c>
    </row>
    <row r="133" spans="1:48">
      <c r="A133" s="21" t="s">
        <v>409</v>
      </c>
      <c r="B133" t="s">
        <v>410</v>
      </c>
      <c r="C133" t="s">
        <v>406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1</v>
      </c>
      <c r="J133" s="35">
        <v>0</v>
      </c>
      <c r="K133" s="35">
        <v>0</v>
      </c>
      <c r="L133" s="35">
        <v>0</v>
      </c>
      <c r="M133">
        <v>1</v>
      </c>
      <c r="N133">
        <v>0</v>
      </c>
      <c r="O133">
        <v>1</v>
      </c>
      <c r="P133">
        <v>304</v>
      </c>
      <c r="Q133">
        <v>243</v>
      </c>
      <c r="R133">
        <v>136</v>
      </c>
      <c r="S133">
        <v>27</v>
      </c>
      <c r="T133">
        <v>1</v>
      </c>
      <c r="U133">
        <v>0</v>
      </c>
      <c r="V133">
        <v>1</v>
      </c>
      <c r="W133">
        <v>1</v>
      </c>
      <c r="X133" s="23">
        <v>0.00328947368421053</v>
      </c>
      <c r="Y133" s="23">
        <v>0</v>
      </c>
      <c r="Z133" s="23">
        <v>0.00735294117647059</v>
      </c>
      <c r="AA133" s="23">
        <v>0.037037037037037</v>
      </c>
      <c r="AB133">
        <v>0.24</v>
      </c>
      <c r="AC133">
        <v>0</v>
      </c>
      <c r="AD133">
        <v>0.1</v>
      </c>
      <c r="AE133">
        <v>0.26</v>
      </c>
      <c r="AF133" s="23" t="s">
        <v>356</v>
      </c>
      <c r="AG133" s="23" t="s">
        <v>55</v>
      </c>
      <c r="AH133" s="23" t="s">
        <v>411</v>
      </c>
      <c r="AI133" s="23" t="s">
        <v>332</v>
      </c>
      <c r="AJ133">
        <v>0</v>
      </c>
      <c r="AK133">
        <v>2</v>
      </c>
      <c r="AL133">
        <v>1</v>
      </c>
      <c r="AM133">
        <v>0</v>
      </c>
      <c r="AN133" s="23" t="s">
        <v>55</v>
      </c>
      <c r="AO133" s="23">
        <v>0</v>
      </c>
      <c r="AP133" s="23">
        <v>0</v>
      </c>
      <c r="AQ133" s="23" t="s">
        <v>55</v>
      </c>
      <c r="AR133" s="37">
        <v>0</v>
      </c>
      <c r="AS133" s="37">
        <v>0</v>
      </c>
      <c r="AT133" s="37">
        <v>1</v>
      </c>
      <c r="AU133" s="33" t="str">
        <f t="shared" ref="AU133:AU196" si="6">IF(AR133="","库存为"&amp;M133,IF(AS133=0,"库存为"&amp;M133,INT(M133/AR133)))</f>
        <v>库存为1</v>
      </c>
      <c r="AV133" s="38" t="str">
        <f>IFERROR(时间!$B$4+AU133,"上周无销量")</f>
        <v>上周无销量</v>
      </c>
    </row>
    <row r="134" spans="1:48">
      <c r="A134" s="21" t="s">
        <v>412</v>
      </c>
      <c r="B134" t="s">
        <v>413</v>
      </c>
      <c r="C134" t="s">
        <v>406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2</v>
      </c>
      <c r="J134" s="35">
        <v>0</v>
      </c>
      <c r="K134" s="35">
        <v>0</v>
      </c>
      <c r="L134" s="35">
        <v>0</v>
      </c>
      <c r="M134">
        <v>2</v>
      </c>
      <c r="N134">
        <v>0</v>
      </c>
      <c r="O134">
        <v>2</v>
      </c>
      <c r="P134">
        <v>185</v>
      </c>
      <c r="Q134">
        <v>116</v>
      </c>
      <c r="R134">
        <v>37</v>
      </c>
      <c r="S134">
        <v>32</v>
      </c>
      <c r="T134">
        <v>3</v>
      </c>
      <c r="U134">
        <v>0</v>
      </c>
      <c r="V134">
        <v>0</v>
      </c>
      <c r="W134">
        <v>0</v>
      </c>
      <c r="X134" s="23">
        <v>0.0162162162162162</v>
      </c>
      <c r="Y134" s="23">
        <v>0</v>
      </c>
      <c r="Z134" s="23">
        <v>0</v>
      </c>
      <c r="AA134" s="23">
        <v>0</v>
      </c>
      <c r="AB134">
        <v>0.93</v>
      </c>
      <c r="AC134">
        <v>0</v>
      </c>
      <c r="AD134">
        <v>0</v>
      </c>
      <c r="AE134">
        <v>0</v>
      </c>
      <c r="AF134" s="23" t="s">
        <v>89</v>
      </c>
      <c r="AG134" s="23" t="s">
        <v>55</v>
      </c>
      <c r="AH134" s="23" t="s">
        <v>55</v>
      </c>
      <c r="AI134" s="23" t="s">
        <v>55</v>
      </c>
      <c r="AJ134">
        <v>1</v>
      </c>
      <c r="AK134">
        <v>1</v>
      </c>
      <c r="AL134">
        <v>0</v>
      </c>
      <c r="AM134">
        <v>1</v>
      </c>
      <c r="AN134" s="23">
        <v>0</v>
      </c>
      <c r="AO134" s="23">
        <v>0</v>
      </c>
      <c r="AP134" s="23" t="s">
        <v>55</v>
      </c>
      <c r="AQ134" s="23">
        <v>0</v>
      </c>
      <c r="AR134" s="37">
        <v>0</v>
      </c>
      <c r="AS134" s="37">
        <v>0</v>
      </c>
      <c r="AT134" s="37">
        <v>2</v>
      </c>
      <c r="AU134" s="33" t="str">
        <f t="shared" si="6"/>
        <v>库存为2</v>
      </c>
      <c r="AV134" s="38" t="str">
        <f>IFERROR(时间!$B$4+AU134,"上周无销量")</f>
        <v>上周无销量</v>
      </c>
    </row>
    <row r="135" spans="1:48">
      <c r="A135" s="21" t="s">
        <v>414</v>
      </c>
      <c r="B135" t="s">
        <v>415</v>
      </c>
      <c r="C135" t="s">
        <v>416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45</v>
      </c>
      <c r="J135" s="35">
        <v>0</v>
      </c>
      <c r="K135" s="35">
        <v>0</v>
      </c>
      <c r="L135" s="35">
        <v>0</v>
      </c>
      <c r="M135">
        <v>45</v>
      </c>
      <c r="N135">
        <v>0</v>
      </c>
      <c r="O135">
        <v>45</v>
      </c>
      <c r="P135">
        <v>160</v>
      </c>
      <c r="Q135">
        <v>83</v>
      </c>
      <c r="R135">
        <v>320</v>
      </c>
      <c r="S135">
        <v>346</v>
      </c>
      <c r="T135">
        <v>3</v>
      </c>
      <c r="U135">
        <v>0</v>
      </c>
      <c r="V135">
        <v>2</v>
      </c>
      <c r="W135">
        <v>0</v>
      </c>
      <c r="X135" s="23">
        <v>0.01875</v>
      </c>
      <c r="Y135" s="23">
        <v>0</v>
      </c>
      <c r="Z135" s="23">
        <v>0.00625</v>
      </c>
      <c r="AA135" s="23">
        <v>0</v>
      </c>
      <c r="AB135">
        <v>1.37</v>
      </c>
      <c r="AC135">
        <v>0</v>
      </c>
      <c r="AD135">
        <v>0.46</v>
      </c>
      <c r="AE135">
        <v>0</v>
      </c>
      <c r="AF135" s="23" t="s">
        <v>417</v>
      </c>
      <c r="AG135" s="23" t="s">
        <v>55</v>
      </c>
      <c r="AH135" s="23" t="s">
        <v>418</v>
      </c>
      <c r="AI135" s="23" t="s">
        <v>55</v>
      </c>
      <c r="AJ135">
        <v>5</v>
      </c>
      <c r="AK135">
        <v>1</v>
      </c>
      <c r="AL135">
        <v>2</v>
      </c>
      <c r="AM135">
        <v>3</v>
      </c>
      <c r="AN135" s="23">
        <v>0</v>
      </c>
      <c r="AO135" s="23">
        <v>0</v>
      </c>
      <c r="AP135" s="23">
        <v>0</v>
      </c>
      <c r="AQ135" s="23">
        <v>0</v>
      </c>
      <c r="AR135" s="37">
        <v>0</v>
      </c>
      <c r="AS135" s="37">
        <v>0</v>
      </c>
      <c r="AT135" s="37">
        <v>45</v>
      </c>
      <c r="AU135" s="33" t="str">
        <f t="shared" si="6"/>
        <v>库存为45</v>
      </c>
      <c r="AV135" s="38" t="str">
        <f>IFERROR(时间!$B$4+AU135,"上周无销量")</f>
        <v>上周无销量</v>
      </c>
    </row>
    <row r="136" spans="1:48">
      <c r="A136" s="21" t="s">
        <v>419</v>
      </c>
      <c r="B136" t="s">
        <v>420</v>
      </c>
      <c r="C136" t="s">
        <v>416</v>
      </c>
      <c r="D136" s="33">
        <v>2</v>
      </c>
      <c r="E136" s="33">
        <v>0</v>
      </c>
      <c r="F136" s="33">
        <v>0</v>
      </c>
      <c r="G136" s="33">
        <v>1</v>
      </c>
      <c r="H136" s="34">
        <v>7.89</v>
      </c>
      <c r="I136">
        <v>41</v>
      </c>
      <c r="J136" s="35">
        <v>0</v>
      </c>
      <c r="K136" s="35">
        <v>0</v>
      </c>
      <c r="L136" s="35">
        <v>0</v>
      </c>
      <c r="M136">
        <v>41</v>
      </c>
      <c r="N136">
        <v>0</v>
      </c>
      <c r="O136">
        <v>41</v>
      </c>
      <c r="P136">
        <v>829</v>
      </c>
      <c r="Q136">
        <v>845</v>
      </c>
      <c r="R136">
        <v>245</v>
      </c>
      <c r="S136">
        <v>108</v>
      </c>
      <c r="T136">
        <v>1</v>
      </c>
      <c r="U136">
        <v>4</v>
      </c>
      <c r="V136">
        <v>2</v>
      </c>
      <c r="W136">
        <v>1</v>
      </c>
      <c r="X136" s="23">
        <v>0.00120627261761158</v>
      </c>
      <c r="Y136" s="23">
        <v>0.00473372781065089</v>
      </c>
      <c r="Z136" s="23">
        <v>0.00816326530612245</v>
      </c>
      <c r="AA136" s="23">
        <v>0.00925925925925926</v>
      </c>
      <c r="AB136">
        <v>0.29</v>
      </c>
      <c r="AC136">
        <v>1.08</v>
      </c>
      <c r="AD136">
        <v>0.75</v>
      </c>
      <c r="AE136">
        <v>0.3</v>
      </c>
      <c r="AF136" s="23">
        <v>0.0183776932826362</v>
      </c>
      <c r="AG136" s="23" t="s">
        <v>421</v>
      </c>
      <c r="AH136" s="23" t="s">
        <v>422</v>
      </c>
      <c r="AI136" s="23">
        <v>0.0380228136882129</v>
      </c>
      <c r="AJ136">
        <v>4</v>
      </c>
      <c r="AK136">
        <v>4</v>
      </c>
      <c r="AL136">
        <v>1</v>
      </c>
      <c r="AM136">
        <v>4</v>
      </c>
      <c r="AN136" s="23">
        <v>0.5</v>
      </c>
      <c r="AO136" s="23">
        <v>0</v>
      </c>
      <c r="AP136" s="23">
        <v>0</v>
      </c>
      <c r="AQ136" s="23">
        <v>0.25</v>
      </c>
      <c r="AR136" s="37">
        <v>0.285714285714286</v>
      </c>
      <c r="AS136" s="37">
        <v>17.1428571428571</v>
      </c>
      <c r="AT136" s="37">
        <v>23.8571428571429</v>
      </c>
      <c r="AU136" s="33">
        <f t="shared" si="6"/>
        <v>143</v>
      </c>
      <c r="AV136" s="38">
        <f>IFERROR(时间!$B$4+AU136,"上周无销量")</f>
        <v>43426</v>
      </c>
    </row>
    <row r="137" spans="1:48">
      <c r="A137" s="21" t="s">
        <v>423</v>
      </c>
      <c r="B137" t="s">
        <v>424</v>
      </c>
      <c r="C137" t="s">
        <v>416</v>
      </c>
      <c r="D137" s="33">
        <v>1</v>
      </c>
      <c r="E137" s="33">
        <v>0</v>
      </c>
      <c r="F137" s="33">
        <v>0</v>
      </c>
      <c r="G137" s="33">
        <v>0</v>
      </c>
      <c r="H137" s="34">
        <v>7.97</v>
      </c>
      <c r="I137">
        <v>46</v>
      </c>
      <c r="J137" s="35">
        <v>0</v>
      </c>
      <c r="K137" s="35">
        <v>0</v>
      </c>
      <c r="L137" s="35">
        <v>0</v>
      </c>
      <c r="M137">
        <v>46</v>
      </c>
      <c r="N137">
        <v>0</v>
      </c>
      <c r="O137">
        <v>48</v>
      </c>
      <c r="P137">
        <v>406</v>
      </c>
      <c r="Q137">
        <v>181</v>
      </c>
      <c r="R137">
        <v>149</v>
      </c>
      <c r="S137">
        <v>123</v>
      </c>
      <c r="T137">
        <v>1</v>
      </c>
      <c r="U137">
        <v>0</v>
      </c>
      <c r="V137">
        <v>1</v>
      </c>
      <c r="W137">
        <v>0</v>
      </c>
      <c r="X137" s="23">
        <v>0.00246305418719212</v>
      </c>
      <c r="Y137" s="23">
        <v>0</v>
      </c>
      <c r="Z137" s="23">
        <v>0.00671140939597315</v>
      </c>
      <c r="AA137" s="23">
        <v>0</v>
      </c>
      <c r="AB137">
        <v>0.3</v>
      </c>
      <c r="AC137">
        <v>0</v>
      </c>
      <c r="AD137">
        <v>0.44</v>
      </c>
      <c r="AE137">
        <v>0</v>
      </c>
      <c r="AF137" s="23">
        <v>0.0376411543287327</v>
      </c>
      <c r="AG137" s="23" t="s">
        <v>55</v>
      </c>
      <c r="AH137" s="23" t="s">
        <v>318</v>
      </c>
      <c r="AI137" s="23" t="s">
        <v>55</v>
      </c>
      <c r="AJ137">
        <v>4</v>
      </c>
      <c r="AK137">
        <v>1</v>
      </c>
      <c r="AL137">
        <v>2</v>
      </c>
      <c r="AM137">
        <v>6</v>
      </c>
      <c r="AN137" s="23">
        <v>0.25</v>
      </c>
      <c r="AO137" s="23">
        <v>0</v>
      </c>
      <c r="AP137" s="23">
        <v>0</v>
      </c>
      <c r="AQ137" s="23">
        <v>0</v>
      </c>
      <c r="AR137" s="37">
        <v>0.142857142857143</v>
      </c>
      <c r="AS137" s="37">
        <v>8.57142857142857</v>
      </c>
      <c r="AT137" s="37">
        <v>37.4285714285714</v>
      </c>
      <c r="AU137" s="33">
        <f t="shared" si="6"/>
        <v>322</v>
      </c>
      <c r="AV137" s="38">
        <f>IFERROR(时间!$B$4+AU137,"上周无销量")</f>
        <v>43605</v>
      </c>
    </row>
    <row r="138" spans="1:48">
      <c r="A138" s="21" t="s">
        <v>425</v>
      </c>
      <c r="B138" t="s">
        <v>426</v>
      </c>
      <c r="C138" t="s">
        <v>427</v>
      </c>
      <c r="D138" s="33">
        <v>0</v>
      </c>
      <c r="E138" s="33">
        <v>0</v>
      </c>
      <c r="F138" s="33">
        <v>1</v>
      </c>
      <c r="G138" s="33">
        <v>0</v>
      </c>
      <c r="H138" s="34">
        <v>7.99</v>
      </c>
      <c r="I138">
        <v>47</v>
      </c>
      <c r="J138" s="35">
        <v>0</v>
      </c>
      <c r="K138" s="35">
        <v>0</v>
      </c>
      <c r="L138" s="35">
        <v>0</v>
      </c>
      <c r="M138">
        <v>47</v>
      </c>
      <c r="N138">
        <v>0</v>
      </c>
      <c r="O138">
        <v>46</v>
      </c>
      <c r="P138">
        <v>116</v>
      </c>
      <c r="Q138">
        <v>123</v>
      </c>
      <c r="R138">
        <v>1001</v>
      </c>
      <c r="S138">
        <v>1258</v>
      </c>
      <c r="T138">
        <v>1</v>
      </c>
      <c r="U138">
        <v>1</v>
      </c>
      <c r="V138">
        <v>3</v>
      </c>
      <c r="W138">
        <v>0</v>
      </c>
      <c r="X138" s="23">
        <v>0.00862068965517241</v>
      </c>
      <c r="Y138" s="23">
        <v>0.00813008130081301</v>
      </c>
      <c r="Z138" s="23">
        <v>0.002997002997003</v>
      </c>
      <c r="AA138" s="23">
        <v>0</v>
      </c>
      <c r="AB138">
        <v>0.13</v>
      </c>
      <c r="AC138">
        <v>0.29</v>
      </c>
      <c r="AD138">
        <v>0.47</v>
      </c>
      <c r="AE138">
        <v>0</v>
      </c>
      <c r="AF138" s="23" t="s">
        <v>277</v>
      </c>
      <c r="AG138" s="23" t="s">
        <v>274</v>
      </c>
      <c r="AH138" s="23">
        <v>0.0588235294117647</v>
      </c>
      <c r="AI138" s="23" t="s">
        <v>55</v>
      </c>
      <c r="AJ138">
        <v>3</v>
      </c>
      <c r="AK138">
        <v>1</v>
      </c>
      <c r="AL138">
        <v>4</v>
      </c>
      <c r="AM138">
        <v>8</v>
      </c>
      <c r="AN138" s="23">
        <v>0</v>
      </c>
      <c r="AO138" s="23">
        <v>0</v>
      </c>
      <c r="AP138" s="23">
        <v>0.25</v>
      </c>
      <c r="AQ138" s="23">
        <v>0</v>
      </c>
      <c r="AR138" s="37">
        <v>0</v>
      </c>
      <c r="AS138" s="37">
        <v>0</v>
      </c>
      <c r="AT138" s="37">
        <v>47</v>
      </c>
      <c r="AU138" s="33" t="str">
        <f t="shared" si="6"/>
        <v>库存为47</v>
      </c>
      <c r="AV138" s="38" t="str">
        <f>IFERROR(时间!$B$4+AU138,"上周无销量")</f>
        <v>上周无销量</v>
      </c>
    </row>
    <row r="139" spans="1:48">
      <c r="A139" s="21" t="s">
        <v>428</v>
      </c>
      <c r="B139" t="s">
        <v>429</v>
      </c>
      <c r="C139" t="s">
        <v>427</v>
      </c>
      <c r="D139" s="33">
        <v>3</v>
      </c>
      <c r="E139" s="33">
        <v>1</v>
      </c>
      <c r="F139" s="33">
        <v>0</v>
      </c>
      <c r="G139" s="33">
        <v>0</v>
      </c>
      <c r="H139" s="34">
        <v>5.41</v>
      </c>
      <c r="I139">
        <v>37</v>
      </c>
      <c r="J139" s="35">
        <v>0</v>
      </c>
      <c r="K139" s="35">
        <v>0</v>
      </c>
      <c r="L139" s="35">
        <v>0</v>
      </c>
      <c r="M139">
        <v>37</v>
      </c>
      <c r="N139">
        <v>0</v>
      </c>
      <c r="O139">
        <v>39</v>
      </c>
      <c r="P139">
        <v>2240</v>
      </c>
      <c r="Q139">
        <v>1185</v>
      </c>
      <c r="R139">
        <v>685</v>
      </c>
      <c r="S139">
        <v>397</v>
      </c>
      <c r="T139">
        <v>4</v>
      </c>
      <c r="U139">
        <v>4</v>
      </c>
      <c r="V139">
        <v>0</v>
      </c>
      <c r="W139">
        <v>0</v>
      </c>
      <c r="X139" s="23">
        <v>0.00178571428571429</v>
      </c>
      <c r="Y139" s="23">
        <v>0.00337552742616034</v>
      </c>
      <c r="Z139" s="23">
        <v>0</v>
      </c>
      <c r="AA139" s="23">
        <v>0</v>
      </c>
      <c r="AB139">
        <v>1.63</v>
      </c>
      <c r="AC139">
        <v>1.81</v>
      </c>
      <c r="AD139">
        <v>0</v>
      </c>
      <c r="AE139">
        <v>0</v>
      </c>
      <c r="AF139" s="23">
        <v>0.100431300061614</v>
      </c>
      <c r="AG139" s="23">
        <v>0.33456561922366</v>
      </c>
      <c r="AH139" s="23" t="s">
        <v>55</v>
      </c>
      <c r="AI139" s="23" t="s">
        <v>55</v>
      </c>
      <c r="AJ139">
        <v>7</v>
      </c>
      <c r="AK139">
        <v>3</v>
      </c>
      <c r="AL139">
        <v>2</v>
      </c>
      <c r="AM139">
        <v>3</v>
      </c>
      <c r="AN139" s="23">
        <v>0.428571428571429</v>
      </c>
      <c r="AO139" s="23">
        <v>0.333333333333333</v>
      </c>
      <c r="AP139" s="23">
        <v>0</v>
      </c>
      <c r="AQ139" s="23">
        <v>0</v>
      </c>
      <c r="AR139" s="37">
        <v>0.428571428571429</v>
      </c>
      <c r="AS139" s="37">
        <v>25.7142857142857</v>
      </c>
      <c r="AT139" s="37">
        <v>11.2857142857143</v>
      </c>
      <c r="AU139" s="33">
        <f t="shared" si="6"/>
        <v>86</v>
      </c>
      <c r="AV139" s="38">
        <f>IFERROR(时间!$B$4+AU139,"上周无销量")</f>
        <v>43369</v>
      </c>
    </row>
    <row r="140" spans="1:48">
      <c r="A140" s="21" t="s">
        <v>430</v>
      </c>
      <c r="B140" t="s">
        <v>431</v>
      </c>
      <c r="C140" t="s">
        <v>427</v>
      </c>
      <c r="D140" s="33">
        <v>0</v>
      </c>
      <c r="E140" s="33">
        <v>0</v>
      </c>
      <c r="F140" s="33">
        <v>1</v>
      </c>
      <c r="G140" s="33">
        <v>0</v>
      </c>
      <c r="H140" s="34">
        <v>9.99</v>
      </c>
      <c r="I140">
        <v>44</v>
      </c>
      <c r="J140" s="35">
        <v>0</v>
      </c>
      <c r="K140" s="35">
        <v>0</v>
      </c>
      <c r="L140" s="35">
        <v>0</v>
      </c>
      <c r="M140">
        <v>44</v>
      </c>
      <c r="N140">
        <v>0</v>
      </c>
      <c r="O140">
        <v>44</v>
      </c>
      <c r="P140">
        <v>136</v>
      </c>
      <c r="Q140">
        <v>189</v>
      </c>
      <c r="R140">
        <v>144</v>
      </c>
      <c r="S140">
        <v>234</v>
      </c>
      <c r="T140">
        <v>1</v>
      </c>
      <c r="U140">
        <v>1</v>
      </c>
      <c r="V140">
        <v>1</v>
      </c>
      <c r="W140">
        <v>0</v>
      </c>
      <c r="X140" s="23">
        <v>0.00735294117647059</v>
      </c>
      <c r="Y140" s="23">
        <v>0.00529100529100529</v>
      </c>
      <c r="Z140" s="23">
        <v>0.00694444444444444</v>
      </c>
      <c r="AA140" s="23">
        <v>0</v>
      </c>
      <c r="AB140">
        <v>0.7</v>
      </c>
      <c r="AC140">
        <v>0.31</v>
      </c>
      <c r="AD140">
        <v>0.45</v>
      </c>
      <c r="AE140">
        <v>0</v>
      </c>
      <c r="AF140" s="23" t="s">
        <v>225</v>
      </c>
      <c r="AG140" s="23" t="s">
        <v>174</v>
      </c>
      <c r="AH140" s="23">
        <v>0.045045045045045</v>
      </c>
      <c r="AI140" s="23" t="s">
        <v>55</v>
      </c>
      <c r="AJ140">
        <v>9</v>
      </c>
      <c r="AK140">
        <v>1</v>
      </c>
      <c r="AL140">
        <v>1</v>
      </c>
      <c r="AM140">
        <v>2</v>
      </c>
      <c r="AN140" s="23">
        <v>0</v>
      </c>
      <c r="AO140" s="23">
        <v>0</v>
      </c>
      <c r="AP140" s="23">
        <v>1</v>
      </c>
      <c r="AQ140" s="23">
        <v>0</v>
      </c>
      <c r="AR140" s="37">
        <v>0</v>
      </c>
      <c r="AS140" s="37">
        <v>0</v>
      </c>
      <c r="AT140" s="37">
        <v>44</v>
      </c>
      <c r="AU140" s="33" t="str">
        <f t="shared" si="6"/>
        <v>库存为44</v>
      </c>
      <c r="AV140" s="38" t="str">
        <f>IFERROR(时间!$B$4+AU140,"上周无销量")</f>
        <v>上周无销量</v>
      </c>
    </row>
    <row r="141" spans="1:48">
      <c r="A141" s="21" t="s">
        <v>432</v>
      </c>
      <c r="B141" t="s">
        <v>433</v>
      </c>
      <c r="C141" t="s">
        <v>427</v>
      </c>
      <c r="D141" s="33">
        <v>1</v>
      </c>
      <c r="E141" s="33">
        <v>1</v>
      </c>
      <c r="F141" s="33">
        <v>1</v>
      </c>
      <c r="G141" s="33">
        <v>0</v>
      </c>
      <c r="H141" s="34">
        <v>9.99</v>
      </c>
      <c r="I141">
        <v>33</v>
      </c>
      <c r="J141" s="35">
        <v>0</v>
      </c>
      <c r="K141" s="35">
        <v>0</v>
      </c>
      <c r="L141" s="35">
        <v>0</v>
      </c>
      <c r="M141">
        <v>33</v>
      </c>
      <c r="N141">
        <v>0</v>
      </c>
      <c r="O141">
        <v>31</v>
      </c>
      <c r="P141">
        <v>1190</v>
      </c>
      <c r="Q141">
        <v>172</v>
      </c>
      <c r="R141">
        <v>814</v>
      </c>
      <c r="S141">
        <v>1059</v>
      </c>
      <c r="T141">
        <v>2</v>
      </c>
      <c r="U141">
        <v>0</v>
      </c>
      <c r="V141">
        <v>4</v>
      </c>
      <c r="W141">
        <v>7</v>
      </c>
      <c r="X141" s="23">
        <v>0.00168067226890756</v>
      </c>
      <c r="Y141" s="23">
        <v>0</v>
      </c>
      <c r="Z141" s="23">
        <v>0.00491400491400491</v>
      </c>
      <c r="AA141" s="23">
        <v>0.00661000944287063</v>
      </c>
      <c r="AB141">
        <v>0.85</v>
      </c>
      <c r="AC141">
        <v>0</v>
      </c>
      <c r="AD141">
        <v>1.19</v>
      </c>
      <c r="AE141">
        <v>2.66</v>
      </c>
      <c r="AF141" s="23">
        <v>0.0850850850850851</v>
      </c>
      <c r="AG141" s="23" t="s">
        <v>55</v>
      </c>
      <c r="AH141" s="23">
        <v>0.119119119119119</v>
      </c>
      <c r="AI141" s="23" t="s">
        <v>434</v>
      </c>
      <c r="AJ141">
        <v>5</v>
      </c>
      <c r="AK141">
        <v>3</v>
      </c>
      <c r="AL141">
        <v>3</v>
      </c>
      <c r="AM141">
        <v>4</v>
      </c>
      <c r="AN141" s="23">
        <v>0.2</v>
      </c>
      <c r="AO141" s="23">
        <v>0.333333333333333</v>
      </c>
      <c r="AP141" s="23">
        <v>0.333333333333333</v>
      </c>
      <c r="AQ141" s="23">
        <v>0</v>
      </c>
      <c r="AR141" s="37">
        <v>0.142857142857143</v>
      </c>
      <c r="AS141" s="37">
        <v>8.57142857142857</v>
      </c>
      <c r="AT141" s="37">
        <v>24.4285714285714</v>
      </c>
      <c r="AU141" s="33">
        <f t="shared" si="6"/>
        <v>231</v>
      </c>
      <c r="AV141" s="38">
        <f>IFERROR(时间!$B$4+AU141,"上周无销量")</f>
        <v>43514</v>
      </c>
    </row>
    <row r="142" spans="1:48">
      <c r="A142" s="21" t="s">
        <v>435</v>
      </c>
      <c r="B142" t="s">
        <v>436</v>
      </c>
      <c r="C142" t="s">
        <v>427</v>
      </c>
      <c r="D142" s="33">
        <v>3</v>
      </c>
      <c r="E142" s="33">
        <v>0</v>
      </c>
      <c r="F142" s="33">
        <v>1</v>
      </c>
      <c r="G142" s="33">
        <v>2</v>
      </c>
      <c r="H142" s="34">
        <v>9.99</v>
      </c>
      <c r="I142">
        <v>30</v>
      </c>
      <c r="J142" s="35">
        <v>0</v>
      </c>
      <c r="K142" s="35">
        <v>0</v>
      </c>
      <c r="L142" s="35">
        <v>0</v>
      </c>
      <c r="M142">
        <v>30</v>
      </c>
      <c r="N142">
        <v>0</v>
      </c>
      <c r="O142">
        <v>28</v>
      </c>
      <c r="P142">
        <v>107</v>
      </c>
      <c r="Q142">
        <v>200</v>
      </c>
      <c r="R142">
        <v>493</v>
      </c>
      <c r="S142">
        <v>416</v>
      </c>
      <c r="T142">
        <v>0</v>
      </c>
      <c r="U142">
        <v>0</v>
      </c>
      <c r="V142">
        <v>0</v>
      </c>
      <c r="W142">
        <v>1</v>
      </c>
      <c r="X142" s="23">
        <v>0</v>
      </c>
      <c r="Y142" s="23">
        <v>0</v>
      </c>
      <c r="Z142" s="23">
        <v>0</v>
      </c>
      <c r="AA142" s="23">
        <v>0.00240384615384615</v>
      </c>
      <c r="AB142">
        <v>0</v>
      </c>
      <c r="AC142">
        <v>0</v>
      </c>
      <c r="AD142">
        <v>0</v>
      </c>
      <c r="AE142">
        <v>0.21</v>
      </c>
      <c r="AF142" s="23" t="s">
        <v>55</v>
      </c>
      <c r="AG142" s="23" t="s">
        <v>55</v>
      </c>
      <c r="AH142" s="23" t="s">
        <v>55</v>
      </c>
      <c r="AI142" s="23">
        <v>0.0105105105105105</v>
      </c>
      <c r="AJ142">
        <v>3</v>
      </c>
      <c r="AK142">
        <v>5</v>
      </c>
      <c r="AL142">
        <v>3</v>
      </c>
      <c r="AM142">
        <v>7</v>
      </c>
      <c r="AN142" s="23">
        <v>1</v>
      </c>
      <c r="AO142" s="23">
        <v>0</v>
      </c>
      <c r="AP142" s="23">
        <v>0.333333333333333</v>
      </c>
      <c r="AQ142" s="23">
        <v>0.285714285714286</v>
      </c>
      <c r="AR142" s="37">
        <v>0.428571428571429</v>
      </c>
      <c r="AS142" s="37">
        <v>25.7142857142857</v>
      </c>
      <c r="AT142" s="37">
        <v>4.28571428571429</v>
      </c>
      <c r="AU142" s="33">
        <f t="shared" si="6"/>
        <v>70</v>
      </c>
      <c r="AV142" s="38">
        <f>IFERROR(时间!$B$4+AU142,"上周无销量")</f>
        <v>43353</v>
      </c>
    </row>
    <row r="143" spans="1:48">
      <c r="A143" s="21" t="s">
        <v>437</v>
      </c>
      <c r="B143" t="s">
        <v>438</v>
      </c>
      <c r="C143" t="s">
        <v>427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36</v>
      </c>
      <c r="J143" s="35">
        <v>0</v>
      </c>
      <c r="K143" s="35">
        <v>0</v>
      </c>
      <c r="L143" s="35">
        <v>0</v>
      </c>
      <c r="M143">
        <v>36</v>
      </c>
      <c r="N143">
        <v>0</v>
      </c>
      <c r="O143">
        <v>35</v>
      </c>
      <c r="P143">
        <v>221</v>
      </c>
      <c r="Q143">
        <v>274</v>
      </c>
      <c r="R143">
        <v>85</v>
      </c>
      <c r="S143">
        <v>38</v>
      </c>
      <c r="T143">
        <v>1</v>
      </c>
      <c r="U143">
        <v>2</v>
      </c>
      <c r="V143">
        <v>0</v>
      </c>
      <c r="W143">
        <v>0</v>
      </c>
      <c r="X143" s="23">
        <v>0.00452488687782805</v>
      </c>
      <c r="Y143" s="23">
        <v>0.0072992700729927</v>
      </c>
      <c r="Z143" s="23">
        <v>0</v>
      </c>
      <c r="AA143" s="23">
        <v>0</v>
      </c>
      <c r="AB143">
        <v>0.29</v>
      </c>
      <c r="AC143">
        <v>0.56</v>
      </c>
      <c r="AD143">
        <v>0</v>
      </c>
      <c r="AE143">
        <v>0</v>
      </c>
      <c r="AF143" s="23" t="s">
        <v>274</v>
      </c>
      <c r="AG143" s="23" t="s">
        <v>407</v>
      </c>
      <c r="AH143" s="23" t="s">
        <v>55</v>
      </c>
      <c r="AI143" s="23" t="s">
        <v>55</v>
      </c>
      <c r="AJ143">
        <v>6</v>
      </c>
      <c r="AK143">
        <v>2</v>
      </c>
      <c r="AL143">
        <v>3</v>
      </c>
      <c r="AM143">
        <v>4</v>
      </c>
      <c r="AN143" s="23">
        <v>0</v>
      </c>
      <c r="AO143" s="23">
        <v>0</v>
      </c>
      <c r="AP143" s="23">
        <v>0</v>
      </c>
      <c r="AQ143" s="23">
        <v>0</v>
      </c>
      <c r="AR143" s="37">
        <v>0</v>
      </c>
      <c r="AS143" s="37">
        <v>0</v>
      </c>
      <c r="AT143" s="37">
        <v>36</v>
      </c>
      <c r="AU143" s="33" t="str">
        <f t="shared" si="6"/>
        <v>库存为36</v>
      </c>
      <c r="AV143" s="38" t="str">
        <f>IFERROR(时间!$B$4+AU143,"上周无销量")</f>
        <v>上周无销量</v>
      </c>
    </row>
    <row r="144" spans="1:48">
      <c r="A144" s="21" t="s">
        <v>439</v>
      </c>
      <c r="B144" t="s">
        <v>440</v>
      </c>
      <c r="C144" t="s">
        <v>427</v>
      </c>
      <c r="D144" s="33">
        <v>1</v>
      </c>
      <c r="E144" s="33">
        <v>0</v>
      </c>
      <c r="F144" s="33">
        <v>0</v>
      </c>
      <c r="G144" s="33">
        <v>0</v>
      </c>
      <c r="H144" s="34">
        <v>9.99</v>
      </c>
      <c r="I144">
        <v>36</v>
      </c>
      <c r="J144" s="35">
        <v>0</v>
      </c>
      <c r="K144" s="35">
        <v>0</v>
      </c>
      <c r="L144" s="35">
        <v>0</v>
      </c>
      <c r="M144">
        <v>36</v>
      </c>
      <c r="N144">
        <v>0</v>
      </c>
      <c r="O144">
        <v>34</v>
      </c>
      <c r="P144">
        <v>125</v>
      </c>
      <c r="Q144">
        <v>56</v>
      </c>
      <c r="R144">
        <v>16</v>
      </c>
      <c r="S144">
        <v>16</v>
      </c>
      <c r="T144">
        <v>1</v>
      </c>
      <c r="U144">
        <v>1</v>
      </c>
      <c r="V144">
        <v>0</v>
      </c>
      <c r="W144">
        <v>0</v>
      </c>
      <c r="X144" s="23">
        <v>0.008</v>
      </c>
      <c r="Y144" s="23">
        <v>0.0178571428571429</v>
      </c>
      <c r="Z144" s="23">
        <v>0</v>
      </c>
      <c r="AA144" s="23">
        <v>0</v>
      </c>
      <c r="AB144">
        <v>0.18</v>
      </c>
      <c r="AC144">
        <v>0.13</v>
      </c>
      <c r="AD144">
        <v>0</v>
      </c>
      <c r="AE144">
        <v>0</v>
      </c>
      <c r="AF144" s="23">
        <v>0.018018018018018</v>
      </c>
      <c r="AG144" s="23" t="s">
        <v>277</v>
      </c>
      <c r="AH144" s="23" t="s">
        <v>55</v>
      </c>
      <c r="AI144" s="23" t="s">
        <v>55</v>
      </c>
      <c r="AJ144">
        <v>6</v>
      </c>
      <c r="AK144">
        <v>1</v>
      </c>
      <c r="AL144">
        <v>3</v>
      </c>
      <c r="AM144">
        <v>9</v>
      </c>
      <c r="AN144" s="23">
        <v>0.166666666666667</v>
      </c>
      <c r="AO144" s="23">
        <v>0</v>
      </c>
      <c r="AP144" s="23">
        <v>0</v>
      </c>
      <c r="AQ144" s="23">
        <v>0</v>
      </c>
      <c r="AR144" s="37">
        <v>0.142857142857143</v>
      </c>
      <c r="AS144" s="37">
        <v>8.57142857142857</v>
      </c>
      <c r="AT144" s="37">
        <v>27.4285714285714</v>
      </c>
      <c r="AU144" s="33">
        <f t="shared" si="6"/>
        <v>252</v>
      </c>
      <c r="AV144" s="38">
        <f>IFERROR(时间!$B$4+AU144,"上周无销量")</f>
        <v>43535</v>
      </c>
    </row>
    <row r="145" spans="1:48">
      <c r="A145" s="21" t="s">
        <v>441</v>
      </c>
      <c r="B145" t="s">
        <v>442</v>
      </c>
      <c r="C145" t="s">
        <v>427</v>
      </c>
      <c r="D145" s="33">
        <v>0</v>
      </c>
      <c r="E145" s="33">
        <v>1</v>
      </c>
      <c r="F145" s="33">
        <v>0</v>
      </c>
      <c r="G145" s="33">
        <v>1</v>
      </c>
      <c r="H145" s="34">
        <v>8.53</v>
      </c>
      <c r="I145">
        <v>34</v>
      </c>
      <c r="J145" s="35">
        <v>0</v>
      </c>
      <c r="K145" s="35">
        <v>0</v>
      </c>
      <c r="L145" s="35">
        <v>0</v>
      </c>
      <c r="M145">
        <v>34</v>
      </c>
      <c r="N145">
        <v>0</v>
      </c>
      <c r="O145">
        <v>30</v>
      </c>
      <c r="P145">
        <v>73</v>
      </c>
      <c r="Q145">
        <v>93</v>
      </c>
      <c r="R145">
        <v>42</v>
      </c>
      <c r="S145">
        <v>54</v>
      </c>
      <c r="T145">
        <v>0</v>
      </c>
      <c r="U145">
        <v>2</v>
      </c>
      <c r="V145">
        <v>0</v>
      </c>
      <c r="W145">
        <v>0</v>
      </c>
      <c r="X145" s="23">
        <v>0</v>
      </c>
      <c r="Y145" s="23">
        <v>0.021505376344086</v>
      </c>
      <c r="Z145" s="23">
        <v>0</v>
      </c>
      <c r="AA145" s="23">
        <v>0</v>
      </c>
      <c r="AB145">
        <v>0</v>
      </c>
      <c r="AC145">
        <v>0.79</v>
      </c>
      <c r="AD145">
        <v>0</v>
      </c>
      <c r="AE145">
        <v>0</v>
      </c>
      <c r="AF145" s="23" t="s">
        <v>55</v>
      </c>
      <c r="AG145" s="23">
        <v>0.0926143024618992</v>
      </c>
      <c r="AH145" s="23" t="s">
        <v>55</v>
      </c>
      <c r="AI145" s="23" t="s">
        <v>55</v>
      </c>
      <c r="AJ145">
        <v>3</v>
      </c>
      <c r="AK145">
        <v>4</v>
      </c>
      <c r="AL145">
        <v>1</v>
      </c>
      <c r="AM145">
        <v>4</v>
      </c>
      <c r="AN145" s="23">
        <v>0</v>
      </c>
      <c r="AO145" s="23">
        <v>0.25</v>
      </c>
      <c r="AP145" s="23">
        <v>0</v>
      </c>
      <c r="AQ145" s="23">
        <v>0.25</v>
      </c>
      <c r="AR145" s="37">
        <v>0</v>
      </c>
      <c r="AS145" s="37">
        <v>0</v>
      </c>
      <c r="AT145" s="37">
        <v>34</v>
      </c>
      <c r="AU145" s="33" t="str">
        <f t="shared" si="6"/>
        <v>库存为34</v>
      </c>
      <c r="AV145" s="38" t="str">
        <f>IFERROR(时间!$B$4+AU145,"上周无销量")</f>
        <v>上周无销量</v>
      </c>
    </row>
    <row r="146" spans="1:48">
      <c r="A146" s="21" t="s">
        <v>443</v>
      </c>
      <c r="B146" t="s">
        <v>444</v>
      </c>
      <c r="C146" t="s">
        <v>427</v>
      </c>
      <c r="D146" s="33">
        <v>0</v>
      </c>
      <c r="E146" s="33">
        <v>1</v>
      </c>
      <c r="F146" s="33">
        <v>0</v>
      </c>
      <c r="G146" s="33">
        <v>0</v>
      </c>
      <c r="H146" s="34">
        <v>7.46</v>
      </c>
      <c r="I146">
        <v>35</v>
      </c>
      <c r="J146" s="35">
        <v>0</v>
      </c>
      <c r="K146" s="35">
        <v>0</v>
      </c>
      <c r="L146" s="35">
        <v>0</v>
      </c>
      <c r="M146">
        <v>35</v>
      </c>
      <c r="N146">
        <v>0</v>
      </c>
      <c r="O146">
        <v>32</v>
      </c>
      <c r="P146">
        <v>32</v>
      </c>
      <c r="Q146">
        <v>102</v>
      </c>
      <c r="R146">
        <v>4728</v>
      </c>
      <c r="S146">
        <v>4596</v>
      </c>
      <c r="T146">
        <v>0</v>
      </c>
      <c r="U146">
        <v>0</v>
      </c>
      <c r="V146">
        <v>3</v>
      </c>
      <c r="W146">
        <v>4</v>
      </c>
      <c r="X146" s="23">
        <v>0</v>
      </c>
      <c r="Y146" s="23">
        <v>0</v>
      </c>
      <c r="Z146" s="23">
        <v>0.000634517766497462</v>
      </c>
      <c r="AA146" s="23">
        <v>0.000870322019147084</v>
      </c>
      <c r="AB146">
        <v>0</v>
      </c>
      <c r="AC146">
        <v>0</v>
      </c>
      <c r="AD146">
        <v>1.31</v>
      </c>
      <c r="AE146">
        <v>1.37</v>
      </c>
      <c r="AF146" s="23" t="s">
        <v>55</v>
      </c>
      <c r="AG146" s="23" t="s">
        <v>55</v>
      </c>
      <c r="AH146" s="23" t="s">
        <v>445</v>
      </c>
      <c r="AI146" s="23" t="s">
        <v>417</v>
      </c>
      <c r="AJ146">
        <v>3</v>
      </c>
      <c r="AK146">
        <v>1</v>
      </c>
      <c r="AL146">
        <v>2</v>
      </c>
      <c r="AM146">
        <v>3</v>
      </c>
      <c r="AN146" s="23">
        <v>0</v>
      </c>
      <c r="AO146" s="23">
        <v>1</v>
      </c>
      <c r="AP146" s="23">
        <v>0</v>
      </c>
      <c r="AQ146" s="23">
        <v>0</v>
      </c>
      <c r="AR146" s="37">
        <v>0</v>
      </c>
      <c r="AS146" s="37">
        <v>0</v>
      </c>
      <c r="AT146" s="37">
        <v>35</v>
      </c>
      <c r="AU146" s="33" t="str">
        <f t="shared" si="6"/>
        <v>库存为35</v>
      </c>
      <c r="AV146" s="38" t="str">
        <f>IFERROR(时间!$B$4+AU146,"上周无销量")</f>
        <v>上周无销量</v>
      </c>
    </row>
    <row r="147" spans="1:48">
      <c r="A147" s="21" t="s">
        <v>446</v>
      </c>
      <c r="B147" t="s">
        <v>447</v>
      </c>
      <c r="C147" t="s">
        <v>448</v>
      </c>
      <c r="D147" s="33">
        <v>1</v>
      </c>
      <c r="E147" s="33">
        <v>1</v>
      </c>
      <c r="F147" s="33">
        <v>0</v>
      </c>
      <c r="G147" s="33">
        <v>0</v>
      </c>
      <c r="H147" s="34">
        <v>13.9</v>
      </c>
      <c r="I147">
        <v>6</v>
      </c>
      <c r="J147" s="35">
        <v>0</v>
      </c>
      <c r="K147" s="35">
        <v>0</v>
      </c>
      <c r="L147" s="35">
        <v>0</v>
      </c>
      <c r="M147">
        <v>6</v>
      </c>
      <c r="N147">
        <v>0</v>
      </c>
      <c r="O147">
        <v>7</v>
      </c>
      <c r="P147">
        <v>80</v>
      </c>
      <c r="Q147">
        <v>87</v>
      </c>
      <c r="R147">
        <v>73</v>
      </c>
      <c r="S147">
        <v>90</v>
      </c>
      <c r="T147">
        <v>1</v>
      </c>
      <c r="U147">
        <v>0</v>
      </c>
      <c r="V147">
        <v>1</v>
      </c>
      <c r="W147">
        <v>0</v>
      </c>
      <c r="X147" s="23">
        <v>0.0125</v>
      </c>
      <c r="Y147" s="23">
        <v>0</v>
      </c>
      <c r="Z147" s="23">
        <v>0.0136986301369863</v>
      </c>
      <c r="AA147" s="23">
        <v>0</v>
      </c>
      <c r="AB147">
        <v>0.17</v>
      </c>
      <c r="AC147">
        <v>0</v>
      </c>
      <c r="AD147">
        <v>0.51</v>
      </c>
      <c r="AE147">
        <v>0</v>
      </c>
      <c r="AF147" s="23">
        <v>0.0122302158273381</v>
      </c>
      <c r="AG147" s="23" t="s">
        <v>55</v>
      </c>
      <c r="AH147" s="23" t="s">
        <v>257</v>
      </c>
      <c r="AI147" s="23" t="s">
        <v>55</v>
      </c>
      <c r="AJ147">
        <v>10</v>
      </c>
      <c r="AK147">
        <v>2</v>
      </c>
      <c r="AL147">
        <v>1</v>
      </c>
      <c r="AM147">
        <v>1</v>
      </c>
      <c r="AN147" s="23">
        <v>0.1</v>
      </c>
      <c r="AO147" s="23">
        <v>0.5</v>
      </c>
      <c r="AP147" s="23">
        <v>0</v>
      </c>
      <c r="AQ147" s="23">
        <v>0</v>
      </c>
      <c r="AR147" s="37">
        <v>0.142857142857143</v>
      </c>
      <c r="AS147" s="37">
        <v>8.57142857142857</v>
      </c>
      <c r="AT147" s="37">
        <v>-2.57142857142857</v>
      </c>
      <c r="AU147" s="33">
        <f t="shared" si="6"/>
        <v>42</v>
      </c>
      <c r="AV147" s="38">
        <f>IFERROR(时间!$B$4+AU147,"上周无销量")</f>
        <v>43325</v>
      </c>
    </row>
    <row r="148" spans="1:48">
      <c r="A148" s="21" t="s">
        <v>449</v>
      </c>
      <c r="B148" t="s">
        <v>450</v>
      </c>
      <c r="C148" t="s">
        <v>448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3</v>
      </c>
      <c r="J148" s="35">
        <v>0</v>
      </c>
      <c r="K148" s="35">
        <v>0</v>
      </c>
      <c r="L148" s="35">
        <v>0</v>
      </c>
      <c r="M148">
        <v>3</v>
      </c>
      <c r="N148">
        <v>0</v>
      </c>
      <c r="O148">
        <v>3</v>
      </c>
      <c r="P148">
        <v>49</v>
      </c>
      <c r="Q148">
        <v>20</v>
      </c>
      <c r="R148">
        <v>22</v>
      </c>
      <c r="S148">
        <v>61</v>
      </c>
      <c r="T148">
        <v>0</v>
      </c>
      <c r="U148">
        <v>0</v>
      </c>
      <c r="V148">
        <v>0</v>
      </c>
      <c r="W148">
        <v>0</v>
      </c>
      <c r="X148" s="23">
        <v>0</v>
      </c>
      <c r="Y148" s="23">
        <v>0</v>
      </c>
      <c r="Z148" s="23">
        <v>0</v>
      </c>
      <c r="AA148" s="23">
        <v>0</v>
      </c>
      <c r="AB148">
        <v>0</v>
      </c>
      <c r="AC148">
        <v>0</v>
      </c>
      <c r="AD148">
        <v>0</v>
      </c>
      <c r="AE148">
        <v>0</v>
      </c>
      <c r="AF148" s="23" t="s">
        <v>55</v>
      </c>
      <c r="AG148" s="23" t="s">
        <v>55</v>
      </c>
      <c r="AH148" s="23" t="s">
        <v>55</v>
      </c>
      <c r="AI148" s="23" t="s">
        <v>55</v>
      </c>
      <c r="AJ148">
        <v>5</v>
      </c>
      <c r="AK148">
        <v>1</v>
      </c>
      <c r="AL148">
        <v>0</v>
      </c>
      <c r="AM148">
        <v>2</v>
      </c>
      <c r="AN148" s="23">
        <v>0</v>
      </c>
      <c r="AO148" s="23">
        <v>0</v>
      </c>
      <c r="AP148" s="23" t="s">
        <v>55</v>
      </c>
      <c r="AQ148" s="23">
        <v>0</v>
      </c>
      <c r="AR148" s="37">
        <v>0</v>
      </c>
      <c r="AS148" s="37">
        <v>0</v>
      </c>
      <c r="AT148" s="37">
        <v>3</v>
      </c>
      <c r="AU148" s="33" t="str">
        <f t="shared" si="6"/>
        <v>库存为3</v>
      </c>
      <c r="AV148" s="38" t="str">
        <f>IFERROR(时间!$B$4+AU148,"上周无销量")</f>
        <v>上周无销量</v>
      </c>
    </row>
    <row r="149" spans="1:48">
      <c r="A149" s="21" t="s">
        <v>451</v>
      </c>
      <c r="B149" t="s">
        <v>452</v>
      </c>
      <c r="C149" t="s">
        <v>453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1</v>
      </c>
      <c r="J149" s="35">
        <v>0</v>
      </c>
      <c r="K149" s="35">
        <v>0</v>
      </c>
      <c r="L149" s="35">
        <v>0</v>
      </c>
      <c r="M149">
        <v>1</v>
      </c>
      <c r="N149">
        <v>0</v>
      </c>
      <c r="O149">
        <v>1</v>
      </c>
      <c r="P149" t="s">
        <v>55</v>
      </c>
      <c r="Q149" t="s">
        <v>55</v>
      </c>
      <c r="R149" t="s">
        <v>55</v>
      </c>
      <c r="S149" t="s">
        <v>55</v>
      </c>
      <c r="T149" t="s">
        <v>55</v>
      </c>
      <c r="U149" t="s">
        <v>55</v>
      </c>
      <c r="V149" t="s">
        <v>55</v>
      </c>
      <c r="W149" t="s">
        <v>55</v>
      </c>
      <c r="X149" s="23" t="s">
        <v>55</v>
      </c>
      <c r="Y149" s="23" t="s">
        <v>55</v>
      </c>
      <c r="Z149" s="23" t="s">
        <v>55</v>
      </c>
      <c r="AA149" s="23" t="s">
        <v>55</v>
      </c>
      <c r="AB149" t="s">
        <v>55</v>
      </c>
      <c r="AC149" t="s">
        <v>55</v>
      </c>
      <c r="AD149" t="s">
        <v>55</v>
      </c>
      <c r="AE149" t="s">
        <v>55</v>
      </c>
      <c r="AF149" s="23" t="s">
        <v>55</v>
      </c>
      <c r="AG149" s="23" t="s">
        <v>55</v>
      </c>
      <c r="AH149" s="23" t="s">
        <v>55</v>
      </c>
      <c r="AI149" s="23" t="s">
        <v>55</v>
      </c>
      <c r="AJ149">
        <v>3</v>
      </c>
      <c r="AK149">
        <v>0</v>
      </c>
      <c r="AL149">
        <v>0</v>
      </c>
      <c r="AM149">
        <v>2</v>
      </c>
      <c r="AN149" s="23">
        <v>0</v>
      </c>
      <c r="AO149" s="23" t="s">
        <v>55</v>
      </c>
      <c r="AP149" s="23" t="s">
        <v>55</v>
      </c>
      <c r="AQ149" s="23">
        <v>0</v>
      </c>
      <c r="AR149" s="37">
        <v>0</v>
      </c>
      <c r="AS149" s="37">
        <v>0</v>
      </c>
      <c r="AT149" s="37">
        <v>1</v>
      </c>
      <c r="AU149" s="33" t="str">
        <f t="shared" si="6"/>
        <v>库存为1</v>
      </c>
      <c r="AV149" s="38" t="str">
        <f>IFERROR(时间!$B$4+AU149,"上周无销量")</f>
        <v>上周无销量</v>
      </c>
    </row>
    <row r="150" spans="1:48">
      <c r="A150" s="21" t="s">
        <v>454</v>
      </c>
      <c r="B150" t="s">
        <v>455</v>
      </c>
      <c r="C150" t="s">
        <v>453</v>
      </c>
      <c r="D150" s="33">
        <v>0</v>
      </c>
      <c r="E150" s="33">
        <v>0</v>
      </c>
      <c r="F150" s="33">
        <v>0</v>
      </c>
      <c r="G150" s="33">
        <v>1</v>
      </c>
      <c r="H150" s="34">
        <v>13.9</v>
      </c>
      <c r="I150">
        <v>10</v>
      </c>
      <c r="J150" s="35">
        <v>0</v>
      </c>
      <c r="K150" s="35">
        <v>0</v>
      </c>
      <c r="L150" s="35">
        <v>0</v>
      </c>
      <c r="M150">
        <v>10</v>
      </c>
      <c r="N150">
        <v>0</v>
      </c>
      <c r="O150">
        <v>10</v>
      </c>
      <c r="P150">
        <v>156</v>
      </c>
      <c r="Q150">
        <v>154</v>
      </c>
      <c r="R150">
        <v>74</v>
      </c>
      <c r="S150">
        <v>119</v>
      </c>
      <c r="T150">
        <v>2</v>
      </c>
      <c r="U150">
        <v>0</v>
      </c>
      <c r="V150">
        <v>0</v>
      </c>
      <c r="W150">
        <v>0</v>
      </c>
      <c r="X150" s="23">
        <v>0.0128205128205128</v>
      </c>
      <c r="Y150" s="23">
        <v>0</v>
      </c>
      <c r="Z150" s="23">
        <v>0</v>
      </c>
      <c r="AA150" s="23">
        <v>0</v>
      </c>
      <c r="AB150">
        <v>0.12</v>
      </c>
      <c r="AC150">
        <v>0</v>
      </c>
      <c r="AD150">
        <v>0</v>
      </c>
      <c r="AE150">
        <v>0</v>
      </c>
      <c r="AF150" s="23" t="s">
        <v>456</v>
      </c>
      <c r="AG150" s="23" t="s">
        <v>55</v>
      </c>
      <c r="AH150" s="23" t="s">
        <v>55</v>
      </c>
      <c r="AI150" s="23" t="s">
        <v>55</v>
      </c>
      <c r="AJ150">
        <v>6</v>
      </c>
      <c r="AK150">
        <v>2</v>
      </c>
      <c r="AL150">
        <v>0</v>
      </c>
      <c r="AM150">
        <v>3</v>
      </c>
      <c r="AN150" s="23">
        <v>0</v>
      </c>
      <c r="AO150" s="23">
        <v>0</v>
      </c>
      <c r="AP150" s="23" t="s">
        <v>55</v>
      </c>
      <c r="AQ150" s="23">
        <v>0.333333333333333</v>
      </c>
      <c r="AR150" s="37">
        <v>0</v>
      </c>
      <c r="AS150" s="37">
        <v>0</v>
      </c>
      <c r="AT150" s="37">
        <v>10</v>
      </c>
      <c r="AU150" s="33" t="str">
        <f t="shared" si="6"/>
        <v>库存为10</v>
      </c>
      <c r="AV150" s="38" t="str">
        <f>IFERROR(时间!$B$4+AU150,"上周无销量")</f>
        <v>上周无销量</v>
      </c>
    </row>
    <row r="151" spans="1:48">
      <c r="A151" s="21" t="s">
        <v>457</v>
      </c>
      <c r="B151" t="s">
        <v>458</v>
      </c>
      <c r="C151" t="s">
        <v>453</v>
      </c>
      <c r="D151" s="33">
        <v>1</v>
      </c>
      <c r="E151" s="33">
        <v>0</v>
      </c>
      <c r="F151" s="33">
        <v>0</v>
      </c>
      <c r="G151" s="33">
        <v>0</v>
      </c>
      <c r="H151" s="34">
        <v>13.9</v>
      </c>
      <c r="I151">
        <v>13</v>
      </c>
      <c r="J151" s="35">
        <v>0</v>
      </c>
      <c r="K151" s="35">
        <v>0</v>
      </c>
      <c r="L151" s="35">
        <v>0</v>
      </c>
      <c r="M151">
        <v>13</v>
      </c>
      <c r="N151">
        <v>0</v>
      </c>
      <c r="O151">
        <v>15</v>
      </c>
      <c r="P151">
        <v>1229</v>
      </c>
      <c r="Q151">
        <v>744</v>
      </c>
      <c r="R151">
        <v>761</v>
      </c>
      <c r="S151">
        <v>664</v>
      </c>
      <c r="T151">
        <v>7</v>
      </c>
      <c r="U151">
        <v>3</v>
      </c>
      <c r="V151">
        <v>2</v>
      </c>
      <c r="W151">
        <v>0</v>
      </c>
      <c r="X151" s="23">
        <v>0.00569568755085435</v>
      </c>
      <c r="Y151" s="23">
        <v>0.00403225806451613</v>
      </c>
      <c r="Z151" s="23">
        <v>0.0026281208935611</v>
      </c>
      <c r="AA151" s="23">
        <v>0</v>
      </c>
      <c r="AB151">
        <v>3.42</v>
      </c>
      <c r="AC151">
        <v>1.16</v>
      </c>
      <c r="AD151">
        <v>0.84</v>
      </c>
      <c r="AE151">
        <v>0</v>
      </c>
      <c r="AF151" s="23">
        <v>0.246043165467626</v>
      </c>
      <c r="AG151" s="23" t="s">
        <v>459</v>
      </c>
      <c r="AH151" s="23" t="s">
        <v>460</v>
      </c>
      <c r="AI151" s="23" t="s">
        <v>55</v>
      </c>
      <c r="AJ151">
        <v>3</v>
      </c>
      <c r="AK151">
        <v>1</v>
      </c>
      <c r="AL151">
        <v>6</v>
      </c>
      <c r="AM151">
        <v>0</v>
      </c>
      <c r="AN151" s="23">
        <v>0.333333333333333</v>
      </c>
      <c r="AO151" s="23">
        <v>0</v>
      </c>
      <c r="AP151" s="23">
        <v>0</v>
      </c>
      <c r="AQ151" s="23" t="s">
        <v>55</v>
      </c>
      <c r="AR151" s="37">
        <v>0.142857142857143</v>
      </c>
      <c r="AS151" s="37">
        <v>8.57142857142857</v>
      </c>
      <c r="AT151" s="37">
        <v>4.42857142857143</v>
      </c>
      <c r="AU151" s="33">
        <f t="shared" si="6"/>
        <v>91</v>
      </c>
      <c r="AV151" s="38">
        <f>IFERROR(时间!$B$4+AU151,"上周无销量")</f>
        <v>43374</v>
      </c>
    </row>
    <row r="152" spans="1:48">
      <c r="A152" s="21" t="s">
        <v>461</v>
      </c>
      <c r="B152" t="s">
        <v>462</v>
      </c>
      <c r="C152" t="s">
        <v>453</v>
      </c>
      <c r="D152" s="33">
        <v>2</v>
      </c>
      <c r="E152" s="33">
        <v>0</v>
      </c>
      <c r="F152" s="33">
        <v>1</v>
      </c>
      <c r="G152" s="33">
        <v>0</v>
      </c>
      <c r="H152" s="34">
        <v>13.9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1</v>
      </c>
      <c r="O152">
        <v>0</v>
      </c>
      <c r="P152">
        <v>19</v>
      </c>
      <c r="Q152">
        <v>106</v>
      </c>
      <c r="R152">
        <v>33</v>
      </c>
      <c r="S152">
        <v>47</v>
      </c>
      <c r="T152">
        <v>0</v>
      </c>
      <c r="U152">
        <v>0</v>
      </c>
      <c r="V152">
        <v>2</v>
      </c>
      <c r="W152">
        <v>0</v>
      </c>
      <c r="X152" s="23">
        <v>0</v>
      </c>
      <c r="Y152" s="23">
        <v>0</v>
      </c>
      <c r="Z152" s="23">
        <v>0.0606060606060606</v>
      </c>
      <c r="AA152" s="23">
        <v>0</v>
      </c>
      <c r="AB152">
        <v>0</v>
      </c>
      <c r="AC152">
        <v>0</v>
      </c>
      <c r="AD152">
        <v>1.1</v>
      </c>
      <c r="AE152">
        <v>0</v>
      </c>
      <c r="AF152" s="23" t="s">
        <v>55</v>
      </c>
      <c r="AG152" s="23" t="s">
        <v>55</v>
      </c>
      <c r="AH152" s="23">
        <v>0.079136690647482</v>
      </c>
      <c r="AI152" s="23" t="s">
        <v>55</v>
      </c>
      <c r="AJ152">
        <v>0</v>
      </c>
      <c r="AK152">
        <v>4</v>
      </c>
      <c r="AL152">
        <v>10</v>
      </c>
      <c r="AM152">
        <v>5</v>
      </c>
      <c r="AN152" s="23" t="s">
        <v>55</v>
      </c>
      <c r="AO152" s="23">
        <v>0</v>
      </c>
      <c r="AP152" s="23">
        <v>0.1</v>
      </c>
      <c r="AQ152" s="23">
        <v>0</v>
      </c>
      <c r="AR152" s="37">
        <v>0.285714285714286</v>
      </c>
      <c r="AS152" s="37">
        <v>17.1428571428571</v>
      </c>
      <c r="AT152" s="37">
        <v>-17.1428571428571</v>
      </c>
      <c r="AU152" s="33">
        <f t="shared" si="6"/>
        <v>0</v>
      </c>
      <c r="AV152" s="38">
        <f>IFERROR(时间!$B$4+AU152,"上周无销量")</f>
        <v>43283</v>
      </c>
    </row>
    <row r="153" spans="1:48">
      <c r="A153" s="21" t="s">
        <v>463</v>
      </c>
      <c r="B153" t="s">
        <v>464</v>
      </c>
      <c r="C153" t="s">
        <v>453</v>
      </c>
      <c r="D153" s="33">
        <v>0</v>
      </c>
      <c r="E153" s="33">
        <v>0</v>
      </c>
      <c r="F153" s="33">
        <v>0</v>
      </c>
      <c r="G153" s="33">
        <v>1</v>
      </c>
      <c r="H153" s="34">
        <v>13.9</v>
      </c>
      <c r="I153">
        <v>2</v>
      </c>
      <c r="J153" s="35">
        <v>0</v>
      </c>
      <c r="K153" s="35">
        <v>0</v>
      </c>
      <c r="L153" s="35">
        <v>0</v>
      </c>
      <c r="M153">
        <v>2</v>
      </c>
      <c r="N153">
        <v>0</v>
      </c>
      <c r="O153">
        <v>2</v>
      </c>
      <c r="P153">
        <v>720</v>
      </c>
      <c r="Q153">
        <v>1676</v>
      </c>
      <c r="R153">
        <v>52</v>
      </c>
      <c r="S153">
        <v>79</v>
      </c>
      <c r="T153">
        <v>0</v>
      </c>
      <c r="U153">
        <v>2</v>
      </c>
      <c r="V153">
        <v>0</v>
      </c>
      <c r="W153">
        <v>0</v>
      </c>
      <c r="X153" s="23">
        <v>0</v>
      </c>
      <c r="Y153" s="23">
        <v>0.00119331742243437</v>
      </c>
      <c r="Z153" s="23">
        <v>0</v>
      </c>
      <c r="AA153" s="23">
        <v>0</v>
      </c>
      <c r="AB153">
        <v>0</v>
      </c>
      <c r="AC153">
        <v>0.94</v>
      </c>
      <c r="AD153">
        <v>0</v>
      </c>
      <c r="AE153">
        <v>0</v>
      </c>
      <c r="AF153" s="23" t="s">
        <v>55</v>
      </c>
      <c r="AG153" s="23" t="s">
        <v>465</v>
      </c>
      <c r="AH153" s="23" t="s">
        <v>55</v>
      </c>
      <c r="AI153" s="23" t="s">
        <v>55</v>
      </c>
      <c r="AJ153">
        <v>11</v>
      </c>
      <c r="AK153">
        <v>5</v>
      </c>
      <c r="AL153">
        <v>2</v>
      </c>
      <c r="AM153">
        <v>6</v>
      </c>
      <c r="AN153" s="23">
        <v>0</v>
      </c>
      <c r="AO153" s="23">
        <v>0</v>
      </c>
      <c r="AP153" s="23">
        <v>0</v>
      </c>
      <c r="AQ153" s="23">
        <v>0.166666666666667</v>
      </c>
      <c r="AR153" s="37">
        <v>0</v>
      </c>
      <c r="AS153" s="37">
        <v>0</v>
      </c>
      <c r="AT153" s="37">
        <v>2</v>
      </c>
      <c r="AU153" s="33" t="str">
        <f t="shared" si="6"/>
        <v>库存为2</v>
      </c>
      <c r="AV153" s="38" t="str">
        <f>IFERROR(时间!$B$4+AU153,"上周无销量")</f>
        <v>上周无销量</v>
      </c>
    </row>
    <row r="154" spans="1:48">
      <c r="A154" s="21" t="s">
        <v>466</v>
      </c>
      <c r="B154" t="s">
        <v>467</v>
      </c>
      <c r="C154" t="s">
        <v>453</v>
      </c>
      <c r="D154" s="33">
        <v>0</v>
      </c>
      <c r="E154" s="33">
        <v>0</v>
      </c>
      <c r="F154" s="33">
        <v>0</v>
      </c>
      <c r="G154" s="33">
        <v>2</v>
      </c>
      <c r="H154" s="34">
        <v>13.9</v>
      </c>
      <c r="I154">
        <v>4</v>
      </c>
      <c r="J154" s="35">
        <v>0</v>
      </c>
      <c r="K154" s="35">
        <v>0</v>
      </c>
      <c r="L154" s="35">
        <v>0</v>
      </c>
      <c r="M154">
        <v>4</v>
      </c>
      <c r="N154">
        <v>0</v>
      </c>
      <c r="O154">
        <v>4</v>
      </c>
      <c r="P154">
        <v>83</v>
      </c>
      <c r="Q154">
        <v>19</v>
      </c>
      <c r="R154">
        <v>22</v>
      </c>
      <c r="S154">
        <v>21</v>
      </c>
      <c r="T154">
        <v>3</v>
      </c>
      <c r="U154">
        <v>0</v>
      </c>
      <c r="V154">
        <v>0</v>
      </c>
      <c r="W154">
        <v>0</v>
      </c>
      <c r="X154" s="23">
        <v>0.036144578313253</v>
      </c>
      <c r="Y154" s="23">
        <v>0</v>
      </c>
      <c r="Z154" s="23">
        <v>0</v>
      </c>
      <c r="AA154" s="23">
        <v>0</v>
      </c>
      <c r="AB154">
        <v>1.6</v>
      </c>
      <c r="AC154">
        <v>0</v>
      </c>
      <c r="AD154">
        <v>0</v>
      </c>
      <c r="AE154">
        <v>0</v>
      </c>
      <c r="AF154" s="23" t="s">
        <v>468</v>
      </c>
      <c r="AG154" s="23" t="s">
        <v>55</v>
      </c>
      <c r="AH154" s="23" t="s">
        <v>55</v>
      </c>
      <c r="AI154" s="23" t="s">
        <v>55</v>
      </c>
      <c r="AJ154">
        <v>3</v>
      </c>
      <c r="AK154">
        <v>2</v>
      </c>
      <c r="AL154">
        <v>0</v>
      </c>
      <c r="AM154">
        <v>4</v>
      </c>
      <c r="AN154" s="23">
        <v>0</v>
      </c>
      <c r="AO154" s="23">
        <v>0</v>
      </c>
      <c r="AP154" s="23" t="s">
        <v>55</v>
      </c>
      <c r="AQ154" s="23">
        <v>0.5</v>
      </c>
      <c r="AR154" s="37">
        <v>0</v>
      </c>
      <c r="AS154" s="37">
        <v>0</v>
      </c>
      <c r="AT154" s="37">
        <v>4</v>
      </c>
      <c r="AU154" s="33" t="str">
        <f t="shared" si="6"/>
        <v>库存为4</v>
      </c>
      <c r="AV154" s="38" t="str">
        <f>IFERROR(时间!$B$4+AU154,"上周无销量")</f>
        <v>上周无销量</v>
      </c>
    </row>
    <row r="155" spans="1:48">
      <c r="A155" s="21" t="s">
        <v>469</v>
      </c>
      <c r="B155" t="s">
        <v>470</v>
      </c>
      <c r="C155" t="s">
        <v>453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4</v>
      </c>
      <c r="J155" s="35">
        <v>0</v>
      </c>
      <c r="K155" s="35">
        <v>0</v>
      </c>
      <c r="L155" s="35">
        <v>0</v>
      </c>
      <c r="M155">
        <v>4</v>
      </c>
      <c r="N155">
        <v>0</v>
      </c>
      <c r="O155">
        <v>4</v>
      </c>
      <c r="P155">
        <v>27</v>
      </c>
      <c r="Q155">
        <v>9</v>
      </c>
      <c r="R155">
        <v>9</v>
      </c>
      <c r="S155">
        <v>46</v>
      </c>
      <c r="T155">
        <v>0</v>
      </c>
      <c r="U155">
        <v>0</v>
      </c>
      <c r="V155">
        <v>0</v>
      </c>
      <c r="W155">
        <v>0</v>
      </c>
      <c r="X155" s="23">
        <v>0</v>
      </c>
      <c r="Y155" s="23">
        <v>0</v>
      </c>
      <c r="Z155" s="23">
        <v>0</v>
      </c>
      <c r="AA155" s="23">
        <v>0</v>
      </c>
      <c r="AB155">
        <v>0</v>
      </c>
      <c r="AC155">
        <v>0</v>
      </c>
      <c r="AD155">
        <v>0</v>
      </c>
      <c r="AE155">
        <v>0</v>
      </c>
      <c r="AF155" s="23" t="s">
        <v>55</v>
      </c>
      <c r="AG155" s="23" t="s">
        <v>55</v>
      </c>
      <c r="AH155" s="23" t="s">
        <v>55</v>
      </c>
      <c r="AI155" s="23" t="s">
        <v>55</v>
      </c>
      <c r="AJ155">
        <v>4</v>
      </c>
      <c r="AK155">
        <v>2</v>
      </c>
      <c r="AL155">
        <v>0</v>
      </c>
      <c r="AM155">
        <v>1</v>
      </c>
      <c r="AN155" s="23">
        <v>0</v>
      </c>
      <c r="AO155" s="23">
        <v>0</v>
      </c>
      <c r="AP155" s="23" t="s">
        <v>55</v>
      </c>
      <c r="AQ155" s="23">
        <v>0</v>
      </c>
      <c r="AR155" s="37">
        <v>0</v>
      </c>
      <c r="AS155" s="37">
        <v>0</v>
      </c>
      <c r="AT155" s="37">
        <v>4</v>
      </c>
      <c r="AU155" s="33" t="str">
        <f t="shared" si="6"/>
        <v>库存为4</v>
      </c>
      <c r="AV155" s="38" t="str">
        <f>IFERROR(时间!$B$4+AU155,"上周无销量")</f>
        <v>上周无销量</v>
      </c>
    </row>
    <row r="156" spans="1:48">
      <c r="A156" s="21" t="s">
        <v>471</v>
      </c>
      <c r="B156" t="s">
        <v>472</v>
      </c>
      <c r="C156" t="s">
        <v>453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5</v>
      </c>
      <c r="J156" s="35">
        <v>0</v>
      </c>
      <c r="K156" s="35">
        <v>0</v>
      </c>
      <c r="L156" s="35">
        <v>0</v>
      </c>
      <c r="M156">
        <v>5</v>
      </c>
      <c r="N156">
        <v>0</v>
      </c>
      <c r="O156">
        <v>5</v>
      </c>
      <c r="P156">
        <v>1932</v>
      </c>
      <c r="Q156">
        <v>1213</v>
      </c>
      <c r="R156">
        <v>1383</v>
      </c>
      <c r="S156">
        <v>1499</v>
      </c>
      <c r="T156">
        <v>12</v>
      </c>
      <c r="U156">
        <v>7</v>
      </c>
      <c r="V156">
        <v>6</v>
      </c>
      <c r="W156">
        <v>13</v>
      </c>
      <c r="X156" s="23">
        <v>0.0062111801242236</v>
      </c>
      <c r="Y156" s="23">
        <v>0.00577081615828524</v>
      </c>
      <c r="Z156" s="23">
        <v>0.00433839479392625</v>
      </c>
      <c r="AA156" s="23">
        <v>0.00867244829886591</v>
      </c>
      <c r="AB156">
        <v>2.73</v>
      </c>
      <c r="AC156">
        <v>2.11</v>
      </c>
      <c r="AD156">
        <v>1.55</v>
      </c>
      <c r="AE156">
        <v>4.91</v>
      </c>
      <c r="AF156" s="23" t="s">
        <v>473</v>
      </c>
      <c r="AG156" s="23" t="s">
        <v>474</v>
      </c>
      <c r="AH156" s="23" t="s">
        <v>475</v>
      </c>
      <c r="AI156" s="23" t="s">
        <v>476</v>
      </c>
      <c r="AJ156">
        <v>6</v>
      </c>
      <c r="AK156">
        <v>4</v>
      </c>
      <c r="AL156">
        <v>4</v>
      </c>
      <c r="AM156">
        <v>8</v>
      </c>
      <c r="AN156" s="23">
        <v>0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5</v>
      </c>
      <c r="AU156" s="33" t="str">
        <f t="shared" si="6"/>
        <v>库存为5</v>
      </c>
      <c r="AV156" s="38" t="str">
        <f>IFERROR(时间!$B$4+AU156,"上周无销量")</f>
        <v>上周无销量</v>
      </c>
    </row>
    <row r="157" spans="1:48">
      <c r="A157" s="21" t="s">
        <v>477</v>
      </c>
      <c r="B157" t="s">
        <v>478</v>
      </c>
      <c r="C157" t="s">
        <v>453</v>
      </c>
      <c r="D157" s="33">
        <v>0</v>
      </c>
      <c r="E157" s="33">
        <v>0</v>
      </c>
      <c r="F157" s="33">
        <v>0</v>
      </c>
      <c r="G157" s="33">
        <v>1</v>
      </c>
      <c r="H157" s="34">
        <v>13.9</v>
      </c>
      <c r="I157">
        <v>12</v>
      </c>
      <c r="J157" s="35">
        <v>0</v>
      </c>
      <c r="K157" s="35">
        <v>0</v>
      </c>
      <c r="L157" s="35">
        <v>0</v>
      </c>
      <c r="M157">
        <v>12</v>
      </c>
      <c r="N157">
        <v>0</v>
      </c>
      <c r="O157">
        <v>11</v>
      </c>
      <c r="P157">
        <v>34</v>
      </c>
      <c r="Q157">
        <v>18</v>
      </c>
      <c r="R157">
        <v>23</v>
      </c>
      <c r="S157">
        <v>22</v>
      </c>
      <c r="T157">
        <v>0</v>
      </c>
      <c r="U157">
        <v>0</v>
      </c>
      <c r="V157">
        <v>0</v>
      </c>
      <c r="W157">
        <v>1</v>
      </c>
      <c r="X157" s="23">
        <v>0</v>
      </c>
      <c r="Y157" s="23">
        <v>0</v>
      </c>
      <c r="Z157" s="23">
        <v>0</v>
      </c>
      <c r="AA157" s="23">
        <v>0.0454545454545455</v>
      </c>
      <c r="AB157">
        <v>0</v>
      </c>
      <c r="AC157">
        <v>0</v>
      </c>
      <c r="AD157">
        <v>0</v>
      </c>
      <c r="AE157">
        <v>0.43</v>
      </c>
      <c r="AF157" s="23" t="s">
        <v>55</v>
      </c>
      <c r="AG157" s="23" t="s">
        <v>55</v>
      </c>
      <c r="AH157" s="23" t="s">
        <v>55</v>
      </c>
      <c r="AI157" s="23">
        <v>0.0309352517985611</v>
      </c>
      <c r="AJ157">
        <v>4</v>
      </c>
      <c r="AK157">
        <v>1</v>
      </c>
      <c r="AL157">
        <v>1</v>
      </c>
      <c r="AM157">
        <v>7</v>
      </c>
      <c r="AN157" s="23">
        <v>0</v>
      </c>
      <c r="AO157" s="23">
        <v>0</v>
      </c>
      <c r="AP157" s="23">
        <v>0</v>
      </c>
      <c r="AQ157" s="23">
        <v>0.142857142857143</v>
      </c>
      <c r="AR157" s="37">
        <v>0</v>
      </c>
      <c r="AS157" s="37">
        <v>0</v>
      </c>
      <c r="AT157" s="37">
        <v>12</v>
      </c>
      <c r="AU157" s="33" t="str">
        <f t="shared" si="6"/>
        <v>库存为12</v>
      </c>
      <c r="AV157" s="38" t="str">
        <f>IFERROR(时间!$B$4+AU157,"上周无销量")</f>
        <v>上周无销量</v>
      </c>
    </row>
    <row r="158" spans="1:48">
      <c r="A158" s="21" t="s">
        <v>479</v>
      </c>
      <c r="B158" t="s">
        <v>480</v>
      </c>
      <c r="C158" t="s">
        <v>453</v>
      </c>
      <c r="D158" s="33">
        <v>0</v>
      </c>
      <c r="E158" s="33">
        <v>0</v>
      </c>
      <c r="F158" s="33">
        <v>2</v>
      </c>
      <c r="G158" s="33">
        <v>0</v>
      </c>
      <c r="H158" s="34">
        <v>13.9</v>
      </c>
      <c r="I158">
        <v>1</v>
      </c>
      <c r="J158" s="35">
        <v>0</v>
      </c>
      <c r="K158" s="35">
        <v>0</v>
      </c>
      <c r="L158" s="35">
        <v>0</v>
      </c>
      <c r="M158">
        <v>1</v>
      </c>
      <c r="N158">
        <v>0</v>
      </c>
      <c r="O158">
        <v>1</v>
      </c>
      <c r="P158">
        <v>55</v>
      </c>
      <c r="Q158">
        <v>52</v>
      </c>
      <c r="R158">
        <v>25</v>
      </c>
      <c r="S158">
        <v>29</v>
      </c>
      <c r="T158">
        <v>2</v>
      </c>
      <c r="U158">
        <v>1</v>
      </c>
      <c r="V158">
        <v>0</v>
      </c>
      <c r="W158">
        <v>0</v>
      </c>
      <c r="X158" s="23">
        <v>0.0363636363636364</v>
      </c>
      <c r="Y158" s="23">
        <v>0.0192307692307692</v>
      </c>
      <c r="Z158" s="23">
        <v>0</v>
      </c>
      <c r="AA158" s="23">
        <v>0</v>
      </c>
      <c r="AB158">
        <v>1.06</v>
      </c>
      <c r="AC158">
        <v>0.69</v>
      </c>
      <c r="AD158">
        <v>0</v>
      </c>
      <c r="AE158">
        <v>0</v>
      </c>
      <c r="AF158" s="23" t="s">
        <v>481</v>
      </c>
      <c r="AG158" s="23" t="s">
        <v>482</v>
      </c>
      <c r="AH158" s="23" t="s">
        <v>55</v>
      </c>
      <c r="AI158" s="23" t="s">
        <v>55</v>
      </c>
      <c r="AJ158">
        <v>5</v>
      </c>
      <c r="AK158">
        <v>3</v>
      </c>
      <c r="AL158">
        <v>2</v>
      </c>
      <c r="AM158">
        <v>5</v>
      </c>
      <c r="AN158" s="23">
        <v>0</v>
      </c>
      <c r="AO158" s="23">
        <v>0</v>
      </c>
      <c r="AP158" s="23">
        <v>1</v>
      </c>
      <c r="AQ158" s="23">
        <v>0</v>
      </c>
      <c r="AR158" s="37">
        <v>0</v>
      </c>
      <c r="AS158" s="37">
        <v>0</v>
      </c>
      <c r="AT158" s="37">
        <v>1</v>
      </c>
      <c r="AU158" s="33" t="str">
        <f t="shared" si="6"/>
        <v>库存为1</v>
      </c>
      <c r="AV158" s="38" t="str">
        <f>IFERROR(时间!$B$4+AU158,"上周无销量")</f>
        <v>上周无销量</v>
      </c>
    </row>
    <row r="159" spans="1:48">
      <c r="A159" s="21" t="s">
        <v>483</v>
      </c>
      <c r="B159" t="s">
        <v>484</v>
      </c>
      <c r="C159" t="s">
        <v>453</v>
      </c>
      <c r="D159" s="33">
        <v>1</v>
      </c>
      <c r="E159" s="33">
        <v>0</v>
      </c>
      <c r="F159" s="33">
        <v>0</v>
      </c>
      <c r="G159" s="33">
        <v>0</v>
      </c>
      <c r="H159" s="34">
        <v>13.9</v>
      </c>
      <c r="I159">
        <v>8</v>
      </c>
      <c r="J159" s="35">
        <v>0</v>
      </c>
      <c r="K159" s="35">
        <v>0</v>
      </c>
      <c r="L159" s="35">
        <v>0</v>
      </c>
      <c r="M159">
        <v>8</v>
      </c>
      <c r="N159">
        <v>0</v>
      </c>
      <c r="O159">
        <v>9</v>
      </c>
      <c r="P159">
        <v>18</v>
      </c>
      <c r="Q159">
        <v>38</v>
      </c>
      <c r="R159">
        <v>27</v>
      </c>
      <c r="S159">
        <v>74</v>
      </c>
      <c r="T159">
        <v>1</v>
      </c>
      <c r="U159">
        <v>2</v>
      </c>
      <c r="V159">
        <v>2</v>
      </c>
      <c r="W159">
        <v>1</v>
      </c>
      <c r="X159" s="23">
        <v>0.0555555555555556</v>
      </c>
      <c r="Y159" s="23">
        <v>0.0526315789473684</v>
      </c>
      <c r="Z159" s="23">
        <v>0.0740740740740741</v>
      </c>
      <c r="AA159" s="23">
        <v>0.0135135135135135</v>
      </c>
      <c r="AB159">
        <v>0.02</v>
      </c>
      <c r="AC159">
        <v>0.3</v>
      </c>
      <c r="AD159">
        <v>0.04</v>
      </c>
      <c r="AE159">
        <v>0.02</v>
      </c>
      <c r="AF159" s="23">
        <v>0.00143884892086331</v>
      </c>
      <c r="AG159" s="23" t="s">
        <v>236</v>
      </c>
      <c r="AH159" s="23" t="s">
        <v>221</v>
      </c>
      <c r="AI159" s="23" t="s">
        <v>485</v>
      </c>
      <c r="AJ159">
        <v>3</v>
      </c>
      <c r="AK159">
        <v>1</v>
      </c>
      <c r="AL159">
        <v>0</v>
      </c>
      <c r="AM159">
        <v>3</v>
      </c>
      <c r="AN159" s="23">
        <v>0.333333333333333</v>
      </c>
      <c r="AO159" s="23">
        <v>0</v>
      </c>
      <c r="AP159" s="23" t="s">
        <v>55</v>
      </c>
      <c r="AQ159" s="23">
        <v>0</v>
      </c>
      <c r="AR159" s="37">
        <v>0.142857142857143</v>
      </c>
      <c r="AS159" s="37">
        <v>8.57142857142857</v>
      </c>
      <c r="AT159" s="37">
        <v>-0.571428571428571</v>
      </c>
      <c r="AU159" s="33">
        <f t="shared" si="6"/>
        <v>56</v>
      </c>
      <c r="AV159" s="38">
        <f>IFERROR(时间!$B$4+AU159,"上周无销量")</f>
        <v>43339</v>
      </c>
    </row>
    <row r="160" spans="1:48">
      <c r="A160" s="21" t="s">
        <v>486</v>
      </c>
      <c r="B160" t="s">
        <v>487</v>
      </c>
      <c r="C160" t="s">
        <v>453</v>
      </c>
      <c r="D160" s="33">
        <v>0</v>
      </c>
      <c r="E160" s="33">
        <v>1</v>
      </c>
      <c r="F160" s="33">
        <v>0</v>
      </c>
      <c r="G160" s="33">
        <v>0</v>
      </c>
      <c r="H160" s="34">
        <v>13.9</v>
      </c>
      <c r="I160">
        <v>0</v>
      </c>
      <c r="J160" s="35">
        <v>0</v>
      </c>
      <c r="K160" s="35">
        <v>0</v>
      </c>
      <c r="L160" s="35">
        <v>0</v>
      </c>
      <c r="M160">
        <v>0</v>
      </c>
      <c r="N160">
        <v>0</v>
      </c>
      <c r="O160">
        <v>0</v>
      </c>
      <c r="P160">
        <v>0</v>
      </c>
      <c r="Q160">
        <v>50</v>
      </c>
      <c r="R160">
        <v>51</v>
      </c>
      <c r="S160">
        <v>51</v>
      </c>
      <c r="T160">
        <v>0</v>
      </c>
      <c r="U160">
        <v>0</v>
      </c>
      <c r="V160">
        <v>4</v>
      </c>
      <c r="W160">
        <v>0</v>
      </c>
      <c r="X160" s="23" t="s">
        <v>55</v>
      </c>
      <c r="Y160" s="23">
        <v>0</v>
      </c>
      <c r="Z160" s="23">
        <v>0.0784313725490196</v>
      </c>
      <c r="AA160" s="23">
        <v>0</v>
      </c>
      <c r="AB160">
        <v>0</v>
      </c>
      <c r="AC160">
        <v>0</v>
      </c>
      <c r="AD160">
        <v>2.07</v>
      </c>
      <c r="AE160">
        <v>0</v>
      </c>
      <c r="AF160" s="23" t="s">
        <v>55</v>
      </c>
      <c r="AG160" s="23" t="s">
        <v>55</v>
      </c>
      <c r="AH160" s="23" t="s">
        <v>488</v>
      </c>
      <c r="AI160" s="23" t="s">
        <v>55</v>
      </c>
      <c r="AJ160">
        <v>0</v>
      </c>
      <c r="AK160">
        <v>0</v>
      </c>
      <c r="AL160">
        <v>2</v>
      </c>
      <c r="AM160">
        <v>3</v>
      </c>
      <c r="AN160" s="23" t="s">
        <v>55</v>
      </c>
      <c r="AO160" s="23" t="s">
        <v>55</v>
      </c>
      <c r="AP160" s="23">
        <v>0</v>
      </c>
      <c r="AQ160" s="23">
        <v>0</v>
      </c>
      <c r="AR160" s="37">
        <v>0</v>
      </c>
      <c r="AS160" s="37">
        <v>0</v>
      </c>
      <c r="AT160" s="37">
        <v>0</v>
      </c>
      <c r="AU160" s="33" t="str">
        <f t="shared" si="6"/>
        <v>库存为0</v>
      </c>
      <c r="AV160" s="38" t="str">
        <f>IFERROR(时间!$B$4+AU160,"上周无销量")</f>
        <v>上周无销量</v>
      </c>
    </row>
    <row r="161" spans="1:48">
      <c r="A161" s="21" t="s">
        <v>489</v>
      </c>
      <c r="B161" t="s">
        <v>490</v>
      </c>
      <c r="C161" t="s">
        <v>453</v>
      </c>
      <c r="D161" s="33">
        <v>0</v>
      </c>
      <c r="E161" s="33">
        <v>1</v>
      </c>
      <c r="F161" s="33">
        <v>0</v>
      </c>
      <c r="G161" s="33">
        <v>0</v>
      </c>
      <c r="H161" s="34">
        <v>13.9</v>
      </c>
      <c r="I161">
        <v>0</v>
      </c>
      <c r="J161" s="35">
        <v>0</v>
      </c>
      <c r="K161" s="35">
        <v>0</v>
      </c>
      <c r="L161" s="35">
        <v>0</v>
      </c>
      <c r="M161">
        <v>0</v>
      </c>
      <c r="N161">
        <v>0</v>
      </c>
      <c r="O161">
        <v>0</v>
      </c>
      <c r="P161">
        <v>0</v>
      </c>
      <c r="Q161">
        <v>9</v>
      </c>
      <c r="R161">
        <v>75</v>
      </c>
      <c r="S161">
        <v>122</v>
      </c>
      <c r="T161">
        <v>0</v>
      </c>
      <c r="U161">
        <v>0</v>
      </c>
      <c r="V161">
        <v>1</v>
      </c>
      <c r="W161">
        <v>1</v>
      </c>
      <c r="X161" s="23" t="s">
        <v>55</v>
      </c>
      <c r="Y161" s="23">
        <v>0</v>
      </c>
      <c r="Z161" s="23">
        <v>0.0133333333333333</v>
      </c>
      <c r="AA161" s="23">
        <v>0.00819672131147541</v>
      </c>
      <c r="AB161">
        <v>0</v>
      </c>
      <c r="AC161">
        <v>0</v>
      </c>
      <c r="AD161">
        <v>0.52</v>
      </c>
      <c r="AE161">
        <v>0.32</v>
      </c>
      <c r="AF161" s="23" t="s">
        <v>55</v>
      </c>
      <c r="AG161" s="23" t="s">
        <v>55</v>
      </c>
      <c r="AH161" s="23" t="s">
        <v>491</v>
      </c>
      <c r="AI161" s="23" t="s">
        <v>143</v>
      </c>
      <c r="AJ161">
        <v>0</v>
      </c>
      <c r="AK161">
        <v>0</v>
      </c>
      <c r="AL161">
        <v>2</v>
      </c>
      <c r="AM161">
        <v>2</v>
      </c>
      <c r="AN161" s="23" t="s">
        <v>55</v>
      </c>
      <c r="AO161" s="23" t="s">
        <v>55</v>
      </c>
      <c r="AP161" s="23">
        <v>0</v>
      </c>
      <c r="AQ161" s="23">
        <v>0</v>
      </c>
      <c r="AR161" s="37">
        <v>0</v>
      </c>
      <c r="AS161" s="37">
        <v>0</v>
      </c>
      <c r="AT161" s="37">
        <v>0</v>
      </c>
      <c r="AU161" s="33" t="str">
        <f t="shared" si="6"/>
        <v>库存为0</v>
      </c>
      <c r="AV161" s="38" t="str">
        <f>IFERROR(时间!$B$4+AU161,"上周无销量")</f>
        <v>上周无销量</v>
      </c>
    </row>
    <row r="162" spans="1:48">
      <c r="A162" s="21" t="s">
        <v>492</v>
      </c>
      <c r="B162" t="s">
        <v>493</v>
      </c>
      <c r="C162" t="s">
        <v>453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2</v>
      </c>
      <c r="J162" s="35">
        <v>0</v>
      </c>
      <c r="K162" s="35">
        <v>0</v>
      </c>
      <c r="L162" s="35">
        <v>0</v>
      </c>
      <c r="M162">
        <v>2</v>
      </c>
      <c r="N162">
        <v>0</v>
      </c>
      <c r="O162">
        <v>2</v>
      </c>
      <c r="P162">
        <v>3207</v>
      </c>
      <c r="Q162">
        <v>3112</v>
      </c>
      <c r="R162">
        <v>2221</v>
      </c>
      <c r="S162">
        <v>2658</v>
      </c>
      <c r="T162">
        <v>12</v>
      </c>
      <c r="U162">
        <v>14</v>
      </c>
      <c r="V162">
        <v>6</v>
      </c>
      <c r="W162">
        <v>12</v>
      </c>
      <c r="X162" s="23">
        <v>0.00374181478016838</v>
      </c>
      <c r="Y162" s="23">
        <v>0.0044987146529563</v>
      </c>
      <c r="Z162" s="23">
        <v>0.00270148581719946</v>
      </c>
      <c r="AA162" s="23">
        <v>0.00451467268623025</v>
      </c>
      <c r="AB162">
        <v>4.53</v>
      </c>
      <c r="AC162">
        <v>4.15</v>
      </c>
      <c r="AD162">
        <v>2.58</v>
      </c>
      <c r="AE162">
        <v>3.93</v>
      </c>
      <c r="AF162" s="23" t="s">
        <v>494</v>
      </c>
      <c r="AG162" s="23" t="s">
        <v>495</v>
      </c>
      <c r="AH162" s="23" t="s">
        <v>496</v>
      </c>
      <c r="AI162" s="23" t="s">
        <v>497</v>
      </c>
      <c r="AJ162">
        <v>5</v>
      </c>
      <c r="AK162">
        <v>5</v>
      </c>
      <c r="AL162">
        <v>4</v>
      </c>
      <c r="AM162">
        <v>2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2</v>
      </c>
      <c r="AU162" s="33" t="str">
        <f t="shared" si="6"/>
        <v>库存为2</v>
      </c>
      <c r="AV162" s="38" t="str">
        <f>IFERROR(时间!$B$4+AU162,"上周无销量")</f>
        <v>上周无销量</v>
      </c>
    </row>
    <row r="163" spans="1:48">
      <c r="A163" s="21" t="s">
        <v>498</v>
      </c>
      <c r="B163" t="s">
        <v>499</v>
      </c>
      <c r="C163" t="s">
        <v>453</v>
      </c>
      <c r="D163" s="33">
        <v>1</v>
      </c>
      <c r="E163" s="33">
        <v>1</v>
      </c>
      <c r="F163" s="33">
        <v>0</v>
      </c>
      <c r="G163" s="33">
        <v>0</v>
      </c>
      <c r="H163" s="34">
        <v>13.9</v>
      </c>
      <c r="I163">
        <v>0</v>
      </c>
      <c r="J163" s="35">
        <v>0</v>
      </c>
      <c r="K163" s="35">
        <v>0</v>
      </c>
      <c r="L163" s="35">
        <v>0</v>
      </c>
      <c r="M163">
        <v>0</v>
      </c>
      <c r="N163">
        <v>0</v>
      </c>
      <c r="O163">
        <v>1</v>
      </c>
      <c r="P163">
        <v>38</v>
      </c>
      <c r="Q163">
        <v>107</v>
      </c>
      <c r="R163">
        <v>72</v>
      </c>
      <c r="S163">
        <v>82</v>
      </c>
      <c r="T163">
        <v>1</v>
      </c>
      <c r="U163">
        <v>1</v>
      </c>
      <c r="V163">
        <v>0</v>
      </c>
      <c r="W163">
        <v>0</v>
      </c>
      <c r="X163" s="23">
        <v>0.0263157894736842</v>
      </c>
      <c r="Y163" s="23">
        <v>0.00934579439252336</v>
      </c>
      <c r="Z163" s="23">
        <v>0</v>
      </c>
      <c r="AA163" s="23">
        <v>0</v>
      </c>
      <c r="AB163">
        <v>0.51</v>
      </c>
      <c r="AC163">
        <v>0.69</v>
      </c>
      <c r="AD163">
        <v>0</v>
      </c>
      <c r="AE163">
        <v>0</v>
      </c>
      <c r="AF163" s="23">
        <v>0.0366906474820144</v>
      </c>
      <c r="AG163" s="23">
        <v>0.0496402877697842</v>
      </c>
      <c r="AH163" s="23" t="s">
        <v>55</v>
      </c>
      <c r="AI163" s="23" t="s">
        <v>55</v>
      </c>
      <c r="AJ163">
        <v>2</v>
      </c>
      <c r="AK163">
        <v>3</v>
      </c>
      <c r="AL163">
        <v>1</v>
      </c>
      <c r="AM163">
        <v>1</v>
      </c>
      <c r="AN163" s="23">
        <v>0.5</v>
      </c>
      <c r="AO163" s="23">
        <v>0.333333333333333</v>
      </c>
      <c r="AP163" s="23">
        <v>0</v>
      </c>
      <c r="AQ163" s="23">
        <v>0</v>
      </c>
      <c r="AR163" s="37">
        <v>0.142857142857143</v>
      </c>
      <c r="AS163" s="37">
        <v>8.57142857142857</v>
      </c>
      <c r="AT163" s="37">
        <v>-8.57142857142857</v>
      </c>
      <c r="AU163" s="33">
        <f t="shared" si="6"/>
        <v>0</v>
      </c>
      <c r="AV163" s="38">
        <f>IFERROR(时间!$B$4+AU163,"上周无销量")</f>
        <v>43283</v>
      </c>
    </row>
    <row r="164" spans="1:48">
      <c r="A164" s="21" t="s">
        <v>500</v>
      </c>
      <c r="B164" t="s">
        <v>501</v>
      </c>
      <c r="C164" t="s">
        <v>502</v>
      </c>
      <c r="D164" s="33">
        <v>1</v>
      </c>
      <c r="E164" s="33">
        <v>0</v>
      </c>
      <c r="F164" s="33">
        <v>0</v>
      </c>
      <c r="G164" s="33">
        <v>1</v>
      </c>
      <c r="H164" s="34">
        <v>9.21</v>
      </c>
      <c r="I164">
        <v>34</v>
      </c>
      <c r="J164" s="35">
        <v>0</v>
      </c>
      <c r="K164" s="35">
        <v>0</v>
      </c>
      <c r="L164" s="35">
        <v>0</v>
      </c>
      <c r="M164">
        <v>34</v>
      </c>
      <c r="N164">
        <v>0</v>
      </c>
      <c r="O164">
        <v>34</v>
      </c>
      <c r="P164">
        <v>556</v>
      </c>
      <c r="Q164">
        <v>516</v>
      </c>
      <c r="R164">
        <v>861</v>
      </c>
      <c r="S164">
        <v>1364</v>
      </c>
      <c r="T164">
        <v>1</v>
      </c>
      <c r="U164">
        <v>5</v>
      </c>
      <c r="V164">
        <v>5</v>
      </c>
      <c r="W164">
        <v>6</v>
      </c>
      <c r="X164" s="23">
        <v>0.00179856115107914</v>
      </c>
      <c r="Y164" s="23">
        <v>0.00968992248062015</v>
      </c>
      <c r="Z164" s="23">
        <v>0.00580720092915215</v>
      </c>
      <c r="AA164" s="23">
        <v>0.00439882697947214</v>
      </c>
      <c r="AB164">
        <v>0.41</v>
      </c>
      <c r="AC164">
        <v>2.17</v>
      </c>
      <c r="AD164">
        <v>1.96</v>
      </c>
      <c r="AE164">
        <v>2.5</v>
      </c>
      <c r="AF164" s="23">
        <v>0.0445168295331162</v>
      </c>
      <c r="AG164" s="23" t="s">
        <v>503</v>
      </c>
      <c r="AH164" s="23" t="s">
        <v>504</v>
      </c>
      <c r="AI164" s="23">
        <v>0.271444082519001</v>
      </c>
      <c r="AJ164">
        <v>10</v>
      </c>
      <c r="AK164">
        <v>3</v>
      </c>
      <c r="AL164">
        <v>2</v>
      </c>
      <c r="AM164">
        <v>2</v>
      </c>
      <c r="AN164" s="23">
        <v>0.1</v>
      </c>
      <c r="AO164" s="23">
        <v>0</v>
      </c>
      <c r="AP164" s="23">
        <v>0</v>
      </c>
      <c r="AQ164" s="23">
        <v>0.5</v>
      </c>
      <c r="AR164" s="37">
        <v>0.142857142857143</v>
      </c>
      <c r="AS164" s="37">
        <v>8.57142857142857</v>
      </c>
      <c r="AT164" s="37">
        <v>25.4285714285714</v>
      </c>
      <c r="AU164" s="33">
        <f t="shared" si="6"/>
        <v>238</v>
      </c>
      <c r="AV164" s="38">
        <f>IFERROR(时间!$B$4+AU164,"上周无销量")</f>
        <v>43521</v>
      </c>
    </row>
    <row r="165" spans="1:48">
      <c r="A165" s="21" t="s">
        <v>505</v>
      </c>
      <c r="B165" t="s">
        <v>506</v>
      </c>
      <c r="C165" t="s">
        <v>502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22</v>
      </c>
      <c r="J165" s="35">
        <v>0</v>
      </c>
      <c r="K165" s="35">
        <v>0</v>
      </c>
      <c r="L165" s="35">
        <v>0</v>
      </c>
      <c r="M165">
        <v>22</v>
      </c>
      <c r="N165">
        <v>0</v>
      </c>
      <c r="O165">
        <v>22</v>
      </c>
      <c r="P165">
        <v>170</v>
      </c>
      <c r="Q165">
        <v>113</v>
      </c>
      <c r="R165">
        <v>71</v>
      </c>
      <c r="S165">
        <v>546</v>
      </c>
      <c r="T165">
        <v>2</v>
      </c>
      <c r="U165">
        <v>0</v>
      </c>
      <c r="V165">
        <v>0</v>
      </c>
      <c r="W165">
        <v>1</v>
      </c>
      <c r="X165" s="23">
        <v>0.0117647058823529</v>
      </c>
      <c r="Y165" s="23">
        <v>0</v>
      </c>
      <c r="Z165" s="23">
        <v>0</v>
      </c>
      <c r="AA165" s="23">
        <v>0.00183150183150183</v>
      </c>
      <c r="AB165">
        <v>0.54</v>
      </c>
      <c r="AC165">
        <v>0</v>
      </c>
      <c r="AD165">
        <v>0</v>
      </c>
      <c r="AE165">
        <v>0.52</v>
      </c>
      <c r="AF165" s="23" t="s">
        <v>507</v>
      </c>
      <c r="AG165" s="23" t="s">
        <v>55</v>
      </c>
      <c r="AH165" s="23" t="s">
        <v>55</v>
      </c>
      <c r="AI165" s="23" t="s">
        <v>491</v>
      </c>
      <c r="AJ165">
        <v>5</v>
      </c>
      <c r="AK165">
        <v>3</v>
      </c>
      <c r="AL165">
        <v>4</v>
      </c>
      <c r="AM165">
        <v>0</v>
      </c>
      <c r="AN165" s="23">
        <v>0</v>
      </c>
      <c r="AO165" s="23">
        <v>0</v>
      </c>
      <c r="AP165" s="23">
        <v>0</v>
      </c>
      <c r="AQ165" s="23" t="s">
        <v>55</v>
      </c>
      <c r="AR165" s="37">
        <v>0</v>
      </c>
      <c r="AS165" s="37">
        <v>0</v>
      </c>
      <c r="AT165" s="37">
        <v>22</v>
      </c>
      <c r="AU165" s="33" t="str">
        <f t="shared" si="6"/>
        <v>库存为22</v>
      </c>
      <c r="AV165" s="38" t="str">
        <f>IFERROR(时间!$B$4+AU165,"上周无销量")</f>
        <v>上周无销量</v>
      </c>
    </row>
    <row r="166" spans="1:48">
      <c r="A166" s="21" t="s">
        <v>508</v>
      </c>
      <c r="B166" t="s">
        <v>509</v>
      </c>
      <c r="C166" t="s">
        <v>502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48</v>
      </c>
      <c r="J166" s="35">
        <v>0</v>
      </c>
      <c r="K166" s="35">
        <v>0</v>
      </c>
      <c r="L166" s="35">
        <v>0</v>
      </c>
      <c r="M166">
        <v>48</v>
      </c>
      <c r="N166">
        <v>0</v>
      </c>
      <c r="O166">
        <v>48</v>
      </c>
      <c r="P166">
        <v>214</v>
      </c>
      <c r="Q166">
        <v>109</v>
      </c>
      <c r="R166">
        <v>113</v>
      </c>
      <c r="S166">
        <v>215</v>
      </c>
      <c r="T166">
        <v>0</v>
      </c>
      <c r="U166">
        <v>1</v>
      </c>
      <c r="V166">
        <v>1</v>
      </c>
      <c r="W166">
        <v>1</v>
      </c>
      <c r="X166" s="23">
        <v>0</v>
      </c>
      <c r="Y166" s="23">
        <v>0.00917431192660551</v>
      </c>
      <c r="Z166" s="23">
        <v>0.00884955752212389</v>
      </c>
      <c r="AA166" s="23">
        <v>0.00465116279069767</v>
      </c>
      <c r="AB166">
        <v>0</v>
      </c>
      <c r="AC166">
        <v>0.69</v>
      </c>
      <c r="AD166">
        <v>0.74</v>
      </c>
      <c r="AE166">
        <v>0.34</v>
      </c>
      <c r="AF166" s="23" t="s">
        <v>55</v>
      </c>
      <c r="AG166" s="23" t="s">
        <v>482</v>
      </c>
      <c r="AH166" s="23" t="s">
        <v>258</v>
      </c>
      <c r="AI166" s="23" t="s">
        <v>94</v>
      </c>
      <c r="AJ166">
        <v>5</v>
      </c>
      <c r="AK166">
        <v>1</v>
      </c>
      <c r="AL166">
        <v>2</v>
      </c>
      <c r="AM166">
        <v>2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48</v>
      </c>
      <c r="AU166" s="33" t="str">
        <f t="shared" si="6"/>
        <v>库存为48</v>
      </c>
      <c r="AV166" s="38" t="str">
        <f>IFERROR(时间!$B$4+AU166,"上周无销量")</f>
        <v>上周无销量</v>
      </c>
    </row>
    <row r="167" spans="1:48">
      <c r="A167" s="21" t="s">
        <v>510</v>
      </c>
      <c r="B167" t="s">
        <v>511</v>
      </c>
      <c r="C167" t="s">
        <v>502</v>
      </c>
      <c r="D167" s="33">
        <v>1</v>
      </c>
      <c r="E167" s="33">
        <v>1</v>
      </c>
      <c r="F167" s="33">
        <v>0</v>
      </c>
      <c r="G167" s="33">
        <v>0</v>
      </c>
      <c r="H167" s="34">
        <v>8.86</v>
      </c>
      <c r="I167">
        <v>41</v>
      </c>
      <c r="J167" s="35">
        <v>0</v>
      </c>
      <c r="K167" s="35">
        <v>0</v>
      </c>
      <c r="L167" s="35">
        <v>0</v>
      </c>
      <c r="M167">
        <v>41</v>
      </c>
      <c r="N167">
        <v>0</v>
      </c>
      <c r="O167">
        <v>42</v>
      </c>
      <c r="P167">
        <v>348</v>
      </c>
      <c r="Q167">
        <v>395</v>
      </c>
      <c r="R167">
        <v>660</v>
      </c>
      <c r="S167">
        <v>833</v>
      </c>
      <c r="T167">
        <v>1</v>
      </c>
      <c r="U167">
        <v>3</v>
      </c>
      <c r="V167">
        <v>2</v>
      </c>
      <c r="W167">
        <v>5</v>
      </c>
      <c r="X167" s="23">
        <v>0.0028735632183908</v>
      </c>
      <c r="Y167" s="23">
        <v>0.00759493670886076</v>
      </c>
      <c r="Z167" s="23">
        <v>0.00303030303030303</v>
      </c>
      <c r="AA167" s="23">
        <v>0.00600240096038415</v>
      </c>
      <c r="AB167">
        <v>0.7</v>
      </c>
      <c r="AC167">
        <v>1.57</v>
      </c>
      <c r="AD167">
        <v>0.9</v>
      </c>
      <c r="AE167">
        <v>2.41</v>
      </c>
      <c r="AF167" s="23">
        <v>0.0790067720090293</v>
      </c>
      <c r="AG167" s="23">
        <v>0.177200902934537</v>
      </c>
      <c r="AH167" s="23" t="s">
        <v>512</v>
      </c>
      <c r="AI167" s="23" t="s">
        <v>513</v>
      </c>
      <c r="AJ167">
        <v>5</v>
      </c>
      <c r="AK167">
        <v>1</v>
      </c>
      <c r="AL167">
        <v>0</v>
      </c>
      <c r="AM167">
        <v>2</v>
      </c>
      <c r="AN167" s="23">
        <v>0.2</v>
      </c>
      <c r="AO167" s="23">
        <v>1</v>
      </c>
      <c r="AP167" s="23" t="s">
        <v>55</v>
      </c>
      <c r="AQ167" s="23">
        <v>0</v>
      </c>
      <c r="AR167" s="37">
        <v>0.142857142857143</v>
      </c>
      <c r="AS167" s="37">
        <v>8.57142857142857</v>
      </c>
      <c r="AT167" s="37">
        <v>32.4285714285714</v>
      </c>
      <c r="AU167" s="33">
        <f t="shared" si="6"/>
        <v>287</v>
      </c>
      <c r="AV167" s="38">
        <f>IFERROR(时间!$B$4+AU167,"上周无销量")</f>
        <v>43570</v>
      </c>
    </row>
    <row r="168" spans="1:48">
      <c r="A168" s="21" t="s">
        <v>514</v>
      </c>
      <c r="B168" t="s">
        <v>515</v>
      </c>
      <c r="C168" t="s">
        <v>502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45</v>
      </c>
      <c r="J168" s="35">
        <v>0</v>
      </c>
      <c r="K168" s="35">
        <v>0</v>
      </c>
      <c r="L168" s="35">
        <v>0</v>
      </c>
      <c r="M168">
        <v>45</v>
      </c>
      <c r="N168">
        <v>0</v>
      </c>
      <c r="O168">
        <v>45</v>
      </c>
      <c r="P168">
        <v>252</v>
      </c>
      <c r="Q168">
        <v>1363</v>
      </c>
      <c r="R168">
        <v>364</v>
      </c>
      <c r="S168">
        <v>464</v>
      </c>
      <c r="T168">
        <v>1</v>
      </c>
      <c r="U168">
        <v>2</v>
      </c>
      <c r="V168">
        <v>2</v>
      </c>
      <c r="W168">
        <v>2</v>
      </c>
      <c r="X168" s="23">
        <v>0.00396825396825397</v>
      </c>
      <c r="Y168" s="23">
        <v>0.00146735143066764</v>
      </c>
      <c r="Z168" s="23">
        <v>0.00549450549450549</v>
      </c>
      <c r="AA168" s="23">
        <v>0.00431034482758621</v>
      </c>
      <c r="AB168">
        <v>0.52</v>
      </c>
      <c r="AC168">
        <v>1.14</v>
      </c>
      <c r="AD168">
        <v>0.93</v>
      </c>
      <c r="AE168">
        <v>0.68</v>
      </c>
      <c r="AF168" s="23" t="s">
        <v>491</v>
      </c>
      <c r="AG168" s="23" t="s">
        <v>516</v>
      </c>
      <c r="AH168" s="23" t="s">
        <v>89</v>
      </c>
      <c r="AI168" s="23" t="s">
        <v>255</v>
      </c>
      <c r="AJ168">
        <v>3</v>
      </c>
      <c r="AK168">
        <v>4</v>
      </c>
      <c r="AL168">
        <v>1</v>
      </c>
      <c r="AM168">
        <v>0</v>
      </c>
      <c r="AN168" s="23">
        <v>0</v>
      </c>
      <c r="AO168" s="23">
        <v>0</v>
      </c>
      <c r="AP168" s="23">
        <v>0</v>
      </c>
      <c r="AQ168" s="23" t="s">
        <v>55</v>
      </c>
      <c r="AR168" s="37">
        <v>0</v>
      </c>
      <c r="AS168" s="37">
        <v>0</v>
      </c>
      <c r="AT168" s="37">
        <v>45</v>
      </c>
      <c r="AU168" s="33" t="str">
        <f t="shared" si="6"/>
        <v>库存为45</v>
      </c>
      <c r="AV168" s="38" t="str">
        <f>IFERROR(时间!$B$4+AU168,"上周无销量")</f>
        <v>上周无销量</v>
      </c>
    </row>
    <row r="169" spans="1:48">
      <c r="A169" s="21" t="s">
        <v>517</v>
      </c>
      <c r="B169" t="s">
        <v>518</v>
      </c>
      <c r="C169" t="s">
        <v>519</v>
      </c>
      <c r="D169" s="33">
        <v>2</v>
      </c>
      <c r="E169" s="33">
        <v>0</v>
      </c>
      <c r="F169" s="33">
        <v>0</v>
      </c>
      <c r="G169" s="33">
        <v>0</v>
      </c>
      <c r="H169" s="34">
        <v>11.45</v>
      </c>
      <c r="I169">
        <v>54</v>
      </c>
      <c r="J169" s="35">
        <v>0</v>
      </c>
      <c r="K169" s="35">
        <v>0</v>
      </c>
      <c r="L169" s="35">
        <v>0</v>
      </c>
      <c r="M169">
        <v>54</v>
      </c>
      <c r="N169">
        <v>0</v>
      </c>
      <c r="O169">
        <v>56</v>
      </c>
      <c r="P169">
        <v>669</v>
      </c>
      <c r="Q169">
        <v>550</v>
      </c>
      <c r="R169">
        <v>391</v>
      </c>
      <c r="S169">
        <v>836</v>
      </c>
      <c r="T169">
        <v>4</v>
      </c>
      <c r="U169">
        <v>3</v>
      </c>
      <c r="V169">
        <v>0</v>
      </c>
      <c r="W169">
        <v>3</v>
      </c>
      <c r="X169" s="23">
        <v>0.00597907324364723</v>
      </c>
      <c r="Y169" s="23">
        <v>0.00545454545454545</v>
      </c>
      <c r="Z169" s="23">
        <v>0</v>
      </c>
      <c r="AA169" s="23">
        <v>0.00358851674641148</v>
      </c>
      <c r="AB169">
        <v>1.78</v>
      </c>
      <c r="AC169">
        <v>1.09</v>
      </c>
      <c r="AD169">
        <v>0</v>
      </c>
      <c r="AE169">
        <v>1.12</v>
      </c>
      <c r="AF169" s="23">
        <v>0.0777292576419214</v>
      </c>
      <c r="AG169" s="23" t="s">
        <v>520</v>
      </c>
      <c r="AH169" s="23" t="s">
        <v>55</v>
      </c>
      <c r="AI169" s="23" t="s">
        <v>521</v>
      </c>
      <c r="AJ169">
        <v>7</v>
      </c>
      <c r="AK169">
        <v>3</v>
      </c>
      <c r="AL169">
        <v>1</v>
      </c>
      <c r="AM169">
        <v>2</v>
      </c>
      <c r="AN169" s="23">
        <v>0.285714285714286</v>
      </c>
      <c r="AO169" s="23">
        <v>0</v>
      </c>
      <c r="AP169" s="23">
        <v>0</v>
      </c>
      <c r="AQ169" s="23">
        <v>0</v>
      </c>
      <c r="AR169" s="37">
        <v>0.285714285714286</v>
      </c>
      <c r="AS169" s="37">
        <v>17.1428571428571</v>
      </c>
      <c r="AT169" s="37">
        <v>36.8571428571429</v>
      </c>
      <c r="AU169" s="33">
        <f t="shared" si="6"/>
        <v>189</v>
      </c>
      <c r="AV169" s="38">
        <f>IFERROR(时间!$B$4+AU169,"上周无销量")</f>
        <v>43472</v>
      </c>
    </row>
    <row r="170" spans="1:48">
      <c r="A170" s="21" t="s">
        <v>522</v>
      </c>
      <c r="B170" t="s">
        <v>523</v>
      </c>
      <c r="C170" t="s">
        <v>519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26</v>
      </c>
      <c r="J170" s="35">
        <v>0</v>
      </c>
      <c r="K170" s="35">
        <v>0</v>
      </c>
      <c r="L170" s="35">
        <v>0</v>
      </c>
      <c r="M170">
        <v>26</v>
      </c>
      <c r="N170">
        <v>0</v>
      </c>
      <c r="O170">
        <v>26</v>
      </c>
      <c r="P170">
        <v>18</v>
      </c>
      <c r="Q170">
        <v>25</v>
      </c>
      <c r="R170">
        <v>16</v>
      </c>
      <c r="S170">
        <v>19</v>
      </c>
      <c r="T170">
        <v>0</v>
      </c>
      <c r="U170">
        <v>0</v>
      </c>
      <c r="V170">
        <v>0</v>
      </c>
      <c r="W170">
        <v>0</v>
      </c>
      <c r="X170" s="23">
        <v>0</v>
      </c>
      <c r="Y170" s="23">
        <v>0</v>
      </c>
      <c r="Z170" s="23">
        <v>0</v>
      </c>
      <c r="AA170" s="23">
        <v>0</v>
      </c>
      <c r="AB170">
        <v>0</v>
      </c>
      <c r="AC170">
        <v>0</v>
      </c>
      <c r="AD170">
        <v>0</v>
      </c>
      <c r="AE170">
        <v>0</v>
      </c>
      <c r="AF170" s="23" t="s">
        <v>55</v>
      </c>
      <c r="AG170" s="23" t="s">
        <v>55</v>
      </c>
      <c r="AH170" s="23" t="s">
        <v>55</v>
      </c>
      <c r="AI170" s="23" t="s">
        <v>55</v>
      </c>
      <c r="AJ170">
        <v>3</v>
      </c>
      <c r="AK170">
        <v>2</v>
      </c>
      <c r="AL170">
        <v>0</v>
      </c>
      <c r="AM170">
        <v>3</v>
      </c>
      <c r="AN170" s="23">
        <v>0</v>
      </c>
      <c r="AO170" s="23">
        <v>0</v>
      </c>
      <c r="AP170" s="23" t="s">
        <v>55</v>
      </c>
      <c r="AQ170" s="23">
        <v>0</v>
      </c>
      <c r="AR170" s="37">
        <v>0</v>
      </c>
      <c r="AS170" s="37">
        <v>0</v>
      </c>
      <c r="AT170" s="37">
        <v>26</v>
      </c>
      <c r="AU170" s="33" t="str">
        <f t="shared" si="6"/>
        <v>库存为26</v>
      </c>
      <c r="AV170" s="38" t="str">
        <f>IFERROR(时间!$B$4+AU170,"上周无销量")</f>
        <v>上周无销量</v>
      </c>
    </row>
    <row r="171" spans="1:48">
      <c r="A171" s="21" t="s">
        <v>524</v>
      </c>
      <c r="B171" t="s">
        <v>525</v>
      </c>
      <c r="C171" t="s">
        <v>526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28</v>
      </c>
      <c r="J171" s="35">
        <v>0</v>
      </c>
      <c r="K171" s="35">
        <v>0</v>
      </c>
      <c r="L171" s="35">
        <v>0</v>
      </c>
      <c r="M171">
        <v>28</v>
      </c>
      <c r="N171">
        <v>0</v>
      </c>
      <c r="O171">
        <v>28</v>
      </c>
      <c r="P171">
        <v>331</v>
      </c>
      <c r="Q171">
        <v>389</v>
      </c>
      <c r="R171">
        <v>222</v>
      </c>
      <c r="S171">
        <v>246</v>
      </c>
      <c r="T171">
        <v>1</v>
      </c>
      <c r="U171">
        <v>1</v>
      </c>
      <c r="V171">
        <v>1</v>
      </c>
      <c r="W171">
        <v>0</v>
      </c>
      <c r="X171" s="23">
        <v>0.00302114803625378</v>
      </c>
      <c r="Y171" s="23">
        <v>0.0025706940874036</v>
      </c>
      <c r="Z171" s="23">
        <v>0.0045045045045045</v>
      </c>
      <c r="AA171" s="23">
        <v>0</v>
      </c>
      <c r="AB171">
        <v>0.31</v>
      </c>
      <c r="AC171">
        <v>0.21</v>
      </c>
      <c r="AD171">
        <v>0.26</v>
      </c>
      <c r="AE171">
        <v>0</v>
      </c>
      <c r="AF171" s="23" t="s">
        <v>174</v>
      </c>
      <c r="AG171" s="23" t="s">
        <v>527</v>
      </c>
      <c r="AH171" s="23" t="s">
        <v>332</v>
      </c>
      <c r="AI171" s="23" t="s">
        <v>55</v>
      </c>
      <c r="AJ171">
        <v>2</v>
      </c>
      <c r="AK171">
        <v>5</v>
      </c>
      <c r="AL171">
        <v>1</v>
      </c>
      <c r="AM171">
        <v>1</v>
      </c>
      <c r="AN171" s="23">
        <v>0</v>
      </c>
      <c r="AO171" s="23">
        <v>0</v>
      </c>
      <c r="AP171" s="23">
        <v>0</v>
      </c>
      <c r="AQ171" s="23">
        <v>0</v>
      </c>
      <c r="AR171" s="37">
        <v>0</v>
      </c>
      <c r="AS171" s="37">
        <v>0</v>
      </c>
      <c r="AT171" s="37">
        <v>28</v>
      </c>
      <c r="AU171" s="33" t="str">
        <f t="shared" si="6"/>
        <v>库存为28</v>
      </c>
      <c r="AV171" s="38" t="str">
        <f>IFERROR(时间!$B$4+AU171,"上周无销量")</f>
        <v>上周无销量</v>
      </c>
    </row>
    <row r="172" spans="1:48">
      <c r="A172" s="21" t="s">
        <v>528</v>
      </c>
      <c r="B172" t="s">
        <v>529</v>
      </c>
      <c r="C172" t="s">
        <v>526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27</v>
      </c>
      <c r="J172" s="35">
        <v>0</v>
      </c>
      <c r="K172" s="35">
        <v>0</v>
      </c>
      <c r="L172" s="35">
        <v>0</v>
      </c>
      <c r="M172">
        <v>27</v>
      </c>
      <c r="N172">
        <v>0</v>
      </c>
      <c r="O172">
        <v>27</v>
      </c>
      <c r="P172">
        <v>95</v>
      </c>
      <c r="Q172">
        <v>39</v>
      </c>
      <c r="R172">
        <v>36</v>
      </c>
      <c r="S172">
        <v>54</v>
      </c>
      <c r="T172">
        <v>1</v>
      </c>
      <c r="U172">
        <v>1</v>
      </c>
      <c r="V172">
        <v>1</v>
      </c>
      <c r="W172">
        <v>1</v>
      </c>
      <c r="X172" s="23">
        <v>0.0105263157894737</v>
      </c>
      <c r="Y172" s="23">
        <v>0.0256410256410256</v>
      </c>
      <c r="Z172" s="23">
        <v>0.0277777777777778</v>
      </c>
      <c r="AA172" s="23">
        <v>0.0185185185185185</v>
      </c>
      <c r="AB172">
        <v>0.29</v>
      </c>
      <c r="AC172">
        <v>0.4</v>
      </c>
      <c r="AD172">
        <v>0.37</v>
      </c>
      <c r="AE172">
        <v>0.19</v>
      </c>
      <c r="AF172" s="23" t="s">
        <v>274</v>
      </c>
      <c r="AG172" s="23" t="s">
        <v>308</v>
      </c>
      <c r="AH172" s="23" t="s">
        <v>338</v>
      </c>
      <c r="AI172" s="23" t="s">
        <v>372</v>
      </c>
      <c r="AJ172">
        <v>2</v>
      </c>
      <c r="AK172">
        <v>1</v>
      </c>
      <c r="AL172">
        <v>2</v>
      </c>
      <c r="AM172">
        <v>3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27</v>
      </c>
      <c r="AU172" s="33" t="str">
        <f t="shared" si="6"/>
        <v>库存为27</v>
      </c>
      <c r="AV172" s="38" t="str">
        <f>IFERROR(时间!$B$4+AU172,"上周无销量")</f>
        <v>上周无销量</v>
      </c>
    </row>
    <row r="173" spans="1:48">
      <c r="A173" s="21" t="s">
        <v>530</v>
      </c>
      <c r="B173" t="s">
        <v>531</v>
      </c>
      <c r="C173" t="s">
        <v>526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27</v>
      </c>
      <c r="J173" s="35">
        <v>0</v>
      </c>
      <c r="K173" s="35">
        <v>0</v>
      </c>
      <c r="L173" s="35">
        <v>1</v>
      </c>
      <c r="M173">
        <v>28</v>
      </c>
      <c r="N173">
        <v>0</v>
      </c>
      <c r="O173">
        <v>28</v>
      </c>
      <c r="P173">
        <v>6</v>
      </c>
      <c r="Q173">
        <v>10</v>
      </c>
      <c r="R173">
        <v>3</v>
      </c>
      <c r="S173">
        <v>4</v>
      </c>
      <c r="T173">
        <v>0</v>
      </c>
      <c r="U173">
        <v>0</v>
      </c>
      <c r="V173">
        <v>0</v>
      </c>
      <c r="W173">
        <v>0</v>
      </c>
      <c r="X173" s="23">
        <v>0</v>
      </c>
      <c r="Y173" s="23">
        <v>0</v>
      </c>
      <c r="Z173" s="23">
        <v>0</v>
      </c>
      <c r="AA173" s="23">
        <v>0</v>
      </c>
      <c r="AB173">
        <v>0</v>
      </c>
      <c r="AC173">
        <v>0</v>
      </c>
      <c r="AD173">
        <v>0</v>
      </c>
      <c r="AE173">
        <v>0</v>
      </c>
      <c r="AF173" s="23" t="s">
        <v>55</v>
      </c>
      <c r="AG173" s="23" t="s">
        <v>55</v>
      </c>
      <c r="AH173" s="23" t="s">
        <v>55</v>
      </c>
      <c r="AI173" s="23" t="s">
        <v>55</v>
      </c>
      <c r="AJ173">
        <v>4</v>
      </c>
      <c r="AK173">
        <v>0</v>
      </c>
      <c r="AL173">
        <v>1</v>
      </c>
      <c r="AM173">
        <v>3</v>
      </c>
      <c r="AN173" s="23">
        <v>0</v>
      </c>
      <c r="AO173" s="23" t="s">
        <v>55</v>
      </c>
      <c r="AP173" s="23">
        <v>0</v>
      </c>
      <c r="AQ173" s="23">
        <v>0</v>
      </c>
      <c r="AR173" s="37">
        <v>0</v>
      </c>
      <c r="AS173" s="37">
        <v>0</v>
      </c>
      <c r="AT173" s="37">
        <v>28</v>
      </c>
      <c r="AU173" s="33" t="str">
        <f t="shared" si="6"/>
        <v>库存为28</v>
      </c>
      <c r="AV173" s="38" t="str">
        <f>IFERROR(时间!$B$4+AU173,"上周无销量")</f>
        <v>上周无销量</v>
      </c>
    </row>
    <row r="174" spans="1:48">
      <c r="A174" s="21" t="s">
        <v>532</v>
      </c>
      <c r="B174" t="s">
        <v>533</v>
      </c>
      <c r="C174" t="s">
        <v>526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26</v>
      </c>
      <c r="J174" s="35">
        <v>0</v>
      </c>
      <c r="K174" s="35">
        <v>0</v>
      </c>
      <c r="L174" s="35">
        <v>0</v>
      </c>
      <c r="M174">
        <v>26</v>
      </c>
      <c r="N174">
        <v>0</v>
      </c>
      <c r="O174">
        <v>26</v>
      </c>
      <c r="P174">
        <v>6</v>
      </c>
      <c r="Q174">
        <v>9</v>
      </c>
      <c r="R174">
        <v>14</v>
      </c>
      <c r="S174">
        <v>11</v>
      </c>
      <c r="T174">
        <v>0</v>
      </c>
      <c r="U174">
        <v>0</v>
      </c>
      <c r="V174">
        <v>0</v>
      </c>
      <c r="W174">
        <v>0</v>
      </c>
      <c r="X174" s="23">
        <v>0</v>
      </c>
      <c r="Y174" s="23">
        <v>0</v>
      </c>
      <c r="Z174" s="23">
        <v>0</v>
      </c>
      <c r="AA174" s="23">
        <v>0</v>
      </c>
      <c r="AB174">
        <v>0</v>
      </c>
      <c r="AC174">
        <v>0</v>
      </c>
      <c r="AD174">
        <v>0</v>
      </c>
      <c r="AE174">
        <v>0</v>
      </c>
      <c r="AF174" s="23" t="s">
        <v>55</v>
      </c>
      <c r="AG174" s="23" t="s">
        <v>55</v>
      </c>
      <c r="AH174" s="23" t="s">
        <v>55</v>
      </c>
      <c r="AI174" s="23" t="s">
        <v>55</v>
      </c>
      <c r="AJ174">
        <v>2</v>
      </c>
      <c r="AK174">
        <v>1</v>
      </c>
      <c r="AL174">
        <v>0</v>
      </c>
      <c r="AM174">
        <v>1</v>
      </c>
      <c r="AN174" s="23">
        <v>0</v>
      </c>
      <c r="AO174" s="23">
        <v>0</v>
      </c>
      <c r="AP174" s="23" t="s">
        <v>55</v>
      </c>
      <c r="AQ174" s="23">
        <v>0</v>
      </c>
      <c r="AR174" s="37">
        <v>0</v>
      </c>
      <c r="AS174" s="37">
        <v>0</v>
      </c>
      <c r="AT174" s="37">
        <v>26</v>
      </c>
      <c r="AU174" s="33" t="str">
        <f t="shared" si="6"/>
        <v>库存为26</v>
      </c>
      <c r="AV174" s="38" t="str">
        <f>IFERROR(时间!$B$4+AU174,"上周无销量")</f>
        <v>上周无销量</v>
      </c>
    </row>
    <row r="175" spans="1:48">
      <c r="A175" s="21" t="s">
        <v>534</v>
      </c>
      <c r="B175" t="s">
        <v>535</v>
      </c>
      <c r="C175" t="s">
        <v>526</v>
      </c>
      <c r="D175" s="33">
        <v>0</v>
      </c>
      <c r="E175" s="33">
        <v>1</v>
      </c>
      <c r="F175" s="33">
        <v>0</v>
      </c>
      <c r="G175" s="33">
        <v>0</v>
      </c>
      <c r="H175" s="34">
        <v>10.39</v>
      </c>
      <c r="I175">
        <v>28</v>
      </c>
      <c r="J175" s="35">
        <v>0</v>
      </c>
      <c r="K175" s="35">
        <v>0</v>
      </c>
      <c r="L175" s="35">
        <v>0</v>
      </c>
      <c r="M175">
        <v>28</v>
      </c>
      <c r="N175">
        <v>0</v>
      </c>
      <c r="O175">
        <v>28</v>
      </c>
      <c r="P175">
        <v>1406</v>
      </c>
      <c r="Q175">
        <v>973</v>
      </c>
      <c r="R175">
        <v>713</v>
      </c>
      <c r="S175">
        <v>676</v>
      </c>
      <c r="T175">
        <v>3</v>
      </c>
      <c r="U175">
        <v>4</v>
      </c>
      <c r="V175">
        <v>3</v>
      </c>
      <c r="W175">
        <v>2</v>
      </c>
      <c r="X175" s="23">
        <v>0.00213371266002845</v>
      </c>
      <c r="Y175" s="23">
        <v>0.00411099691675231</v>
      </c>
      <c r="Z175" s="23">
        <v>0.00420757363253857</v>
      </c>
      <c r="AA175" s="23">
        <v>0.0029585798816568</v>
      </c>
      <c r="AB175">
        <v>0.92</v>
      </c>
      <c r="AC175">
        <v>1.1</v>
      </c>
      <c r="AD175">
        <v>0.85</v>
      </c>
      <c r="AE175">
        <v>0.61</v>
      </c>
      <c r="AF175" s="23" t="s">
        <v>536</v>
      </c>
      <c r="AG175" s="23">
        <v>0.105871029836381</v>
      </c>
      <c r="AH175" s="23" t="s">
        <v>266</v>
      </c>
      <c r="AI175" s="23" t="s">
        <v>537</v>
      </c>
      <c r="AJ175">
        <v>4</v>
      </c>
      <c r="AK175">
        <v>4</v>
      </c>
      <c r="AL175">
        <v>5</v>
      </c>
      <c r="AM175">
        <v>0</v>
      </c>
      <c r="AN175" s="23">
        <v>0</v>
      </c>
      <c r="AO175" s="23">
        <v>0.25</v>
      </c>
      <c r="AP175" s="23">
        <v>0</v>
      </c>
      <c r="AQ175" s="23" t="s">
        <v>55</v>
      </c>
      <c r="AR175" s="37">
        <v>0</v>
      </c>
      <c r="AS175" s="37">
        <v>0</v>
      </c>
      <c r="AT175" s="37">
        <v>28</v>
      </c>
      <c r="AU175" s="33" t="str">
        <f t="shared" si="6"/>
        <v>库存为28</v>
      </c>
      <c r="AV175" s="38" t="str">
        <f>IFERROR(时间!$B$4+AU175,"上周无销量")</f>
        <v>上周无销量</v>
      </c>
    </row>
    <row r="176" spans="1:48">
      <c r="A176" s="21" t="s">
        <v>538</v>
      </c>
      <c r="B176" t="s">
        <v>539</v>
      </c>
      <c r="C176" t="s">
        <v>526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28</v>
      </c>
      <c r="J176" s="35">
        <v>0</v>
      </c>
      <c r="K176" s="35">
        <v>0</v>
      </c>
      <c r="L176" s="35">
        <v>0</v>
      </c>
      <c r="M176">
        <v>28</v>
      </c>
      <c r="N176">
        <v>0</v>
      </c>
      <c r="O176">
        <v>28</v>
      </c>
      <c r="P176">
        <v>9</v>
      </c>
      <c r="Q176">
        <v>28</v>
      </c>
      <c r="R176">
        <v>28</v>
      </c>
      <c r="S176">
        <v>27</v>
      </c>
      <c r="T176">
        <v>0</v>
      </c>
      <c r="U176">
        <v>1</v>
      </c>
      <c r="V176">
        <v>0</v>
      </c>
      <c r="W176">
        <v>0</v>
      </c>
      <c r="X176" s="23">
        <v>0</v>
      </c>
      <c r="Y176" s="23">
        <v>0.0357142857142857</v>
      </c>
      <c r="Z176" s="23">
        <v>0</v>
      </c>
      <c r="AA176" s="23">
        <v>0</v>
      </c>
      <c r="AB176">
        <v>0</v>
      </c>
      <c r="AC176">
        <v>0.14</v>
      </c>
      <c r="AD176">
        <v>0</v>
      </c>
      <c r="AE176">
        <v>0</v>
      </c>
      <c r="AF176" s="23" t="s">
        <v>55</v>
      </c>
      <c r="AG176" s="23" t="s">
        <v>540</v>
      </c>
      <c r="AH176" s="23" t="s">
        <v>55</v>
      </c>
      <c r="AI176" s="23" t="s">
        <v>55</v>
      </c>
      <c r="AJ176">
        <v>1</v>
      </c>
      <c r="AK176">
        <v>1</v>
      </c>
      <c r="AL176">
        <v>2</v>
      </c>
      <c r="AM176">
        <v>1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28</v>
      </c>
      <c r="AU176" s="33" t="str">
        <f t="shared" si="6"/>
        <v>库存为28</v>
      </c>
      <c r="AV176" s="38" t="str">
        <f>IFERROR(时间!$B$4+AU176,"上周无销量")</f>
        <v>上周无销量</v>
      </c>
    </row>
    <row r="177" spans="1:48">
      <c r="A177" s="21" t="s">
        <v>541</v>
      </c>
      <c r="B177" t="s">
        <v>542</v>
      </c>
      <c r="C177" t="s">
        <v>526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26</v>
      </c>
      <c r="J177" s="35">
        <v>0</v>
      </c>
      <c r="K177" s="35">
        <v>0</v>
      </c>
      <c r="L177" s="35">
        <v>0</v>
      </c>
      <c r="M177">
        <v>26</v>
      </c>
      <c r="N177">
        <v>0</v>
      </c>
      <c r="O177">
        <v>26</v>
      </c>
      <c r="P177">
        <v>5</v>
      </c>
      <c r="Q177">
        <v>10</v>
      </c>
      <c r="R177">
        <v>10</v>
      </c>
      <c r="S177">
        <v>17</v>
      </c>
      <c r="T177">
        <v>0</v>
      </c>
      <c r="U177">
        <v>0</v>
      </c>
      <c r="V177">
        <v>0</v>
      </c>
      <c r="W177">
        <v>1</v>
      </c>
      <c r="X177" s="23">
        <v>0</v>
      </c>
      <c r="Y177" s="23">
        <v>0</v>
      </c>
      <c r="Z177" s="23">
        <v>0</v>
      </c>
      <c r="AA177" s="23">
        <v>0.0588235294117647</v>
      </c>
      <c r="AB177">
        <v>0</v>
      </c>
      <c r="AC177">
        <v>0</v>
      </c>
      <c r="AD177">
        <v>0</v>
      </c>
      <c r="AE177">
        <v>0.26</v>
      </c>
      <c r="AF177" s="23" t="s">
        <v>55</v>
      </c>
      <c r="AG177" s="23" t="s">
        <v>55</v>
      </c>
      <c r="AH177" s="23" t="s">
        <v>55</v>
      </c>
      <c r="AI177" s="23" t="s">
        <v>332</v>
      </c>
      <c r="AJ177">
        <v>5</v>
      </c>
      <c r="AK177">
        <v>0</v>
      </c>
      <c r="AL177">
        <v>0</v>
      </c>
      <c r="AM177">
        <v>2</v>
      </c>
      <c r="AN177" s="23">
        <v>0</v>
      </c>
      <c r="AO177" s="23" t="s">
        <v>55</v>
      </c>
      <c r="AP177" s="23" t="s">
        <v>55</v>
      </c>
      <c r="AQ177" s="23">
        <v>0</v>
      </c>
      <c r="AR177" s="37">
        <v>0</v>
      </c>
      <c r="AS177" s="37">
        <v>0</v>
      </c>
      <c r="AT177" s="37">
        <v>26</v>
      </c>
      <c r="AU177" s="33" t="str">
        <f t="shared" si="6"/>
        <v>库存为26</v>
      </c>
      <c r="AV177" s="38" t="str">
        <f>IFERROR(时间!$B$4+AU177,"上周无销量")</f>
        <v>上周无销量</v>
      </c>
    </row>
    <row r="178" spans="1:48">
      <c r="A178" s="21" t="s">
        <v>543</v>
      </c>
      <c r="B178" t="s">
        <v>544</v>
      </c>
      <c r="C178" t="s">
        <v>526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30</v>
      </c>
      <c r="J178" s="35">
        <v>0</v>
      </c>
      <c r="K178" s="35">
        <v>0</v>
      </c>
      <c r="L178" s="35">
        <v>0</v>
      </c>
      <c r="M178">
        <v>30</v>
      </c>
      <c r="N178">
        <v>0</v>
      </c>
      <c r="O178">
        <v>30</v>
      </c>
      <c r="P178">
        <v>84</v>
      </c>
      <c r="Q178">
        <v>122</v>
      </c>
      <c r="R178">
        <v>199</v>
      </c>
      <c r="S178">
        <v>246</v>
      </c>
      <c r="T178">
        <v>1</v>
      </c>
      <c r="U178">
        <v>1</v>
      </c>
      <c r="V178">
        <v>0</v>
      </c>
      <c r="W178">
        <v>0</v>
      </c>
      <c r="X178" s="23">
        <v>0.0119047619047619</v>
      </c>
      <c r="Y178" s="23">
        <v>0.00819672131147541</v>
      </c>
      <c r="Z178" s="23">
        <v>0</v>
      </c>
      <c r="AA178" s="23">
        <v>0</v>
      </c>
      <c r="AB178">
        <v>0.31</v>
      </c>
      <c r="AC178">
        <v>0.41</v>
      </c>
      <c r="AD178">
        <v>0</v>
      </c>
      <c r="AE178">
        <v>0</v>
      </c>
      <c r="AF178" s="23" t="s">
        <v>174</v>
      </c>
      <c r="AG178" s="23" t="s">
        <v>340</v>
      </c>
      <c r="AH178" s="23" t="s">
        <v>55</v>
      </c>
      <c r="AI178" s="23" t="s">
        <v>55</v>
      </c>
      <c r="AJ178">
        <v>4</v>
      </c>
      <c r="AK178">
        <v>1</v>
      </c>
      <c r="AL178">
        <v>0</v>
      </c>
      <c r="AM178">
        <v>1</v>
      </c>
      <c r="AN178" s="23">
        <v>0</v>
      </c>
      <c r="AO178" s="23">
        <v>0</v>
      </c>
      <c r="AP178" s="23" t="s">
        <v>55</v>
      </c>
      <c r="AQ178" s="23">
        <v>0</v>
      </c>
      <c r="AR178" s="37">
        <v>0</v>
      </c>
      <c r="AS178" s="37">
        <v>0</v>
      </c>
      <c r="AT178" s="37">
        <v>30</v>
      </c>
      <c r="AU178" s="33" t="str">
        <f t="shared" si="6"/>
        <v>库存为30</v>
      </c>
      <c r="AV178" s="38" t="str">
        <f>IFERROR(时间!$B$4+AU178,"上周无销量")</f>
        <v>上周无销量</v>
      </c>
    </row>
    <row r="179" spans="1:48">
      <c r="A179" s="21" t="s">
        <v>545</v>
      </c>
      <c r="B179" t="s">
        <v>546</v>
      </c>
      <c r="C179" t="s">
        <v>526</v>
      </c>
      <c r="D179" s="33">
        <v>0</v>
      </c>
      <c r="E179" s="33">
        <v>0</v>
      </c>
      <c r="F179" s="33">
        <v>0</v>
      </c>
      <c r="G179" s="33">
        <v>0</v>
      </c>
      <c r="H179" s="34">
        <v>0</v>
      </c>
      <c r="I179">
        <v>27</v>
      </c>
      <c r="J179" s="35">
        <v>0</v>
      </c>
      <c r="K179" s="35">
        <v>0</v>
      </c>
      <c r="L179" s="35">
        <v>0</v>
      </c>
      <c r="M179">
        <v>27</v>
      </c>
      <c r="N179">
        <v>0</v>
      </c>
      <c r="O179">
        <v>27</v>
      </c>
      <c r="P179">
        <v>2024</v>
      </c>
      <c r="Q179">
        <v>831</v>
      </c>
      <c r="R179">
        <v>772</v>
      </c>
      <c r="S179">
        <v>977</v>
      </c>
      <c r="T179">
        <v>20</v>
      </c>
      <c r="U179">
        <v>2</v>
      </c>
      <c r="V179">
        <v>7</v>
      </c>
      <c r="W179">
        <v>12</v>
      </c>
      <c r="X179" s="23">
        <v>0.00988142292490119</v>
      </c>
      <c r="Y179" s="23">
        <v>0.00240673886883273</v>
      </c>
      <c r="Z179" s="23">
        <v>0.00906735751295337</v>
      </c>
      <c r="AA179" s="23">
        <v>0.0122824974411464</v>
      </c>
      <c r="AB179">
        <v>4.21</v>
      </c>
      <c r="AC179">
        <v>0.8</v>
      </c>
      <c r="AD179">
        <v>2.34</v>
      </c>
      <c r="AE179">
        <v>3.74</v>
      </c>
      <c r="AF179" s="23" t="s">
        <v>547</v>
      </c>
      <c r="AG179" s="23" t="s">
        <v>548</v>
      </c>
      <c r="AH179" s="23" t="s">
        <v>549</v>
      </c>
      <c r="AI179" s="23" t="s">
        <v>550</v>
      </c>
      <c r="AJ179">
        <v>13</v>
      </c>
      <c r="AK179">
        <v>2</v>
      </c>
      <c r="AL179">
        <v>4</v>
      </c>
      <c r="AM179">
        <v>3</v>
      </c>
      <c r="AN179" s="23">
        <v>0</v>
      </c>
      <c r="AO179" s="23">
        <v>0</v>
      </c>
      <c r="AP179" s="23">
        <v>0</v>
      </c>
      <c r="AQ179" s="23">
        <v>0</v>
      </c>
      <c r="AR179" s="37">
        <v>0</v>
      </c>
      <c r="AS179" s="37">
        <v>0</v>
      </c>
      <c r="AT179" s="37">
        <v>27</v>
      </c>
      <c r="AU179" s="33" t="str">
        <f t="shared" si="6"/>
        <v>库存为27</v>
      </c>
      <c r="AV179" s="38" t="str">
        <f>IFERROR(时间!$B$4+AU179,"上周无销量")</f>
        <v>上周无销量</v>
      </c>
    </row>
    <row r="180" spans="1:48">
      <c r="A180" s="21" t="s">
        <v>551</v>
      </c>
      <c r="B180" t="s">
        <v>552</v>
      </c>
      <c r="C180" t="s">
        <v>526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28</v>
      </c>
      <c r="J180" s="35">
        <v>0</v>
      </c>
      <c r="K180" s="35">
        <v>0</v>
      </c>
      <c r="L180" s="35">
        <v>0</v>
      </c>
      <c r="M180">
        <v>28</v>
      </c>
      <c r="N180">
        <v>0</v>
      </c>
      <c r="O180">
        <v>27</v>
      </c>
      <c r="P180">
        <v>38</v>
      </c>
      <c r="Q180">
        <v>29</v>
      </c>
      <c r="R180">
        <v>19</v>
      </c>
      <c r="S180">
        <v>88</v>
      </c>
      <c r="T180">
        <v>3</v>
      </c>
      <c r="U180">
        <v>0</v>
      </c>
      <c r="V180">
        <v>1</v>
      </c>
      <c r="W180">
        <v>0</v>
      </c>
      <c r="X180" s="23">
        <v>0.0789473684210526</v>
      </c>
      <c r="Y180" s="23">
        <v>0</v>
      </c>
      <c r="Z180" s="23">
        <v>0.0526315789473684</v>
      </c>
      <c r="AA180" s="23">
        <v>0</v>
      </c>
      <c r="AB180">
        <v>0.93</v>
      </c>
      <c r="AC180">
        <v>0</v>
      </c>
      <c r="AD180">
        <v>0.6</v>
      </c>
      <c r="AE180">
        <v>0</v>
      </c>
      <c r="AF180" s="23" t="s">
        <v>89</v>
      </c>
      <c r="AG180" s="23" t="s">
        <v>55</v>
      </c>
      <c r="AH180" s="23" t="s">
        <v>408</v>
      </c>
      <c r="AI180" s="23" t="s">
        <v>55</v>
      </c>
      <c r="AJ180">
        <v>2</v>
      </c>
      <c r="AK180">
        <v>2</v>
      </c>
      <c r="AL180">
        <v>1</v>
      </c>
      <c r="AM180">
        <v>2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28</v>
      </c>
      <c r="AU180" s="33" t="str">
        <f t="shared" si="6"/>
        <v>库存为28</v>
      </c>
      <c r="AV180" s="38" t="str">
        <f>IFERROR(时间!$B$4+AU180,"上周无销量")</f>
        <v>上周无销量</v>
      </c>
    </row>
    <row r="181" spans="1:48">
      <c r="A181" s="21" t="s">
        <v>553</v>
      </c>
      <c r="B181" t="s">
        <v>554</v>
      </c>
      <c r="C181" t="s">
        <v>526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29</v>
      </c>
      <c r="J181" s="35">
        <v>0</v>
      </c>
      <c r="K181" s="35">
        <v>0</v>
      </c>
      <c r="L181" s="35">
        <v>0</v>
      </c>
      <c r="M181">
        <v>29</v>
      </c>
      <c r="N181">
        <v>0</v>
      </c>
      <c r="O181">
        <v>29</v>
      </c>
      <c r="P181">
        <v>11</v>
      </c>
      <c r="Q181">
        <v>16</v>
      </c>
      <c r="R181">
        <v>19</v>
      </c>
      <c r="S181">
        <v>18</v>
      </c>
      <c r="T181">
        <v>0</v>
      </c>
      <c r="U181">
        <v>1</v>
      </c>
      <c r="V181">
        <v>0</v>
      </c>
      <c r="W181">
        <v>0</v>
      </c>
      <c r="X181" s="23">
        <v>0</v>
      </c>
      <c r="Y181" s="23">
        <v>0.0625</v>
      </c>
      <c r="Z181" s="23">
        <v>0</v>
      </c>
      <c r="AA181" s="23">
        <v>0</v>
      </c>
      <c r="AB181">
        <v>0</v>
      </c>
      <c r="AC181">
        <v>0.39</v>
      </c>
      <c r="AD181">
        <v>0</v>
      </c>
      <c r="AE181">
        <v>0</v>
      </c>
      <c r="AF181" s="23" t="s">
        <v>55</v>
      </c>
      <c r="AG181" s="23" t="s">
        <v>205</v>
      </c>
      <c r="AH181" s="23" t="s">
        <v>55</v>
      </c>
      <c r="AI181" s="23" t="s">
        <v>55</v>
      </c>
      <c r="AJ181">
        <v>3</v>
      </c>
      <c r="AK181">
        <v>1</v>
      </c>
      <c r="AL181">
        <v>1</v>
      </c>
      <c r="AM181">
        <v>0</v>
      </c>
      <c r="AN181" s="23">
        <v>0</v>
      </c>
      <c r="AO181" s="23">
        <v>0</v>
      </c>
      <c r="AP181" s="23">
        <v>0</v>
      </c>
      <c r="AQ181" s="23" t="s">
        <v>55</v>
      </c>
      <c r="AR181" s="37">
        <v>0</v>
      </c>
      <c r="AS181" s="37">
        <v>0</v>
      </c>
      <c r="AT181" s="37">
        <v>29</v>
      </c>
      <c r="AU181" s="33" t="str">
        <f t="shared" si="6"/>
        <v>库存为29</v>
      </c>
      <c r="AV181" s="38" t="str">
        <f>IFERROR(时间!$B$4+AU181,"上周无销量")</f>
        <v>上周无销量</v>
      </c>
    </row>
    <row r="182" spans="1:48">
      <c r="A182" s="21" t="s">
        <v>555</v>
      </c>
      <c r="B182" t="s">
        <v>556</v>
      </c>
      <c r="C182" t="s">
        <v>526</v>
      </c>
      <c r="D182" s="33">
        <v>0</v>
      </c>
      <c r="E182" s="33">
        <v>0</v>
      </c>
      <c r="F182" s="33">
        <v>0</v>
      </c>
      <c r="G182" s="33">
        <v>1</v>
      </c>
      <c r="H182" s="34">
        <v>12.99</v>
      </c>
      <c r="I182">
        <v>27</v>
      </c>
      <c r="J182" s="35">
        <v>0</v>
      </c>
      <c r="K182" s="35">
        <v>0</v>
      </c>
      <c r="L182" s="35">
        <v>0</v>
      </c>
      <c r="M182">
        <v>27</v>
      </c>
      <c r="N182">
        <v>0</v>
      </c>
      <c r="O182">
        <v>27</v>
      </c>
      <c r="P182">
        <v>1</v>
      </c>
      <c r="Q182">
        <v>0</v>
      </c>
      <c r="R182">
        <v>1</v>
      </c>
      <c r="S182">
        <v>2</v>
      </c>
      <c r="T182">
        <v>0</v>
      </c>
      <c r="U182">
        <v>0</v>
      </c>
      <c r="V182">
        <v>0</v>
      </c>
      <c r="W182">
        <v>0</v>
      </c>
      <c r="X182" s="23">
        <v>0</v>
      </c>
      <c r="Y182" s="23" t="s">
        <v>55</v>
      </c>
      <c r="Z182" s="23">
        <v>0</v>
      </c>
      <c r="AA182" s="23">
        <v>0</v>
      </c>
      <c r="AB182">
        <v>0</v>
      </c>
      <c r="AC182">
        <v>0</v>
      </c>
      <c r="AD182">
        <v>0</v>
      </c>
      <c r="AE182">
        <v>0</v>
      </c>
      <c r="AF182" s="23" t="s">
        <v>55</v>
      </c>
      <c r="AG182" s="23" t="s">
        <v>55</v>
      </c>
      <c r="AH182" s="23" t="s">
        <v>55</v>
      </c>
      <c r="AI182" s="23" t="s">
        <v>55</v>
      </c>
      <c r="AJ182">
        <v>4</v>
      </c>
      <c r="AK182">
        <v>3</v>
      </c>
      <c r="AL182">
        <v>0</v>
      </c>
      <c r="AM182">
        <v>1</v>
      </c>
      <c r="AN182" s="23">
        <v>0</v>
      </c>
      <c r="AO182" s="23">
        <v>0</v>
      </c>
      <c r="AP182" s="23" t="s">
        <v>55</v>
      </c>
      <c r="AQ182" s="23">
        <v>1</v>
      </c>
      <c r="AR182" s="37">
        <v>0</v>
      </c>
      <c r="AS182" s="37">
        <v>0</v>
      </c>
      <c r="AT182" s="37">
        <v>27</v>
      </c>
      <c r="AU182" s="33" t="str">
        <f t="shared" si="6"/>
        <v>库存为27</v>
      </c>
      <c r="AV182" s="38" t="str">
        <f>IFERROR(时间!$B$4+AU182,"上周无销量")</f>
        <v>上周无销量</v>
      </c>
    </row>
    <row r="183" spans="1:48">
      <c r="A183" s="21" t="s">
        <v>557</v>
      </c>
      <c r="B183" t="s">
        <v>558</v>
      </c>
      <c r="C183" t="s">
        <v>526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28</v>
      </c>
      <c r="J183" s="35">
        <v>0</v>
      </c>
      <c r="K183" s="35">
        <v>0</v>
      </c>
      <c r="L183" s="35">
        <v>0</v>
      </c>
      <c r="M183">
        <v>28</v>
      </c>
      <c r="N183">
        <v>0</v>
      </c>
      <c r="O183">
        <v>28</v>
      </c>
      <c r="P183">
        <v>2</v>
      </c>
      <c r="Q183">
        <v>0</v>
      </c>
      <c r="R183">
        <v>2</v>
      </c>
      <c r="S183">
        <v>8</v>
      </c>
      <c r="T183">
        <v>0</v>
      </c>
      <c r="U183">
        <v>0</v>
      </c>
      <c r="V183">
        <v>0</v>
      </c>
      <c r="W183">
        <v>0</v>
      </c>
      <c r="X183" s="23">
        <v>0</v>
      </c>
      <c r="Y183" s="23" t="s">
        <v>55</v>
      </c>
      <c r="Z183" s="23">
        <v>0</v>
      </c>
      <c r="AA183" s="23">
        <v>0</v>
      </c>
      <c r="AB183">
        <v>0</v>
      </c>
      <c r="AC183">
        <v>0</v>
      </c>
      <c r="AD183">
        <v>0</v>
      </c>
      <c r="AE183">
        <v>0</v>
      </c>
      <c r="AF183" s="23" t="s">
        <v>55</v>
      </c>
      <c r="AG183" s="23" t="s">
        <v>55</v>
      </c>
      <c r="AH183" s="23" t="s">
        <v>55</v>
      </c>
      <c r="AI183" s="23" t="s">
        <v>55</v>
      </c>
      <c r="AJ183">
        <v>3</v>
      </c>
      <c r="AK183">
        <v>1</v>
      </c>
      <c r="AL183">
        <v>0</v>
      </c>
      <c r="AM183">
        <v>0</v>
      </c>
      <c r="AN183" s="23">
        <v>0</v>
      </c>
      <c r="AO183" s="23">
        <v>0</v>
      </c>
      <c r="AP183" s="23" t="s">
        <v>55</v>
      </c>
      <c r="AQ183" s="23" t="s">
        <v>55</v>
      </c>
      <c r="AR183" s="37">
        <v>0</v>
      </c>
      <c r="AS183" s="37">
        <v>0</v>
      </c>
      <c r="AT183" s="37">
        <v>28</v>
      </c>
      <c r="AU183" s="33" t="str">
        <f t="shared" si="6"/>
        <v>库存为28</v>
      </c>
      <c r="AV183" s="38" t="str">
        <f>IFERROR(时间!$B$4+AU183,"上周无销量")</f>
        <v>上周无销量</v>
      </c>
    </row>
    <row r="184" spans="1:48">
      <c r="A184" s="21" t="s">
        <v>559</v>
      </c>
      <c r="B184" t="s">
        <v>560</v>
      </c>
      <c r="C184" t="s">
        <v>526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30</v>
      </c>
      <c r="J184" s="35">
        <v>0</v>
      </c>
      <c r="K184" s="35">
        <v>0</v>
      </c>
      <c r="L184" s="35">
        <v>0</v>
      </c>
      <c r="M184">
        <v>30</v>
      </c>
      <c r="N184">
        <v>0</v>
      </c>
      <c r="O184">
        <v>30</v>
      </c>
      <c r="P184">
        <v>365</v>
      </c>
      <c r="Q184">
        <v>270</v>
      </c>
      <c r="R184">
        <v>150</v>
      </c>
      <c r="S184">
        <v>231</v>
      </c>
      <c r="T184">
        <v>1</v>
      </c>
      <c r="U184">
        <v>2</v>
      </c>
      <c r="V184">
        <v>4</v>
      </c>
      <c r="W184">
        <v>5</v>
      </c>
      <c r="X184" s="23">
        <v>0.00273972602739726</v>
      </c>
      <c r="Y184" s="23">
        <v>0.00740740740740741</v>
      </c>
      <c r="Z184" s="23">
        <v>0.0266666666666667</v>
      </c>
      <c r="AA184" s="23">
        <v>0.0216450216450216</v>
      </c>
      <c r="AB184">
        <v>0.6</v>
      </c>
      <c r="AC184">
        <v>1</v>
      </c>
      <c r="AD184">
        <v>0.79</v>
      </c>
      <c r="AE184">
        <v>1.22</v>
      </c>
      <c r="AF184" s="23" t="s">
        <v>408</v>
      </c>
      <c r="AG184" s="23" t="s">
        <v>561</v>
      </c>
      <c r="AH184" s="23" t="s">
        <v>562</v>
      </c>
      <c r="AI184" s="23" t="s">
        <v>563</v>
      </c>
      <c r="AJ184">
        <v>3</v>
      </c>
      <c r="AK184">
        <v>4</v>
      </c>
      <c r="AL184">
        <v>3</v>
      </c>
      <c r="AM184">
        <v>4</v>
      </c>
      <c r="AN184" s="23">
        <v>0</v>
      </c>
      <c r="AO184" s="23">
        <v>0</v>
      </c>
      <c r="AP184" s="23">
        <v>0</v>
      </c>
      <c r="AQ184" s="23">
        <v>0</v>
      </c>
      <c r="AR184" s="37">
        <v>0</v>
      </c>
      <c r="AS184" s="37">
        <v>0</v>
      </c>
      <c r="AT184" s="37">
        <v>30</v>
      </c>
      <c r="AU184" s="33" t="str">
        <f t="shared" si="6"/>
        <v>库存为30</v>
      </c>
      <c r="AV184" s="38" t="str">
        <f>IFERROR(时间!$B$4+AU184,"上周无销量")</f>
        <v>上周无销量</v>
      </c>
    </row>
    <row r="185" spans="1:48">
      <c r="A185" s="21" t="s">
        <v>564</v>
      </c>
      <c r="B185" t="s">
        <v>565</v>
      </c>
      <c r="C185" t="s">
        <v>526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28</v>
      </c>
      <c r="J185" s="35">
        <v>0</v>
      </c>
      <c r="K185" s="35">
        <v>0</v>
      </c>
      <c r="L185" s="35">
        <v>0</v>
      </c>
      <c r="M185">
        <v>28</v>
      </c>
      <c r="N185">
        <v>0</v>
      </c>
      <c r="O185">
        <v>28</v>
      </c>
      <c r="P185">
        <v>16</v>
      </c>
      <c r="Q185">
        <v>22</v>
      </c>
      <c r="R185">
        <v>26</v>
      </c>
      <c r="S185">
        <v>23</v>
      </c>
      <c r="T185">
        <v>0</v>
      </c>
      <c r="U185">
        <v>0</v>
      </c>
      <c r="V185">
        <v>0</v>
      </c>
      <c r="W185">
        <v>1</v>
      </c>
      <c r="X185" s="23">
        <v>0</v>
      </c>
      <c r="Y185" s="23">
        <v>0</v>
      </c>
      <c r="Z185" s="23">
        <v>0</v>
      </c>
      <c r="AA185" s="23">
        <v>0.0434782608695652</v>
      </c>
      <c r="AB185">
        <v>0</v>
      </c>
      <c r="AC185">
        <v>0</v>
      </c>
      <c r="AD185">
        <v>0</v>
      </c>
      <c r="AE185">
        <v>0.26</v>
      </c>
      <c r="AF185" s="23" t="s">
        <v>55</v>
      </c>
      <c r="AG185" s="23" t="s">
        <v>55</v>
      </c>
      <c r="AH185" s="23" t="s">
        <v>55</v>
      </c>
      <c r="AI185" s="23" t="s">
        <v>332</v>
      </c>
      <c r="AJ185">
        <v>7</v>
      </c>
      <c r="AK185">
        <v>1</v>
      </c>
      <c r="AL185">
        <v>0</v>
      </c>
      <c r="AM185">
        <v>2</v>
      </c>
      <c r="AN185" s="23">
        <v>0</v>
      </c>
      <c r="AO185" s="23">
        <v>0</v>
      </c>
      <c r="AP185" s="23" t="s">
        <v>55</v>
      </c>
      <c r="AQ185" s="23">
        <v>0</v>
      </c>
      <c r="AR185" s="37">
        <v>0</v>
      </c>
      <c r="AS185" s="37">
        <v>0</v>
      </c>
      <c r="AT185" s="37">
        <v>28</v>
      </c>
      <c r="AU185" s="33" t="str">
        <f t="shared" si="6"/>
        <v>库存为28</v>
      </c>
      <c r="AV185" s="38" t="str">
        <f>IFERROR(时间!$B$4+AU185,"上周无销量")</f>
        <v>上周无销量</v>
      </c>
    </row>
    <row r="186" spans="1:48">
      <c r="A186" s="21" t="s">
        <v>566</v>
      </c>
      <c r="B186" t="s">
        <v>567</v>
      </c>
      <c r="C186" t="s">
        <v>526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28</v>
      </c>
      <c r="J186" s="35">
        <v>0</v>
      </c>
      <c r="K186" s="35">
        <v>0</v>
      </c>
      <c r="L186" s="35">
        <v>0</v>
      </c>
      <c r="M186">
        <v>28</v>
      </c>
      <c r="N186">
        <v>0</v>
      </c>
      <c r="O186">
        <v>28</v>
      </c>
      <c r="P186">
        <v>778</v>
      </c>
      <c r="Q186">
        <v>486</v>
      </c>
      <c r="R186">
        <v>320</v>
      </c>
      <c r="S186">
        <v>383</v>
      </c>
      <c r="T186">
        <v>2</v>
      </c>
      <c r="U186">
        <v>5</v>
      </c>
      <c r="V186">
        <v>3</v>
      </c>
      <c r="W186">
        <v>3</v>
      </c>
      <c r="X186" s="23">
        <v>0.0025706940874036</v>
      </c>
      <c r="Y186" s="23">
        <v>0.0102880658436214</v>
      </c>
      <c r="Z186" s="23">
        <v>0.009375</v>
      </c>
      <c r="AA186" s="23">
        <v>0.00783289817232376</v>
      </c>
      <c r="AB186">
        <v>0.41</v>
      </c>
      <c r="AC186">
        <v>1.27</v>
      </c>
      <c r="AD186">
        <v>1.08</v>
      </c>
      <c r="AE186">
        <v>0.9</v>
      </c>
      <c r="AF186" s="23" t="s">
        <v>340</v>
      </c>
      <c r="AG186" s="23" t="s">
        <v>568</v>
      </c>
      <c r="AH186" s="23" t="s">
        <v>421</v>
      </c>
      <c r="AI186" s="23" t="s">
        <v>512</v>
      </c>
      <c r="AJ186">
        <v>0</v>
      </c>
      <c r="AK186">
        <v>3</v>
      </c>
      <c r="AL186">
        <v>0</v>
      </c>
      <c r="AM186">
        <v>1</v>
      </c>
      <c r="AN186" s="23" t="s">
        <v>55</v>
      </c>
      <c r="AO186" s="23">
        <v>0</v>
      </c>
      <c r="AP186" s="23" t="s">
        <v>55</v>
      </c>
      <c r="AQ186" s="23">
        <v>0</v>
      </c>
      <c r="AR186" s="37">
        <v>0</v>
      </c>
      <c r="AS186" s="37">
        <v>0</v>
      </c>
      <c r="AT186" s="37">
        <v>28</v>
      </c>
      <c r="AU186" s="33" t="str">
        <f t="shared" si="6"/>
        <v>库存为28</v>
      </c>
      <c r="AV186" s="38" t="str">
        <f>IFERROR(时间!$B$4+AU186,"上周无销量")</f>
        <v>上周无销量</v>
      </c>
    </row>
    <row r="187" spans="1:48">
      <c r="A187" s="21" t="s">
        <v>569</v>
      </c>
      <c r="B187" t="s">
        <v>570</v>
      </c>
      <c r="C187" t="s">
        <v>526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27</v>
      </c>
      <c r="J187" s="35">
        <v>0</v>
      </c>
      <c r="K187" s="35">
        <v>0</v>
      </c>
      <c r="L187" s="35">
        <v>0</v>
      </c>
      <c r="M187">
        <v>27</v>
      </c>
      <c r="N187">
        <v>0</v>
      </c>
      <c r="O187">
        <v>27</v>
      </c>
      <c r="P187">
        <v>5</v>
      </c>
      <c r="Q187">
        <v>4</v>
      </c>
      <c r="R187">
        <v>4</v>
      </c>
      <c r="S187">
        <v>5</v>
      </c>
      <c r="T187">
        <v>0</v>
      </c>
      <c r="U187">
        <v>0</v>
      </c>
      <c r="V187">
        <v>0</v>
      </c>
      <c r="W187">
        <v>0</v>
      </c>
      <c r="X187" s="23">
        <v>0</v>
      </c>
      <c r="Y187" s="23">
        <v>0</v>
      </c>
      <c r="Z187" s="23">
        <v>0</v>
      </c>
      <c r="AA187" s="23">
        <v>0</v>
      </c>
      <c r="AB187">
        <v>0</v>
      </c>
      <c r="AC187">
        <v>0</v>
      </c>
      <c r="AD187">
        <v>0</v>
      </c>
      <c r="AE187">
        <v>0</v>
      </c>
      <c r="AF187" s="23" t="s">
        <v>55</v>
      </c>
      <c r="AG187" s="23" t="s">
        <v>55</v>
      </c>
      <c r="AH187" s="23" t="s">
        <v>55</v>
      </c>
      <c r="AI187" s="23" t="s">
        <v>55</v>
      </c>
      <c r="AJ187">
        <v>2</v>
      </c>
      <c r="AK187">
        <v>4</v>
      </c>
      <c r="AL187">
        <v>1</v>
      </c>
      <c r="AM187">
        <v>2</v>
      </c>
      <c r="AN187" s="23">
        <v>0</v>
      </c>
      <c r="AO187" s="23">
        <v>0</v>
      </c>
      <c r="AP187" s="23">
        <v>0</v>
      </c>
      <c r="AQ187" s="23">
        <v>0</v>
      </c>
      <c r="AR187" s="37">
        <v>0</v>
      </c>
      <c r="AS187" s="37">
        <v>0</v>
      </c>
      <c r="AT187" s="37">
        <v>27</v>
      </c>
      <c r="AU187" s="33" t="str">
        <f t="shared" si="6"/>
        <v>库存为27</v>
      </c>
      <c r="AV187" s="38" t="str">
        <f>IFERROR(时间!$B$4+AU187,"上周无销量")</f>
        <v>上周无销量</v>
      </c>
    </row>
    <row r="188" spans="1:48">
      <c r="A188" s="21" t="s">
        <v>571</v>
      </c>
      <c r="B188" t="s">
        <v>572</v>
      </c>
      <c r="C188" t="s">
        <v>573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3</v>
      </c>
      <c r="J188" s="35">
        <v>0</v>
      </c>
      <c r="K188" s="35">
        <v>0</v>
      </c>
      <c r="L188" s="35">
        <v>0</v>
      </c>
      <c r="M188">
        <v>3</v>
      </c>
      <c r="N188">
        <v>0</v>
      </c>
      <c r="O188">
        <v>3</v>
      </c>
      <c r="P188">
        <v>43</v>
      </c>
      <c r="Q188">
        <v>104</v>
      </c>
      <c r="R188">
        <v>239</v>
      </c>
      <c r="S188">
        <v>354</v>
      </c>
      <c r="T188">
        <v>0</v>
      </c>
      <c r="U188">
        <v>0</v>
      </c>
      <c r="V188">
        <v>2</v>
      </c>
      <c r="W188">
        <v>0</v>
      </c>
      <c r="X188" s="23">
        <v>0</v>
      </c>
      <c r="Y188" s="23">
        <v>0</v>
      </c>
      <c r="Z188" s="23">
        <v>0.00836820083682008</v>
      </c>
      <c r="AA188" s="23">
        <v>0</v>
      </c>
      <c r="AB188">
        <v>0</v>
      </c>
      <c r="AC188">
        <v>0</v>
      </c>
      <c r="AD188">
        <v>0.49</v>
      </c>
      <c r="AE188">
        <v>0</v>
      </c>
      <c r="AF188" s="23" t="s">
        <v>55</v>
      </c>
      <c r="AG188" s="23" t="s">
        <v>55</v>
      </c>
      <c r="AH188" s="23" t="s">
        <v>574</v>
      </c>
      <c r="AI188" s="23" t="s">
        <v>55</v>
      </c>
      <c r="AJ188">
        <v>0</v>
      </c>
      <c r="AK188">
        <v>0</v>
      </c>
      <c r="AL188">
        <v>0</v>
      </c>
      <c r="AM188">
        <v>0</v>
      </c>
      <c r="AN188" s="23" t="s">
        <v>55</v>
      </c>
      <c r="AO188" s="23" t="s">
        <v>55</v>
      </c>
      <c r="AP188" s="23" t="s">
        <v>55</v>
      </c>
      <c r="AQ188" s="23" t="s">
        <v>55</v>
      </c>
      <c r="AR188" s="37">
        <v>0</v>
      </c>
      <c r="AS188" s="37">
        <v>0</v>
      </c>
      <c r="AT188" s="37">
        <v>3</v>
      </c>
      <c r="AU188" s="33" t="str">
        <f t="shared" si="6"/>
        <v>库存为3</v>
      </c>
      <c r="AV188" s="38" t="str">
        <f>IFERROR(时间!$B$4+AU188,"上周无销量")</f>
        <v>上周无销量</v>
      </c>
    </row>
    <row r="189" spans="1:48">
      <c r="A189" s="21" t="s">
        <v>575</v>
      </c>
      <c r="B189" t="s">
        <v>576</v>
      </c>
      <c r="C189" t="s">
        <v>573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3</v>
      </c>
      <c r="J189" s="35">
        <v>0</v>
      </c>
      <c r="K189" s="35">
        <v>0</v>
      </c>
      <c r="L189" s="35">
        <v>0</v>
      </c>
      <c r="M189">
        <v>3</v>
      </c>
      <c r="N189">
        <v>0</v>
      </c>
      <c r="O189">
        <v>3</v>
      </c>
      <c r="P189">
        <v>578</v>
      </c>
      <c r="Q189">
        <v>629</v>
      </c>
      <c r="R189">
        <v>550</v>
      </c>
      <c r="S189">
        <v>517</v>
      </c>
      <c r="T189">
        <v>0</v>
      </c>
      <c r="U189">
        <v>5</v>
      </c>
      <c r="V189">
        <v>5</v>
      </c>
      <c r="W189">
        <v>2</v>
      </c>
      <c r="X189" s="23">
        <v>0</v>
      </c>
      <c r="Y189" s="23">
        <v>0.00794912559618442</v>
      </c>
      <c r="Z189" s="23">
        <v>0.00909090909090909</v>
      </c>
      <c r="AA189" s="23">
        <v>0.00386847195357834</v>
      </c>
      <c r="AB189">
        <v>0</v>
      </c>
      <c r="AC189">
        <v>1.26</v>
      </c>
      <c r="AD189">
        <v>1.81</v>
      </c>
      <c r="AE189">
        <v>0.83</v>
      </c>
      <c r="AF189" s="23" t="s">
        <v>55</v>
      </c>
      <c r="AG189" s="23" t="s">
        <v>577</v>
      </c>
      <c r="AH189" s="23" t="s">
        <v>578</v>
      </c>
      <c r="AI189" s="23" t="s">
        <v>579</v>
      </c>
      <c r="AJ189">
        <v>1</v>
      </c>
      <c r="AK189">
        <v>1</v>
      </c>
      <c r="AL189">
        <v>1</v>
      </c>
      <c r="AM189">
        <v>1</v>
      </c>
      <c r="AN189" s="23">
        <v>0</v>
      </c>
      <c r="AO189" s="23">
        <v>0</v>
      </c>
      <c r="AP189" s="23">
        <v>0</v>
      </c>
      <c r="AQ189" s="23">
        <v>0</v>
      </c>
      <c r="AR189" s="37">
        <v>0</v>
      </c>
      <c r="AS189" s="37">
        <v>0</v>
      </c>
      <c r="AT189" s="37">
        <v>3</v>
      </c>
      <c r="AU189" s="33" t="str">
        <f t="shared" si="6"/>
        <v>库存为3</v>
      </c>
      <c r="AV189" s="38" t="str">
        <f>IFERROR(时间!$B$4+AU189,"上周无销量")</f>
        <v>上周无销量</v>
      </c>
    </row>
    <row r="190" spans="1:48">
      <c r="A190" s="21" t="s">
        <v>580</v>
      </c>
      <c r="B190" t="s">
        <v>581</v>
      </c>
      <c r="C190" t="s">
        <v>573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3</v>
      </c>
      <c r="J190" s="35">
        <v>0</v>
      </c>
      <c r="K190" s="35">
        <v>0</v>
      </c>
      <c r="L190" s="35">
        <v>0</v>
      </c>
      <c r="M190">
        <v>3</v>
      </c>
      <c r="N190">
        <v>0</v>
      </c>
      <c r="O190">
        <v>3</v>
      </c>
      <c r="P190">
        <v>27</v>
      </c>
      <c r="Q190">
        <v>65</v>
      </c>
      <c r="R190">
        <v>49</v>
      </c>
      <c r="S190">
        <v>122</v>
      </c>
      <c r="T190">
        <v>0</v>
      </c>
      <c r="U190">
        <v>0</v>
      </c>
      <c r="V190">
        <v>0</v>
      </c>
      <c r="W190">
        <v>0</v>
      </c>
      <c r="X190" s="23">
        <v>0</v>
      </c>
      <c r="Y190" s="23">
        <v>0</v>
      </c>
      <c r="Z190" s="23">
        <v>0</v>
      </c>
      <c r="AA190" s="23">
        <v>0</v>
      </c>
      <c r="AB190">
        <v>0</v>
      </c>
      <c r="AC190">
        <v>0</v>
      </c>
      <c r="AD190">
        <v>0</v>
      </c>
      <c r="AE190">
        <v>0</v>
      </c>
      <c r="AF190" s="23" t="s">
        <v>55</v>
      </c>
      <c r="AG190" s="23" t="s">
        <v>55</v>
      </c>
      <c r="AH190" s="23" t="s">
        <v>55</v>
      </c>
      <c r="AI190" s="23" t="s">
        <v>55</v>
      </c>
      <c r="AJ190">
        <v>0</v>
      </c>
      <c r="AK190">
        <v>0</v>
      </c>
      <c r="AL190">
        <v>0</v>
      </c>
      <c r="AM190">
        <v>0</v>
      </c>
      <c r="AN190" s="23" t="s">
        <v>55</v>
      </c>
      <c r="AO190" s="23" t="s">
        <v>55</v>
      </c>
      <c r="AP190" s="23" t="s">
        <v>55</v>
      </c>
      <c r="AQ190" s="23" t="s">
        <v>55</v>
      </c>
      <c r="AR190" s="37">
        <v>0</v>
      </c>
      <c r="AS190" s="37">
        <v>0</v>
      </c>
      <c r="AT190" s="37">
        <v>3</v>
      </c>
      <c r="AU190" s="33" t="str">
        <f t="shared" si="6"/>
        <v>库存为3</v>
      </c>
      <c r="AV190" s="38" t="str">
        <f>IFERROR(时间!$B$4+AU190,"上周无销量")</f>
        <v>上周无销量</v>
      </c>
    </row>
    <row r="191" spans="1:48">
      <c r="A191" s="21" t="s">
        <v>582</v>
      </c>
      <c r="B191" t="s">
        <v>583</v>
      </c>
      <c r="C191" t="s">
        <v>584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3</v>
      </c>
      <c r="J191" s="35">
        <v>0</v>
      </c>
      <c r="K191" s="35">
        <v>0</v>
      </c>
      <c r="L191" s="35">
        <v>0</v>
      </c>
      <c r="M191">
        <v>3</v>
      </c>
      <c r="N191">
        <v>0</v>
      </c>
      <c r="O191">
        <v>3</v>
      </c>
      <c r="P191">
        <v>25</v>
      </c>
      <c r="Q191">
        <v>112</v>
      </c>
      <c r="R191">
        <v>355</v>
      </c>
      <c r="S191">
        <v>325</v>
      </c>
      <c r="T191">
        <v>0</v>
      </c>
      <c r="U191">
        <v>0</v>
      </c>
      <c r="V191">
        <v>2</v>
      </c>
      <c r="W191">
        <v>0</v>
      </c>
      <c r="X191" s="23">
        <v>0</v>
      </c>
      <c r="Y191" s="23">
        <v>0</v>
      </c>
      <c r="Z191" s="23">
        <v>0.00563380281690141</v>
      </c>
      <c r="AA191" s="23">
        <v>0</v>
      </c>
      <c r="AB191">
        <v>0</v>
      </c>
      <c r="AC191">
        <v>0</v>
      </c>
      <c r="AD191">
        <v>0.8</v>
      </c>
      <c r="AE191">
        <v>0</v>
      </c>
      <c r="AF191" s="23" t="s">
        <v>55</v>
      </c>
      <c r="AG191" s="23" t="s">
        <v>55</v>
      </c>
      <c r="AH191" s="23" t="s">
        <v>548</v>
      </c>
      <c r="AI191" s="23" t="s">
        <v>55</v>
      </c>
      <c r="AJ191">
        <v>0</v>
      </c>
      <c r="AK191">
        <v>0</v>
      </c>
      <c r="AL191">
        <v>0</v>
      </c>
      <c r="AM191">
        <v>0</v>
      </c>
      <c r="AN191" s="23" t="s">
        <v>55</v>
      </c>
      <c r="AO191" s="23" t="s">
        <v>55</v>
      </c>
      <c r="AP191" s="23" t="s">
        <v>55</v>
      </c>
      <c r="AQ191" s="23" t="s">
        <v>55</v>
      </c>
      <c r="AR191" s="37">
        <v>0</v>
      </c>
      <c r="AS191" s="37">
        <v>0</v>
      </c>
      <c r="AT191" s="37">
        <v>3</v>
      </c>
      <c r="AU191" s="33" t="str">
        <f t="shared" si="6"/>
        <v>库存为3</v>
      </c>
      <c r="AV191" s="38" t="str">
        <f>IFERROR(时间!$B$4+AU191,"上周无销量")</f>
        <v>上周无销量</v>
      </c>
    </row>
    <row r="192" spans="1:48">
      <c r="A192" s="21" t="s">
        <v>585</v>
      </c>
      <c r="B192" t="s">
        <v>586</v>
      </c>
      <c r="C192" t="s">
        <v>584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2</v>
      </c>
      <c r="J192" s="35">
        <v>0</v>
      </c>
      <c r="K192" s="35">
        <v>0</v>
      </c>
      <c r="L192" s="35">
        <v>0</v>
      </c>
      <c r="M192">
        <v>2</v>
      </c>
      <c r="N192">
        <v>0</v>
      </c>
      <c r="O192">
        <v>2</v>
      </c>
      <c r="P192">
        <v>101</v>
      </c>
      <c r="Q192">
        <v>298</v>
      </c>
      <c r="R192">
        <v>421</v>
      </c>
      <c r="S192">
        <v>396</v>
      </c>
      <c r="T192">
        <v>0</v>
      </c>
      <c r="U192">
        <v>1</v>
      </c>
      <c r="V192">
        <v>1</v>
      </c>
      <c r="W192">
        <v>1</v>
      </c>
      <c r="X192" s="23">
        <v>0</v>
      </c>
      <c r="Y192" s="23">
        <v>0.00335570469798658</v>
      </c>
      <c r="Z192" s="23">
        <v>0.00237529691211401</v>
      </c>
      <c r="AA192" s="23">
        <v>0.00252525252525253</v>
      </c>
      <c r="AB192">
        <v>0</v>
      </c>
      <c r="AC192">
        <v>0.13</v>
      </c>
      <c r="AD192">
        <v>0.26</v>
      </c>
      <c r="AE192">
        <v>0.39</v>
      </c>
      <c r="AF192" s="23" t="s">
        <v>55</v>
      </c>
      <c r="AG192" s="23" t="s">
        <v>277</v>
      </c>
      <c r="AH192" s="23" t="s">
        <v>332</v>
      </c>
      <c r="AI192" s="23" t="s">
        <v>205</v>
      </c>
      <c r="AJ192">
        <v>2</v>
      </c>
      <c r="AK192">
        <v>0</v>
      </c>
      <c r="AL192">
        <v>0</v>
      </c>
      <c r="AM192">
        <v>1</v>
      </c>
      <c r="AN192" s="23">
        <v>0</v>
      </c>
      <c r="AO192" s="23" t="s">
        <v>55</v>
      </c>
      <c r="AP192" s="23" t="s">
        <v>55</v>
      </c>
      <c r="AQ192" s="23">
        <v>0</v>
      </c>
      <c r="AR192" s="37">
        <v>0</v>
      </c>
      <c r="AS192" s="37">
        <v>0</v>
      </c>
      <c r="AT192" s="37">
        <v>2</v>
      </c>
      <c r="AU192" s="33" t="str">
        <f t="shared" si="6"/>
        <v>库存为2</v>
      </c>
      <c r="AV192" s="38" t="str">
        <f>IFERROR(时间!$B$4+AU192,"上周无销量")</f>
        <v>上周无销量</v>
      </c>
    </row>
    <row r="193" spans="1:48">
      <c r="A193" s="21" t="s">
        <v>587</v>
      </c>
      <c r="B193" t="s">
        <v>588</v>
      </c>
      <c r="C193" t="s">
        <v>589</v>
      </c>
      <c r="D193" s="33">
        <v>0</v>
      </c>
      <c r="E193" s="33">
        <v>0</v>
      </c>
      <c r="F193" s="33">
        <v>0</v>
      </c>
      <c r="G193" s="33">
        <v>0</v>
      </c>
      <c r="H193" s="34">
        <v>0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0</v>
      </c>
      <c r="O193">
        <v>0</v>
      </c>
      <c r="P193" t="s">
        <v>55</v>
      </c>
      <c r="Q193" t="s">
        <v>55</v>
      </c>
      <c r="R193" t="s">
        <v>55</v>
      </c>
      <c r="S193" t="s">
        <v>55</v>
      </c>
      <c r="T193" t="s">
        <v>55</v>
      </c>
      <c r="U193" t="s">
        <v>55</v>
      </c>
      <c r="V193" t="s">
        <v>55</v>
      </c>
      <c r="W193" t="s">
        <v>55</v>
      </c>
      <c r="X193" s="23" t="s">
        <v>55</v>
      </c>
      <c r="Y193" s="23" t="s">
        <v>55</v>
      </c>
      <c r="Z193" s="23" t="s">
        <v>55</v>
      </c>
      <c r="AA193" s="23" t="s">
        <v>55</v>
      </c>
      <c r="AB193" t="s">
        <v>55</v>
      </c>
      <c r="AC193" t="s">
        <v>55</v>
      </c>
      <c r="AD193" t="s">
        <v>55</v>
      </c>
      <c r="AE193" t="s">
        <v>55</v>
      </c>
      <c r="AF193" s="23" t="s">
        <v>55</v>
      </c>
      <c r="AG193" s="23" t="s">
        <v>55</v>
      </c>
      <c r="AH193" s="23" t="s">
        <v>55</v>
      </c>
      <c r="AI193" s="23" t="s">
        <v>55</v>
      </c>
      <c r="AJ193">
        <v>0</v>
      </c>
      <c r="AK193">
        <v>0</v>
      </c>
      <c r="AL193">
        <v>0</v>
      </c>
      <c r="AM193">
        <v>0</v>
      </c>
      <c r="AN193" s="23" t="s">
        <v>55</v>
      </c>
      <c r="AO193" s="23" t="s">
        <v>55</v>
      </c>
      <c r="AP193" s="23" t="s">
        <v>55</v>
      </c>
      <c r="AQ193" s="23" t="s">
        <v>55</v>
      </c>
      <c r="AR193" s="37">
        <v>0</v>
      </c>
      <c r="AS193" s="37">
        <v>0</v>
      </c>
      <c r="AT193" s="37">
        <v>0</v>
      </c>
      <c r="AU193" s="33" t="str">
        <f t="shared" si="6"/>
        <v>库存为0</v>
      </c>
      <c r="AV193" s="38" t="str">
        <f>IFERROR(时间!$B$4+AU193,"上周无销量")</f>
        <v>上周无销量</v>
      </c>
    </row>
    <row r="194" spans="1:48">
      <c r="A194" s="21" t="s">
        <v>590</v>
      </c>
      <c r="B194" t="s">
        <v>591</v>
      </c>
      <c r="C194" t="s">
        <v>592</v>
      </c>
      <c r="D194" s="33">
        <v>1</v>
      </c>
      <c r="E194" s="33">
        <v>0</v>
      </c>
      <c r="F194" s="33">
        <v>0</v>
      </c>
      <c r="G194" s="33">
        <v>0</v>
      </c>
      <c r="H194" s="34">
        <v>5.27</v>
      </c>
      <c r="I194">
        <v>0</v>
      </c>
      <c r="J194" s="35">
        <v>0</v>
      </c>
      <c r="K194" s="35">
        <v>0</v>
      </c>
      <c r="L194" s="35">
        <v>0</v>
      </c>
      <c r="M194">
        <v>0</v>
      </c>
      <c r="N194">
        <v>0</v>
      </c>
      <c r="O194">
        <v>1</v>
      </c>
      <c r="P194" t="s">
        <v>55</v>
      </c>
      <c r="Q194" t="s">
        <v>55</v>
      </c>
      <c r="R194" t="s">
        <v>55</v>
      </c>
      <c r="S194" t="s">
        <v>55</v>
      </c>
      <c r="T194" t="s">
        <v>55</v>
      </c>
      <c r="U194" t="s">
        <v>55</v>
      </c>
      <c r="V194" t="s">
        <v>55</v>
      </c>
      <c r="W194" t="s">
        <v>55</v>
      </c>
      <c r="X194" s="23" t="s">
        <v>55</v>
      </c>
      <c r="Y194" s="23" t="s">
        <v>55</v>
      </c>
      <c r="Z194" s="23" t="s">
        <v>55</v>
      </c>
      <c r="AA194" s="23" t="s">
        <v>55</v>
      </c>
      <c r="AB194" t="s">
        <v>55</v>
      </c>
      <c r="AC194" t="s">
        <v>55</v>
      </c>
      <c r="AD194" t="s">
        <v>55</v>
      </c>
      <c r="AE194" t="s">
        <v>55</v>
      </c>
      <c r="AF194" s="23" t="s">
        <v>55</v>
      </c>
      <c r="AG194" s="23" t="s">
        <v>55</v>
      </c>
      <c r="AH194" s="23" t="s">
        <v>55</v>
      </c>
      <c r="AI194" s="23" t="s">
        <v>55</v>
      </c>
      <c r="AJ194">
        <v>1</v>
      </c>
      <c r="AK194">
        <v>0</v>
      </c>
      <c r="AL194">
        <v>1</v>
      </c>
      <c r="AM194">
        <v>0</v>
      </c>
      <c r="AN194" s="23">
        <v>1</v>
      </c>
      <c r="AO194" s="23" t="s">
        <v>55</v>
      </c>
      <c r="AP194" s="23">
        <v>0</v>
      </c>
      <c r="AQ194" s="23" t="s">
        <v>55</v>
      </c>
      <c r="AR194" s="37">
        <v>0.142857142857143</v>
      </c>
      <c r="AS194" s="37">
        <v>8.57142857142857</v>
      </c>
      <c r="AT194" s="37">
        <v>-8.57142857142857</v>
      </c>
      <c r="AU194" s="33">
        <f t="shared" si="6"/>
        <v>0</v>
      </c>
      <c r="AV194" s="38">
        <f>IFERROR(时间!$B$4+AU194,"上周无销量")</f>
        <v>43283</v>
      </c>
    </row>
    <row r="195" spans="1:48">
      <c r="A195" s="21" t="s">
        <v>593</v>
      </c>
      <c r="B195" t="s">
        <v>594</v>
      </c>
      <c r="C195" t="s">
        <v>592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1</v>
      </c>
      <c r="P195" t="s">
        <v>55</v>
      </c>
      <c r="Q195" t="s">
        <v>55</v>
      </c>
      <c r="R195" t="s">
        <v>55</v>
      </c>
      <c r="S195" t="s">
        <v>55</v>
      </c>
      <c r="T195" t="s">
        <v>55</v>
      </c>
      <c r="U195" t="s">
        <v>55</v>
      </c>
      <c r="V195" t="s">
        <v>55</v>
      </c>
      <c r="W195" t="s">
        <v>55</v>
      </c>
      <c r="X195" s="23" t="s">
        <v>55</v>
      </c>
      <c r="Y195" s="23" t="s">
        <v>55</v>
      </c>
      <c r="Z195" s="23" t="s">
        <v>55</v>
      </c>
      <c r="AA195" s="23" t="s">
        <v>55</v>
      </c>
      <c r="AB195" t="s">
        <v>55</v>
      </c>
      <c r="AC195" t="s">
        <v>55</v>
      </c>
      <c r="AD195" t="s">
        <v>55</v>
      </c>
      <c r="AE195" t="s">
        <v>55</v>
      </c>
      <c r="AF195" s="23" t="s">
        <v>55</v>
      </c>
      <c r="AG195" s="23" t="s">
        <v>55</v>
      </c>
      <c r="AH195" s="23" t="s">
        <v>55</v>
      </c>
      <c r="AI195" s="23" t="s">
        <v>55</v>
      </c>
      <c r="AJ195">
        <v>1</v>
      </c>
      <c r="AK195">
        <v>1</v>
      </c>
      <c r="AL195">
        <v>0</v>
      </c>
      <c r="AM195">
        <v>1</v>
      </c>
      <c r="AN195" s="23">
        <v>0</v>
      </c>
      <c r="AO195" s="23">
        <v>0</v>
      </c>
      <c r="AP195" s="23" t="s">
        <v>55</v>
      </c>
      <c r="AQ195" s="23">
        <v>0</v>
      </c>
      <c r="AR195" s="37">
        <v>0</v>
      </c>
      <c r="AS195" s="37">
        <v>0</v>
      </c>
      <c r="AT195" s="37">
        <v>1</v>
      </c>
      <c r="AU195" s="33" t="str">
        <f t="shared" si="6"/>
        <v>库存为1</v>
      </c>
      <c r="AV195" s="38" t="str">
        <f>IFERROR(时间!$B$4+AU195,"上周无销量")</f>
        <v>上周无销量</v>
      </c>
    </row>
    <row r="196" spans="1:48">
      <c r="A196" s="21" t="s">
        <v>595</v>
      </c>
      <c r="B196" t="s">
        <v>596</v>
      </c>
      <c r="C196" t="s">
        <v>592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1</v>
      </c>
      <c r="J196" s="35">
        <v>0</v>
      </c>
      <c r="K196" s="35">
        <v>0</v>
      </c>
      <c r="L196" s="35">
        <v>0</v>
      </c>
      <c r="M196">
        <v>1</v>
      </c>
      <c r="N196">
        <v>0</v>
      </c>
      <c r="O196">
        <v>1</v>
      </c>
      <c r="P196" t="s">
        <v>55</v>
      </c>
      <c r="Q196" t="s">
        <v>55</v>
      </c>
      <c r="R196" t="s">
        <v>55</v>
      </c>
      <c r="S196" t="s">
        <v>55</v>
      </c>
      <c r="T196" t="s">
        <v>55</v>
      </c>
      <c r="U196" t="s">
        <v>55</v>
      </c>
      <c r="V196" t="s">
        <v>55</v>
      </c>
      <c r="W196" t="s">
        <v>55</v>
      </c>
      <c r="X196" s="23" t="s">
        <v>55</v>
      </c>
      <c r="Y196" s="23" t="s">
        <v>55</v>
      </c>
      <c r="Z196" s="23" t="s">
        <v>55</v>
      </c>
      <c r="AA196" s="23" t="s">
        <v>55</v>
      </c>
      <c r="AB196" t="s">
        <v>55</v>
      </c>
      <c r="AC196" t="s">
        <v>55</v>
      </c>
      <c r="AD196" t="s">
        <v>55</v>
      </c>
      <c r="AE196" t="s">
        <v>55</v>
      </c>
      <c r="AF196" s="23" t="s">
        <v>55</v>
      </c>
      <c r="AG196" s="23" t="s">
        <v>55</v>
      </c>
      <c r="AH196" s="23" t="s">
        <v>55</v>
      </c>
      <c r="AI196" s="23" t="s">
        <v>55</v>
      </c>
      <c r="AJ196">
        <v>4</v>
      </c>
      <c r="AK196">
        <v>1</v>
      </c>
      <c r="AL196">
        <v>0</v>
      </c>
      <c r="AM196">
        <v>1</v>
      </c>
      <c r="AN196" s="23">
        <v>0</v>
      </c>
      <c r="AO196" s="23">
        <v>0</v>
      </c>
      <c r="AP196" s="23" t="s">
        <v>55</v>
      </c>
      <c r="AQ196" s="23">
        <v>0</v>
      </c>
      <c r="AR196" s="37">
        <v>0</v>
      </c>
      <c r="AS196" s="37">
        <v>0</v>
      </c>
      <c r="AT196" s="37">
        <v>1</v>
      </c>
      <c r="AU196" s="33" t="str">
        <f t="shared" si="6"/>
        <v>库存为1</v>
      </c>
      <c r="AV196" s="38" t="str">
        <f>IFERROR(时间!$B$4+AU196,"上周无销量")</f>
        <v>上周无销量</v>
      </c>
    </row>
    <row r="197" spans="1:48">
      <c r="A197" s="21" t="s">
        <v>597</v>
      </c>
      <c r="B197" t="s">
        <v>598</v>
      </c>
      <c r="C197" t="s">
        <v>599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1</v>
      </c>
      <c r="J197" s="35">
        <v>0</v>
      </c>
      <c r="K197" s="35">
        <v>0</v>
      </c>
      <c r="L197" s="35">
        <v>0</v>
      </c>
      <c r="M197">
        <v>1</v>
      </c>
      <c r="N197">
        <v>0</v>
      </c>
      <c r="O197">
        <v>1</v>
      </c>
      <c r="P197" t="s">
        <v>55</v>
      </c>
      <c r="Q197" t="s">
        <v>55</v>
      </c>
      <c r="R197" t="s">
        <v>55</v>
      </c>
      <c r="S197" t="s">
        <v>55</v>
      </c>
      <c r="T197" t="s">
        <v>55</v>
      </c>
      <c r="U197" t="s">
        <v>55</v>
      </c>
      <c r="V197" t="s">
        <v>55</v>
      </c>
      <c r="W197" t="s">
        <v>55</v>
      </c>
      <c r="X197" s="23" t="s">
        <v>55</v>
      </c>
      <c r="Y197" s="23" t="s">
        <v>55</v>
      </c>
      <c r="Z197" s="23" t="s">
        <v>55</v>
      </c>
      <c r="AA197" s="23" t="s">
        <v>55</v>
      </c>
      <c r="AB197" t="s">
        <v>55</v>
      </c>
      <c r="AC197" t="s">
        <v>55</v>
      </c>
      <c r="AD197" t="s">
        <v>55</v>
      </c>
      <c r="AE197" t="s">
        <v>55</v>
      </c>
      <c r="AF197" s="23" t="s">
        <v>55</v>
      </c>
      <c r="AG197" s="23" t="s">
        <v>55</v>
      </c>
      <c r="AH197" s="23" t="s">
        <v>55</v>
      </c>
      <c r="AI197" s="23" t="s">
        <v>55</v>
      </c>
      <c r="AJ197">
        <v>1</v>
      </c>
      <c r="AK197">
        <v>1</v>
      </c>
      <c r="AL197">
        <v>0</v>
      </c>
      <c r="AM197">
        <v>1</v>
      </c>
      <c r="AN197" s="23">
        <v>0</v>
      </c>
      <c r="AO197" s="23">
        <v>0</v>
      </c>
      <c r="AP197" s="23" t="s">
        <v>55</v>
      </c>
      <c r="AQ197" s="23">
        <v>0</v>
      </c>
      <c r="AR197" s="37">
        <v>0</v>
      </c>
      <c r="AS197" s="37">
        <v>0</v>
      </c>
      <c r="AT197" s="37">
        <v>1</v>
      </c>
      <c r="AU197" s="33" t="str">
        <f t="shared" ref="AU197:AU260" si="7">IF(AR197="","库存为"&amp;M197,IF(AS197=0,"库存为"&amp;M197,INT(M197/AR197)))</f>
        <v>库存为1</v>
      </c>
      <c r="AV197" s="38" t="str">
        <f>IFERROR(时间!$B$4+AU197,"上周无销量")</f>
        <v>上周无销量</v>
      </c>
    </row>
    <row r="198" spans="1:48">
      <c r="A198" s="21" t="s">
        <v>600</v>
      </c>
      <c r="B198" t="s">
        <v>601</v>
      </c>
      <c r="C198" t="s">
        <v>599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2</v>
      </c>
      <c r="J198" s="35">
        <v>0</v>
      </c>
      <c r="K198" s="35">
        <v>0</v>
      </c>
      <c r="L198" s="35">
        <v>0</v>
      </c>
      <c r="M198">
        <v>2</v>
      </c>
      <c r="N198">
        <v>0</v>
      </c>
      <c r="O198">
        <v>2</v>
      </c>
      <c r="P198" t="s">
        <v>55</v>
      </c>
      <c r="Q198" t="s">
        <v>55</v>
      </c>
      <c r="R198" t="s">
        <v>55</v>
      </c>
      <c r="S198" t="s">
        <v>55</v>
      </c>
      <c r="T198" t="s">
        <v>55</v>
      </c>
      <c r="U198" t="s">
        <v>55</v>
      </c>
      <c r="V198" t="s">
        <v>55</v>
      </c>
      <c r="W198" t="s">
        <v>55</v>
      </c>
      <c r="X198" s="23" t="s">
        <v>55</v>
      </c>
      <c r="Y198" s="23" t="s">
        <v>55</v>
      </c>
      <c r="Z198" s="23" t="s">
        <v>55</v>
      </c>
      <c r="AA198" s="23" t="s">
        <v>55</v>
      </c>
      <c r="AB198" t="s">
        <v>55</v>
      </c>
      <c r="AC198" t="s">
        <v>55</v>
      </c>
      <c r="AD198" t="s">
        <v>55</v>
      </c>
      <c r="AE198" t="s">
        <v>55</v>
      </c>
      <c r="AF198" s="23" t="s">
        <v>55</v>
      </c>
      <c r="AG198" s="23" t="s">
        <v>55</v>
      </c>
      <c r="AH198" s="23" t="s">
        <v>55</v>
      </c>
      <c r="AI198" s="23" t="s">
        <v>55</v>
      </c>
      <c r="AJ198">
        <v>1</v>
      </c>
      <c r="AK198">
        <v>1</v>
      </c>
      <c r="AL198">
        <v>0</v>
      </c>
      <c r="AM198">
        <v>2</v>
      </c>
      <c r="AN198" s="23">
        <v>0</v>
      </c>
      <c r="AO198" s="23">
        <v>0</v>
      </c>
      <c r="AP198" s="23" t="s">
        <v>55</v>
      </c>
      <c r="AQ198" s="23">
        <v>0</v>
      </c>
      <c r="AR198" s="37">
        <v>0</v>
      </c>
      <c r="AS198" s="37">
        <v>0</v>
      </c>
      <c r="AT198" s="37">
        <v>2</v>
      </c>
      <c r="AU198" s="33" t="str">
        <f t="shared" si="7"/>
        <v>库存为2</v>
      </c>
      <c r="AV198" s="38" t="str">
        <f>IFERROR(时间!$B$4+AU198,"上周无销量")</f>
        <v>上周无销量</v>
      </c>
    </row>
    <row r="199" spans="1:48">
      <c r="A199" s="21" t="s">
        <v>602</v>
      </c>
      <c r="B199" t="s">
        <v>603</v>
      </c>
      <c r="C199" t="s">
        <v>599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1</v>
      </c>
      <c r="J199" s="35">
        <v>0</v>
      </c>
      <c r="K199" s="35">
        <v>0</v>
      </c>
      <c r="L199" s="35">
        <v>0</v>
      </c>
      <c r="M199">
        <v>1</v>
      </c>
      <c r="N199">
        <v>0</v>
      </c>
      <c r="O199">
        <v>1</v>
      </c>
      <c r="P199" t="s">
        <v>55</v>
      </c>
      <c r="Q199" t="s">
        <v>55</v>
      </c>
      <c r="R199" t="s">
        <v>55</v>
      </c>
      <c r="S199" t="s">
        <v>55</v>
      </c>
      <c r="T199" t="s">
        <v>55</v>
      </c>
      <c r="U199" t="s">
        <v>55</v>
      </c>
      <c r="V199" t="s">
        <v>55</v>
      </c>
      <c r="W199" t="s">
        <v>55</v>
      </c>
      <c r="X199" s="23" t="s">
        <v>55</v>
      </c>
      <c r="Y199" s="23" t="s">
        <v>55</v>
      </c>
      <c r="Z199" s="23" t="s">
        <v>55</v>
      </c>
      <c r="AA199" s="23" t="s">
        <v>55</v>
      </c>
      <c r="AB199" t="s">
        <v>55</v>
      </c>
      <c r="AC199" t="s">
        <v>55</v>
      </c>
      <c r="AD199" t="s">
        <v>55</v>
      </c>
      <c r="AE199" t="s">
        <v>55</v>
      </c>
      <c r="AF199" s="23" t="s">
        <v>55</v>
      </c>
      <c r="AG199" s="23" t="s">
        <v>55</v>
      </c>
      <c r="AH199" s="23" t="s">
        <v>55</v>
      </c>
      <c r="AI199" s="23" t="s">
        <v>55</v>
      </c>
      <c r="AJ199">
        <v>2</v>
      </c>
      <c r="AK199">
        <v>1</v>
      </c>
      <c r="AL199">
        <v>1</v>
      </c>
      <c r="AM199">
        <v>0</v>
      </c>
      <c r="AN199" s="23">
        <v>0</v>
      </c>
      <c r="AO199" s="23">
        <v>0</v>
      </c>
      <c r="AP199" s="23">
        <v>0</v>
      </c>
      <c r="AQ199" s="23" t="s">
        <v>55</v>
      </c>
      <c r="AR199" s="37">
        <v>0</v>
      </c>
      <c r="AS199" s="37">
        <v>0</v>
      </c>
      <c r="AT199" s="37">
        <v>1</v>
      </c>
      <c r="AU199" s="33" t="str">
        <f t="shared" si="7"/>
        <v>库存为1</v>
      </c>
      <c r="AV199" s="38" t="str">
        <f>IFERROR(时间!$B$4+AU199,"上周无销量")</f>
        <v>上周无销量</v>
      </c>
    </row>
    <row r="200" spans="1:48">
      <c r="A200" s="21" t="s">
        <v>604</v>
      </c>
      <c r="B200" t="s">
        <v>605</v>
      </c>
      <c r="C200" t="s">
        <v>599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2</v>
      </c>
      <c r="J200" s="35">
        <v>0</v>
      </c>
      <c r="K200" s="35">
        <v>0</v>
      </c>
      <c r="L200" s="35">
        <v>0</v>
      </c>
      <c r="M200">
        <v>2</v>
      </c>
      <c r="N200">
        <v>0</v>
      </c>
      <c r="O200">
        <v>2</v>
      </c>
      <c r="P200" t="s">
        <v>55</v>
      </c>
      <c r="Q200" t="s">
        <v>55</v>
      </c>
      <c r="R200" t="s">
        <v>55</v>
      </c>
      <c r="S200" t="s">
        <v>55</v>
      </c>
      <c r="T200" t="s">
        <v>55</v>
      </c>
      <c r="U200" t="s">
        <v>55</v>
      </c>
      <c r="V200" t="s">
        <v>55</v>
      </c>
      <c r="W200" t="s">
        <v>55</v>
      </c>
      <c r="X200" s="23" t="s">
        <v>55</v>
      </c>
      <c r="Y200" s="23" t="s">
        <v>55</v>
      </c>
      <c r="Z200" s="23" t="s">
        <v>55</v>
      </c>
      <c r="AA200" s="23" t="s">
        <v>55</v>
      </c>
      <c r="AB200" t="s">
        <v>55</v>
      </c>
      <c r="AC200" t="s">
        <v>55</v>
      </c>
      <c r="AD200" t="s">
        <v>55</v>
      </c>
      <c r="AE200" t="s">
        <v>55</v>
      </c>
      <c r="AF200" s="23" t="s">
        <v>55</v>
      </c>
      <c r="AG200" s="23" t="s">
        <v>55</v>
      </c>
      <c r="AH200" s="23" t="s">
        <v>55</v>
      </c>
      <c r="AI200" s="23" t="s">
        <v>55</v>
      </c>
      <c r="AJ200">
        <v>2</v>
      </c>
      <c r="AK200">
        <v>3</v>
      </c>
      <c r="AL200">
        <v>2</v>
      </c>
      <c r="AM200">
        <v>1</v>
      </c>
      <c r="AN200" s="23">
        <v>0</v>
      </c>
      <c r="AO200" s="23">
        <v>0</v>
      </c>
      <c r="AP200" s="23">
        <v>0</v>
      </c>
      <c r="AQ200" s="23">
        <v>0</v>
      </c>
      <c r="AR200" s="37">
        <v>0</v>
      </c>
      <c r="AS200" s="37">
        <v>0</v>
      </c>
      <c r="AT200" s="37">
        <v>2</v>
      </c>
      <c r="AU200" s="33" t="str">
        <f t="shared" si="7"/>
        <v>库存为2</v>
      </c>
      <c r="AV200" s="38" t="str">
        <f>IFERROR(时间!$B$4+AU200,"上周无销量")</f>
        <v>上周无销量</v>
      </c>
    </row>
    <row r="201" spans="1:48">
      <c r="A201" s="21" t="s">
        <v>606</v>
      </c>
      <c r="B201" t="s">
        <v>607</v>
      </c>
      <c r="C201" t="s">
        <v>599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0</v>
      </c>
      <c r="O201">
        <v>0</v>
      </c>
      <c r="P201" t="s">
        <v>55</v>
      </c>
      <c r="Q201" t="s">
        <v>55</v>
      </c>
      <c r="R201" t="s">
        <v>55</v>
      </c>
      <c r="S201" t="s">
        <v>55</v>
      </c>
      <c r="T201" t="s">
        <v>55</v>
      </c>
      <c r="U201" t="s">
        <v>55</v>
      </c>
      <c r="V201" t="s">
        <v>55</v>
      </c>
      <c r="W201" t="s">
        <v>55</v>
      </c>
      <c r="X201" s="23" t="s">
        <v>55</v>
      </c>
      <c r="Y201" s="23" t="s">
        <v>55</v>
      </c>
      <c r="Z201" s="23" t="s">
        <v>55</v>
      </c>
      <c r="AA201" s="23" t="s">
        <v>55</v>
      </c>
      <c r="AB201" t="s">
        <v>55</v>
      </c>
      <c r="AC201" t="s">
        <v>55</v>
      </c>
      <c r="AD201" t="s">
        <v>55</v>
      </c>
      <c r="AE201" t="s">
        <v>55</v>
      </c>
      <c r="AF201" s="23" t="s">
        <v>55</v>
      </c>
      <c r="AG201" s="23" t="s">
        <v>55</v>
      </c>
      <c r="AH201" s="23" t="s">
        <v>55</v>
      </c>
      <c r="AI201" s="23" t="s">
        <v>55</v>
      </c>
      <c r="AJ201">
        <v>0</v>
      </c>
      <c r="AK201">
        <v>0</v>
      </c>
      <c r="AL201">
        <v>0</v>
      </c>
      <c r="AM201">
        <v>0</v>
      </c>
      <c r="AN201" s="23" t="s">
        <v>55</v>
      </c>
      <c r="AO201" s="23" t="s">
        <v>55</v>
      </c>
      <c r="AP201" s="23" t="s">
        <v>55</v>
      </c>
      <c r="AQ201" s="23" t="s">
        <v>55</v>
      </c>
      <c r="AR201" s="37">
        <v>0</v>
      </c>
      <c r="AS201" s="37">
        <v>0</v>
      </c>
      <c r="AT201" s="37">
        <v>0</v>
      </c>
      <c r="AU201" s="33" t="str">
        <f t="shared" si="7"/>
        <v>库存为0</v>
      </c>
      <c r="AV201" s="38" t="str">
        <f>IFERROR(时间!$B$4+AU201,"上周无销量")</f>
        <v>上周无销量</v>
      </c>
    </row>
    <row r="202" spans="1:48">
      <c r="A202" s="21" t="s">
        <v>608</v>
      </c>
      <c r="B202" t="s">
        <v>609</v>
      </c>
      <c r="C202" t="s">
        <v>599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1</v>
      </c>
      <c r="P202" t="s">
        <v>55</v>
      </c>
      <c r="Q202" t="s">
        <v>55</v>
      </c>
      <c r="R202" t="s">
        <v>55</v>
      </c>
      <c r="S202" t="s">
        <v>55</v>
      </c>
      <c r="T202" t="s">
        <v>55</v>
      </c>
      <c r="U202" t="s">
        <v>55</v>
      </c>
      <c r="V202" t="s">
        <v>55</v>
      </c>
      <c r="W202" t="s">
        <v>55</v>
      </c>
      <c r="X202" s="23" t="s">
        <v>55</v>
      </c>
      <c r="Y202" s="23" t="s">
        <v>55</v>
      </c>
      <c r="Z202" s="23" t="s">
        <v>55</v>
      </c>
      <c r="AA202" s="23" t="s">
        <v>55</v>
      </c>
      <c r="AB202" t="s">
        <v>55</v>
      </c>
      <c r="AC202" t="s">
        <v>55</v>
      </c>
      <c r="AD202" t="s">
        <v>55</v>
      </c>
      <c r="AE202" t="s">
        <v>55</v>
      </c>
      <c r="AF202" s="23" t="s">
        <v>55</v>
      </c>
      <c r="AG202" s="23" t="s">
        <v>55</v>
      </c>
      <c r="AH202" s="23" t="s">
        <v>55</v>
      </c>
      <c r="AI202" s="23" t="s">
        <v>55</v>
      </c>
      <c r="AJ202">
        <v>1</v>
      </c>
      <c r="AK202">
        <v>2</v>
      </c>
      <c r="AL202">
        <v>0</v>
      </c>
      <c r="AM202">
        <v>3</v>
      </c>
      <c r="AN202" s="23">
        <v>0</v>
      </c>
      <c r="AO202" s="23">
        <v>0</v>
      </c>
      <c r="AP202" s="23" t="s">
        <v>55</v>
      </c>
      <c r="AQ202" s="23">
        <v>0</v>
      </c>
      <c r="AR202" s="37">
        <v>0</v>
      </c>
      <c r="AS202" s="37">
        <v>0</v>
      </c>
      <c r="AT202" s="37">
        <v>1</v>
      </c>
      <c r="AU202" s="33" t="str">
        <f t="shared" si="7"/>
        <v>库存为1</v>
      </c>
      <c r="AV202" s="38" t="str">
        <f>IFERROR(时间!$B$4+AU202,"上周无销量")</f>
        <v>上周无销量</v>
      </c>
    </row>
    <row r="203" spans="1:48">
      <c r="A203" s="21" t="s">
        <v>610</v>
      </c>
      <c r="B203" t="s">
        <v>611</v>
      </c>
      <c r="C203" t="s">
        <v>599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1</v>
      </c>
      <c r="J203" s="35">
        <v>0</v>
      </c>
      <c r="K203" s="35">
        <v>0</v>
      </c>
      <c r="L203" s="35">
        <v>0</v>
      </c>
      <c r="M203">
        <v>1</v>
      </c>
      <c r="N203">
        <v>0</v>
      </c>
      <c r="O203">
        <v>1</v>
      </c>
      <c r="P203" t="s">
        <v>55</v>
      </c>
      <c r="Q203" t="s">
        <v>55</v>
      </c>
      <c r="R203" t="s">
        <v>55</v>
      </c>
      <c r="S203" t="s">
        <v>55</v>
      </c>
      <c r="T203" t="s">
        <v>55</v>
      </c>
      <c r="U203" t="s">
        <v>55</v>
      </c>
      <c r="V203" t="s">
        <v>55</v>
      </c>
      <c r="W203" t="s">
        <v>55</v>
      </c>
      <c r="X203" s="23" t="s">
        <v>55</v>
      </c>
      <c r="Y203" s="23" t="s">
        <v>55</v>
      </c>
      <c r="Z203" s="23" t="s">
        <v>55</v>
      </c>
      <c r="AA203" s="23" t="s">
        <v>55</v>
      </c>
      <c r="AB203" t="s">
        <v>55</v>
      </c>
      <c r="AC203" t="s">
        <v>55</v>
      </c>
      <c r="AD203" t="s">
        <v>55</v>
      </c>
      <c r="AE203" t="s">
        <v>55</v>
      </c>
      <c r="AF203" s="23" t="s">
        <v>55</v>
      </c>
      <c r="AG203" s="23" t="s">
        <v>55</v>
      </c>
      <c r="AH203" s="23" t="s">
        <v>55</v>
      </c>
      <c r="AI203" s="23" t="s">
        <v>55</v>
      </c>
      <c r="AJ203">
        <v>1</v>
      </c>
      <c r="AK203">
        <v>1</v>
      </c>
      <c r="AL203">
        <v>0</v>
      </c>
      <c r="AM203">
        <v>0</v>
      </c>
      <c r="AN203" s="23">
        <v>0</v>
      </c>
      <c r="AO203" s="23">
        <v>0</v>
      </c>
      <c r="AP203" s="23" t="s">
        <v>55</v>
      </c>
      <c r="AQ203" s="23" t="s">
        <v>55</v>
      </c>
      <c r="AR203" s="37">
        <v>0</v>
      </c>
      <c r="AS203" s="37">
        <v>0</v>
      </c>
      <c r="AT203" s="37">
        <v>1</v>
      </c>
      <c r="AU203" s="33" t="str">
        <f t="shared" si="7"/>
        <v>库存为1</v>
      </c>
      <c r="AV203" s="38" t="str">
        <f>IFERROR(时间!$B$4+AU203,"上周无销量")</f>
        <v>上周无销量</v>
      </c>
    </row>
    <row r="204" spans="1:48">
      <c r="A204" s="21" t="s">
        <v>612</v>
      </c>
      <c r="B204" t="s">
        <v>613</v>
      </c>
      <c r="C204" t="s">
        <v>599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2</v>
      </c>
      <c r="J204" s="35">
        <v>0</v>
      </c>
      <c r="K204" s="35">
        <v>0</v>
      </c>
      <c r="L204" s="35">
        <v>0</v>
      </c>
      <c r="M204">
        <v>2</v>
      </c>
      <c r="N204">
        <v>0</v>
      </c>
      <c r="O204">
        <v>2</v>
      </c>
      <c r="P204" t="s">
        <v>55</v>
      </c>
      <c r="Q204" t="s">
        <v>55</v>
      </c>
      <c r="R204" t="s">
        <v>55</v>
      </c>
      <c r="S204" t="s">
        <v>55</v>
      </c>
      <c r="T204" t="s">
        <v>55</v>
      </c>
      <c r="U204" t="s">
        <v>55</v>
      </c>
      <c r="V204" t="s">
        <v>55</v>
      </c>
      <c r="W204" t="s">
        <v>55</v>
      </c>
      <c r="X204" s="23" t="s">
        <v>55</v>
      </c>
      <c r="Y204" s="23" t="s">
        <v>55</v>
      </c>
      <c r="Z204" s="23" t="s">
        <v>55</v>
      </c>
      <c r="AA204" s="23" t="s">
        <v>55</v>
      </c>
      <c r="AB204" t="s">
        <v>55</v>
      </c>
      <c r="AC204" t="s">
        <v>55</v>
      </c>
      <c r="AD204" t="s">
        <v>55</v>
      </c>
      <c r="AE204" t="s">
        <v>55</v>
      </c>
      <c r="AF204" s="23" t="s">
        <v>55</v>
      </c>
      <c r="AG204" s="23" t="s">
        <v>55</v>
      </c>
      <c r="AH204" s="23" t="s">
        <v>55</v>
      </c>
      <c r="AI204" s="23" t="s">
        <v>55</v>
      </c>
      <c r="AJ204">
        <v>1</v>
      </c>
      <c r="AK204">
        <v>3</v>
      </c>
      <c r="AL204">
        <v>1</v>
      </c>
      <c r="AM204">
        <v>2</v>
      </c>
      <c r="AN204" s="23">
        <v>0</v>
      </c>
      <c r="AO204" s="23">
        <v>0</v>
      </c>
      <c r="AP204" s="23">
        <v>0</v>
      </c>
      <c r="AQ204" s="23">
        <v>0</v>
      </c>
      <c r="AR204" s="37">
        <v>0</v>
      </c>
      <c r="AS204" s="37">
        <v>0</v>
      </c>
      <c r="AT204" s="37">
        <v>2</v>
      </c>
      <c r="AU204" s="33" t="str">
        <f t="shared" si="7"/>
        <v>库存为2</v>
      </c>
      <c r="AV204" s="38" t="str">
        <f>IFERROR(时间!$B$4+AU204,"上周无销量")</f>
        <v>上周无销量</v>
      </c>
    </row>
    <row r="205" spans="1:48">
      <c r="A205" s="21" t="s">
        <v>614</v>
      </c>
      <c r="B205" t="s">
        <v>615</v>
      </c>
      <c r="C205" t="s">
        <v>599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1</v>
      </c>
      <c r="J205" s="35">
        <v>0</v>
      </c>
      <c r="K205" s="35">
        <v>0</v>
      </c>
      <c r="L205" s="35">
        <v>0</v>
      </c>
      <c r="M205">
        <v>1</v>
      </c>
      <c r="N205">
        <v>0</v>
      </c>
      <c r="O205">
        <v>1</v>
      </c>
      <c r="P205" t="s">
        <v>55</v>
      </c>
      <c r="Q205" t="s">
        <v>55</v>
      </c>
      <c r="R205" t="s">
        <v>55</v>
      </c>
      <c r="S205" t="s">
        <v>55</v>
      </c>
      <c r="T205" t="s">
        <v>55</v>
      </c>
      <c r="U205" t="s">
        <v>55</v>
      </c>
      <c r="V205" t="s">
        <v>55</v>
      </c>
      <c r="W205" t="s">
        <v>55</v>
      </c>
      <c r="X205" s="23" t="s">
        <v>55</v>
      </c>
      <c r="Y205" s="23" t="s">
        <v>55</v>
      </c>
      <c r="Z205" s="23" t="s">
        <v>55</v>
      </c>
      <c r="AA205" s="23" t="s">
        <v>55</v>
      </c>
      <c r="AB205" t="s">
        <v>55</v>
      </c>
      <c r="AC205" t="s">
        <v>55</v>
      </c>
      <c r="AD205" t="s">
        <v>55</v>
      </c>
      <c r="AE205" t="s">
        <v>55</v>
      </c>
      <c r="AF205" s="23" t="s">
        <v>55</v>
      </c>
      <c r="AG205" s="23" t="s">
        <v>55</v>
      </c>
      <c r="AH205" s="23" t="s">
        <v>55</v>
      </c>
      <c r="AI205" s="23" t="s">
        <v>55</v>
      </c>
      <c r="AJ205">
        <v>2</v>
      </c>
      <c r="AK205">
        <v>0</v>
      </c>
      <c r="AL205">
        <v>1</v>
      </c>
      <c r="AM205">
        <v>2</v>
      </c>
      <c r="AN205" s="23">
        <v>0</v>
      </c>
      <c r="AO205" s="23" t="s">
        <v>55</v>
      </c>
      <c r="AP205" s="23">
        <v>0</v>
      </c>
      <c r="AQ205" s="23">
        <v>0</v>
      </c>
      <c r="AR205" s="37">
        <v>0</v>
      </c>
      <c r="AS205" s="37">
        <v>0</v>
      </c>
      <c r="AT205" s="37">
        <v>1</v>
      </c>
      <c r="AU205" s="33" t="str">
        <f t="shared" si="7"/>
        <v>库存为1</v>
      </c>
      <c r="AV205" s="38" t="str">
        <f>IFERROR(时间!$B$4+AU205,"上周无销量")</f>
        <v>上周无销量</v>
      </c>
    </row>
    <row r="206" spans="1:48">
      <c r="A206" s="21" t="s">
        <v>616</v>
      </c>
      <c r="B206" t="s">
        <v>617</v>
      </c>
      <c r="C206" t="s">
        <v>599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1</v>
      </c>
      <c r="J206" s="35">
        <v>0</v>
      </c>
      <c r="K206" s="35">
        <v>0</v>
      </c>
      <c r="L206" s="35">
        <v>0</v>
      </c>
      <c r="M206">
        <v>1</v>
      </c>
      <c r="N206">
        <v>0</v>
      </c>
      <c r="O206">
        <v>1</v>
      </c>
      <c r="P206" t="s">
        <v>55</v>
      </c>
      <c r="Q206" t="s">
        <v>55</v>
      </c>
      <c r="R206" t="s">
        <v>55</v>
      </c>
      <c r="S206" t="s">
        <v>55</v>
      </c>
      <c r="T206" t="s">
        <v>55</v>
      </c>
      <c r="U206" t="s">
        <v>55</v>
      </c>
      <c r="V206" t="s">
        <v>55</v>
      </c>
      <c r="W206" t="s">
        <v>55</v>
      </c>
      <c r="X206" s="23" t="s">
        <v>55</v>
      </c>
      <c r="Y206" s="23" t="s">
        <v>55</v>
      </c>
      <c r="Z206" s="23" t="s">
        <v>55</v>
      </c>
      <c r="AA206" s="23" t="s">
        <v>55</v>
      </c>
      <c r="AB206" t="s">
        <v>55</v>
      </c>
      <c r="AC206" t="s">
        <v>55</v>
      </c>
      <c r="AD206" t="s">
        <v>55</v>
      </c>
      <c r="AE206" t="s">
        <v>55</v>
      </c>
      <c r="AF206" s="23" t="s">
        <v>55</v>
      </c>
      <c r="AG206" s="23" t="s">
        <v>55</v>
      </c>
      <c r="AH206" s="23" t="s">
        <v>55</v>
      </c>
      <c r="AI206" s="23" t="s">
        <v>55</v>
      </c>
      <c r="AJ206">
        <v>1</v>
      </c>
      <c r="AK206">
        <v>3</v>
      </c>
      <c r="AL206">
        <v>2</v>
      </c>
      <c r="AM206">
        <v>1</v>
      </c>
      <c r="AN206" s="23">
        <v>0</v>
      </c>
      <c r="AO206" s="23">
        <v>0</v>
      </c>
      <c r="AP206" s="23">
        <v>0</v>
      </c>
      <c r="AQ206" s="23">
        <v>0</v>
      </c>
      <c r="AR206" s="37">
        <v>0</v>
      </c>
      <c r="AS206" s="37">
        <v>0</v>
      </c>
      <c r="AT206" s="37">
        <v>1</v>
      </c>
      <c r="AU206" s="33" t="str">
        <f t="shared" si="7"/>
        <v>库存为1</v>
      </c>
      <c r="AV206" s="38" t="str">
        <f>IFERROR(时间!$B$4+AU206,"上周无销量")</f>
        <v>上周无销量</v>
      </c>
    </row>
    <row r="207" spans="1:48">
      <c r="A207" s="21" t="s">
        <v>618</v>
      </c>
      <c r="B207" t="s">
        <v>619</v>
      </c>
      <c r="C207" t="s">
        <v>599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55</v>
      </c>
      <c r="Q207" t="s">
        <v>55</v>
      </c>
      <c r="R207" t="s">
        <v>55</v>
      </c>
      <c r="S207" t="s">
        <v>55</v>
      </c>
      <c r="T207" t="s">
        <v>55</v>
      </c>
      <c r="U207" t="s">
        <v>55</v>
      </c>
      <c r="V207" t="s">
        <v>55</v>
      </c>
      <c r="W207" t="s">
        <v>55</v>
      </c>
      <c r="X207" s="23" t="s">
        <v>55</v>
      </c>
      <c r="Y207" s="23" t="s">
        <v>55</v>
      </c>
      <c r="Z207" s="23" t="s">
        <v>55</v>
      </c>
      <c r="AA207" s="23" t="s">
        <v>55</v>
      </c>
      <c r="AB207" t="s">
        <v>55</v>
      </c>
      <c r="AC207" t="s">
        <v>55</v>
      </c>
      <c r="AD207" t="s">
        <v>55</v>
      </c>
      <c r="AE207" t="s">
        <v>55</v>
      </c>
      <c r="AF207" s="23" t="s">
        <v>55</v>
      </c>
      <c r="AG207" s="23" t="s">
        <v>55</v>
      </c>
      <c r="AH207" s="23" t="s">
        <v>55</v>
      </c>
      <c r="AI207" s="23" t="s">
        <v>55</v>
      </c>
      <c r="AJ207">
        <v>0</v>
      </c>
      <c r="AK207">
        <v>2</v>
      </c>
      <c r="AL207">
        <v>1</v>
      </c>
      <c r="AM207">
        <v>1</v>
      </c>
      <c r="AN207" s="23" t="s">
        <v>55</v>
      </c>
      <c r="AO207" s="23">
        <v>0</v>
      </c>
      <c r="AP207" s="23">
        <v>0</v>
      </c>
      <c r="AQ207" s="23">
        <v>0</v>
      </c>
      <c r="AR207" s="37">
        <v>0</v>
      </c>
      <c r="AS207" s="37">
        <v>0</v>
      </c>
      <c r="AT207" s="37">
        <v>1</v>
      </c>
      <c r="AU207" s="33" t="str">
        <f t="shared" si="7"/>
        <v>库存为1</v>
      </c>
      <c r="AV207" s="38" t="str">
        <f>IFERROR(时间!$B$4+AU207,"上周无销量")</f>
        <v>上周无销量</v>
      </c>
    </row>
    <row r="208" spans="1:48">
      <c r="A208" s="21" t="s">
        <v>620</v>
      </c>
      <c r="B208" t="s">
        <v>621</v>
      </c>
      <c r="C208" t="s">
        <v>599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2</v>
      </c>
      <c r="J208" s="35">
        <v>0</v>
      </c>
      <c r="K208" s="35">
        <v>0</v>
      </c>
      <c r="L208" s="35">
        <v>0</v>
      </c>
      <c r="M208">
        <v>2</v>
      </c>
      <c r="N208">
        <v>0</v>
      </c>
      <c r="O208">
        <v>2</v>
      </c>
      <c r="P208" t="s">
        <v>55</v>
      </c>
      <c r="Q208" t="s">
        <v>55</v>
      </c>
      <c r="R208" t="s">
        <v>55</v>
      </c>
      <c r="S208" t="s">
        <v>55</v>
      </c>
      <c r="T208" t="s">
        <v>55</v>
      </c>
      <c r="U208" t="s">
        <v>55</v>
      </c>
      <c r="V208" t="s">
        <v>55</v>
      </c>
      <c r="W208" t="s">
        <v>55</v>
      </c>
      <c r="X208" s="23" t="s">
        <v>55</v>
      </c>
      <c r="Y208" s="23" t="s">
        <v>55</v>
      </c>
      <c r="Z208" s="23" t="s">
        <v>55</v>
      </c>
      <c r="AA208" s="23" t="s">
        <v>55</v>
      </c>
      <c r="AB208" t="s">
        <v>55</v>
      </c>
      <c r="AC208" t="s">
        <v>55</v>
      </c>
      <c r="AD208" t="s">
        <v>55</v>
      </c>
      <c r="AE208" t="s">
        <v>55</v>
      </c>
      <c r="AF208" s="23" t="s">
        <v>55</v>
      </c>
      <c r="AG208" s="23" t="s">
        <v>55</v>
      </c>
      <c r="AH208" s="23" t="s">
        <v>55</v>
      </c>
      <c r="AI208" s="23" t="s">
        <v>55</v>
      </c>
      <c r="AJ208">
        <v>2</v>
      </c>
      <c r="AK208">
        <v>1</v>
      </c>
      <c r="AL208">
        <v>0</v>
      </c>
      <c r="AM208">
        <v>0</v>
      </c>
      <c r="AN208" s="23">
        <v>0</v>
      </c>
      <c r="AO208" s="23">
        <v>0</v>
      </c>
      <c r="AP208" s="23" t="s">
        <v>55</v>
      </c>
      <c r="AQ208" s="23" t="s">
        <v>55</v>
      </c>
      <c r="AR208" s="37">
        <v>0</v>
      </c>
      <c r="AS208" s="37">
        <v>0</v>
      </c>
      <c r="AT208" s="37">
        <v>2</v>
      </c>
      <c r="AU208" s="33" t="str">
        <f t="shared" si="7"/>
        <v>库存为2</v>
      </c>
      <c r="AV208" s="38" t="str">
        <f>IFERROR(时间!$B$4+AU208,"上周无销量")</f>
        <v>上周无销量</v>
      </c>
    </row>
    <row r="209" spans="1:48">
      <c r="A209" s="21" t="s">
        <v>622</v>
      </c>
      <c r="B209" t="s">
        <v>623</v>
      </c>
      <c r="C209" t="s">
        <v>624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55</v>
      </c>
      <c r="Q209" t="s">
        <v>55</v>
      </c>
      <c r="R209" t="s">
        <v>55</v>
      </c>
      <c r="S209" t="s">
        <v>55</v>
      </c>
      <c r="T209" t="s">
        <v>55</v>
      </c>
      <c r="U209" t="s">
        <v>55</v>
      </c>
      <c r="V209" t="s">
        <v>55</v>
      </c>
      <c r="W209" t="s">
        <v>55</v>
      </c>
      <c r="X209" s="23" t="s">
        <v>55</v>
      </c>
      <c r="Y209" s="23" t="s">
        <v>55</v>
      </c>
      <c r="Z209" s="23" t="s">
        <v>55</v>
      </c>
      <c r="AA209" s="23" t="s">
        <v>55</v>
      </c>
      <c r="AB209" t="s">
        <v>55</v>
      </c>
      <c r="AC209" t="s">
        <v>55</v>
      </c>
      <c r="AD209" t="s">
        <v>55</v>
      </c>
      <c r="AE209" t="s">
        <v>55</v>
      </c>
      <c r="AF209" s="23" t="s">
        <v>55</v>
      </c>
      <c r="AG209" s="23" t="s">
        <v>55</v>
      </c>
      <c r="AH209" s="23" t="s">
        <v>55</v>
      </c>
      <c r="AI209" s="23" t="s">
        <v>55</v>
      </c>
      <c r="AJ209">
        <v>1</v>
      </c>
      <c r="AK209">
        <v>1</v>
      </c>
      <c r="AL209">
        <v>0</v>
      </c>
      <c r="AM209">
        <v>1</v>
      </c>
      <c r="AN209" s="23">
        <v>0</v>
      </c>
      <c r="AO209" s="23">
        <v>0</v>
      </c>
      <c r="AP209" s="23" t="s">
        <v>55</v>
      </c>
      <c r="AQ209" s="23">
        <v>0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625</v>
      </c>
      <c r="B210" t="s">
        <v>626</v>
      </c>
      <c r="C210" t="s">
        <v>624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55</v>
      </c>
      <c r="Q210" t="s">
        <v>55</v>
      </c>
      <c r="R210" t="s">
        <v>55</v>
      </c>
      <c r="S210" t="s">
        <v>55</v>
      </c>
      <c r="T210" t="s">
        <v>55</v>
      </c>
      <c r="U210" t="s">
        <v>55</v>
      </c>
      <c r="V210" t="s">
        <v>55</v>
      </c>
      <c r="W210" t="s">
        <v>55</v>
      </c>
      <c r="X210" s="23" t="s">
        <v>55</v>
      </c>
      <c r="Y210" s="23" t="s">
        <v>55</v>
      </c>
      <c r="Z210" s="23" t="s">
        <v>55</v>
      </c>
      <c r="AA210" s="23" t="s">
        <v>55</v>
      </c>
      <c r="AB210" t="s">
        <v>55</v>
      </c>
      <c r="AC210" t="s">
        <v>55</v>
      </c>
      <c r="AD210" t="s">
        <v>55</v>
      </c>
      <c r="AE210" t="s">
        <v>55</v>
      </c>
      <c r="AF210" s="23" t="s">
        <v>55</v>
      </c>
      <c r="AG210" s="23" t="s">
        <v>55</v>
      </c>
      <c r="AH210" s="23" t="s">
        <v>55</v>
      </c>
      <c r="AI210" s="23" t="s">
        <v>55</v>
      </c>
      <c r="AJ210">
        <v>1</v>
      </c>
      <c r="AK210">
        <v>0</v>
      </c>
      <c r="AL210">
        <v>2</v>
      </c>
      <c r="AM210">
        <v>0</v>
      </c>
      <c r="AN210" s="23">
        <v>0</v>
      </c>
      <c r="AO210" s="23" t="s">
        <v>55</v>
      </c>
      <c r="AP210" s="23">
        <v>0</v>
      </c>
      <c r="AQ210" s="23" t="s">
        <v>55</v>
      </c>
      <c r="AR210" s="37">
        <v>0</v>
      </c>
      <c r="AS210" s="37">
        <v>0</v>
      </c>
      <c r="AT210" s="37">
        <v>1</v>
      </c>
      <c r="AU210" s="33" t="str">
        <f t="shared" si="7"/>
        <v>库存为1</v>
      </c>
      <c r="AV210" s="38" t="str">
        <f>IFERROR(时间!$B$4+AU210,"上周无销量")</f>
        <v>上周无销量</v>
      </c>
    </row>
    <row r="211" spans="1:48">
      <c r="A211" s="21" t="s">
        <v>627</v>
      </c>
      <c r="B211" t="s">
        <v>628</v>
      </c>
      <c r="C211" t="s">
        <v>624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55</v>
      </c>
      <c r="Q211" t="s">
        <v>55</v>
      </c>
      <c r="R211" t="s">
        <v>55</v>
      </c>
      <c r="S211" t="s">
        <v>55</v>
      </c>
      <c r="T211" t="s">
        <v>55</v>
      </c>
      <c r="U211" t="s">
        <v>55</v>
      </c>
      <c r="V211" t="s">
        <v>55</v>
      </c>
      <c r="W211" t="s">
        <v>55</v>
      </c>
      <c r="X211" s="23" t="s">
        <v>55</v>
      </c>
      <c r="Y211" s="23" t="s">
        <v>55</v>
      </c>
      <c r="Z211" s="23" t="s">
        <v>55</v>
      </c>
      <c r="AA211" s="23" t="s">
        <v>55</v>
      </c>
      <c r="AB211" t="s">
        <v>55</v>
      </c>
      <c r="AC211" t="s">
        <v>55</v>
      </c>
      <c r="AD211" t="s">
        <v>55</v>
      </c>
      <c r="AE211" t="s">
        <v>55</v>
      </c>
      <c r="AF211" s="23" t="s">
        <v>55</v>
      </c>
      <c r="AG211" s="23" t="s">
        <v>55</v>
      </c>
      <c r="AH211" s="23" t="s">
        <v>55</v>
      </c>
      <c r="AI211" s="23" t="s">
        <v>55</v>
      </c>
      <c r="AJ211">
        <v>3</v>
      </c>
      <c r="AK211">
        <v>2</v>
      </c>
      <c r="AL211">
        <v>2</v>
      </c>
      <c r="AM211">
        <v>1</v>
      </c>
      <c r="AN211" s="23">
        <v>0</v>
      </c>
      <c r="AO211" s="23">
        <v>0</v>
      </c>
      <c r="AP211" s="23">
        <v>0</v>
      </c>
      <c r="AQ211" s="23">
        <v>0</v>
      </c>
      <c r="AR211" s="37">
        <v>0</v>
      </c>
      <c r="AS211" s="37">
        <v>0</v>
      </c>
      <c r="AT211" s="37">
        <v>1</v>
      </c>
      <c r="AU211" s="33" t="str">
        <f t="shared" si="7"/>
        <v>库存为1</v>
      </c>
      <c r="AV211" s="38" t="str">
        <f>IFERROR(时间!$B$4+AU211,"上周无销量")</f>
        <v>上周无销量</v>
      </c>
    </row>
    <row r="212" spans="1:48">
      <c r="A212" s="21" t="s">
        <v>629</v>
      </c>
      <c r="B212" t="s">
        <v>630</v>
      </c>
      <c r="C212" t="s">
        <v>624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0</v>
      </c>
      <c r="J212" s="35">
        <v>0</v>
      </c>
      <c r="K212" s="35">
        <v>0</v>
      </c>
      <c r="L212" s="35">
        <v>0</v>
      </c>
      <c r="M212">
        <v>0</v>
      </c>
      <c r="N212">
        <v>0</v>
      </c>
      <c r="O212">
        <v>0</v>
      </c>
      <c r="P212" t="s">
        <v>55</v>
      </c>
      <c r="Q212" t="s">
        <v>55</v>
      </c>
      <c r="R212" t="s">
        <v>55</v>
      </c>
      <c r="S212" t="s">
        <v>55</v>
      </c>
      <c r="T212" t="s">
        <v>55</v>
      </c>
      <c r="U212" t="s">
        <v>55</v>
      </c>
      <c r="V212" t="s">
        <v>55</v>
      </c>
      <c r="W212" t="s">
        <v>55</v>
      </c>
      <c r="X212" s="23" t="s">
        <v>55</v>
      </c>
      <c r="Y212" s="23" t="s">
        <v>55</v>
      </c>
      <c r="Z212" s="23" t="s">
        <v>55</v>
      </c>
      <c r="AA212" s="23" t="s">
        <v>55</v>
      </c>
      <c r="AB212" t="s">
        <v>55</v>
      </c>
      <c r="AC212" t="s">
        <v>55</v>
      </c>
      <c r="AD212" t="s">
        <v>55</v>
      </c>
      <c r="AE212" t="s">
        <v>55</v>
      </c>
      <c r="AF212" s="23" t="s">
        <v>55</v>
      </c>
      <c r="AG212" s="23" t="s">
        <v>55</v>
      </c>
      <c r="AH212" s="23" t="s">
        <v>55</v>
      </c>
      <c r="AI212" s="23" t="s">
        <v>55</v>
      </c>
      <c r="AJ212">
        <v>0</v>
      </c>
      <c r="AK212">
        <v>0</v>
      </c>
      <c r="AL212">
        <v>0</v>
      </c>
      <c r="AM212">
        <v>0</v>
      </c>
      <c r="AN212" s="23" t="s">
        <v>55</v>
      </c>
      <c r="AO212" s="23" t="s">
        <v>55</v>
      </c>
      <c r="AP212" s="23" t="s">
        <v>55</v>
      </c>
      <c r="AQ212" s="23" t="s">
        <v>55</v>
      </c>
      <c r="AR212" s="37">
        <v>0</v>
      </c>
      <c r="AS212" s="37">
        <v>0</v>
      </c>
      <c r="AT212" s="37">
        <v>0</v>
      </c>
      <c r="AU212" s="33" t="str">
        <f t="shared" si="7"/>
        <v>库存为0</v>
      </c>
      <c r="AV212" s="38" t="str">
        <f>IFERROR(时间!$B$4+AU212,"上周无销量")</f>
        <v>上周无销量</v>
      </c>
    </row>
    <row r="213" spans="1:48">
      <c r="A213" s="21" t="s">
        <v>631</v>
      </c>
      <c r="B213" t="s">
        <v>632</v>
      </c>
      <c r="C213" t="s">
        <v>633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1</v>
      </c>
      <c r="P213" t="s">
        <v>55</v>
      </c>
      <c r="Q213" t="s">
        <v>55</v>
      </c>
      <c r="R213" t="s">
        <v>55</v>
      </c>
      <c r="S213" t="s">
        <v>55</v>
      </c>
      <c r="T213" t="s">
        <v>55</v>
      </c>
      <c r="U213" t="s">
        <v>55</v>
      </c>
      <c r="V213" t="s">
        <v>55</v>
      </c>
      <c r="W213" t="s">
        <v>55</v>
      </c>
      <c r="X213" s="23" t="s">
        <v>55</v>
      </c>
      <c r="Y213" s="23" t="s">
        <v>55</v>
      </c>
      <c r="Z213" s="23" t="s">
        <v>55</v>
      </c>
      <c r="AA213" s="23" t="s">
        <v>55</v>
      </c>
      <c r="AB213" t="s">
        <v>55</v>
      </c>
      <c r="AC213" t="s">
        <v>55</v>
      </c>
      <c r="AD213" t="s">
        <v>55</v>
      </c>
      <c r="AE213" t="s">
        <v>55</v>
      </c>
      <c r="AF213" s="23" t="s">
        <v>55</v>
      </c>
      <c r="AG213" s="23" t="s">
        <v>55</v>
      </c>
      <c r="AH213" s="23" t="s">
        <v>55</v>
      </c>
      <c r="AI213" s="23" t="s">
        <v>55</v>
      </c>
      <c r="AJ213">
        <v>0</v>
      </c>
      <c r="AK213">
        <v>0</v>
      </c>
      <c r="AL213">
        <v>0</v>
      </c>
      <c r="AM213">
        <v>0</v>
      </c>
      <c r="AN213" s="23" t="s">
        <v>55</v>
      </c>
      <c r="AO213" s="23" t="s">
        <v>55</v>
      </c>
      <c r="AP213" s="23" t="s">
        <v>55</v>
      </c>
      <c r="AQ213" s="23" t="s">
        <v>55</v>
      </c>
      <c r="AR213" s="37">
        <v>0</v>
      </c>
      <c r="AS213" s="37">
        <v>0</v>
      </c>
      <c r="AT213" s="37">
        <v>1</v>
      </c>
      <c r="AU213" s="33" t="str">
        <f t="shared" si="7"/>
        <v>库存为1</v>
      </c>
      <c r="AV213" s="38" t="str">
        <f>IFERROR(时间!$B$4+AU213,"上周无销量")</f>
        <v>上周无销量</v>
      </c>
    </row>
    <row r="214" spans="1:48">
      <c r="A214" s="21" t="s">
        <v>634</v>
      </c>
      <c r="B214" t="s">
        <v>635</v>
      </c>
      <c r="C214" t="s">
        <v>633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55</v>
      </c>
      <c r="Q214" t="s">
        <v>55</v>
      </c>
      <c r="R214" t="s">
        <v>55</v>
      </c>
      <c r="S214" t="s">
        <v>55</v>
      </c>
      <c r="T214" t="s">
        <v>55</v>
      </c>
      <c r="U214" t="s">
        <v>55</v>
      </c>
      <c r="V214" t="s">
        <v>55</v>
      </c>
      <c r="W214" t="s">
        <v>55</v>
      </c>
      <c r="X214" s="23" t="s">
        <v>55</v>
      </c>
      <c r="Y214" s="23" t="s">
        <v>55</v>
      </c>
      <c r="Z214" s="23" t="s">
        <v>55</v>
      </c>
      <c r="AA214" s="23" t="s">
        <v>55</v>
      </c>
      <c r="AB214" t="s">
        <v>55</v>
      </c>
      <c r="AC214" t="s">
        <v>55</v>
      </c>
      <c r="AD214" t="s">
        <v>55</v>
      </c>
      <c r="AE214" t="s">
        <v>55</v>
      </c>
      <c r="AF214" s="23" t="s">
        <v>55</v>
      </c>
      <c r="AG214" s="23" t="s">
        <v>55</v>
      </c>
      <c r="AH214" s="23" t="s">
        <v>55</v>
      </c>
      <c r="AI214" s="23" t="s">
        <v>55</v>
      </c>
      <c r="AJ214">
        <v>0</v>
      </c>
      <c r="AK214">
        <v>0</v>
      </c>
      <c r="AL214">
        <v>0</v>
      </c>
      <c r="AM214">
        <v>0</v>
      </c>
      <c r="AN214" s="23" t="s">
        <v>55</v>
      </c>
      <c r="AO214" s="23" t="s">
        <v>55</v>
      </c>
      <c r="AP214" s="23" t="s">
        <v>55</v>
      </c>
      <c r="AQ214" s="23" t="s">
        <v>55</v>
      </c>
      <c r="AR214" s="37">
        <v>0</v>
      </c>
      <c r="AS214" s="37">
        <v>0</v>
      </c>
      <c r="AT214" s="37">
        <v>1</v>
      </c>
      <c r="AU214" s="33" t="str">
        <f t="shared" si="7"/>
        <v>库存为1</v>
      </c>
      <c r="AV214" s="38" t="str">
        <f>IFERROR(时间!$B$4+AU214,"上周无销量")</f>
        <v>上周无销量</v>
      </c>
    </row>
    <row r="215" spans="1:48">
      <c r="A215" s="21" t="s">
        <v>636</v>
      </c>
      <c r="B215" t="s">
        <v>637</v>
      </c>
      <c r="C215" t="s">
        <v>633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55</v>
      </c>
      <c r="Q215" t="s">
        <v>55</v>
      </c>
      <c r="R215" t="s">
        <v>55</v>
      </c>
      <c r="S215" t="s">
        <v>55</v>
      </c>
      <c r="T215" t="s">
        <v>55</v>
      </c>
      <c r="U215" t="s">
        <v>55</v>
      </c>
      <c r="V215" t="s">
        <v>55</v>
      </c>
      <c r="W215" t="s">
        <v>55</v>
      </c>
      <c r="X215" s="23" t="s">
        <v>55</v>
      </c>
      <c r="Y215" s="23" t="s">
        <v>55</v>
      </c>
      <c r="Z215" s="23" t="s">
        <v>55</v>
      </c>
      <c r="AA215" s="23" t="s">
        <v>55</v>
      </c>
      <c r="AB215" t="s">
        <v>55</v>
      </c>
      <c r="AC215" t="s">
        <v>55</v>
      </c>
      <c r="AD215" t="s">
        <v>55</v>
      </c>
      <c r="AE215" t="s">
        <v>55</v>
      </c>
      <c r="AF215" s="23" t="s">
        <v>55</v>
      </c>
      <c r="AG215" s="23" t="s">
        <v>55</v>
      </c>
      <c r="AH215" s="23" t="s">
        <v>55</v>
      </c>
      <c r="AI215" s="23" t="s">
        <v>55</v>
      </c>
      <c r="AJ215">
        <v>0</v>
      </c>
      <c r="AK215">
        <v>0</v>
      </c>
      <c r="AL215">
        <v>0</v>
      </c>
      <c r="AM215">
        <v>0</v>
      </c>
      <c r="AN215" s="23" t="s">
        <v>55</v>
      </c>
      <c r="AO215" s="23" t="s">
        <v>55</v>
      </c>
      <c r="AP215" s="23" t="s">
        <v>55</v>
      </c>
      <c r="AQ215" s="23" t="s">
        <v>55</v>
      </c>
      <c r="AR215" s="37">
        <v>0</v>
      </c>
      <c r="AS215" s="37">
        <v>0</v>
      </c>
      <c r="AT215" s="37">
        <v>1</v>
      </c>
      <c r="AU215" s="33" t="str">
        <f t="shared" si="7"/>
        <v>库存为1</v>
      </c>
      <c r="AV215" s="38" t="str">
        <f>IFERROR(时间!$B$4+AU215,"上周无销量")</f>
        <v>上周无销量</v>
      </c>
    </row>
    <row r="216" spans="1:48">
      <c r="A216" s="21" t="s">
        <v>638</v>
      </c>
      <c r="B216" t="s">
        <v>639</v>
      </c>
      <c r="C216" t="s">
        <v>633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1</v>
      </c>
      <c r="J216" s="35">
        <v>0</v>
      </c>
      <c r="K216" s="35">
        <v>0</v>
      </c>
      <c r="L216" s="35">
        <v>0</v>
      </c>
      <c r="M216">
        <v>1</v>
      </c>
      <c r="N216">
        <v>0</v>
      </c>
      <c r="O216">
        <v>1</v>
      </c>
      <c r="P216" t="s">
        <v>55</v>
      </c>
      <c r="Q216" t="s">
        <v>55</v>
      </c>
      <c r="R216" t="s">
        <v>55</v>
      </c>
      <c r="S216" t="s">
        <v>55</v>
      </c>
      <c r="T216" t="s">
        <v>55</v>
      </c>
      <c r="U216" t="s">
        <v>55</v>
      </c>
      <c r="V216" t="s">
        <v>55</v>
      </c>
      <c r="W216" t="s">
        <v>55</v>
      </c>
      <c r="X216" s="23" t="s">
        <v>55</v>
      </c>
      <c r="Y216" s="23" t="s">
        <v>55</v>
      </c>
      <c r="Z216" s="23" t="s">
        <v>55</v>
      </c>
      <c r="AA216" s="23" t="s">
        <v>55</v>
      </c>
      <c r="AB216" t="s">
        <v>55</v>
      </c>
      <c r="AC216" t="s">
        <v>55</v>
      </c>
      <c r="AD216" t="s">
        <v>55</v>
      </c>
      <c r="AE216" t="s">
        <v>55</v>
      </c>
      <c r="AF216" s="23" t="s">
        <v>55</v>
      </c>
      <c r="AG216" s="23" t="s">
        <v>55</v>
      </c>
      <c r="AH216" s="23" t="s">
        <v>55</v>
      </c>
      <c r="AI216" s="23" t="s">
        <v>55</v>
      </c>
      <c r="AJ216">
        <v>0</v>
      </c>
      <c r="AK216">
        <v>0</v>
      </c>
      <c r="AL216">
        <v>0</v>
      </c>
      <c r="AM216">
        <v>0</v>
      </c>
      <c r="AN216" s="23" t="s">
        <v>55</v>
      </c>
      <c r="AO216" s="23" t="s">
        <v>55</v>
      </c>
      <c r="AP216" s="23" t="s">
        <v>55</v>
      </c>
      <c r="AQ216" s="23" t="s">
        <v>55</v>
      </c>
      <c r="AR216" s="37">
        <v>0</v>
      </c>
      <c r="AS216" s="37">
        <v>0</v>
      </c>
      <c r="AT216" s="37">
        <v>1</v>
      </c>
      <c r="AU216" s="33" t="str">
        <f t="shared" si="7"/>
        <v>库存为1</v>
      </c>
      <c r="AV216" s="38" t="str">
        <f>IFERROR(时间!$B$4+AU216,"上周无销量")</f>
        <v>上周无销量</v>
      </c>
    </row>
    <row r="217" spans="1:48">
      <c r="A217" s="21" t="s">
        <v>640</v>
      </c>
      <c r="B217" t="s">
        <v>641</v>
      </c>
      <c r="C217" t="s">
        <v>633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55</v>
      </c>
      <c r="Q217" t="s">
        <v>55</v>
      </c>
      <c r="R217" t="s">
        <v>55</v>
      </c>
      <c r="S217" t="s">
        <v>55</v>
      </c>
      <c r="T217" t="s">
        <v>55</v>
      </c>
      <c r="U217" t="s">
        <v>55</v>
      </c>
      <c r="V217" t="s">
        <v>55</v>
      </c>
      <c r="W217" t="s">
        <v>55</v>
      </c>
      <c r="X217" s="23" t="s">
        <v>55</v>
      </c>
      <c r="Y217" s="23" t="s">
        <v>55</v>
      </c>
      <c r="Z217" s="23" t="s">
        <v>55</v>
      </c>
      <c r="AA217" s="23" t="s">
        <v>55</v>
      </c>
      <c r="AB217" t="s">
        <v>55</v>
      </c>
      <c r="AC217" t="s">
        <v>55</v>
      </c>
      <c r="AD217" t="s">
        <v>55</v>
      </c>
      <c r="AE217" t="s">
        <v>55</v>
      </c>
      <c r="AF217" s="23" t="s">
        <v>55</v>
      </c>
      <c r="AG217" s="23" t="s">
        <v>55</v>
      </c>
      <c r="AH217" s="23" t="s">
        <v>55</v>
      </c>
      <c r="AI217" s="23" t="s">
        <v>55</v>
      </c>
      <c r="AJ217">
        <v>0</v>
      </c>
      <c r="AK217">
        <v>0</v>
      </c>
      <c r="AL217">
        <v>0</v>
      </c>
      <c r="AM217">
        <v>0</v>
      </c>
      <c r="AN217" s="23" t="s">
        <v>55</v>
      </c>
      <c r="AO217" s="23" t="s">
        <v>55</v>
      </c>
      <c r="AP217" s="23" t="s">
        <v>55</v>
      </c>
      <c r="AQ217" s="23" t="s">
        <v>55</v>
      </c>
      <c r="AR217" s="37">
        <v>0</v>
      </c>
      <c r="AS217" s="37">
        <v>0</v>
      </c>
      <c r="AT217" s="37">
        <v>1</v>
      </c>
      <c r="AU217" s="33" t="str">
        <f t="shared" si="7"/>
        <v>库存为1</v>
      </c>
      <c r="AV217" s="38" t="str">
        <f>IFERROR(时间!$B$4+AU217,"上周无销量")</f>
        <v>上周无销量</v>
      </c>
    </row>
    <row r="218" spans="1:48">
      <c r="A218" s="21" t="s">
        <v>642</v>
      </c>
      <c r="B218" t="s">
        <v>643</v>
      </c>
      <c r="C218" t="s">
        <v>633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1</v>
      </c>
      <c r="J218" s="35">
        <v>0</v>
      </c>
      <c r="K218" s="35">
        <v>0</v>
      </c>
      <c r="L218" s="35">
        <v>0</v>
      </c>
      <c r="M218">
        <v>1</v>
      </c>
      <c r="N218">
        <v>0</v>
      </c>
      <c r="O218">
        <v>1</v>
      </c>
      <c r="P218" t="s">
        <v>55</v>
      </c>
      <c r="Q218" t="s">
        <v>55</v>
      </c>
      <c r="R218" t="s">
        <v>55</v>
      </c>
      <c r="S218" t="s">
        <v>55</v>
      </c>
      <c r="T218" t="s">
        <v>55</v>
      </c>
      <c r="U218" t="s">
        <v>55</v>
      </c>
      <c r="V218" t="s">
        <v>55</v>
      </c>
      <c r="W218" t="s">
        <v>55</v>
      </c>
      <c r="X218" s="23" t="s">
        <v>55</v>
      </c>
      <c r="Y218" s="23" t="s">
        <v>55</v>
      </c>
      <c r="Z218" s="23" t="s">
        <v>55</v>
      </c>
      <c r="AA218" s="23" t="s">
        <v>55</v>
      </c>
      <c r="AB218" t="s">
        <v>55</v>
      </c>
      <c r="AC218" t="s">
        <v>55</v>
      </c>
      <c r="AD218" t="s">
        <v>55</v>
      </c>
      <c r="AE218" t="s">
        <v>55</v>
      </c>
      <c r="AF218" s="23" t="s">
        <v>55</v>
      </c>
      <c r="AG218" s="23" t="s">
        <v>55</v>
      </c>
      <c r="AH218" s="23" t="s">
        <v>55</v>
      </c>
      <c r="AI218" s="23" t="s">
        <v>55</v>
      </c>
      <c r="AJ218">
        <v>0</v>
      </c>
      <c r="AK218">
        <v>0</v>
      </c>
      <c r="AL218">
        <v>0</v>
      </c>
      <c r="AM218">
        <v>0</v>
      </c>
      <c r="AN218" s="23" t="s">
        <v>55</v>
      </c>
      <c r="AO218" s="23" t="s">
        <v>55</v>
      </c>
      <c r="AP218" s="23" t="s">
        <v>55</v>
      </c>
      <c r="AQ218" s="23" t="s">
        <v>55</v>
      </c>
      <c r="AR218" s="37">
        <v>0</v>
      </c>
      <c r="AS218" s="37">
        <v>0</v>
      </c>
      <c r="AT218" s="37">
        <v>1</v>
      </c>
      <c r="AU218" s="33" t="str">
        <f t="shared" si="7"/>
        <v>库存为1</v>
      </c>
      <c r="AV218" s="38" t="str">
        <f>IFERROR(时间!$B$4+AU218,"上周无销量")</f>
        <v>上周无销量</v>
      </c>
    </row>
    <row r="219" spans="1:48">
      <c r="A219" s="21" t="s">
        <v>644</v>
      </c>
      <c r="B219" t="s">
        <v>645</v>
      </c>
      <c r="C219" t="s">
        <v>633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1</v>
      </c>
      <c r="J219" s="35">
        <v>0</v>
      </c>
      <c r="K219" s="35">
        <v>0</v>
      </c>
      <c r="L219" s="35">
        <v>0</v>
      </c>
      <c r="M219">
        <v>1</v>
      </c>
      <c r="N219">
        <v>0</v>
      </c>
      <c r="O219">
        <v>1</v>
      </c>
      <c r="P219" t="s">
        <v>55</v>
      </c>
      <c r="Q219" t="s">
        <v>55</v>
      </c>
      <c r="R219" t="s">
        <v>55</v>
      </c>
      <c r="S219" t="s">
        <v>55</v>
      </c>
      <c r="T219" t="s">
        <v>55</v>
      </c>
      <c r="U219" t="s">
        <v>55</v>
      </c>
      <c r="V219" t="s">
        <v>55</v>
      </c>
      <c r="W219" t="s">
        <v>55</v>
      </c>
      <c r="X219" s="23" t="s">
        <v>55</v>
      </c>
      <c r="Y219" s="23" t="s">
        <v>55</v>
      </c>
      <c r="Z219" s="23" t="s">
        <v>55</v>
      </c>
      <c r="AA219" s="23" t="s">
        <v>55</v>
      </c>
      <c r="AB219" t="s">
        <v>55</v>
      </c>
      <c r="AC219" t="s">
        <v>55</v>
      </c>
      <c r="AD219" t="s">
        <v>55</v>
      </c>
      <c r="AE219" t="s">
        <v>55</v>
      </c>
      <c r="AF219" s="23" t="s">
        <v>55</v>
      </c>
      <c r="AG219" s="23" t="s">
        <v>55</v>
      </c>
      <c r="AH219" s="23" t="s">
        <v>55</v>
      </c>
      <c r="AI219" s="23" t="s">
        <v>55</v>
      </c>
      <c r="AJ219">
        <v>0</v>
      </c>
      <c r="AK219">
        <v>0</v>
      </c>
      <c r="AL219">
        <v>0</v>
      </c>
      <c r="AM219">
        <v>0</v>
      </c>
      <c r="AN219" s="23" t="s">
        <v>55</v>
      </c>
      <c r="AO219" s="23" t="s">
        <v>55</v>
      </c>
      <c r="AP219" s="23" t="s">
        <v>55</v>
      </c>
      <c r="AQ219" s="23" t="s">
        <v>55</v>
      </c>
      <c r="AR219" s="37">
        <v>0</v>
      </c>
      <c r="AS219" s="37">
        <v>0</v>
      </c>
      <c r="AT219" s="37">
        <v>1</v>
      </c>
      <c r="AU219" s="33" t="str">
        <f t="shared" si="7"/>
        <v>库存为1</v>
      </c>
      <c r="AV219" s="38" t="str">
        <f>IFERROR(时间!$B$4+AU219,"上周无销量")</f>
        <v>上周无销量</v>
      </c>
    </row>
    <row r="220" spans="1:48">
      <c r="A220" s="21" t="s">
        <v>646</v>
      </c>
      <c r="B220" t="s">
        <v>647</v>
      </c>
      <c r="C220" t="s">
        <v>633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1</v>
      </c>
      <c r="J220" s="35">
        <v>0</v>
      </c>
      <c r="K220" s="35">
        <v>0</v>
      </c>
      <c r="L220" s="35">
        <v>0</v>
      </c>
      <c r="M220">
        <v>1</v>
      </c>
      <c r="N220">
        <v>0</v>
      </c>
      <c r="O220">
        <v>1</v>
      </c>
      <c r="P220" t="s">
        <v>55</v>
      </c>
      <c r="Q220" t="s">
        <v>55</v>
      </c>
      <c r="R220" t="s">
        <v>55</v>
      </c>
      <c r="S220" t="s">
        <v>55</v>
      </c>
      <c r="T220" t="s">
        <v>55</v>
      </c>
      <c r="U220" t="s">
        <v>55</v>
      </c>
      <c r="V220" t="s">
        <v>55</v>
      </c>
      <c r="W220" t="s">
        <v>55</v>
      </c>
      <c r="X220" s="23" t="s">
        <v>55</v>
      </c>
      <c r="Y220" s="23" t="s">
        <v>55</v>
      </c>
      <c r="Z220" s="23" t="s">
        <v>55</v>
      </c>
      <c r="AA220" s="23" t="s">
        <v>55</v>
      </c>
      <c r="AB220" t="s">
        <v>55</v>
      </c>
      <c r="AC220" t="s">
        <v>55</v>
      </c>
      <c r="AD220" t="s">
        <v>55</v>
      </c>
      <c r="AE220" t="s">
        <v>55</v>
      </c>
      <c r="AF220" s="23" t="s">
        <v>55</v>
      </c>
      <c r="AG220" s="23" t="s">
        <v>55</v>
      </c>
      <c r="AH220" s="23" t="s">
        <v>55</v>
      </c>
      <c r="AI220" s="23" t="s">
        <v>55</v>
      </c>
      <c r="AJ220">
        <v>0</v>
      </c>
      <c r="AK220">
        <v>0</v>
      </c>
      <c r="AL220">
        <v>0</v>
      </c>
      <c r="AM220">
        <v>0</v>
      </c>
      <c r="AN220" s="23" t="s">
        <v>55</v>
      </c>
      <c r="AO220" s="23" t="s">
        <v>55</v>
      </c>
      <c r="AP220" s="23" t="s">
        <v>55</v>
      </c>
      <c r="AQ220" s="23" t="s">
        <v>55</v>
      </c>
      <c r="AR220" s="37">
        <v>0</v>
      </c>
      <c r="AS220" s="37">
        <v>0</v>
      </c>
      <c r="AT220" s="37">
        <v>1</v>
      </c>
      <c r="AU220" s="33" t="str">
        <f t="shared" si="7"/>
        <v>库存为1</v>
      </c>
      <c r="AV220" s="38" t="str">
        <f>IFERROR(时间!$B$4+AU220,"上周无销量")</f>
        <v>上周无销量</v>
      </c>
    </row>
    <row r="221" spans="1:48">
      <c r="A221" s="21" t="s">
        <v>648</v>
      </c>
      <c r="B221" t="s">
        <v>649</v>
      </c>
      <c r="C221" t="s">
        <v>650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2</v>
      </c>
      <c r="J221" s="35">
        <v>0</v>
      </c>
      <c r="K221" s="35">
        <v>0</v>
      </c>
      <c r="L221" s="35">
        <v>0</v>
      </c>
      <c r="M221">
        <v>2</v>
      </c>
      <c r="N221">
        <v>0</v>
      </c>
      <c r="O221">
        <v>2</v>
      </c>
      <c r="P221" t="s">
        <v>55</v>
      </c>
      <c r="Q221" t="s">
        <v>55</v>
      </c>
      <c r="R221" t="s">
        <v>55</v>
      </c>
      <c r="S221" t="s">
        <v>55</v>
      </c>
      <c r="T221" t="s">
        <v>55</v>
      </c>
      <c r="U221" t="s">
        <v>55</v>
      </c>
      <c r="V221" t="s">
        <v>55</v>
      </c>
      <c r="W221" t="s">
        <v>55</v>
      </c>
      <c r="X221" s="23" t="s">
        <v>55</v>
      </c>
      <c r="Y221" s="23" t="s">
        <v>55</v>
      </c>
      <c r="Z221" s="23" t="s">
        <v>55</v>
      </c>
      <c r="AA221" s="23" t="s">
        <v>55</v>
      </c>
      <c r="AB221" t="s">
        <v>55</v>
      </c>
      <c r="AC221" t="s">
        <v>55</v>
      </c>
      <c r="AD221" t="s">
        <v>55</v>
      </c>
      <c r="AE221" t="s">
        <v>55</v>
      </c>
      <c r="AF221" s="23" t="s">
        <v>55</v>
      </c>
      <c r="AG221" s="23" t="s">
        <v>55</v>
      </c>
      <c r="AH221" s="23" t="s">
        <v>55</v>
      </c>
      <c r="AI221" s="23" t="s">
        <v>55</v>
      </c>
      <c r="AJ221">
        <v>0</v>
      </c>
      <c r="AK221">
        <v>0</v>
      </c>
      <c r="AL221">
        <v>0</v>
      </c>
      <c r="AM221">
        <v>0</v>
      </c>
      <c r="AN221" s="23" t="s">
        <v>55</v>
      </c>
      <c r="AO221" s="23" t="s">
        <v>55</v>
      </c>
      <c r="AP221" s="23" t="s">
        <v>55</v>
      </c>
      <c r="AQ221" s="23" t="s">
        <v>55</v>
      </c>
      <c r="AR221" s="37">
        <v>0</v>
      </c>
      <c r="AS221" s="37">
        <v>0</v>
      </c>
      <c r="AT221" s="37">
        <v>2</v>
      </c>
      <c r="AU221" s="33" t="str">
        <f t="shared" si="7"/>
        <v>库存为2</v>
      </c>
      <c r="AV221" s="38" t="str">
        <f>IFERROR(时间!$B$4+AU221,"上周无销量")</f>
        <v>上周无销量</v>
      </c>
    </row>
    <row r="222" spans="1:48">
      <c r="A222" s="21" t="s">
        <v>651</v>
      </c>
      <c r="B222" t="s">
        <v>652</v>
      </c>
      <c r="C222" t="s">
        <v>650</v>
      </c>
      <c r="D222" s="33">
        <v>1</v>
      </c>
      <c r="E222" s="33">
        <v>0</v>
      </c>
      <c r="F222" s="33">
        <v>0</v>
      </c>
      <c r="G222" s="33">
        <v>0</v>
      </c>
      <c r="H222" s="34">
        <v>4.45</v>
      </c>
      <c r="I222">
        <v>0</v>
      </c>
      <c r="J222" s="35">
        <v>0</v>
      </c>
      <c r="K222" s="35">
        <v>0</v>
      </c>
      <c r="L222" s="35">
        <v>0</v>
      </c>
      <c r="M222">
        <v>0</v>
      </c>
      <c r="N222">
        <v>0</v>
      </c>
      <c r="O222">
        <v>0</v>
      </c>
      <c r="P222" t="s">
        <v>55</v>
      </c>
      <c r="Q222" t="s">
        <v>55</v>
      </c>
      <c r="R222" t="s">
        <v>55</v>
      </c>
      <c r="S222" t="s">
        <v>55</v>
      </c>
      <c r="T222" t="s">
        <v>55</v>
      </c>
      <c r="U222" t="s">
        <v>55</v>
      </c>
      <c r="V222" t="s">
        <v>55</v>
      </c>
      <c r="W222" t="s">
        <v>55</v>
      </c>
      <c r="X222" s="23" t="s">
        <v>55</v>
      </c>
      <c r="Y222" s="23" t="s">
        <v>55</v>
      </c>
      <c r="Z222" s="23" t="s">
        <v>55</v>
      </c>
      <c r="AA222" s="23" t="s">
        <v>55</v>
      </c>
      <c r="AB222" t="s">
        <v>55</v>
      </c>
      <c r="AC222" t="s">
        <v>55</v>
      </c>
      <c r="AD222" t="s">
        <v>55</v>
      </c>
      <c r="AE222" t="s">
        <v>55</v>
      </c>
      <c r="AF222" s="23" t="s">
        <v>55</v>
      </c>
      <c r="AG222" s="23" t="s">
        <v>55</v>
      </c>
      <c r="AH222" s="23" t="s">
        <v>55</v>
      </c>
      <c r="AI222" s="23" t="s">
        <v>55</v>
      </c>
      <c r="AJ222">
        <v>0</v>
      </c>
      <c r="AK222">
        <v>0</v>
      </c>
      <c r="AL222">
        <v>0</v>
      </c>
      <c r="AM222">
        <v>0</v>
      </c>
      <c r="AN222" s="23" t="s">
        <v>55</v>
      </c>
      <c r="AO222" s="23" t="s">
        <v>55</v>
      </c>
      <c r="AP222" s="23" t="s">
        <v>55</v>
      </c>
      <c r="AQ222" s="23" t="s">
        <v>55</v>
      </c>
      <c r="AR222" s="37">
        <v>0.142857142857143</v>
      </c>
      <c r="AS222" s="37">
        <v>8.57142857142857</v>
      </c>
      <c r="AT222" s="37">
        <v>-8.57142857142857</v>
      </c>
      <c r="AU222" s="33">
        <f t="shared" si="7"/>
        <v>0</v>
      </c>
      <c r="AV222" s="38">
        <f>IFERROR(时间!$B$4+AU222,"上周无销量")</f>
        <v>43283</v>
      </c>
    </row>
    <row r="223" spans="1:48">
      <c r="A223" s="21" t="s">
        <v>653</v>
      </c>
      <c r="B223" t="s">
        <v>654</v>
      </c>
      <c r="C223" t="s">
        <v>650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2</v>
      </c>
      <c r="J223" s="35">
        <v>0</v>
      </c>
      <c r="K223" s="35">
        <v>0</v>
      </c>
      <c r="L223" s="35">
        <v>0</v>
      </c>
      <c r="M223">
        <v>2</v>
      </c>
      <c r="N223">
        <v>0</v>
      </c>
      <c r="O223">
        <v>2</v>
      </c>
      <c r="P223" t="s">
        <v>55</v>
      </c>
      <c r="Q223" t="s">
        <v>55</v>
      </c>
      <c r="R223" t="s">
        <v>55</v>
      </c>
      <c r="S223" t="s">
        <v>55</v>
      </c>
      <c r="T223" t="s">
        <v>55</v>
      </c>
      <c r="U223" t="s">
        <v>55</v>
      </c>
      <c r="V223" t="s">
        <v>55</v>
      </c>
      <c r="W223" t="s">
        <v>55</v>
      </c>
      <c r="X223" s="23" t="s">
        <v>55</v>
      </c>
      <c r="Y223" s="23" t="s">
        <v>55</v>
      </c>
      <c r="Z223" s="23" t="s">
        <v>55</v>
      </c>
      <c r="AA223" s="23" t="s">
        <v>55</v>
      </c>
      <c r="AB223" t="s">
        <v>55</v>
      </c>
      <c r="AC223" t="s">
        <v>55</v>
      </c>
      <c r="AD223" t="s">
        <v>55</v>
      </c>
      <c r="AE223" t="s">
        <v>55</v>
      </c>
      <c r="AF223" s="23" t="s">
        <v>55</v>
      </c>
      <c r="AG223" s="23" t="s">
        <v>55</v>
      </c>
      <c r="AH223" s="23" t="s">
        <v>55</v>
      </c>
      <c r="AI223" s="23" t="s">
        <v>55</v>
      </c>
      <c r="AJ223">
        <v>0</v>
      </c>
      <c r="AK223">
        <v>0</v>
      </c>
      <c r="AL223">
        <v>0</v>
      </c>
      <c r="AM223">
        <v>0</v>
      </c>
      <c r="AN223" s="23" t="s">
        <v>55</v>
      </c>
      <c r="AO223" s="23" t="s">
        <v>55</v>
      </c>
      <c r="AP223" s="23" t="s">
        <v>55</v>
      </c>
      <c r="AQ223" s="23" t="s">
        <v>55</v>
      </c>
      <c r="AR223" s="37">
        <v>0</v>
      </c>
      <c r="AS223" s="37">
        <v>0</v>
      </c>
      <c r="AT223" s="37">
        <v>2</v>
      </c>
      <c r="AU223" s="33" t="str">
        <f t="shared" si="7"/>
        <v>库存为2</v>
      </c>
      <c r="AV223" s="38" t="str">
        <f>IFERROR(时间!$B$4+AU223,"上周无销量")</f>
        <v>上周无销量</v>
      </c>
    </row>
    <row r="224" spans="1:48">
      <c r="A224" s="21" t="s">
        <v>655</v>
      </c>
      <c r="B224" t="s">
        <v>656</v>
      </c>
      <c r="C224" t="s">
        <v>650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3</v>
      </c>
      <c r="J224" s="35">
        <v>0</v>
      </c>
      <c r="K224" s="35">
        <v>0</v>
      </c>
      <c r="L224" s="35">
        <v>0</v>
      </c>
      <c r="M224">
        <v>3</v>
      </c>
      <c r="N224">
        <v>0</v>
      </c>
      <c r="O224">
        <v>3</v>
      </c>
      <c r="P224">
        <v>51</v>
      </c>
      <c r="Q224">
        <v>49</v>
      </c>
      <c r="R224">
        <v>28</v>
      </c>
      <c r="S224">
        <v>29</v>
      </c>
      <c r="T224">
        <v>1</v>
      </c>
      <c r="U224">
        <v>0</v>
      </c>
      <c r="V224">
        <v>0</v>
      </c>
      <c r="W224">
        <v>0</v>
      </c>
      <c r="X224" s="23">
        <v>0.0196078431372549</v>
      </c>
      <c r="Y224" s="23">
        <v>0</v>
      </c>
      <c r="Z224" s="23">
        <v>0</v>
      </c>
      <c r="AA224" s="23">
        <v>0</v>
      </c>
      <c r="AB224">
        <v>0.41</v>
      </c>
      <c r="AC224">
        <v>0</v>
      </c>
      <c r="AD224">
        <v>0</v>
      </c>
      <c r="AE224">
        <v>0</v>
      </c>
      <c r="AF224" s="23" t="s">
        <v>340</v>
      </c>
      <c r="AG224" s="23" t="s">
        <v>55</v>
      </c>
      <c r="AH224" s="23" t="s">
        <v>55</v>
      </c>
      <c r="AI224" s="23" t="s">
        <v>55</v>
      </c>
      <c r="AJ224">
        <v>2</v>
      </c>
      <c r="AK224">
        <v>3</v>
      </c>
      <c r="AL224">
        <v>1</v>
      </c>
      <c r="AM224">
        <v>2</v>
      </c>
      <c r="AN224" s="23">
        <v>0</v>
      </c>
      <c r="AO224" s="23">
        <v>0</v>
      </c>
      <c r="AP224" s="23">
        <v>0</v>
      </c>
      <c r="AQ224" s="23">
        <v>0</v>
      </c>
      <c r="AR224" s="37">
        <v>0</v>
      </c>
      <c r="AS224" s="37">
        <v>0</v>
      </c>
      <c r="AT224" s="37">
        <v>3</v>
      </c>
      <c r="AU224" s="33" t="str">
        <f t="shared" si="7"/>
        <v>库存为3</v>
      </c>
      <c r="AV224" s="38" t="str">
        <f>IFERROR(时间!$B$4+AU224,"上周无销量")</f>
        <v>上周无销量</v>
      </c>
    </row>
    <row r="225" spans="1:48">
      <c r="A225" s="21" t="s">
        <v>657</v>
      </c>
      <c r="B225" t="s">
        <v>658</v>
      </c>
      <c r="C225" t="s">
        <v>650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3</v>
      </c>
      <c r="J225" s="35">
        <v>0</v>
      </c>
      <c r="K225" s="35">
        <v>0</v>
      </c>
      <c r="L225" s="35">
        <v>0</v>
      </c>
      <c r="M225">
        <v>3</v>
      </c>
      <c r="N225">
        <v>0</v>
      </c>
      <c r="O225">
        <v>2</v>
      </c>
      <c r="P225">
        <v>461</v>
      </c>
      <c r="Q225">
        <v>488</v>
      </c>
      <c r="R225">
        <v>177</v>
      </c>
      <c r="S225">
        <v>225</v>
      </c>
      <c r="T225">
        <v>1</v>
      </c>
      <c r="U225">
        <v>1</v>
      </c>
      <c r="V225">
        <v>0</v>
      </c>
      <c r="W225">
        <v>0</v>
      </c>
      <c r="X225" s="23">
        <v>0.00216919739696312</v>
      </c>
      <c r="Y225" s="23">
        <v>0.00204918032786885</v>
      </c>
      <c r="Z225" s="23">
        <v>0</v>
      </c>
      <c r="AA225" s="23">
        <v>0</v>
      </c>
      <c r="AB225">
        <v>0.39</v>
      </c>
      <c r="AC225">
        <v>0.27</v>
      </c>
      <c r="AD225">
        <v>0</v>
      </c>
      <c r="AE225">
        <v>0</v>
      </c>
      <c r="AF225" s="23" t="s">
        <v>205</v>
      </c>
      <c r="AG225" s="23" t="s">
        <v>347</v>
      </c>
      <c r="AH225" s="23" t="s">
        <v>55</v>
      </c>
      <c r="AI225" s="23" t="s">
        <v>55</v>
      </c>
      <c r="AJ225">
        <v>2</v>
      </c>
      <c r="AK225">
        <v>1</v>
      </c>
      <c r="AL225">
        <v>0</v>
      </c>
      <c r="AM225">
        <v>0</v>
      </c>
      <c r="AN225" s="23">
        <v>0</v>
      </c>
      <c r="AO225" s="23">
        <v>0</v>
      </c>
      <c r="AP225" s="23" t="s">
        <v>55</v>
      </c>
      <c r="AQ225" s="23" t="s">
        <v>55</v>
      </c>
      <c r="AR225" s="37">
        <v>0</v>
      </c>
      <c r="AS225" s="37">
        <v>0</v>
      </c>
      <c r="AT225" s="37">
        <v>3</v>
      </c>
      <c r="AU225" s="33" t="str">
        <f t="shared" si="7"/>
        <v>库存为3</v>
      </c>
      <c r="AV225" s="38" t="str">
        <f>IFERROR(时间!$B$4+AU225,"上周无销量")</f>
        <v>上周无销量</v>
      </c>
    </row>
    <row r="226" spans="1:48">
      <c r="A226" s="21" t="s">
        <v>659</v>
      </c>
      <c r="B226" t="s">
        <v>660</v>
      </c>
      <c r="C226" t="s">
        <v>650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 t="s">
        <v>55</v>
      </c>
      <c r="Q226" t="s">
        <v>55</v>
      </c>
      <c r="R226" t="s">
        <v>55</v>
      </c>
      <c r="S226" t="s">
        <v>55</v>
      </c>
      <c r="T226" t="s">
        <v>55</v>
      </c>
      <c r="U226" t="s">
        <v>55</v>
      </c>
      <c r="V226" t="s">
        <v>55</v>
      </c>
      <c r="W226" t="s">
        <v>55</v>
      </c>
      <c r="X226" s="23" t="s">
        <v>55</v>
      </c>
      <c r="Y226" s="23" t="s">
        <v>55</v>
      </c>
      <c r="Z226" s="23" t="s">
        <v>55</v>
      </c>
      <c r="AA226" s="23" t="s">
        <v>55</v>
      </c>
      <c r="AB226" t="s">
        <v>55</v>
      </c>
      <c r="AC226" t="s">
        <v>55</v>
      </c>
      <c r="AD226" t="s">
        <v>55</v>
      </c>
      <c r="AE226" t="s">
        <v>55</v>
      </c>
      <c r="AF226" s="23" t="s">
        <v>55</v>
      </c>
      <c r="AG226" s="23" t="s">
        <v>55</v>
      </c>
      <c r="AH226" s="23" t="s">
        <v>55</v>
      </c>
      <c r="AI226" s="23" t="s">
        <v>55</v>
      </c>
      <c r="AJ226">
        <v>0</v>
      </c>
      <c r="AK226">
        <v>0</v>
      </c>
      <c r="AL226">
        <v>0</v>
      </c>
      <c r="AM226">
        <v>0</v>
      </c>
      <c r="AN226" s="23" t="s">
        <v>55</v>
      </c>
      <c r="AO226" s="23" t="s">
        <v>55</v>
      </c>
      <c r="AP226" s="23" t="s">
        <v>55</v>
      </c>
      <c r="AQ226" s="23" t="s">
        <v>55</v>
      </c>
      <c r="AR226" s="37">
        <v>0</v>
      </c>
      <c r="AS226" s="37">
        <v>0</v>
      </c>
      <c r="AT226" s="37">
        <v>0</v>
      </c>
      <c r="AU226" s="33" t="str">
        <f t="shared" si="7"/>
        <v>库存为0</v>
      </c>
      <c r="AV226" s="38" t="str">
        <f>IFERROR(时间!$B$4+AU226,"上周无销量")</f>
        <v>上周无销量</v>
      </c>
    </row>
    <row r="227" spans="1:48">
      <c r="A227" s="21" t="s">
        <v>661</v>
      </c>
      <c r="B227" t="s">
        <v>662</v>
      </c>
      <c r="C227" t="s">
        <v>663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3</v>
      </c>
      <c r="J227" s="35">
        <v>0</v>
      </c>
      <c r="K227" s="35">
        <v>0</v>
      </c>
      <c r="L227" s="35">
        <v>0</v>
      </c>
      <c r="M227">
        <v>3</v>
      </c>
      <c r="N227">
        <v>0</v>
      </c>
      <c r="O227">
        <v>3</v>
      </c>
      <c r="P227">
        <v>124</v>
      </c>
      <c r="Q227">
        <v>761</v>
      </c>
      <c r="R227">
        <v>766</v>
      </c>
      <c r="S227">
        <v>823</v>
      </c>
      <c r="T227">
        <v>0</v>
      </c>
      <c r="U227">
        <v>3</v>
      </c>
      <c r="V227">
        <v>2</v>
      </c>
      <c r="W227">
        <v>2</v>
      </c>
      <c r="X227" s="23">
        <v>0</v>
      </c>
      <c r="Y227" s="23">
        <v>0.00394218134034166</v>
      </c>
      <c r="Z227" s="23">
        <v>0.00261096605744125</v>
      </c>
      <c r="AA227" s="23">
        <v>0.00243013365735115</v>
      </c>
      <c r="AB227">
        <v>0</v>
      </c>
      <c r="AC227">
        <v>0.59</v>
      </c>
      <c r="AD227">
        <v>0.96</v>
      </c>
      <c r="AE227">
        <v>0.71</v>
      </c>
      <c r="AF227" s="23" t="s">
        <v>55</v>
      </c>
      <c r="AG227" s="23" t="s">
        <v>214</v>
      </c>
      <c r="AH227" s="23" t="s">
        <v>664</v>
      </c>
      <c r="AI227" s="23" t="s">
        <v>328</v>
      </c>
      <c r="AJ227">
        <v>2</v>
      </c>
      <c r="AK227">
        <v>4</v>
      </c>
      <c r="AL227">
        <v>1</v>
      </c>
      <c r="AM227">
        <v>1</v>
      </c>
      <c r="AN227" s="23">
        <v>0</v>
      </c>
      <c r="AO227" s="23">
        <v>0</v>
      </c>
      <c r="AP227" s="23">
        <v>0</v>
      </c>
      <c r="AQ227" s="23">
        <v>0</v>
      </c>
      <c r="AR227" s="37">
        <v>0</v>
      </c>
      <c r="AS227" s="37">
        <v>0</v>
      </c>
      <c r="AT227" s="37">
        <v>3</v>
      </c>
      <c r="AU227" s="33" t="str">
        <f t="shared" si="7"/>
        <v>库存为3</v>
      </c>
      <c r="AV227" s="38" t="str">
        <f>IFERROR(时间!$B$4+AU227,"上周无销量")</f>
        <v>上周无销量</v>
      </c>
    </row>
    <row r="228" spans="1:48">
      <c r="A228" s="21" t="s">
        <v>665</v>
      </c>
      <c r="B228" t="s">
        <v>666</v>
      </c>
      <c r="C228" t="s">
        <v>663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2</v>
      </c>
      <c r="J228" s="35">
        <v>0</v>
      </c>
      <c r="K228" s="35">
        <v>0</v>
      </c>
      <c r="L228" s="35">
        <v>0</v>
      </c>
      <c r="M228">
        <v>2</v>
      </c>
      <c r="N228">
        <v>0</v>
      </c>
      <c r="O228">
        <v>2</v>
      </c>
      <c r="P228">
        <v>126</v>
      </c>
      <c r="Q228">
        <v>48</v>
      </c>
      <c r="R228">
        <v>44</v>
      </c>
      <c r="S228">
        <v>40</v>
      </c>
      <c r="T228">
        <v>0</v>
      </c>
      <c r="U228">
        <v>0</v>
      </c>
      <c r="V228">
        <v>0</v>
      </c>
      <c r="W228">
        <v>0</v>
      </c>
      <c r="X228" s="23">
        <v>0</v>
      </c>
      <c r="Y228" s="23">
        <v>0</v>
      </c>
      <c r="Z228" s="23">
        <v>0</v>
      </c>
      <c r="AA228" s="23">
        <v>0</v>
      </c>
      <c r="AB228">
        <v>0</v>
      </c>
      <c r="AC228">
        <v>0</v>
      </c>
      <c r="AD228">
        <v>0</v>
      </c>
      <c r="AE228">
        <v>0</v>
      </c>
      <c r="AF228" s="23" t="s">
        <v>55</v>
      </c>
      <c r="AG228" s="23" t="s">
        <v>55</v>
      </c>
      <c r="AH228" s="23" t="s">
        <v>55</v>
      </c>
      <c r="AI228" s="23" t="s">
        <v>55</v>
      </c>
      <c r="AJ228">
        <v>0</v>
      </c>
      <c r="AK228">
        <v>1</v>
      </c>
      <c r="AL228">
        <v>2</v>
      </c>
      <c r="AM228">
        <v>1</v>
      </c>
      <c r="AN228" s="23" t="s">
        <v>55</v>
      </c>
      <c r="AO228" s="23">
        <v>0</v>
      </c>
      <c r="AP228" s="23">
        <v>0</v>
      </c>
      <c r="AQ228" s="23">
        <v>0</v>
      </c>
      <c r="AR228" s="37">
        <v>0</v>
      </c>
      <c r="AS228" s="37">
        <v>0</v>
      </c>
      <c r="AT228" s="37">
        <v>2</v>
      </c>
      <c r="AU228" s="33" t="str">
        <f t="shared" si="7"/>
        <v>库存为2</v>
      </c>
      <c r="AV228" s="38" t="str">
        <f>IFERROR(时间!$B$4+AU228,"上周无销量")</f>
        <v>上周无销量</v>
      </c>
    </row>
    <row r="229" spans="1:48">
      <c r="A229" s="21" t="s">
        <v>667</v>
      </c>
      <c r="B229" t="s">
        <v>668</v>
      </c>
      <c r="C229" t="s">
        <v>663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3</v>
      </c>
      <c r="J229" s="35">
        <v>0</v>
      </c>
      <c r="K229" s="35">
        <v>0</v>
      </c>
      <c r="L229" s="35">
        <v>0</v>
      </c>
      <c r="M229">
        <v>3</v>
      </c>
      <c r="N229">
        <v>0</v>
      </c>
      <c r="O229">
        <v>3</v>
      </c>
      <c r="P229">
        <v>515</v>
      </c>
      <c r="Q229">
        <v>625</v>
      </c>
      <c r="R229">
        <v>295</v>
      </c>
      <c r="S229">
        <v>441</v>
      </c>
      <c r="T229">
        <v>2</v>
      </c>
      <c r="U229">
        <v>4</v>
      </c>
      <c r="V229">
        <v>2</v>
      </c>
      <c r="W229">
        <v>1</v>
      </c>
      <c r="X229" s="23">
        <v>0.00388349514563107</v>
      </c>
      <c r="Y229" s="23">
        <v>0.0064</v>
      </c>
      <c r="Z229" s="23">
        <v>0.00677966101694915</v>
      </c>
      <c r="AA229" s="23">
        <v>0.00226757369614512</v>
      </c>
      <c r="AB229">
        <v>0.34</v>
      </c>
      <c r="AC229">
        <v>0.88</v>
      </c>
      <c r="AD229">
        <v>0.47</v>
      </c>
      <c r="AE229">
        <v>0.35</v>
      </c>
      <c r="AF229" s="23" t="s">
        <v>94</v>
      </c>
      <c r="AG229" s="23" t="s">
        <v>669</v>
      </c>
      <c r="AH229" s="23" t="s">
        <v>252</v>
      </c>
      <c r="AI229" s="23" t="s">
        <v>156</v>
      </c>
      <c r="AJ229">
        <v>2</v>
      </c>
      <c r="AK229">
        <v>0</v>
      </c>
      <c r="AL229">
        <v>2</v>
      </c>
      <c r="AM229">
        <v>0</v>
      </c>
      <c r="AN229" s="23">
        <v>0</v>
      </c>
      <c r="AO229" s="23" t="s">
        <v>55</v>
      </c>
      <c r="AP229" s="23">
        <v>0</v>
      </c>
      <c r="AQ229" s="23" t="s">
        <v>55</v>
      </c>
      <c r="AR229" s="37">
        <v>0</v>
      </c>
      <c r="AS229" s="37">
        <v>0</v>
      </c>
      <c r="AT229" s="37">
        <v>3</v>
      </c>
      <c r="AU229" s="33" t="str">
        <f t="shared" si="7"/>
        <v>库存为3</v>
      </c>
      <c r="AV229" s="38" t="str">
        <f>IFERROR(时间!$B$4+AU229,"上周无销量")</f>
        <v>上周无销量</v>
      </c>
    </row>
    <row r="230" spans="1:48">
      <c r="A230" s="21" t="s">
        <v>670</v>
      </c>
      <c r="B230" t="s">
        <v>671</v>
      </c>
      <c r="C230" t="s">
        <v>663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3</v>
      </c>
      <c r="J230" s="35">
        <v>0</v>
      </c>
      <c r="K230" s="35">
        <v>0</v>
      </c>
      <c r="L230" s="35">
        <v>0</v>
      </c>
      <c r="M230">
        <v>3</v>
      </c>
      <c r="N230">
        <v>0</v>
      </c>
      <c r="O230">
        <v>3</v>
      </c>
      <c r="P230">
        <v>779</v>
      </c>
      <c r="Q230">
        <v>52</v>
      </c>
      <c r="R230">
        <v>32</v>
      </c>
      <c r="S230">
        <v>28</v>
      </c>
      <c r="T230">
        <v>3</v>
      </c>
      <c r="U230">
        <v>1</v>
      </c>
      <c r="V230">
        <v>0</v>
      </c>
      <c r="W230">
        <v>0</v>
      </c>
      <c r="X230" s="23">
        <v>0.00385109114249037</v>
      </c>
      <c r="Y230" s="23">
        <v>0.0192307692307692</v>
      </c>
      <c r="Z230" s="23">
        <v>0</v>
      </c>
      <c r="AA230" s="23">
        <v>0</v>
      </c>
      <c r="AB230">
        <v>1.05</v>
      </c>
      <c r="AC230">
        <v>0.35</v>
      </c>
      <c r="AD230">
        <v>0</v>
      </c>
      <c r="AE230">
        <v>0</v>
      </c>
      <c r="AF230" s="23" t="s">
        <v>672</v>
      </c>
      <c r="AG230" s="23" t="s">
        <v>156</v>
      </c>
      <c r="AH230" s="23" t="s">
        <v>55</v>
      </c>
      <c r="AI230" s="23" t="s">
        <v>55</v>
      </c>
      <c r="AJ230">
        <v>4</v>
      </c>
      <c r="AK230">
        <v>0</v>
      </c>
      <c r="AL230">
        <v>1</v>
      </c>
      <c r="AM230">
        <v>1</v>
      </c>
      <c r="AN230" s="23">
        <v>0</v>
      </c>
      <c r="AO230" s="23" t="s">
        <v>55</v>
      </c>
      <c r="AP230" s="23">
        <v>0</v>
      </c>
      <c r="AQ230" s="23">
        <v>0</v>
      </c>
      <c r="AR230" s="37">
        <v>0</v>
      </c>
      <c r="AS230" s="37">
        <v>0</v>
      </c>
      <c r="AT230" s="37">
        <v>3</v>
      </c>
      <c r="AU230" s="33" t="str">
        <f t="shared" si="7"/>
        <v>库存为3</v>
      </c>
      <c r="AV230" s="38" t="str">
        <f>IFERROR(时间!$B$4+AU230,"上周无销量")</f>
        <v>上周无销量</v>
      </c>
    </row>
    <row r="231" spans="1:48">
      <c r="A231" s="21" t="s">
        <v>673</v>
      </c>
      <c r="B231" t="s">
        <v>674</v>
      </c>
      <c r="C231" t="s">
        <v>663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3</v>
      </c>
      <c r="J231" s="35">
        <v>0</v>
      </c>
      <c r="K231" s="35">
        <v>0</v>
      </c>
      <c r="L231" s="35">
        <v>0</v>
      </c>
      <c r="M231">
        <v>3</v>
      </c>
      <c r="N231">
        <v>0</v>
      </c>
      <c r="O231">
        <v>3</v>
      </c>
      <c r="P231">
        <v>14</v>
      </c>
      <c r="Q231">
        <v>12</v>
      </c>
      <c r="R231">
        <v>7</v>
      </c>
      <c r="S231">
        <v>2</v>
      </c>
      <c r="T231">
        <v>0</v>
      </c>
      <c r="U231">
        <v>0</v>
      </c>
      <c r="V231">
        <v>0</v>
      </c>
      <c r="W231">
        <v>0</v>
      </c>
      <c r="X231" s="23">
        <v>0</v>
      </c>
      <c r="Y231" s="23">
        <v>0</v>
      </c>
      <c r="Z231" s="23">
        <v>0</v>
      </c>
      <c r="AA231" s="23">
        <v>0</v>
      </c>
      <c r="AB231">
        <v>0</v>
      </c>
      <c r="AC231">
        <v>0</v>
      </c>
      <c r="AD231">
        <v>0</v>
      </c>
      <c r="AE231">
        <v>0</v>
      </c>
      <c r="AF231" s="23" t="s">
        <v>55</v>
      </c>
      <c r="AG231" s="23" t="s">
        <v>55</v>
      </c>
      <c r="AH231" s="23" t="s">
        <v>55</v>
      </c>
      <c r="AI231" s="23" t="s">
        <v>55</v>
      </c>
      <c r="AJ231">
        <v>2</v>
      </c>
      <c r="AK231">
        <v>2</v>
      </c>
      <c r="AL231">
        <v>2</v>
      </c>
      <c r="AM231">
        <v>2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3</v>
      </c>
      <c r="AU231" s="33" t="str">
        <f t="shared" si="7"/>
        <v>库存为3</v>
      </c>
      <c r="AV231" s="38" t="str">
        <f>IFERROR(时间!$B$4+AU231,"上周无销量")</f>
        <v>上周无销量</v>
      </c>
    </row>
    <row r="232" spans="1:48">
      <c r="A232" s="21" t="s">
        <v>675</v>
      </c>
      <c r="B232" t="s">
        <v>676</v>
      </c>
      <c r="C232" t="s">
        <v>663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3</v>
      </c>
      <c r="J232" s="35">
        <v>0</v>
      </c>
      <c r="K232" s="35">
        <v>0</v>
      </c>
      <c r="L232" s="35">
        <v>0</v>
      </c>
      <c r="M232">
        <v>3</v>
      </c>
      <c r="N232">
        <v>0</v>
      </c>
      <c r="O232">
        <v>3</v>
      </c>
      <c r="P232">
        <v>534</v>
      </c>
      <c r="Q232">
        <v>574</v>
      </c>
      <c r="R232">
        <v>832</v>
      </c>
      <c r="S232">
        <v>1372</v>
      </c>
      <c r="T232">
        <v>2</v>
      </c>
      <c r="U232">
        <v>3</v>
      </c>
      <c r="V232">
        <v>1</v>
      </c>
      <c r="W232">
        <v>1</v>
      </c>
      <c r="X232" s="23">
        <v>0.00374531835205993</v>
      </c>
      <c r="Y232" s="23">
        <v>0.00522648083623693</v>
      </c>
      <c r="Z232" s="23">
        <v>0.00120192307692308</v>
      </c>
      <c r="AA232" s="23">
        <v>0.000728862973760933</v>
      </c>
      <c r="AB232">
        <v>0.71</v>
      </c>
      <c r="AC232">
        <v>1.11</v>
      </c>
      <c r="AD232">
        <v>0.39</v>
      </c>
      <c r="AE232">
        <v>0.1</v>
      </c>
      <c r="AF232" s="23" t="s">
        <v>328</v>
      </c>
      <c r="AG232" s="23" t="s">
        <v>677</v>
      </c>
      <c r="AH232" s="23" t="s">
        <v>205</v>
      </c>
      <c r="AI232" s="23" t="s">
        <v>411</v>
      </c>
      <c r="AJ232">
        <v>1</v>
      </c>
      <c r="AK232">
        <v>2</v>
      </c>
      <c r="AL232">
        <v>2</v>
      </c>
      <c r="AM232">
        <v>0</v>
      </c>
      <c r="AN232" s="23">
        <v>0</v>
      </c>
      <c r="AO232" s="23">
        <v>0</v>
      </c>
      <c r="AP232" s="23">
        <v>0</v>
      </c>
      <c r="AQ232" s="23" t="s">
        <v>55</v>
      </c>
      <c r="AR232" s="37">
        <v>0</v>
      </c>
      <c r="AS232" s="37">
        <v>0</v>
      </c>
      <c r="AT232" s="37">
        <v>3</v>
      </c>
      <c r="AU232" s="33" t="str">
        <f t="shared" si="7"/>
        <v>库存为3</v>
      </c>
      <c r="AV232" s="38" t="str">
        <f>IFERROR(时间!$B$4+AU232,"上周无销量")</f>
        <v>上周无销量</v>
      </c>
    </row>
    <row r="233" spans="1:48">
      <c r="A233" s="21" t="s">
        <v>678</v>
      </c>
      <c r="B233" t="s">
        <v>679</v>
      </c>
      <c r="C233" t="s">
        <v>663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3</v>
      </c>
      <c r="J233" s="35">
        <v>0</v>
      </c>
      <c r="K233" s="35">
        <v>0</v>
      </c>
      <c r="L233" s="35">
        <v>0</v>
      </c>
      <c r="M233">
        <v>3</v>
      </c>
      <c r="N233">
        <v>0</v>
      </c>
      <c r="O233">
        <v>3</v>
      </c>
      <c r="P233">
        <v>80</v>
      </c>
      <c r="Q233">
        <v>33</v>
      </c>
      <c r="R233">
        <v>30</v>
      </c>
      <c r="S233">
        <v>31</v>
      </c>
      <c r="T233">
        <v>0</v>
      </c>
      <c r="U233">
        <v>0</v>
      </c>
      <c r="V233">
        <v>0</v>
      </c>
      <c r="W233">
        <v>0</v>
      </c>
      <c r="X233" s="23">
        <v>0</v>
      </c>
      <c r="Y233" s="23">
        <v>0</v>
      </c>
      <c r="Z233" s="23">
        <v>0</v>
      </c>
      <c r="AA233" s="23">
        <v>0</v>
      </c>
      <c r="AB233">
        <v>0</v>
      </c>
      <c r="AC233">
        <v>0</v>
      </c>
      <c r="AD233">
        <v>0</v>
      </c>
      <c r="AE233">
        <v>0</v>
      </c>
      <c r="AF233" s="23" t="s">
        <v>55</v>
      </c>
      <c r="AG233" s="23" t="s">
        <v>55</v>
      </c>
      <c r="AH233" s="23" t="s">
        <v>55</v>
      </c>
      <c r="AI233" s="23" t="s">
        <v>55</v>
      </c>
      <c r="AJ233">
        <v>0</v>
      </c>
      <c r="AK233">
        <v>0</v>
      </c>
      <c r="AL233">
        <v>2</v>
      </c>
      <c r="AM233">
        <v>0</v>
      </c>
      <c r="AN233" s="23" t="s">
        <v>55</v>
      </c>
      <c r="AO233" s="23" t="s">
        <v>55</v>
      </c>
      <c r="AP233" s="23">
        <v>0</v>
      </c>
      <c r="AQ233" s="23" t="s">
        <v>55</v>
      </c>
      <c r="AR233" s="37">
        <v>0</v>
      </c>
      <c r="AS233" s="37">
        <v>0</v>
      </c>
      <c r="AT233" s="37">
        <v>3</v>
      </c>
      <c r="AU233" s="33" t="str">
        <f t="shared" si="7"/>
        <v>库存为3</v>
      </c>
      <c r="AV233" s="38" t="str">
        <f>IFERROR(时间!$B$4+AU233,"上周无销量")</f>
        <v>上周无销量</v>
      </c>
    </row>
    <row r="234" spans="1:48">
      <c r="A234" s="21" t="s">
        <v>680</v>
      </c>
      <c r="B234" t="s">
        <v>681</v>
      </c>
      <c r="C234" t="s">
        <v>663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0</v>
      </c>
      <c r="J234" s="35">
        <v>0</v>
      </c>
      <c r="K234" s="35">
        <v>0</v>
      </c>
      <c r="L234" s="35">
        <v>0</v>
      </c>
      <c r="M234">
        <v>0</v>
      </c>
      <c r="N234">
        <v>0</v>
      </c>
      <c r="O234">
        <v>0</v>
      </c>
      <c r="P234" t="s">
        <v>55</v>
      </c>
      <c r="Q234" t="s">
        <v>55</v>
      </c>
      <c r="R234" t="s">
        <v>55</v>
      </c>
      <c r="S234" t="s">
        <v>55</v>
      </c>
      <c r="T234" t="s">
        <v>55</v>
      </c>
      <c r="U234" t="s">
        <v>55</v>
      </c>
      <c r="V234" t="s">
        <v>55</v>
      </c>
      <c r="W234" t="s">
        <v>55</v>
      </c>
      <c r="X234" s="23" t="s">
        <v>55</v>
      </c>
      <c r="Y234" s="23" t="s">
        <v>55</v>
      </c>
      <c r="Z234" s="23" t="s">
        <v>55</v>
      </c>
      <c r="AA234" s="23" t="s">
        <v>55</v>
      </c>
      <c r="AB234" t="s">
        <v>55</v>
      </c>
      <c r="AC234" t="s">
        <v>55</v>
      </c>
      <c r="AD234" t="s">
        <v>55</v>
      </c>
      <c r="AE234" t="s">
        <v>55</v>
      </c>
      <c r="AF234" s="23" t="s">
        <v>55</v>
      </c>
      <c r="AG234" s="23" t="s">
        <v>55</v>
      </c>
      <c r="AH234" s="23" t="s">
        <v>55</v>
      </c>
      <c r="AI234" s="23" t="s">
        <v>55</v>
      </c>
      <c r="AJ234">
        <v>0</v>
      </c>
      <c r="AK234">
        <v>0</v>
      </c>
      <c r="AL234">
        <v>0</v>
      </c>
      <c r="AM234">
        <v>0</v>
      </c>
      <c r="AN234" s="23" t="s">
        <v>55</v>
      </c>
      <c r="AO234" s="23" t="s">
        <v>55</v>
      </c>
      <c r="AP234" s="23" t="s">
        <v>55</v>
      </c>
      <c r="AQ234" s="23" t="s">
        <v>55</v>
      </c>
      <c r="AR234" s="37">
        <v>0</v>
      </c>
      <c r="AS234" s="37">
        <v>0</v>
      </c>
      <c r="AT234" s="37">
        <v>0</v>
      </c>
      <c r="AU234" s="33" t="str">
        <f t="shared" si="7"/>
        <v>库存为0</v>
      </c>
      <c r="AV234" s="38" t="str">
        <f>IFERROR(时间!$B$4+AU234,"上周无销量")</f>
        <v>上周无销量</v>
      </c>
    </row>
    <row r="235" spans="1:48">
      <c r="A235" s="21" t="s">
        <v>682</v>
      </c>
      <c r="B235" t="s">
        <v>683</v>
      </c>
      <c r="C235" t="s">
        <v>663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3</v>
      </c>
      <c r="J235" s="35">
        <v>0</v>
      </c>
      <c r="K235" s="35">
        <v>0</v>
      </c>
      <c r="L235" s="35">
        <v>0</v>
      </c>
      <c r="M235">
        <v>3</v>
      </c>
      <c r="N235">
        <v>0</v>
      </c>
      <c r="O235">
        <v>3</v>
      </c>
      <c r="P235">
        <v>210</v>
      </c>
      <c r="Q235">
        <v>291</v>
      </c>
      <c r="R235">
        <v>264</v>
      </c>
      <c r="S235">
        <v>202</v>
      </c>
      <c r="T235">
        <v>0</v>
      </c>
      <c r="U235">
        <v>1</v>
      </c>
      <c r="V235">
        <v>2</v>
      </c>
      <c r="W235">
        <v>0</v>
      </c>
      <c r="X235" s="23">
        <v>0</v>
      </c>
      <c r="Y235" s="23">
        <v>0.00343642611683849</v>
      </c>
      <c r="Z235" s="23">
        <v>0.00757575757575758</v>
      </c>
      <c r="AA235" s="23">
        <v>0</v>
      </c>
      <c r="AB235">
        <v>0</v>
      </c>
      <c r="AC235">
        <v>0.21</v>
      </c>
      <c r="AD235">
        <v>0.75</v>
      </c>
      <c r="AE235">
        <v>0</v>
      </c>
      <c r="AF235" s="23" t="s">
        <v>55</v>
      </c>
      <c r="AG235" s="23" t="s">
        <v>527</v>
      </c>
      <c r="AH235" s="23" t="s">
        <v>422</v>
      </c>
      <c r="AI235" s="23" t="s">
        <v>55</v>
      </c>
      <c r="AJ235">
        <v>2</v>
      </c>
      <c r="AK235">
        <v>0</v>
      </c>
      <c r="AL235">
        <v>2</v>
      </c>
      <c r="AM235">
        <v>0</v>
      </c>
      <c r="AN235" s="23">
        <v>0</v>
      </c>
      <c r="AO235" s="23" t="s">
        <v>55</v>
      </c>
      <c r="AP235" s="23">
        <v>0</v>
      </c>
      <c r="AQ235" s="23" t="s">
        <v>55</v>
      </c>
      <c r="AR235" s="37">
        <v>0</v>
      </c>
      <c r="AS235" s="37">
        <v>0</v>
      </c>
      <c r="AT235" s="37">
        <v>3</v>
      </c>
      <c r="AU235" s="33" t="str">
        <f t="shared" si="7"/>
        <v>库存为3</v>
      </c>
      <c r="AV235" s="38" t="str">
        <f>IFERROR(时间!$B$4+AU235,"上周无销量")</f>
        <v>上周无销量</v>
      </c>
    </row>
    <row r="236" spans="1:48">
      <c r="A236" s="21" t="s">
        <v>684</v>
      </c>
      <c r="B236" t="s">
        <v>685</v>
      </c>
      <c r="C236" t="s">
        <v>686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0</v>
      </c>
      <c r="J236" s="35">
        <v>0</v>
      </c>
      <c r="K236" s="35">
        <v>0</v>
      </c>
      <c r="L236" s="35">
        <v>0</v>
      </c>
      <c r="M236">
        <v>0</v>
      </c>
      <c r="N236">
        <v>0</v>
      </c>
      <c r="O236">
        <v>0</v>
      </c>
      <c r="P236" t="s">
        <v>55</v>
      </c>
      <c r="Q236" t="s">
        <v>55</v>
      </c>
      <c r="R236" t="s">
        <v>55</v>
      </c>
      <c r="S236" t="s">
        <v>55</v>
      </c>
      <c r="T236" t="s">
        <v>55</v>
      </c>
      <c r="U236" t="s">
        <v>55</v>
      </c>
      <c r="V236" t="s">
        <v>55</v>
      </c>
      <c r="W236" t="s">
        <v>55</v>
      </c>
      <c r="X236" s="23" t="s">
        <v>55</v>
      </c>
      <c r="Y236" s="23" t="s">
        <v>55</v>
      </c>
      <c r="Z236" s="23" t="s">
        <v>55</v>
      </c>
      <c r="AA236" s="23" t="s">
        <v>55</v>
      </c>
      <c r="AB236" t="s">
        <v>55</v>
      </c>
      <c r="AC236" t="s">
        <v>55</v>
      </c>
      <c r="AD236" t="s">
        <v>55</v>
      </c>
      <c r="AE236" t="s">
        <v>55</v>
      </c>
      <c r="AF236" s="23" t="s">
        <v>55</v>
      </c>
      <c r="AG236" s="23" t="s">
        <v>55</v>
      </c>
      <c r="AH236" s="23" t="s">
        <v>55</v>
      </c>
      <c r="AI236" s="23" t="s">
        <v>55</v>
      </c>
      <c r="AJ236">
        <v>0</v>
      </c>
      <c r="AK236">
        <v>0</v>
      </c>
      <c r="AL236">
        <v>0</v>
      </c>
      <c r="AM236">
        <v>0</v>
      </c>
      <c r="AN236" s="23" t="s">
        <v>55</v>
      </c>
      <c r="AO236" s="23" t="s">
        <v>55</v>
      </c>
      <c r="AP236" s="23" t="s">
        <v>55</v>
      </c>
      <c r="AQ236" s="23" t="s">
        <v>55</v>
      </c>
      <c r="AR236" s="37">
        <v>0</v>
      </c>
      <c r="AS236" s="37">
        <v>0</v>
      </c>
      <c r="AT236" s="37">
        <v>0</v>
      </c>
      <c r="AU236" s="33" t="str">
        <f t="shared" si="7"/>
        <v>库存为0</v>
      </c>
      <c r="AV236" s="38" t="str">
        <f>IFERROR(时间!$B$4+AU236,"上周无销量")</f>
        <v>上周无销量</v>
      </c>
    </row>
    <row r="237" spans="1:48">
      <c r="A237" s="21" t="s">
        <v>687</v>
      </c>
      <c r="B237" t="s">
        <v>688</v>
      </c>
      <c r="C237" t="s">
        <v>686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0</v>
      </c>
      <c r="J237" s="35">
        <v>0</v>
      </c>
      <c r="K237" s="35">
        <v>0</v>
      </c>
      <c r="L237" s="35">
        <v>0</v>
      </c>
      <c r="M237">
        <v>0</v>
      </c>
      <c r="N237">
        <v>0</v>
      </c>
      <c r="O237">
        <v>0</v>
      </c>
      <c r="P237" t="s">
        <v>55</v>
      </c>
      <c r="Q237" t="s">
        <v>55</v>
      </c>
      <c r="R237" t="s">
        <v>55</v>
      </c>
      <c r="S237" t="s">
        <v>55</v>
      </c>
      <c r="T237" t="s">
        <v>55</v>
      </c>
      <c r="U237" t="s">
        <v>55</v>
      </c>
      <c r="V237" t="s">
        <v>55</v>
      </c>
      <c r="W237" t="s">
        <v>55</v>
      </c>
      <c r="X237" s="23" t="s">
        <v>55</v>
      </c>
      <c r="Y237" s="23" t="s">
        <v>55</v>
      </c>
      <c r="Z237" s="23" t="s">
        <v>55</v>
      </c>
      <c r="AA237" s="23" t="s">
        <v>55</v>
      </c>
      <c r="AB237" t="s">
        <v>55</v>
      </c>
      <c r="AC237" t="s">
        <v>55</v>
      </c>
      <c r="AD237" t="s">
        <v>55</v>
      </c>
      <c r="AE237" t="s">
        <v>55</v>
      </c>
      <c r="AF237" s="23" t="s">
        <v>55</v>
      </c>
      <c r="AG237" s="23" t="s">
        <v>55</v>
      </c>
      <c r="AH237" s="23" t="s">
        <v>55</v>
      </c>
      <c r="AI237" s="23" t="s">
        <v>55</v>
      </c>
      <c r="AJ237">
        <v>0</v>
      </c>
      <c r="AK237">
        <v>0</v>
      </c>
      <c r="AL237">
        <v>0</v>
      </c>
      <c r="AM237">
        <v>0</v>
      </c>
      <c r="AN237" s="23" t="s">
        <v>55</v>
      </c>
      <c r="AO237" s="23" t="s">
        <v>55</v>
      </c>
      <c r="AP237" s="23" t="s">
        <v>55</v>
      </c>
      <c r="AQ237" s="23" t="s">
        <v>55</v>
      </c>
      <c r="AR237" s="37">
        <v>0</v>
      </c>
      <c r="AS237" s="37">
        <v>0</v>
      </c>
      <c r="AT237" s="37">
        <v>0</v>
      </c>
      <c r="AU237" s="33" t="str">
        <f t="shared" si="7"/>
        <v>库存为0</v>
      </c>
      <c r="AV237" s="38" t="str">
        <f>IFERROR(时间!$B$4+AU237,"上周无销量")</f>
        <v>上周无销量</v>
      </c>
    </row>
    <row r="238" spans="1:48">
      <c r="A238" s="21" t="s">
        <v>689</v>
      </c>
      <c r="B238" t="s">
        <v>690</v>
      </c>
      <c r="C238" t="s">
        <v>691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0</v>
      </c>
      <c r="J238" s="35">
        <v>0</v>
      </c>
      <c r="K238" s="35">
        <v>0</v>
      </c>
      <c r="L238" s="35">
        <v>0</v>
      </c>
      <c r="M238">
        <v>0</v>
      </c>
      <c r="N238">
        <v>0</v>
      </c>
      <c r="O238">
        <v>0</v>
      </c>
      <c r="P238" t="s">
        <v>55</v>
      </c>
      <c r="Q238" t="s">
        <v>55</v>
      </c>
      <c r="R238" t="s">
        <v>55</v>
      </c>
      <c r="S238" t="s">
        <v>55</v>
      </c>
      <c r="T238" t="s">
        <v>55</v>
      </c>
      <c r="U238" t="s">
        <v>55</v>
      </c>
      <c r="V238" t="s">
        <v>55</v>
      </c>
      <c r="W238" t="s">
        <v>55</v>
      </c>
      <c r="X238" s="23" t="s">
        <v>55</v>
      </c>
      <c r="Y238" s="23" t="s">
        <v>55</v>
      </c>
      <c r="Z238" s="23" t="s">
        <v>55</v>
      </c>
      <c r="AA238" s="23" t="s">
        <v>55</v>
      </c>
      <c r="AB238" t="s">
        <v>55</v>
      </c>
      <c r="AC238" t="s">
        <v>55</v>
      </c>
      <c r="AD238" t="s">
        <v>55</v>
      </c>
      <c r="AE238" t="s">
        <v>55</v>
      </c>
      <c r="AF238" s="23" t="s">
        <v>55</v>
      </c>
      <c r="AG238" s="23" t="s">
        <v>55</v>
      </c>
      <c r="AH238" s="23" t="s">
        <v>55</v>
      </c>
      <c r="AI238" s="23" t="s">
        <v>55</v>
      </c>
      <c r="AJ238">
        <v>0</v>
      </c>
      <c r="AK238">
        <v>0</v>
      </c>
      <c r="AL238">
        <v>0</v>
      </c>
      <c r="AM238">
        <v>0</v>
      </c>
      <c r="AN238" s="23" t="s">
        <v>55</v>
      </c>
      <c r="AO238" s="23" t="s">
        <v>55</v>
      </c>
      <c r="AP238" s="23" t="s">
        <v>55</v>
      </c>
      <c r="AQ238" s="23" t="s">
        <v>55</v>
      </c>
      <c r="AR238" s="37">
        <v>0</v>
      </c>
      <c r="AS238" s="37">
        <v>0</v>
      </c>
      <c r="AT238" s="37">
        <v>0</v>
      </c>
      <c r="AU238" s="33" t="str">
        <f t="shared" si="7"/>
        <v>库存为0</v>
      </c>
      <c r="AV238" s="38" t="str">
        <f>IFERROR(时间!$B$4+AU238,"上周无销量")</f>
        <v>上周无销量</v>
      </c>
    </row>
    <row r="239" spans="1:48">
      <c r="A239" s="21" t="s">
        <v>692</v>
      </c>
      <c r="B239" t="s">
        <v>693</v>
      </c>
      <c r="C239" t="s">
        <v>691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55</v>
      </c>
      <c r="Q239" t="s">
        <v>55</v>
      </c>
      <c r="R239" t="s">
        <v>55</v>
      </c>
      <c r="S239" t="s">
        <v>55</v>
      </c>
      <c r="T239" t="s">
        <v>55</v>
      </c>
      <c r="U239" t="s">
        <v>55</v>
      </c>
      <c r="V239" t="s">
        <v>55</v>
      </c>
      <c r="W239" t="s">
        <v>55</v>
      </c>
      <c r="X239" s="23" t="s">
        <v>55</v>
      </c>
      <c r="Y239" s="23" t="s">
        <v>55</v>
      </c>
      <c r="Z239" s="23" t="s">
        <v>55</v>
      </c>
      <c r="AA239" s="23" t="s">
        <v>55</v>
      </c>
      <c r="AB239" t="s">
        <v>55</v>
      </c>
      <c r="AC239" t="s">
        <v>55</v>
      </c>
      <c r="AD239" t="s">
        <v>55</v>
      </c>
      <c r="AE239" t="s">
        <v>55</v>
      </c>
      <c r="AF239" s="23" t="s">
        <v>55</v>
      </c>
      <c r="AG239" s="23" t="s">
        <v>55</v>
      </c>
      <c r="AH239" s="23" t="s">
        <v>55</v>
      </c>
      <c r="AI239" s="23" t="s">
        <v>55</v>
      </c>
      <c r="AJ239">
        <v>1</v>
      </c>
      <c r="AK239">
        <v>0</v>
      </c>
      <c r="AL239">
        <v>0</v>
      </c>
      <c r="AM239">
        <v>1</v>
      </c>
      <c r="AN239" s="23">
        <v>0</v>
      </c>
      <c r="AO239" s="23" t="s">
        <v>55</v>
      </c>
      <c r="AP239" s="23" t="s">
        <v>55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7"/>
        <v>库存为1</v>
      </c>
      <c r="AV239" s="38" t="str">
        <f>IFERROR(时间!$B$4+AU239,"上周无销量")</f>
        <v>上周无销量</v>
      </c>
    </row>
    <row r="240" spans="1:48">
      <c r="A240" s="21" t="s">
        <v>694</v>
      </c>
      <c r="B240" t="s">
        <v>695</v>
      </c>
      <c r="C240" t="s">
        <v>691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0</v>
      </c>
      <c r="O240">
        <v>1</v>
      </c>
      <c r="P240" t="s">
        <v>55</v>
      </c>
      <c r="Q240" t="s">
        <v>55</v>
      </c>
      <c r="R240" t="s">
        <v>55</v>
      </c>
      <c r="S240" t="s">
        <v>55</v>
      </c>
      <c r="T240" t="s">
        <v>55</v>
      </c>
      <c r="U240" t="s">
        <v>55</v>
      </c>
      <c r="V240" t="s">
        <v>55</v>
      </c>
      <c r="W240" t="s">
        <v>55</v>
      </c>
      <c r="X240" s="23" t="s">
        <v>55</v>
      </c>
      <c r="Y240" s="23" t="s">
        <v>55</v>
      </c>
      <c r="Z240" s="23" t="s">
        <v>55</v>
      </c>
      <c r="AA240" s="23" t="s">
        <v>55</v>
      </c>
      <c r="AB240" t="s">
        <v>55</v>
      </c>
      <c r="AC240" t="s">
        <v>55</v>
      </c>
      <c r="AD240" t="s">
        <v>55</v>
      </c>
      <c r="AE240" t="s">
        <v>55</v>
      </c>
      <c r="AF240" s="23" t="s">
        <v>55</v>
      </c>
      <c r="AG240" s="23" t="s">
        <v>55</v>
      </c>
      <c r="AH240" s="23" t="s">
        <v>55</v>
      </c>
      <c r="AI240" s="23" t="s">
        <v>55</v>
      </c>
      <c r="AJ240">
        <v>1</v>
      </c>
      <c r="AK240">
        <v>0</v>
      </c>
      <c r="AL240">
        <v>2</v>
      </c>
      <c r="AM240">
        <v>1</v>
      </c>
      <c r="AN240" s="23">
        <v>0</v>
      </c>
      <c r="AO240" s="23" t="s">
        <v>55</v>
      </c>
      <c r="AP240" s="23">
        <v>0</v>
      </c>
      <c r="AQ240" s="23">
        <v>0</v>
      </c>
      <c r="AR240" s="37">
        <v>0</v>
      </c>
      <c r="AS240" s="37">
        <v>0</v>
      </c>
      <c r="AT240" s="37">
        <v>1</v>
      </c>
      <c r="AU240" s="33" t="str">
        <f t="shared" si="7"/>
        <v>库存为1</v>
      </c>
      <c r="AV240" s="38" t="str">
        <f>IFERROR(时间!$B$4+AU240,"上周无销量")</f>
        <v>上周无销量</v>
      </c>
    </row>
    <row r="241" spans="1:48">
      <c r="A241" s="21" t="s">
        <v>696</v>
      </c>
      <c r="B241" t="s">
        <v>697</v>
      </c>
      <c r="C241" t="s">
        <v>691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55</v>
      </c>
      <c r="Q241" t="s">
        <v>55</v>
      </c>
      <c r="R241" t="s">
        <v>55</v>
      </c>
      <c r="S241" t="s">
        <v>55</v>
      </c>
      <c r="T241" t="s">
        <v>55</v>
      </c>
      <c r="U241" t="s">
        <v>55</v>
      </c>
      <c r="V241" t="s">
        <v>55</v>
      </c>
      <c r="W241" t="s">
        <v>55</v>
      </c>
      <c r="X241" s="23" t="s">
        <v>55</v>
      </c>
      <c r="Y241" s="23" t="s">
        <v>55</v>
      </c>
      <c r="Z241" s="23" t="s">
        <v>55</v>
      </c>
      <c r="AA241" s="23" t="s">
        <v>55</v>
      </c>
      <c r="AB241" t="s">
        <v>55</v>
      </c>
      <c r="AC241" t="s">
        <v>55</v>
      </c>
      <c r="AD241" t="s">
        <v>55</v>
      </c>
      <c r="AE241" t="s">
        <v>55</v>
      </c>
      <c r="AF241" s="23" t="s">
        <v>55</v>
      </c>
      <c r="AG241" s="23" t="s">
        <v>55</v>
      </c>
      <c r="AH241" s="23" t="s">
        <v>55</v>
      </c>
      <c r="AI241" s="23" t="s">
        <v>55</v>
      </c>
      <c r="AJ241">
        <v>0</v>
      </c>
      <c r="AK241">
        <v>0</v>
      </c>
      <c r="AL241">
        <v>1</v>
      </c>
      <c r="AM241">
        <v>1</v>
      </c>
      <c r="AN241" s="23" t="s">
        <v>55</v>
      </c>
      <c r="AO241" s="23" t="s">
        <v>55</v>
      </c>
      <c r="AP241" s="23">
        <v>0</v>
      </c>
      <c r="AQ241" s="23">
        <v>0</v>
      </c>
      <c r="AR241" s="37">
        <v>0</v>
      </c>
      <c r="AS241" s="37">
        <v>0</v>
      </c>
      <c r="AT241" s="37">
        <v>1</v>
      </c>
      <c r="AU241" s="33" t="str">
        <f t="shared" si="7"/>
        <v>库存为1</v>
      </c>
      <c r="AV241" s="38" t="str">
        <f>IFERROR(时间!$B$4+AU241,"上周无销量")</f>
        <v>上周无销量</v>
      </c>
    </row>
    <row r="242" spans="1:48">
      <c r="A242" s="21" t="s">
        <v>698</v>
      </c>
      <c r="B242" t="s">
        <v>699</v>
      </c>
      <c r="C242" t="s">
        <v>700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1</v>
      </c>
      <c r="J242" s="35">
        <v>0</v>
      </c>
      <c r="K242" s="35">
        <v>0</v>
      </c>
      <c r="L242" s="35">
        <v>0</v>
      </c>
      <c r="M242">
        <v>1</v>
      </c>
      <c r="N242">
        <v>0</v>
      </c>
      <c r="O242">
        <v>1</v>
      </c>
      <c r="P242" t="s">
        <v>55</v>
      </c>
      <c r="Q242" t="s">
        <v>55</v>
      </c>
      <c r="R242" t="s">
        <v>55</v>
      </c>
      <c r="S242" t="s">
        <v>55</v>
      </c>
      <c r="T242" t="s">
        <v>55</v>
      </c>
      <c r="U242" t="s">
        <v>55</v>
      </c>
      <c r="V242" t="s">
        <v>55</v>
      </c>
      <c r="W242" t="s">
        <v>55</v>
      </c>
      <c r="X242" s="23" t="s">
        <v>55</v>
      </c>
      <c r="Y242" s="23" t="s">
        <v>55</v>
      </c>
      <c r="Z242" s="23" t="s">
        <v>55</v>
      </c>
      <c r="AA242" s="23" t="s">
        <v>55</v>
      </c>
      <c r="AB242" t="s">
        <v>55</v>
      </c>
      <c r="AC242" t="s">
        <v>55</v>
      </c>
      <c r="AD242" t="s">
        <v>55</v>
      </c>
      <c r="AE242" t="s">
        <v>55</v>
      </c>
      <c r="AF242" s="23" t="s">
        <v>55</v>
      </c>
      <c r="AG242" s="23" t="s">
        <v>55</v>
      </c>
      <c r="AH242" s="23" t="s">
        <v>55</v>
      </c>
      <c r="AI242" s="23" t="s">
        <v>55</v>
      </c>
      <c r="AJ242">
        <v>1</v>
      </c>
      <c r="AK242">
        <v>0</v>
      </c>
      <c r="AL242">
        <v>1</v>
      </c>
      <c r="AM242">
        <v>2</v>
      </c>
      <c r="AN242" s="23">
        <v>0</v>
      </c>
      <c r="AO242" s="23" t="s">
        <v>55</v>
      </c>
      <c r="AP242" s="23">
        <v>0</v>
      </c>
      <c r="AQ242" s="23">
        <v>0</v>
      </c>
      <c r="AR242" s="37">
        <v>0</v>
      </c>
      <c r="AS242" s="37">
        <v>0</v>
      </c>
      <c r="AT242" s="37">
        <v>1</v>
      </c>
      <c r="AU242" s="33" t="str">
        <f t="shared" si="7"/>
        <v>库存为1</v>
      </c>
      <c r="AV242" s="38" t="str">
        <f>IFERROR(时间!$B$4+AU242,"上周无销量")</f>
        <v>上周无销量</v>
      </c>
    </row>
    <row r="243" spans="1:48">
      <c r="A243" s="21" t="s">
        <v>701</v>
      </c>
      <c r="B243" t="s">
        <v>702</v>
      </c>
      <c r="C243" t="s">
        <v>700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1</v>
      </c>
      <c r="J243" s="35">
        <v>0</v>
      </c>
      <c r="K243" s="35">
        <v>0</v>
      </c>
      <c r="L243" s="35">
        <v>0</v>
      </c>
      <c r="M243">
        <v>1</v>
      </c>
      <c r="N243">
        <v>0</v>
      </c>
      <c r="O243">
        <v>1</v>
      </c>
      <c r="P243" t="s">
        <v>55</v>
      </c>
      <c r="Q243" t="s">
        <v>55</v>
      </c>
      <c r="R243" t="s">
        <v>55</v>
      </c>
      <c r="S243" t="s">
        <v>55</v>
      </c>
      <c r="T243" t="s">
        <v>55</v>
      </c>
      <c r="U243" t="s">
        <v>55</v>
      </c>
      <c r="V243" t="s">
        <v>55</v>
      </c>
      <c r="W243" t="s">
        <v>55</v>
      </c>
      <c r="X243" s="23" t="s">
        <v>55</v>
      </c>
      <c r="Y243" s="23" t="s">
        <v>55</v>
      </c>
      <c r="Z243" s="23" t="s">
        <v>55</v>
      </c>
      <c r="AA243" s="23" t="s">
        <v>55</v>
      </c>
      <c r="AB243" t="s">
        <v>55</v>
      </c>
      <c r="AC243" t="s">
        <v>55</v>
      </c>
      <c r="AD243" t="s">
        <v>55</v>
      </c>
      <c r="AE243" t="s">
        <v>55</v>
      </c>
      <c r="AF243" s="23" t="s">
        <v>55</v>
      </c>
      <c r="AG243" s="23" t="s">
        <v>55</v>
      </c>
      <c r="AH243" s="23" t="s">
        <v>55</v>
      </c>
      <c r="AI243" s="23" t="s">
        <v>55</v>
      </c>
      <c r="AJ243">
        <v>1</v>
      </c>
      <c r="AK243">
        <v>1</v>
      </c>
      <c r="AL243">
        <v>1</v>
      </c>
      <c r="AM243">
        <v>0</v>
      </c>
      <c r="AN243" s="23">
        <v>0</v>
      </c>
      <c r="AO243" s="23">
        <v>0</v>
      </c>
      <c r="AP243" s="23">
        <v>0</v>
      </c>
      <c r="AQ243" s="23" t="s">
        <v>55</v>
      </c>
      <c r="AR243" s="37">
        <v>0</v>
      </c>
      <c r="AS243" s="37">
        <v>0</v>
      </c>
      <c r="AT243" s="37">
        <v>1</v>
      </c>
      <c r="AU243" s="33" t="str">
        <f t="shared" si="7"/>
        <v>库存为1</v>
      </c>
      <c r="AV243" s="38" t="str">
        <f>IFERROR(时间!$B$4+AU243,"上周无销量")</f>
        <v>上周无销量</v>
      </c>
    </row>
    <row r="244" spans="1:48">
      <c r="A244" s="21" t="s">
        <v>703</v>
      </c>
      <c r="B244" t="s">
        <v>704</v>
      </c>
      <c r="C244" t="s">
        <v>700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1</v>
      </c>
      <c r="J244" s="35">
        <v>0</v>
      </c>
      <c r="K244" s="35">
        <v>0</v>
      </c>
      <c r="L244" s="35">
        <v>0</v>
      </c>
      <c r="M244">
        <v>1</v>
      </c>
      <c r="N244">
        <v>0</v>
      </c>
      <c r="O244">
        <v>1</v>
      </c>
      <c r="P244" t="s">
        <v>55</v>
      </c>
      <c r="Q244" t="s">
        <v>55</v>
      </c>
      <c r="R244" t="s">
        <v>55</v>
      </c>
      <c r="S244" t="s">
        <v>55</v>
      </c>
      <c r="T244" t="s">
        <v>55</v>
      </c>
      <c r="U244" t="s">
        <v>55</v>
      </c>
      <c r="V244" t="s">
        <v>55</v>
      </c>
      <c r="W244" t="s">
        <v>55</v>
      </c>
      <c r="X244" s="23" t="s">
        <v>55</v>
      </c>
      <c r="Y244" s="23" t="s">
        <v>55</v>
      </c>
      <c r="Z244" s="23" t="s">
        <v>55</v>
      </c>
      <c r="AA244" s="23" t="s">
        <v>55</v>
      </c>
      <c r="AB244" t="s">
        <v>55</v>
      </c>
      <c r="AC244" t="s">
        <v>55</v>
      </c>
      <c r="AD244" t="s">
        <v>55</v>
      </c>
      <c r="AE244" t="s">
        <v>55</v>
      </c>
      <c r="AF244" s="23" t="s">
        <v>55</v>
      </c>
      <c r="AG244" s="23" t="s">
        <v>55</v>
      </c>
      <c r="AH244" s="23" t="s">
        <v>55</v>
      </c>
      <c r="AI244" s="23" t="s">
        <v>55</v>
      </c>
      <c r="AJ244">
        <v>2</v>
      </c>
      <c r="AK244">
        <v>0</v>
      </c>
      <c r="AL244">
        <v>2</v>
      </c>
      <c r="AM244">
        <v>0</v>
      </c>
      <c r="AN244" s="23">
        <v>0</v>
      </c>
      <c r="AO244" s="23" t="s">
        <v>55</v>
      </c>
      <c r="AP244" s="23">
        <v>0</v>
      </c>
      <c r="AQ244" s="23" t="s">
        <v>55</v>
      </c>
      <c r="AR244" s="37">
        <v>0</v>
      </c>
      <c r="AS244" s="37">
        <v>0</v>
      </c>
      <c r="AT244" s="37">
        <v>1</v>
      </c>
      <c r="AU244" s="33" t="str">
        <f t="shared" si="7"/>
        <v>库存为1</v>
      </c>
      <c r="AV244" s="38" t="str">
        <f>IFERROR(时间!$B$4+AU244,"上周无销量")</f>
        <v>上周无销量</v>
      </c>
    </row>
    <row r="245" spans="1:48">
      <c r="A245" s="21" t="s">
        <v>705</v>
      </c>
      <c r="B245" t="s">
        <v>706</v>
      </c>
      <c r="C245" t="s">
        <v>700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1</v>
      </c>
      <c r="J245" s="35">
        <v>0</v>
      </c>
      <c r="K245" s="35">
        <v>0</v>
      </c>
      <c r="L245" s="35">
        <v>0</v>
      </c>
      <c r="M245">
        <v>1</v>
      </c>
      <c r="N245">
        <v>0</v>
      </c>
      <c r="O245">
        <v>1</v>
      </c>
      <c r="P245" t="s">
        <v>55</v>
      </c>
      <c r="Q245" t="s">
        <v>55</v>
      </c>
      <c r="R245" t="s">
        <v>55</v>
      </c>
      <c r="S245" t="s">
        <v>55</v>
      </c>
      <c r="T245" t="s">
        <v>55</v>
      </c>
      <c r="U245" t="s">
        <v>55</v>
      </c>
      <c r="V245" t="s">
        <v>55</v>
      </c>
      <c r="W245" t="s">
        <v>55</v>
      </c>
      <c r="X245" s="23" t="s">
        <v>55</v>
      </c>
      <c r="Y245" s="23" t="s">
        <v>55</v>
      </c>
      <c r="Z245" s="23" t="s">
        <v>55</v>
      </c>
      <c r="AA245" s="23" t="s">
        <v>55</v>
      </c>
      <c r="AB245" t="s">
        <v>55</v>
      </c>
      <c r="AC245" t="s">
        <v>55</v>
      </c>
      <c r="AD245" t="s">
        <v>55</v>
      </c>
      <c r="AE245" t="s">
        <v>55</v>
      </c>
      <c r="AF245" s="23" t="s">
        <v>55</v>
      </c>
      <c r="AG245" s="23" t="s">
        <v>55</v>
      </c>
      <c r="AH245" s="23" t="s">
        <v>55</v>
      </c>
      <c r="AI245" s="23" t="s">
        <v>55</v>
      </c>
      <c r="AJ245">
        <v>2</v>
      </c>
      <c r="AK245">
        <v>1</v>
      </c>
      <c r="AL245">
        <v>0</v>
      </c>
      <c r="AM245">
        <v>0</v>
      </c>
      <c r="AN245" s="23">
        <v>0</v>
      </c>
      <c r="AO245" s="23">
        <v>0</v>
      </c>
      <c r="AP245" s="23" t="s">
        <v>55</v>
      </c>
      <c r="AQ245" s="23" t="s">
        <v>55</v>
      </c>
      <c r="AR245" s="37">
        <v>0</v>
      </c>
      <c r="AS245" s="37">
        <v>0</v>
      </c>
      <c r="AT245" s="37">
        <v>1</v>
      </c>
      <c r="AU245" s="33" t="str">
        <f t="shared" si="7"/>
        <v>库存为1</v>
      </c>
      <c r="AV245" s="38" t="str">
        <f>IFERROR(时间!$B$4+AU245,"上周无销量")</f>
        <v>上周无销量</v>
      </c>
    </row>
    <row r="246" spans="1:48">
      <c r="A246" s="21" t="s">
        <v>707</v>
      </c>
      <c r="B246" t="s">
        <v>708</v>
      </c>
      <c r="C246" t="s">
        <v>700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0</v>
      </c>
      <c r="J246" s="35">
        <v>0</v>
      </c>
      <c r="K246" s="35">
        <v>0</v>
      </c>
      <c r="L246" s="35">
        <v>0</v>
      </c>
      <c r="M246">
        <v>0</v>
      </c>
      <c r="N246">
        <v>0</v>
      </c>
      <c r="O246">
        <v>0</v>
      </c>
      <c r="P246" t="s">
        <v>55</v>
      </c>
      <c r="Q246" t="s">
        <v>55</v>
      </c>
      <c r="R246" t="s">
        <v>55</v>
      </c>
      <c r="S246" t="s">
        <v>55</v>
      </c>
      <c r="T246" t="s">
        <v>55</v>
      </c>
      <c r="U246" t="s">
        <v>55</v>
      </c>
      <c r="V246" t="s">
        <v>55</v>
      </c>
      <c r="W246" t="s">
        <v>55</v>
      </c>
      <c r="X246" s="23" t="s">
        <v>55</v>
      </c>
      <c r="Y246" s="23" t="s">
        <v>55</v>
      </c>
      <c r="Z246" s="23" t="s">
        <v>55</v>
      </c>
      <c r="AA246" s="23" t="s">
        <v>55</v>
      </c>
      <c r="AB246" t="s">
        <v>55</v>
      </c>
      <c r="AC246" t="s">
        <v>55</v>
      </c>
      <c r="AD246" t="s">
        <v>55</v>
      </c>
      <c r="AE246" t="s">
        <v>55</v>
      </c>
      <c r="AF246" s="23" t="s">
        <v>55</v>
      </c>
      <c r="AG246" s="23" t="s">
        <v>55</v>
      </c>
      <c r="AH246" s="23" t="s">
        <v>55</v>
      </c>
      <c r="AI246" s="23" t="s">
        <v>55</v>
      </c>
      <c r="AJ246">
        <v>0</v>
      </c>
      <c r="AK246">
        <v>0</v>
      </c>
      <c r="AL246">
        <v>0</v>
      </c>
      <c r="AM246">
        <v>0</v>
      </c>
      <c r="AN246" s="23" t="s">
        <v>55</v>
      </c>
      <c r="AO246" s="23" t="s">
        <v>55</v>
      </c>
      <c r="AP246" s="23" t="s">
        <v>55</v>
      </c>
      <c r="AQ246" s="23" t="s">
        <v>55</v>
      </c>
      <c r="AR246" s="37">
        <v>0</v>
      </c>
      <c r="AS246" s="37">
        <v>0</v>
      </c>
      <c r="AT246" s="37">
        <v>0</v>
      </c>
      <c r="AU246" s="33" t="str">
        <f t="shared" si="7"/>
        <v>库存为0</v>
      </c>
      <c r="AV246" s="38" t="str">
        <f>IFERROR(时间!$B$4+AU246,"上周无销量")</f>
        <v>上周无销量</v>
      </c>
    </row>
    <row r="247" spans="1:48">
      <c r="A247" s="21" t="s">
        <v>709</v>
      </c>
      <c r="B247" t="s">
        <v>710</v>
      </c>
      <c r="C247" t="s">
        <v>700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1</v>
      </c>
      <c r="J247" s="35">
        <v>0</v>
      </c>
      <c r="K247" s="35">
        <v>0</v>
      </c>
      <c r="L247" s="35">
        <v>0</v>
      </c>
      <c r="M247">
        <v>1</v>
      </c>
      <c r="N247">
        <v>0</v>
      </c>
      <c r="O247">
        <v>1</v>
      </c>
      <c r="P247" t="s">
        <v>55</v>
      </c>
      <c r="Q247" t="s">
        <v>55</v>
      </c>
      <c r="R247" t="s">
        <v>55</v>
      </c>
      <c r="S247" t="s">
        <v>55</v>
      </c>
      <c r="T247" t="s">
        <v>55</v>
      </c>
      <c r="U247" t="s">
        <v>55</v>
      </c>
      <c r="V247" t="s">
        <v>55</v>
      </c>
      <c r="W247" t="s">
        <v>55</v>
      </c>
      <c r="X247" s="23" t="s">
        <v>55</v>
      </c>
      <c r="Y247" s="23" t="s">
        <v>55</v>
      </c>
      <c r="Z247" s="23" t="s">
        <v>55</v>
      </c>
      <c r="AA247" s="23" t="s">
        <v>55</v>
      </c>
      <c r="AB247" t="s">
        <v>55</v>
      </c>
      <c r="AC247" t="s">
        <v>55</v>
      </c>
      <c r="AD247" t="s">
        <v>55</v>
      </c>
      <c r="AE247" t="s">
        <v>55</v>
      </c>
      <c r="AF247" s="23" t="s">
        <v>55</v>
      </c>
      <c r="AG247" s="23" t="s">
        <v>55</v>
      </c>
      <c r="AH247" s="23" t="s">
        <v>55</v>
      </c>
      <c r="AI247" s="23" t="s">
        <v>55</v>
      </c>
      <c r="AJ247">
        <v>0</v>
      </c>
      <c r="AK247">
        <v>0</v>
      </c>
      <c r="AL247">
        <v>0</v>
      </c>
      <c r="AM247">
        <v>0</v>
      </c>
      <c r="AN247" s="23" t="s">
        <v>55</v>
      </c>
      <c r="AO247" s="23" t="s">
        <v>55</v>
      </c>
      <c r="AP247" s="23" t="s">
        <v>55</v>
      </c>
      <c r="AQ247" s="23" t="s">
        <v>55</v>
      </c>
      <c r="AR247" s="37">
        <v>0</v>
      </c>
      <c r="AS247" s="37">
        <v>0</v>
      </c>
      <c r="AT247" s="37">
        <v>1</v>
      </c>
      <c r="AU247" s="33" t="str">
        <f t="shared" si="7"/>
        <v>库存为1</v>
      </c>
      <c r="AV247" s="38" t="str">
        <f>IFERROR(时间!$B$4+AU247,"上周无销量")</f>
        <v>上周无销量</v>
      </c>
    </row>
    <row r="248" spans="1:48">
      <c r="A248" s="21" t="s">
        <v>711</v>
      </c>
      <c r="B248" t="s">
        <v>712</v>
      </c>
      <c r="C248" t="s">
        <v>700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1</v>
      </c>
      <c r="J248" s="35">
        <v>0</v>
      </c>
      <c r="K248" s="35">
        <v>0</v>
      </c>
      <c r="L248" s="35">
        <v>0</v>
      </c>
      <c r="M248">
        <v>1</v>
      </c>
      <c r="N248">
        <v>0</v>
      </c>
      <c r="O248">
        <v>1</v>
      </c>
      <c r="P248" t="s">
        <v>55</v>
      </c>
      <c r="Q248" t="s">
        <v>55</v>
      </c>
      <c r="R248" t="s">
        <v>55</v>
      </c>
      <c r="S248" t="s">
        <v>55</v>
      </c>
      <c r="T248" t="s">
        <v>55</v>
      </c>
      <c r="U248" t="s">
        <v>55</v>
      </c>
      <c r="V248" t="s">
        <v>55</v>
      </c>
      <c r="W248" t="s">
        <v>55</v>
      </c>
      <c r="X248" s="23" t="s">
        <v>55</v>
      </c>
      <c r="Y248" s="23" t="s">
        <v>55</v>
      </c>
      <c r="Z248" s="23" t="s">
        <v>55</v>
      </c>
      <c r="AA248" s="23" t="s">
        <v>55</v>
      </c>
      <c r="AB248" t="s">
        <v>55</v>
      </c>
      <c r="AC248" t="s">
        <v>55</v>
      </c>
      <c r="AD248" t="s">
        <v>55</v>
      </c>
      <c r="AE248" t="s">
        <v>55</v>
      </c>
      <c r="AF248" s="23" t="s">
        <v>55</v>
      </c>
      <c r="AG248" s="23" t="s">
        <v>55</v>
      </c>
      <c r="AH248" s="23" t="s">
        <v>55</v>
      </c>
      <c r="AI248" s="23" t="s">
        <v>55</v>
      </c>
      <c r="AJ248">
        <v>2</v>
      </c>
      <c r="AK248">
        <v>0</v>
      </c>
      <c r="AL248">
        <v>2</v>
      </c>
      <c r="AM248">
        <v>1</v>
      </c>
      <c r="AN248" s="23">
        <v>0</v>
      </c>
      <c r="AO248" s="23" t="s">
        <v>55</v>
      </c>
      <c r="AP248" s="23">
        <v>0</v>
      </c>
      <c r="AQ248" s="23">
        <v>0</v>
      </c>
      <c r="AR248" s="37">
        <v>0</v>
      </c>
      <c r="AS248" s="37">
        <v>0</v>
      </c>
      <c r="AT248" s="37">
        <v>1</v>
      </c>
      <c r="AU248" s="33" t="str">
        <f t="shared" si="7"/>
        <v>库存为1</v>
      </c>
      <c r="AV248" s="38" t="str">
        <f>IFERROR(时间!$B$4+AU248,"上周无销量")</f>
        <v>上周无销量</v>
      </c>
    </row>
    <row r="249" spans="1:48">
      <c r="A249" s="21" t="s">
        <v>713</v>
      </c>
      <c r="B249" t="s">
        <v>714</v>
      </c>
      <c r="C249" t="s">
        <v>700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2</v>
      </c>
      <c r="J249" s="35">
        <v>0</v>
      </c>
      <c r="K249" s="35">
        <v>0</v>
      </c>
      <c r="L249" s="35">
        <v>0</v>
      </c>
      <c r="M249">
        <v>2</v>
      </c>
      <c r="N249">
        <v>0</v>
      </c>
      <c r="O249">
        <v>2</v>
      </c>
      <c r="P249" t="s">
        <v>55</v>
      </c>
      <c r="Q249" t="s">
        <v>55</v>
      </c>
      <c r="R249" t="s">
        <v>55</v>
      </c>
      <c r="S249" t="s">
        <v>55</v>
      </c>
      <c r="T249" t="s">
        <v>55</v>
      </c>
      <c r="U249" t="s">
        <v>55</v>
      </c>
      <c r="V249" t="s">
        <v>55</v>
      </c>
      <c r="W249" t="s">
        <v>55</v>
      </c>
      <c r="X249" s="23" t="s">
        <v>55</v>
      </c>
      <c r="Y249" s="23" t="s">
        <v>55</v>
      </c>
      <c r="Z249" s="23" t="s">
        <v>55</v>
      </c>
      <c r="AA249" s="23" t="s">
        <v>55</v>
      </c>
      <c r="AB249" t="s">
        <v>55</v>
      </c>
      <c r="AC249" t="s">
        <v>55</v>
      </c>
      <c r="AD249" t="s">
        <v>55</v>
      </c>
      <c r="AE249" t="s">
        <v>55</v>
      </c>
      <c r="AF249" s="23" t="s">
        <v>55</v>
      </c>
      <c r="AG249" s="23" t="s">
        <v>55</v>
      </c>
      <c r="AH249" s="23" t="s">
        <v>55</v>
      </c>
      <c r="AI249" s="23" t="s">
        <v>55</v>
      </c>
      <c r="AJ249">
        <v>2</v>
      </c>
      <c r="AK249">
        <v>1</v>
      </c>
      <c r="AL249">
        <v>1</v>
      </c>
      <c r="AM249">
        <v>0</v>
      </c>
      <c r="AN249" s="23">
        <v>0</v>
      </c>
      <c r="AO249" s="23">
        <v>0</v>
      </c>
      <c r="AP249" s="23">
        <v>0</v>
      </c>
      <c r="AQ249" s="23" t="s">
        <v>55</v>
      </c>
      <c r="AR249" s="37">
        <v>0</v>
      </c>
      <c r="AS249" s="37">
        <v>0</v>
      </c>
      <c r="AT249" s="37">
        <v>2</v>
      </c>
      <c r="AU249" s="33" t="str">
        <f t="shared" si="7"/>
        <v>库存为2</v>
      </c>
      <c r="AV249" s="38" t="str">
        <f>IFERROR(时间!$B$4+AU249,"上周无销量")</f>
        <v>上周无销量</v>
      </c>
    </row>
    <row r="250" spans="1:48">
      <c r="A250" s="21" t="s">
        <v>715</v>
      </c>
      <c r="B250" t="s">
        <v>716</v>
      </c>
      <c r="C250" t="s">
        <v>700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2</v>
      </c>
      <c r="J250" s="35">
        <v>0</v>
      </c>
      <c r="K250" s="35">
        <v>0</v>
      </c>
      <c r="L250" s="35">
        <v>0</v>
      </c>
      <c r="M250">
        <v>2</v>
      </c>
      <c r="N250">
        <v>0</v>
      </c>
      <c r="O250">
        <v>2</v>
      </c>
      <c r="P250" t="s">
        <v>55</v>
      </c>
      <c r="Q250" t="s">
        <v>55</v>
      </c>
      <c r="R250" t="s">
        <v>55</v>
      </c>
      <c r="S250" t="s">
        <v>55</v>
      </c>
      <c r="T250" t="s">
        <v>55</v>
      </c>
      <c r="U250" t="s">
        <v>55</v>
      </c>
      <c r="V250" t="s">
        <v>55</v>
      </c>
      <c r="W250" t="s">
        <v>55</v>
      </c>
      <c r="X250" s="23" t="s">
        <v>55</v>
      </c>
      <c r="Y250" s="23" t="s">
        <v>55</v>
      </c>
      <c r="Z250" s="23" t="s">
        <v>55</v>
      </c>
      <c r="AA250" s="23" t="s">
        <v>55</v>
      </c>
      <c r="AB250" t="s">
        <v>55</v>
      </c>
      <c r="AC250" t="s">
        <v>55</v>
      </c>
      <c r="AD250" t="s">
        <v>55</v>
      </c>
      <c r="AE250" t="s">
        <v>55</v>
      </c>
      <c r="AF250" s="23" t="s">
        <v>55</v>
      </c>
      <c r="AG250" s="23" t="s">
        <v>55</v>
      </c>
      <c r="AH250" s="23" t="s">
        <v>55</v>
      </c>
      <c r="AI250" s="23" t="s">
        <v>55</v>
      </c>
      <c r="AJ250">
        <v>1</v>
      </c>
      <c r="AK250">
        <v>1</v>
      </c>
      <c r="AL250">
        <v>0</v>
      </c>
      <c r="AM250">
        <v>1</v>
      </c>
      <c r="AN250" s="23">
        <v>0</v>
      </c>
      <c r="AO250" s="23">
        <v>0</v>
      </c>
      <c r="AP250" s="23" t="s">
        <v>55</v>
      </c>
      <c r="AQ250" s="23">
        <v>0</v>
      </c>
      <c r="AR250" s="37">
        <v>0</v>
      </c>
      <c r="AS250" s="37">
        <v>0</v>
      </c>
      <c r="AT250" s="37">
        <v>2</v>
      </c>
      <c r="AU250" s="33" t="str">
        <f t="shared" si="7"/>
        <v>库存为2</v>
      </c>
      <c r="AV250" s="38" t="str">
        <f>IFERROR(时间!$B$4+AU250,"上周无销量")</f>
        <v>上周无销量</v>
      </c>
    </row>
    <row r="251" spans="1:48">
      <c r="A251" s="21" t="s">
        <v>717</v>
      </c>
      <c r="B251" t="s">
        <v>718</v>
      </c>
      <c r="C251" t="s">
        <v>719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2</v>
      </c>
      <c r="J251" s="35">
        <v>0</v>
      </c>
      <c r="K251" s="35">
        <v>0</v>
      </c>
      <c r="L251" s="35">
        <v>0</v>
      </c>
      <c r="M251">
        <v>2</v>
      </c>
      <c r="N251">
        <v>0</v>
      </c>
      <c r="O251">
        <v>2</v>
      </c>
      <c r="P251" t="s">
        <v>55</v>
      </c>
      <c r="Q251" t="s">
        <v>55</v>
      </c>
      <c r="R251" t="s">
        <v>55</v>
      </c>
      <c r="S251" t="s">
        <v>55</v>
      </c>
      <c r="T251" t="s">
        <v>55</v>
      </c>
      <c r="U251" t="s">
        <v>55</v>
      </c>
      <c r="V251" t="s">
        <v>55</v>
      </c>
      <c r="W251" t="s">
        <v>55</v>
      </c>
      <c r="X251" s="23" t="s">
        <v>55</v>
      </c>
      <c r="Y251" s="23" t="s">
        <v>55</v>
      </c>
      <c r="Z251" s="23" t="s">
        <v>55</v>
      </c>
      <c r="AA251" s="23" t="s">
        <v>55</v>
      </c>
      <c r="AB251" t="s">
        <v>55</v>
      </c>
      <c r="AC251" t="s">
        <v>55</v>
      </c>
      <c r="AD251" t="s">
        <v>55</v>
      </c>
      <c r="AE251" t="s">
        <v>55</v>
      </c>
      <c r="AF251" s="23" t="s">
        <v>55</v>
      </c>
      <c r="AG251" s="23" t="s">
        <v>55</v>
      </c>
      <c r="AH251" s="23" t="s">
        <v>55</v>
      </c>
      <c r="AI251" s="23" t="s">
        <v>55</v>
      </c>
      <c r="AJ251">
        <v>2</v>
      </c>
      <c r="AK251">
        <v>1</v>
      </c>
      <c r="AL251">
        <v>1</v>
      </c>
      <c r="AM251">
        <v>1</v>
      </c>
      <c r="AN251" s="23">
        <v>0</v>
      </c>
      <c r="AO251" s="23">
        <v>0</v>
      </c>
      <c r="AP251" s="23">
        <v>0</v>
      </c>
      <c r="AQ251" s="23">
        <v>0</v>
      </c>
      <c r="AR251" s="37">
        <v>0</v>
      </c>
      <c r="AS251" s="37">
        <v>0</v>
      </c>
      <c r="AT251" s="37">
        <v>2</v>
      </c>
      <c r="AU251" s="33" t="str">
        <f t="shared" si="7"/>
        <v>库存为2</v>
      </c>
      <c r="AV251" s="38" t="str">
        <f>IFERROR(时间!$B$4+AU251,"上周无销量")</f>
        <v>上周无销量</v>
      </c>
    </row>
    <row r="252" spans="1:48">
      <c r="A252" s="21" t="s">
        <v>720</v>
      </c>
      <c r="B252" t="s">
        <v>721</v>
      </c>
      <c r="C252" t="s">
        <v>719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55</v>
      </c>
      <c r="Q252" t="s">
        <v>55</v>
      </c>
      <c r="R252" t="s">
        <v>55</v>
      </c>
      <c r="S252" t="s">
        <v>55</v>
      </c>
      <c r="T252" t="s">
        <v>55</v>
      </c>
      <c r="U252" t="s">
        <v>55</v>
      </c>
      <c r="V252" t="s">
        <v>55</v>
      </c>
      <c r="W252" t="s">
        <v>55</v>
      </c>
      <c r="X252" s="23" t="s">
        <v>55</v>
      </c>
      <c r="Y252" s="23" t="s">
        <v>55</v>
      </c>
      <c r="Z252" s="23" t="s">
        <v>55</v>
      </c>
      <c r="AA252" s="23" t="s">
        <v>55</v>
      </c>
      <c r="AB252" t="s">
        <v>55</v>
      </c>
      <c r="AC252" t="s">
        <v>55</v>
      </c>
      <c r="AD252" t="s">
        <v>55</v>
      </c>
      <c r="AE252" t="s">
        <v>55</v>
      </c>
      <c r="AF252" s="23" t="s">
        <v>55</v>
      </c>
      <c r="AG252" s="23" t="s">
        <v>55</v>
      </c>
      <c r="AH252" s="23" t="s">
        <v>55</v>
      </c>
      <c r="AI252" s="23" t="s">
        <v>55</v>
      </c>
      <c r="AJ252">
        <v>3</v>
      </c>
      <c r="AK252">
        <v>0</v>
      </c>
      <c r="AL252">
        <v>0</v>
      </c>
      <c r="AM252">
        <v>1</v>
      </c>
      <c r="AN252" s="23">
        <v>0</v>
      </c>
      <c r="AO252" s="23" t="s">
        <v>55</v>
      </c>
      <c r="AP252" s="23" t="s">
        <v>55</v>
      </c>
      <c r="AQ252" s="23">
        <v>0</v>
      </c>
      <c r="AR252" s="37">
        <v>0</v>
      </c>
      <c r="AS252" s="37">
        <v>0</v>
      </c>
      <c r="AT252" s="37">
        <v>2</v>
      </c>
      <c r="AU252" s="33" t="str">
        <f t="shared" si="7"/>
        <v>库存为2</v>
      </c>
      <c r="AV252" s="38" t="str">
        <f>IFERROR(时间!$B$4+AU252,"上周无销量")</f>
        <v>上周无销量</v>
      </c>
    </row>
    <row r="253" spans="1:48">
      <c r="A253" s="21" t="s">
        <v>722</v>
      </c>
      <c r="B253" t="s">
        <v>723</v>
      </c>
      <c r="C253" t="s">
        <v>719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2</v>
      </c>
      <c r="J253" s="35">
        <v>0</v>
      </c>
      <c r="K253" s="35">
        <v>0</v>
      </c>
      <c r="L253" s="35">
        <v>0</v>
      </c>
      <c r="M253">
        <v>2</v>
      </c>
      <c r="N253">
        <v>0</v>
      </c>
      <c r="O253">
        <v>2</v>
      </c>
      <c r="P253" t="s">
        <v>55</v>
      </c>
      <c r="Q253" t="s">
        <v>55</v>
      </c>
      <c r="R253" t="s">
        <v>55</v>
      </c>
      <c r="S253" t="s">
        <v>55</v>
      </c>
      <c r="T253" t="s">
        <v>55</v>
      </c>
      <c r="U253" t="s">
        <v>55</v>
      </c>
      <c r="V253" t="s">
        <v>55</v>
      </c>
      <c r="W253" t="s">
        <v>55</v>
      </c>
      <c r="X253" s="23" t="s">
        <v>55</v>
      </c>
      <c r="Y253" s="23" t="s">
        <v>55</v>
      </c>
      <c r="Z253" s="23" t="s">
        <v>55</v>
      </c>
      <c r="AA253" s="23" t="s">
        <v>55</v>
      </c>
      <c r="AB253" t="s">
        <v>55</v>
      </c>
      <c r="AC253" t="s">
        <v>55</v>
      </c>
      <c r="AD253" t="s">
        <v>55</v>
      </c>
      <c r="AE253" t="s">
        <v>55</v>
      </c>
      <c r="AF253" s="23" t="s">
        <v>55</v>
      </c>
      <c r="AG253" s="23" t="s">
        <v>55</v>
      </c>
      <c r="AH253" s="23" t="s">
        <v>55</v>
      </c>
      <c r="AI253" s="23" t="s">
        <v>55</v>
      </c>
      <c r="AJ253">
        <v>2</v>
      </c>
      <c r="AK253">
        <v>1</v>
      </c>
      <c r="AL253">
        <v>2</v>
      </c>
      <c r="AM253">
        <v>2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2</v>
      </c>
      <c r="AU253" s="33" t="str">
        <f t="shared" si="7"/>
        <v>库存为2</v>
      </c>
      <c r="AV253" s="38" t="str">
        <f>IFERROR(时间!$B$4+AU253,"上周无销量")</f>
        <v>上周无销量</v>
      </c>
    </row>
    <row r="254" spans="1:48">
      <c r="A254" s="21" t="s">
        <v>724</v>
      </c>
      <c r="B254" t="s">
        <v>725</v>
      </c>
      <c r="C254" t="s">
        <v>719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2</v>
      </c>
      <c r="J254" s="35">
        <v>0</v>
      </c>
      <c r="K254" s="35">
        <v>0</v>
      </c>
      <c r="L254" s="35">
        <v>0</v>
      </c>
      <c r="M254">
        <v>2</v>
      </c>
      <c r="N254">
        <v>0</v>
      </c>
      <c r="O254">
        <v>2</v>
      </c>
      <c r="P254" t="s">
        <v>55</v>
      </c>
      <c r="Q254" t="s">
        <v>55</v>
      </c>
      <c r="R254" t="s">
        <v>55</v>
      </c>
      <c r="S254" t="s">
        <v>55</v>
      </c>
      <c r="T254" t="s">
        <v>55</v>
      </c>
      <c r="U254" t="s">
        <v>55</v>
      </c>
      <c r="V254" t="s">
        <v>55</v>
      </c>
      <c r="W254" t="s">
        <v>55</v>
      </c>
      <c r="X254" s="23" t="s">
        <v>55</v>
      </c>
      <c r="Y254" s="23" t="s">
        <v>55</v>
      </c>
      <c r="Z254" s="23" t="s">
        <v>55</v>
      </c>
      <c r="AA254" s="23" t="s">
        <v>55</v>
      </c>
      <c r="AB254" t="s">
        <v>55</v>
      </c>
      <c r="AC254" t="s">
        <v>55</v>
      </c>
      <c r="AD254" t="s">
        <v>55</v>
      </c>
      <c r="AE254" t="s">
        <v>55</v>
      </c>
      <c r="AF254" s="23" t="s">
        <v>55</v>
      </c>
      <c r="AG254" s="23" t="s">
        <v>55</v>
      </c>
      <c r="AH254" s="23" t="s">
        <v>55</v>
      </c>
      <c r="AI254" s="23" t="s">
        <v>55</v>
      </c>
      <c r="AJ254">
        <v>3</v>
      </c>
      <c r="AK254">
        <v>1</v>
      </c>
      <c r="AL254">
        <v>0</v>
      </c>
      <c r="AM254">
        <v>0</v>
      </c>
      <c r="AN254" s="23">
        <v>0</v>
      </c>
      <c r="AO254" s="23">
        <v>0</v>
      </c>
      <c r="AP254" s="23" t="s">
        <v>55</v>
      </c>
      <c r="AQ254" s="23" t="s">
        <v>55</v>
      </c>
      <c r="AR254" s="37">
        <v>0</v>
      </c>
      <c r="AS254" s="37">
        <v>0</v>
      </c>
      <c r="AT254" s="37">
        <v>2</v>
      </c>
      <c r="AU254" s="33" t="str">
        <f t="shared" si="7"/>
        <v>库存为2</v>
      </c>
      <c r="AV254" s="38" t="str">
        <f>IFERROR(时间!$B$4+AU254,"上周无销量")</f>
        <v>上周无销量</v>
      </c>
    </row>
    <row r="255" spans="1:48">
      <c r="A255" s="21" t="s">
        <v>726</v>
      </c>
      <c r="B255" t="s">
        <v>727</v>
      </c>
      <c r="C255" t="s">
        <v>719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1</v>
      </c>
      <c r="J255" s="35">
        <v>0</v>
      </c>
      <c r="K255" s="35">
        <v>0</v>
      </c>
      <c r="L255" s="35">
        <v>0</v>
      </c>
      <c r="M255">
        <v>1</v>
      </c>
      <c r="N255">
        <v>0</v>
      </c>
      <c r="O255">
        <v>1</v>
      </c>
      <c r="P255" t="s">
        <v>55</v>
      </c>
      <c r="Q255" t="s">
        <v>55</v>
      </c>
      <c r="R255" t="s">
        <v>55</v>
      </c>
      <c r="S255" t="s">
        <v>55</v>
      </c>
      <c r="T255" t="s">
        <v>55</v>
      </c>
      <c r="U255" t="s">
        <v>55</v>
      </c>
      <c r="V255" t="s">
        <v>55</v>
      </c>
      <c r="W255" t="s">
        <v>55</v>
      </c>
      <c r="X255" s="23" t="s">
        <v>55</v>
      </c>
      <c r="Y255" s="23" t="s">
        <v>55</v>
      </c>
      <c r="Z255" s="23" t="s">
        <v>55</v>
      </c>
      <c r="AA255" s="23" t="s">
        <v>55</v>
      </c>
      <c r="AB255" t="s">
        <v>55</v>
      </c>
      <c r="AC255" t="s">
        <v>55</v>
      </c>
      <c r="AD255" t="s">
        <v>55</v>
      </c>
      <c r="AE255" t="s">
        <v>55</v>
      </c>
      <c r="AF255" s="23" t="s">
        <v>55</v>
      </c>
      <c r="AG255" s="23" t="s">
        <v>55</v>
      </c>
      <c r="AH255" s="23" t="s">
        <v>55</v>
      </c>
      <c r="AI255" s="23" t="s">
        <v>55</v>
      </c>
      <c r="AJ255">
        <v>2</v>
      </c>
      <c r="AK255">
        <v>1</v>
      </c>
      <c r="AL255">
        <v>1</v>
      </c>
      <c r="AM255">
        <v>2</v>
      </c>
      <c r="AN255" s="23">
        <v>0</v>
      </c>
      <c r="AO255" s="23">
        <v>0</v>
      </c>
      <c r="AP255" s="23">
        <v>0</v>
      </c>
      <c r="AQ255" s="23">
        <v>0</v>
      </c>
      <c r="AR255" s="37">
        <v>0</v>
      </c>
      <c r="AS255" s="37">
        <v>0</v>
      </c>
      <c r="AT255" s="37">
        <v>1</v>
      </c>
      <c r="AU255" s="33" t="str">
        <f t="shared" si="7"/>
        <v>库存为1</v>
      </c>
      <c r="AV255" s="38" t="str">
        <f>IFERROR(时间!$B$4+AU255,"上周无销量")</f>
        <v>上周无销量</v>
      </c>
    </row>
    <row r="256" spans="1:48">
      <c r="A256" s="21" t="s">
        <v>728</v>
      </c>
      <c r="B256" t="s">
        <v>729</v>
      </c>
      <c r="C256" t="s">
        <v>719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1</v>
      </c>
      <c r="J256" s="35">
        <v>0</v>
      </c>
      <c r="K256" s="35">
        <v>0</v>
      </c>
      <c r="L256" s="35">
        <v>0</v>
      </c>
      <c r="M256">
        <v>1</v>
      </c>
      <c r="N256">
        <v>0</v>
      </c>
      <c r="O256">
        <v>1</v>
      </c>
      <c r="P256" t="s">
        <v>55</v>
      </c>
      <c r="Q256" t="s">
        <v>55</v>
      </c>
      <c r="R256" t="s">
        <v>55</v>
      </c>
      <c r="S256" t="s">
        <v>55</v>
      </c>
      <c r="T256" t="s">
        <v>55</v>
      </c>
      <c r="U256" t="s">
        <v>55</v>
      </c>
      <c r="V256" t="s">
        <v>55</v>
      </c>
      <c r="W256" t="s">
        <v>55</v>
      </c>
      <c r="X256" s="23" t="s">
        <v>55</v>
      </c>
      <c r="Y256" s="23" t="s">
        <v>55</v>
      </c>
      <c r="Z256" s="23" t="s">
        <v>55</v>
      </c>
      <c r="AA256" s="23" t="s">
        <v>55</v>
      </c>
      <c r="AB256" t="s">
        <v>55</v>
      </c>
      <c r="AC256" t="s">
        <v>55</v>
      </c>
      <c r="AD256" t="s">
        <v>55</v>
      </c>
      <c r="AE256" t="s">
        <v>55</v>
      </c>
      <c r="AF256" s="23" t="s">
        <v>55</v>
      </c>
      <c r="AG256" s="23" t="s">
        <v>55</v>
      </c>
      <c r="AH256" s="23" t="s">
        <v>55</v>
      </c>
      <c r="AI256" s="23" t="s">
        <v>55</v>
      </c>
      <c r="AJ256">
        <v>1</v>
      </c>
      <c r="AK256">
        <v>1</v>
      </c>
      <c r="AL256">
        <v>0</v>
      </c>
      <c r="AM256">
        <v>1</v>
      </c>
      <c r="AN256" s="23">
        <v>0</v>
      </c>
      <c r="AO256" s="23">
        <v>0</v>
      </c>
      <c r="AP256" s="23" t="s">
        <v>55</v>
      </c>
      <c r="AQ256" s="23">
        <v>0</v>
      </c>
      <c r="AR256" s="37">
        <v>0</v>
      </c>
      <c r="AS256" s="37">
        <v>0</v>
      </c>
      <c r="AT256" s="37">
        <v>1</v>
      </c>
      <c r="AU256" s="33" t="str">
        <f t="shared" si="7"/>
        <v>库存为1</v>
      </c>
      <c r="AV256" s="38" t="str">
        <f>IFERROR(时间!$B$4+AU256,"上周无销量")</f>
        <v>上周无销量</v>
      </c>
    </row>
    <row r="257" spans="1:48">
      <c r="A257" s="21" t="s">
        <v>730</v>
      </c>
      <c r="B257" t="s">
        <v>731</v>
      </c>
      <c r="C257" t="s">
        <v>719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2</v>
      </c>
      <c r="J257" s="35">
        <v>0</v>
      </c>
      <c r="K257" s="35">
        <v>0</v>
      </c>
      <c r="L257" s="35">
        <v>0</v>
      </c>
      <c r="M257">
        <v>2</v>
      </c>
      <c r="N257">
        <v>0</v>
      </c>
      <c r="O257">
        <v>2</v>
      </c>
      <c r="P257" t="s">
        <v>55</v>
      </c>
      <c r="Q257" t="s">
        <v>55</v>
      </c>
      <c r="R257" t="s">
        <v>55</v>
      </c>
      <c r="S257" t="s">
        <v>55</v>
      </c>
      <c r="T257" t="s">
        <v>55</v>
      </c>
      <c r="U257" t="s">
        <v>55</v>
      </c>
      <c r="V257" t="s">
        <v>55</v>
      </c>
      <c r="W257" t="s">
        <v>55</v>
      </c>
      <c r="X257" s="23" t="s">
        <v>55</v>
      </c>
      <c r="Y257" s="23" t="s">
        <v>55</v>
      </c>
      <c r="Z257" s="23" t="s">
        <v>55</v>
      </c>
      <c r="AA257" s="23" t="s">
        <v>55</v>
      </c>
      <c r="AB257" t="s">
        <v>55</v>
      </c>
      <c r="AC257" t="s">
        <v>55</v>
      </c>
      <c r="AD257" t="s">
        <v>55</v>
      </c>
      <c r="AE257" t="s">
        <v>55</v>
      </c>
      <c r="AF257" s="23" t="s">
        <v>55</v>
      </c>
      <c r="AG257" s="23" t="s">
        <v>55</v>
      </c>
      <c r="AH257" s="23" t="s">
        <v>55</v>
      </c>
      <c r="AI257" s="23" t="s">
        <v>55</v>
      </c>
      <c r="AJ257">
        <v>0</v>
      </c>
      <c r="AK257">
        <v>0</v>
      </c>
      <c r="AL257">
        <v>0</v>
      </c>
      <c r="AM257">
        <v>1</v>
      </c>
      <c r="AN257" s="23" t="s">
        <v>55</v>
      </c>
      <c r="AO257" s="23" t="s">
        <v>55</v>
      </c>
      <c r="AP257" s="23" t="s">
        <v>55</v>
      </c>
      <c r="AQ257" s="23">
        <v>0</v>
      </c>
      <c r="AR257" s="37">
        <v>0</v>
      </c>
      <c r="AS257" s="37">
        <v>0</v>
      </c>
      <c r="AT257" s="37">
        <v>2</v>
      </c>
      <c r="AU257" s="33" t="str">
        <f t="shared" si="7"/>
        <v>库存为2</v>
      </c>
      <c r="AV257" s="38" t="str">
        <f>IFERROR(时间!$B$4+AU257,"上周无销量")</f>
        <v>上周无销量</v>
      </c>
    </row>
    <row r="258" spans="1:48">
      <c r="A258" s="21" t="s">
        <v>732</v>
      </c>
      <c r="B258" t="s">
        <v>733</v>
      </c>
      <c r="C258" t="s">
        <v>719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2</v>
      </c>
      <c r="J258" s="35">
        <v>0</v>
      </c>
      <c r="K258" s="35">
        <v>0</v>
      </c>
      <c r="L258" s="35">
        <v>0</v>
      </c>
      <c r="M258">
        <v>2</v>
      </c>
      <c r="N258">
        <v>0</v>
      </c>
      <c r="O258">
        <v>2</v>
      </c>
      <c r="P258" t="s">
        <v>55</v>
      </c>
      <c r="Q258" t="s">
        <v>55</v>
      </c>
      <c r="R258" t="s">
        <v>55</v>
      </c>
      <c r="S258" t="s">
        <v>55</v>
      </c>
      <c r="T258" t="s">
        <v>55</v>
      </c>
      <c r="U258" t="s">
        <v>55</v>
      </c>
      <c r="V258" t="s">
        <v>55</v>
      </c>
      <c r="W258" t="s">
        <v>55</v>
      </c>
      <c r="X258" s="23" t="s">
        <v>55</v>
      </c>
      <c r="Y258" s="23" t="s">
        <v>55</v>
      </c>
      <c r="Z258" s="23" t="s">
        <v>55</v>
      </c>
      <c r="AA258" s="23" t="s">
        <v>55</v>
      </c>
      <c r="AB258" t="s">
        <v>55</v>
      </c>
      <c r="AC258" t="s">
        <v>55</v>
      </c>
      <c r="AD258" t="s">
        <v>55</v>
      </c>
      <c r="AE258" t="s">
        <v>55</v>
      </c>
      <c r="AF258" s="23" t="s">
        <v>55</v>
      </c>
      <c r="AG258" s="23" t="s">
        <v>55</v>
      </c>
      <c r="AH258" s="23" t="s">
        <v>55</v>
      </c>
      <c r="AI258" s="23" t="s">
        <v>55</v>
      </c>
      <c r="AJ258">
        <v>2</v>
      </c>
      <c r="AK258">
        <v>1</v>
      </c>
      <c r="AL258">
        <v>2</v>
      </c>
      <c r="AM258">
        <v>0</v>
      </c>
      <c r="AN258" s="23">
        <v>0</v>
      </c>
      <c r="AO258" s="23">
        <v>0</v>
      </c>
      <c r="AP258" s="23">
        <v>0</v>
      </c>
      <c r="AQ258" s="23" t="s">
        <v>55</v>
      </c>
      <c r="AR258" s="37">
        <v>0</v>
      </c>
      <c r="AS258" s="37">
        <v>0</v>
      </c>
      <c r="AT258" s="37">
        <v>2</v>
      </c>
      <c r="AU258" s="33" t="str">
        <f t="shared" si="7"/>
        <v>库存为2</v>
      </c>
      <c r="AV258" s="38" t="str">
        <f>IFERROR(时间!$B$4+AU258,"上周无销量")</f>
        <v>上周无销量</v>
      </c>
    </row>
    <row r="259" spans="1:48">
      <c r="A259" s="21" t="s">
        <v>734</v>
      </c>
      <c r="B259" t="s">
        <v>735</v>
      </c>
      <c r="C259" t="s">
        <v>719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2</v>
      </c>
      <c r="J259" s="35">
        <v>0</v>
      </c>
      <c r="K259" s="35">
        <v>0</v>
      </c>
      <c r="L259" s="35">
        <v>0</v>
      </c>
      <c r="M259">
        <v>2</v>
      </c>
      <c r="N259">
        <v>0</v>
      </c>
      <c r="O259">
        <v>2</v>
      </c>
      <c r="P259" t="s">
        <v>55</v>
      </c>
      <c r="Q259" t="s">
        <v>55</v>
      </c>
      <c r="R259" t="s">
        <v>55</v>
      </c>
      <c r="S259" t="s">
        <v>55</v>
      </c>
      <c r="T259" t="s">
        <v>55</v>
      </c>
      <c r="U259" t="s">
        <v>55</v>
      </c>
      <c r="V259" t="s">
        <v>55</v>
      </c>
      <c r="W259" t="s">
        <v>55</v>
      </c>
      <c r="X259" s="23" t="s">
        <v>55</v>
      </c>
      <c r="Y259" s="23" t="s">
        <v>55</v>
      </c>
      <c r="Z259" s="23" t="s">
        <v>55</v>
      </c>
      <c r="AA259" s="23" t="s">
        <v>55</v>
      </c>
      <c r="AB259" t="s">
        <v>55</v>
      </c>
      <c r="AC259" t="s">
        <v>55</v>
      </c>
      <c r="AD259" t="s">
        <v>55</v>
      </c>
      <c r="AE259" t="s">
        <v>55</v>
      </c>
      <c r="AF259" s="23" t="s">
        <v>55</v>
      </c>
      <c r="AG259" s="23" t="s">
        <v>55</v>
      </c>
      <c r="AH259" s="23" t="s">
        <v>55</v>
      </c>
      <c r="AI259" s="23" t="s">
        <v>55</v>
      </c>
      <c r="AJ259">
        <v>1</v>
      </c>
      <c r="AK259">
        <v>1</v>
      </c>
      <c r="AL259">
        <v>1</v>
      </c>
      <c r="AM259">
        <v>0</v>
      </c>
      <c r="AN259" s="23">
        <v>0</v>
      </c>
      <c r="AO259" s="23">
        <v>0</v>
      </c>
      <c r="AP259" s="23">
        <v>0</v>
      </c>
      <c r="AQ259" s="23" t="s">
        <v>55</v>
      </c>
      <c r="AR259" s="37">
        <v>0</v>
      </c>
      <c r="AS259" s="37">
        <v>0</v>
      </c>
      <c r="AT259" s="37">
        <v>2</v>
      </c>
      <c r="AU259" s="33" t="str">
        <f t="shared" si="7"/>
        <v>库存为2</v>
      </c>
      <c r="AV259" s="38" t="str">
        <f>IFERROR(时间!$B$4+AU259,"上周无销量")</f>
        <v>上周无销量</v>
      </c>
    </row>
    <row r="260" spans="1:48">
      <c r="A260" s="21" t="s">
        <v>736</v>
      </c>
      <c r="B260" t="s">
        <v>737</v>
      </c>
      <c r="C260" t="s">
        <v>719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2</v>
      </c>
      <c r="J260" s="35">
        <v>0</v>
      </c>
      <c r="K260" s="35">
        <v>0</v>
      </c>
      <c r="L260" s="35">
        <v>0</v>
      </c>
      <c r="M260">
        <v>2</v>
      </c>
      <c r="N260">
        <v>0</v>
      </c>
      <c r="O260">
        <v>2</v>
      </c>
      <c r="P260" t="s">
        <v>55</v>
      </c>
      <c r="Q260" t="s">
        <v>55</v>
      </c>
      <c r="R260" t="s">
        <v>55</v>
      </c>
      <c r="S260" t="s">
        <v>55</v>
      </c>
      <c r="T260" t="s">
        <v>55</v>
      </c>
      <c r="U260" t="s">
        <v>55</v>
      </c>
      <c r="V260" t="s">
        <v>55</v>
      </c>
      <c r="W260" t="s">
        <v>55</v>
      </c>
      <c r="X260" s="23" t="s">
        <v>55</v>
      </c>
      <c r="Y260" s="23" t="s">
        <v>55</v>
      </c>
      <c r="Z260" s="23" t="s">
        <v>55</v>
      </c>
      <c r="AA260" s="23" t="s">
        <v>55</v>
      </c>
      <c r="AB260" t="s">
        <v>55</v>
      </c>
      <c r="AC260" t="s">
        <v>55</v>
      </c>
      <c r="AD260" t="s">
        <v>55</v>
      </c>
      <c r="AE260" t="s">
        <v>55</v>
      </c>
      <c r="AF260" s="23" t="s">
        <v>55</v>
      </c>
      <c r="AG260" s="23" t="s">
        <v>55</v>
      </c>
      <c r="AH260" s="23" t="s">
        <v>55</v>
      </c>
      <c r="AI260" s="23" t="s">
        <v>55</v>
      </c>
      <c r="AJ260">
        <v>1</v>
      </c>
      <c r="AK260">
        <v>0</v>
      </c>
      <c r="AL260">
        <v>2</v>
      </c>
      <c r="AM260">
        <v>0</v>
      </c>
      <c r="AN260" s="23">
        <v>0</v>
      </c>
      <c r="AO260" s="23" t="s">
        <v>55</v>
      </c>
      <c r="AP260" s="23">
        <v>0</v>
      </c>
      <c r="AQ260" s="23" t="s">
        <v>55</v>
      </c>
      <c r="AR260" s="37">
        <v>0</v>
      </c>
      <c r="AS260" s="37">
        <v>0</v>
      </c>
      <c r="AT260" s="37">
        <v>2</v>
      </c>
      <c r="AU260" s="33" t="str">
        <f t="shared" si="7"/>
        <v>库存为2</v>
      </c>
      <c r="AV260" s="38" t="str">
        <f>IFERROR(时间!$B$4+AU260,"上周无销量")</f>
        <v>上周无销量</v>
      </c>
    </row>
    <row r="261" spans="1:48">
      <c r="A261" s="21" t="s">
        <v>738</v>
      </c>
      <c r="B261" t="s">
        <v>739</v>
      </c>
      <c r="C261" t="s">
        <v>719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2</v>
      </c>
      <c r="J261" s="35">
        <v>0</v>
      </c>
      <c r="K261" s="35">
        <v>0</v>
      </c>
      <c r="L261" s="35">
        <v>0</v>
      </c>
      <c r="M261">
        <v>2</v>
      </c>
      <c r="N261">
        <v>0</v>
      </c>
      <c r="O261">
        <v>2</v>
      </c>
      <c r="P261" t="s">
        <v>55</v>
      </c>
      <c r="Q261" t="s">
        <v>55</v>
      </c>
      <c r="R261" t="s">
        <v>55</v>
      </c>
      <c r="S261" t="s">
        <v>55</v>
      </c>
      <c r="T261" t="s">
        <v>55</v>
      </c>
      <c r="U261" t="s">
        <v>55</v>
      </c>
      <c r="V261" t="s">
        <v>55</v>
      </c>
      <c r="W261" t="s">
        <v>55</v>
      </c>
      <c r="X261" s="23" t="s">
        <v>55</v>
      </c>
      <c r="Y261" s="23" t="s">
        <v>55</v>
      </c>
      <c r="Z261" s="23" t="s">
        <v>55</v>
      </c>
      <c r="AA261" s="23" t="s">
        <v>55</v>
      </c>
      <c r="AB261" t="s">
        <v>55</v>
      </c>
      <c r="AC261" t="s">
        <v>55</v>
      </c>
      <c r="AD261" t="s">
        <v>55</v>
      </c>
      <c r="AE261" t="s">
        <v>55</v>
      </c>
      <c r="AF261" s="23" t="s">
        <v>55</v>
      </c>
      <c r="AG261" s="23" t="s">
        <v>55</v>
      </c>
      <c r="AH261" s="23" t="s">
        <v>55</v>
      </c>
      <c r="AI261" s="23" t="s">
        <v>55</v>
      </c>
      <c r="AJ261">
        <v>2</v>
      </c>
      <c r="AK261">
        <v>0</v>
      </c>
      <c r="AL261">
        <v>1</v>
      </c>
      <c r="AM261">
        <v>1</v>
      </c>
      <c r="AN261" s="23">
        <v>0</v>
      </c>
      <c r="AO261" s="23" t="s">
        <v>55</v>
      </c>
      <c r="AP261" s="23">
        <v>0</v>
      </c>
      <c r="AQ261" s="23">
        <v>0</v>
      </c>
      <c r="AR261" s="37">
        <v>0</v>
      </c>
      <c r="AS261" s="37">
        <v>0</v>
      </c>
      <c r="AT261" s="37">
        <v>2</v>
      </c>
      <c r="AU261" s="33" t="str">
        <f t="shared" ref="AU261:AU324" si="8">IF(AR261="","库存为"&amp;M261,IF(AS261=0,"库存为"&amp;M261,INT(M261/AR261)))</f>
        <v>库存为2</v>
      </c>
      <c r="AV261" s="38" t="str">
        <f>IFERROR(时间!$B$4+AU261,"上周无销量")</f>
        <v>上周无销量</v>
      </c>
    </row>
    <row r="262" spans="1:48">
      <c r="A262" s="21" t="s">
        <v>740</v>
      </c>
      <c r="B262" t="s">
        <v>741</v>
      </c>
      <c r="C262" t="s">
        <v>719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2</v>
      </c>
      <c r="J262" s="35">
        <v>0</v>
      </c>
      <c r="K262" s="35">
        <v>0</v>
      </c>
      <c r="L262" s="35">
        <v>0</v>
      </c>
      <c r="M262">
        <v>2</v>
      </c>
      <c r="N262">
        <v>0</v>
      </c>
      <c r="O262">
        <v>2</v>
      </c>
      <c r="P262" t="s">
        <v>55</v>
      </c>
      <c r="Q262" t="s">
        <v>55</v>
      </c>
      <c r="R262" t="s">
        <v>55</v>
      </c>
      <c r="S262" t="s">
        <v>55</v>
      </c>
      <c r="T262" t="s">
        <v>55</v>
      </c>
      <c r="U262" t="s">
        <v>55</v>
      </c>
      <c r="V262" t="s">
        <v>55</v>
      </c>
      <c r="W262" t="s">
        <v>55</v>
      </c>
      <c r="X262" s="23" t="s">
        <v>55</v>
      </c>
      <c r="Y262" s="23" t="s">
        <v>55</v>
      </c>
      <c r="Z262" s="23" t="s">
        <v>55</v>
      </c>
      <c r="AA262" s="23" t="s">
        <v>55</v>
      </c>
      <c r="AB262" t="s">
        <v>55</v>
      </c>
      <c r="AC262" t="s">
        <v>55</v>
      </c>
      <c r="AD262" t="s">
        <v>55</v>
      </c>
      <c r="AE262" t="s">
        <v>55</v>
      </c>
      <c r="AF262" s="23" t="s">
        <v>55</v>
      </c>
      <c r="AG262" s="23" t="s">
        <v>55</v>
      </c>
      <c r="AH262" s="23" t="s">
        <v>55</v>
      </c>
      <c r="AI262" s="23" t="s">
        <v>55</v>
      </c>
      <c r="AJ262">
        <v>2</v>
      </c>
      <c r="AK262">
        <v>1</v>
      </c>
      <c r="AL262">
        <v>1</v>
      </c>
      <c r="AM262">
        <v>5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2</v>
      </c>
      <c r="AU262" s="33" t="str">
        <f t="shared" si="8"/>
        <v>库存为2</v>
      </c>
      <c r="AV262" s="38" t="str">
        <f>IFERROR(时间!$B$4+AU262,"上周无销量")</f>
        <v>上周无销量</v>
      </c>
    </row>
    <row r="263" spans="1:48">
      <c r="A263" s="21" t="s">
        <v>742</v>
      </c>
      <c r="B263" t="s">
        <v>743</v>
      </c>
      <c r="C263" t="s">
        <v>719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2</v>
      </c>
      <c r="J263" s="35">
        <v>0</v>
      </c>
      <c r="K263" s="35">
        <v>0</v>
      </c>
      <c r="L263" s="35">
        <v>0</v>
      </c>
      <c r="M263">
        <v>2</v>
      </c>
      <c r="N263">
        <v>0</v>
      </c>
      <c r="O263">
        <v>2</v>
      </c>
      <c r="P263" t="s">
        <v>55</v>
      </c>
      <c r="Q263" t="s">
        <v>55</v>
      </c>
      <c r="R263" t="s">
        <v>55</v>
      </c>
      <c r="S263" t="s">
        <v>55</v>
      </c>
      <c r="T263" t="s">
        <v>55</v>
      </c>
      <c r="U263" t="s">
        <v>55</v>
      </c>
      <c r="V263" t="s">
        <v>55</v>
      </c>
      <c r="W263" t="s">
        <v>55</v>
      </c>
      <c r="X263" s="23" t="s">
        <v>55</v>
      </c>
      <c r="Y263" s="23" t="s">
        <v>55</v>
      </c>
      <c r="Z263" s="23" t="s">
        <v>55</v>
      </c>
      <c r="AA263" s="23" t="s">
        <v>55</v>
      </c>
      <c r="AB263" t="s">
        <v>55</v>
      </c>
      <c r="AC263" t="s">
        <v>55</v>
      </c>
      <c r="AD263" t="s">
        <v>55</v>
      </c>
      <c r="AE263" t="s">
        <v>55</v>
      </c>
      <c r="AF263" s="23" t="s">
        <v>55</v>
      </c>
      <c r="AG263" s="23" t="s">
        <v>55</v>
      </c>
      <c r="AH263" s="23" t="s">
        <v>55</v>
      </c>
      <c r="AI263" s="23" t="s">
        <v>55</v>
      </c>
      <c r="AJ263">
        <v>1</v>
      </c>
      <c r="AK263">
        <v>1</v>
      </c>
      <c r="AL263">
        <v>0</v>
      </c>
      <c r="AM263">
        <v>0</v>
      </c>
      <c r="AN263" s="23">
        <v>0</v>
      </c>
      <c r="AO263" s="23">
        <v>0</v>
      </c>
      <c r="AP263" s="23" t="s">
        <v>55</v>
      </c>
      <c r="AQ263" s="23" t="s">
        <v>55</v>
      </c>
      <c r="AR263" s="37">
        <v>0</v>
      </c>
      <c r="AS263" s="37">
        <v>0</v>
      </c>
      <c r="AT263" s="37">
        <v>2</v>
      </c>
      <c r="AU263" s="33" t="str">
        <f t="shared" si="8"/>
        <v>库存为2</v>
      </c>
      <c r="AV263" s="38" t="str">
        <f>IFERROR(时间!$B$4+AU263,"上周无销量")</f>
        <v>上周无销量</v>
      </c>
    </row>
    <row r="264" spans="1:48">
      <c r="A264" s="21" t="s">
        <v>744</v>
      </c>
      <c r="B264" t="s">
        <v>745</v>
      </c>
      <c r="C264" t="s">
        <v>719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13</v>
      </c>
      <c r="J264" s="35">
        <v>0</v>
      </c>
      <c r="K264" s="35">
        <v>0</v>
      </c>
      <c r="L264" s="35">
        <v>0</v>
      </c>
      <c r="M264">
        <v>13</v>
      </c>
      <c r="N264">
        <v>0</v>
      </c>
      <c r="O264">
        <v>13</v>
      </c>
      <c r="P264">
        <v>311</v>
      </c>
      <c r="Q264">
        <v>931</v>
      </c>
      <c r="R264">
        <v>1163</v>
      </c>
      <c r="S264">
        <v>1249</v>
      </c>
      <c r="T264">
        <v>1</v>
      </c>
      <c r="U264">
        <v>3</v>
      </c>
      <c r="V264">
        <v>5</v>
      </c>
      <c r="W264">
        <v>6</v>
      </c>
      <c r="X264" s="23">
        <v>0.00321543408360129</v>
      </c>
      <c r="Y264" s="23">
        <v>0.00322234156820623</v>
      </c>
      <c r="Z264" s="23">
        <v>0.00429922613929493</v>
      </c>
      <c r="AA264" s="23">
        <v>0.00480384307445957</v>
      </c>
      <c r="AB264">
        <v>0.04</v>
      </c>
      <c r="AC264">
        <v>1.22</v>
      </c>
      <c r="AD264">
        <v>1.15</v>
      </c>
      <c r="AE264">
        <v>1.68</v>
      </c>
      <c r="AF264" s="23" t="s">
        <v>221</v>
      </c>
      <c r="AG264" s="23" t="s">
        <v>563</v>
      </c>
      <c r="AH264" s="23" t="s">
        <v>746</v>
      </c>
      <c r="AI264" s="23" t="s">
        <v>747</v>
      </c>
      <c r="AJ264">
        <v>0</v>
      </c>
      <c r="AK264">
        <v>2</v>
      </c>
      <c r="AL264">
        <v>4</v>
      </c>
      <c r="AM264">
        <v>3</v>
      </c>
      <c r="AN264" s="23" t="s">
        <v>55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13</v>
      </c>
      <c r="AU264" s="33" t="str">
        <f t="shared" si="8"/>
        <v>库存为13</v>
      </c>
      <c r="AV264" s="38" t="str">
        <f>IFERROR(时间!$B$4+AU264,"上周无销量")</f>
        <v>上周无销量</v>
      </c>
    </row>
    <row r="265" spans="1:48">
      <c r="A265" s="21" t="s">
        <v>748</v>
      </c>
      <c r="B265" t="s">
        <v>749</v>
      </c>
      <c r="C265" t="s">
        <v>719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4</v>
      </c>
      <c r="J265" s="35">
        <v>0</v>
      </c>
      <c r="K265" s="35">
        <v>0</v>
      </c>
      <c r="L265" s="35">
        <v>0</v>
      </c>
      <c r="M265">
        <v>4</v>
      </c>
      <c r="N265">
        <v>0</v>
      </c>
      <c r="O265">
        <v>4</v>
      </c>
      <c r="P265">
        <v>5</v>
      </c>
      <c r="Q265">
        <v>0</v>
      </c>
      <c r="R265">
        <v>0</v>
      </c>
      <c r="S265">
        <v>3</v>
      </c>
      <c r="T265">
        <v>0</v>
      </c>
      <c r="U265">
        <v>0</v>
      </c>
      <c r="V265">
        <v>0</v>
      </c>
      <c r="W265">
        <v>0</v>
      </c>
      <c r="X265" s="23">
        <v>0</v>
      </c>
      <c r="Y265" s="23" t="s">
        <v>55</v>
      </c>
      <c r="Z265" s="23" t="s">
        <v>55</v>
      </c>
      <c r="AA265" s="23">
        <v>0</v>
      </c>
      <c r="AB265">
        <v>0</v>
      </c>
      <c r="AC265">
        <v>0</v>
      </c>
      <c r="AD265">
        <v>0</v>
      </c>
      <c r="AE265">
        <v>0</v>
      </c>
      <c r="AF265" s="23" t="s">
        <v>55</v>
      </c>
      <c r="AG265" s="23" t="s">
        <v>55</v>
      </c>
      <c r="AH265" s="23" t="s">
        <v>55</v>
      </c>
      <c r="AI265" s="23" t="s">
        <v>55</v>
      </c>
      <c r="AJ265">
        <v>2</v>
      </c>
      <c r="AK265">
        <v>2</v>
      </c>
      <c r="AL265">
        <v>0</v>
      </c>
      <c r="AM265">
        <v>2</v>
      </c>
      <c r="AN265" s="23">
        <v>0</v>
      </c>
      <c r="AO265" s="23">
        <v>0</v>
      </c>
      <c r="AP265" s="23" t="s">
        <v>55</v>
      </c>
      <c r="AQ265" s="23">
        <v>0</v>
      </c>
      <c r="AR265" s="37">
        <v>0</v>
      </c>
      <c r="AS265" s="37">
        <v>0</v>
      </c>
      <c r="AT265" s="37">
        <v>4</v>
      </c>
      <c r="AU265" s="33" t="str">
        <f t="shared" si="8"/>
        <v>库存为4</v>
      </c>
      <c r="AV265" s="38" t="str">
        <f>IFERROR(时间!$B$4+AU265,"上周无销量")</f>
        <v>上周无销量</v>
      </c>
    </row>
    <row r="266" spans="1:48">
      <c r="A266" s="21" t="s">
        <v>750</v>
      </c>
      <c r="B266" t="s">
        <v>751</v>
      </c>
      <c r="C266" t="s">
        <v>752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21</v>
      </c>
      <c r="J266" s="35">
        <v>0</v>
      </c>
      <c r="K266" s="35">
        <v>0</v>
      </c>
      <c r="L266" s="35">
        <v>0</v>
      </c>
      <c r="M266">
        <v>21</v>
      </c>
      <c r="N266">
        <v>0</v>
      </c>
      <c r="O266">
        <v>21</v>
      </c>
      <c r="P266">
        <v>2</v>
      </c>
      <c r="Q266">
        <v>21</v>
      </c>
      <c r="R266">
        <v>4</v>
      </c>
      <c r="S266">
        <v>37</v>
      </c>
      <c r="T266">
        <v>0</v>
      </c>
      <c r="U266">
        <v>0</v>
      </c>
      <c r="V266">
        <v>0</v>
      </c>
      <c r="W266">
        <v>0</v>
      </c>
      <c r="X266" s="23">
        <v>0</v>
      </c>
      <c r="Y266" s="23">
        <v>0</v>
      </c>
      <c r="Z266" s="23">
        <v>0</v>
      </c>
      <c r="AA266" s="23">
        <v>0</v>
      </c>
      <c r="AB266">
        <v>0</v>
      </c>
      <c r="AC266">
        <v>0</v>
      </c>
      <c r="AD266">
        <v>0</v>
      </c>
      <c r="AE266">
        <v>0</v>
      </c>
      <c r="AF266" s="23" t="s">
        <v>55</v>
      </c>
      <c r="AG266" s="23" t="s">
        <v>55</v>
      </c>
      <c r="AH266" s="23" t="s">
        <v>55</v>
      </c>
      <c r="AI266" s="23" t="s">
        <v>55</v>
      </c>
      <c r="AJ266">
        <v>0</v>
      </c>
      <c r="AK266">
        <v>0</v>
      </c>
      <c r="AL266">
        <v>0</v>
      </c>
      <c r="AM266">
        <v>0</v>
      </c>
      <c r="AN266" s="23" t="s">
        <v>55</v>
      </c>
      <c r="AO266" s="23" t="s">
        <v>55</v>
      </c>
      <c r="AP266" s="23" t="s">
        <v>55</v>
      </c>
      <c r="AQ266" s="23" t="s">
        <v>55</v>
      </c>
      <c r="AR266" s="37">
        <v>0</v>
      </c>
      <c r="AS266" s="37">
        <v>0</v>
      </c>
      <c r="AT266" s="37">
        <v>21</v>
      </c>
      <c r="AU266" s="33" t="str">
        <f t="shared" si="8"/>
        <v>库存为21</v>
      </c>
      <c r="AV266" s="38" t="str">
        <f>IFERROR(时间!$B$4+AU266,"上周无销量")</f>
        <v>上周无销量</v>
      </c>
    </row>
    <row r="267" spans="1:48">
      <c r="A267" s="21" t="s">
        <v>753</v>
      </c>
      <c r="B267" t="s">
        <v>754</v>
      </c>
      <c r="C267" t="s">
        <v>752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10</v>
      </c>
      <c r="J267" s="35">
        <v>0</v>
      </c>
      <c r="K267" s="35">
        <v>0</v>
      </c>
      <c r="L267" s="35">
        <v>0</v>
      </c>
      <c r="M267">
        <v>10</v>
      </c>
      <c r="N267">
        <v>0</v>
      </c>
      <c r="O267">
        <v>10</v>
      </c>
      <c r="P267">
        <v>324</v>
      </c>
      <c r="Q267">
        <v>395</v>
      </c>
      <c r="R267">
        <v>555</v>
      </c>
      <c r="S267">
        <v>573</v>
      </c>
      <c r="T267">
        <v>2</v>
      </c>
      <c r="U267">
        <v>3</v>
      </c>
      <c r="V267">
        <v>3</v>
      </c>
      <c r="W267">
        <v>3</v>
      </c>
      <c r="X267" s="23">
        <v>0.00617283950617284</v>
      </c>
      <c r="Y267" s="23">
        <v>0.00759493670886076</v>
      </c>
      <c r="Z267" s="23">
        <v>0.00540540540540541</v>
      </c>
      <c r="AA267" s="23">
        <v>0.00523560209424084</v>
      </c>
      <c r="AB267">
        <v>0.27</v>
      </c>
      <c r="AC267">
        <v>1.43</v>
      </c>
      <c r="AD267">
        <v>0.41</v>
      </c>
      <c r="AE267">
        <v>1.1</v>
      </c>
      <c r="AF267" s="23" t="s">
        <v>347</v>
      </c>
      <c r="AG267" s="23" t="s">
        <v>755</v>
      </c>
      <c r="AH267" s="23" t="s">
        <v>340</v>
      </c>
      <c r="AI267" s="23" t="s">
        <v>239</v>
      </c>
      <c r="AJ267">
        <v>3</v>
      </c>
      <c r="AK267">
        <v>2</v>
      </c>
      <c r="AL267">
        <v>1</v>
      </c>
      <c r="AM267">
        <v>0</v>
      </c>
      <c r="AN267" s="23">
        <v>0</v>
      </c>
      <c r="AO267" s="23">
        <v>0</v>
      </c>
      <c r="AP267" s="23">
        <v>0</v>
      </c>
      <c r="AQ267" s="23" t="s">
        <v>55</v>
      </c>
      <c r="AR267" s="37">
        <v>0</v>
      </c>
      <c r="AS267" s="37">
        <v>0</v>
      </c>
      <c r="AT267" s="37">
        <v>10</v>
      </c>
      <c r="AU267" s="33" t="str">
        <f t="shared" si="8"/>
        <v>库存为10</v>
      </c>
      <c r="AV267" s="38" t="str">
        <f>IFERROR(时间!$B$4+AU267,"上周无销量")</f>
        <v>上周无销量</v>
      </c>
    </row>
    <row r="268" spans="1:48">
      <c r="A268" s="21" t="s">
        <v>756</v>
      </c>
      <c r="B268" t="s">
        <v>757</v>
      </c>
      <c r="C268" t="s">
        <v>752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7</v>
      </c>
      <c r="J268" s="35">
        <v>0</v>
      </c>
      <c r="K268" s="35">
        <v>0</v>
      </c>
      <c r="L268" s="35">
        <v>0</v>
      </c>
      <c r="M268">
        <v>7</v>
      </c>
      <c r="N268">
        <v>0</v>
      </c>
      <c r="O268">
        <v>7</v>
      </c>
      <c r="P268">
        <v>22</v>
      </c>
      <c r="Q268">
        <v>50</v>
      </c>
      <c r="R268">
        <v>35</v>
      </c>
      <c r="S268">
        <v>41</v>
      </c>
      <c r="T268">
        <v>0</v>
      </c>
      <c r="U268">
        <v>0</v>
      </c>
      <c r="V268">
        <v>1</v>
      </c>
      <c r="W268">
        <v>0</v>
      </c>
      <c r="X268" s="23">
        <v>0</v>
      </c>
      <c r="Y268" s="23">
        <v>0</v>
      </c>
      <c r="Z268" s="23">
        <v>0.0285714285714286</v>
      </c>
      <c r="AA268" s="23">
        <v>0</v>
      </c>
      <c r="AB268">
        <v>0</v>
      </c>
      <c r="AC268">
        <v>0</v>
      </c>
      <c r="AD268">
        <v>0.47</v>
      </c>
      <c r="AE268">
        <v>0</v>
      </c>
      <c r="AF268" s="23" t="s">
        <v>55</v>
      </c>
      <c r="AG268" s="23" t="s">
        <v>55</v>
      </c>
      <c r="AH268" s="23" t="s">
        <v>252</v>
      </c>
      <c r="AI268" s="23" t="s">
        <v>55</v>
      </c>
      <c r="AJ268">
        <v>0</v>
      </c>
      <c r="AK268">
        <v>2</v>
      </c>
      <c r="AL268">
        <v>1</v>
      </c>
      <c r="AM268">
        <v>1</v>
      </c>
      <c r="AN268" s="23" t="s">
        <v>55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7</v>
      </c>
      <c r="AU268" s="33" t="str">
        <f t="shared" si="8"/>
        <v>库存为7</v>
      </c>
      <c r="AV268" s="38" t="str">
        <f>IFERROR(时间!$B$4+AU268,"上周无销量")</f>
        <v>上周无销量</v>
      </c>
    </row>
    <row r="269" spans="1:48">
      <c r="A269" s="21" t="s">
        <v>758</v>
      </c>
      <c r="B269" t="s">
        <v>759</v>
      </c>
      <c r="C269" t="s">
        <v>752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3</v>
      </c>
      <c r="J269" s="35">
        <v>0</v>
      </c>
      <c r="K269" s="35">
        <v>0</v>
      </c>
      <c r="L269" s="35">
        <v>0</v>
      </c>
      <c r="M269">
        <v>3</v>
      </c>
      <c r="N269">
        <v>0</v>
      </c>
      <c r="O269">
        <v>3</v>
      </c>
      <c r="P269">
        <v>10</v>
      </c>
      <c r="Q269">
        <v>4</v>
      </c>
      <c r="R269">
        <v>2</v>
      </c>
      <c r="S269">
        <v>1</v>
      </c>
      <c r="T269">
        <v>0</v>
      </c>
      <c r="U269">
        <v>0</v>
      </c>
      <c r="V269">
        <v>0</v>
      </c>
      <c r="W269">
        <v>0</v>
      </c>
      <c r="X269" s="23">
        <v>0</v>
      </c>
      <c r="Y269" s="23">
        <v>0</v>
      </c>
      <c r="Z269" s="23">
        <v>0</v>
      </c>
      <c r="AA269" s="23">
        <v>0</v>
      </c>
      <c r="AB269">
        <v>0</v>
      </c>
      <c r="AC269">
        <v>0</v>
      </c>
      <c r="AD269">
        <v>0</v>
      </c>
      <c r="AE269">
        <v>0</v>
      </c>
      <c r="AF269" s="23" t="s">
        <v>55</v>
      </c>
      <c r="AG269" s="23" t="s">
        <v>55</v>
      </c>
      <c r="AH269" s="23" t="s">
        <v>55</v>
      </c>
      <c r="AI269" s="23" t="s">
        <v>55</v>
      </c>
      <c r="AJ269">
        <v>3</v>
      </c>
      <c r="AK269">
        <v>2</v>
      </c>
      <c r="AL269">
        <v>1</v>
      </c>
      <c r="AM269">
        <v>1</v>
      </c>
      <c r="AN269" s="23">
        <v>0</v>
      </c>
      <c r="AO269" s="23">
        <v>0</v>
      </c>
      <c r="AP269" s="23">
        <v>0</v>
      </c>
      <c r="AQ269" s="23">
        <v>0</v>
      </c>
      <c r="AR269" s="37">
        <v>0</v>
      </c>
      <c r="AS269" s="37">
        <v>0</v>
      </c>
      <c r="AT269" s="37">
        <v>3</v>
      </c>
      <c r="AU269" s="33" t="str">
        <f t="shared" si="8"/>
        <v>库存为3</v>
      </c>
      <c r="AV269" s="38" t="str">
        <f>IFERROR(时间!$B$4+AU269,"上周无销量")</f>
        <v>上周无销量</v>
      </c>
    </row>
    <row r="270" spans="1:48">
      <c r="A270" s="21" t="s">
        <v>760</v>
      </c>
      <c r="B270" t="s">
        <v>761</v>
      </c>
      <c r="C270" t="s">
        <v>752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4</v>
      </c>
      <c r="J270" s="35">
        <v>0</v>
      </c>
      <c r="K270" s="35">
        <v>0</v>
      </c>
      <c r="L270" s="35">
        <v>0</v>
      </c>
      <c r="M270">
        <v>4</v>
      </c>
      <c r="N270">
        <v>0</v>
      </c>
      <c r="O270">
        <v>3</v>
      </c>
      <c r="P270">
        <v>0</v>
      </c>
      <c r="Q270">
        <v>2</v>
      </c>
      <c r="R270">
        <v>1</v>
      </c>
      <c r="S270">
        <v>1</v>
      </c>
      <c r="T270">
        <v>0</v>
      </c>
      <c r="U270">
        <v>0</v>
      </c>
      <c r="V270">
        <v>0</v>
      </c>
      <c r="W270">
        <v>0</v>
      </c>
      <c r="X270" s="23" t="s">
        <v>55</v>
      </c>
      <c r="Y270" s="23">
        <v>0</v>
      </c>
      <c r="Z270" s="23">
        <v>0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55</v>
      </c>
      <c r="AG270" s="23" t="s">
        <v>55</v>
      </c>
      <c r="AH270" s="23" t="s">
        <v>55</v>
      </c>
      <c r="AI270" s="23" t="s">
        <v>55</v>
      </c>
      <c r="AJ270">
        <v>0</v>
      </c>
      <c r="AK270">
        <v>0</v>
      </c>
      <c r="AL270">
        <v>1</v>
      </c>
      <c r="AM270">
        <v>1</v>
      </c>
      <c r="AN270" s="23" t="s">
        <v>55</v>
      </c>
      <c r="AO270" s="23" t="s">
        <v>55</v>
      </c>
      <c r="AP270" s="23">
        <v>0</v>
      </c>
      <c r="AQ270" s="23">
        <v>0</v>
      </c>
      <c r="AR270" s="37">
        <v>0</v>
      </c>
      <c r="AS270" s="37">
        <v>0</v>
      </c>
      <c r="AT270" s="37">
        <v>4</v>
      </c>
      <c r="AU270" s="33" t="str">
        <f t="shared" si="8"/>
        <v>库存为4</v>
      </c>
      <c r="AV270" s="38" t="str">
        <f>IFERROR(时间!$B$4+AU270,"上周无销量")</f>
        <v>上周无销量</v>
      </c>
    </row>
    <row r="271" spans="1:48">
      <c r="A271" s="21" t="s">
        <v>762</v>
      </c>
      <c r="B271" t="s">
        <v>763</v>
      </c>
      <c r="C271" t="s">
        <v>752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10</v>
      </c>
      <c r="J271" s="35">
        <v>0</v>
      </c>
      <c r="K271" s="35">
        <v>0</v>
      </c>
      <c r="L271" s="35">
        <v>0</v>
      </c>
      <c r="M271">
        <v>10</v>
      </c>
      <c r="N271">
        <v>0</v>
      </c>
      <c r="O271">
        <v>10</v>
      </c>
      <c r="P271">
        <v>794</v>
      </c>
      <c r="Q271">
        <v>338</v>
      </c>
      <c r="R271">
        <v>223</v>
      </c>
      <c r="S271">
        <v>238</v>
      </c>
      <c r="T271">
        <v>4</v>
      </c>
      <c r="U271">
        <v>3</v>
      </c>
      <c r="V271">
        <v>5</v>
      </c>
      <c r="W271">
        <v>3</v>
      </c>
      <c r="X271" s="23">
        <v>0.00503778337531486</v>
      </c>
      <c r="Y271" s="23">
        <v>0.00887573964497041</v>
      </c>
      <c r="Z271" s="23">
        <v>0.0224215246636771</v>
      </c>
      <c r="AA271" s="23">
        <v>0.0126050420168067</v>
      </c>
      <c r="AB271">
        <v>1.01</v>
      </c>
      <c r="AC271">
        <v>0.63</v>
      </c>
      <c r="AD271">
        <v>1.97</v>
      </c>
      <c r="AE271">
        <v>0.75</v>
      </c>
      <c r="AF271" s="23" t="s">
        <v>764</v>
      </c>
      <c r="AG271" s="23" t="s">
        <v>307</v>
      </c>
      <c r="AH271" s="23" t="s">
        <v>765</v>
      </c>
      <c r="AI271" s="23" t="s">
        <v>422</v>
      </c>
      <c r="AJ271">
        <v>5</v>
      </c>
      <c r="AK271">
        <v>3</v>
      </c>
      <c r="AL271">
        <v>3</v>
      </c>
      <c r="AM271">
        <v>0</v>
      </c>
      <c r="AN271" s="23">
        <v>0</v>
      </c>
      <c r="AO271" s="23">
        <v>0</v>
      </c>
      <c r="AP271" s="23">
        <v>0</v>
      </c>
      <c r="AQ271" s="23" t="s">
        <v>55</v>
      </c>
      <c r="AR271" s="37">
        <v>0</v>
      </c>
      <c r="AS271" s="37">
        <v>0</v>
      </c>
      <c r="AT271" s="37">
        <v>10</v>
      </c>
      <c r="AU271" s="33" t="str">
        <f t="shared" si="8"/>
        <v>库存为10</v>
      </c>
      <c r="AV271" s="38" t="str">
        <f>IFERROR(时间!$B$4+AU271,"上周无销量")</f>
        <v>上周无销量</v>
      </c>
    </row>
    <row r="272" spans="1:48">
      <c r="A272" s="21" t="s">
        <v>766</v>
      </c>
      <c r="B272" t="s">
        <v>767</v>
      </c>
      <c r="C272" t="s">
        <v>752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3</v>
      </c>
      <c r="J272" s="35">
        <v>0</v>
      </c>
      <c r="K272" s="35">
        <v>0</v>
      </c>
      <c r="L272" s="35">
        <v>0</v>
      </c>
      <c r="M272">
        <v>3</v>
      </c>
      <c r="N272">
        <v>0</v>
      </c>
      <c r="O272">
        <v>3</v>
      </c>
      <c r="P272">
        <v>18</v>
      </c>
      <c r="Q272">
        <v>28</v>
      </c>
      <c r="R272">
        <v>20</v>
      </c>
      <c r="S272">
        <v>18</v>
      </c>
      <c r="T272">
        <v>0</v>
      </c>
      <c r="U272">
        <v>1</v>
      </c>
      <c r="V272">
        <v>0</v>
      </c>
      <c r="W272">
        <v>1</v>
      </c>
      <c r="X272" s="23">
        <v>0</v>
      </c>
      <c r="Y272" s="23">
        <v>0.0357142857142857</v>
      </c>
      <c r="Z272" s="23">
        <v>0</v>
      </c>
      <c r="AA272" s="23">
        <v>0.0555555555555556</v>
      </c>
      <c r="AB272">
        <v>0</v>
      </c>
      <c r="AC272">
        <v>0.51</v>
      </c>
      <c r="AD272">
        <v>0</v>
      </c>
      <c r="AE272">
        <v>0.33</v>
      </c>
      <c r="AF272" s="23" t="s">
        <v>55</v>
      </c>
      <c r="AG272" s="23" t="s">
        <v>257</v>
      </c>
      <c r="AH272" s="23" t="s">
        <v>55</v>
      </c>
      <c r="AI272" s="23" t="s">
        <v>181</v>
      </c>
      <c r="AJ272">
        <v>2</v>
      </c>
      <c r="AK272">
        <v>1</v>
      </c>
      <c r="AL272">
        <v>2</v>
      </c>
      <c r="AM272">
        <v>1</v>
      </c>
      <c r="AN272" s="23">
        <v>0</v>
      </c>
      <c r="AO272" s="23">
        <v>0</v>
      </c>
      <c r="AP272" s="23">
        <v>0</v>
      </c>
      <c r="AQ272" s="23">
        <v>0</v>
      </c>
      <c r="AR272" s="37">
        <v>0</v>
      </c>
      <c r="AS272" s="37">
        <v>0</v>
      </c>
      <c r="AT272" s="37">
        <v>3</v>
      </c>
      <c r="AU272" s="33" t="str">
        <f t="shared" si="8"/>
        <v>库存为3</v>
      </c>
      <c r="AV272" s="38" t="str">
        <f>IFERROR(时间!$B$4+AU272,"上周无销量")</f>
        <v>上周无销量</v>
      </c>
    </row>
    <row r="273" spans="1:48">
      <c r="A273" s="21" t="s">
        <v>768</v>
      </c>
      <c r="B273" t="s">
        <v>769</v>
      </c>
      <c r="C273" t="s">
        <v>752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16</v>
      </c>
      <c r="J273" s="35">
        <v>0</v>
      </c>
      <c r="K273" s="35">
        <v>0</v>
      </c>
      <c r="L273" s="35">
        <v>0</v>
      </c>
      <c r="M273">
        <v>16</v>
      </c>
      <c r="N273">
        <v>0</v>
      </c>
      <c r="O273">
        <v>16</v>
      </c>
      <c r="P273">
        <v>3</v>
      </c>
      <c r="Q273">
        <v>3</v>
      </c>
      <c r="R273">
        <v>0</v>
      </c>
      <c r="S273">
        <v>17</v>
      </c>
      <c r="T273">
        <v>0</v>
      </c>
      <c r="U273">
        <v>1</v>
      </c>
      <c r="V273">
        <v>0</v>
      </c>
      <c r="W273">
        <v>0</v>
      </c>
      <c r="X273" s="23">
        <v>0</v>
      </c>
      <c r="Y273" s="23">
        <v>0.333333333333333</v>
      </c>
      <c r="Z273" s="23" t="s">
        <v>55</v>
      </c>
      <c r="AA273" s="23">
        <v>0</v>
      </c>
      <c r="AB273">
        <v>0</v>
      </c>
      <c r="AC273">
        <v>0.21</v>
      </c>
      <c r="AD273">
        <v>0</v>
      </c>
      <c r="AE273">
        <v>0</v>
      </c>
      <c r="AF273" s="23" t="s">
        <v>55</v>
      </c>
      <c r="AG273" s="23" t="s">
        <v>527</v>
      </c>
      <c r="AH273" s="23" t="s">
        <v>55</v>
      </c>
      <c r="AI273" s="23" t="s">
        <v>55</v>
      </c>
      <c r="AJ273">
        <v>1</v>
      </c>
      <c r="AK273">
        <v>1</v>
      </c>
      <c r="AL273">
        <v>0</v>
      </c>
      <c r="AM273">
        <v>0</v>
      </c>
      <c r="AN273" s="23">
        <v>0</v>
      </c>
      <c r="AO273" s="23">
        <v>0</v>
      </c>
      <c r="AP273" s="23" t="s">
        <v>55</v>
      </c>
      <c r="AQ273" s="23" t="s">
        <v>55</v>
      </c>
      <c r="AR273" s="37">
        <v>0</v>
      </c>
      <c r="AS273" s="37">
        <v>0</v>
      </c>
      <c r="AT273" s="37">
        <v>16</v>
      </c>
      <c r="AU273" s="33" t="str">
        <f t="shared" si="8"/>
        <v>库存为16</v>
      </c>
      <c r="AV273" s="38" t="str">
        <f>IFERROR(时间!$B$4+AU273,"上周无销量")</f>
        <v>上周无销量</v>
      </c>
    </row>
    <row r="274" spans="1:48">
      <c r="A274" s="21" t="s">
        <v>770</v>
      </c>
      <c r="B274" t="s">
        <v>771</v>
      </c>
      <c r="C274" t="s">
        <v>752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11</v>
      </c>
      <c r="J274" s="35">
        <v>0</v>
      </c>
      <c r="K274" s="35">
        <v>0</v>
      </c>
      <c r="L274" s="35">
        <v>0</v>
      </c>
      <c r="M274">
        <v>11</v>
      </c>
      <c r="N274">
        <v>0</v>
      </c>
      <c r="O274">
        <v>11</v>
      </c>
      <c r="P274">
        <v>284</v>
      </c>
      <c r="Q274">
        <v>262</v>
      </c>
      <c r="R274">
        <v>342</v>
      </c>
      <c r="S274">
        <v>312</v>
      </c>
      <c r="T274">
        <v>1</v>
      </c>
      <c r="U274">
        <v>1</v>
      </c>
      <c r="V274">
        <v>3</v>
      </c>
      <c r="W274">
        <v>3</v>
      </c>
      <c r="X274" s="23">
        <v>0.00352112676056338</v>
      </c>
      <c r="Y274" s="23">
        <v>0.00381679389312977</v>
      </c>
      <c r="Z274" s="23">
        <v>0.0087719298245614</v>
      </c>
      <c r="AA274" s="23">
        <v>0.00961538461538462</v>
      </c>
      <c r="AB274">
        <v>0.67</v>
      </c>
      <c r="AC274">
        <v>0.35</v>
      </c>
      <c r="AD274">
        <v>0.93</v>
      </c>
      <c r="AE274">
        <v>1.34</v>
      </c>
      <c r="AF274" s="23" t="s">
        <v>772</v>
      </c>
      <c r="AG274" s="23" t="s">
        <v>156</v>
      </c>
      <c r="AH274" s="23" t="s">
        <v>89</v>
      </c>
      <c r="AI274" s="23" t="s">
        <v>196</v>
      </c>
      <c r="AJ274">
        <v>2</v>
      </c>
      <c r="AK274">
        <v>2</v>
      </c>
      <c r="AL274">
        <v>1</v>
      </c>
      <c r="AM274">
        <v>2</v>
      </c>
      <c r="AN274" s="23">
        <v>0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11</v>
      </c>
      <c r="AU274" s="33" t="str">
        <f t="shared" si="8"/>
        <v>库存为11</v>
      </c>
      <c r="AV274" s="38" t="str">
        <f>IFERROR(时间!$B$4+AU274,"上周无销量")</f>
        <v>上周无销量</v>
      </c>
    </row>
    <row r="275" spans="1:48">
      <c r="A275" s="21" t="s">
        <v>773</v>
      </c>
      <c r="B275" t="s">
        <v>774</v>
      </c>
      <c r="C275" t="s">
        <v>752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6</v>
      </c>
      <c r="J275" s="35">
        <v>0</v>
      </c>
      <c r="K275" s="35">
        <v>0</v>
      </c>
      <c r="L275" s="35">
        <v>0</v>
      </c>
      <c r="M275">
        <v>6</v>
      </c>
      <c r="N275">
        <v>0</v>
      </c>
      <c r="O275">
        <v>6</v>
      </c>
      <c r="P275">
        <v>11</v>
      </c>
      <c r="Q275">
        <v>9</v>
      </c>
      <c r="R275">
        <v>8</v>
      </c>
      <c r="S275">
        <v>3</v>
      </c>
      <c r="T275">
        <v>0</v>
      </c>
      <c r="U275">
        <v>0</v>
      </c>
      <c r="V275">
        <v>0</v>
      </c>
      <c r="W275">
        <v>0</v>
      </c>
      <c r="X275" s="23">
        <v>0</v>
      </c>
      <c r="Y275" s="23">
        <v>0</v>
      </c>
      <c r="Z275" s="23">
        <v>0</v>
      </c>
      <c r="AA275" s="23">
        <v>0</v>
      </c>
      <c r="AB275">
        <v>0</v>
      </c>
      <c r="AC275">
        <v>0</v>
      </c>
      <c r="AD275">
        <v>0</v>
      </c>
      <c r="AE275">
        <v>0</v>
      </c>
      <c r="AF275" s="23" t="s">
        <v>55</v>
      </c>
      <c r="AG275" s="23" t="s">
        <v>55</v>
      </c>
      <c r="AH275" s="23" t="s">
        <v>55</v>
      </c>
      <c r="AI275" s="23" t="s">
        <v>55</v>
      </c>
      <c r="AJ275">
        <v>4</v>
      </c>
      <c r="AK275">
        <v>1</v>
      </c>
      <c r="AL275">
        <v>0</v>
      </c>
      <c r="AM275">
        <v>1</v>
      </c>
      <c r="AN275" s="23">
        <v>0</v>
      </c>
      <c r="AO275" s="23">
        <v>0</v>
      </c>
      <c r="AP275" s="23" t="s">
        <v>55</v>
      </c>
      <c r="AQ275" s="23">
        <v>0</v>
      </c>
      <c r="AR275" s="37">
        <v>0</v>
      </c>
      <c r="AS275" s="37">
        <v>0</v>
      </c>
      <c r="AT275" s="37">
        <v>6</v>
      </c>
      <c r="AU275" s="33" t="str">
        <f t="shared" si="8"/>
        <v>库存为6</v>
      </c>
      <c r="AV275" s="38" t="str">
        <f>IFERROR(时间!$B$4+AU275,"上周无销量")</f>
        <v>上周无销量</v>
      </c>
    </row>
    <row r="276" spans="1:48">
      <c r="A276" s="21" t="s">
        <v>775</v>
      </c>
      <c r="B276" t="s">
        <v>776</v>
      </c>
      <c r="C276" t="s">
        <v>752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4</v>
      </c>
      <c r="J276" s="35">
        <v>0</v>
      </c>
      <c r="K276" s="35">
        <v>0</v>
      </c>
      <c r="L276" s="35">
        <v>0</v>
      </c>
      <c r="M276">
        <v>4</v>
      </c>
      <c r="N276">
        <v>0</v>
      </c>
      <c r="O276">
        <v>4</v>
      </c>
      <c r="P276">
        <v>2</v>
      </c>
      <c r="Q276">
        <v>1</v>
      </c>
      <c r="R276">
        <v>1</v>
      </c>
      <c r="S276">
        <v>3</v>
      </c>
      <c r="T276">
        <v>0</v>
      </c>
      <c r="U276">
        <v>0</v>
      </c>
      <c r="V276">
        <v>0</v>
      </c>
      <c r="W276">
        <v>0</v>
      </c>
      <c r="X276" s="23">
        <v>0</v>
      </c>
      <c r="Y276" s="23">
        <v>0</v>
      </c>
      <c r="Z276" s="23">
        <v>0</v>
      </c>
      <c r="AA276" s="23">
        <v>0</v>
      </c>
      <c r="AB276">
        <v>0</v>
      </c>
      <c r="AC276">
        <v>0</v>
      </c>
      <c r="AD276">
        <v>0</v>
      </c>
      <c r="AE276">
        <v>0</v>
      </c>
      <c r="AF276" s="23" t="s">
        <v>55</v>
      </c>
      <c r="AG276" s="23" t="s">
        <v>55</v>
      </c>
      <c r="AH276" s="23" t="s">
        <v>55</v>
      </c>
      <c r="AI276" s="23" t="s">
        <v>55</v>
      </c>
      <c r="AJ276">
        <v>4</v>
      </c>
      <c r="AK276">
        <v>0</v>
      </c>
      <c r="AL276">
        <v>1</v>
      </c>
      <c r="AM276">
        <v>0</v>
      </c>
      <c r="AN276" s="23">
        <v>0</v>
      </c>
      <c r="AO276" s="23" t="s">
        <v>55</v>
      </c>
      <c r="AP276" s="23">
        <v>0</v>
      </c>
      <c r="AQ276" s="23" t="s">
        <v>55</v>
      </c>
      <c r="AR276" s="37">
        <v>0</v>
      </c>
      <c r="AS276" s="37">
        <v>0</v>
      </c>
      <c r="AT276" s="37">
        <v>4</v>
      </c>
      <c r="AU276" s="33" t="str">
        <f t="shared" si="8"/>
        <v>库存为4</v>
      </c>
      <c r="AV276" s="38" t="str">
        <f>IFERROR(时间!$B$4+AU276,"上周无销量")</f>
        <v>上周无销量</v>
      </c>
    </row>
    <row r="277" spans="1:48">
      <c r="A277" s="21" t="s">
        <v>777</v>
      </c>
      <c r="B277" t="s">
        <v>778</v>
      </c>
      <c r="C277" t="s">
        <v>752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22</v>
      </c>
      <c r="J277" s="35">
        <v>0</v>
      </c>
      <c r="K277" s="35">
        <v>0</v>
      </c>
      <c r="L277" s="35">
        <v>0</v>
      </c>
      <c r="M277">
        <v>22</v>
      </c>
      <c r="N277">
        <v>0</v>
      </c>
      <c r="O277">
        <v>22</v>
      </c>
      <c r="P277">
        <v>43</v>
      </c>
      <c r="Q277">
        <v>11</v>
      </c>
      <c r="R277">
        <v>13</v>
      </c>
      <c r="S277">
        <v>12</v>
      </c>
      <c r="T277">
        <v>1</v>
      </c>
      <c r="U277">
        <v>0</v>
      </c>
      <c r="V277">
        <v>1</v>
      </c>
      <c r="W277">
        <v>1</v>
      </c>
      <c r="X277" s="23">
        <v>0.0232558139534884</v>
      </c>
      <c r="Y277" s="23">
        <v>0</v>
      </c>
      <c r="Z277" s="23">
        <v>0.0769230769230769</v>
      </c>
      <c r="AA277" s="23">
        <v>0.0833333333333333</v>
      </c>
      <c r="AB277">
        <v>0.8</v>
      </c>
      <c r="AC277">
        <v>0</v>
      </c>
      <c r="AD277">
        <v>0.68</v>
      </c>
      <c r="AE277">
        <v>0.02</v>
      </c>
      <c r="AF277" s="23" t="s">
        <v>548</v>
      </c>
      <c r="AG277" s="23" t="s">
        <v>55</v>
      </c>
      <c r="AH277" s="23" t="s">
        <v>255</v>
      </c>
      <c r="AI277" s="23" t="s">
        <v>485</v>
      </c>
      <c r="AJ277">
        <v>3</v>
      </c>
      <c r="AK277">
        <v>1</v>
      </c>
      <c r="AL277">
        <v>0</v>
      </c>
      <c r="AM277">
        <v>2</v>
      </c>
      <c r="AN277" s="23">
        <v>0</v>
      </c>
      <c r="AO277" s="23">
        <v>0</v>
      </c>
      <c r="AP277" s="23" t="s">
        <v>55</v>
      </c>
      <c r="AQ277" s="23">
        <v>0</v>
      </c>
      <c r="AR277" s="37">
        <v>0</v>
      </c>
      <c r="AS277" s="37">
        <v>0</v>
      </c>
      <c r="AT277" s="37">
        <v>22</v>
      </c>
      <c r="AU277" s="33" t="str">
        <f t="shared" si="8"/>
        <v>库存为22</v>
      </c>
      <c r="AV277" s="38" t="str">
        <f>IFERROR(时间!$B$4+AU277,"上周无销量")</f>
        <v>上周无销量</v>
      </c>
    </row>
    <row r="278" spans="1:48">
      <c r="A278" s="21" t="s">
        <v>779</v>
      </c>
      <c r="B278" t="s">
        <v>780</v>
      </c>
      <c r="C278" t="s">
        <v>752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12</v>
      </c>
      <c r="J278" s="35">
        <v>0</v>
      </c>
      <c r="K278" s="35">
        <v>0</v>
      </c>
      <c r="L278" s="35">
        <v>0</v>
      </c>
      <c r="M278">
        <v>12</v>
      </c>
      <c r="N278">
        <v>0</v>
      </c>
      <c r="O278">
        <v>12</v>
      </c>
      <c r="P278">
        <v>10</v>
      </c>
      <c r="Q278">
        <v>13</v>
      </c>
      <c r="R278">
        <v>22</v>
      </c>
      <c r="S278">
        <v>23</v>
      </c>
      <c r="T278">
        <v>0</v>
      </c>
      <c r="U278">
        <v>0</v>
      </c>
      <c r="V278">
        <v>0</v>
      </c>
      <c r="W278">
        <v>0</v>
      </c>
      <c r="X278" s="23">
        <v>0</v>
      </c>
      <c r="Y278" s="23">
        <v>0</v>
      </c>
      <c r="Z278" s="23">
        <v>0</v>
      </c>
      <c r="AA278" s="23">
        <v>0</v>
      </c>
      <c r="AB278">
        <v>0</v>
      </c>
      <c r="AC278">
        <v>0</v>
      </c>
      <c r="AD278">
        <v>0</v>
      </c>
      <c r="AE278">
        <v>0</v>
      </c>
      <c r="AF278" s="23" t="s">
        <v>55</v>
      </c>
      <c r="AG278" s="23" t="s">
        <v>55</v>
      </c>
      <c r="AH278" s="23" t="s">
        <v>55</v>
      </c>
      <c r="AI278" s="23" t="s">
        <v>55</v>
      </c>
      <c r="AJ278">
        <v>1</v>
      </c>
      <c r="AK278">
        <v>3</v>
      </c>
      <c r="AL278">
        <v>0</v>
      </c>
      <c r="AM278">
        <v>0</v>
      </c>
      <c r="AN278" s="23">
        <v>0</v>
      </c>
      <c r="AO278" s="23">
        <v>0</v>
      </c>
      <c r="AP278" s="23" t="s">
        <v>55</v>
      </c>
      <c r="AQ278" s="23" t="s">
        <v>55</v>
      </c>
      <c r="AR278" s="37">
        <v>0</v>
      </c>
      <c r="AS278" s="37">
        <v>0</v>
      </c>
      <c r="AT278" s="37">
        <v>12</v>
      </c>
      <c r="AU278" s="33" t="str">
        <f t="shared" si="8"/>
        <v>库存为12</v>
      </c>
      <c r="AV278" s="38" t="str">
        <f>IFERROR(时间!$B$4+AU278,"上周无销量")</f>
        <v>上周无销量</v>
      </c>
    </row>
    <row r="279" spans="1:48">
      <c r="A279" s="21" t="s">
        <v>781</v>
      </c>
      <c r="B279" t="s">
        <v>782</v>
      </c>
      <c r="C279" t="s">
        <v>752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0</v>
      </c>
      <c r="J279" s="35">
        <v>0</v>
      </c>
      <c r="K279" s="35">
        <v>0</v>
      </c>
      <c r="L279" s="35">
        <v>0</v>
      </c>
      <c r="M279">
        <v>0</v>
      </c>
      <c r="N279">
        <v>0</v>
      </c>
      <c r="O279">
        <v>0</v>
      </c>
      <c r="P279" t="s">
        <v>55</v>
      </c>
      <c r="Q279" t="s">
        <v>55</v>
      </c>
      <c r="R279" t="s">
        <v>55</v>
      </c>
      <c r="S279" t="s">
        <v>55</v>
      </c>
      <c r="T279" t="s">
        <v>55</v>
      </c>
      <c r="U279" t="s">
        <v>55</v>
      </c>
      <c r="V279" t="s">
        <v>55</v>
      </c>
      <c r="W279" t="s">
        <v>55</v>
      </c>
      <c r="X279" s="23" t="s">
        <v>55</v>
      </c>
      <c r="Y279" s="23" t="s">
        <v>55</v>
      </c>
      <c r="Z279" s="23" t="s">
        <v>55</v>
      </c>
      <c r="AA279" s="23" t="s">
        <v>55</v>
      </c>
      <c r="AB279" t="s">
        <v>55</v>
      </c>
      <c r="AC279" t="s">
        <v>55</v>
      </c>
      <c r="AD279" t="s">
        <v>55</v>
      </c>
      <c r="AE279" t="s">
        <v>55</v>
      </c>
      <c r="AF279" s="23" t="s">
        <v>55</v>
      </c>
      <c r="AG279" s="23" t="s">
        <v>55</v>
      </c>
      <c r="AH279" s="23" t="s">
        <v>55</v>
      </c>
      <c r="AI279" s="23" t="s">
        <v>55</v>
      </c>
      <c r="AJ279">
        <v>0</v>
      </c>
      <c r="AK279">
        <v>0</v>
      </c>
      <c r="AL279">
        <v>0</v>
      </c>
      <c r="AM279">
        <v>0</v>
      </c>
      <c r="AN279" s="23" t="s">
        <v>55</v>
      </c>
      <c r="AO279" s="23" t="s">
        <v>55</v>
      </c>
      <c r="AP279" s="23" t="s">
        <v>55</v>
      </c>
      <c r="AQ279" s="23" t="s">
        <v>55</v>
      </c>
      <c r="AR279" s="37">
        <v>0</v>
      </c>
      <c r="AS279" s="37">
        <v>0</v>
      </c>
      <c r="AT279" s="37">
        <v>0</v>
      </c>
      <c r="AU279" s="33" t="str">
        <f t="shared" si="8"/>
        <v>库存为0</v>
      </c>
      <c r="AV279" s="38" t="str">
        <f>IFERROR(时间!$B$4+AU279,"上周无销量")</f>
        <v>上周无销量</v>
      </c>
    </row>
    <row r="280" spans="1:48">
      <c r="A280" s="21" t="s">
        <v>783</v>
      </c>
      <c r="B280" t="s">
        <v>784</v>
      </c>
      <c r="C280" t="s">
        <v>752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18</v>
      </c>
      <c r="J280" s="35">
        <v>0</v>
      </c>
      <c r="K280" s="35">
        <v>0</v>
      </c>
      <c r="L280" s="35">
        <v>0</v>
      </c>
      <c r="M280">
        <v>18</v>
      </c>
      <c r="N280">
        <v>0</v>
      </c>
      <c r="O280">
        <v>18</v>
      </c>
      <c r="P280">
        <v>76</v>
      </c>
      <c r="Q280">
        <v>107</v>
      </c>
      <c r="R280">
        <v>110</v>
      </c>
      <c r="S280">
        <v>139</v>
      </c>
      <c r="T280">
        <v>1</v>
      </c>
      <c r="U280">
        <v>0</v>
      </c>
      <c r="V280">
        <v>0</v>
      </c>
      <c r="W280">
        <v>1</v>
      </c>
      <c r="X280" s="23">
        <v>0.0131578947368421</v>
      </c>
      <c r="Y280" s="23">
        <v>0</v>
      </c>
      <c r="Z280" s="23">
        <v>0</v>
      </c>
      <c r="AA280" s="23">
        <v>0.00719424460431655</v>
      </c>
      <c r="AB280">
        <v>0.51</v>
      </c>
      <c r="AC280">
        <v>0</v>
      </c>
      <c r="AD280">
        <v>0</v>
      </c>
      <c r="AE280">
        <v>0.5</v>
      </c>
      <c r="AF280" s="23" t="s">
        <v>257</v>
      </c>
      <c r="AG280" s="23" t="s">
        <v>55</v>
      </c>
      <c r="AH280" s="23" t="s">
        <v>55</v>
      </c>
      <c r="AI280" s="23" t="s">
        <v>785</v>
      </c>
      <c r="AJ280">
        <v>4</v>
      </c>
      <c r="AK280">
        <v>1</v>
      </c>
      <c r="AL280">
        <v>1</v>
      </c>
      <c r="AM280">
        <v>0</v>
      </c>
      <c r="AN280" s="23">
        <v>0</v>
      </c>
      <c r="AO280" s="23">
        <v>0</v>
      </c>
      <c r="AP280" s="23">
        <v>0</v>
      </c>
      <c r="AQ280" s="23" t="s">
        <v>55</v>
      </c>
      <c r="AR280" s="37">
        <v>0</v>
      </c>
      <c r="AS280" s="37">
        <v>0</v>
      </c>
      <c r="AT280" s="37">
        <v>18</v>
      </c>
      <c r="AU280" s="33" t="str">
        <f t="shared" si="8"/>
        <v>库存为18</v>
      </c>
      <c r="AV280" s="38" t="str">
        <f>IFERROR(时间!$B$4+AU280,"上周无销量")</f>
        <v>上周无销量</v>
      </c>
    </row>
    <row r="281" spans="1:48">
      <c r="A281" s="21" t="s">
        <v>786</v>
      </c>
      <c r="B281" t="s">
        <v>787</v>
      </c>
      <c r="C281" t="s">
        <v>752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5</v>
      </c>
      <c r="J281" s="35">
        <v>0</v>
      </c>
      <c r="K281" s="35">
        <v>0</v>
      </c>
      <c r="L281" s="35">
        <v>0</v>
      </c>
      <c r="M281">
        <v>5</v>
      </c>
      <c r="N281">
        <v>0</v>
      </c>
      <c r="O281">
        <v>5</v>
      </c>
      <c r="P281">
        <v>51</v>
      </c>
      <c r="Q281">
        <v>80</v>
      </c>
      <c r="R281">
        <v>81</v>
      </c>
      <c r="S281">
        <v>83</v>
      </c>
      <c r="T281">
        <v>0</v>
      </c>
      <c r="U281">
        <v>2</v>
      </c>
      <c r="V281">
        <v>0</v>
      </c>
      <c r="W281">
        <v>0</v>
      </c>
      <c r="X281" s="23">
        <v>0</v>
      </c>
      <c r="Y281" s="23">
        <v>0.025</v>
      </c>
      <c r="Z281" s="23">
        <v>0</v>
      </c>
      <c r="AA281" s="23">
        <v>0</v>
      </c>
      <c r="AB281">
        <v>0</v>
      </c>
      <c r="AC281">
        <v>1.19</v>
      </c>
      <c r="AD281">
        <v>0</v>
      </c>
      <c r="AE281">
        <v>0</v>
      </c>
      <c r="AF281" s="23" t="s">
        <v>55</v>
      </c>
      <c r="AG281" s="23" t="s">
        <v>788</v>
      </c>
      <c r="AH281" s="23" t="s">
        <v>55</v>
      </c>
      <c r="AI281" s="23" t="s">
        <v>55</v>
      </c>
      <c r="AJ281">
        <v>2</v>
      </c>
      <c r="AK281">
        <v>5</v>
      </c>
      <c r="AL281">
        <v>3</v>
      </c>
      <c r="AM281">
        <v>0</v>
      </c>
      <c r="AN281" s="23">
        <v>0</v>
      </c>
      <c r="AO281" s="23">
        <v>0</v>
      </c>
      <c r="AP281" s="23">
        <v>0</v>
      </c>
      <c r="AQ281" s="23" t="s">
        <v>55</v>
      </c>
      <c r="AR281" s="37">
        <v>0</v>
      </c>
      <c r="AS281" s="37">
        <v>0</v>
      </c>
      <c r="AT281" s="37">
        <v>5</v>
      </c>
      <c r="AU281" s="33" t="str">
        <f t="shared" si="8"/>
        <v>库存为5</v>
      </c>
      <c r="AV281" s="38" t="str">
        <f>IFERROR(时间!$B$4+AU281,"上周无销量")</f>
        <v>上周无销量</v>
      </c>
    </row>
    <row r="282" spans="1:48">
      <c r="A282" s="21" t="s">
        <v>789</v>
      </c>
      <c r="B282" t="s">
        <v>790</v>
      </c>
      <c r="C282" t="s">
        <v>752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9</v>
      </c>
      <c r="J282" s="35">
        <v>0</v>
      </c>
      <c r="K282" s="35">
        <v>0</v>
      </c>
      <c r="L282" s="35">
        <v>0</v>
      </c>
      <c r="M282">
        <v>9</v>
      </c>
      <c r="N282">
        <v>0</v>
      </c>
      <c r="O282">
        <v>9</v>
      </c>
      <c r="P282">
        <v>127</v>
      </c>
      <c r="Q282">
        <v>156</v>
      </c>
      <c r="R282">
        <v>251</v>
      </c>
      <c r="S282">
        <v>335</v>
      </c>
      <c r="T282">
        <v>1</v>
      </c>
      <c r="U282">
        <v>0</v>
      </c>
      <c r="V282">
        <v>1</v>
      </c>
      <c r="W282">
        <v>0</v>
      </c>
      <c r="X282" s="23">
        <v>0.0078740157480315</v>
      </c>
      <c r="Y282" s="23">
        <v>0</v>
      </c>
      <c r="Z282" s="23">
        <v>0.00398406374501992</v>
      </c>
      <c r="AA282" s="23">
        <v>0</v>
      </c>
      <c r="AB282">
        <v>0.41</v>
      </c>
      <c r="AC282">
        <v>0</v>
      </c>
      <c r="AD282">
        <v>0.43</v>
      </c>
      <c r="AE282">
        <v>0</v>
      </c>
      <c r="AF282" s="23" t="s">
        <v>340</v>
      </c>
      <c r="AG282" s="23" t="s">
        <v>55</v>
      </c>
      <c r="AH282" s="23" t="s">
        <v>251</v>
      </c>
      <c r="AI282" s="23" t="s">
        <v>55</v>
      </c>
      <c r="AJ282">
        <v>4</v>
      </c>
      <c r="AK282">
        <v>0</v>
      </c>
      <c r="AL282">
        <v>1</v>
      </c>
      <c r="AM282">
        <v>0</v>
      </c>
      <c r="AN282" s="23">
        <v>0</v>
      </c>
      <c r="AO282" s="23" t="s">
        <v>55</v>
      </c>
      <c r="AP282" s="23">
        <v>0</v>
      </c>
      <c r="AQ282" s="23" t="s">
        <v>55</v>
      </c>
      <c r="AR282" s="37">
        <v>0</v>
      </c>
      <c r="AS282" s="37">
        <v>0</v>
      </c>
      <c r="AT282" s="37">
        <v>9</v>
      </c>
      <c r="AU282" s="33" t="str">
        <f t="shared" si="8"/>
        <v>库存为9</v>
      </c>
      <c r="AV282" s="38" t="str">
        <f>IFERROR(时间!$B$4+AU282,"上周无销量")</f>
        <v>上周无销量</v>
      </c>
    </row>
    <row r="283" spans="1:48">
      <c r="A283" s="21" t="s">
        <v>791</v>
      </c>
      <c r="B283" t="s">
        <v>792</v>
      </c>
      <c r="C283" t="s">
        <v>752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9</v>
      </c>
      <c r="J283" s="35">
        <v>0</v>
      </c>
      <c r="K283" s="35">
        <v>0</v>
      </c>
      <c r="L283" s="35">
        <v>0</v>
      </c>
      <c r="M283">
        <v>9</v>
      </c>
      <c r="N283">
        <v>0</v>
      </c>
      <c r="O283">
        <v>9</v>
      </c>
      <c r="P283">
        <v>114</v>
      </c>
      <c r="Q283">
        <v>202</v>
      </c>
      <c r="R283">
        <v>104</v>
      </c>
      <c r="S283">
        <v>77</v>
      </c>
      <c r="T283">
        <v>1</v>
      </c>
      <c r="U283">
        <v>1</v>
      </c>
      <c r="V283">
        <v>1</v>
      </c>
      <c r="W283">
        <v>1</v>
      </c>
      <c r="X283" s="23">
        <v>0.0087719298245614</v>
      </c>
      <c r="Y283" s="23">
        <v>0.00495049504950495</v>
      </c>
      <c r="Z283" s="23">
        <v>0.00961538461538462</v>
      </c>
      <c r="AA283" s="23">
        <v>0.012987012987013</v>
      </c>
      <c r="AB283">
        <v>0.29</v>
      </c>
      <c r="AC283">
        <v>0.69</v>
      </c>
      <c r="AD283">
        <v>0.55</v>
      </c>
      <c r="AE283">
        <v>0.41</v>
      </c>
      <c r="AF283" s="23" t="s">
        <v>274</v>
      </c>
      <c r="AG283" s="23" t="s">
        <v>482</v>
      </c>
      <c r="AH283" s="23" t="s">
        <v>793</v>
      </c>
      <c r="AI283" s="23" t="s">
        <v>340</v>
      </c>
      <c r="AJ283">
        <v>1</v>
      </c>
      <c r="AK283">
        <v>3</v>
      </c>
      <c r="AL283">
        <v>1</v>
      </c>
      <c r="AM283">
        <v>0</v>
      </c>
      <c r="AN283" s="23">
        <v>0</v>
      </c>
      <c r="AO283" s="23">
        <v>0</v>
      </c>
      <c r="AP283" s="23">
        <v>0</v>
      </c>
      <c r="AQ283" s="23" t="s">
        <v>55</v>
      </c>
      <c r="AR283" s="37">
        <v>0</v>
      </c>
      <c r="AS283" s="37">
        <v>0</v>
      </c>
      <c r="AT283" s="37">
        <v>9</v>
      </c>
      <c r="AU283" s="33" t="str">
        <f t="shared" si="8"/>
        <v>库存为9</v>
      </c>
      <c r="AV283" s="38" t="str">
        <f>IFERROR(时间!$B$4+AU283,"上周无销量")</f>
        <v>上周无销量</v>
      </c>
    </row>
    <row r="284" spans="1:48">
      <c r="A284" s="21" t="s">
        <v>794</v>
      </c>
      <c r="B284" t="s">
        <v>795</v>
      </c>
      <c r="C284" t="s">
        <v>752</v>
      </c>
      <c r="D284" s="33">
        <v>0</v>
      </c>
      <c r="E284" s="33">
        <v>0</v>
      </c>
      <c r="F284" s="33">
        <v>0</v>
      </c>
      <c r="G284" s="33">
        <v>1</v>
      </c>
      <c r="H284" s="34">
        <v>13.9</v>
      </c>
      <c r="I284">
        <v>11</v>
      </c>
      <c r="J284" s="35">
        <v>0</v>
      </c>
      <c r="K284" s="35">
        <v>0</v>
      </c>
      <c r="L284" s="35">
        <v>0</v>
      </c>
      <c r="M284">
        <v>11</v>
      </c>
      <c r="N284">
        <v>0</v>
      </c>
      <c r="O284">
        <v>11</v>
      </c>
      <c r="P284">
        <v>2</v>
      </c>
      <c r="Q284">
        <v>2</v>
      </c>
      <c r="R284">
        <v>2</v>
      </c>
      <c r="S284">
        <v>1</v>
      </c>
      <c r="T284">
        <v>0</v>
      </c>
      <c r="U284">
        <v>0</v>
      </c>
      <c r="V284">
        <v>0</v>
      </c>
      <c r="W284">
        <v>0</v>
      </c>
      <c r="X284" s="23">
        <v>0</v>
      </c>
      <c r="Y284" s="23">
        <v>0</v>
      </c>
      <c r="Z284" s="23">
        <v>0</v>
      </c>
      <c r="AA284" s="23">
        <v>0</v>
      </c>
      <c r="AB284">
        <v>0</v>
      </c>
      <c r="AC284">
        <v>0</v>
      </c>
      <c r="AD284">
        <v>0</v>
      </c>
      <c r="AE284">
        <v>0</v>
      </c>
      <c r="AF284" s="23" t="s">
        <v>55</v>
      </c>
      <c r="AG284" s="23" t="s">
        <v>55</v>
      </c>
      <c r="AH284" s="23" t="s">
        <v>55</v>
      </c>
      <c r="AI284" s="23" t="s">
        <v>55</v>
      </c>
      <c r="AJ284">
        <v>2</v>
      </c>
      <c r="AK284">
        <v>0</v>
      </c>
      <c r="AL284">
        <v>2</v>
      </c>
      <c r="AM284">
        <v>1</v>
      </c>
      <c r="AN284" s="23">
        <v>0</v>
      </c>
      <c r="AO284" s="23" t="s">
        <v>55</v>
      </c>
      <c r="AP284" s="23">
        <v>0</v>
      </c>
      <c r="AQ284" s="23">
        <v>1</v>
      </c>
      <c r="AR284" s="37">
        <v>0</v>
      </c>
      <c r="AS284" s="37">
        <v>0</v>
      </c>
      <c r="AT284" s="37">
        <v>11</v>
      </c>
      <c r="AU284" s="33" t="str">
        <f t="shared" si="8"/>
        <v>库存为11</v>
      </c>
      <c r="AV284" s="38" t="str">
        <f>IFERROR(时间!$B$4+AU284,"上周无销量")</f>
        <v>上周无销量</v>
      </c>
    </row>
    <row r="285" spans="1:48">
      <c r="A285" s="21" t="s">
        <v>796</v>
      </c>
      <c r="B285" t="s">
        <v>797</v>
      </c>
      <c r="C285" t="s">
        <v>752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9</v>
      </c>
      <c r="J285" s="35">
        <v>0</v>
      </c>
      <c r="K285" s="35">
        <v>0</v>
      </c>
      <c r="L285" s="35">
        <v>0</v>
      </c>
      <c r="M285">
        <v>9</v>
      </c>
      <c r="N285">
        <v>0</v>
      </c>
      <c r="O285">
        <v>9</v>
      </c>
      <c r="P285">
        <v>22</v>
      </c>
      <c r="Q285">
        <v>28</v>
      </c>
      <c r="R285">
        <v>8</v>
      </c>
      <c r="S285">
        <v>18</v>
      </c>
      <c r="T285">
        <v>0</v>
      </c>
      <c r="U285">
        <v>0</v>
      </c>
      <c r="V285">
        <v>0</v>
      </c>
      <c r="W285">
        <v>0</v>
      </c>
      <c r="X285" s="23">
        <v>0</v>
      </c>
      <c r="Y285" s="23">
        <v>0</v>
      </c>
      <c r="Z285" s="23">
        <v>0</v>
      </c>
      <c r="AA285" s="23">
        <v>0</v>
      </c>
      <c r="AB285">
        <v>0</v>
      </c>
      <c r="AC285">
        <v>0</v>
      </c>
      <c r="AD285">
        <v>0</v>
      </c>
      <c r="AE285">
        <v>0</v>
      </c>
      <c r="AF285" s="23" t="s">
        <v>55</v>
      </c>
      <c r="AG285" s="23" t="s">
        <v>55</v>
      </c>
      <c r="AH285" s="23" t="s">
        <v>55</v>
      </c>
      <c r="AI285" s="23" t="s">
        <v>55</v>
      </c>
      <c r="AJ285">
        <v>0</v>
      </c>
      <c r="AK285">
        <v>0</v>
      </c>
      <c r="AL285">
        <v>0</v>
      </c>
      <c r="AM285">
        <v>0</v>
      </c>
      <c r="AN285" s="23" t="s">
        <v>55</v>
      </c>
      <c r="AO285" s="23" t="s">
        <v>55</v>
      </c>
      <c r="AP285" s="23" t="s">
        <v>55</v>
      </c>
      <c r="AQ285" s="23" t="s">
        <v>55</v>
      </c>
      <c r="AR285" s="37">
        <v>0</v>
      </c>
      <c r="AS285" s="37">
        <v>0</v>
      </c>
      <c r="AT285" s="37">
        <v>9</v>
      </c>
      <c r="AU285" s="33" t="str">
        <f t="shared" si="8"/>
        <v>库存为9</v>
      </c>
      <c r="AV285" s="38" t="str">
        <f>IFERROR(时间!$B$4+AU285,"上周无销量")</f>
        <v>上周无销量</v>
      </c>
    </row>
    <row r="286" spans="1:48">
      <c r="A286" s="21" t="s">
        <v>798</v>
      </c>
      <c r="B286" t="s">
        <v>799</v>
      </c>
      <c r="C286" t="s">
        <v>752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22</v>
      </c>
      <c r="J286" s="35">
        <v>0</v>
      </c>
      <c r="K286" s="35">
        <v>0</v>
      </c>
      <c r="L286" s="35">
        <v>0</v>
      </c>
      <c r="M286">
        <v>22</v>
      </c>
      <c r="N286">
        <v>0</v>
      </c>
      <c r="O286">
        <v>22</v>
      </c>
      <c r="P286">
        <v>203</v>
      </c>
      <c r="Q286">
        <v>121</v>
      </c>
      <c r="R286">
        <v>154</v>
      </c>
      <c r="S286">
        <v>155</v>
      </c>
      <c r="T286">
        <v>3</v>
      </c>
      <c r="U286">
        <v>1</v>
      </c>
      <c r="V286">
        <v>2</v>
      </c>
      <c r="W286">
        <v>1</v>
      </c>
      <c r="X286" s="23">
        <v>0.0147783251231527</v>
      </c>
      <c r="Y286" s="23">
        <v>0.00826446280991736</v>
      </c>
      <c r="Z286" s="23">
        <v>0.012987012987013</v>
      </c>
      <c r="AA286" s="23">
        <v>0.00645161290322581</v>
      </c>
      <c r="AB286">
        <v>0.95</v>
      </c>
      <c r="AC286">
        <v>0.12</v>
      </c>
      <c r="AD286">
        <v>0.58</v>
      </c>
      <c r="AE286">
        <v>0.13</v>
      </c>
      <c r="AF286" s="23" t="s">
        <v>261</v>
      </c>
      <c r="AG286" s="23" t="s">
        <v>456</v>
      </c>
      <c r="AH286" s="23" t="s">
        <v>800</v>
      </c>
      <c r="AI286" s="23" t="s">
        <v>277</v>
      </c>
      <c r="AJ286">
        <v>0</v>
      </c>
      <c r="AK286">
        <v>0</v>
      </c>
      <c r="AL286">
        <v>0</v>
      </c>
      <c r="AM286">
        <v>0</v>
      </c>
      <c r="AN286" s="23" t="s">
        <v>55</v>
      </c>
      <c r="AO286" s="23" t="s">
        <v>55</v>
      </c>
      <c r="AP286" s="23" t="s">
        <v>55</v>
      </c>
      <c r="AQ286" s="23" t="s">
        <v>55</v>
      </c>
      <c r="AR286" s="37">
        <v>0</v>
      </c>
      <c r="AS286" s="37">
        <v>0</v>
      </c>
      <c r="AT286" s="37">
        <v>22</v>
      </c>
      <c r="AU286" s="33" t="str">
        <f t="shared" si="8"/>
        <v>库存为22</v>
      </c>
      <c r="AV286" s="38" t="str">
        <f>IFERROR(时间!$B$4+AU286,"上周无销量")</f>
        <v>上周无销量</v>
      </c>
    </row>
    <row r="287" spans="1:48">
      <c r="A287" s="21" t="s">
        <v>801</v>
      </c>
      <c r="B287" t="s">
        <v>802</v>
      </c>
      <c r="C287" t="s">
        <v>752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8</v>
      </c>
      <c r="J287" s="35">
        <v>0</v>
      </c>
      <c r="K287" s="35">
        <v>0</v>
      </c>
      <c r="L287" s="35">
        <v>0</v>
      </c>
      <c r="M287">
        <v>8</v>
      </c>
      <c r="N287">
        <v>0</v>
      </c>
      <c r="O287">
        <v>8</v>
      </c>
      <c r="P287">
        <v>14</v>
      </c>
      <c r="Q287">
        <v>1</v>
      </c>
      <c r="R287">
        <v>8</v>
      </c>
      <c r="S287">
        <v>3</v>
      </c>
      <c r="T287">
        <v>0</v>
      </c>
      <c r="U287">
        <v>0</v>
      </c>
      <c r="V287">
        <v>0</v>
      </c>
      <c r="W287">
        <v>0</v>
      </c>
      <c r="X287" s="23">
        <v>0</v>
      </c>
      <c r="Y287" s="23">
        <v>0</v>
      </c>
      <c r="Z287" s="23">
        <v>0</v>
      </c>
      <c r="AA287" s="23">
        <v>0</v>
      </c>
      <c r="AB287">
        <v>0</v>
      </c>
      <c r="AC287">
        <v>0</v>
      </c>
      <c r="AD287">
        <v>0</v>
      </c>
      <c r="AE287">
        <v>0</v>
      </c>
      <c r="AF287" s="23" t="s">
        <v>55</v>
      </c>
      <c r="AG287" s="23" t="s">
        <v>55</v>
      </c>
      <c r="AH287" s="23" t="s">
        <v>55</v>
      </c>
      <c r="AI287" s="23" t="s">
        <v>55</v>
      </c>
      <c r="AJ287">
        <v>1</v>
      </c>
      <c r="AK287">
        <v>1</v>
      </c>
      <c r="AL287">
        <v>0</v>
      </c>
      <c r="AM287">
        <v>0</v>
      </c>
      <c r="AN287" s="23">
        <v>0</v>
      </c>
      <c r="AO287" s="23">
        <v>0</v>
      </c>
      <c r="AP287" s="23" t="s">
        <v>55</v>
      </c>
      <c r="AQ287" s="23" t="s">
        <v>55</v>
      </c>
      <c r="AR287" s="37">
        <v>0</v>
      </c>
      <c r="AS287" s="37">
        <v>0</v>
      </c>
      <c r="AT287" s="37">
        <v>8</v>
      </c>
      <c r="AU287" s="33" t="str">
        <f t="shared" si="8"/>
        <v>库存为8</v>
      </c>
      <c r="AV287" s="38" t="str">
        <f>IFERROR(时间!$B$4+AU287,"上周无销量")</f>
        <v>上周无销量</v>
      </c>
    </row>
    <row r="288" spans="1:48">
      <c r="A288" s="21" t="s">
        <v>803</v>
      </c>
      <c r="B288" t="s">
        <v>804</v>
      </c>
      <c r="C288" t="s">
        <v>752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4</v>
      </c>
      <c r="J288" s="35">
        <v>0</v>
      </c>
      <c r="K288" s="35">
        <v>0</v>
      </c>
      <c r="L288" s="35">
        <v>0</v>
      </c>
      <c r="M288">
        <v>4</v>
      </c>
      <c r="N288">
        <v>0</v>
      </c>
      <c r="O288">
        <v>4</v>
      </c>
      <c r="P288">
        <v>3</v>
      </c>
      <c r="Q288">
        <v>2</v>
      </c>
      <c r="R288">
        <v>1</v>
      </c>
      <c r="S288">
        <v>2</v>
      </c>
      <c r="T288">
        <v>0</v>
      </c>
      <c r="U288">
        <v>0</v>
      </c>
      <c r="V288">
        <v>0</v>
      </c>
      <c r="W288">
        <v>0</v>
      </c>
      <c r="X288" s="23">
        <v>0</v>
      </c>
      <c r="Y288" s="23">
        <v>0</v>
      </c>
      <c r="Z288" s="23">
        <v>0</v>
      </c>
      <c r="AA288" s="23">
        <v>0</v>
      </c>
      <c r="AB288">
        <v>0</v>
      </c>
      <c r="AC288">
        <v>0</v>
      </c>
      <c r="AD288">
        <v>0</v>
      </c>
      <c r="AE288">
        <v>0</v>
      </c>
      <c r="AF288" s="23" t="s">
        <v>55</v>
      </c>
      <c r="AG288" s="23" t="s">
        <v>55</v>
      </c>
      <c r="AH288" s="23" t="s">
        <v>55</v>
      </c>
      <c r="AI288" s="23" t="s">
        <v>55</v>
      </c>
      <c r="AJ288">
        <v>2</v>
      </c>
      <c r="AK288">
        <v>3</v>
      </c>
      <c r="AL288">
        <v>0</v>
      </c>
      <c r="AM288">
        <v>1</v>
      </c>
      <c r="AN288" s="23">
        <v>0</v>
      </c>
      <c r="AO288" s="23">
        <v>0</v>
      </c>
      <c r="AP288" s="23" t="s">
        <v>55</v>
      </c>
      <c r="AQ288" s="23">
        <v>0</v>
      </c>
      <c r="AR288" s="37">
        <v>0</v>
      </c>
      <c r="AS288" s="37">
        <v>0</v>
      </c>
      <c r="AT288" s="37">
        <v>4</v>
      </c>
      <c r="AU288" s="33" t="str">
        <f t="shared" si="8"/>
        <v>库存为4</v>
      </c>
      <c r="AV288" s="38" t="str">
        <f>IFERROR(时间!$B$4+AU288,"上周无销量")</f>
        <v>上周无销量</v>
      </c>
    </row>
    <row r="289" spans="1:48">
      <c r="A289" s="21" t="s">
        <v>805</v>
      </c>
      <c r="B289" t="s">
        <v>806</v>
      </c>
      <c r="C289" t="s">
        <v>752</v>
      </c>
      <c r="D289" s="33">
        <v>0</v>
      </c>
      <c r="E289" s="33">
        <v>0</v>
      </c>
      <c r="F289" s="33">
        <v>0</v>
      </c>
      <c r="G289" s="33">
        <v>1</v>
      </c>
      <c r="H289" s="34">
        <v>13.9</v>
      </c>
      <c r="I289">
        <v>21</v>
      </c>
      <c r="J289" s="35">
        <v>0</v>
      </c>
      <c r="K289" s="35">
        <v>0</v>
      </c>
      <c r="L289" s="35">
        <v>0</v>
      </c>
      <c r="M289">
        <v>21</v>
      </c>
      <c r="N289">
        <v>0</v>
      </c>
      <c r="O289">
        <v>21</v>
      </c>
      <c r="P289">
        <v>22</v>
      </c>
      <c r="Q289">
        <v>6</v>
      </c>
      <c r="R289">
        <v>7</v>
      </c>
      <c r="S289">
        <v>4</v>
      </c>
      <c r="T289">
        <v>0</v>
      </c>
      <c r="U289">
        <v>0</v>
      </c>
      <c r="V289">
        <v>0</v>
      </c>
      <c r="W289">
        <v>0</v>
      </c>
      <c r="X289" s="23">
        <v>0</v>
      </c>
      <c r="Y289" s="23">
        <v>0</v>
      </c>
      <c r="Z289" s="23">
        <v>0</v>
      </c>
      <c r="AA289" s="23">
        <v>0</v>
      </c>
      <c r="AB289">
        <v>0</v>
      </c>
      <c r="AC289">
        <v>0</v>
      </c>
      <c r="AD289">
        <v>0</v>
      </c>
      <c r="AE289">
        <v>0</v>
      </c>
      <c r="AF289" s="23" t="s">
        <v>55</v>
      </c>
      <c r="AG289" s="23" t="s">
        <v>55</v>
      </c>
      <c r="AH289" s="23" t="s">
        <v>55</v>
      </c>
      <c r="AI289" s="23" t="s">
        <v>55</v>
      </c>
      <c r="AJ289">
        <v>2</v>
      </c>
      <c r="AK289">
        <v>6</v>
      </c>
      <c r="AL289">
        <v>1</v>
      </c>
      <c r="AM289">
        <v>3</v>
      </c>
      <c r="AN289" s="23">
        <v>0</v>
      </c>
      <c r="AO289" s="23">
        <v>0</v>
      </c>
      <c r="AP289" s="23">
        <v>0</v>
      </c>
      <c r="AQ289" s="23">
        <v>0.333333333333333</v>
      </c>
      <c r="AR289" s="37">
        <v>0</v>
      </c>
      <c r="AS289" s="37">
        <v>0</v>
      </c>
      <c r="AT289" s="37">
        <v>21</v>
      </c>
      <c r="AU289" s="33" t="str">
        <f t="shared" si="8"/>
        <v>库存为21</v>
      </c>
      <c r="AV289" s="38" t="str">
        <f>IFERROR(时间!$B$4+AU289,"上周无销量")</f>
        <v>上周无销量</v>
      </c>
    </row>
    <row r="290" spans="1:48">
      <c r="A290" s="21" t="s">
        <v>807</v>
      </c>
      <c r="B290" t="s">
        <v>808</v>
      </c>
      <c r="C290" t="s">
        <v>752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4</v>
      </c>
      <c r="J290" s="35">
        <v>0</v>
      </c>
      <c r="K290" s="35">
        <v>0</v>
      </c>
      <c r="L290" s="35">
        <v>0</v>
      </c>
      <c r="M290">
        <v>4</v>
      </c>
      <c r="N290">
        <v>0</v>
      </c>
      <c r="O290">
        <v>4</v>
      </c>
      <c r="P290">
        <v>15</v>
      </c>
      <c r="Q290">
        <v>44</v>
      </c>
      <c r="R290">
        <v>40</v>
      </c>
      <c r="S290">
        <v>37</v>
      </c>
      <c r="T290">
        <v>0</v>
      </c>
      <c r="U290">
        <v>1</v>
      </c>
      <c r="V290">
        <v>1</v>
      </c>
      <c r="W290">
        <v>1</v>
      </c>
      <c r="X290" s="23">
        <v>0</v>
      </c>
      <c r="Y290" s="23">
        <v>0.0227272727272727</v>
      </c>
      <c r="Z290" s="23">
        <v>0.025</v>
      </c>
      <c r="AA290" s="23">
        <v>0.027027027027027</v>
      </c>
      <c r="AB290">
        <v>0</v>
      </c>
      <c r="AC290">
        <v>0.52</v>
      </c>
      <c r="AD290">
        <v>0.55</v>
      </c>
      <c r="AE290">
        <v>0.02</v>
      </c>
      <c r="AF290" s="23" t="s">
        <v>55</v>
      </c>
      <c r="AG290" s="23" t="s">
        <v>491</v>
      </c>
      <c r="AH290" s="23" t="s">
        <v>793</v>
      </c>
      <c r="AI290" s="23" t="s">
        <v>485</v>
      </c>
      <c r="AJ290">
        <v>0</v>
      </c>
      <c r="AK290">
        <v>0</v>
      </c>
      <c r="AL290">
        <v>3</v>
      </c>
      <c r="AM290">
        <v>1</v>
      </c>
      <c r="AN290" s="23" t="s">
        <v>55</v>
      </c>
      <c r="AO290" s="23" t="s">
        <v>55</v>
      </c>
      <c r="AP290" s="23">
        <v>0</v>
      </c>
      <c r="AQ290" s="23">
        <v>0</v>
      </c>
      <c r="AR290" s="37">
        <v>0</v>
      </c>
      <c r="AS290" s="37">
        <v>0</v>
      </c>
      <c r="AT290" s="37">
        <v>4</v>
      </c>
      <c r="AU290" s="33" t="str">
        <f t="shared" si="8"/>
        <v>库存为4</v>
      </c>
      <c r="AV290" s="38" t="str">
        <f>IFERROR(时间!$B$4+AU290,"上周无销量")</f>
        <v>上周无销量</v>
      </c>
    </row>
    <row r="291" spans="1:48">
      <c r="A291" s="21" t="s">
        <v>809</v>
      </c>
      <c r="B291" t="s">
        <v>810</v>
      </c>
      <c r="C291" t="s">
        <v>752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12</v>
      </c>
      <c r="J291" s="35">
        <v>0</v>
      </c>
      <c r="K291" s="35">
        <v>0</v>
      </c>
      <c r="L291" s="35">
        <v>0</v>
      </c>
      <c r="M291">
        <v>12</v>
      </c>
      <c r="N291">
        <v>0</v>
      </c>
      <c r="O291">
        <v>12</v>
      </c>
      <c r="P291">
        <v>612</v>
      </c>
      <c r="Q291">
        <v>451</v>
      </c>
      <c r="R291">
        <v>248</v>
      </c>
      <c r="S291">
        <v>436</v>
      </c>
      <c r="T291">
        <v>2</v>
      </c>
      <c r="U291">
        <v>1</v>
      </c>
      <c r="V291">
        <v>2</v>
      </c>
      <c r="W291">
        <v>4</v>
      </c>
      <c r="X291" s="23">
        <v>0.00326797385620915</v>
      </c>
      <c r="Y291" s="23">
        <v>0.00221729490022173</v>
      </c>
      <c r="Z291" s="23">
        <v>0.00806451612903226</v>
      </c>
      <c r="AA291" s="23">
        <v>0.00917431192660551</v>
      </c>
      <c r="AB291">
        <v>0.68</v>
      </c>
      <c r="AC291">
        <v>0.57</v>
      </c>
      <c r="AD291">
        <v>0.78</v>
      </c>
      <c r="AE291">
        <v>1.87</v>
      </c>
      <c r="AF291" s="23" t="s">
        <v>255</v>
      </c>
      <c r="AG291" s="23" t="s">
        <v>256</v>
      </c>
      <c r="AH291" s="23" t="s">
        <v>248</v>
      </c>
      <c r="AI291" s="23" t="s">
        <v>811</v>
      </c>
      <c r="AJ291">
        <v>1</v>
      </c>
      <c r="AK291">
        <v>1</v>
      </c>
      <c r="AL291">
        <v>0</v>
      </c>
      <c r="AM291">
        <v>3</v>
      </c>
      <c r="AN291" s="23">
        <v>0</v>
      </c>
      <c r="AO291" s="23">
        <v>0</v>
      </c>
      <c r="AP291" s="23" t="s">
        <v>55</v>
      </c>
      <c r="AQ291" s="23">
        <v>0</v>
      </c>
      <c r="AR291" s="37">
        <v>0</v>
      </c>
      <c r="AS291" s="37">
        <v>0</v>
      </c>
      <c r="AT291" s="37">
        <v>12</v>
      </c>
      <c r="AU291" s="33" t="str">
        <f t="shared" si="8"/>
        <v>库存为12</v>
      </c>
      <c r="AV291" s="38" t="str">
        <f>IFERROR(时间!$B$4+AU291,"上周无销量")</f>
        <v>上周无销量</v>
      </c>
    </row>
    <row r="292" spans="1:48">
      <c r="A292" s="21" t="s">
        <v>812</v>
      </c>
      <c r="B292" t="s">
        <v>813</v>
      </c>
      <c r="C292" t="s">
        <v>752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7</v>
      </c>
      <c r="J292" s="35">
        <v>0</v>
      </c>
      <c r="K292" s="35">
        <v>0</v>
      </c>
      <c r="L292" s="35">
        <v>0</v>
      </c>
      <c r="M292">
        <v>7</v>
      </c>
      <c r="N292">
        <v>0</v>
      </c>
      <c r="O292">
        <v>7</v>
      </c>
      <c r="P292">
        <v>224</v>
      </c>
      <c r="Q292">
        <v>60</v>
      </c>
      <c r="R292">
        <v>38</v>
      </c>
      <c r="S292">
        <v>30</v>
      </c>
      <c r="T292">
        <v>0</v>
      </c>
      <c r="U292">
        <v>0</v>
      </c>
      <c r="V292">
        <v>0</v>
      </c>
      <c r="W292">
        <v>0</v>
      </c>
      <c r="X292" s="23">
        <v>0</v>
      </c>
      <c r="Y292" s="23">
        <v>0</v>
      </c>
      <c r="Z292" s="23">
        <v>0</v>
      </c>
      <c r="AA292" s="23">
        <v>0</v>
      </c>
      <c r="AB292">
        <v>0</v>
      </c>
      <c r="AC292">
        <v>0</v>
      </c>
      <c r="AD292">
        <v>0</v>
      </c>
      <c r="AE292">
        <v>0</v>
      </c>
      <c r="AF292" s="23" t="s">
        <v>55</v>
      </c>
      <c r="AG292" s="23" t="s">
        <v>55</v>
      </c>
      <c r="AH292" s="23" t="s">
        <v>55</v>
      </c>
      <c r="AI292" s="23" t="s">
        <v>55</v>
      </c>
      <c r="AJ292">
        <v>1</v>
      </c>
      <c r="AK292">
        <v>0</v>
      </c>
      <c r="AL292">
        <v>2</v>
      </c>
      <c r="AM292">
        <v>1</v>
      </c>
      <c r="AN292" s="23">
        <v>0</v>
      </c>
      <c r="AO292" s="23" t="s">
        <v>55</v>
      </c>
      <c r="AP292" s="23">
        <v>0</v>
      </c>
      <c r="AQ292" s="23">
        <v>0</v>
      </c>
      <c r="AR292" s="37">
        <v>0</v>
      </c>
      <c r="AS292" s="37">
        <v>0</v>
      </c>
      <c r="AT292" s="37">
        <v>7</v>
      </c>
      <c r="AU292" s="33" t="str">
        <f t="shared" si="8"/>
        <v>库存为7</v>
      </c>
      <c r="AV292" s="38" t="str">
        <f>IFERROR(时间!$B$4+AU292,"上周无销量")</f>
        <v>上周无销量</v>
      </c>
    </row>
    <row r="293" spans="1:48">
      <c r="A293" s="21" t="s">
        <v>814</v>
      </c>
      <c r="B293" t="s">
        <v>815</v>
      </c>
      <c r="C293" t="s">
        <v>752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9</v>
      </c>
      <c r="J293" s="35">
        <v>0</v>
      </c>
      <c r="K293" s="35">
        <v>0</v>
      </c>
      <c r="L293" s="35">
        <v>0</v>
      </c>
      <c r="M293">
        <v>9</v>
      </c>
      <c r="N293">
        <v>0</v>
      </c>
      <c r="O293">
        <v>9</v>
      </c>
      <c r="P293">
        <v>3</v>
      </c>
      <c r="Q293">
        <v>0</v>
      </c>
      <c r="R293">
        <v>1</v>
      </c>
      <c r="S293">
        <v>1</v>
      </c>
      <c r="T293">
        <v>0</v>
      </c>
      <c r="U293">
        <v>0</v>
      </c>
      <c r="V293">
        <v>0</v>
      </c>
      <c r="W293">
        <v>0</v>
      </c>
      <c r="X293" s="23">
        <v>0</v>
      </c>
      <c r="Y293" s="23" t="s">
        <v>55</v>
      </c>
      <c r="Z293" s="23">
        <v>0</v>
      </c>
      <c r="AA293" s="23">
        <v>0</v>
      </c>
      <c r="AB293">
        <v>0</v>
      </c>
      <c r="AC293">
        <v>0</v>
      </c>
      <c r="AD293">
        <v>0</v>
      </c>
      <c r="AE293">
        <v>0</v>
      </c>
      <c r="AF293" s="23" t="s">
        <v>55</v>
      </c>
      <c r="AG293" s="23" t="s">
        <v>55</v>
      </c>
      <c r="AH293" s="23" t="s">
        <v>55</v>
      </c>
      <c r="AI293" s="23" t="s">
        <v>55</v>
      </c>
      <c r="AJ293">
        <v>3</v>
      </c>
      <c r="AK293">
        <v>0</v>
      </c>
      <c r="AL293">
        <v>2</v>
      </c>
      <c r="AM293">
        <v>1</v>
      </c>
      <c r="AN293" s="23">
        <v>0</v>
      </c>
      <c r="AO293" s="23" t="s">
        <v>55</v>
      </c>
      <c r="AP293" s="23">
        <v>0</v>
      </c>
      <c r="AQ293" s="23">
        <v>0</v>
      </c>
      <c r="AR293" s="37">
        <v>0</v>
      </c>
      <c r="AS293" s="37">
        <v>0</v>
      </c>
      <c r="AT293" s="37">
        <v>9</v>
      </c>
      <c r="AU293" s="33" t="str">
        <f t="shared" si="8"/>
        <v>库存为9</v>
      </c>
      <c r="AV293" s="38" t="str">
        <f>IFERROR(时间!$B$4+AU293,"上周无销量")</f>
        <v>上周无销量</v>
      </c>
    </row>
    <row r="294" spans="1:48">
      <c r="A294" s="21" t="s">
        <v>816</v>
      </c>
      <c r="B294" t="s">
        <v>817</v>
      </c>
      <c r="C294" t="s">
        <v>752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2</v>
      </c>
      <c r="J294" s="35">
        <v>0</v>
      </c>
      <c r="K294" s="35">
        <v>0</v>
      </c>
      <c r="L294" s="35">
        <v>0</v>
      </c>
      <c r="M294">
        <v>2</v>
      </c>
      <c r="N294">
        <v>0</v>
      </c>
      <c r="O294">
        <v>2</v>
      </c>
      <c r="P294">
        <v>1</v>
      </c>
      <c r="Q294">
        <v>4</v>
      </c>
      <c r="R294">
        <v>0</v>
      </c>
      <c r="S294">
        <v>7</v>
      </c>
      <c r="T294">
        <v>0</v>
      </c>
      <c r="U294">
        <v>0</v>
      </c>
      <c r="V294">
        <v>0</v>
      </c>
      <c r="W294">
        <v>0</v>
      </c>
      <c r="X294" s="23">
        <v>0</v>
      </c>
      <c r="Y294" s="23">
        <v>0</v>
      </c>
      <c r="Z294" s="23" t="s">
        <v>55</v>
      </c>
      <c r="AA294" s="23">
        <v>0</v>
      </c>
      <c r="AB294">
        <v>0</v>
      </c>
      <c r="AC294">
        <v>0</v>
      </c>
      <c r="AD294">
        <v>0</v>
      </c>
      <c r="AE294">
        <v>0</v>
      </c>
      <c r="AF294" s="23" t="s">
        <v>55</v>
      </c>
      <c r="AG294" s="23" t="s">
        <v>55</v>
      </c>
      <c r="AH294" s="23" t="s">
        <v>55</v>
      </c>
      <c r="AI294" s="23" t="s">
        <v>55</v>
      </c>
      <c r="AJ294">
        <v>3</v>
      </c>
      <c r="AK294">
        <v>0</v>
      </c>
      <c r="AL294">
        <v>0</v>
      </c>
      <c r="AM294">
        <v>1</v>
      </c>
      <c r="AN294" s="23">
        <v>0</v>
      </c>
      <c r="AO294" s="23" t="s">
        <v>55</v>
      </c>
      <c r="AP294" s="23" t="s">
        <v>55</v>
      </c>
      <c r="AQ294" s="23">
        <v>0</v>
      </c>
      <c r="AR294" s="37">
        <v>0</v>
      </c>
      <c r="AS294" s="37">
        <v>0</v>
      </c>
      <c r="AT294" s="37">
        <v>2</v>
      </c>
      <c r="AU294" s="33" t="str">
        <f t="shared" si="8"/>
        <v>库存为2</v>
      </c>
      <c r="AV294" s="38" t="str">
        <f>IFERROR(时间!$B$4+AU294,"上周无销量")</f>
        <v>上周无销量</v>
      </c>
    </row>
    <row r="295" spans="1:48">
      <c r="A295" s="21" t="s">
        <v>818</v>
      </c>
      <c r="B295" t="s">
        <v>819</v>
      </c>
      <c r="C295" t="s">
        <v>752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3</v>
      </c>
      <c r="J295" s="35">
        <v>0</v>
      </c>
      <c r="K295" s="35">
        <v>0</v>
      </c>
      <c r="L295" s="35">
        <v>0</v>
      </c>
      <c r="M295">
        <v>3</v>
      </c>
      <c r="N295">
        <v>0</v>
      </c>
      <c r="O295">
        <v>3</v>
      </c>
      <c r="P295">
        <v>103</v>
      </c>
      <c r="Q295">
        <v>129</v>
      </c>
      <c r="R295">
        <v>61</v>
      </c>
      <c r="S295">
        <v>50</v>
      </c>
      <c r="T295">
        <v>0</v>
      </c>
      <c r="U295">
        <v>1</v>
      </c>
      <c r="V295">
        <v>0</v>
      </c>
      <c r="W295">
        <v>0</v>
      </c>
      <c r="X295" s="23">
        <v>0</v>
      </c>
      <c r="Y295" s="23">
        <v>0.00775193798449612</v>
      </c>
      <c r="Z295" s="23">
        <v>0</v>
      </c>
      <c r="AA295" s="23">
        <v>0</v>
      </c>
      <c r="AB295">
        <v>0</v>
      </c>
      <c r="AC295">
        <v>0.04</v>
      </c>
      <c r="AD295">
        <v>0</v>
      </c>
      <c r="AE295">
        <v>0</v>
      </c>
      <c r="AF295" s="23" t="s">
        <v>55</v>
      </c>
      <c r="AG295" s="23" t="s">
        <v>221</v>
      </c>
      <c r="AH295" s="23" t="s">
        <v>55</v>
      </c>
      <c r="AI295" s="23" t="s">
        <v>55</v>
      </c>
      <c r="AJ295">
        <v>0</v>
      </c>
      <c r="AK295">
        <v>0</v>
      </c>
      <c r="AL295">
        <v>0</v>
      </c>
      <c r="AM295">
        <v>0</v>
      </c>
      <c r="AN295" s="23" t="s">
        <v>55</v>
      </c>
      <c r="AO295" s="23" t="s">
        <v>55</v>
      </c>
      <c r="AP295" s="23" t="s">
        <v>55</v>
      </c>
      <c r="AQ295" s="23" t="s">
        <v>55</v>
      </c>
      <c r="AR295" s="37">
        <v>0</v>
      </c>
      <c r="AS295" s="37">
        <v>0</v>
      </c>
      <c r="AT295" s="37">
        <v>3</v>
      </c>
      <c r="AU295" s="33" t="str">
        <f t="shared" si="8"/>
        <v>库存为3</v>
      </c>
      <c r="AV295" s="38" t="str">
        <f>IFERROR(时间!$B$4+AU295,"上周无销量")</f>
        <v>上周无销量</v>
      </c>
    </row>
    <row r="296" spans="1:48">
      <c r="A296" s="21" t="s">
        <v>820</v>
      </c>
      <c r="B296" t="s">
        <v>821</v>
      </c>
      <c r="C296" t="s">
        <v>752</v>
      </c>
      <c r="D296" s="33">
        <v>0</v>
      </c>
      <c r="E296" s="33">
        <v>1</v>
      </c>
      <c r="F296" s="33">
        <v>0</v>
      </c>
      <c r="G296" s="33">
        <v>0</v>
      </c>
      <c r="H296" s="34">
        <v>12.9</v>
      </c>
      <c r="I296">
        <v>2</v>
      </c>
      <c r="J296" s="35">
        <v>0</v>
      </c>
      <c r="K296" s="35">
        <v>0</v>
      </c>
      <c r="L296" s="35">
        <v>0</v>
      </c>
      <c r="M296">
        <v>2</v>
      </c>
      <c r="N296">
        <v>0</v>
      </c>
      <c r="O296">
        <v>2</v>
      </c>
      <c r="P296">
        <v>938</v>
      </c>
      <c r="Q296">
        <v>1039</v>
      </c>
      <c r="R296">
        <v>852</v>
      </c>
      <c r="S296">
        <v>712</v>
      </c>
      <c r="T296">
        <v>6</v>
      </c>
      <c r="U296">
        <v>7</v>
      </c>
      <c r="V296">
        <v>6</v>
      </c>
      <c r="W296">
        <v>6</v>
      </c>
      <c r="X296" s="23">
        <v>0.00639658848614072</v>
      </c>
      <c r="Y296" s="23">
        <v>0.00673724735322425</v>
      </c>
      <c r="Z296" s="23">
        <v>0.00704225352112676</v>
      </c>
      <c r="AA296" s="23">
        <v>0.00842696629213483</v>
      </c>
      <c r="AB296">
        <v>1.06</v>
      </c>
      <c r="AC296">
        <v>0.83</v>
      </c>
      <c r="AD296">
        <v>1.24</v>
      </c>
      <c r="AE296">
        <v>2.49</v>
      </c>
      <c r="AF296" s="23" t="s">
        <v>481</v>
      </c>
      <c r="AG296" s="23">
        <v>0.0643410852713178</v>
      </c>
      <c r="AH296" s="23" t="s">
        <v>357</v>
      </c>
      <c r="AI296" s="23" t="s">
        <v>822</v>
      </c>
      <c r="AJ296">
        <v>1</v>
      </c>
      <c r="AK296">
        <v>4</v>
      </c>
      <c r="AL296">
        <v>1</v>
      </c>
      <c r="AM296">
        <v>3</v>
      </c>
      <c r="AN296" s="23">
        <v>0</v>
      </c>
      <c r="AO296" s="23">
        <v>0.25</v>
      </c>
      <c r="AP296" s="23">
        <v>0</v>
      </c>
      <c r="AQ296" s="23">
        <v>0</v>
      </c>
      <c r="AR296" s="37">
        <v>0</v>
      </c>
      <c r="AS296" s="37">
        <v>0</v>
      </c>
      <c r="AT296" s="37">
        <v>2</v>
      </c>
      <c r="AU296" s="33" t="str">
        <f t="shared" si="8"/>
        <v>库存为2</v>
      </c>
      <c r="AV296" s="38" t="str">
        <f>IFERROR(时间!$B$4+AU296,"上周无销量")</f>
        <v>上周无销量</v>
      </c>
    </row>
    <row r="297" spans="1:48">
      <c r="A297" s="21" t="s">
        <v>823</v>
      </c>
      <c r="B297" t="s">
        <v>824</v>
      </c>
      <c r="C297" t="s">
        <v>752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3</v>
      </c>
      <c r="J297" s="35">
        <v>0</v>
      </c>
      <c r="K297" s="35">
        <v>0</v>
      </c>
      <c r="L297" s="35">
        <v>0</v>
      </c>
      <c r="M297">
        <v>3</v>
      </c>
      <c r="N297">
        <v>0</v>
      </c>
      <c r="O297">
        <v>3</v>
      </c>
      <c r="P297">
        <v>27</v>
      </c>
      <c r="Q297">
        <v>70</v>
      </c>
      <c r="R297">
        <v>4</v>
      </c>
      <c r="S297">
        <v>45</v>
      </c>
      <c r="T297">
        <v>0</v>
      </c>
      <c r="U297">
        <v>1</v>
      </c>
      <c r="V297">
        <v>0</v>
      </c>
      <c r="W297">
        <v>0</v>
      </c>
      <c r="X297" s="23">
        <v>0</v>
      </c>
      <c r="Y297" s="23">
        <v>0.0142857142857143</v>
      </c>
      <c r="Z297" s="23">
        <v>0</v>
      </c>
      <c r="AA297" s="23">
        <v>0</v>
      </c>
      <c r="AB297">
        <v>0</v>
      </c>
      <c r="AC297">
        <v>0.05</v>
      </c>
      <c r="AD297">
        <v>0</v>
      </c>
      <c r="AE297">
        <v>0</v>
      </c>
      <c r="AF297" s="23" t="s">
        <v>55</v>
      </c>
      <c r="AG297" s="23" t="s">
        <v>825</v>
      </c>
      <c r="AH297" s="23" t="s">
        <v>55</v>
      </c>
      <c r="AI297" s="23" t="s">
        <v>55</v>
      </c>
      <c r="AJ297">
        <v>2</v>
      </c>
      <c r="AK297">
        <v>1</v>
      </c>
      <c r="AL297">
        <v>1</v>
      </c>
      <c r="AM297">
        <v>1</v>
      </c>
      <c r="AN297" s="23">
        <v>0</v>
      </c>
      <c r="AO297" s="23">
        <v>0</v>
      </c>
      <c r="AP297" s="23">
        <v>0</v>
      </c>
      <c r="AQ297" s="23">
        <v>0</v>
      </c>
      <c r="AR297" s="37">
        <v>0</v>
      </c>
      <c r="AS297" s="37">
        <v>0</v>
      </c>
      <c r="AT297" s="37">
        <v>3</v>
      </c>
      <c r="AU297" s="33" t="str">
        <f t="shared" si="8"/>
        <v>库存为3</v>
      </c>
      <c r="AV297" s="38" t="str">
        <f>IFERROR(时间!$B$4+AU297,"上周无销量")</f>
        <v>上周无销量</v>
      </c>
    </row>
    <row r="298" spans="1:48">
      <c r="A298" s="21" t="s">
        <v>826</v>
      </c>
      <c r="B298" t="s">
        <v>827</v>
      </c>
      <c r="C298" t="s">
        <v>828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3</v>
      </c>
      <c r="J298" s="35">
        <v>0</v>
      </c>
      <c r="K298" s="35">
        <v>0</v>
      </c>
      <c r="L298" s="35">
        <v>0</v>
      </c>
      <c r="M298">
        <v>3</v>
      </c>
      <c r="N298">
        <v>0</v>
      </c>
      <c r="O298">
        <v>3</v>
      </c>
      <c r="P298">
        <v>1</v>
      </c>
      <c r="Q298">
        <v>1</v>
      </c>
      <c r="R298">
        <v>1</v>
      </c>
      <c r="S298">
        <v>0</v>
      </c>
      <c r="T298">
        <v>0</v>
      </c>
      <c r="U298">
        <v>0</v>
      </c>
      <c r="V298">
        <v>0</v>
      </c>
      <c r="W298">
        <v>0</v>
      </c>
      <c r="X298" s="23">
        <v>0</v>
      </c>
      <c r="Y298" s="23">
        <v>0</v>
      </c>
      <c r="Z298" s="23">
        <v>0</v>
      </c>
      <c r="AA298" s="23" t="s">
        <v>55</v>
      </c>
      <c r="AB298">
        <v>0</v>
      </c>
      <c r="AC298">
        <v>0</v>
      </c>
      <c r="AD298">
        <v>0</v>
      </c>
      <c r="AE298">
        <v>0</v>
      </c>
      <c r="AF298" s="23" t="s">
        <v>55</v>
      </c>
      <c r="AG298" s="23" t="s">
        <v>55</v>
      </c>
      <c r="AH298" s="23" t="s">
        <v>55</v>
      </c>
      <c r="AI298" s="23" t="s">
        <v>55</v>
      </c>
      <c r="AJ298">
        <v>2</v>
      </c>
      <c r="AK298">
        <v>2</v>
      </c>
      <c r="AL298">
        <v>1</v>
      </c>
      <c r="AM298">
        <v>2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3</v>
      </c>
      <c r="AU298" s="33" t="str">
        <f t="shared" si="8"/>
        <v>库存为3</v>
      </c>
      <c r="AV298" s="38" t="str">
        <f>IFERROR(时间!$B$4+AU298,"上周无销量")</f>
        <v>上周无销量</v>
      </c>
    </row>
    <row r="299" spans="1:48">
      <c r="A299" s="21" t="s">
        <v>829</v>
      </c>
      <c r="B299" t="s">
        <v>830</v>
      </c>
      <c r="C299" t="s">
        <v>828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3</v>
      </c>
      <c r="J299" s="35">
        <v>0</v>
      </c>
      <c r="K299" s="35">
        <v>0</v>
      </c>
      <c r="L299" s="35">
        <v>0</v>
      </c>
      <c r="M299">
        <v>3</v>
      </c>
      <c r="N299">
        <v>0</v>
      </c>
      <c r="O299">
        <v>3</v>
      </c>
      <c r="P299">
        <v>93</v>
      </c>
      <c r="Q299">
        <v>123</v>
      </c>
      <c r="R299">
        <v>74</v>
      </c>
      <c r="S299">
        <v>127</v>
      </c>
      <c r="T299">
        <v>1</v>
      </c>
      <c r="U299">
        <v>0</v>
      </c>
      <c r="V299">
        <v>1</v>
      </c>
      <c r="W299">
        <v>0</v>
      </c>
      <c r="X299" s="23">
        <v>0.010752688172043</v>
      </c>
      <c r="Y299" s="23">
        <v>0</v>
      </c>
      <c r="Z299" s="23">
        <v>0.0135135135135135</v>
      </c>
      <c r="AA299" s="23">
        <v>0</v>
      </c>
      <c r="AB299">
        <v>0.32</v>
      </c>
      <c r="AC299">
        <v>0</v>
      </c>
      <c r="AD299">
        <v>0.31</v>
      </c>
      <c r="AE299">
        <v>0</v>
      </c>
      <c r="AF299" s="23" t="s">
        <v>143</v>
      </c>
      <c r="AG299" s="23" t="s">
        <v>55</v>
      </c>
      <c r="AH299" s="23" t="s">
        <v>174</v>
      </c>
      <c r="AI299" s="23" t="s">
        <v>55</v>
      </c>
      <c r="AJ299">
        <v>5</v>
      </c>
      <c r="AK299">
        <v>0</v>
      </c>
      <c r="AL299">
        <v>2</v>
      </c>
      <c r="AM299">
        <v>0</v>
      </c>
      <c r="AN299" s="23">
        <v>0</v>
      </c>
      <c r="AO299" s="23" t="s">
        <v>55</v>
      </c>
      <c r="AP299" s="23">
        <v>0</v>
      </c>
      <c r="AQ299" s="23" t="s">
        <v>55</v>
      </c>
      <c r="AR299" s="37">
        <v>0</v>
      </c>
      <c r="AS299" s="37">
        <v>0</v>
      </c>
      <c r="AT299" s="37">
        <v>3</v>
      </c>
      <c r="AU299" s="33" t="str">
        <f t="shared" si="8"/>
        <v>库存为3</v>
      </c>
      <c r="AV299" s="38" t="str">
        <f>IFERROR(时间!$B$4+AU299,"上周无销量")</f>
        <v>上周无销量</v>
      </c>
    </row>
    <row r="300" spans="1:48">
      <c r="A300" s="21" t="s">
        <v>831</v>
      </c>
      <c r="B300" t="s">
        <v>832</v>
      </c>
      <c r="C300" t="s">
        <v>828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3</v>
      </c>
      <c r="J300" s="35">
        <v>0</v>
      </c>
      <c r="K300" s="35">
        <v>0</v>
      </c>
      <c r="L300" s="35">
        <v>0</v>
      </c>
      <c r="M300">
        <v>3</v>
      </c>
      <c r="N300">
        <v>0</v>
      </c>
      <c r="O300">
        <v>3</v>
      </c>
      <c r="P300">
        <v>311</v>
      </c>
      <c r="Q300">
        <v>383</v>
      </c>
      <c r="R300">
        <v>233</v>
      </c>
      <c r="S300">
        <v>248</v>
      </c>
      <c r="T300">
        <v>0</v>
      </c>
      <c r="U300">
        <v>0</v>
      </c>
      <c r="V300">
        <v>0</v>
      </c>
      <c r="W300">
        <v>2</v>
      </c>
      <c r="X300" s="23">
        <v>0</v>
      </c>
      <c r="Y300" s="23">
        <v>0</v>
      </c>
      <c r="Z300" s="23">
        <v>0</v>
      </c>
      <c r="AA300" s="23">
        <v>0.00806451612903226</v>
      </c>
      <c r="AB300">
        <v>0</v>
      </c>
      <c r="AC300">
        <v>0</v>
      </c>
      <c r="AD300">
        <v>0</v>
      </c>
      <c r="AE300">
        <v>0.37</v>
      </c>
      <c r="AF300" s="23" t="s">
        <v>55</v>
      </c>
      <c r="AG300" s="23" t="s">
        <v>55</v>
      </c>
      <c r="AH300" s="23" t="s">
        <v>55</v>
      </c>
      <c r="AI300" s="23" t="s">
        <v>338</v>
      </c>
      <c r="AJ300">
        <v>1</v>
      </c>
      <c r="AK300">
        <v>1</v>
      </c>
      <c r="AL300">
        <v>0</v>
      </c>
      <c r="AM300">
        <v>3</v>
      </c>
      <c r="AN300" s="23">
        <v>0</v>
      </c>
      <c r="AO300" s="23">
        <v>0</v>
      </c>
      <c r="AP300" s="23" t="s">
        <v>55</v>
      </c>
      <c r="AQ300" s="23">
        <v>0</v>
      </c>
      <c r="AR300" s="37">
        <v>0</v>
      </c>
      <c r="AS300" s="37">
        <v>0</v>
      </c>
      <c r="AT300" s="37">
        <v>3</v>
      </c>
      <c r="AU300" s="33" t="str">
        <f t="shared" si="8"/>
        <v>库存为3</v>
      </c>
      <c r="AV300" s="38" t="str">
        <f>IFERROR(时间!$B$4+AU300,"上周无销量")</f>
        <v>上周无销量</v>
      </c>
    </row>
    <row r="301" spans="1:48">
      <c r="A301" s="21" t="s">
        <v>833</v>
      </c>
      <c r="B301" t="s">
        <v>834</v>
      </c>
      <c r="C301" t="s">
        <v>828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3</v>
      </c>
      <c r="J301" s="35">
        <v>0</v>
      </c>
      <c r="K301" s="35">
        <v>0</v>
      </c>
      <c r="L301" s="35">
        <v>0</v>
      </c>
      <c r="M301">
        <v>3</v>
      </c>
      <c r="N301">
        <v>0</v>
      </c>
      <c r="O301">
        <v>3</v>
      </c>
      <c r="P301">
        <v>518</v>
      </c>
      <c r="Q301">
        <v>492</v>
      </c>
      <c r="R301">
        <v>434</v>
      </c>
      <c r="S301">
        <v>475</v>
      </c>
      <c r="T301">
        <v>2</v>
      </c>
      <c r="U301">
        <v>0</v>
      </c>
      <c r="V301">
        <v>0</v>
      </c>
      <c r="W301">
        <v>1</v>
      </c>
      <c r="X301" s="23">
        <v>0.00386100386100386</v>
      </c>
      <c r="Y301" s="23">
        <v>0</v>
      </c>
      <c r="Z301" s="23">
        <v>0</v>
      </c>
      <c r="AA301" s="23">
        <v>0.00210526315789474</v>
      </c>
      <c r="AB301">
        <v>0.69</v>
      </c>
      <c r="AC301">
        <v>0</v>
      </c>
      <c r="AD301">
        <v>0</v>
      </c>
      <c r="AE301">
        <v>0.03</v>
      </c>
      <c r="AF301" s="23" t="s">
        <v>482</v>
      </c>
      <c r="AG301" s="23" t="s">
        <v>55</v>
      </c>
      <c r="AH301" s="23" t="s">
        <v>55</v>
      </c>
      <c r="AI301" s="23" t="s">
        <v>835</v>
      </c>
      <c r="AJ301">
        <v>2</v>
      </c>
      <c r="AK301">
        <v>2</v>
      </c>
      <c r="AL301">
        <v>0</v>
      </c>
      <c r="AM301">
        <v>2</v>
      </c>
      <c r="AN301" s="23">
        <v>0</v>
      </c>
      <c r="AO301" s="23">
        <v>0</v>
      </c>
      <c r="AP301" s="23" t="s">
        <v>55</v>
      </c>
      <c r="AQ301" s="23">
        <v>0</v>
      </c>
      <c r="AR301" s="37">
        <v>0</v>
      </c>
      <c r="AS301" s="37">
        <v>0</v>
      </c>
      <c r="AT301" s="37">
        <v>3</v>
      </c>
      <c r="AU301" s="33" t="str">
        <f t="shared" si="8"/>
        <v>库存为3</v>
      </c>
      <c r="AV301" s="38" t="str">
        <f>IFERROR(时间!$B$4+AU301,"上周无销量")</f>
        <v>上周无销量</v>
      </c>
    </row>
    <row r="302" spans="1:48">
      <c r="A302" s="21" t="s">
        <v>836</v>
      </c>
      <c r="B302" t="s">
        <v>837</v>
      </c>
      <c r="C302" t="s">
        <v>828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3</v>
      </c>
      <c r="J302" s="35">
        <v>0</v>
      </c>
      <c r="K302" s="35">
        <v>0</v>
      </c>
      <c r="L302" s="35">
        <v>0</v>
      </c>
      <c r="M302">
        <v>3</v>
      </c>
      <c r="N302">
        <v>0</v>
      </c>
      <c r="O302">
        <v>3</v>
      </c>
      <c r="P302">
        <v>227</v>
      </c>
      <c r="Q302">
        <v>133</v>
      </c>
      <c r="R302">
        <v>158</v>
      </c>
      <c r="S302">
        <v>28</v>
      </c>
      <c r="T302">
        <v>2</v>
      </c>
      <c r="U302">
        <v>0</v>
      </c>
      <c r="V302">
        <v>0</v>
      </c>
      <c r="W302">
        <v>1</v>
      </c>
      <c r="X302" s="23">
        <v>0.00881057268722467</v>
      </c>
      <c r="Y302" s="23">
        <v>0</v>
      </c>
      <c r="Z302" s="23">
        <v>0</v>
      </c>
      <c r="AA302" s="23">
        <v>0.0357142857142857</v>
      </c>
      <c r="AB302">
        <v>0.18</v>
      </c>
      <c r="AC302">
        <v>0</v>
      </c>
      <c r="AD302">
        <v>0</v>
      </c>
      <c r="AE302">
        <v>0.04</v>
      </c>
      <c r="AF302" s="23" t="s">
        <v>838</v>
      </c>
      <c r="AG302" s="23" t="s">
        <v>55</v>
      </c>
      <c r="AH302" s="23" t="s">
        <v>55</v>
      </c>
      <c r="AI302" s="23" t="s">
        <v>221</v>
      </c>
      <c r="AJ302">
        <v>3</v>
      </c>
      <c r="AK302">
        <v>2</v>
      </c>
      <c r="AL302">
        <v>0</v>
      </c>
      <c r="AM302">
        <v>4</v>
      </c>
      <c r="AN302" s="23">
        <v>0</v>
      </c>
      <c r="AO302" s="23">
        <v>0</v>
      </c>
      <c r="AP302" s="23" t="s">
        <v>55</v>
      </c>
      <c r="AQ302" s="23">
        <v>0</v>
      </c>
      <c r="AR302" s="37">
        <v>0</v>
      </c>
      <c r="AS302" s="37">
        <v>0</v>
      </c>
      <c r="AT302" s="37">
        <v>3</v>
      </c>
      <c r="AU302" s="33" t="str">
        <f t="shared" si="8"/>
        <v>库存为3</v>
      </c>
      <c r="AV302" s="38" t="str">
        <f>IFERROR(时间!$B$4+AU302,"上周无销量")</f>
        <v>上周无销量</v>
      </c>
    </row>
    <row r="303" spans="1:48">
      <c r="A303" s="21" t="s">
        <v>839</v>
      </c>
      <c r="B303" t="s">
        <v>840</v>
      </c>
      <c r="C303" t="s">
        <v>828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2</v>
      </c>
      <c r="J303" s="35">
        <v>0</v>
      </c>
      <c r="K303" s="35">
        <v>0</v>
      </c>
      <c r="L303" s="35">
        <v>0</v>
      </c>
      <c r="M303">
        <v>2</v>
      </c>
      <c r="N303">
        <v>0</v>
      </c>
      <c r="O303">
        <v>2</v>
      </c>
      <c r="P303">
        <v>3</v>
      </c>
      <c r="Q303">
        <v>5</v>
      </c>
      <c r="R303">
        <v>2</v>
      </c>
      <c r="S303">
        <v>7</v>
      </c>
      <c r="T303">
        <v>0</v>
      </c>
      <c r="U303">
        <v>0</v>
      </c>
      <c r="V303">
        <v>0</v>
      </c>
      <c r="W303">
        <v>0</v>
      </c>
      <c r="X303" s="23">
        <v>0</v>
      </c>
      <c r="Y303" s="23">
        <v>0</v>
      </c>
      <c r="Z303" s="23">
        <v>0</v>
      </c>
      <c r="AA303" s="23">
        <v>0</v>
      </c>
      <c r="AB303">
        <v>0</v>
      </c>
      <c r="AC303">
        <v>0</v>
      </c>
      <c r="AD303">
        <v>0</v>
      </c>
      <c r="AE303">
        <v>0</v>
      </c>
      <c r="AF303" s="23" t="s">
        <v>55</v>
      </c>
      <c r="AG303" s="23" t="s">
        <v>55</v>
      </c>
      <c r="AH303" s="23" t="s">
        <v>55</v>
      </c>
      <c r="AI303" s="23" t="s">
        <v>55</v>
      </c>
      <c r="AJ303">
        <v>1</v>
      </c>
      <c r="AK303">
        <v>2</v>
      </c>
      <c r="AL303">
        <v>1</v>
      </c>
      <c r="AM303">
        <v>1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2</v>
      </c>
      <c r="AU303" s="33" t="str">
        <f t="shared" si="8"/>
        <v>库存为2</v>
      </c>
      <c r="AV303" s="38" t="str">
        <f>IFERROR(时间!$B$4+AU303,"上周无销量")</f>
        <v>上周无销量</v>
      </c>
    </row>
    <row r="304" spans="1:48">
      <c r="A304" s="21" t="s">
        <v>841</v>
      </c>
      <c r="B304" t="s">
        <v>842</v>
      </c>
      <c r="C304" t="s">
        <v>828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2</v>
      </c>
      <c r="J304" s="35">
        <v>0</v>
      </c>
      <c r="K304" s="35">
        <v>0</v>
      </c>
      <c r="L304" s="35">
        <v>0</v>
      </c>
      <c r="M304">
        <v>2</v>
      </c>
      <c r="N304">
        <v>0</v>
      </c>
      <c r="O304">
        <v>2</v>
      </c>
      <c r="P304">
        <v>566</v>
      </c>
      <c r="Q304">
        <v>418</v>
      </c>
      <c r="R304">
        <v>254</v>
      </c>
      <c r="S304">
        <v>289</v>
      </c>
      <c r="T304">
        <v>2</v>
      </c>
      <c r="U304">
        <v>7</v>
      </c>
      <c r="V304">
        <v>4</v>
      </c>
      <c r="W304">
        <v>6</v>
      </c>
      <c r="X304" s="23">
        <v>0.00353356890459364</v>
      </c>
      <c r="Y304" s="23">
        <v>0.0167464114832536</v>
      </c>
      <c r="Z304" s="23">
        <v>0.015748031496063</v>
      </c>
      <c r="AA304" s="23">
        <v>0.0207612456747405</v>
      </c>
      <c r="AB304">
        <v>0.71</v>
      </c>
      <c r="AC304">
        <v>1.58</v>
      </c>
      <c r="AD304">
        <v>1.19</v>
      </c>
      <c r="AE304">
        <v>1.89</v>
      </c>
      <c r="AF304" s="23" t="s">
        <v>328</v>
      </c>
      <c r="AG304" s="23" t="s">
        <v>843</v>
      </c>
      <c r="AH304" s="23" t="s">
        <v>788</v>
      </c>
      <c r="AI304" s="23" t="s">
        <v>182</v>
      </c>
      <c r="AJ304">
        <v>1</v>
      </c>
      <c r="AK304">
        <v>1</v>
      </c>
      <c r="AL304">
        <v>3</v>
      </c>
      <c r="AM304">
        <v>2</v>
      </c>
      <c r="AN304" s="23">
        <v>0</v>
      </c>
      <c r="AO304" s="23">
        <v>0</v>
      </c>
      <c r="AP304" s="23">
        <v>0</v>
      </c>
      <c r="AQ304" s="23">
        <v>0</v>
      </c>
      <c r="AR304" s="37">
        <v>0</v>
      </c>
      <c r="AS304" s="37">
        <v>0</v>
      </c>
      <c r="AT304" s="37">
        <v>2</v>
      </c>
      <c r="AU304" s="33" t="str">
        <f t="shared" si="8"/>
        <v>库存为2</v>
      </c>
      <c r="AV304" s="38" t="str">
        <f>IFERROR(时间!$B$4+AU304,"上周无销量")</f>
        <v>上周无销量</v>
      </c>
    </row>
    <row r="305" spans="1:48">
      <c r="A305" s="21" t="s">
        <v>844</v>
      </c>
      <c r="B305" t="s">
        <v>845</v>
      </c>
      <c r="C305" t="s">
        <v>828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3</v>
      </c>
      <c r="J305" s="35">
        <v>0</v>
      </c>
      <c r="K305" s="35">
        <v>0</v>
      </c>
      <c r="L305" s="35">
        <v>0</v>
      </c>
      <c r="M305">
        <v>3</v>
      </c>
      <c r="N305">
        <v>0</v>
      </c>
      <c r="O305">
        <v>3</v>
      </c>
      <c r="P305">
        <v>2</v>
      </c>
      <c r="Q305">
        <v>0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 s="23">
        <v>0</v>
      </c>
      <c r="Y305" s="23" t="s">
        <v>55</v>
      </c>
      <c r="Z305" s="23">
        <v>0</v>
      </c>
      <c r="AA305" s="23" t="s">
        <v>55</v>
      </c>
      <c r="AB305">
        <v>0</v>
      </c>
      <c r="AC305">
        <v>0</v>
      </c>
      <c r="AD305">
        <v>0</v>
      </c>
      <c r="AE305">
        <v>0</v>
      </c>
      <c r="AF305" s="23" t="s">
        <v>55</v>
      </c>
      <c r="AG305" s="23" t="s">
        <v>55</v>
      </c>
      <c r="AH305" s="23" t="s">
        <v>55</v>
      </c>
      <c r="AI305" s="23" t="s">
        <v>55</v>
      </c>
      <c r="AJ305">
        <v>2</v>
      </c>
      <c r="AK305">
        <v>1</v>
      </c>
      <c r="AL305">
        <v>1</v>
      </c>
      <c r="AM305">
        <v>2</v>
      </c>
      <c r="AN305" s="23">
        <v>0</v>
      </c>
      <c r="AO305" s="23">
        <v>0</v>
      </c>
      <c r="AP305" s="23">
        <v>0</v>
      </c>
      <c r="AQ305" s="23">
        <v>0</v>
      </c>
      <c r="AR305" s="37">
        <v>0</v>
      </c>
      <c r="AS305" s="37">
        <v>0</v>
      </c>
      <c r="AT305" s="37">
        <v>3</v>
      </c>
      <c r="AU305" s="33" t="str">
        <f t="shared" si="8"/>
        <v>库存为3</v>
      </c>
      <c r="AV305" s="38" t="str">
        <f>IFERROR(时间!$B$4+AU305,"上周无销量")</f>
        <v>上周无销量</v>
      </c>
    </row>
    <row r="306" spans="1:48">
      <c r="A306" s="21" t="s">
        <v>846</v>
      </c>
      <c r="B306" t="s">
        <v>847</v>
      </c>
      <c r="C306" t="s">
        <v>848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0</v>
      </c>
      <c r="J306" s="35">
        <v>0</v>
      </c>
      <c r="K306" s="35">
        <v>0</v>
      </c>
      <c r="L306" s="35">
        <v>0</v>
      </c>
      <c r="M306">
        <v>0</v>
      </c>
      <c r="N306">
        <v>0</v>
      </c>
      <c r="O306">
        <v>0</v>
      </c>
      <c r="P306" t="s">
        <v>55</v>
      </c>
      <c r="Q306" t="s">
        <v>55</v>
      </c>
      <c r="R306" t="s">
        <v>55</v>
      </c>
      <c r="S306" t="s">
        <v>55</v>
      </c>
      <c r="T306" t="s">
        <v>55</v>
      </c>
      <c r="U306" t="s">
        <v>55</v>
      </c>
      <c r="V306" t="s">
        <v>55</v>
      </c>
      <c r="W306" t="s">
        <v>55</v>
      </c>
      <c r="X306" s="23" t="s">
        <v>55</v>
      </c>
      <c r="Y306" s="23" t="s">
        <v>55</v>
      </c>
      <c r="Z306" s="23" t="s">
        <v>55</v>
      </c>
      <c r="AA306" s="23" t="s">
        <v>55</v>
      </c>
      <c r="AB306" t="s">
        <v>55</v>
      </c>
      <c r="AC306" t="s">
        <v>55</v>
      </c>
      <c r="AD306" t="s">
        <v>55</v>
      </c>
      <c r="AE306" t="s">
        <v>55</v>
      </c>
      <c r="AF306" s="23" t="s">
        <v>55</v>
      </c>
      <c r="AG306" s="23" t="s">
        <v>55</v>
      </c>
      <c r="AH306" s="23" t="s">
        <v>55</v>
      </c>
      <c r="AI306" s="23" t="s">
        <v>55</v>
      </c>
      <c r="AJ306">
        <v>0</v>
      </c>
      <c r="AK306">
        <v>0</v>
      </c>
      <c r="AL306">
        <v>0</v>
      </c>
      <c r="AM306">
        <v>0</v>
      </c>
      <c r="AN306" s="23" t="s">
        <v>55</v>
      </c>
      <c r="AO306" s="23" t="s">
        <v>55</v>
      </c>
      <c r="AP306" s="23" t="s">
        <v>55</v>
      </c>
      <c r="AQ306" s="23" t="s">
        <v>55</v>
      </c>
      <c r="AR306" s="37">
        <v>0</v>
      </c>
      <c r="AS306" s="37">
        <v>0</v>
      </c>
      <c r="AT306" s="37">
        <v>0</v>
      </c>
      <c r="AU306" s="33" t="str">
        <f t="shared" si="8"/>
        <v>库存为0</v>
      </c>
      <c r="AV306" s="38" t="str">
        <f>IFERROR(时间!$B$4+AU306,"上周无销量")</f>
        <v>上周无销量</v>
      </c>
    </row>
    <row r="307" spans="1:48">
      <c r="A307" s="21" t="s">
        <v>849</v>
      </c>
      <c r="B307" t="s">
        <v>850</v>
      </c>
      <c r="C307" t="s">
        <v>851</v>
      </c>
      <c r="D307" s="33">
        <v>1</v>
      </c>
      <c r="E307" s="33">
        <v>1</v>
      </c>
      <c r="F307" s="33">
        <v>0</v>
      </c>
      <c r="G307" s="33">
        <v>0</v>
      </c>
      <c r="H307" s="34">
        <v>5.59</v>
      </c>
      <c r="I307">
        <v>71</v>
      </c>
      <c r="J307" s="35">
        <v>0</v>
      </c>
      <c r="K307" s="35">
        <v>0</v>
      </c>
      <c r="L307" s="35">
        <v>0</v>
      </c>
      <c r="M307">
        <v>71</v>
      </c>
      <c r="N307">
        <v>0</v>
      </c>
      <c r="O307">
        <v>71</v>
      </c>
      <c r="P307">
        <v>571</v>
      </c>
      <c r="Q307">
        <v>408</v>
      </c>
      <c r="R307">
        <v>912</v>
      </c>
      <c r="S307">
        <v>878</v>
      </c>
      <c r="T307">
        <v>0</v>
      </c>
      <c r="U307">
        <v>0</v>
      </c>
      <c r="V307">
        <v>6</v>
      </c>
      <c r="W307">
        <v>3</v>
      </c>
      <c r="X307" s="23">
        <v>0</v>
      </c>
      <c r="Y307" s="23">
        <v>0</v>
      </c>
      <c r="Z307" s="23">
        <v>0.00657894736842105</v>
      </c>
      <c r="AA307" s="23">
        <v>0.00341685649202733</v>
      </c>
      <c r="AB307">
        <v>0</v>
      </c>
      <c r="AC307">
        <v>0</v>
      </c>
      <c r="AD307">
        <v>2.41</v>
      </c>
      <c r="AE307">
        <v>0.98</v>
      </c>
      <c r="AF307" s="23" t="s">
        <v>55</v>
      </c>
      <c r="AG307" s="23" t="s">
        <v>55</v>
      </c>
      <c r="AH307" s="23" t="s">
        <v>513</v>
      </c>
      <c r="AI307" s="23" t="s">
        <v>852</v>
      </c>
      <c r="AJ307">
        <v>2</v>
      </c>
      <c r="AK307">
        <v>9</v>
      </c>
      <c r="AL307">
        <v>3</v>
      </c>
      <c r="AM307">
        <v>2</v>
      </c>
      <c r="AN307" s="23">
        <v>0.5</v>
      </c>
      <c r="AO307" s="23">
        <v>0.111111111111111</v>
      </c>
      <c r="AP307" s="23">
        <v>0</v>
      </c>
      <c r="AQ307" s="23">
        <v>0</v>
      </c>
      <c r="AR307" s="37">
        <v>0.142857142857143</v>
      </c>
      <c r="AS307" s="37">
        <v>8.57142857142857</v>
      </c>
      <c r="AT307" s="37">
        <v>62.4285714285714</v>
      </c>
      <c r="AU307" s="33">
        <f t="shared" si="8"/>
        <v>497</v>
      </c>
      <c r="AV307" s="38">
        <f>IFERROR(时间!$B$4+AU307,"上周无销量")</f>
        <v>43780</v>
      </c>
    </row>
    <row r="308" spans="1:48">
      <c r="A308" s="21" t="s">
        <v>853</v>
      </c>
      <c r="B308" t="s">
        <v>854</v>
      </c>
      <c r="C308" t="s">
        <v>855</v>
      </c>
      <c r="D308" s="33">
        <v>0</v>
      </c>
      <c r="E308" s="33">
        <v>0</v>
      </c>
      <c r="F308" s="33">
        <v>1</v>
      </c>
      <c r="G308" s="33">
        <v>0</v>
      </c>
      <c r="H308" s="34">
        <v>4.71</v>
      </c>
      <c r="I308">
        <v>57</v>
      </c>
      <c r="J308" s="35">
        <v>0</v>
      </c>
      <c r="K308" s="35">
        <v>0</v>
      </c>
      <c r="L308" s="35">
        <v>0</v>
      </c>
      <c r="M308">
        <v>57</v>
      </c>
      <c r="N308">
        <v>0</v>
      </c>
      <c r="O308">
        <v>57</v>
      </c>
      <c r="P308">
        <v>550</v>
      </c>
      <c r="Q308">
        <v>1232</v>
      </c>
      <c r="R308">
        <v>5273</v>
      </c>
      <c r="S308">
        <v>5230</v>
      </c>
      <c r="T308">
        <v>0</v>
      </c>
      <c r="U308">
        <v>3</v>
      </c>
      <c r="V308">
        <v>7</v>
      </c>
      <c r="W308">
        <v>11</v>
      </c>
      <c r="X308" s="23">
        <v>0</v>
      </c>
      <c r="Y308" s="23">
        <v>0.00243506493506494</v>
      </c>
      <c r="Z308" s="23">
        <v>0.00132751754219609</v>
      </c>
      <c r="AA308" s="23">
        <v>0.00210325047801147</v>
      </c>
      <c r="AB308">
        <v>0</v>
      </c>
      <c r="AC308">
        <v>0.89</v>
      </c>
      <c r="AD308">
        <v>2.58</v>
      </c>
      <c r="AE308">
        <v>4.77</v>
      </c>
      <c r="AF308" s="23" t="s">
        <v>55</v>
      </c>
      <c r="AG308" s="23" t="s">
        <v>856</v>
      </c>
      <c r="AH308" s="23">
        <v>0.547770700636943</v>
      </c>
      <c r="AI308" s="23" t="s">
        <v>857</v>
      </c>
      <c r="AJ308">
        <v>2</v>
      </c>
      <c r="AK308">
        <v>3</v>
      </c>
      <c r="AL308">
        <v>5</v>
      </c>
      <c r="AM308">
        <v>5</v>
      </c>
      <c r="AN308" s="23">
        <v>0</v>
      </c>
      <c r="AO308" s="23">
        <v>0</v>
      </c>
      <c r="AP308" s="23">
        <v>0.2</v>
      </c>
      <c r="AQ308" s="23">
        <v>0</v>
      </c>
      <c r="AR308" s="37">
        <v>0</v>
      </c>
      <c r="AS308" s="37">
        <v>0</v>
      </c>
      <c r="AT308" s="37">
        <v>57</v>
      </c>
      <c r="AU308" s="33" t="str">
        <f t="shared" si="8"/>
        <v>库存为57</v>
      </c>
      <c r="AV308" s="38" t="str">
        <f>IFERROR(时间!$B$4+AU308,"上周无销量")</f>
        <v>上周无销量</v>
      </c>
    </row>
    <row r="309" spans="1:48">
      <c r="A309" s="21" t="s">
        <v>858</v>
      </c>
      <c r="B309" t="s">
        <v>859</v>
      </c>
      <c r="C309" t="s">
        <v>860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33</v>
      </c>
      <c r="J309" s="35">
        <v>0</v>
      </c>
      <c r="K309" s="35">
        <v>0</v>
      </c>
      <c r="L309" s="35">
        <v>1</v>
      </c>
      <c r="M309">
        <v>34</v>
      </c>
      <c r="N309">
        <v>0</v>
      </c>
      <c r="O309">
        <v>34</v>
      </c>
      <c r="P309">
        <v>1182</v>
      </c>
      <c r="Q309">
        <v>1710</v>
      </c>
      <c r="R309">
        <v>753</v>
      </c>
      <c r="S309">
        <v>711</v>
      </c>
      <c r="T309">
        <v>0</v>
      </c>
      <c r="U309">
        <v>3</v>
      </c>
      <c r="V309">
        <v>1</v>
      </c>
      <c r="W309">
        <v>0</v>
      </c>
      <c r="X309" s="23">
        <v>0</v>
      </c>
      <c r="Y309" s="23">
        <v>0.00175438596491228</v>
      </c>
      <c r="Z309" s="23">
        <v>0.00132802124833997</v>
      </c>
      <c r="AA309" s="23">
        <v>0</v>
      </c>
      <c r="AB309">
        <v>0</v>
      </c>
      <c r="AC309">
        <v>1.17</v>
      </c>
      <c r="AD309">
        <v>0.52</v>
      </c>
      <c r="AE309">
        <v>0</v>
      </c>
      <c r="AF309" s="23" t="s">
        <v>55</v>
      </c>
      <c r="AG309" s="23" t="s">
        <v>309</v>
      </c>
      <c r="AH309" s="23" t="s">
        <v>491</v>
      </c>
      <c r="AI309" s="23" t="s">
        <v>55</v>
      </c>
      <c r="AJ309">
        <v>2</v>
      </c>
      <c r="AK309">
        <v>3</v>
      </c>
      <c r="AL309">
        <v>1</v>
      </c>
      <c r="AM309">
        <v>2</v>
      </c>
      <c r="AN309" s="23">
        <v>0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34</v>
      </c>
      <c r="AU309" s="33" t="str">
        <f t="shared" si="8"/>
        <v>库存为34</v>
      </c>
      <c r="AV309" s="38" t="str">
        <f>IFERROR(时间!$B$4+AU309,"上周无销量")</f>
        <v>上周无销量</v>
      </c>
    </row>
    <row r="310" spans="1:48">
      <c r="A310" s="21" t="s">
        <v>861</v>
      </c>
      <c r="B310" t="s">
        <v>862</v>
      </c>
      <c r="C310" t="s">
        <v>863</v>
      </c>
      <c r="D310" s="33">
        <v>1</v>
      </c>
      <c r="E310" s="33">
        <v>0</v>
      </c>
      <c r="F310" s="33">
        <v>0</v>
      </c>
      <c r="G310" s="33">
        <v>0</v>
      </c>
      <c r="H310" s="34">
        <v>6.99</v>
      </c>
      <c r="I310">
        <v>9</v>
      </c>
      <c r="J310" s="35">
        <v>0</v>
      </c>
      <c r="K310" s="35">
        <v>0</v>
      </c>
      <c r="L310" s="35">
        <v>0</v>
      </c>
      <c r="M310">
        <v>9</v>
      </c>
      <c r="N310">
        <v>0</v>
      </c>
      <c r="O310">
        <v>10</v>
      </c>
      <c r="P310">
        <v>8292</v>
      </c>
      <c r="Q310">
        <v>4074</v>
      </c>
      <c r="R310">
        <v>6040</v>
      </c>
      <c r="S310">
        <v>5556</v>
      </c>
      <c r="T310">
        <v>26</v>
      </c>
      <c r="U310">
        <v>23</v>
      </c>
      <c r="V310">
        <v>18</v>
      </c>
      <c r="W310">
        <v>17</v>
      </c>
      <c r="X310" s="23">
        <v>0.00313555233960444</v>
      </c>
      <c r="Y310" s="23">
        <v>0.00564555719194894</v>
      </c>
      <c r="Z310" s="23">
        <v>0.00298013245033113</v>
      </c>
      <c r="AA310" s="23">
        <v>0.00305975521958243</v>
      </c>
      <c r="AB310">
        <v>10.06</v>
      </c>
      <c r="AC310">
        <v>10.55</v>
      </c>
      <c r="AD310">
        <v>8.11</v>
      </c>
      <c r="AE310">
        <v>7.13</v>
      </c>
      <c r="AF310" s="23">
        <v>1.43919885550787</v>
      </c>
      <c r="AG310" s="23" t="s">
        <v>864</v>
      </c>
      <c r="AH310" s="23" t="s">
        <v>865</v>
      </c>
      <c r="AI310" s="23" t="s">
        <v>866</v>
      </c>
      <c r="AJ310">
        <v>7</v>
      </c>
      <c r="AK310">
        <v>4</v>
      </c>
      <c r="AL310">
        <v>4</v>
      </c>
      <c r="AM310">
        <v>8</v>
      </c>
      <c r="AN310" s="23">
        <v>0.142857142857143</v>
      </c>
      <c r="AO310" s="23">
        <v>0</v>
      </c>
      <c r="AP310" s="23">
        <v>0</v>
      </c>
      <c r="AQ310" s="23">
        <v>0</v>
      </c>
      <c r="AR310" s="37">
        <v>0.142857142857143</v>
      </c>
      <c r="AS310" s="37">
        <v>8.57142857142857</v>
      </c>
      <c r="AT310" s="37">
        <v>0.428571428571429</v>
      </c>
      <c r="AU310" s="33">
        <f t="shared" si="8"/>
        <v>63</v>
      </c>
      <c r="AV310" s="38">
        <f>IFERROR(时间!$B$4+AU310,"上周无销量")</f>
        <v>43346</v>
      </c>
    </row>
    <row r="311" spans="1:48">
      <c r="A311" s="21" t="s">
        <v>867</v>
      </c>
      <c r="B311" t="s">
        <v>868</v>
      </c>
      <c r="C311" t="s">
        <v>863</v>
      </c>
      <c r="D311" s="33">
        <v>2</v>
      </c>
      <c r="E311" s="33">
        <v>0</v>
      </c>
      <c r="F311" s="33">
        <v>0</v>
      </c>
      <c r="G311" s="33">
        <v>0</v>
      </c>
      <c r="H311" s="34">
        <v>6.99</v>
      </c>
      <c r="I311">
        <v>12</v>
      </c>
      <c r="J311" s="35">
        <v>0</v>
      </c>
      <c r="K311" s="35">
        <v>0</v>
      </c>
      <c r="L311" s="35">
        <v>0</v>
      </c>
      <c r="M311">
        <v>12</v>
      </c>
      <c r="N311">
        <v>0</v>
      </c>
      <c r="O311">
        <v>14</v>
      </c>
      <c r="P311">
        <v>2193</v>
      </c>
      <c r="Q311">
        <v>2495</v>
      </c>
      <c r="R311">
        <v>1446</v>
      </c>
      <c r="S311">
        <v>1369</v>
      </c>
      <c r="T311">
        <v>4</v>
      </c>
      <c r="U311">
        <v>5</v>
      </c>
      <c r="V311">
        <v>3</v>
      </c>
      <c r="W311">
        <v>4</v>
      </c>
      <c r="X311" s="23">
        <v>0.00182398540811674</v>
      </c>
      <c r="Y311" s="23">
        <v>0.00200400801603206</v>
      </c>
      <c r="Z311" s="23">
        <v>0.0020746887966805</v>
      </c>
      <c r="AA311" s="23">
        <v>0.0029218407596786</v>
      </c>
      <c r="AB311">
        <v>1.4</v>
      </c>
      <c r="AC311">
        <v>1.83</v>
      </c>
      <c r="AD311">
        <v>1.67</v>
      </c>
      <c r="AE311">
        <v>1.74</v>
      </c>
      <c r="AF311" s="23">
        <v>0.100143061516452</v>
      </c>
      <c r="AG311" s="23" t="s">
        <v>869</v>
      </c>
      <c r="AH311" s="23" t="s">
        <v>56</v>
      </c>
      <c r="AI311" s="23" t="s">
        <v>870</v>
      </c>
      <c r="AJ311">
        <v>4</v>
      </c>
      <c r="AK311">
        <v>0</v>
      </c>
      <c r="AL311">
        <v>0</v>
      </c>
      <c r="AM311">
        <v>7</v>
      </c>
      <c r="AN311" s="23">
        <v>0.5</v>
      </c>
      <c r="AO311" s="23" t="s">
        <v>55</v>
      </c>
      <c r="AP311" s="23" t="s">
        <v>55</v>
      </c>
      <c r="AQ311" s="23">
        <v>0</v>
      </c>
      <c r="AR311" s="37">
        <v>0.285714285714286</v>
      </c>
      <c r="AS311" s="37">
        <v>17.1428571428571</v>
      </c>
      <c r="AT311" s="37">
        <v>-5.14285714285714</v>
      </c>
      <c r="AU311" s="33">
        <f t="shared" si="8"/>
        <v>42</v>
      </c>
      <c r="AV311" s="38">
        <f>IFERROR(时间!$B$4+AU311,"上周无销量")</f>
        <v>43325</v>
      </c>
    </row>
    <row r="312" spans="1:48">
      <c r="A312" s="21" t="s">
        <v>871</v>
      </c>
      <c r="B312" t="s">
        <v>872</v>
      </c>
      <c r="C312" t="s">
        <v>873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11</v>
      </c>
      <c r="J312" s="35">
        <v>0</v>
      </c>
      <c r="K312" s="35">
        <v>0</v>
      </c>
      <c r="L312" s="35">
        <v>0</v>
      </c>
      <c r="M312">
        <v>11</v>
      </c>
      <c r="N312">
        <v>0</v>
      </c>
      <c r="O312">
        <v>10</v>
      </c>
      <c r="P312">
        <v>272</v>
      </c>
      <c r="Q312">
        <v>860</v>
      </c>
      <c r="R312">
        <v>2116</v>
      </c>
      <c r="S312">
        <v>4511</v>
      </c>
      <c r="T312">
        <v>0</v>
      </c>
      <c r="U312">
        <v>3</v>
      </c>
      <c r="V312">
        <v>6</v>
      </c>
      <c r="W312">
        <v>3</v>
      </c>
      <c r="X312" s="23">
        <v>0</v>
      </c>
      <c r="Y312" s="23">
        <v>0.00348837209302326</v>
      </c>
      <c r="Z312" s="23">
        <v>0.00283553875236295</v>
      </c>
      <c r="AA312" s="23">
        <v>0.000665041010862337</v>
      </c>
      <c r="AB312">
        <v>0</v>
      </c>
      <c r="AC312">
        <v>1.71</v>
      </c>
      <c r="AD312">
        <v>2.83</v>
      </c>
      <c r="AE312">
        <v>1.16</v>
      </c>
      <c r="AF312" s="23" t="s">
        <v>55</v>
      </c>
      <c r="AG312" s="23" t="s">
        <v>874</v>
      </c>
      <c r="AH312" s="23" t="s">
        <v>875</v>
      </c>
      <c r="AI312" s="23" t="s">
        <v>459</v>
      </c>
      <c r="AJ312">
        <v>3</v>
      </c>
      <c r="AK312">
        <v>5</v>
      </c>
      <c r="AL312">
        <v>1</v>
      </c>
      <c r="AM312">
        <v>2</v>
      </c>
      <c r="AN312" s="23">
        <v>0</v>
      </c>
      <c r="AO312" s="23">
        <v>0</v>
      </c>
      <c r="AP312" s="23">
        <v>0</v>
      </c>
      <c r="AQ312" s="23">
        <v>0</v>
      </c>
      <c r="AR312" s="37">
        <v>0</v>
      </c>
      <c r="AS312" s="37">
        <v>0</v>
      </c>
      <c r="AT312" s="37">
        <v>11</v>
      </c>
      <c r="AU312" s="33" t="str">
        <f t="shared" si="8"/>
        <v>库存为11</v>
      </c>
      <c r="AV312" s="38" t="str">
        <f>IFERROR(时间!$B$4+AU312,"上周无销量")</f>
        <v>上周无销量</v>
      </c>
    </row>
    <row r="313" spans="1:48">
      <c r="A313" s="21" t="s">
        <v>876</v>
      </c>
      <c r="B313" t="s">
        <v>877</v>
      </c>
      <c r="C313" t="s">
        <v>873</v>
      </c>
      <c r="D313" s="33">
        <v>0</v>
      </c>
      <c r="E313" s="33">
        <v>0</v>
      </c>
      <c r="F313" s="33">
        <v>1</v>
      </c>
      <c r="G313" s="33">
        <v>0</v>
      </c>
      <c r="H313" s="34">
        <v>18.99</v>
      </c>
      <c r="I313">
        <v>8</v>
      </c>
      <c r="J313" s="35">
        <v>0</v>
      </c>
      <c r="K313" s="35">
        <v>0</v>
      </c>
      <c r="L313" s="35">
        <v>0</v>
      </c>
      <c r="M313">
        <v>8</v>
      </c>
      <c r="N313">
        <v>0</v>
      </c>
      <c r="O313">
        <v>7</v>
      </c>
      <c r="P313">
        <v>687</v>
      </c>
      <c r="Q313">
        <v>433</v>
      </c>
      <c r="R313">
        <v>743</v>
      </c>
      <c r="S313">
        <v>2100</v>
      </c>
      <c r="T313">
        <v>2</v>
      </c>
      <c r="U313">
        <v>0</v>
      </c>
      <c r="V313">
        <v>5</v>
      </c>
      <c r="W313">
        <v>5</v>
      </c>
      <c r="X313" s="23">
        <v>0.00291120815138282</v>
      </c>
      <c r="Y313" s="23">
        <v>0</v>
      </c>
      <c r="Z313" s="23">
        <v>0.00672947510094213</v>
      </c>
      <c r="AA313" s="23">
        <v>0.00238095238095238</v>
      </c>
      <c r="AB313">
        <v>0.64</v>
      </c>
      <c r="AC313">
        <v>0</v>
      </c>
      <c r="AD313">
        <v>1.27</v>
      </c>
      <c r="AE313">
        <v>1.6</v>
      </c>
      <c r="AF313" s="23" t="s">
        <v>878</v>
      </c>
      <c r="AG313" s="23" t="s">
        <v>55</v>
      </c>
      <c r="AH313" s="23">
        <v>0.0668773038441285</v>
      </c>
      <c r="AI313" s="23" t="s">
        <v>468</v>
      </c>
      <c r="AJ313">
        <v>3</v>
      </c>
      <c r="AK313">
        <v>2</v>
      </c>
      <c r="AL313">
        <v>5</v>
      </c>
      <c r="AM313">
        <v>1</v>
      </c>
      <c r="AN313" s="23">
        <v>0</v>
      </c>
      <c r="AO313" s="23">
        <v>0</v>
      </c>
      <c r="AP313" s="23">
        <v>0.2</v>
      </c>
      <c r="AQ313" s="23">
        <v>0</v>
      </c>
      <c r="AR313" s="37">
        <v>0</v>
      </c>
      <c r="AS313" s="37">
        <v>0</v>
      </c>
      <c r="AT313" s="37">
        <v>8</v>
      </c>
      <c r="AU313" s="33" t="str">
        <f t="shared" si="8"/>
        <v>库存为8</v>
      </c>
      <c r="AV313" s="38" t="str">
        <f>IFERROR(时间!$B$4+AU313,"上周无销量")</f>
        <v>上周无销量</v>
      </c>
    </row>
    <row r="314" spans="1:48">
      <c r="A314" s="21" t="s">
        <v>879</v>
      </c>
      <c r="B314" t="s">
        <v>880</v>
      </c>
      <c r="C314" t="s">
        <v>873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4</v>
      </c>
      <c r="J314" s="35">
        <v>0</v>
      </c>
      <c r="K314" s="35">
        <v>0</v>
      </c>
      <c r="L314" s="35">
        <v>0</v>
      </c>
      <c r="M314">
        <v>4</v>
      </c>
      <c r="N314">
        <v>0</v>
      </c>
      <c r="O314">
        <v>3</v>
      </c>
      <c r="P314">
        <v>1687</v>
      </c>
      <c r="Q314">
        <v>157</v>
      </c>
      <c r="R314">
        <v>436</v>
      </c>
      <c r="S314">
        <v>745</v>
      </c>
      <c r="T314">
        <v>3</v>
      </c>
      <c r="U314">
        <v>0</v>
      </c>
      <c r="V314">
        <v>1</v>
      </c>
      <c r="W314">
        <v>2</v>
      </c>
      <c r="X314" s="23">
        <v>0.001778304682869</v>
      </c>
      <c r="Y314" s="23">
        <v>0</v>
      </c>
      <c r="Z314" s="23">
        <v>0.00229357798165138</v>
      </c>
      <c r="AA314" s="23">
        <v>0.00268456375838926</v>
      </c>
      <c r="AB314">
        <v>1.32</v>
      </c>
      <c r="AC314">
        <v>0</v>
      </c>
      <c r="AD314">
        <v>0.32</v>
      </c>
      <c r="AE314">
        <v>0.62</v>
      </c>
      <c r="AF314" s="23" t="s">
        <v>881</v>
      </c>
      <c r="AG314" s="23" t="s">
        <v>55</v>
      </c>
      <c r="AH314" s="23" t="s">
        <v>143</v>
      </c>
      <c r="AI314" s="23" t="s">
        <v>882</v>
      </c>
      <c r="AJ314">
        <v>5</v>
      </c>
      <c r="AK314">
        <v>2</v>
      </c>
      <c r="AL314">
        <v>4</v>
      </c>
      <c r="AM314">
        <v>2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4</v>
      </c>
      <c r="AU314" s="33" t="str">
        <f t="shared" si="8"/>
        <v>库存为4</v>
      </c>
      <c r="AV314" s="38" t="str">
        <f>IFERROR(时间!$B$4+AU314,"上周无销量")</f>
        <v>上周无销量</v>
      </c>
    </row>
    <row r="315" spans="1:48">
      <c r="A315" s="21" t="s">
        <v>883</v>
      </c>
      <c r="B315" t="s">
        <v>884</v>
      </c>
      <c r="C315" t="s">
        <v>885</v>
      </c>
      <c r="D315" s="33">
        <v>0</v>
      </c>
      <c r="E315" s="33">
        <v>0</v>
      </c>
      <c r="F315" s="33">
        <v>1</v>
      </c>
      <c r="G315" s="33">
        <v>0</v>
      </c>
      <c r="H315" s="34">
        <v>18.99</v>
      </c>
      <c r="I315">
        <v>7</v>
      </c>
      <c r="J315" s="35">
        <v>0</v>
      </c>
      <c r="K315" s="35">
        <v>0</v>
      </c>
      <c r="L315" s="35">
        <v>0</v>
      </c>
      <c r="M315">
        <v>7</v>
      </c>
      <c r="N315">
        <v>0</v>
      </c>
      <c r="O315">
        <v>7</v>
      </c>
      <c r="P315">
        <v>730</v>
      </c>
      <c r="Q315">
        <v>405</v>
      </c>
      <c r="R315">
        <v>486</v>
      </c>
      <c r="S315">
        <v>1042</v>
      </c>
      <c r="T315">
        <v>4</v>
      </c>
      <c r="U315">
        <v>0</v>
      </c>
      <c r="V315">
        <v>0</v>
      </c>
      <c r="W315">
        <v>2</v>
      </c>
      <c r="X315" s="23">
        <v>0.00547945205479452</v>
      </c>
      <c r="Y315" s="23">
        <v>0</v>
      </c>
      <c r="Z315" s="23">
        <v>0</v>
      </c>
      <c r="AA315" s="23">
        <v>0.00191938579654511</v>
      </c>
      <c r="AB315">
        <v>1.5</v>
      </c>
      <c r="AC315">
        <v>0</v>
      </c>
      <c r="AD315">
        <v>0</v>
      </c>
      <c r="AE315">
        <v>0.75</v>
      </c>
      <c r="AF315" s="23" t="s">
        <v>886</v>
      </c>
      <c r="AG315" s="23" t="s">
        <v>55</v>
      </c>
      <c r="AH315" s="23" t="s">
        <v>55</v>
      </c>
      <c r="AI315" s="23" t="s">
        <v>422</v>
      </c>
      <c r="AJ315">
        <v>6</v>
      </c>
      <c r="AK315">
        <v>10</v>
      </c>
      <c r="AL315">
        <v>5</v>
      </c>
      <c r="AM315">
        <v>5</v>
      </c>
      <c r="AN315" s="23">
        <v>0</v>
      </c>
      <c r="AO315" s="23">
        <v>0</v>
      </c>
      <c r="AP315" s="23">
        <v>0.2</v>
      </c>
      <c r="AQ315" s="23">
        <v>0</v>
      </c>
      <c r="AR315" s="37">
        <v>0</v>
      </c>
      <c r="AS315" s="37">
        <v>0</v>
      </c>
      <c r="AT315" s="37">
        <v>7</v>
      </c>
      <c r="AU315" s="33" t="str">
        <f t="shared" si="8"/>
        <v>库存为7</v>
      </c>
      <c r="AV315" s="38" t="str">
        <f>IFERROR(时间!$B$4+AU315,"上周无销量")</f>
        <v>上周无销量</v>
      </c>
    </row>
    <row r="316" spans="1:48">
      <c r="A316" s="21" t="s">
        <v>887</v>
      </c>
      <c r="B316" t="s">
        <v>888</v>
      </c>
      <c r="C316" t="s">
        <v>885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11</v>
      </c>
      <c r="J316" s="35">
        <v>0</v>
      </c>
      <c r="K316" s="35">
        <v>0</v>
      </c>
      <c r="L316" s="35">
        <v>0</v>
      </c>
      <c r="M316">
        <v>11</v>
      </c>
      <c r="N316">
        <v>0</v>
      </c>
      <c r="O316">
        <v>11</v>
      </c>
      <c r="P316">
        <v>530</v>
      </c>
      <c r="Q316">
        <v>1016</v>
      </c>
      <c r="R316">
        <v>976</v>
      </c>
      <c r="S316">
        <v>1775</v>
      </c>
      <c r="T316">
        <v>2</v>
      </c>
      <c r="U316">
        <v>3</v>
      </c>
      <c r="V316">
        <v>3</v>
      </c>
      <c r="W316">
        <v>10</v>
      </c>
      <c r="X316" s="23">
        <v>0.00377358490566038</v>
      </c>
      <c r="Y316" s="23">
        <v>0.00295275590551181</v>
      </c>
      <c r="Z316" s="23">
        <v>0.00307377049180328</v>
      </c>
      <c r="AA316" s="23">
        <v>0.00563380281690141</v>
      </c>
      <c r="AB316">
        <v>0.72</v>
      </c>
      <c r="AC316">
        <v>1.16</v>
      </c>
      <c r="AD316">
        <v>1.04</v>
      </c>
      <c r="AE316">
        <v>4.15</v>
      </c>
      <c r="AF316" s="23" t="s">
        <v>889</v>
      </c>
      <c r="AG316" s="23" t="s">
        <v>459</v>
      </c>
      <c r="AH316" s="23" t="s">
        <v>890</v>
      </c>
      <c r="AI316" s="23" t="s">
        <v>495</v>
      </c>
      <c r="AJ316">
        <v>3</v>
      </c>
      <c r="AK316">
        <v>5</v>
      </c>
      <c r="AL316">
        <v>3</v>
      </c>
      <c r="AM316">
        <v>3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11</v>
      </c>
      <c r="AU316" s="33" t="str">
        <f t="shared" si="8"/>
        <v>库存为11</v>
      </c>
      <c r="AV316" s="38" t="str">
        <f>IFERROR(时间!$B$4+AU316,"上周无销量")</f>
        <v>上周无销量</v>
      </c>
    </row>
    <row r="317" spans="1:48">
      <c r="A317" s="21" t="s">
        <v>891</v>
      </c>
      <c r="B317" t="s">
        <v>892</v>
      </c>
      <c r="C317" t="s">
        <v>885</v>
      </c>
      <c r="D317" s="33">
        <v>0</v>
      </c>
      <c r="E317" s="33">
        <v>2</v>
      </c>
      <c r="F317" s="33">
        <v>0</v>
      </c>
      <c r="G317" s="33">
        <v>0</v>
      </c>
      <c r="H317" s="34">
        <v>18.99</v>
      </c>
      <c r="I317">
        <v>7</v>
      </c>
      <c r="J317" s="35">
        <v>0</v>
      </c>
      <c r="K317" s="35">
        <v>0</v>
      </c>
      <c r="L317" s="35">
        <v>0</v>
      </c>
      <c r="M317">
        <v>7</v>
      </c>
      <c r="N317">
        <v>0</v>
      </c>
      <c r="O317">
        <v>7</v>
      </c>
      <c r="P317">
        <v>250</v>
      </c>
      <c r="Q317">
        <v>337</v>
      </c>
      <c r="R317">
        <v>736</v>
      </c>
      <c r="S317">
        <v>1805</v>
      </c>
      <c r="T317">
        <v>1</v>
      </c>
      <c r="U317">
        <v>0</v>
      </c>
      <c r="V317">
        <v>1</v>
      </c>
      <c r="W317">
        <v>2</v>
      </c>
      <c r="X317" s="23">
        <v>0.004</v>
      </c>
      <c r="Y317" s="23">
        <v>0</v>
      </c>
      <c r="Z317" s="23">
        <v>0.00135869565217391</v>
      </c>
      <c r="AA317" s="23">
        <v>0.00110803324099723</v>
      </c>
      <c r="AB317">
        <v>0.42</v>
      </c>
      <c r="AC317">
        <v>0</v>
      </c>
      <c r="AD317">
        <v>0.34</v>
      </c>
      <c r="AE317">
        <v>0.89</v>
      </c>
      <c r="AF317" s="23" t="s">
        <v>893</v>
      </c>
      <c r="AG317" s="23" t="s">
        <v>55</v>
      </c>
      <c r="AH317" s="23" t="s">
        <v>94</v>
      </c>
      <c r="AI317" s="23" t="s">
        <v>856</v>
      </c>
      <c r="AJ317">
        <v>4</v>
      </c>
      <c r="AK317">
        <v>5</v>
      </c>
      <c r="AL317">
        <v>4</v>
      </c>
      <c r="AM317">
        <v>3</v>
      </c>
      <c r="AN317" s="23">
        <v>0</v>
      </c>
      <c r="AO317" s="23">
        <v>0.4</v>
      </c>
      <c r="AP317" s="23">
        <v>0</v>
      </c>
      <c r="AQ317" s="23">
        <v>0</v>
      </c>
      <c r="AR317" s="37">
        <v>0</v>
      </c>
      <c r="AS317" s="37">
        <v>0</v>
      </c>
      <c r="AT317" s="37">
        <v>7</v>
      </c>
      <c r="AU317" s="33" t="str">
        <f t="shared" si="8"/>
        <v>库存为7</v>
      </c>
      <c r="AV317" s="38" t="str">
        <f>IFERROR(时间!$B$4+AU317,"上周无销量")</f>
        <v>上周无销量</v>
      </c>
    </row>
    <row r="318" spans="1:48">
      <c r="A318" s="21" t="s">
        <v>894</v>
      </c>
      <c r="B318" t="s">
        <v>895</v>
      </c>
      <c r="C318" t="s">
        <v>885</v>
      </c>
      <c r="D318" s="33">
        <v>0</v>
      </c>
      <c r="E318" s="33">
        <v>0</v>
      </c>
      <c r="F318" s="33">
        <v>0</v>
      </c>
      <c r="G318" s="33">
        <v>1</v>
      </c>
      <c r="H318" s="34">
        <v>18.99</v>
      </c>
      <c r="I318">
        <v>0</v>
      </c>
      <c r="J318" s="35">
        <v>0</v>
      </c>
      <c r="K318" s="35">
        <v>0</v>
      </c>
      <c r="L318" s="35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1629</v>
      </c>
      <c r="T318">
        <v>0</v>
      </c>
      <c r="U318">
        <v>0</v>
      </c>
      <c r="V318">
        <v>0</v>
      </c>
      <c r="W318">
        <v>7</v>
      </c>
      <c r="X318" s="23" t="s">
        <v>55</v>
      </c>
      <c r="Y318" s="23" t="s">
        <v>55</v>
      </c>
      <c r="Z318" s="23" t="s">
        <v>55</v>
      </c>
      <c r="AA318" s="23">
        <v>0.00429711479435236</v>
      </c>
      <c r="AB318">
        <v>0</v>
      </c>
      <c r="AC318">
        <v>0</v>
      </c>
      <c r="AD318">
        <v>0</v>
      </c>
      <c r="AE318">
        <v>2.98</v>
      </c>
      <c r="AF318" s="23" t="s">
        <v>55</v>
      </c>
      <c r="AG318" s="23" t="s">
        <v>55</v>
      </c>
      <c r="AH318" s="23" t="s">
        <v>55</v>
      </c>
      <c r="AI318" s="23">
        <v>0.156924697209057</v>
      </c>
      <c r="AJ318">
        <v>0</v>
      </c>
      <c r="AK318">
        <v>0</v>
      </c>
      <c r="AL318">
        <v>0</v>
      </c>
      <c r="AM318">
        <v>1</v>
      </c>
      <c r="AN318" s="23" t="s">
        <v>55</v>
      </c>
      <c r="AO318" s="23" t="s">
        <v>55</v>
      </c>
      <c r="AP318" s="23" t="s">
        <v>55</v>
      </c>
      <c r="AQ318" s="23">
        <v>1</v>
      </c>
      <c r="AR318" s="37">
        <v>0</v>
      </c>
      <c r="AS318" s="37">
        <v>0</v>
      </c>
      <c r="AT318" s="37">
        <v>0</v>
      </c>
      <c r="AU318" s="33" t="str">
        <f t="shared" si="8"/>
        <v>库存为0</v>
      </c>
      <c r="AV318" s="38" t="str">
        <f>IFERROR(时间!$B$4+AU318,"上周无销量")</f>
        <v>上周无销量</v>
      </c>
    </row>
    <row r="319" spans="1:48">
      <c r="A319" s="21" t="s">
        <v>896</v>
      </c>
      <c r="B319" t="s">
        <v>897</v>
      </c>
      <c r="C319" t="s">
        <v>885</v>
      </c>
      <c r="D319" s="33">
        <v>1</v>
      </c>
      <c r="E319" s="33">
        <v>0</v>
      </c>
      <c r="F319" s="33">
        <v>0</v>
      </c>
      <c r="G319" s="33">
        <v>2</v>
      </c>
      <c r="H319" s="34">
        <v>18.99</v>
      </c>
      <c r="I319">
        <v>7</v>
      </c>
      <c r="J319" s="35">
        <v>0</v>
      </c>
      <c r="K319" s="35">
        <v>0</v>
      </c>
      <c r="L319" s="35">
        <v>0</v>
      </c>
      <c r="M319">
        <v>7</v>
      </c>
      <c r="N319">
        <v>0</v>
      </c>
      <c r="O319">
        <v>7</v>
      </c>
      <c r="P319">
        <v>5534</v>
      </c>
      <c r="Q319">
        <v>3795</v>
      </c>
      <c r="R319">
        <v>3031</v>
      </c>
      <c r="S319">
        <v>7379</v>
      </c>
      <c r="T319">
        <v>29</v>
      </c>
      <c r="U319">
        <v>11</v>
      </c>
      <c r="V319">
        <v>12</v>
      </c>
      <c r="W319">
        <v>39</v>
      </c>
      <c r="X319" s="23">
        <v>0.00524033249006144</v>
      </c>
      <c r="Y319" s="23">
        <v>0.00289855072463768</v>
      </c>
      <c r="Z319" s="23">
        <v>0.00395908940943583</v>
      </c>
      <c r="AA319" s="23">
        <v>0.00528526900664047</v>
      </c>
      <c r="AB319">
        <v>8.99</v>
      </c>
      <c r="AC319">
        <v>4.6</v>
      </c>
      <c r="AD319">
        <v>4.68</v>
      </c>
      <c r="AE319">
        <v>15.87</v>
      </c>
      <c r="AF319" s="23">
        <v>0.473407056345445</v>
      </c>
      <c r="AG319" s="23" t="s">
        <v>898</v>
      </c>
      <c r="AH319" s="23" t="s">
        <v>899</v>
      </c>
      <c r="AI319" s="23">
        <v>0.417851500789889</v>
      </c>
      <c r="AJ319">
        <v>13</v>
      </c>
      <c r="AK319">
        <v>12</v>
      </c>
      <c r="AL319">
        <v>12</v>
      </c>
      <c r="AM319">
        <v>21</v>
      </c>
      <c r="AN319" s="23">
        <v>0.0769230769230769</v>
      </c>
      <c r="AO319" s="23">
        <v>0</v>
      </c>
      <c r="AP319" s="23">
        <v>0</v>
      </c>
      <c r="AQ319" s="23">
        <v>0.0952380952380952</v>
      </c>
      <c r="AR319" s="37">
        <v>0.142857142857143</v>
      </c>
      <c r="AS319" s="37">
        <v>8.57142857142857</v>
      </c>
      <c r="AT319" s="37">
        <v>-1.57142857142857</v>
      </c>
      <c r="AU319" s="33">
        <f t="shared" si="8"/>
        <v>49</v>
      </c>
      <c r="AV319" s="38">
        <f>IFERROR(时间!$B$4+AU319,"上周无销量")</f>
        <v>43332</v>
      </c>
    </row>
    <row r="320" spans="1:48">
      <c r="A320" s="21" t="s">
        <v>900</v>
      </c>
      <c r="B320" t="s">
        <v>901</v>
      </c>
      <c r="C320" t="s">
        <v>885</v>
      </c>
      <c r="D320" s="33">
        <v>2</v>
      </c>
      <c r="E320" s="33">
        <v>0</v>
      </c>
      <c r="F320" s="33">
        <v>0</v>
      </c>
      <c r="G320" s="33">
        <v>1</v>
      </c>
      <c r="H320" s="34">
        <v>18.99</v>
      </c>
      <c r="I320">
        <v>4</v>
      </c>
      <c r="J320" s="35">
        <v>0</v>
      </c>
      <c r="K320" s="35">
        <v>0</v>
      </c>
      <c r="L320" s="35">
        <v>0</v>
      </c>
      <c r="M320">
        <v>4</v>
      </c>
      <c r="N320">
        <v>0</v>
      </c>
      <c r="O320">
        <v>6</v>
      </c>
      <c r="P320">
        <v>6206</v>
      </c>
      <c r="Q320">
        <v>7522</v>
      </c>
      <c r="R320">
        <v>7121</v>
      </c>
      <c r="S320">
        <v>12627</v>
      </c>
      <c r="T320">
        <v>17</v>
      </c>
      <c r="U320">
        <v>23</v>
      </c>
      <c r="V320">
        <v>12</v>
      </c>
      <c r="W320">
        <v>28</v>
      </c>
      <c r="X320" s="23">
        <v>0.00273928456332581</v>
      </c>
      <c r="Y320" s="23">
        <v>0.0030576974208987</v>
      </c>
      <c r="Z320" s="23">
        <v>0.00168515657913214</v>
      </c>
      <c r="AA320" s="23">
        <v>0.00221747049972282</v>
      </c>
      <c r="AB320">
        <v>6.63</v>
      </c>
      <c r="AC320">
        <v>10.02</v>
      </c>
      <c r="AD320">
        <v>4.81</v>
      </c>
      <c r="AE320">
        <v>10.84</v>
      </c>
      <c r="AF320" s="23">
        <v>0.174565560821485</v>
      </c>
      <c r="AG320" s="23" t="s">
        <v>902</v>
      </c>
      <c r="AH320" s="23" t="s">
        <v>903</v>
      </c>
      <c r="AI320" s="23">
        <v>0.570826750921538</v>
      </c>
      <c r="AJ320">
        <v>15</v>
      </c>
      <c r="AK320">
        <v>10</v>
      </c>
      <c r="AL320">
        <v>8</v>
      </c>
      <c r="AM320">
        <v>16</v>
      </c>
      <c r="AN320" s="23">
        <v>0.133333333333333</v>
      </c>
      <c r="AO320" s="23">
        <v>0</v>
      </c>
      <c r="AP320" s="23">
        <v>0</v>
      </c>
      <c r="AQ320" s="23">
        <v>0.0625</v>
      </c>
      <c r="AR320" s="37">
        <v>0.285714285714286</v>
      </c>
      <c r="AS320" s="37">
        <v>17.1428571428571</v>
      </c>
      <c r="AT320" s="37">
        <v>-13.1428571428571</v>
      </c>
      <c r="AU320" s="33">
        <f t="shared" si="8"/>
        <v>14</v>
      </c>
      <c r="AV320" s="38">
        <f>IFERROR(时间!$B$4+AU320,"上周无销量")</f>
        <v>43297</v>
      </c>
    </row>
    <row r="321" spans="1:48">
      <c r="A321" s="21" t="s">
        <v>904</v>
      </c>
      <c r="B321" t="s">
        <v>905</v>
      </c>
      <c r="C321" t="s">
        <v>885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12</v>
      </c>
      <c r="J321" s="35">
        <v>0</v>
      </c>
      <c r="K321" s="35">
        <v>0</v>
      </c>
      <c r="L321" s="35">
        <v>0</v>
      </c>
      <c r="M321">
        <v>12</v>
      </c>
      <c r="N321">
        <v>0</v>
      </c>
      <c r="O321">
        <v>12</v>
      </c>
      <c r="P321">
        <v>911</v>
      </c>
      <c r="Q321">
        <v>213</v>
      </c>
      <c r="R321">
        <v>160</v>
      </c>
      <c r="S321">
        <v>682</v>
      </c>
      <c r="T321">
        <v>3</v>
      </c>
      <c r="U321">
        <v>1</v>
      </c>
      <c r="V321">
        <v>0</v>
      </c>
      <c r="W321">
        <v>2</v>
      </c>
      <c r="X321" s="23">
        <v>0.00329308452250274</v>
      </c>
      <c r="Y321" s="23">
        <v>0.00469483568075117</v>
      </c>
      <c r="Z321" s="23">
        <v>0</v>
      </c>
      <c r="AA321" s="23">
        <v>0.00293255131964809</v>
      </c>
      <c r="AB321">
        <v>0.36</v>
      </c>
      <c r="AC321">
        <v>0.32</v>
      </c>
      <c r="AD321">
        <v>0</v>
      </c>
      <c r="AE321">
        <v>0.83</v>
      </c>
      <c r="AF321" s="23" t="s">
        <v>906</v>
      </c>
      <c r="AG321" s="23" t="s">
        <v>143</v>
      </c>
      <c r="AH321" s="23" t="s">
        <v>55</v>
      </c>
      <c r="AI321" s="23" t="s">
        <v>579</v>
      </c>
      <c r="AJ321">
        <v>5</v>
      </c>
      <c r="AK321">
        <v>11</v>
      </c>
      <c r="AL321">
        <v>1</v>
      </c>
      <c r="AM321">
        <v>2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12</v>
      </c>
      <c r="AU321" s="33" t="str">
        <f t="shared" si="8"/>
        <v>库存为12</v>
      </c>
      <c r="AV321" s="38" t="str">
        <f>IFERROR(时间!$B$4+AU321,"上周无销量")</f>
        <v>上周无销量</v>
      </c>
    </row>
    <row r="322" spans="1:48">
      <c r="A322" s="21" t="s">
        <v>907</v>
      </c>
      <c r="B322" t="s">
        <v>908</v>
      </c>
      <c r="C322" t="s">
        <v>885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13</v>
      </c>
      <c r="J322" s="35">
        <v>0</v>
      </c>
      <c r="K322" s="35">
        <v>0</v>
      </c>
      <c r="L322" s="35">
        <v>0</v>
      </c>
      <c r="M322">
        <v>13</v>
      </c>
      <c r="N322">
        <v>0</v>
      </c>
      <c r="O322">
        <v>13</v>
      </c>
      <c r="P322">
        <v>941</v>
      </c>
      <c r="Q322">
        <v>387</v>
      </c>
      <c r="R322">
        <v>300</v>
      </c>
      <c r="S322">
        <v>150</v>
      </c>
      <c r="T322">
        <v>1</v>
      </c>
      <c r="U322">
        <v>3</v>
      </c>
      <c r="V322">
        <v>0</v>
      </c>
      <c r="W322">
        <v>2</v>
      </c>
      <c r="X322" s="23">
        <v>0.00106269925611052</v>
      </c>
      <c r="Y322" s="23">
        <v>0.00775193798449612</v>
      </c>
      <c r="Z322" s="23">
        <v>0</v>
      </c>
      <c r="AA322" s="23">
        <v>0.0133333333333333</v>
      </c>
      <c r="AB322">
        <v>0.39</v>
      </c>
      <c r="AC322">
        <v>0.9</v>
      </c>
      <c r="AD322">
        <v>0</v>
      </c>
      <c r="AE322">
        <v>0.77</v>
      </c>
      <c r="AF322" s="23" t="s">
        <v>205</v>
      </c>
      <c r="AG322" s="23" t="s">
        <v>512</v>
      </c>
      <c r="AH322" s="23" t="s">
        <v>55</v>
      </c>
      <c r="AI322" s="23" t="s">
        <v>296</v>
      </c>
      <c r="AJ322">
        <v>3</v>
      </c>
      <c r="AK322">
        <v>2</v>
      </c>
      <c r="AL322">
        <v>0</v>
      </c>
      <c r="AM322">
        <v>1</v>
      </c>
      <c r="AN322" s="23">
        <v>0</v>
      </c>
      <c r="AO322" s="23">
        <v>0</v>
      </c>
      <c r="AP322" s="23" t="s">
        <v>55</v>
      </c>
      <c r="AQ322" s="23">
        <v>0</v>
      </c>
      <c r="AR322" s="37">
        <v>0</v>
      </c>
      <c r="AS322" s="37">
        <v>0</v>
      </c>
      <c r="AT322" s="37">
        <v>13</v>
      </c>
      <c r="AU322" s="33" t="str">
        <f t="shared" si="8"/>
        <v>库存为13</v>
      </c>
      <c r="AV322" s="38" t="str">
        <f>IFERROR(时间!$B$4+AU322,"上周无销量")</f>
        <v>上周无销量</v>
      </c>
    </row>
    <row r="323" spans="1:48">
      <c r="A323" s="21" t="s">
        <v>909</v>
      </c>
      <c r="B323" t="s">
        <v>910</v>
      </c>
      <c r="C323" t="s">
        <v>885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10</v>
      </c>
      <c r="J323" s="35">
        <v>0</v>
      </c>
      <c r="K323" s="35">
        <v>0</v>
      </c>
      <c r="L323" s="35">
        <v>0</v>
      </c>
      <c r="M323">
        <v>10</v>
      </c>
      <c r="N323">
        <v>0</v>
      </c>
      <c r="O323">
        <v>10</v>
      </c>
      <c r="P323">
        <v>290</v>
      </c>
      <c r="Q323">
        <v>410</v>
      </c>
      <c r="R323">
        <v>267</v>
      </c>
      <c r="S323">
        <v>23</v>
      </c>
      <c r="T323">
        <v>2</v>
      </c>
      <c r="U323">
        <v>0</v>
      </c>
      <c r="V323">
        <v>0</v>
      </c>
      <c r="W323">
        <v>0</v>
      </c>
      <c r="X323" s="23">
        <v>0.00689655172413793</v>
      </c>
      <c r="Y323" s="23">
        <v>0</v>
      </c>
      <c r="Z323" s="23">
        <v>0</v>
      </c>
      <c r="AA323" s="23">
        <v>0</v>
      </c>
      <c r="AB323">
        <v>0.36</v>
      </c>
      <c r="AC323">
        <v>0</v>
      </c>
      <c r="AD323">
        <v>0</v>
      </c>
      <c r="AE323">
        <v>0</v>
      </c>
      <c r="AF323" s="23" t="s">
        <v>906</v>
      </c>
      <c r="AG323" s="23" t="s">
        <v>55</v>
      </c>
      <c r="AH323" s="23" t="s">
        <v>55</v>
      </c>
      <c r="AI323" s="23" t="s">
        <v>55</v>
      </c>
      <c r="AJ323">
        <v>2</v>
      </c>
      <c r="AK323">
        <v>0</v>
      </c>
      <c r="AL323">
        <v>0</v>
      </c>
      <c r="AM323">
        <v>1</v>
      </c>
      <c r="AN323" s="23">
        <v>0</v>
      </c>
      <c r="AO323" s="23" t="s">
        <v>55</v>
      </c>
      <c r="AP323" s="23" t="s">
        <v>55</v>
      </c>
      <c r="AQ323" s="23">
        <v>0</v>
      </c>
      <c r="AR323" s="37">
        <v>0</v>
      </c>
      <c r="AS323" s="37">
        <v>0</v>
      </c>
      <c r="AT323" s="37">
        <v>10</v>
      </c>
      <c r="AU323" s="33" t="str">
        <f t="shared" si="8"/>
        <v>库存为10</v>
      </c>
      <c r="AV323" s="38" t="str">
        <f>IFERROR(时间!$B$4+AU323,"上周无销量")</f>
        <v>上周无销量</v>
      </c>
    </row>
    <row r="324" spans="1:48">
      <c r="A324" s="21" t="s">
        <v>911</v>
      </c>
      <c r="B324" t="s">
        <v>912</v>
      </c>
      <c r="C324" t="s">
        <v>913</v>
      </c>
      <c r="D324" s="33">
        <v>0</v>
      </c>
      <c r="E324" s="33">
        <v>1</v>
      </c>
      <c r="F324" s="33">
        <v>0</v>
      </c>
      <c r="G324" s="33">
        <v>0</v>
      </c>
      <c r="H324" s="34">
        <v>18.99</v>
      </c>
      <c r="I324">
        <v>7</v>
      </c>
      <c r="J324" s="35">
        <v>0</v>
      </c>
      <c r="K324" s="35">
        <v>0</v>
      </c>
      <c r="L324" s="35">
        <v>0</v>
      </c>
      <c r="M324">
        <v>7</v>
      </c>
      <c r="N324">
        <v>0</v>
      </c>
      <c r="O324">
        <v>7</v>
      </c>
      <c r="P324">
        <v>583</v>
      </c>
      <c r="Q324">
        <v>444</v>
      </c>
      <c r="R324">
        <v>330</v>
      </c>
      <c r="S324">
        <v>295</v>
      </c>
      <c r="T324">
        <v>1</v>
      </c>
      <c r="U324">
        <v>2</v>
      </c>
      <c r="V324">
        <v>0</v>
      </c>
      <c r="W324">
        <v>0</v>
      </c>
      <c r="X324" s="23">
        <v>0.00171526586620926</v>
      </c>
      <c r="Y324" s="23">
        <v>0.0045045045045045</v>
      </c>
      <c r="Z324" s="23">
        <v>0</v>
      </c>
      <c r="AA324" s="23">
        <v>0</v>
      </c>
      <c r="AB324">
        <v>0.43</v>
      </c>
      <c r="AC324">
        <v>0.77</v>
      </c>
      <c r="AD324">
        <v>0</v>
      </c>
      <c r="AE324">
        <v>0</v>
      </c>
      <c r="AF324" s="23" t="s">
        <v>251</v>
      </c>
      <c r="AG324" s="23">
        <v>0.0405476566614007</v>
      </c>
      <c r="AH324" s="23" t="s">
        <v>55</v>
      </c>
      <c r="AI324" s="23" t="s">
        <v>55</v>
      </c>
      <c r="AJ324">
        <v>2</v>
      </c>
      <c r="AK324">
        <v>5</v>
      </c>
      <c r="AL324">
        <v>1</v>
      </c>
      <c r="AM324">
        <v>2</v>
      </c>
      <c r="AN324" s="23">
        <v>0</v>
      </c>
      <c r="AO324" s="23">
        <v>0.2</v>
      </c>
      <c r="AP324" s="23">
        <v>0</v>
      </c>
      <c r="AQ324" s="23">
        <v>0</v>
      </c>
      <c r="AR324" s="37">
        <v>0</v>
      </c>
      <c r="AS324" s="37">
        <v>0</v>
      </c>
      <c r="AT324" s="37">
        <v>7</v>
      </c>
      <c r="AU324" s="33" t="str">
        <f t="shared" si="8"/>
        <v>库存为7</v>
      </c>
      <c r="AV324" s="38" t="str">
        <f>IFERROR(时间!$B$4+AU324,"上周无销量")</f>
        <v>上周无销量</v>
      </c>
    </row>
    <row r="325" spans="1:48">
      <c r="A325" s="21" t="s">
        <v>914</v>
      </c>
      <c r="B325" t="s">
        <v>915</v>
      </c>
      <c r="C325" t="s">
        <v>913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10</v>
      </c>
      <c r="J325" s="35">
        <v>0</v>
      </c>
      <c r="K325" s="35">
        <v>0</v>
      </c>
      <c r="L325" s="35">
        <v>0</v>
      </c>
      <c r="M325">
        <v>10</v>
      </c>
      <c r="N325">
        <v>0</v>
      </c>
      <c r="O325">
        <v>10</v>
      </c>
      <c r="P325">
        <v>1049</v>
      </c>
      <c r="Q325">
        <v>876</v>
      </c>
      <c r="R325">
        <v>560</v>
      </c>
      <c r="S325">
        <v>379</v>
      </c>
      <c r="T325">
        <v>3</v>
      </c>
      <c r="U325">
        <v>3</v>
      </c>
      <c r="V325">
        <v>3</v>
      </c>
      <c r="W325">
        <v>1</v>
      </c>
      <c r="X325" s="23">
        <v>0.00285986653956149</v>
      </c>
      <c r="Y325" s="23">
        <v>0.00342465753424658</v>
      </c>
      <c r="Z325" s="23">
        <v>0.00535714285714286</v>
      </c>
      <c r="AA325" s="23">
        <v>0.00263852242744063</v>
      </c>
      <c r="AB325">
        <v>1.17</v>
      </c>
      <c r="AC325">
        <v>0.86</v>
      </c>
      <c r="AD325">
        <v>1.1</v>
      </c>
      <c r="AE325">
        <v>0.56</v>
      </c>
      <c r="AF325" s="23" t="s">
        <v>309</v>
      </c>
      <c r="AG325" s="23" t="s">
        <v>916</v>
      </c>
      <c r="AH325" s="23" t="s">
        <v>239</v>
      </c>
      <c r="AI325" s="23" t="s">
        <v>407</v>
      </c>
      <c r="AJ325">
        <v>4</v>
      </c>
      <c r="AK325">
        <v>7</v>
      </c>
      <c r="AL325">
        <v>2</v>
      </c>
      <c r="AM325">
        <v>5</v>
      </c>
      <c r="AN325" s="23">
        <v>0</v>
      </c>
      <c r="AO325" s="23">
        <v>0</v>
      </c>
      <c r="AP325" s="23">
        <v>0</v>
      </c>
      <c r="AQ325" s="23">
        <v>0</v>
      </c>
      <c r="AR325" s="37">
        <v>0</v>
      </c>
      <c r="AS325" s="37">
        <v>0</v>
      </c>
      <c r="AT325" s="37">
        <v>10</v>
      </c>
      <c r="AU325" s="33" t="str">
        <f t="shared" ref="AU325:AU388" si="9">IF(AR325="","库存为"&amp;M325,IF(AS325=0,"库存为"&amp;M325,INT(M325/AR325)))</f>
        <v>库存为10</v>
      </c>
      <c r="AV325" s="38" t="str">
        <f>IFERROR(时间!$B$4+AU325,"上周无销量")</f>
        <v>上周无销量</v>
      </c>
    </row>
    <row r="326" spans="1:48">
      <c r="A326" s="21" t="s">
        <v>917</v>
      </c>
      <c r="B326" t="s">
        <v>918</v>
      </c>
      <c r="C326" t="s">
        <v>913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10</v>
      </c>
      <c r="J326" s="35">
        <v>0</v>
      </c>
      <c r="K326" s="35">
        <v>0</v>
      </c>
      <c r="L326" s="35">
        <v>0</v>
      </c>
      <c r="M326">
        <v>10</v>
      </c>
      <c r="N326">
        <v>0</v>
      </c>
      <c r="O326">
        <v>9</v>
      </c>
      <c r="P326">
        <v>469</v>
      </c>
      <c r="Q326">
        <v>452</v>
      </c>
      <c r="R326">
        <v>361</v>
      </c>
      <c r="S326">
        <v>53</v>
      </c>
      <c r="T326">
        <v>1</v>
      </c>
      <c r="U326">
        <v>1</v>
      </c>
      <c r="V326">
        <v>0</v>
      </c>
      <c r="W326">
        <v>0</v>
      </c>
      <c r="X326" s="23">
        <v>0.00213219616204691</v>
      </c>
      <c r="Y326" s="23">
        <v>0.00221238938053097</v>
      </c>
      <c r="Z326" s="23">
        <v>0</v>
      </c>
      <c r="AA326" s="23">
        <v>0</v>
      </c>
      <c r="AB326">
        <v>0.29</v>
      </c>
      <c r="AC326">
        <v>0.34</v>
      </c>
      <c r="AD326">
        <v>0</v>
      </c>
      <c r="AE326">
        <v>0</v>
      </c>
      <c r="AF326" s="23" t="s">
        <v>274</v>
      </c>
      <c r="AG326" s="23" t="s">
        <v>94</v>
      </c>
      <c r="AH326" s="23" t="s">
        <v>55</v>
      </c>
      <c r="AI326" s="23" t="s">
        <v>55</v>
      </c>
      <c r="AJ326">
        <v>6</v>
      </c>
      <c r="AK326">
        <v>2</v>
      </c>
      <c r="AL326">
        <v>1</v>
      </c>
      <c r="AM326">
        <v>4</v>
      </c>
      <c r="AN326" s="23">
        <v>0</v>
      </c>
      <c r="AO326" s="23">
        <v>0</v>
      </c>
      <c r="AP326" s="23">
        <v>0</v>
      </c>
      <c r="AQ326" s="23">
        <v>0</v>
      </c>
      <c r="AR326" s="37">
        <v>0</v>
      </c>
      <c r="AS326" s="37">
        <v>0</v>
      </c>
      <c r="AT326" s="37">
        <v>10</v>
      </c>
      <c r="AU326" s="33" t="str">
        <f t="shared" si="9"/>
        <v>库存为10</v>
      </c>
      <c r="AV326" s="38" t="str">
        <f>IFERROR(时间!$B$4+AU326,"上周无销量")</f>
        <v>上周无销量</v>
      </c>
    </row>
    <row r="327" spans="1:48">
      <c r="A327" s="21" t="s">
        <v>919</v>
      </c>
      <c r="B327" t="s">
        <v>920</v>
      </c>
      <c r="C327" t="s">
        <v>913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4</v>
      </c>
      <c r="J327" s="35">
        <v>0</v>
      </c>
      <c r="K327" s="35">
        <v>0</v>
      </c>
      <c r="L327" s="35">
        <v>0</v>
      </c>
      <c r="M327">
        <v>4</v>
      </c>
      <c r="N327">
        <v>0</v>
      </c>
      <c r="O327">
        <v>3</v>
      </c>
      <c r="P327">
        <v>678</v>
      </c>
      <c r="Q327">
        <v>163</v>
      </c>
      <c r="R327">
        <v>170</v>
      </c>
      <c r="S327">
        <v>55</v>
      </c>
      <c r="T327">
        <v>0</v>
      </c>
      <c r="U327">
        <v>2</v>
      </c>
      <c r="V327">
        <v>0</v>
      </c>
      <c r="W327">
        <v>2</v>
      </c>
      <c r="X327" s="23">
        <v>0</v>
      </c>
      <c r="Y327" s="23">
        <v>0.0122699386503067</v>
      </c>
      <c r="Z327" s="23">
        <v>0</v>
      </c>
      <c r="AA327" s="23">
        <v>0.0363636363636364</v>
      </c>
      <c r="AB327">
        <v>0</v>
      </c>
      <c r="AC327">
        <v>0.81</v>
      </c>
      <c r="AD327">
        <v>0</v>
      </c>
      <c r="AE327">
        <v>0.72</v>
      </c>
      <c r="AF327" s="23" t="s">
        <v>55</v>
      </c>
      <c r="AG327" s="23" t="s">
        <v>921</v>
      </c>
      <c r="AH327" s="23" t="s">
        <v>55</v>
      </c>
      <c r="AI327" s="23" t="s">
        <v>889</v>
      </c>
      <c r="AJ327">
        <v>2</v>
      </c>
      <c r="AK327">
        <v>2</v>
      </c>
      <c r="AL327">
        <v>1</v>
      </c>
      <c r="AM327">
        <v>1</v>
      </c>
      <c r="AN327" s="23">
        <v>0</v>
      </c>
      <c r="AO327" s="23">
        <v>0</v>
      </c>
      <c r="AP327" s="23">
        <v>0</v>
      </c>
      <c r="AQ327" s="23">
        <v>0</v>
      </c>
      <c r="AR327" s="37">
        <v>0</v>
      </c>
      <c r="AS327" s="37">
        <v>0</v>
      </c>
      <c r="AT327" s="37">
        <v>4</v>
      </c>
      <c r="AU327" s="33" t="str">
        <f t="shared" si="9"/>
        <v>库存为4</v>
      </c>
      <c r="AV327" s="38" t="str">
        <f>IFERROR(时间!$B$4+AU327,"上周无销量")</f>
        <v>上周无销量</v>
      </c>
    </row>
    <row r="328" spans="1:48">
      <c r="A328" s="21" t="s">
        <v>922</v>
      </c>
      <c r="B328" t="s">
        <v>923</v>
      </c>
      <c r="C328" t="s">
        <v>913</v>
      </c>
      <c r="D328" s="33">
        <v>0</v>
      </c>
      <c r="E328" s="33">
        <v>0</v>
      </c>
      <c r="F328" s="33">
        <v>0</v>
      </c>
      <c r="G328" s="33">
        <v>1</v>
      </c>
      <c r="H328" s="34">
        <v>18.99</v>
      </c>
      <c r="I328">
        <v>5</v>
      </c>
      <c r="J328" s="35">
        <v>0</v>
      </c>
      <c r="K328" s="35">
        <v>0</v>
      </c>
      <c r="L328" s="35">
        <v>0</v>
      </c>
      <c r="M328">
        <v>5</v>
      </c>
      <c r="N328">
        <v>0</v>
      </c>
      <c r="O328">
        <v>5</v>
      </c>
      <c r="P328">
        <v>152</v>
      </c>
      <c r="Q328">
        <v>243</v>
      </c>
      <c r="R328">
        <v>756</v>
      </c>
      <c r="S328">
        <v>2699</v>
      </c>
      <c r="T328">
        <v>0</v>
      </c>
      <c r="U328">
        <v>0</v>
      </c>
      <c r="V328">
        <v>2</v>
      </c>
      <c r="W328">
        <v>2</v>
      </c>
      <c r="X328" s="23">
        <v>0</v>
      </c>
      <c r="Y328" s="23">
        <v>0</v>
      </c>
      <c r="Z328" s="23">
        <v>0.00264550264550265</v>
      </c>
      <c r="AA328" s="23">
        <v>0.000741015190811412</v>
      </c>
      <c r="AB328">
        <v>0</v>
      </c>
      <c r="AC328">
        <v>0</v>
      </c>
      <c r="AD328">
        <v>0.65</v>
      </c>
      <c r="AE328">
        <v>0.53</v>
      </c>
      <c r="AF328" s="23" t="s">
        <v>55</v>
      </c>
      <c r="AG328" s="23" t="s">
        <v>55</v>
      </c>
      <c r="AH328" s="23" t="s">
        <v>119</v>
      </c>
      <c r="AI328" s="23">
        <v>0.0279094260136914</v>
      </c>
      <c r="AJ328">
        <v>4</v>
      </c>
      <c r="AK328">
        <v>0</v>
      </c>
      <c r="AL328">
        <v>3</v>
      </c>
      <c r="AM328">
        <v>2</v>
      </c>
      <c r="AN328" s="23">
        <v>0</v>
      </c>
      <c r="AO328" s="23" t="s">
        <v>55</v>
      </c>
      <c r="AP328" s="23">
        <v>0</v>
      </c>
      <c r="AQ328" s="23">
        <v>0.5</v>
      </c>
      <c r="AR328" s="37">
        <v>0</v>
      </c>
      <c r="AS328" s="37">
        <v>0</v>
      </c>
      <c r="AT328" s="37">
        <v>5</v>
      </c>
      <c r="AU328" s="33" t="str">
        <f t="shared" si="9"/>
        <v>库存为5</v>
      </c>
      <c r="AV328" s="38" t="str">
        <f>IFERROR(时间!$B$4+AU328,"上周无销量")</f>
        <v>上周无销量</v>
      </c>
    </row>
    <row r="329" spans="1:48">
      <c r="A329" s="21" t="s">
        <v>924</v>
      </c>
      <c r="B329" t="s">
        <v>925</v>
      </c>
      <c r="C329" t="s">
        <v>913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26</v>
      </c>
      <c r="J329" s="35">
        <v>0</v>
      </c>
      <c r="K329" s="35">
        <v>0</v>
      </c>
      <c r="L329" s="35">
        <v>0</v>
      </c>
      <c r="M329">
        <v>26</v>
      </c>
      <c r="N329">
        <v>0</v>
      </c>
      <c r="O329">
        <v>26</v>
      </c>
      <c r="P329">
        <v>8327</v>
      </c>
      <c r="Q329">
        <v>11447</v>
      </c>
      <c r="R329">
        <v>11118</v>
      </c>
      <c r="S329">
        <v>4910</v>
      </c>
      <c r="T329">
        <v>17</v>
      </c>
      <c r="U329">
        <v>20</v>
      </c>
      <c r="V329">
        <v>26</v>
      </c>
      <c r="W329">
        <v>20</v>
      </c>
      <c r="X329" s="23">
        <v>0.00204155157920019</v>
      </c>
      <c r="Y329" s="23">
        <v>0.00174718266794793</v>
      </c>
      <c r="Z329" s="23">
        <v>0.00233855009893866</v>
      </c>
      <c r="AA329" s="23">
        <v>0.00407331975560081</v>
      </c>
      <c r="AB329">
        <v>5.17</v>
      </c>
      <c r="AC329">
        <v>7.93</v>
      </c>
      <c r="AD329">
        <v>8.84</v>
      </c>
      <c r="AE329">
        <v>5.94</v>
      </c>
      <c r="AF329" s="23" t="s">
        <v>926</v>
      </c>
      <c r="AG329" s="23" t="s">
        <v>927</v>
      </c>
      <c r="AH329" s="23" t="s">
        <v>928</v>
      </c>
      <c r="AI329" s="23" t="s">
        <v>929</v>
      </c>
      <c r="AJ329">
        <v>10</v>
      </c>
      <c r="AK329">
        <v>9</v>
      </c>
      <c r="AL329">
        <v>11</v>
      </c>
      <c r="AM329">
        <v>12</v>
      </c>
      <c r="AN329" s="23">
        <v>0</v>
      </c>
      <c r="AO329" s="23">
        <v>0</v>
      </c>
      <c r="AP329" s="23">
        <v>0</v>
      </c>
      <c r="AQ329" s="23">
        <v>0</v>
      </c>
      <c r="AR329" s="37">
        <v>0</v>
      </c>
      <c r="AS329" s="37">
        <v>0</v>
      </c>
      <c r="AT329" s="37">
        <v>26</v>
      </c>
      <c r="AU329" s="33" t="str">
        <f t="shared" si="9"/>
        <v>库存为26</v>
      </c>
      <c r="AV329" s="38" t="str">
        <f>IFERROR(时间!$B$4+AU329,"上周无销量")</f>
        <v>上周无销量</v>
      </c>
    </row>
    <row r="330" spans="1:48">
      <c r="A330" s="21" t="s">
        <v>930</v>
      </c>
      <c r="B330" t="s">
        <v>931</v>
      </c>
      <c r="C330" t="s">
        <v>913</v>
      </c>
      <c r="D330" s="33">
        <v>0</v>
      </c>
      <c r="E330" s="33">
        <v>1</v>
      </c>
      <c r="F330" s="33">
        <v>0</v>
      </c>
      <c r="G330" s="33">
        <v>0</v>
      </c>
      <c r="H330" s="34">
        <v>15.19</v>
      </c>
      <c r="I330">
        <v>28</v>
      </c>
      <c r="J330" s="35">
        <v>0</v>
      </c>
      <c r="K330" s="35">
        <v>0</v>
      </c>
      <c r="L330" s="35">
        <v>0</v>
      </c>
      <c r="M330">
        <v>28</v>
      </c>
      <c r="N330">
        <v>0</v>
      </c>
      <c r="O330">
        <v>28</v>
      </c>
      <c r="P330">
        <v>567</v>
      </c>
      <c r="Q330">
        <v>893</v>
      </c>
      <c r="R330">
        <v>746</v>
      </c>
      <c r="S330">
        <v>429</v>
      </c>
      <c r="T330">
        <v>3</v>
      </c>
      <c r="U330">
        <v>3</v>
      </c>
      <c r="V330">
        <v>4</v>
      </c>
      <c r="W330">
        <v>0</v>
      </c>
      <c r="X330" s="23">
        <v>0.00529100529100529</v>
      </c>
      <c r="Y330" s="23">
        <v>0.00335946248600224</v>
      </c>
      <c r="Z330" s="23">
        <v>0.00536193029490617</v>
      </c>
      <c r="AA330" s="23">
        <v>0</v>
      </c>
      <c r="AB330">
        <v>0.83</v>
      </c>
      <c r="AC330">
        <v>1.13</v>
      </c>
      <c r="AD330">
        <v>1.07</v>
      </c>
      <c r="AE330">
        <v>0</v>
      </c>
      <c r="AF330" s="23" t="s">
        <v>579</v>
      </c>
      <c r="AG330" s="23">
        <v>0.0743910467412772</v>
      </c>
      <c r="AH330" s="23" t="s">
        <v>932</v>
      </c>
      <c r="AI330" s="23" t="s">
        <v>55</v>
      </c>
      <c r="AJ330">
        <v>3</v>
      </c>
      <c r="AK330">
        <v>6</v>
      </c>
      <c r="AL330">
        <v>4</v>
      </c>
      <c r="AM330">
        <v>2</v>
      </c>
      <c r="AN330" s="23">
        <v>0</v>
      </c>
      <c r="AO330" s="23">
        <v>0.166666666666667</v>
      </c>
      <c r="AP330" s="23">
        <v>0</v>
      </c>
      <c r="AQ330" s="23">
        <v>0</v>
      </c>
      <c r="AR330" s="37">
        <v>0</v>
      </c>
      <c r="AS330" s="37">
        <v>0</v>
      </c>
      <c r="AT330" s="37">
        <v>28</v>
      </c>
      <c r="AU330" s="33" t="str">
        <f t="shared" si="9"/>
        <v>库存为28</v>
      </c>
      <c r="AV330" s="38" t="str">
        <f>IFERROR(时间!$B$4+AU330,"上周无销量")</f>
        <v>上周无销量</v>
      </c>
    </row>
    <row r="331" spans="1:48">
      <c r="A331" s="21" t="s">
        <v>933</v>
      </c>
      <c r="B331" t="s">
        <v>934</v>
      </c>
      <c r="C331" t="s">
        <v>913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19</v>
      </c>
      <c r="J331" s="35">
        <v>0</v>
      </c>
      <c r="K331" s="35">
        <v>0</v>
      </c>
      <c r="L331" s="35">
        <v>0</v>
      </c>
      <c r="M331">
        <v>19</v>
      </c>
      <c r="N331">
        <v>0</v>
      </c>
      <c r="O331">
        <v>19</v>
      </c>
      <c r="P331">
        <v>382</v>
      </c>
      <c r="Q331">
        <v>763</v>
      </c>
      <c r="R331">
        <v>807</v>
      </c>
      <c r="S331">
        <v>815</v>
      </c>
      <c r="T331">
        <v>0</v>
      </c>
      <c r="U331">
        <v>1</v>
      </c>
      <c r="V331">
        <v>0</v>
      </c>
      <c r="W331">
        <v>5</v>
      </c>
      <c r="X331" s="23">
        <v>0</v>
      </c>
      <c r="Y331" s="23">
        <v>0.00131061598951507</v>
      </c>
      <c r="Z331" s="23">
        <v>0</v>
      </c>
      <c r="AA331" s="23">
        <v>0.00613496932515337</v>
      </c>
      <c r="AB331">
        <v>0</v>
      </c>
      <c r="AC331">
        <v>0.34</v>
      </c>
      <c r="AD331">
        <v>0</v>
      </c>
      <c r="AE331">
        <v>1.95</v>
      </c>
      <c r="AF331" s="23" t="s">
        <v>55</v>
      </c>
      <c r="AG331" s="23" t="s">
        <v>94</v>
      </c>
      <c r="AH331" s="23" t="s">
        <v>55</v>
      </c>
      <c r="AI331" s="23" t="s">
        <v>935</v>
      </c>
      <c r="AJ331">
        <v>2</v>
      </c>
      <c r="AK331">
        <v>1</v>
      </c>
      <c r="AL331">
        <v>0</v>
      </c>
      <c r="AM331">
        <v>4</v>
      </c>
      <c r="AN331" s="23">
        <v>0</v>
      </c>
      <c r="AO331" s="23">
        <v>0</v>
      </c>
      <c r="AP331" s="23" t="s">
        <v>55</v>
      </c>
      <c r="AQ331" s="23">
        <v>0</v>
      </c>
      <c r="AR331" s="37">
        <v>0</v>
      </c>
      <c r="AS331" s="37">
        <v>0</v>
      </c>
      <c r="AT331" s="37">
        <v>19</v>
      </c>
      <c r="AU331" s="33" t="str">
        <f t="shared" si="9"/>
        <v>库存为19</v>
      </c>
      <c r="AV331" s="38" t="str">
        <f>IFERROR(时间!$B$4+AU331,"上周无销量")</f>
        <v>上周无销量</v>
      </c>
    </row>
    <row r="332" spans="1:48">
      <c r="A332" s="21" t="s">
        <v>936</v>
      </c>
      <c r="B332" t="s">
        <v>937</v>
      </c>
      <c r="C332" t="s">
        <v>913</v>
      </c>
      <c r="D332" s="33">
        <v>0</v>
      </c>
      <c r="E332" s="33">
        <v>0</v>
      </c>
      <c r="F332" s="33">
        <v>1</v>
      </c>
      <c r="G332" s="33">
        <v>0</v>
      </c>
      <c r="H332" s="34">
        <v>18.99</v>
      </c>
      <c r="I332">
        <v>15</v>
      </c>
      <c r="J332" s="35">
        <v>0</v>
      </c>
      <c r="K332" s="35">
        <v>0</v>
      </c>
      <c r="L332" s="35">
        <v>0</v>
      </c>
      <c r="M332">
        <v>15</v>
      </c>
      <c r="N332">
        <v>0</v>
      </c>
      <c r="O332">
        <v>14</v>
      </c>
      <c r="P332">
        <v>2185</v>
      </c>
      <c r="Q332">
        <v>3240</v>
      </c>
      <c r="R332">
        <v>1764</v>
      </c>
      <c r="S332">
        <v>521</v>
      </c>
      <c r="T332">
        <v>7</v>
      </c>
      <c r="U332">
        <v>10</v>
      </c>
      <c r="V332">
        <v>7</v>
      </c>
      <c r="W332">
        <v>5</v>
      </c>
      <c r="X332" s="23">
        <v>0.00320366132723112</v>
      </c>
      <c r="Y332" s="23">
        <v>0.00308641975308642</v>
      </c>
      <c r="Z332" s="23">
        <v>0.00396825396825397</v>
      </c>
      <c r="AA332" s="23">
        <v>0.00959692898272553</v>
      </c>
      <c r="AB332">
        <v>2.91</v>
      </c>
      <c r="AC332">
        <v>4.11</v>
      </c>
      <c r="AD332">
        <v>2.77</v>
      </c>
      <c r="AE332">
        <v>1.83</v>
      </c>
      <c r="AF332" s="23" t="s">
        <v>938</v>
      </c>
      <c r="AG332" s="23" t="s">
        <v>939</v>
      </c>
      <c r="AH332" s="23">
        <v>0.145866245392312</v>
      </c>
      <c r="AI332" s="23" t="s">
        <v>869</v>
      </c>
      <c r="AJ332">
        <v>7</v>
      </c>
      <c r="AK332">
        <v>4</v>
      </c>
      <c r="AL332">
        <v>6</v>
      </c>
      <c r="AM332">
        <v>1</v>
      </c>
      <c r="AN332" s="23">
        <v>0</v>
      </c>
      <c r="AO332" s="23">
        <v>0</v>
      </c>
      <c r="AP332" s="23">
        <v>0.166666666666667</v>
      </c>
      <c r="AQ332" s="23">
        <v>0</v>
      </c>
      <c r="AR332" s="37">
        <v>0</v>
      </c>
      <c r="AS332" s="37">
        <v>0</v>
      </c>
      <c r="AT332" s="37">
        <v>15</v>
      </c>
      <c r="AU332" s="33" t="str">
        <f t="shared" si="9"/>
        <v>库存为15</v>
      </c>
      <c r="AV332" s="38" t="str">
        <f>IFERROR(时间!$B$4+AU332,"上周无销量")</f>
        <v>上周无销量</v>
      </c>
    </row>
    <row r="333" spans="1:48">
      <c r="A333" s="21" t="s">
        <v>940</v>
      </c>
      <c r="B333" t="s">
        <v>941</v>
      </c>
      <c r="C333" t="s">
        <v>913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19</v>
      </c>
      <c r="J333" s="35">
        <v>0</v>
      </c>
      <c r="K333" s="35">
        <v>0</v>
      </c>
      <c r="L333" s="35">
        <v>0</v>
      </c>
      <c r="M333">
        <v>19</v>
      </c>
      <c r="N333">
        <v>0</v>
      </c>
      <c r="O333">
        <v>19</v>
      </c>
      <c r="P333">
        <v>939</v>
      </c>
      <c r="Q333">
        <v>993</v>
      </c>
      <c r="R333">
        <v>934</v>
      </c>
      <c r="S333">
        <v>49</v>
      </c>
      <c r="T333">
        <v>5</v>
      </c>
      <c r="U333">
        <v>3</v>
      </c>
      <c r="V333">
        <v>1</v>
      </c>
      <c r="W333">
        <v>1</v>
      </c>
      <c r="X333" s="23">
        <v>0.0053248136315229</v>
      </c>
      <c r="Y333" s="23">
        <v>0.00302114803625378</v>
      </c>
      <c r="Z333" s="23">
        <v>0.00107066381156317</v>
      </c>
      <c r="AA333" s="23">
        <v>0.0204081632653061</v>
      </c>
      <c r="AB333">
        <v>2.67</v>
      </c>
      <c r="AC333">
        <v>1.02</v>
      </c>
      <c r="AD333">
        <v>0.46</v>
      </c>
      <c r="AE333">
        <v>0.26</v>
      </c>
      <c r="AF333" s="23" t="s">
        <v>942</v>
      </c>
      <c r="AG333" s="23" t="s">
        <v>943</v>
      </c>
      <c r="AH333" s="23" t="s">
        <v>418</v>
      </c>
      <c r="AI333" s="23" t="s">
        <v>332</v>
      </c>
      <c r="AJ333">
        <v>7</v>
      </c>
      <c r="AK333">
        <v>1</v>
      </c>
      <c r="AL333">
        <v>4</v>
      </c>
      <c r="AM333">
        <v>4</v>
      </c>
      <c r="AN333" s="23">
        <v>0</v>
      </c>
      <c r="AO333" s="23">
        <v>0</v>
      </c>
      <c r="AP333" s="23">
        <v>0</v>
      </c>
      <c r="AQ333" s="23">
        <v>0</v>
      </c>
      <c r="AR333" s="37">
        <v>0</v>
      </c>
      <c r="AS333" s="37">
        <v>0</v>
      </c>
      <c r="AT333" s="37">
        <v>19</v>
      </c>
      <c r="AU333" s="33" t="str">
        <f t="shared" si="9"/>
        <v>库存为19</v>
      </c>
      <c r="AV333" s="38" t="str">
        <f>IFERROR(时间!$B$4+AU333,"上周无销量")</f>
        <v>上周无销量</v>
      </c>
    </row>
    <row r="334" spans="1:48">
      <c r="A334" s="21" t="s">
        <v>944</v>
      </c>
      <c r="B334" t="s">
        <v>945</v>
      </c>
      <c r="C334" t="s">
        <v>863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15</v>
      </c>
      <c r="J334" s="35">
        <v>0</v>
      </c>
      <c r="K334" s="35">
        <v>0</v>
      </c>
      <c r="L334" s="35">
        <v>0</v>
      </c>
      <c r="M334">
        <v>15</v>
      </c>
      <c r="N334">
        <v>0</v>
      </c>
      <c r="O334">
        <v>15</v>
      </c>
      <c r="P334">
        <v>207</v>
      </c>
      <c r="Q334">
        <v>620</v>
      </c>
      <c r="R334">
        <v>4731</v>
      </c>
      <c r="S334">
        <v>6170</v>
      </c>
      <c r="T334">
        <v>0</v>
      </c>
      <c r="U334">
        <v>1</v>
      </c>
      <c r="V334">
        <v>3</v>
      </c>
      <c r="W334">
        <v>5</v>
      </c>
      <c r="X334" s="23">
        <v>0</v>
      </c>
      <c r="Y334" s="23">
        <v>0.00161290322580645</v>
      </c>
      <c r="Z334" s="23">
        <v>0.000634115409004439</v>
      </c>
      <c r="AA334" s="23">
        <v>0.000810372771474878</v>
      </c>
      <c r="AB334">
        <v>0</v>
      </c>
      <c r="AC334">
        <v>0.43</v>
      </c>
      <c r="AD334">
        <v>1.42</v>
      </c>
      <c r="AE334">
        <v>1.76</v>
      </c>
      <c r="AF334" s="23" t="s">
        <v>55</v>
      </c>
      <c r="AG334" s="23" t="s">
        <v>251</v>
      </c>
      <c r="AH334" s="23" t="s">
        <v>245</v>
      </c>
      <c r="AI334" s="23" t="s">
        <v>946</v>
      </c>
      <c r="AJ334">
        <v>3</v>
      </c>
      <c r="AK334">
        <v>3</v>
      </c>
      <c r="AL334">
        <v>4</v>
      </c>
      <c r="AM334">
        <v>4</v>
      </c>
      <c r="AN334" s="23">
        <v>0</v>
      </c>
      <c r="AO334" s="23">
        <v>0</v>
      </c>
      <c r="AP334" s="23">
        <v>0</v>
      </c>
      <c r="AQ334" s="23">
        <v>0</v>
      </c>
      <c r="AR334" s="37">
        <v>0</v>
      </c>
      <c r="AS334" s="37">
        <v>0</v>
      </c>
      <c r="AT334" s="37">
        <v>15</v>
      </c>
      <c r="AU334" s="33" t="str">
        <f t="shared" si="9"/>
        <v>库存为15</v>
      </c>
      <c r="AV334" s="38" t="str">
        <f>IFERROR(时间!$B$4+AU334,"上周无销量")</f>
        <v>上周无销量</v>
      </c>
    </row>
    <row r="335" spans="1:48">
      <c r="A335" s="21" t="s">
        <v>947</v>
      </c>
      <c r="B335" t="s">
        <v>948</v>
      </c>
      <c r="C335" t="s">
        <v>863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28</v>
      </c>
      <c r="J335" s="35">
        <v>0</v>
      </c>
      <c r="K335" s="35">
        <v>0</v>
      </c>
      <c r="L335" s="35">
        <v>0</v>
      </c>
      <c r="M335">
        <v>28</v>
      </c>
      <c r="N335">
        <v>0</v>
      </c>
      <c r="O335">
        <v>28</v>
      </c>
      <c r="P335">
        <v>1026</v>
      </c>
      <c r="Q335">
        <v>732</v>
      </c>
      <c r="R335">
        <v>705</v>
      </c>
      <c r="S335">
        <v>617</v>
      </c>
      <c r="T335">
        <v>0</v>
      </c>
      <c r="U335">
        <v>0</v>
      </c>
      <c r="V335">
        <v>1</v>
      </c>
      <c r="W335">
        <v>2</v>
      </c>
      <c r="X335" s="23">
        <v>0</v>
      </c>
      <c r="Y335" s="23">
        <v>0</v>
      </c>
      <c r="Z335" s="23">
        <v>0.00141843971631206</v>
      </c>
      <c r="AA335" s="23">
        <v>0.00324149108589951</v>
      </c>
      <c r="AB335">
        <v>0</v>
      </c>
      <c r="AC335">
        <v>0</v>
      </c>
      <c r="AD335">
        <v>0.52</v>
      </c>
      <c r="AE335">
        <v>1.03</v>
      </c>
      <c r="AF335" s="23" t="s">
        <v>55</v>
      </c>
      <c r="AG335" s="23" t="s">
        <v>55</v>
      </c>
      <c r="AH335" s="23" t="s">
        <v>491</v>
      </c>
      <c r="AI335" s="23" t="s">
        <v>949</v>
      </c>
      <c r="AJ335">
        <v>2</v>
      </c>
      <c r="AK335">
        <v>1</v>
      </c>
      <c r="AL335">
        <v>1</v>
      </c>
      <c r="AM335">
        <v>0</v>
      </c>
      <c r="AN335" s="23">
        <v>0</v>
      </c>
      <c r="AO335" s="23">
        <v>0</v>
      </c>
      <c r="AP335" s="23">
        <v>0</v>
      </c>
      <c r="AQ335" s="23" t="s">
        <v>55</v>
      </c>
      <c r="AR335" s="37">
        <v>0</v>
      </c>
      <c r="AS335" s="37">
        <v>0</v>
      </c>
      <c r="AT335" s="37">
        <v>28</v>
      </c>
      <c r="AU335" s="33" t="str">
        <f t="shared" si="9"/>
        <v>库存为28</v>
      </c>
      <c r="AV335" s="38" t="str">
        <f>IFERROR(时间!$B$4+AU335,"上周无销量")</f>
        <v>上周无销量</v>
      </c>
    </row>
    <row r="336" spans="1:48">
      <c r="A336" s="21" t="s">
        <v>950</v>
      </c>
      <c r="B336" t="s">
        <v>951</v>
      </c>
      <c r="C336" t="s">
        <v>863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30</v>
      </c>
      <c r="J336" s="35">
        <v>0</v>
      </c>
      <c r="K336" s="35">
        <v>0</v>
      </c>
      <c r="L336" s="35">
        <v>0</v>
      </c>
      <c r="M336">
        <v>30</v>
      </c>
      <c r="N336">
        <v>0</v>
      </c>
      <c r="O336">
        <v>30</v>
      </c>
      <c r="P336">
        <v>3187</v>
      </c>
      <c r="Q336">
        <v>4585</v>
      </c>
      <c r="R336">
        <v>2394</v>
      </c>
      <c r="S336">
        <v>2004</v>
      </c>
      <c r="T336">
        <v>3</v>
      </c>
      <c r="U336">
        <v>7</v>
      </c>
      <c r="V336">
        <v>0</v>
      </c>
      <c r="W336">
        <v>2</v>
      </c>
      <c r="X336" s="23">
        <v>0.00094132412927518</v>
      </c>
      <c r="Y336" s="23">
        <v>0.00152671755725191</v>
      </c>
      <c r="Z336" s="23">
        <v>0</v>
      </c>
      <c r="AA336" s="23">
        <v>0.000998003992015968</v>
      </c>
      <c r="AB336">
        <v>1.05</v>
      </c>
      <c r="AC336">
        <v>2.47</v>
      </c>
      <c r="AD336">
        <v>0</v>
      </c>
      <c r="AE336">
        <v>0.78</v>
      </c>
      <c r="AF336" s="23" t="s">
        <v>672</v>
      </c>
      <c r="AG336" s="23" t="s">
        <v>952</v>
      </c>
      <c r="AH336" s="23" t="s">
        <v>55</v>
      </c>
      <c r="AI336" s="23" t="s">
        <v>248</v>
      </c>
      <c r="AJ336">
        <v>5</v>
      </c>
      <c r="AK336">
        <v>2</v>
      </c>
      <c r="AL336">
        <v>0</v>
      </c>
      <c r="AM336">
        <v>1</v>
      </c>
      <c r="AN336" s="23">
        <v>0</v>
      </c>
      <c r="AO336" s="23">
        <v>0</v>
      </c>
      <c r="AP336" s="23" t="s">
        <v>55</v>
      </c>
      <c r="AQ336" s="23">
        <v>0</v>
      </c>
      <c r="AR336" s="37">
        <v>0</v>
      </c>
      <c r="AS336" s="37">
        <v>0</v>
      </c>
      <c r="AT336" s="37">
        <v>30</v>
      </c>
      <c r="AU336" s="33" t="str">
        <f t="shared" si="9"/>
        <v>库存为30</v>
      </c>
      <c r="AV336" s="38" t="str">
        <f>IFERROR(时间!$B$4+AU336,"上周无销量")</f>
        <v>上周无销量</v>
      </c>
    </row>
    <row r="337" spans="1:48">
      <c r="A337" s="21" t="s">
        <v>953</v>
      </c>
      <c r="B337" t="s">
        <v>954</v>
      </c>
      <c r="C337" t="s">
        <v>863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13</v>
      </c>
      <c r="J337" s="35">
        <v>0</v>
      </c>
      <c r="K337" s="35">
        <v>0</v>
      </c>
      <c r="L337" s="35">
        <v>0</v>
      </c>
      <c r="M337">
        <v>13</v>
      </c>
      <c r="N337">
        <v>0</v>
      </c>
      <c r="O337">
        <v>13</v>
      </c>
      <c r="P337">
        <v>2416</v>
      </c>
      <c r="Q337">
        <v>1953</v>
      </c>
      <c r="R337">
        <v>772</v>
      </c>
      <c r="S337">
        <v>591</v>
      </c>
      <c r="T337">
        <v>6</v>
      </c>
      <c r="U337">
        <v>3</v>
      </c>
      <c r="V337">
        <v>1</v>
      </c>
      <c r="W337">
        <v>0</v>
      </c>
      <c r="X337" s="23">
        <v>0.00248344370860927</v>
      </c>
      <c r="Y337" s="23">
        <v>0.00153609831029186</v>
      </c>
      <c r="Z337" s="23">
        <v>0.00129533678756477</v>
      </c>
      <c r="AA337" s="23">
        <v>0</v>
      </c>
      <c r="AB337">
        <v>2.31</v>
      </c>
      <c r="AC337">
        <v>1.69</v>
      </c>
      <c r="AD337">
        <v>0.26</v>
      </c>
      <c r="AE337">
        <v>0</v>
      </c>
      <c r="AF337" s="23" t="s">
        <v>955</v>
      </c>
      <c r="AG337" s="23" t="s">
        <v>321</v>
      </c>
      <c r="AH337" s="23" t="s">
        <v>332</v>
      </c>
      <c r="AI337" s="23" t="s">
        <v>55</v>
      </c>
      <c r="AJ337">
        <v>3</v>
      </c>
      <c r="AK337">
        <v>1</v>
      </c>
      <c r="AL337">
        <v>1</v>
      </c>
      <c r="AM337">
        <v>1</v>
      </c>
      <c r="AN337" s="23">
        <v>0</v>
      </c>
      <c r="AO337" s="23">
        <v>0</v>
      </c>
      <c r="AP337" s="23">
        <v>0</v>
      </c>
      <c r="AQ337" s="23">
        <v>0</v>
      </c>
      <c r="AR337" s="37">
        <v>0</v>
      </c>
      <c r="AS337" s="37">
        <v>0</v>
      </c>
      <c r="AT337" s="37">
        <v>13</v>
      </c>
      <c r="AU337" s="33" t="str">
        <f t="shared" si="9"/>
        <v>库存为13</v>
      </c>
      <c r="AV337" s="38" t="str">
        <f>IFERROR(时间!$B$4+AU337,"上周无销量")</f>
        <v>上周无销量</v>
      </c>
    </row>
    <row r="338" spans="1:48">
      <c r="A338" s="21" t="s">
        <v>956</v>
      </c>
      <c r="B338" t="s">
        <v>957</v>
      </c>
      <c r="C338" t="s">
        <v>863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9</v>
      </c>
      <c r="J338" s="35">
        <v>0</v>
      </c>
      <c r="K338" s="35">
        <v>0</v>
      </c>
      <c r="L338" s="35">
        <v>0</v>
      </c>
      <c r="M338">
        <v>9</v>
      </c>
      <c r="N338">
        <v>0</v>
      </c>
      <c r="O338">
        <v>9</v>
      </c>
      <c r="P338">
        <v>829</v>
      </c>
      <c r="Q338">
        <v>363</v>
      </c>
      <c r="R338">
        <v>564</v>
      </c>
      <c r="S338">
        <v>758</v>
      </c>
      <c r="T338">
        <v>1</v>
      </c>
      <c r="U338">
        <v>0</v>
      </c>
      <c r="V338">
        <v>1</v>
      </c>
      <c r="W338">
        <v>0</v>
      </c>
      <c r="X338" s="23">
        <v>0.00120627261761158</v>
      </c>
      <c r="Y338" s="23">
        <v>0</v>
      </c>
      <c r="Z338" s="23">
        <v>0.00177304964539007</v>
      </c>
      <c r="AA338" s="23">
        <v>0</v>
      </c>
      <c r="AB338">
        <v>0.23</v>
      </c>
      <c r="AC338">
        <v>0</v>
      </c>
      <c r="AD338">
        <v>0.55</v>
      </c>
      <c r="AE338">
        <v>0</v>
      </c>
      <c r="AF338" s="23" t="s">
        <v>958</v>
      </c>
      <c r="AG338" s="23" t="s">
        <v>55</v>
      </c>
      <c r="AH338" s="23" t="s">
        <v>793</v>
      </c>
      <c r="AI338" s="23" t="s">
        <v>55</v>
      </c>
      <c r="AJ338">
        <v>0</v>
      </c>
      <c r="AK338">
        <v>0</v>
      </c>
      <c r="AL338">
        <v>0</v>
      </c>
      <c r="AM338">
        <v>2</v>
      </c>
      <c r="AN338" s="23" t="s">
        <v>55</v>
      </c>
      <c r="AO338" s="23" t="s">
        <v>55</v>
      </c>
      <c r="AP338" s="23" t="s">
        <v>55</v>
      </c>
      <c r="AQ338" s="23">
        <v>0</v>
      </c>
      <c r="AR338" s="37">
        <v>0</v>
      </c>
      <c r="AS338" s="37">
        <v>0</v>
      </c>
      <c r="AT338" s="37">
        <v>9</v>
      </c>
      <c r="AU338" s="33" t="str">
        <f t="shared" si="9"/>
        <v>库存为9</v>
      </c>
      <c r="AV338" s="38" t="str">
        <f>IFERROR(时间!$B$4+AU338,"上周无销量")</f>
        <v>上周无销量</v>
      </c>
    </row>
    <row r="339" spans="1:48">
      <c r="A339" s="21" t="s">
        <v>959</v>
      </c>
      <c r="B339" t="s">
        <v>960</v>
      </c>
      <c r="C339" t="s">
        <v>913</v>
      </c>
      <c r="D339" s="33">
        <v>2</v>
      </c>
      <c r="E339" s="33">
        <v>0</v>
      </c>
      <c r="F339" s="33">
        <v>0</v>
      </c>
      <c r="G339" s="33">
        <v>2</v>
      </c>
      <c r="H339" s="34">
        <v>16.99</v>
      </c>
      <c r="I339">
        <v>30</v>
      </c>
      <c r="J339" s="35">
        <v>0</v>
      </c>
      <c r="K339" s="35">
        <v>0</v>
      </c>
      <c r="L339" s="35">
        <v>0</v>
      </c>
      <c r="M339">
        <v>30</v>
      </c>
      <c r="N339">
        <v>0</v>
      </c>
      <c r="O339">
        <v>0</v>
      </c>
      <c r="P339">
        <v>2657</v>
      </c>
      <c r="Q339">
        <v>2505</v>
      </c>
      <c r="R339">
        <v>1092</v>
      </c>
      <c r="S339">
        <v>2472</v>
      </c>
      <c r="T339">
        <v>5</v>
      </c>
      <c r="U339">
        <v>5</v>
      </c>
      <c r="V339">
        <v>3</v>
      </c>
      <c r="W339">
        <v>5</v>
      </c>
      <c r="X339" s="23">
        <v>0.00188182160331201</v>
      </c>
      <c r="Y339" s="23">
        <v>0.00199600798403194</v>
      </c>
      <c r="Z339" s="23">
        <v>0.00274725274725275</v>
      </c>
      <c r="AA339" s="23">
        <v>0.00202265372168285</v>
      </c>
      <c r="AB339">
        <v>1.35</v>
      </c>
      <c r="AC339">
        <v>1.96</v>
      </c>
      <c r="AD339">
        <v>1.04</v>
      </c>
      <c r="AE339">
        <v>1.94</v>
      </c>
      <c r="AF339" s="23">
        <v>0.0397292525014715</v>
      </c>
      <c r="AG339" s="23" t="s">
        <v>504</v>
      </c>
      <c r="AH339" s="23" t="s">
        <v>890</v>
      </c>
      <c r="AI339" s="23">
        <v>0.0570924072984108</v>
      </c>
      <c r="AJ339">
        <v>6</v>
      </c>
      <c r="AK339">
        <v>7</v>
      </c>
      <c r="AL339">
        <v>6</v>
      </c>
      <c r="AM339">
        <v>14</v>
      </c>
      <c r="AN339" s="23">
        <v>0.333333333333333</v>
      </c>
      <c r="AO339" s="23">
        <v>0</v>
      </c>
      <c r="AP339" s="23">
        <v>0</v>
      </c>
      <c r="AQ339" s="23">
        <v>0.142857142857143</v>
      </c>
      <c r="AR339" s="37">
        <v>0.285714285714286</v>
      </c>
      <c r="AS339" s="37">
        <v>17.1428571428571</v>
      </c>
      <c r="AT339" s="37">
        <v>12.8571428571429</v>
      </c>
      <c r="AU339" s="33">
        <f t="shared" si="9"/>
        <v>105</v>
      </c>
      <c r="AV339" s="38">
        <f>IFERROR(时间!$B$4+AU339,"上周无销量")</f>
        <v>43388</v>
      </c>
    </row>
    <row r="340" spans="1:48">
      <c r="A340" s="21" t="s">
        <v>961</v>
      </c>
      <c r="B340" t="s">
        <v>962</v>
      </c>
      <c r="C340" t="s">
        <v>913</v>
      </c>
      <c r="D340" s="33">
        <v>0</v>
      </c>
      <c r="E340" s="33">
        <v>0</v>
      </c>
      <c r="F340" s="33">
        <v>1</v>
      </c>
      <c r="G340" s="33">
        <v>0</v>
      </c>
      <c r="H340" s="34">
        <v>16.99</v>
      </c>
      <c r="I340">
        <v>16</v>
      </c>
      <c r="J340" s="35">
        <v>0</v>
      </c>
      <c r="K340" s="35">
        <v>0</v>
      </c>
      <c r="L340" s="35">
        <v>0</v>
      </c>
      <c r="M340">
        <v>16</v>
      </c>
      <c r="N340">
        <v>0</v>
      </c>
      <c r="O340">
        <v>0</v>
      </c>
      <c r="P340">
        <v>381</v>
      </c>
      <c r="Q340">
        <v>482</v>
      </c>
      <c r="R340">
        <v>501</v>
      </c>
      <c r="S340">
        <v>1347</v>
      </c>
      <c r="T340">
        <v>1</v>
      </c>
      <c r="U340">
        <v>0</v>
      </c>
      <c r="V340">
        <v>1</v>
      </c>
      <c r="W340">
        <v>0</v>
      </c>
      <c r="X340" s="23">
        <v>0.0026246719160105</v>
      </c>
      <c r="Y340" s="23">
        <v>0</v>
      </c>
      <c r="Z340" s="23">
        <v>0.00199600798403194</v>
      </c>
      <c r="AA340" s="23">
        <v>0</v>
      </c>
      <c r="AB340">
        <v>0.6</v>
      </c>
      <c r="AC340">
        <v>0</v>
      </c>
      <c r="AD340">
        <v>0.41</v>
      </c>
      <c r="AE340">
        <v>0</v>
      </c>
      <c r="AF340" s="23" t="s">
        <v>408</v>
      </c>
      <c r="AG340" s="23" t="s">
        <v>55</v>
      </c>
      <c r="AH340" s="23">
        <v>0.024131842260153</v>
      </c>
      <c r="AI340" s="23" t="s">
        <v>55</v>
      </c>
      <c r="AJ340">
        <v>5</v>
      </c>
      <c r="AK340">
        <v>1</v>
      </c>
      <c r="AL340">
        <v>4</v>
      </c>
      <c r="AM340">
        <v>5</v>
      </c>
      <c r="AN340" s="23">
        <v>0</v>
      </c>
      <c r="AO340" s="23">
        <v>0</v>
      </c>
      <c r="AP340" s="23">
        <v>0.25</v>
      </c>
      <c r="AQ340" s="23">
        <v>0</v>
      </c>
      <c r="AR340" s="37">
        <v>0</v>
      </c>
      <c r="AS340" s="37">
        <v>0</v>
      </c>
      <c r="AT340" s="37">
        <v>16</v>
      </c>
      <c r="AU340" s="33" t="str">
        <f t="shared" si="9"/>
        <v>库存为16</v>
      </c>
      <c r="AV340" s="38" t="str">
        <f>IFERROR(时间!$B$4+AU340,"上周无销量")</f>
        <v>上周无销量</v>
      </c>
    </row>
    <row r="341" spans="1:48">
      <c r="A341" s="21" t="s">
        <v>963</v>
      </c>
      <c r="B341" t="s">
        <v>964</v>
      </c>
      <c r="C341" t="s">
        <v>913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3</v>
      </c>
      <c r="J341" s="35">
        <v>0</v>
      </c>
      <c r="K341" s="35">
        <v>0</v>
      </c>
      <c r="L341" s="35">
        <v>0</v>
      </c>
      <c r="M341">
        <v>3</v>
      </c>
      <c r="N341">
        <v>0</v>
      </c>
      <c r="O341">
        <v>0</v>
      </c>
      <c r="P341">
        <v>2827</v>
      </c>
      <c r="Q341">
        <v>1772</v>
      </c>
      <c r="R341">
        <v>839</v>
      </c>
      <c r="S341">
        <v>2066</v>
      </c>
      <c r="T341">
        <v>2</v>
      </c>
      <c r="U341">
        <v>7</v>
      </c>
      <c r="V341">
        <v>4</v>
      </c>
      <c r="W341">
        <v>9</v>
      </c>
      <c r="X341" s="23">
        <v>0.000707463742483198</v>
      </c>
      <c r="Y341" s="23">
        <v>0.00395033860045147</v>
      </c>
      <c r="Z341" s="23">
        <v>0.00476758045292014</v>
      </c>
      <c r="AA341" s="23">
        <v>0.00435624394966118</v>
      </c>
      <c r="AB341">
        <v>0.79</v>
      </c>
      <c r="AC341">
        <v>2.56</v>
      </c>
      <c r="AD341">
        <v>1.47</v>
      </c>
      <c r="AE341">
        <v>3.98</v>
      </c>
      <c r="AF341" s="23" t="s">
        <v>562</v>
      </c>
      <c r="AG341" s="23" t="s">
        <v>965</v>
      </c>
      <c r="AH341" s="23" t="s">
        <v>966</v>
      </c>
      <c r="AI341" s="23" t="s">
        <v>967</v>
      </c>
      <c r="AJ341">
        <v>4</v>
      </c>
      <c r="AK341">
        <v>4</v>
      </c>
      <c r="AL341">
        <v>3</v>
      </c>
      <c r="AM341">
        <v>9</v>
      </c>
      <c r="AN341" s="23">
        <v>0</v>
      </c>
      <c r="AO341" s="23">
        <v>0</v>
      </c>
      <c r="AP341" s="23">
        <v>0</v>
      </c>
      <c r="AQ341" s="23">
        <v>0</v>
      </c>
      <c r="AR341" s="37">
        <v>0</v>
      </c>
      <c r="AS341" s="37">
        <v>0</v>
      </c>
      <c r="AT341" s="37">
        <v>3</v>
      </c>
      <c r="AU341" s="33" t="str">
        <f t="shared" si="9"/>
        <v>库存为3</v>
      </c>
      <c r="AV341" s="38" t="str">
        <f>IFERROR(时间!$B$4+AU341,"上周无销量")</f>
        <v>上周无销量</v>
      </c>
    </row>
    <row r="342" spans="1:48">
      <c r="A342" s="21" t="s">
        <v>968</v>
      </c>
      <c r="B342" t="s">
        <v>969</v>
      </c>
      <c r="C342" t="s">
        <v>913</v>
      </c>
      <c r="D342" s="33">
        <v>0</v>
      </c>
      <c r="E342" s="33">
        <v>1</v>
      </c>
      <c r="F342" s="33">
        <v>0</v>
      </c>
      <c r="G342" s="33">
        <v>2</v>
      </c>
      <c r="H342" s="34">
        <v>16.99</v>
      </c>
      <c r="I342">
        <v>16</v>
      </c>
      <c r="J342" s="35">
        <v>0</v>
      </c>
      <c r="K342" s="35">
        <v>0</v>
      </c>
      <c r="L342" s="35">
        <v>0</v>
      </c>
      <c r="M342">
        <v>16</v>
      </c>
      <c r="N342">
        <v>0</v>
      </c>
      <c r="O342">
        <v>0</v>
      </c>
      <c r="P342">
        <v>9739</v>
      </c>
      <c r="Q342">
        <v>5134</v>
      </c>
      <c r="R342">
        <v>8258</v>
      </c>
      <c r="S342">
        <v>12291</v>
      </c>
      <c r="T342">
        <v>23</v>
      </c>
      <c r="U342">
        <v>25</v>
      </c>
      <c r="V342">
        <v>42</v>
      </c>
      <c r="W342">
        <v>50</v>
      </c>
      <c r="X342" s="23">
        <v>0.00236163877194784</v>
      </c>
      <c r="Y342" s="23">
        <v>0.00486949746786132</v>
      </c>
      <c r="Z342" s="23">
        <v>0.00508597723419714</v>
      </c>
      <c r="AA342" s="23">
        <v>0.00406801724839313</v>
      </c>
      <c r="AB342">
        <v>8.37</v>
      </c>
      <c r="AC342">
        <v>8.75</v>
      </c>
      <c r="AD342">
        <v>14.5</v>
      </c>
      <c r="AE342">
        <v>18.57</v>
      </c>
      <c r="AF342" s="23" t="s">
        <v>970</v>
      </c>
      <c r="AG342" s="23">
        <v>0.515008828722778</v>
      </c>
      <c r="AH342" s="23" t="s">
        <v>971</v>
      </c>
      <c r="AI342" s="23">
        <v>0.546497939964685</v>
      </c>
      <c r="AJ342">
        <v>15</v>
      </c>
      <c r="AK342">
        <v>20</v>
      </c>
      <c r="AL342">
        <v>21</v>
      </c>
      <c r="AM342">
        <v>20</v>
      </c>
      <c r="AN342" s="23">
        <v>0</v>
      </c>
      <c r="AO342" s="23">
        <v>0.05</v>
      </c>
      <c r="AP342" s="23">
        <v>0</v>
      </c>
      <c r="AQ342" s="23">
        <v>0.1</v>
      </c>
      <c r="AR342" s="37">
        <v>0</v>
      </c>
      <c r="AS342" s="37">
        <v>0</v>
      </c>
      <c r="AT342" s="37">
        <v>16</v>
      </c>
      <c r="AU342" s="33" t="str">
        <f t="shared" si="9"/>
        <v>库存为16</v>
      </c>
      <c r="AV342" s="38" t="str">
        <f>IFERROR(时间!$B$4+AU342,"上周无销量")</f>
        <v>上周无销量</v>
      </c>
    </row>
    <row r="343" spans="1:48">
      <c r="A343" s="21" t="s">
        <v>972</v>
      </c>
      <c r="B343" t="s">
        <v>973</v>
      </c>
      <c r="C343" t="s">
        <v>913</v>
      </c>
      <c r="D343" s="33">
        <v>1</v>
      </c>
      <c r="E343" s="33">
        <v>1</v>
      </c>
      <c r="F343" s="33">
        <v>0</v>
      </c>
      <c r="G343" s="33">
        <v>0</v>
      </c>
      <c r="H343" s="34">
        <v>16.99</v>
      </c>
      <c r="I343">
        <v>5</v>
      </c>
      <c r="J343" s="35">
        <v>0</v>
      </c>
      <c r="K343" s="35">
        <v>0</v>
      </c>
      <c r="L343" s="35">
        <v>0</v>
      </c>
      <c r="M343">
        <v>5</v>
      </c>
      <c r="N343">
        <v>0</v>
      </c>
      <c r="O343">
        <v>0</v>
      </c>
      <c r="P343">
        <v>937</v>
      </c>
      <c r="Q343">
        <v>741</v>
      </c>
      <c r="R343">
        <v>1106</v>
      </c>
      <c r="S343">
        <v>2457</v>
      </c>
      <c r="T343">
        <v>1</v>
      </c>
      <c r="U343">
        <v>1</v>
      </c>
      <c r="V343">
        <v>2</v>
      </c>
      <c r="W343">
        <v>10</v>
      </c>
      <c r="X343" s="23">
        <v>0.00106723585912487</v>
      </c>
      <c r="Y343" s="23">
        <v>0.00134952766531714</v>
      </c>
      <c r="Z343" s="23">
        <v>0.00180831826401447</v>
      </c>
      <c r="AA343" s="23">
        <v>0.00407000407000407</v>
      </c>
      <c r="AB343">
        <v>0.54</v>
      </c>
      <c r="AC343">
        <v>0.41</v>
      </c>
      <c r="AD343">
        <v>0.88</v>
      </c>
      <c r="AE343">
        <v>3.53</v>
      </c>
      <c r="AF343" s="23">
        <v>0.0317834020011772</v>
      </c>
      <c r="AG343" s="23">
        <v>0.024131842260153</v>
      </c>
      <c r="AH343" s="23" t="s">
        <v>669</v>
      </c>
      <c r="AI343" s="23" t="s">
        <v>974</v>
      </c>
      <c r="AJ343">
        <v>8</v>
      </c>
      <c r="AK343">
        <v>1</v>
      </c>
      <c r="AL343">
        <v>2</v>
      </c>
      <c r="AM343">
        <v>3</v>
      </c>
      <c r="AN343" s="23">
        <v>0.125</v>
      </c>
      <c r="AO343" s="23">
        <v>1</v>
      </c>
      <c r="AP343" s="23">
        <v>0</v>
      </c>
      <c r="AQ343" s="23">
        <v>0</v>
      </c>
      <c r="AR343" s="37">
        <v>0.142857142857143</v>
      </c>
      <c r="AS343" s="37">
        <v>8.57142857142857</v>
      </c>
      <c r="AT343" s="37">
        <v>-3.57142857142857</v>
      </c>
      <c r="AU343" s="33">
        <f t="shared" si="9"/>
        <v>35</v>
      </c>
      <c r="AV343" s="38">
        <f>IFERROR(时间!$B$4+AU343,"上周无销量")</f>
        <v>43318</v>
      </c>
    </row>
    <row r="344" spans="1:48">
      <c r="A344" s="21" t="s">
        <v>975</v>
      </c>
      <c r="B344" t="s">
        <v>976</v>
      </c>
      <c r="C344" t="s">
        <v>913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3</v>
      </c>
      <c r="J344" s="35">
        <v>0</v>
      </c>
      <c r="K344" s="35">
        <v>0</v>
      </c>
      <c r="L344" s="35">
        <v>0</v>
      </c>
      <c r="M344">
        <v>3</v>
      </c>
      <c r="N344">
        <v>0</v>
      </c>
      <c r="O344">
        <v>0</v>
      </c>
      <c r="P344">
        <v>3731</v>
      </c>
      <c r="Q344">
        <v>2091</v>
      </c>
      <c r="R344">
        <v>740</v>
      </c>
      <c r="S344">
        <v>1243</v>
      </c>
      <c r="T344">
        <v>17</v>
      </c>
      <c r="U344">
        <v>5</v>
      </c>
      <c r="V344">
        <v>3</v>
      </c>
      <c r="W344">
        <v>3</v>
      </c>
      <c r="X344" s="23">
        <v>0.00455641919056553</v>
      </c>
      <c r="Y344" s="23">
        <v>0.00239120038259206</v>
      </c>
      <c r="Z344" s="23">
        <v>0.00405405405405405</v>
      </c>
      <c r="AA344" s="23">
        <v>0.00241351568785197</v>
      </c>
      <c r="AB344">
        <v>6.55</v>
      </c>
      <c r="AC344">
        <v>1.49</v>
      </c>
      <c r="AD344">
        <v>1.27</v>
      </c>
      <c r="AE344">
        <v>1.17</v>
      </c>
      <c r="AF344" s="23" t="s">
        <v>977</v>
      </c>
      <c r="AG344" s="23" t="s">
        <v>978</v>
      </c>
      <c r="AH344" s="23" t="s">
        <v>568</v>
      </c>
      <c r="AI344" s="23" t="s">
        <v>309</v>
      </c>
      <c r="AJ344">
        <v>20</v>
      </c>
      <c r="AK344">
        <v>3</v>
      </c>
      <c r="AL344">
        <v>2</v>
      </c>
      <c r="AM344">
        <v>3</v>
      </c>
      <c r="AN344" s="23">
        <v>0</v>
      </c>
      <c r="AO344" s="23">
        <v>0</v>
      </c>
      <c r="AP344" s="23">
        <v>0</v>
      </c>
      <c r="AQ344" s="23">
        <v>0</v>
      </c>
      <c r="AR344" s="37">
        <v>0</v>
      </c>
      <c r="AS344" s="37">
        <v>0</v>
      </c>
      <c r="AT344" s="37">
        <v>3</v>
      </c>
      <c r="AU344" s="33" t="str">
        <f t="shared" si="9"/>
        <v>库存为3</v>
      </c>
      <c r="AV344" s="38" t="str">
        <f>IFERROR(时间!$B$4+AU344,"上周无销量")</f>
        <v>上周无销量</v>
      </c>
    </row>
    <row r="345" spans="1:48">
      <c r="A345" s="21" t="s">
        <v>979</v>
      </c>
      <c r="B345" t="s">
        <v>980</v>
      </c>
      <c r="C345" t="s">
        <v>913</v>
      </c>
      <c r="D345" s="33">
        <v>0</v>
      </c>
      <c r="E345" s="33">
        <v>1</v>
      </c>
      <c r="F345" s="33">
        <v>0</v>
      </c>
      <c r="G345" s="33">
        <v>0</v>
      </c>
      <c r="H345" s="34">
        <v>16.99</v>
      </c>
      <c r="I345">
        <v>27</v>
      </c>
      <c r="J345" s="35">
        <v>0</v>
      </c>
      <c r="K345" s="35">
        <v>0</v>
      </c>
      <c r="L345" s="35">
        <v>0</v>
      </c>
      <c r="M345">
        <v>27</v>
      </c>
      <c r="N345">
        <v>0</v>
      </c>
      <c r="O345">
        <v>0</v>
      </c>
      <c r="P345">
        <v>192</v>
      </c>
      <c r="Q345">
        <v>184</v>
      </c>
      <c r="R345">
        <v>247</v>
      </c>
      <c r="S345">
        <v>463</v>
      </c>
      <c r="T345">
        <v>0</v>
      </c>
      <c r="U345">
        <v>0</v>
      </c>
      <c r="V345">
        <v>1</v>
      </c>
      <c r="W345">
        <v>3</v>
      </c>
      <c r="X345" s="23">
        <v>0</v>
      </c>
      <c r="Y345" s="23">
        <v>0</v>
      </c>
      <c r="Z345" s="23">
        <v>0.00404858299595142</v>
      </c>
      <c r="AA345" s="23">
        <v>0.00647948164146868</v>
      </c>
      <c r="AB345">
        <v>0</v>
      </c>
      <c r="AC345">
        <v>0</v>
      </c>
      <c r="AD345">
        <v>0.43</v>
      </c>
      <c r="AE345">
        <v>1.41</v>
      </c>
      <c r="AF345" s="23" t="s">
        <v>55</v>
      </c>
      <c r="AG345" s="23" t="s">
        <v>55</v>
      </c>
      <c r="AH345" s="23" t="s">
        <v>251</v>
      </c>
      <c r="AI345" s="23" t="s">
        <v>981</v>
      </c>
      <c r="AJ345">
        <v>5</v>
      </c>
      <c r="AK345">
        <v>2</v>
      </c>
      <c r="AL345">
        <v>4</v>
      </c>
      <c r="AM345">
        <v>0</v>
      </c>
      <c r="AN345" s="23">
        <v>0</v>
      </c>
      <c r="AO345" s="23">
        <v>0.5</v>
      </c>
      <c r="AP345" s="23">
        <v>0</v>
      </c>
      <c r="AQ345" s="23" t="s">
        <v>55</v>
      </c>
      <c r="AR345" s="37">
        <v>0</v>
      </c>
      <c r="AS345" s="37">
        <v>0</v>
      </c>
      <c r="AT345" s="37">
        <v>27</v>
      </c>
      <c r="AU345" s="33" t="str">
        <f t="shared" si="9"/>
        <v>库存为27</v>
      </c>
      <c r="AV345" s="38" t="str">
        <f>IFERROR(时间!$B$4+AU345,"上周无销量")</f>
        <v>上周无销量</v>
      </c>
    </row>
    <row r="346" spans="1:48">
      <c r="A346" s="21" t="s">
        <v>982</v>
      </c>
      <c r="B346" t="s">
        <v>983</v>
      </c>
      <c r="C346" t="s">
        <v>913</v>
      </c>
      <c r="D346" s="33">
        <v>1</v>
      </c>
      <c r="E346" s="33">
        <v>0</v>
      </c>
      <c r="F346" s="33">
        <v>1</v>
      </c>
      <c r="G346" s="33">
        <v>0</v>
      </c>
      <c r="H346" s="34">
        <v>16.99</v>
      </c>
      <c r="I346">
        <v>11</v>
      </c>
      <c r="J346" s="35">
        <v>0</v>
      </c>
      <c r="K346" s="35">
        <v>0</v>
      </c>
      <c r="L346" s="35">
        <v>0</v>
      </c>
      <c r="M346">
        <v>11</v>
      </c>
      <c r="N346">
        <v>0</v>
      </c>
      <c r="O346">
        <v>0</v>
      </c>
      <c r="P346">
        <v>1601</v>
      </c>
      <c r="Q346">
        <v>833</v>
      </c>
      <c r="R346">
        <v>238</v>
      </c>
      <c r="S346">
        <v>579</v>
      </c>
      <c r="T346">
        <v>1</v>
      </c>
      <c r="U346">
        <v>2</v>
      </c>
      <c r="V346">
        <v>1</v>
      </c>
      <c r="W346">
        <v>1</v>
      </c>
      <c r="X346" s="23">
        <v>0.000624609618988132</v>
      </c>
      <c r="Y346" s="23">
        <v>0.00240096038415366</v>
      </c>
      <c r="Z346" s="23">
        <v>0.00420168067226891</v>
      </c>
      <c r="AA346" s="23">
        <v>0.00172711571675302</v>
      </c>
      <c r="AB346">
        <v>0.23</v>
      </c>
      <c r="AC346">
        <v>0.87</v>
      </c>
      <c r="AD346">
        <v>0.31</v>
      </c>
      <c r="AE346">
        <v>0.41</v>
      </c>
      <c r="AF346" s="23">
        <v>0.0135373749264273</v>
      </c>
      <c r="AG346" s="23" t="s">
        <v>984</v>
      </c>
      <c r="AH346" s="23">
        <v>0.0182460270747499</v>
      </c>
      <c r="AI346" s="23" t="s">
        <v>340</v>
      </c>
      <c r="AJ346">
        <v>1</v>
      </c>
      <c r="AK346">
        <v>1</v>
      </c>
      <c r="AL346">
        <v>2</v>
      </c>
      <c r="AM346">
        <v>4</v>
      </c>
      <c r="AN346" s="23">
        <v>1</v>
      </c>
      <c r="AO346" s="23">
        <v>0</v>
      </c>
      <c r="AP346" s="23">
        <v>0.5</v>
      </c>
      <c r="AQ346" s="23">
        <v>0</v>
      </c>
      <c r="AR346" s="37">
        <v>0.142857142857143</v>
      </c>
      <c r="AS346" s="37">
        <v>8.57142857142857</v>
      </c>
      <c r="AT346" s="37">
        <v>2.42857142857143</v>
      </c>
      <c r="AU346" s="33">
        <f t="shared" si="9"/>
        <v>77</v>
      </c>
      <c r="AV346" s="38">
        <f>IFERROR(时间!$B$4+AU346,"上周无销量")</f>
        <v>43360</v>
      </c>
    </row>
    <row r="347" spans="1:48">
      <c r="A347" s="21" t="s">
        <v>985</v>
      </c>
      <c r="B347" t="s">
        <v>986</v>
      </c>
      <c r="C347" t="s">
        <v>913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2</v>
      </c>
      <c r="J347" s="35">
        <v>0</v>
      </c>
      <c r="K347" s="35">
        <v>0</v>
      </c>
      <c r="L347" s="35">
        <v>0</v>
      </c>
      <c r="M347">
        <v>2</v>
      </c>
      <c r="N347">
        <v>0</v>
      </c>
      <c r="O347">
        <v>0</v>
      </c>
      <c r="P347">
        <v>596</v>
      </c>
      <c r="Q347">
        <v>648</v>
      </c>
      <c r="R347">
        <v>1562</v>
      </c>
      <c r="S347">
        <v>3372</v>
      </c>
      <c r="T347">
        <v>2</v>
      </c>
      <c r="U347">
        <v>0</v>
      </c>
      <c r="V347">
        <v>3</v>
      </c>
      <c r="W347">
        <v>6</v>
      </c>
      <c r="X347" s="23">
        <v>0.00335570469798658</v>
      </c>
      <c r="Y347" s="23">
        <v>0</v>
      </c>
      <c r="Z347" s="23">
        <v>0.00192061459667093</v>
      </c>
      <c r="AA347" s="23">
        <v>0.00177935943060498</v>
      </c>
      <c r="AB347">
        <v>0.62</v>
      </c>
      <c r="AC347">
        <v>0</v>
      </c>
      <c r="AD347">
        <v>1.23</v>
      </c>
      <c r="AE347">
        <v>2.04</v>
      </c>
      <c r="AF347" s="23" t="s">
        <v>882</v>
      </c>
      <c r="AG347" s="23" t="s">
        <v>55</v>
      </c>
      <c r="AH347" s="23" t="s">
        <v>987</v>
      </c>
      <c r="AI347" s="23" t="s">
        <v>988</v>
      </c>
      <c r="AJ347">
        <v>3</v>
      </c>
      <c r="AK347">
        <v>0</v>
      </c>
      <c r="AL347">
        <v>2</v>
      </c>
      <c r="AM347">
        <v>3</v>
      </c>
      <c r="AN347" s="23">
        <v>0</v>
      </c>
      <c r="AO347" s="23" t="s">
        <v>55</v>
      </c>
      <c r="AP347" s="23">
        <v>0</v>
      </c>
      <c r="AQ347" s="23">
        <v>0</v>
      </c>
      <c r="AR347" s="37">
        <v>0</v>
      </c>
      <c r="AS347" s="37">
        <v>0</v>
      </c>
      <c r="AT347" s="37">
        <v>2</v>
      </c>
      <c r="AU347" s="33" t="str">
        <f t="shared" si="9"/>
        <v>库存为2</v>
      </c>
      <c r="AV347" s="38" t="str">
        <f>IFERROR(时间!$B$4+AU347,"上周无销量")</f>
        <v>上周无销量</v>
      </c>
    </row>
    <row r="348" spans="1:48">
      <c r="A348" s="21" t="s">
        <v>989</v>
      </c>
      <c r="B348" t="s">
        <v>990</v>
      </c>
      <c r="C348" t="s">
        <v>913</v>
      </c>
      <c r="D348" s="33">
        <v>0</v>
      </c>
      <c r="E348" s="33">
        <v>1</v>
      </c>
      <c r="F348" s="33">
        <v>1</v>
      </c>
      <c r="G348" s="33">
        <v>0</v>
      </c>
      <c r="H348" s="34">
        <v>16.99</v>
      </c>
      <c r="I348">
        <v>23</v>
      </c>
      <c r="J348" s="35">
        <v>0</v>
      </c>
      <c r="K348" s="35">
        <v>0</v>
      </c>
      <c r="L348" s="35">
        <v>0</v>
      </c>
      <c r="M348">
        <v>23</v>
      </c>
      <c r="N348">
        <v>0</v>
      </c>
      <c r="O348">
        <v>0</v>
      </c>
      <c r="P348">
        <v>603</v>
      </c>
      <c r="Q348">
        <v>1045</v>
      </c>
      <c r="R348">
        <v>2792</v>
      </c>
      <c r="S348">
        <v>6822</v>
      </c>
      <c r="T348">
        <v>1</v>
      </c>
      <c r="U348">
        <v>2</v>
      </c>
      <c r="V348">
        <v>6</v>
      </c>
      <c r="W348">
        <v>5</v>
      </c>
      <c r="X348" s="23">
        <v>0.00165837479270315</v>
      </c>
      <c r="Y348" s="23">
        <v>0.00191387559808612</v>
      </c>
      <c r="Z348" s="23">
        <v>0.00214899713467049</v>
      </c>
      <c r="AA348" s="23">
        <v>0.000732922896511287</v>
      </c>
      <c r="AB348">
        <v>0.33</v>
      </c>
      <c r="AC348">
        <v>0.62</v>
      </c>
      <c r="AD348">
        <v>2.15</v>
      </c>
      <c r="AE348">
        <v>1.72</v>
      </c>
      <c r="AF348" s="23" t="s">
        <v>181</v>
      </c>
      <c r="AG348" s="23">
        <v>0.0364920541494997</v>
      </c>
      <c r="AH348" s="23">
        <v>0.126545026486168</v>
      </c>
      <c r="AI348" s="23" t="s">
        <v>991</v>
      </c>
      <c r="AJ348">
        <v>5</v>
      </c>
      <c r="AK348">
        <v>2</v>
      </c>
      <c r="AL348">
        <v>5</v>
      </c>
      <c r="AM348">
        <v>3</v>
      </c>
      <c r="AN348" s="23">
        <v>0</v>
      </c>
      <c r="AO348" s="23">
        <v>0.5</v>
      </c>
      <c r="AP348" s="23">
        <v>0.2</v>
      </c>
      <c r="AQ348" s="23">
        <v>0</v>
      </c>
      <c r="AR348" s="37">
        <v>0</v>
      </c>
      <c r="AS348" s="37">
        <v>0</v>
      </c>
      <c r="AT348" s="37">
        <v>23</v>
      </c>
      <c r="AU348" s="33" t="str">
        <f t="shared" si="9"/>
        <v>库存为23</v>
      </c>
      <c r="AV348" s="38" t="str">
        <f>IFERROR(时间!$B$4+AU348,"上周无销量")</f>
        <v>上周无销量</v>
      </c>
    </row>
    <row r="349" spans="1:48">
      <c r="A349" s="21" t="s">
        <v>992</v>
      </c>
      <c r="B349" t="s">
        <v>993</v>
      </c>
      <c r="C349" t="s">
        <v>913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10</v>
      </c>
      <c r="J349" s="35">
        <v>0</v>
      </c>
      <c r="K349" s="35">
        <v>0</v>
      </c>
      <c r="L349" s="35">
        <v>0</v>
      </c>
      <c r="M349">
        <v>10</v>
      </c>
      <c r="N349">
        <v>0</v>
      </c>
      <c r="O349">
        <v>0</v>
      </c>
      <c r="P349">
        <v>2129</v>
      </c>
      <c r="Q349">
        <v>2996</v>
      </c>
      <c r="R349">
        <v>578</v>
      </c>
      <c r="S349">
        <v>906</v>
      </c>
      <c r="T349">
        <v>0</v>
      </c>
      <c r="U349">
        <v>5</v>
      </c>
      <c r="V349">
        <v>1</v>
      </c>
      <c r="W349">
        <v>0</v>
      </c>
      <c r="X349" s="23">
        <v>0</v>
      </c>
      <c r="Y349" s="23">
        <v>0.00166889185580774</v>
      </c>
      <c r="Z349" s="23">
        <v>0.00173010380622837</v>
      </c>
      <c r="AA349" s="23">
        <v>0</v>
      </c>
      <c r="AB349">
        <v>0</v>
      </c>
      <c r="AC349">
        <v>2.06</v>
      </c>
      <c r="AD349">
        <v>0.28</v>
      </c>
      <c r="AE349">
        <v>0</v>
      </c>
      <c r="AF349" s="23" t="s">
        <v>55</v>
      </c>
      <c r="AG349" s="23" t="s">
        <v>994</v>
      </c>
      <c r="AH349" s="23" t="s">
        <v>995</v>
      </c>
      <c r="AI349" s="23" t="s">
        <v>55</v>
      </c>
      <c r="AJ349">
        <v>6</v>
      </c>
      <c r="AK349">
        <v>6</v>
      </c>
      <c r="AL349">
        <v>0</v>
      </c>
      <c r="AM349">
        <v>2</v>
      </c>
      <c r="AN349" s="23">
        <v>0</v>
      </c>
      <c r="AO349" s="23">
        <v>0</v>
      </c>
      <c r="AP349" s="23" t="s">
        <v>55</v>
      </c>
      <c r="AQ349" s="23">
        <v>0</v>
      </c>
      <c r="AR349" s="37">
        <v>0</v>
      </c>
      <c r="AS349" s="37">
        <v>0</v>
      </c>
      <c r="AT349" s="37">
        <v>10</v>
      </c>
      <c r="AU349" s="33" t="str">
        <f t="shared" si="9"/>
        <v>库存为10</v>
      </c>
      <c r="AV349" s="38" t="str">
        <f>IFERROR(时间!$B$4+AU349,"上周无销量")</f>
        <v>上周无销量</v>
      </c>
    </row>
    <row r="350" spans="1:48">
      <c r="A350" s="21" t="s">
        <v>996</v>
      </c>
      <c r="B350" t="s">
        <v>997</v>
      </c>
      <c r="C350" t="s">
        <v>913</v>
      </c>
      <c r="D350" s="33">
        <v>0</v>
      </c>
      <c r="E350" s="33">
        <v>0</v>
      </c>
      <c r="F350" s="33">
        <v>0</v>
      </c>
      <c r="G350" s="33">
        <v>1</v>
      </c>
      <c r="H350" s="34">
        <v>16.99</v>
      </c>
      <c r="I350">
        <v>0</v>
      </c>
      <c r="J350" s="35">
        <v>0</v>
      </c>
      <c r="K350" s="35">
        <v>0</v>
      </c>
      <c r="L350" s="35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2270</v>
      </c>
      <c r="T350">
        <v>0</v>
      </c>
      <c r="U350">
        <v>0</v>
      </c>
      <c r="V350">
        <v>0</v>
      </c>
      <c r="W350">
        <v>2</v>
      </c>
      <c r="X350" s="23" t="s">
        <v>55</v>
      </c>
      <c r="Y350" s="23" t="s">
        <v>55</v>
      </c>
      <c r="Z350" s="23" t="s">
        <v>55</v>
      </c>
      <c r="AA350" s="23">
        <v>0.000881057268722467</v>
      </c>
      <c r="AB350">
        <v>0</v>
      </c>
      <c r="AC350">
        <v>0</v>
      </c>
      <c r="AD350">
        <v>0</v>
      </c>
      <c r="AE350">
        <v>0.77</v>
      </c>
      <c r="AF350" s="23" t="s">
        <v>55</v>
      </c>
      <c r="AG350" s="23" t="s">
        <v>55</v>
      </c>
      <c r="AH350" s="23" t="s">
        <v>55</v>
      </c>
      <c r="AI350" s="23">
        <v>0.0453207769276045</v>
      </c>
      <c r="AJ350">
        <v>0</v>
      </c>
      <c r="AK350">
        <v>0</v>
      </c>
      <c r="AL350">
        <v>0</v>
      </c>
      <c r="AM350">
        <v>9</v>
      </c>
      <c r="AN350" s="23" t="s">
        <v>55</v>
      </c>
      <c r="AO350" s="23" t="s">
        <v>55</v>
      </c>
      <c r="AP350" s="23" t="s">
        <v>55</v>
      </c>
      <c r="AQ350" s="23">
        <v>0.111111111111111</v>
      </c>
      <c r="AR350" s="37">
        <v>0</v>
      </c>
      <c r="AS350" s="37">
        <v>0</v>
      </c>
      <c r="AT350" s="37">
        <v>0</v>
      </c>
      <c r="AU350" s="33" t="str">
        <f t="shared" si="9"/>
        <v>库存为0</v>
      </c>
      <c r="AV350" s="38" t="str">
        <f>IFERROR(时间!$B$4+AU350,"上周无销量")</f>
        <v>上周无销量</v>
      </c>
    </row>
    <row r="351" spans="1:48">
      <c r="A351" s="21" t="s">
        <v>998</v>
      </c>
      <c r="B351" t="s">
        <v>999</v>
      </c>
      <c r="C351" t="s">
        <v>863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14</v>
      </c>
      <c r="J351" s="35">
        <v>0</v>
      </c>
      <c r="K351" s="35">
        <v>0</v>
      </c>
      <c r="L351" s="35">
        <v>0</v>
      </c>
      <c r="M351">
        <v>14</v>
      </c>
      <c r="N351">
        <v>0</v>
      </c>
      <c r="O351">
        <v>14</v>
      </c>
      <c r="P351">
        <v>316</v>
      </c>
      <c r="Q351">
        <v>775</v>
      </c>
      <c r="R351">
        <v>4933</v>
      </c>
      <c r="S351">
        <v>5876</v>
      </c>
      <c r="T351">
        <v>0</v>
      </c>
      <c r="U351">
        <v>1</v>
      </c>
      <c r="V351">
        <v>6</v>
      </c>
      <c r="W351">
        <v>5</v>
      </c>
      <c r="X351" s="23">
        <v>0</v>
      </c>
      <c r="Y351" s="23">
        <v>0.00129032258064516</v>
      </c>
      <c r="Z351" s="23">
        <v>0.00121629839854044</v>
      </c>
      <c r="AA351" s="23">
        <v>0.000850918992511913</v>
      </c>
      <c r="AB351">
        <v>0</v>
      </c>
      <c r="AC351">
        <v>0.33</v>
      </c>
      <c r="AD351">
        <v>2.81</v>
      </c>
      <c r="AE351">
        <v>2.31</v>
      </c>
      <c r="AF351" s="23" t="s">
        <v>55</v>
      </c>
      <c r="AG351" s="23" t="s">
        <v>181</v>
      </c>
      <c r="AH351" s="23" t="s">
        <v>1000</v>
      </c>
      <c r="AI351" s="23" t="s">
        <v>955</v>
      </c>
      <c r="AJ351">
        <v>3</v>
      </c>
      <c r="AK351">
        <v>2</v>
      </c>
      <c r="AL351">
        <v>4</v>
      </c>
      <c r="AM351">
        <v>1</v>
      </c>
      <c r="AN351" s="23">
        <v>0</v>
      </c>
      <c r="AO351" s="23">
        <v>0</v>
      </c>
      <c r="AP351" s="23">
        <v>0</v>
      </c>
      <c r="AQ351" s="23">
        <v>0</v>
      </c>
      <c r="AR351" s="37">
        <v>0</v>
      </c>
      <c r="AS351" s="37">
        <v>0</v>
      </c>
      <c r="AT351" s="37">
        <v>14</v>
      </c>
      <c r="AU351" s="33" t="str">
        <f t="shared" si="9"/>
        <v>库存为14</v>
      </c>
      <c r="AV351" s="38" t="str">
        <f>IFERROR(时间!$B$4+AU351,"上周无销量")</f>
        <v>上周无销量</v>
      </c>
    </row>
    <row r="352" spans="1:48">
      <c r="A352" s="21" t="s">
        <v>1001</v>
      </c>
      <c r="B352" t="s">
        <v>1002</v>
      </c>
      <c r="C352" t="s">
        <v>863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29</v>
      </c>
      <c r="J352" s="35">
        <v>0</v>
      </c>
      <c r="K352" s="35">
        <v>0</v>
      </c>
      <c r="L352" s="35">
        <v>0</v>
      </c>
      <c r="M352">
        <v>29</v>
      </c>
      <c r="N352">
        <v>0</v>
      </c>
      <c r="O352">
        <v>29</v>
      </c>
      <c r="P352">
        <v>932</v>
      </c>
      <c r="Q352">
        <v>720</v>
      </c>
      <c r="R352">
        <v>1005</v>
      </c>
      <c r="S352">
        <v>989</v>
      </c>
      <c r="T352">
        <v>1</v>
      </c>
      <c r="U352">
        <v>1</v>
      </c>
      <c r="V352">
        <v>0</v>
      </c>
      <c r="W352">
        <v>2</v>
      </c>
      <c r="X352" s="23">
        <v>0.00107296137339056</v>
      </c>
      <c r="Y352" s="23">
        <v>0.00138888888888889</v>
      </c>
      <c r="Z352" s="23">
        <v>0</v>
      </c>
      <c r="AA352" s="23">
        <v>0.00202224469160768</v>
      </c>
      <c r="AB352">
        <v>0.53</v>
      </c>
      <c r="AC352">
        <v>0.55</v>
      </c>
      <c r="AD352">
        <v>0</v>
      </c>
      <c r="AE352">
        <v>0.26</v>
      </c>
      <c r="AF352" s="23" t="s">
        <v>1003</v>
      </c>
      <c r="AG352" s="23" t="s">
        <v>793</v>
      </c>
      <c r="AH352" s="23" t="s">
        <v>55</v>
      </c>
      <c r="AI352" s="23" t="s">
        <v>332</v>
      </c>
      <c r="AJ352">
        <v>1</v>
      </c>
      <c r="AK352">
        <v>1</v>
      </c>
      <c r="AL352">
        <v>1</v>
      </c>
      <c r="AM352">
        <v>1</v>
      </c>
      <c r="AN352" s="23">
        <v>0</v>
      </c>
      <c r="AO352" s="23">
        <v>0</v>
      </c>
      <c r="AP352" s="23">
        <v>0</v>
      </c>
      <c r="AQ352" s="23">
        <v>0</v>
      </c>
      <c r="AR352" s="37">
        <v>0</v>
      </c>
      <c r="AS352" s="37">
        <v>0</v>
      </c>
      <c r="AT352" s="37">
        <v>29</v>
      </c>
      <c r="AU352" s="33" t="str">
        <f t="shared" si="9"/>
        <v>库存为29</v>
      </c>
      <c r="AV352" s="38" t="str">
        <f>IFERROR(时间!$B$4+AU352,"上周无销量")</f>
        <v>上周无销量</v>
      </c>
    </row>
    <row r="353" spans="1:48">
      <c r="A353" s="21" t="s">
        <v>1004</v>
      </c>
      <c r="B353" t="s">
        <v>1005</v>
      </c>
      <c r="C353" t="s">
        <v>863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27</v>
      </c>
      <c r="J353" s="35">
        <v>0</v>
      </c>
      <c r="K353" s="35">
        <v>0</v>
      </c>
      <c r="L353" s="35">
        <v>0</v>
      </c>
      <c r="M353">
        <v>27</v>
      </c>
      <c r="N353">
        <v>0</v>
      </c>
      <c r="O353">
        <v>27</v>
      </c>
      <c r="P353">
        <v>757</v>
      </c>
      <c r="Q353">
        <v>363</v>
      </c>
      <c r="R353">
        <v>426</v>
      </c>
      <c r="S353">
        <v>459</v>
      </c>
      <c r="T353">
        <v>1</v>
      </c>
      <c r="U353">
        <v>0</v>
      </c>
      <c r="V353">
        <v>1</v>
      </c>
      <c r="W353">
        <v>2</v>
      </c>
      <c r="X353" s="23">
        <v>0.00132100396301189</v>
      </c>
      <c r="Y353" s="23">
        <v>0</v>
      </c>
      <c r="Z353" s="23">
        <v>0.00234741784037559</v>
      </c>
      <c r="AA353" s="23">
        <v>0.00435729847494553</v>
      </c>
      <c r="AB353">
        <v>0.17</v>
      </c>
      <c r="AC353">
        <v>0</v>
      </c>
      <c r="AD353">
        <v>0.27</v>
      </c>
      <c r="AE353">
        <v>1.03</v>
      </c>
      <c r="AF353" s="23" t="s">
        <v>265</v>
      </c>
      <c r="AG353" s="23" t="s">
        <v>55</v>
      </c>
      <c r="AH353" s="23" t="s">
        <v>347</v>
      </c>
      <c r="AI353" s="23" t="s">
        <v>949</v>
      </c>
      <c r="AJ353">
        <v>3</v>
      </c>
      <c r="AK353">
        <v>1</v>
      </c>
      <c r="AL353">
        <v>0</v>
      </c>
      <c r="AM353">
        <v>1</v>
      </c>
      <c r="AN353" s="23">
        <v>0</v>
      </c>
      <c r="AO353" s="23">
        <v>0</v>
      </c>
      <c r="AP353" s="23" t="s">
        <v>55</v>
      </c>
      <c r="AQ353" s="23">
        <v>0</v>
      </c>
      <c r="AR353" s="37">
        <v>0</v>
      </c>
      <c r="AS353" s="37">
        <v>0</v>
      </c>
      <c r="AT353" s="37">
        <v>27</v>
      </c>
      <c r="AU353" s="33" t="str">
        <f t="shared" si="9"/>
        <v>库存为27</v>
      </c>
      <c r="AV353" s="38" t="str">
        <f>IFERROR(时间!$B$4+AU353,"上周无销量")</f>
        <v>上周无销量</v>
      </c>
    </row>
    <row r="354" spans="1:48">
      <c r="A354" s="21" t="s">
        <v>1006</v>
      </c>
      <c r="B354" t="s">
        <v>1007</v>
      </c>
      <c r="C354" t="s">
        <v>1008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14</v>
      </c>
      <c r="J354" s="35">
        <v>0</v>
      </c>
      <c r="K354" s="35">
        <v>0</v>
      </c>
      <c r="L354" s="35">
        <v>0</v>
      </c>
      <c r="M354">
        <v>14</v>
      </c>
      <c r="N354">
        <v>0</v>
      </c>
      <c r="O354">
        <v>14</v>
      </c>
      <c r="P354">
        <v>880</v>
      </c>
      <c r="Q354">
        <v>1342</v>
      </c>
      <c r="R354">
        <v>560</v>
      </c>
      <c r="S354">
        <v>466</v>
      </c>
      <c r="T354">
        <v>1</v>
      </c>
      <c r="U354">
        <v>4</v>
      </c>
      <c r="V354">
        <v>0</v>
      </c>
      <c r="W354">
        <v>1</v>
      </c>
      <c r="X354" s="23">
        <v>0.00113636363636364</v>
      </c>
      <c r="Y354" s="23">
        <v>0.0029806259314456</v>
      </c>
      <c r="Z354" s="23">
        <v>0</v>
      </c>
      <c r="AA354" s="23">
        <v>0.00214592274678112</v>
      </c>
      <c r="AB354">
        <v>0.49</v>
      </c>
      <c r="AC354">
        <v>1.67</v>
      </c>
      <c r="AD354">
        <v>0</v>
      </c>
      <c r="AE354">
        <v>0.34</v>
      </c>
      <c r="AF354" s="23" t="s">
        <v>574</v>
      </c>
      <c r="AG354" s="23" t="s">
        <v>56</v>
      </c>
      <c r="AH354" s="23" t="s">
        <v>55</v>
      </c>
      <c r="AI354" s="23" t="s">
        <v>94</v>
      </c>
      <c r="AJ354">
        <v>3</v>
      </c>
      <c r="AK354">
        <v>0</v>
      </c>
      <c r="AL354">
        <v>2</v>
      </c>
      <c r="AM354">
        <v>0</v>
      </c>
      <c r="AN354" s="23">
        <v>0</v>
      </c>
      <c r="AO354" s="23" t="s">
        <v>55</v>
      </c>
      <c r="AP354" s="23">
        <v>0</v>
      </c>
      <c r="AQ354" s="23" t="s">
        <v>55</v>
      </c>
      <c r="AR354" s="37">
        <v>0</v>
      </c>
      <c r="AS354" s="37">
        <v>0</v>
      </c>
      <c r="AT354" s="37">
        <v>14</v>
      </c>
      <c r="AU354" s="33" t="str">
        <f t="shared" si="9"/>
        <v>库存为14</v>
      </c>
      <c r="AV354" s="38" t="str">
        <f>IFERROR(时间!$B$4+AU354,"上周无销量")</f>
        <v>上周无销量</v>
      </c>
    </row>
    <row r="355" spans="1:48">
      <c r="A355" s="21" t="s">
        <v>1009</v>
      </c>
      <c r="B355" t="s">
        <v>1010</v>
      </c>
      <c r="C355" t="s">
        <v>1008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10</v>
      </c>
      <c r="J355" s="35">
        <v>0</v>
      </c>
      <c r="K355" s="35">
        <v>0</v>
      </c>
      <c r="L355" s="35">
        <v>0</v>
      </c>
      <c r="M355">
        <v>10</v>
      </c>
      <c r="N355">
        <v>0</v>
      </c>
      <c r="O355">
        <v>10</v>
      </c>
      <c r="P355">
        <v>2699</v>
      </c>
      <c r="Q355">
        <v>1730</v>
      </c>
      <c r="R355">
        <v>1458</v>
      </c>
      <c r="S355">
        <v>1487</v>
      </c>
      <c r="T355">
        <v>4</v>
      </c>
      <c r="U355">
        <v>3</v>
      </c>
      <c r="V355">
        <v>0</v>
      </c>
      <c r="W355">
        <v>1</v>
      </c>
      <c r="X355" s="23">
        <v>0.00148203038162282</v>
      </c>
      <c r="Y355" s="23">
        <v>0.00173410404624277</v>
      </c>
      <c r="Z355" s="23">
        <v>0</v>
      </c>
      <c r="AA355" s="23">
        <v>0.000672494956287828</v>
      </c>
      <c r="AB355">
        <v>1.47</v>
      </c>
      <c r="AC355">
        <v>1.3</v>
      </c>
      <c r="AD355">
        <v>0</v>
      </c>
      <c r="AE355">
        <v>0.47</v>
      </c>
      <c r="AF355" s="23" t="s">
        <v>966</v>
      </c>
      <c r="AG355" s="23" t="s">
        <v>75</v>
      </c>
      <c r="AH355" s="23" t="s">
        <v>55</v>
      </c>
      <c r="AI355" s="23" t="s">
        <v>252</v>
      </c>
      <c r="AJ355">
        <v>2</v>
      </c>
      <c r="AK355">
        <v>0</v>
      </c>
      <c r="AL355">
        <v>2</v>
      </c>
      <c r="AM355">
        <v>0</v>
      </c>
      <c r="AN355" s="23">
        <v>0</v>
      </c>
      <c r="AO355" s="23" t="s">
        <v>55</v>
      </c>
      <c r="AP355" s="23">
        <v>0</v>
      </c>
      <c r="AQ355" s="23" t="s">
        <v>55</v>
      </c>
      <c r="AR355" s="37">
        <v>0</v>
      </c>
      <c r="AS355" s="37">
        <v>0</v>
      </c>
      <c r="AT355" s="37">
        <v>10</v>
      </c>
      <c r="AU355" s="33" t="str">
        <f t="shared" si="9"/>
        <v>库存为10</v>
      </c>
      <c r="AV355" s="38" t="str">
        <f>IFERROR(时间!$B$4+AU355,"上周无销量")</f>
        <v>上周无销量</v>
      </c>
    </row>
    <row r="356" spans="1:48">
      <c r="A356" s="21" t="s">
        <v>1011</v>
      </c>
      <c r="B356" t="s">
        <v>1012</v>
      </c>
      <c r="C356" t="s">
        <v>1013</v>
      </c>
      <c r="D356" s="33">
        <v>0</v>
      </c>
      <c r="E356" s="33">
        <v>0</v>
      </c>
      <c r="F356" s="33">
        <v>0</v>
      </c>
      <c r="G356" s="33">
        <v>1</v>
      </c>
      <c r="H356" s="34">
        <v>9.99</v>
      </c>
      <c r="I356">
        <v>29</v>
      </c>
      <c r="J356" s="35">
        <v>0</v>
      </c>
      <c r="K356" s="35">
        <v>0</v>
      </c>
      <c r="L356" s="35">
        <v>0</v>
      </c>
      <c r="M356">
        <v>29</v>
      </c>
      <c r="N356">
        <v>0</v>
      </c>
      <c r="O356">
        <v>0</v>
      </c>
      <c r="P356">
        <v>11</v>
      </c>
      <c r="Q356">
        <v>14</v>
      </c>
      <c r="R356">
        <v>13</v>
      </c>
      <c r="S356">
        <v>15</v>
      </c>
      <c r="T356">
        <v>0</v>
      </c>
      <c r="U356">
        <v>0</v>
      </c>
      <c r="V356">
        <v>0</v>
      </c>
      <c r="W356">
        <v>0</v>
      </c>
      <c r="X356" s="23">
        <v>0</v>
      </c>
      <c r="Y356" s="23">
        <v>0</v>
      </c>
      <c r="Z356" s="23">
        <v>0</v>
      </c>
      <c r="AA356" s="23">
        <v>0</v>
      </c>
      <c r="AB356">
        <v>0</v>
      </c>
      <c r="AC356">
        <v>0</v>
      </c>
      <c r="AD356">
        <v>0</v>
      </c>
      <c r="AE356">
        <v>0</v>
      </c>
      <c r="AF356" s="23" t="s">
        <v>55</v>
      </c>
      <c r="AG356" s="23" t="s">
        <v>55</v>
      </c>
      <c r="AH356" s="23" t="s">
        <v>55</v>
      </c>
      <c r="AI356" s="23" t="s">
        <v>55</v>
      </c>
      <c r="AJ356">
        <v>5</v>
      </c>
      <c r="AK356">
        <v>1</v>
      </c>
      <c r="AL356">
        <v>0</v>
      </c>
      <c r="AM356">
        <v>3</v>
      </c>
      <c r="AN356" s="23">
        <v>0</v>
      </c>
      <c r="AO356" s="23">
        <v>0</v>
      </c>
      <c r="AP356" s="23" t="s">
        <v>55</v>
      </c>
      <c r="AQ356" s="23">
        <v>0.333333333333333</v>
      </c>
      <c r="AR356" s="37">
        <v>0</v>
      </c>
      <c r="AS356" s="37">
        <v>0</v>
      </c>
      <c r="AT356" s="37">
        <v>29</v>
      </c>
      <c r="AU356" s="33" t="str">
        <f t="shared" si="9"/>
        <v>库存为29</v>
      </c>
      <c r="AV356" s="38" t="str">
        <f>IFERROR(时间!$B$4+AU356,"上周无销量")</f>
        <v>上周无销量</v>
      </c>
    </row>
    <row r="357" spans="1:48">
      <c r="A357" s="21" t="s">
        <v>1014</v>
      </c>
      <c r="B357" t="s">
        <v>1015</v>
      </c>
      <c r="C357" t="s">
        <v>1016</v>
      </c>
      <c r="D357" s="33">
        <v>5</v>
      </c>
      <c r="E357" s="33">
        <v>4</v>
      </c>
      <c r="F357" s="33">
        <v>0</v>
      </c>
      <c r="G357" s="33">
        <v>0</v>
      </c>
      <c r="H357" s="34">
        <v>12.99</v>
      </c>
      <c r="I357">
        <v>46</v>
      </c>
      <c r="J357" s="35">
        <v>0</v>
      </c>
      <c r="K357" s="35">
        <v>0</v>
      </c>
      <c r="L357" s="35">
        <v>0</v>
      </c>
      <c r="M357">
        <v>46</v>
      </c>
      <c r="N357">
        <v>0</v>
      </c>
      <c r="O357">
        <v>0</v>
      </c>
      <c r="P357">
        <v>25</v>
      </c>
      <c r="Q357">
        <v>45</v>
      </c>
      <c r="R357">
        <v>46</v>
      </c>
      <c r="S357">
        <v>62</v>
      </c>
      <c r="T357">
        <v>0</v>
      </c>
      <c r="U357">
        <v>2</v>
      </c>
      <c r="V357">
        <v>1</v>
      </c>
      <c r="W357">
        <v>2</v>
      </c>
      <c r="X357" s="23">
        <v>0</v>
      </c>
      <c r="Y357" s="23">
        <v>0.0444444444444444</v>
      </c>
      <c r="Z357" s="23">
        <v>0.0217391304347826</v>
      </c>
      <c r="AA357" s="23">
        <v>0.032258064516129</v>
      </c>
      <c r="AB357">
        <v>0</v>
      </c>
      <c r="AC357">
        <v>0.22</v>
      </c>
      <c r="AD357">
        <v>0.25</v>
      </c>
      <c r="AE357">
        <v>0.59</v>
      </c>
      <c r="AF357" s="23" t="s">
        <v>55</v>
      </c>
      <c r="AG357" s="23">
        <v>0.00423402617397998</v>
      </c>
      <c r="AH357" s="23" t="s">
        <v>1017</v>
      </c>
      <c r="AI357" s="23" t="s">
        <v>214</v>
      </c>
      <c r="AJ357">
        <v>8</v>
      </c>
      <c r="AK357">
        <v>9</v>
      </c>
      <c r="AL357">
        <v>3</v>
      </c>
      <c r="AM357">
        <v>1</v>
      </c>
      <c r="AN357" s="23">
        <v>0.625</v>
      </c>
      <c r="AO357" s="23">
        <v>0.444444444444444</v>
      </c>
      <c r="AP357" s="23">
        <v>0</v>
      </c>
      <c r="AQ357" s="23">
        <v>0</v>
      </c>
      <c r="AR357" s="37">
        <v>0.714285714285714</v>
      </c>
      <c r="AS357" s="37">
        <v>42.8571428571429</v>
      </c>
      <c r="AT357" s="37">
        <v>3.14285714285714</v>
      </c>
      <c r="AU357" s="33">
        <f t="shared" si="9"/>
        <v>64</v>
      </c>
      <c r="AV357" s="38">
        <f>IFERROR(时间!$B$4+AU357,"上周无销量")</f>
        <v>43347</v>
      </c>
    </row>
    <row r="358" spans="1:48">
      <c r="A358" s="21" t="s">
        <v>1018</v>
      </c>
      <c r="B358" t="s">
        <v>1019</v>
      </c>
      <c r="C358" t="s">
        <v>1020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18</v>
      </c>
      <c r="J358" s="35">
        <v>0</v>
      </c>
      <c r="K358" s="35">
        <v>0</v>
      </c>
      <c r="L358" s="35">
        <v>0</v>
      </c>
      <c r="M358">
        <v>18</v>
      </c>
      <c r="N358">
        <v>0</v>
      </c>
      <c r="O358">
        <v>0</v>
      </c>
      <c r="P358">
        <v>30</v>
      </c>
      <c r="Q358">
        <v>79</v>
      </c>
      <c r="R358">
        <v>16</v>
      </c>
      <c r="S358">
        <v>11</v>
      </c>
      <c r="T358">
        <v>0</v>
      </c>
      <c r="U358">
        <v>0</v>
      </c>
      <c r="V358">
        <v>0</v>
      </c>
      <c r="W358">
        <v>0</v>
      </c>
      <c r="X358" s="23">
        <v>0</v>
      </c>
      <c r="Y358" s="23">
        <v>0</v>
      </c>
      <c r="Z358" s="23">
        <v>0</v>
      </c>
      <c r="AA358" s="23">
        <v>0</v>
      </c>
      <c r="AB358">
        <v>0</v>
      </c>
      <c r="AC358">
        <v>0</v>
      </c>
      <c r="AD358">
        <v>0</v>
      </c>
      <c r="AE358">
        <v>0</v>
      </c>
      <c r="AF358" s="23" t="s">
        <v>55</v>
      </c>
      <c r="AG358" s="23" t="s">
        <v>55</v>
      </c>
      <c r="AH358" s="23" t="s">
        <v>55</v>
      </c>
      <c r="AI358" s="23" t="s">
        <v>55</v>
      </c>
      <c r="AJ358">
        <v>3</v>
      </c>
      <c r="AK358">
        <v>5</v>
      </c>
      <c r="AL358">
        <v>1</v>
      </c>
      <c r="AM358">
        <v>1</v>
      </c>
      <c r="AN358" s="23">
        <v>0</v>
      </c>
      <c r="AO358" s="23">
        <v>0</v>
      </c>
      <c r="AP358" s="23">
        <v>0</v>
      </c>
      <c r="AQ358" s="23">
        <v>0</v>
      </c>
      <c r="AR358" s="37">
        <v>0</v>
      </c>
      <c r="AS358" s="37">
        <v>0</v>
      </c>
      <c r="AT358" s="37">
        <v>18</v>
      </c>
      <c r="AU358" s="33" t="str">
        <f t="shared" si="9"/>
        <v>库存为18</v>
      </c>
      <c r="AV358" s="38" t="str">
        <f>IFERROR(时间!$B$4+AU358,"上周无销量")</f>
        <v>上周无销量</v>
      </c>
    </row>
    <row r="359" spans="1:48">
      <c r="A359" s="21" t="s">
        <v>1021</v>
      </c>
      <c r="B359" t="s">
        <v>1022</v>
      </c>
      <c r="C359" t="s">
        <v>1020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18</v>
      </c>
      <c r="J359" s="35">
        <v>0</v>
      </c>
      <c r="K359" s="35">
        <v>0</v>
      </c>
      <c r="L359" s="35">
        <v>0</v>
      </c>
      <c r="M359">
        <v>18</v>
      </c>
      <c r="N359">
        <v>0</v>
      </c>
      <c r="O359">
        <v>0</v>
      </c>
      <c r="P359">
        <v>6</v>
      </c>
      <c r="Q359">
        <v>4</v>
      </c>
      <c r="R359">
        <v>2</v>
      </c>
      <c r="S359">
        <v>5</v>
      </c>
      <c r="T359">
        <v>0</v>
      </c>
      <c r="U359">
        <v>0</v>
      </c>
      <c r="V359">
        <v>0</v>
      </c>
      <c r="W359">
        <v>0</v>
      </c>
      <c r="X359" s="23">
        <v>0</v>
      </c>
      <c r="Y359" s="23">
        <v>0</v>
      </c>
      <c r="Z359" s="23">
        <v>0</v>
      </c>
      <c r="AA359" s="23">
        <v>0</v>
      </c>
      <c r="AB359">
        <v>0</v>
      </c>
      <c r="AC359">
        <v>0</v>
      </c>
      <c r="AD359">
        <v>0</v>
      </c>
      <c r="AE359">
        <v>0</v>
      </c>
      <c r="AF359" s="23" t="s">
        <v>55</v>
      </c>
      <c r="AG359" s="23" t="s">
        <v>55</v>
      </c>
      <c r="AH359" s="23" t="s">
        <v>55</v>
      </c>
      <c r="AI359" s="23" t="s">
        <v>55</v>
      </c>
      <c r="AJ359">
        <v>4</v>
      </c>
      <c r="AK359">
        <v>2</v>
      </c>
      <c r="AL359">
        <v>3</v>
      </c>
      <c r="AM359">
        <v>1</v>
      </c>
      <c r="AN359" s="23">
        <v>0</v>
      </c>
      <c r="AO359" s="23">
        <v>0</v>
      </c>
      <c r="AP359" s="23">
        <v>0</v>
      </c>
      <c r="AQ359" s="23">
        <v>0</v>
      </c>
      <c r="AR359" s="37">
        <v>0</v>
      </c>
      <c r="AS359" s="37">
        <v>0</v>
      </c>
      <c r="AT359" s="37">
        <v>18</v>
      </c>
      <c r="AU359" s="33" t="str">
        <f t="shared" si="9"/>
        <v>库存为18</v>
      </c>
      <c r="AV359" s="38" t="str">
        <f>IFERROR(时间!$B$4+AU359,"上周无销量")</f>
        <v>上周无销量</v>
      </c>
    </row>
    <row r="360" spans="1:48">
      <c r="A360" s="21" t="s">
        <v>1023</v>
      </c>
      <c r="B360" t="s">
        <v>1024</v>
      </c>
      <c r="C360" t="s">
        <v>1020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20</v>
      </c>
      <c r="J360" s="35">
        <v>0</v>
      </c>
      <c r="K360" s="35">
        <v>0</v>
      </c>
      <c r="L360" s="35">
        <v>0</v>
      </c>
      <c r="M360">
        <v>20</v>
      </c>
      <c r="N360">
        <v>0</v>
      </c>
      <c r="O360">
        <v>0</v>
      </c>
      <c r="P360">
        <v>6</v>
      </c>
      <c r="Q360">
        <v>1</v>
      </c>
      <c r="R360">
        <v>3</v>
      </c>
      <c r="S360">
        <v>2</v>
      </c>
      <c r="T360">
        <v>0</v>
      </c>
      <c r="U360">
        <v>0</v>
      </c>
      <c r="V360">
        <v>0</v>
      </c>
      <c r="W360">
        <v>0</v>
      </c>
      <c r="X360" s="23">
        <v>0</v>
      </c>
      <c r="Y360" s="23">
        <v>0</v>
      </c>
      <c r="Z360" s="23">
        <v>0</v>
      </c>
      <c r="AA360" s="23">
        <v>0</v>
      </c>
      <c r="AB360">
        <v>0</v>
      </c>
      <c r="AC360">
        <v>0</v>
      </c>
      <c r="AD360">
        <v>0</v>
      </c>
      <c r="AE360">
        <v>0</v>
      </c>
      <c r="AF360" s="23" t="s">
        <v>55</v>
      </c>
      <c r="AG360" s="23" t="s">
        <v>55</v>
      </c>
      <c r="AH360" s="23" t="s">
        <v>55</v>
      </c>
      <c r="AI360" s="23" t="s">
        <v>55</v>
      </c>
      <c r="AJ360">
        <v>2</v>
      </c>
      <c r="AK360">
        <v>2</v>
      </c>
      <c r="AL360">
        <v>2</v>
      </c>
      <c r="AM360">
        <v>2</v>
      </c>
      <c r="AN360" s="23">
        <v>0</v>
      </c>
      <c r="AO360" s="23">
        <v>0</v>
      </c>
      <c r="AP360" s="23">
        <v>0</v>
      </c>
      <c r="AQ360" s="23">
        <v>0</v>
      </c>
      <c r="AR360" s="37">
        <v>0</v>
      </c>
      <c r="AS360" s="37">
        <v>0</v>
      </c>
      <c r="AT360" s="37">
        <v>20</v>
      </c>
      <c r="AU360" s="33" t="str">
        <f t="shared" si="9"/>
        <v>库存为20</v>
      </c>
      <c r="AV360" s="38" t="str">
        <f>IFERROR(时间!$B$4+AU360,"上周无销量")</f>
        <v>上周无销量</v>
      </c>
    </row>
    <row r="361" spans="1:48">
      <c r="A361" s="21" t="s">
        <v>1025</v>
      </c>
      <c r="B361" t="s">
        <v>1026</v>
      </c>
      <c r="C361" t="s">
        <v>1027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15</v>
      </c>
      <c r="J361" s="35">
        <v>0</v>
      </c>
      <c r="K361" s="35">
        <v>0</v>
      </c>
      <c r="L361" s="35">
        <v>0</v>
      </c>
      <c r="M361">
        <v>15</v>
      </c>
      <c r="N361">
        <v>0</v>
      </c>
      <c r="O361">
        <v>0</v>
      </c>
      <c r="P361" t="s">
        <v>55</v>
      </c>
      <c r="Q361" t="s">
        <v>55</v>
      </c>
      <c r="R361" t="s">
        <v>55</v>
      </c>
      <c r="S361" t="s">
        <v>55</v>
      </c>
      <c r="T361" t="s">
        <v>55</v>
      </c>
      <c r="U361" t="s">
        <v>55</v>
      </c>
      <c r="V361" t="s">
        <v>55</v>
      </c>
      <c r="W361" t="s">
        <v>55</v>
      </c>
      <c r="X361" s="23" t="s">
        <v>55</v>
      </c>
      <c r="Y361" s="23" t="s">
        <v>55</v>
      </c>
      <c r="Z361" s="23" t="s">
        <v>55</v>
      </c>
      <c r="AA361" s="23" t="s">
        <v>55</v>
      </c>
      <c r="AB361" t="s">
        <v>55</v>
      </c>
      <c r="AC361" t="s">
        <v>55</v>
      </c>
      <c r="AD361" t="s">
        <v>55</v>
      </c>
      <c r="AE361" t="s">
        <v>55</v>
      </c>
      <c r="AF361" s="23" t="s">
        <v>55</v>
      </c>
      <c r="AG361" s="23" t="s">
        <v>55</v>
      </c>
      <c r="AH361" s="23" t="s">
        <v>55</v>
      </c>
      <c r="AI361" s="23" t="s">
        <v>55</v>
      </c>
      <c r="AJ361">
        <v>1</v>
      </c>
      <c r="AK361">
        <v>0</v>
      </c>
      <c r="AL361">
        <v>1</v>
      </c>
      <c r="AM361">
        <v>2</v>
      </c>
      <c r="AN361" s="23">
        <v>0</v>
      </c>
      <c r="AO361" s="23" t="s">
        <v>55</v>
      </c>
      <c r="AP361" s="23">
        <v>0</v>
      </c>
      <c r="AQ361" s="23">
        <v>0</v>
      </c>
      <c r="AR361" s="37">
        <v>0</v>
      </c>
      <c r="AS361" s="37">
        <v>0</v>
      </c>
      <c r="AT361" s="37">
        <v>15</v>
      </c>
      <c r="AU361" s="33" t="str">
        <f t="shared" si="9"/>
        <v>库存为15</v>
      </c>
      <c r="AV361" s="38" t="str">
        <f>IFERROR(时间!$B$4+AU361,"上周无销量")</f>
        <v>上周无销量</v>
      </c>
    </row>
    <row r="362" spans="1:48">
      <c r="A362" s="21" t="s">
        <v>1028</v>
      </c>
      <c r="B362" t="s">
        <v>1029</v>
      </c>
      <c r="C362" t="s">
        <v>1027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9</v>
      </c>
      <c r="J362" s="35">
        <v>0</v>
      </c>
      <c r="K362" s="35">
        <v>0</v>
      </c>
      <c r="L362" s="35">
        <v>0</v>
      </c>
      <c r="M362">
        <v>9</v>
      </c>
      <c r="N362">
        <v>0</v>
      </c>
      <c r="O362">
        <v>0</v>
      </c>
      <c r="P362">
        <v>97</v>
      </c>
      <c r="Q362">
        <v>329</v>
      </c>
      <c r="R362">
        <v>399</v>
      </c>
      <c r="S362">
        <v>327</v>
      </c>
      <c r="T362">
        <v>0</v>
      </c>
      <c r="U362">
        <v>1</v>
      </c>
      <c r="V362">
        <v>1</v>
      </c>
      <c r="W362">
        <v>0</v>
      </c>
      <c r="X362" s="23">
        <v>0</v>
      </c>
      <c r="Y362" s="23">
        <v>0.00303951367781155</v>
      </c>
      <c r="Z362" s="23">
        <v>0.0025062656641604</v>
      </c>
      <c r="AA362" s="23">
        <v>0</v>
      </c>
      <c r="AB362">
        <v>0</v>
      </c>
      <c r="AC362">
        <v>0.41</v>
      </c>
      <c r="AD362">
        <v>0.33</v>
      </c>
      <c r="AE362">
        <v>0</v>
      </c>
      <c r="AF362" s="23" t="s">
        <v>55</v>
      </c>
      <c r="AG362" s="23" t="s">
        <v>340</v>
      </c>
      <c r="AH362" s="23" t="s">
        <v>181</v>
      </c>
      <c r="AI362" s="23" t="s">
        <v>55</v>
      </c>
      <c r="AJ362">
        <v>0</v>
      </c>
      <c r="AK362">
        <v>0</v>
      </c>
      <c r="AL362">
        <v>0</v>
      </c>
      <c r="AM362">
        <v>0</v>
      </c>
      <c r="AN362" s="23" t="s">
        <v>55</v>
      </c>
      <c r="AO362" s="23" t="s">
        <v>55</v>
      </c>
      <c r="AP362" s="23" t="s">
        <v>55</v>
      </c>
      <c r="AQ362" s="23" t="s">
        <v>55</v>
      </c>
      <c r="AR362" s="37">
        <v>0</v>
      </c>
      <c r="AS362" s="37">
        <v>0</v>
      </c>
      <c r="AT362" s="37">
        <v>9</v>
      </c>
      <c r="AU362" s="33" t="str">
        <f t="shared" si="9"/>
        <v>库存为9</v>
      </c>
      <c r="AV362" s="38" t="str">
        <f>IFERROR(时间!$B$4+AU362,"上周无销量")</f>
        <v>上周无销量</v>
      </c>
    </row>
    <row r="363" spans="1:48">
      <c r="A363" s="21" t="s">
        <v>1030</v>
      </c>
      <c r="B363" t="s">
        <v>1031</v>
      </c>
      <c r="C363" t="s">
        <v>1027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5</v>
      </c>
      <c r="J363" s="35">
        <v>0</v>
      </c>
      <c r="K363" s="35">
        <v>0</v>
      </c>
      <c r="L363" s="35">
        <v>0</v>
      </c>
      <c r="M363">
        <v>5</v>
      </c>
      <c r="N363">
        <v>0</v>
      </c>
      <c r="O363">
        <v>0</v>
      </c>
      <c r="P363">
        <v>444</v>
      </c>
      <c r="Q363">
        <v>398</v>
      </c>
      <c r="R363">
        <v>330</v>
      </c>
      <c r="S363">
        <v>346</v>
      </c>
      <c r="T363">
        <v>0</v>
      </c>
      <c r="U363">
        <v>1</v>
      </c>
      <c r="V363">
        <v>0</v>
      </c>
      <c r="W363">
        <v>0</v>
      </c>
      <c r="X363" s="23">
        <v>0</v>
      </c>
      <c r="Y363" s="23">
        <v>0.00251256281407035</v>
      </c>
      <c r="Z363" s="23">
        <v>0</v>
      </c>
      <c r="AA363" s="23">
        <v>0</v>
      </c>
      <c r="AB363">
        <v>0</v>
      </c>
      <c r="AC363">
        <v>0.65</v>
      </c>
      <c r="AD363">
        <v>0</v>
      </c>
      <c r="AE363">
        <v>0</v>
      </c>
      <c r="AF363" s="23" t="s">
        <v>55</v>
      </c>
      <c r="AG363" s="23" t="s">
        <v>119</v>
      </c>
      <c r="AH363" s="23" t="s">
        <v>55</v>
      </c>
      <c r="AI363" s="23" t="s">
        <v>55</v>
      </c>
      <c r="AJ363">
        <v>3</v>
      </c>
      <c r="AK363">
        <v>0</v>
      </c>
      <c r="AL363">
        <v>2</v>
      </c>
      <c r="AM363">
        <v>1</v>
      </c>
      <c r="AN363" s="23">
        <v>0</v>
      </c>
      <c r="AO363" s="23" t="s">
        <v>55</v>
      </c>
      <c r="AP363" s="23">
        <v>0</v>
      </c>
      <c r="AQ363" s="23">
        <v>0</v>
      </c>
      <c r="AR363" s="37">
        <v>0</v>
      </c>
      <c r="AS363" s="37">
        <v>0</v>
      </c>
      <c r="AT363" s="37">
        <v>5</v>
      </c>
      <c r="AU363" s="33" t="str">
        <f t="shared" si="9"/>
        <v>库存为5</v>
      </c>
      <c r="AV363" s="38" t="str">
        <f>IFERROR(时间!$B$4+AU363,"上周无销量")</f>
        <v>上周无销量</v>
      </c>
    </row>
    <row r="364" spans="1:48">
      <c r="A364" s="21" t="s">
        <v>1032</v>
      </c>
      <c r="B364" t="s">
        <v>1033</v>
      </c>
      <c r="C364" t="s">
        <v>1027</v>
      </c>
      <c r="D364" s="33">
        <v>0</v>
      </c>
      <c r="E364" s="33">
        <v>0</v>
      </c>
      <c r="F364" s="33">
        <v>0</v>
      </c>
      <c r="G364" s="33">
        <v>1</v>
      </c>
      <c r="H364" s="34">
        <v>15.99</v>
      </c>
      <c r="I364">
        <v>19</v>
      </c>
      <c r="J364" s="35">
        <v>0</v>
      </c>
      <c r="K364" s="35">
        <v>0</v>
      </c>
      <c r="L364" s="35">
        <v>0</v>
      </c>
      <c r="M364">
        <v>19</v>
      </c>
      <c r="N364">
        <v>0</v>
      </c>
      <c r="O364">
        <v>0</v>
      </c>
      <c r="P364">
        <v>885</v>
      </c>
      <c r="Q364">
        <v>608</v>
      </c>
      <c r="R364">
        <v>812</v>
      </c>
      <c r="S364">
        <v>1085</v>
      </c>
      <c r="T364">
        <v>0</v>
      </c>
      <c r="U364">
        <v>0</v>
      </c>
      <c r="V364">
        <v>1</v>
      </c>
      <c r="W364">
        <v>2</v>
      </c>
      <c r="X364" s="23">
        <v>0</v>
      </c>
      <c r="Y364" s="23">
        <v>0</v>
      </c>
      <c r="Z364" s="23">
        <v>0.00123152709359606</v>
      </c>
      <c r="AA364" s="23">
        <v>0.00184331797235023</v>
      </c>
      <c r="AB364">
        <v>0</v>
      </c>
      <c r="AC364">
        <v>0</v>
      </c>
      <c r="AD364">
        <v>0.4</v>
      </c>
      <c r="AE364">
        <v>0.44</v>
      </c>
      <c r="AF364" s="23" t="s">
        <v>55</v>
      </c>
      <c r="AG364" s="23" t="s">
        <v>55</v>
      </c>
      <c r="AH364" s="23" t="s">
        <v>308</v>
      </c>
      <c r="AI364" s="23">
        <v>0.0275171982489056</v>
      </c>
      <c r="AJ364">
        <v>3</v>
      </c>
      <c r="AK364">
        <v>2</v>
      </c>
      <c r="AL364">
        <v>2</v>
      </c>
      <c r="AM364">
        <v>3</v>
      </c>
      <c r="AN364" s="23">
        <v>0</v>
      </c>
      <c r="AO364" s="23">
        <v>0</v>
      </c>
      <c r="AP364" s="23">
        <v>0</v>
      </c>
      <c r="AQ364" s="23">
        <v>0.333333333333333</v>
      </c>
      <c r="AR364" s="37">
        <v>0</v>
      </c>
      <c r="AS364" s="37">
        <v>0</v>
      </c>
      <c r="AT364" s="37">
        <v>19</v>
      </c>
      <c r="AU364" s="33" t="str">
        <f t="shared" si="9"/>
        <v>库存为19</v>
      </c>
      <c r="AV364" s="38" t="str">
        <f>IFERROR(时间!$B$4+AU364,"上周无销量")</f>
        <v>上周无销量</v>
      </c>
    </row>
    <row r="365" spans="1:48">
      <c r="A365" s="21" t="s">
        <v>1034</v>
      </c>
      <c r="B365" t="s">
        <v>1035</v>
      </c>
      <c r="C365" t="s">
        <v>1027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14</v>
      </c>
      <c r="J365" s="35">
        <v>0</v>
      </c>
      <c r="K365" s="35">
        <v>0</v>
      </c>
      <c r="L365" s="35">
        <v>0</v>
      </c>
      <c r="M365">
        <v>14</v>
      </c>
      <c r="N365">
        <v>0</v>
      </c>
      <c r="O365">
        <v>0</v>
      </c>
      <c r="P365">
        <v>262</v>
      </c>
      <c r="Q365">
        <v>222</v>
      </c>
      <c r="R365">
        <v>71</v>
      </c>
      <c r="S365">
        <v>127</v>
      </c>
      <c r="T365">
        <v>0</v>
      </c>
      <c r="U365">
        <v>1</v>
      </c>
      <c r="V365">
        <v>0</v>
      </c>
      <c r="W365">
        <v>2</v>
      </c>
      <c r="X365" s="23">
        <v>0</v>
      </c>
      <c r="Y365" s="23">
        <v>0.0045045045045045</v>
      </c>
      <c r="Z365" s="23">
        <v>0</v>
      </c>
      <c r="AA365" s="23">
        <v>0.015748031496063</v>
      </c>
      <c r="AB365">
        <v>0</v>
      </c>
      <c r="AC365">
        <v>0.24</v>
      </c>
      <c r="AD365">
        <v>0</v>
      </c>
      <c r="AE365">
        <v>0.5</v>
      </c>
      <c r="AF365" s="23" t="s">
        <v>55</v>
      </c>
      <c r="AG365" s="23" t="s">
        <v>356</v>
      </c>
      <c r="AH365" s="23" t="s">
        <v>55</v>
      </c>
      <c r="AI365" s="23" t="s">
        <v>785</v>
      </c>
      <c r="AJ365">
        <v>3</v>
      </c>
      <c r="AK365">
        <v>0</v>
      </c>
      <c r="AL365">
        <v>1</v>
      </c>
      <c r="AM365">
        <v>3</v>
      </c>
      <c r="AN365" s="23">
        <v>0</v>
      </c>
      <c r="AO365" s="23" t="s">
        <v>55</v>
      </c>
      <c r="AP365" s="23">
        <v>0</v>
      </c>
      <c r="AQ365" s="23">
        <v>0</v>
      </c>
      <c r="AR365" s="37">
        <v>0</v>
      </c>
      <c r="AS365" s="37">
        <v>0</v>
      </c>
      <c r="AT365" s="37">
        <v>14</v>
      </c>
      <c r="AU365" s="33" t="str">
        <f t="shared" si="9"/>
        <v>库存为14</v>
      </c>
      <c r="AV365" s="38" t="str">
        <f>IFERROR(时间!$B$4+AU365,"上周无销量")</f>
        <v>上周无销量</v>
      </c>
    </row>
    <row r="366" spans="1:48">
      <c r="A366" s="21" t="s">
        <v>1036</v>
      </c>
      <c r="B366" t="s">
        <v>1037</v>
      </c>
      <c r="C366" t="s">
        <v>1027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9</v>
      </c>
      <c r="J366" s="35">
        <v>0</v>
      </c>
      <c r="K366" s="35">
        <v>0</v>
      </c>
      <c r="L366" s="35">
        <v>0</v>
      </c>
      <c r="M366">
        <v>9</v>
      </c>
      <c r="N366">
        <v>0</v>
      </c>
      <c r="O366">
        <v>0</v>
      </c>
      <c r="P366">
        <v>387</v>
      </c>
      <c r="Q366">
        <v>93</v>
      </c>
      <c r="R366">
        <v>209</v>
      </c>
      <c r="S366">
        <v>255</v>
      </c>
      <c r="T366">
        <v>0</v>
      </c>
      <c r="U366">
        <v>0</v>
      </c>
      <c r="V366">
        <v>0</v>
      </c>
      <c r="W366">
        <v>2</v>
      </c>
      <c r="X366" s="23">
        <v>0</v>
      </c>
      <c r="Y366" s="23">
        <v>0</v>
      </c>
      <c r="Z366" s="23">
        <v>0</v>
      </c>
      <c r="AA366" s="23">
        <v>0.00784313725490196</v>
      </c>
      <c r="AB366">
        <v>0</v>
      </c>
      <c r="AC366">
        <v>0</v>
      </c>
      <c r="AD366">
        <v>0</v>
      </c>
      <c r="AE366">
        <v>0.88</v>
      </c>
      <c r="AF366" s="23" t="s">
        <v>55</v>
      </c>
      <c r="AG366" s="23" t="s">
        <v>55</v>
      </c>
      <c r="AH366" s="23" t="s">
        <v>55</v>
      </c>
      <c r="AI366" s="23" t="s">
        <v>669</v>
      </c>
      <c r="AJ366">
        <v>4</v>
      </c>
      <c r="AK366">
        <v>1</v>
      </c>
      <c r="AL366">
        <v>0</v>
      </c>
      <c r="AM366">
        <v>4</v>
      </c>
      <c r="AN366" s="23">
        <v>0</v>
      </c>
      <c r="AO366" s="23">
        <v>0</v>
      </c>
      <c r="AP366" s="23" t="s">
        <v>55</v>
      </c>
      <c r="AQ366" s="23">
        <v>0</v>
      </c>
      <c r="AR366" s="37">
        <v>0</v>
      </c>
      <c r="AS366" s="37">
        <v>0</v>
      </c>
      <c r="AT366" s="37">
        <v>9</v>
      </c>
      <c r="AU366" s="33" t="str">
        <f t="shared" si="9"/>
        <v>库存为9</v>
      </c>
      <c r="AV366" s="38" t="str">
        <f>IFERROR(时间!$B$4+AU366,"上周无销量")</f>
        <v>上周无销量</v>
      </c>
    </row>
    <row r="367" spans="1:48">
      <c r="A367" s="21" t="s">
        <v>1038</v>
      </c>
      <c r="B367" t="s">
        <v>1039</v>
      </c>
      <c r="C367" t="s">
        <v>1027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4</v>
      </c>
      <c r="J367" s="35">
        <v>0</v>
      </c>
      <c r="K367" s="35">
        <v>0</v>
      </c>
      <c r="L367" s="35">
        <v>0</v>
      </c>
      <c r="M367">
        <v>4</v>
      </c>
      <c r="N367">
        <v>0</v>
      </c>
      <c r="O367">
        <v>0</v>
      </c>
      <c r="P367">
        <v>404</v>
      </c>
      <c r="Q367">
        <v>473</v>
      </c>
      <c r="R367">
        <v>668</v>
      </c>
      <c r="S367">
        <v>1642</v>
      </c>
      <c r="T367">
        <v>0</v>
      </c>
      <c r="U367">
        <v>1</v>
      </c>
      <c r="V367">
        <v>3</v>
      </c>
      <c r="W367">
        <v>1</v>
      </c>
      <c r="X367" s="23">
        <v>0</v>
      </c>
      <c r="Y367" s="23">
        <v>0.00211416490486258</v>
      </c>
      <c r="Z367" s="23">
        <v>0.00449101796407186</v>
      </c>
      <c r="AA367" s="23">
        <v>0.000609013398294762</v>
      </c>
      <c r="AB367">
        <v>0</v>
      </c>
      <c r="AC367">
        <v>0.41</v>
      </c>
      <c r="AD367">
        <v>1.26</v>
      </c>
      <c r="AE367">
        <v>0.23</v>
      </c>
      <c r="AF367" s="23" t="s">
        <v>55</v>
      </c>
      <c r="AG367" s="23" t="s">
        <v>340</v>
      </c>
      <c r="AH367" s="23" t="s">
        <v>577</v>
      </c>
      <c r="AI367" s="23" t="s">
        <v>958</v>
      </c>
      <c r="AJ367">
        <v>3</v>
      </c>
      <c r="AK367">
        <v>2</v>
      </c>
      <c r="AL367">
        <v>3</v>
      </c>
      <c r="AM367">
        <v>0</v>
      </c>
      <c r="AN367" s="23">
        <v>0</v>
      </c>
      <c r="AO367" s="23">
        <v>0</v>
      </c>
      <c r="AP367" s="23">
        <v>0</v>
      </c>
      <c r="AQ367" s="23" t="s">
        <v>55</v>
      </c>
      <c r="AR367" s="37">
        <v>0</v>
      </c>
      <c r="AS367" s="37">
        <v>0</v>
      </c>
      <c r="AT367" s="37">
        <v>4</v>
      </c>
      <c r="AU367" s="33" t="str">
        <f t="shared" si="9"/>
        <v>库存为4</v>
      </c>
      <c r="AV367" s="38" t="str">
        <f>IFERROR(时间!$B$4+AU367,"上周无销量")</f>
        <v>上周无销量</v>
      </c>
    </row>
    <row r="368" spans="1:48">
      <c r="A368" s="21" t="s">
        <v>1040</v>
      </c>
      <c r="B368" t="s">
        <v>1041</v>
      </c>
      <c r="C368" t="s">
        <v>1027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17</v>
      </c>
      <c r="J368" s="35">
        <v>0</v>
      </c>
      <c r="K368" s="35">
        <v>0</v>
      </c>
      <c r="L368" s="35">
        <v>0</v>
      </c>
      <c r="M368">
        <v>17</v>
      </c>
      <c r="N368">
        <v>0</v>
      </c>
      <c r="O368">
        <v>0</v>
      </c>
      <c r="P368">
        <v>704</v>
      </c>
      <c r="Q368">
        <v>881</v>
      </c>
      <c r="R368">
        <v>1264</v>
      </c>
      <c r="S368">
        <v>3789</v>
      </c>
      <c r="T368">
        <v>1</v>
      </c>
      <c r="U368">
        <v>0</v>
      </c>
      <c r="V368">
        <v>3</v>
      </c>
      <c r="W368">
        <v>8</v>
      </c>
      <c r="X368" s="23">
        <v>0.00142045454545455</v>
      </c>
      <c r="Y368" s="23">
        <v>0</v>
      </c>
      <c r="Z368" s="23">
        <v>0.00237341772151899</v>
      </c>
      <c r="AA368" s="23">
        <v>0.00211137503299024</v>
      </c>
      <c r="AB368">
        <v>0.48</v>
      </c>
      <c r="AC368">
        <v>0</v>
      </c>
      <c r="AD368">
        <v>1.18</v>
      </c>
      <c r="AE368">
        <v>3.39</v>
      </c>
      <c r="AF368" s="23" t="s">
        <v>1042</v>
      </c>
      <c r="AG368" s="23" t="s">
        <v>55</v>
      </c>
      <c r="AH368" s="23" t="s">
        <v>1043</v>
      </c>
      <c r="AI368" s="23" t="s">
        <v>1044</v>
      </c>
      <c r="AJ368">
        <v>2</v>
      </c>
      <c r="AK368">
        <v>1</v>
      </c>
      <c r="AL368">
        <v>4</v>
      </c>
      <c r="AM368">
        <v>4</v>
      </c>
      <c r="AN368" s="23">
        <v>0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17</v>
      </c>
      <c r="AU368" s="33" t="str">
        <f t="shared" si="9"/>
        <v>库存为17</v>
      </c>
      <c r="AV368" s="38" t="str">
        <f>IFERROR(时间!$B$4+AU368,"上周无销量")</f>
        <v>上周无销量</v>
      </c>
    </row>
    <row r="369" spans="1:48">
      <c r="A369" s="21" t="s">
        <v>1045</v>
      </c>
      <c r="B369" t="s">
        <v>1046</v>
      </c>
      <c r="C369" t="s">
        <v>1047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1</v>
      </c>
      <c r="J369" s="35">
        <v>0</v>
      </c>
      <c r="K369" s="35">
        <v>0</v>
      </c>
      <c r="L369" s="35">
        <v>0</v>
      </c>
      <c r="M369">
        <v>1</v>
      </c>
      <c r="N369">
        <v>0</v>
      </c>
      <c r="O369">
        <v>1</v>
      </c>
      <c r="P369" t="s">
        <v>55</v>
      </c>
      <c r="Q369" t="s">
        <v>55</v>
      </c>
      <c r="R369" t="s">
        <v>55</v>
      </c>
      <c r="S369" t="s">
        <v>55</v>
      </c>
      <c r="T369" t="s">
        <v>55</v>
      </c>
      <c r="U369" t="s">
        <v>55</v>
      </c>
      <c r="V369" t="s">
        <v>55</v>
      </c>
      <c r="W369" t="s">
        <v>55</v>
      </c>
      <c r="X369" s="23" t="s">
        <v>55</v>
      </c>
      <c r="Y369" s="23" t="s">
        <v>55</v>
      </c>
      <c r="Z369" s="23" t="s">
        <v>55</v>
      </c>
      <c r="AA369" s="23" t="s">
        <v>55</v>
      </c>
      <c r="AB369" t="s">
        <v>55</v>
      </c>
      <c r="AC369" t="s">
        <v>55</v>
      </c>
      <c r="AD369" t="s">
        <v>55</v>
      </c>
      <c r="AE369" t="s">
        <v>55</v>
      </c>
      <c r="AF369" s="23" t="s">
        <v>55</v>
      </c>
      <c r="AG369" s="23" t="s">
        <v>55</v>
      </c>
      <c r="AH369" s="23" t="s">
        <v>55</v>
      </c>
      <c r="AI369" s="23" t="s">
        <v>55</v>
      </c>
      <c r="AJ369">
        <v>3</v>
      </c>
      <c r="AK369">
        <v>0</v>
      </c>
      <c r="AL369">
        <v>1</v>
      </c>
      <c r="AM369">
        <v>2</v>
      </c>
      <c r="AN369" s="23">
        <v>0</v>
      </c>
      <c r="AO369" s="23" t="s">
        <v>55</v>
      </c>
      <c r="AP369" s="23">
        <v>0</v>
      </c>
      <c r="AQ369" s="23">
        <v>0</v>
      </c>
      <c r="AR369" s="37">
        <v>0</v>
      </c>
      <c r="AS369" s="37">
        <v>0</v>
      </c>
      <c r="AT369" s="37">
        <v>1</v>
      </c>
      <c r="AU369" s="33" t="str">
        <f t="shared" si="9"/>
        <v>库存为1</v>
      </c>
      <c r="AV369" s="38" t="str">
        <f>IFERROR(时间!$B$4+AU369,"上周无销量")</f>
        <v>上周无销量</v>
      </c>
    </row>
    <row r="370" spans="1:48">
      <c r="A370" s="21" t="s">
        <v>1048</v>
      </c>
      <c r="B370" t="s">
        <v>1049</v>
      </c>
      <c r="C370" t="s">
        <v>1050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1</v>
      </c>
      <c r="J370" s="35">
        <v>0</v>
      </c>
      <c r="K370" s="35">
        <v>0</v>
      </c>
      <c r="L370" s="35">
        <v>0</v>
      </c>
      <c r="M370">
        <v>1</v>
      </c>
      <c r="N370">
        <v>0</v>
      </c>
      <c r="O370">
        <v>0</v>
      </c>
      <c r="P370" t="s">
        <v>55</v>
      </c>
      <c r="Q370" t="s">
        <v>55</v>
      </c>
      <c r="R370" t="s">
        <v>55</v>
      </c>
      <c r="S370" t="s">
        <v>55</v>
      </c>
      <c r="T370" t="s">
        <v>55</v>
      </c>
      <c r="U370" t="s">
        <v>55</v>
      </c>
      <c r="V370" t="s">
        <v>55</v>
      </c>
      <c r="W370" t="s">
        <v>55</v>
      </c>
      <c r="X370" s="23" t="s">
        <v>55</v>
      </c>
      <c r="Y370" s="23" t="s">
        <v>55</v>
      </c>
      <c r="Z370" s="23" t="s">
        <v>55</v>
      </c>
      <c r="AA370" s="23" t="s">
        <v>55</v>
      </c>
      <c r="AB370" t="s">
        <v>55</v>
      </c>
      <c r="AC370" t="s">
        <v>55</v>
      </c>
      <c r="AD370" t="s">
        <v>55</v>
      </c>
      <c r="AE370" t="s">
        <v>55</v>
      </c>
      <c r="AF370" s="23" t="s">
        <v>55</v>
      </c>
      <c r="AG370" s="23" t="s">
        <v>55</v>
      </c>
      <c r="AH370" s="23" t="s">
        <v>55</v>
      </c>
      <c r="AI370" s="23" t="s">
        <v>55</v>
      </c>
      <c r="AJ370">
        <v>4</v>
      </c>
      <c r="AK370">
        <v>2</v>
      </c>
      <c r="AL370">
        <v>1</v>
      </c>
      <c r="AM370">
        <v>0</v>
      </c>
      <c r="AN370" s="23">
        <v>0</v>
      </c>
      <c r="AO370" s="23">
        <v>0</v>
      </c>
      <c r="AP370" s="23">
        <v>0</v>
      </c>
      <c r="AQ370" s="23" t="s">
        <v>55</v>
      </c>
      <c r="AR370" s="37">
        <v>0</v>
      </c>
      <c r="AS370" s="37">
        <v>0</v>
      </c>
      <c r="AT370" s="37">
        <v>1</v>
      </c>
      <c r="AU370" s="33" t="str">
        <f t="shared" si="9"/>
        <v>库存为1</v>
      </c>
      <c r="AV370" s="38" t="str">
        <f>IFERROR(时间!$B$4+AU370,"上周无销量")</f>
        <v>上周无销量</v>
      </c>
    </row>
    <row r="371" spans="1:48">
      <c r="A371" s="21" t="s">
        <v>1051</v>
      </c>
      <c r="B371" t="s">
        <v>1052</v>
      </c>
      <c r="C371" t="s">
        <v>1050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1</v>
      </c>
      <c r="J371" s="35">
        <v>0</v>
      </c>
      <c r="K371" s="35">
        <v>0</v>
      </c>
      <c r="L371" s="35">
        <v>0</v>
      </c>
      <c r="M371">
        <v>1</v>
      </c>
      <c r="N371">
        <v>0</v>
      </c>
      <c r="O371">
        <v>1</v>
      </c>
      <c r="P371" t="s">
        <v>55</v>
      </c>
      <c r="Q371" t="s">
        <v>55</v>
      </c>
      <c r="R371" t="s">
        <v>55</v>
      </c>
      <c r="S371" t="s">
        <v>55</v>
      </c>
      <c r="T371" t="s">
        <v>55</v>
      </c>
      <c r="U371" t="s">
        <v>55</v>
      </c>
      <c r="V371" t="s">
        <v>55</v>
      </c>
      <c r="W371" t="s">
        <v>55</v>
      </c>
      <c r="X371" s="23" t="s">
        <v>55</v>
      </c>
      <c r="Y371" s="23" t="s">
        <v>55</v>
      </c>
      <c r="Z371" s="23" t="s">
        <v>55</v>
      </c>
      <c r="AA371" s="23" t="s">
        <v>55</v>
      </c>
      <c r="AB371" t="s">
        <v>55</v>
      </c>
      <c r="AC371" t="s">
        <v>55</v>
      </c>
      <c r="AD371" t="s">
        <v>55</v>
      </c>
      <c r="AE371" t="s">
        <v>55</v>
      </c>
      <c r="AF371" s="23" t="s">
        <v>55</v>
      </c>
      <c r="AG371" s="23" t="s">
        <v>55</v>
      </c>
      <c r="AH371" s="23" t="s">
        <v>55</v>
      </c>
      <c r="AI371" s="23" t="s">
        <v>55</v>
      </c>
      <c r="AJ371">
        <v>2</v>
      </c>
      <c r="AK371">
        <v>2</v>
      </c>
      <c r="AL371">
        <v>1</v>
      </c>
      <c r="AM371">
        <v>0</v>
      </c>
      <c r="AN371" s="23">
        <v>0</v>
      </c>
      <c r="AO371" s="23">
        <v>0</v>
      </c>
      <c r="AP371" s="23">
        <v>0</v>
      </c>
      <c r="AQ371" s="23" t="s">
        <v>55</v>
      </c>
      <c r="AR371" s="37">
        <v>0</v>
      </c>
      <c r="AS371" s="37">
        <v>0</v>
      </c>
      <c r="AT371" s="37">
        <v>1</v>
      </c>
      <c r="AU371" s="33" t="str">
        <f t="shared" si="9"/>
        <v>库存为1</v>
      </c>
      <c r="AV371" s="38" t="str">
        <f>IFERROR(时间!$B$4+AU371,"上周无销量")</f>
        <v>上周无销量</v>
      </c>
    </row>
    <row r="372" spans="1:48">
      <c r="A372" s="21" t="s">
        <v>1053</v>
      </c>
      <c r="B372" t="s">
        <v>1054</v>
      </c>
      <c r="C372" t="s">
        <v>1050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1</v>
      </c>
      <c r="J372" s="35">
        <v>0</v>
      </c>
      <c r="K372" s="35">
        <v>0</v>
      </c>
      <c r="L372" s="35">
        <v>0</v>
      </c>
      <c r="M372">
        <v>1</v>
      </c>
      <c r="N372">
        <v>0</v>
      </c>
      <c r="O372">
        <v>1</v>
      </c>
      <c r="P372" t="s">
        <v>55</v>
      </c>
      <c r="Q372" t="s">
        <v>55</v>
      </c>
      <c r="R372" t="s">
        <v>55</v>
      </c>
      <c r="S372" t="s">
        <v>55</v>
      </c>
      <c r="T372" t="s">
        <v>55</v>
      </c>
      <c r="U372" t="s">
        <v>55</v>
      </c>
      <c r="V372" t="s">
        <v>55</v>
      </c>
      <c r="W372" t="s">
        <v>55</v>
      </c>
      <c r="X372" s="23" t="s">
        <v>55</v>
      </c>
      <c r="Y372" s="23" t="s">
        <v>55</v>
      </c>
      <c r="Z372" s="23" t="s">
        <v>55</v>
      </c>
      <c r="AA372" s="23" t="s">
        <v>55</v>
      </c>
      <c r="AB372" t="s">
        <v>55</v>
      </c>
      <c r="AC372" t="s">
        <v>55</v>
      </c>
      <c r="AD372" t="s">
        <v>55</v>
      </c>
      <c r="AE372" t="s">
        <v>55</v>
      </c>
      <c r="AF372" s="23" t="s">
        <v>55</v>
      </c>
      <c r="AG372" s="23" t="s">
        <v>55</v>
      </c>
      <c r="AH372" s="23" t="s">
        <v>55</v>
      </c>
      <c r="AI372" s="23" t="s">
        <v>55</v>
      </c>
      <c r="AJ372">
        <v>1</v>
      </c>
      <c r="AK372">
        <v>0</v>
      </c>
      <c r="AL372">
        <v>0</v>
      </c>
      <c r="AM372">
        <v>1</v>
      </c>
      <c r="AN372" s="23">
        <v>0</v>
      </c>
      <c r="AO372" s="23" t="s">
        <v>55</v>
      </c>
      <c r="AP372" s="23" t="s">
        <v>55</v>
      </c>
      <c r="AQ372" s="23">
        <v>0</v>
      </c>
      <c r="AR372" s="37">
        <v>0</v>
      </c>
      <c r="AS372" s="37">
        <v>0</v>
      </c>
      <c r="AT372" s="37">
        <v>1</v>
      </c>
      <c r="AU372" s="33" t="str">
        <f t="shared" si="9"/>
        <v>库存为1</v>
      </c>
      <c r="AV372" s="38" t="str">
        <f>IFERROR(时间!$B$4+AU372,"上周无销量")</f>
        <v>上周无销量</v>
      </c>
    </row>
    <row r="373" spans="1:48">
      <c r="A373" s="21" t="s">
        <v>1055</v>
      </c>
      <c r="B373" t="s">
        <v>1056</v>
      </c>
      <c r="C373" t="s">
        <v>1057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1</v>
      </c>
      <c r="J373" s="35">
        <v>0</v>
      </c>
      <c r="K373" s="35">
        <v>0</v>
      </c>
      <c r="L373" s="35">
        <v>0</v>
      </c>
      <c r="M373">
        <v>1</v>
      </c>
      <c r="N373">
        <v>0</v>
      </c>
      <c r="O373">
        <v>1</v>
      </c>
      <c r="P373" t="s">
        <v>55</v>
      </c>
      <c r="Q373" t="s">
        <v>55</v>
      </c>
      <c r="R373" t="s">
        <v>55</v>
      </c>
      <c r="S373" t="s">
        <v>55</v>
      </c>
      <c r="T373" t="s">
        <v>55</v>
      </c>
      <c r="U373" t="s">
        <v>55</v>
      </c>
      <c r="V373" t="s">
        <v>55</v>
      </c>
      <c r="W373" t="s">
        <v>55</v>
      </c>
      <c r="X373" s="23" t="s">
        <v>55</v>
      </c>
      <c r="Y373" s="23" t="s">
        <v>55</v>
      </c>
      <c r="Z373" s="23" t="s">
        <v>55</v>
      </c>
      <c r="AA373" s="23" t="s">
        <v>55</v>
      </c>
      <c r="AB373" t="s">
        <v>55</v>
      </c>
      <c r="AC373" t="s">
        <v>55</v>
      </c>
      <c r="AD373" t="s">
        <v>55</v>
      </c>
      <c r="AE373" t="s">
        <v>55</v>
      </c>
      <c r="AF373" s="23" t="s">
        <v>55</v>
      </c>
      <c r="AG373" s="23" t="s">
        <v>55</v>
      </c>
      <c r="AH373" s="23" t="s">
        <v>55</v>
      </c>
      <c r="AI373" s="23" t="s">
        <v>55</v>
      </c>
      <c r="AJ373">
        <v>1</v>
      </c>
      <c r="AK373">
        <v>2</v>
      </c>
      <c r="AL373">
        <v>1</v>
      </c>
      <c r="AM373">
        <v>0</v>
      </c>
      <c r="AN373" s="23">
        <v>0</v>
      </c>
      <c r="AO373" s="23">
        <v>0</v>
      </c>
      <c r="AP373" s="23">
        <v>0</v>
      </c>
      <c r="AQ373" s="23" t="s">
        <v>55</v>
      </c>
      <c r="AR373" s="37">
        <v>0</v>
      </c>
      <c r="AS373" s="37">
        <v>0</v>
      </c>
      <c r="AT373" s="37">
        <v>1</v>
      </c>
      <c r="AU373" s="33" t="str">
        <f t="shared" si="9"/>
        <v>库存为1</v>
      </c>
      <c r="AV373" s="38" t="str">
        <f>IFERROR(时间!$B$4+AU373,"上周无销量")</f>
        <v>上周无销量</v>
      </c>
    </row>
    <row r="374" spans="1:48">
      <c r="A374" s="21" t="s">
        <v>1058</v>
      </c>
      <c r="B374" t="s">
        <v>1059</v>
      </c>
      <c r="C374" t="s">
        <v>1060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4</v>
      </c>
      <c r="J374" s="35">
        <v>0</v>
      </c>
      <c r="K374" s="35">
        <v>0</v>
      </c>
      <c r="L374" s="35">
        <v>0</v>
      </c>
      <c r="M374">
        <v>4</v>
      </c>
      <c r="N374">
        <v>0</v>
      </c>
      <c r="O374">
        <v>4</v>
      </c>
      <c r="P374" t="s">
        <v>55</v>
      </c>
      <c r="Q374" t="s">
        <v>55</v>
      </c>
      <c r="R374" t="s">
        <v>55</v>
      </c>
      <c r="S374" t="s">
        <v>55</v>
      </c>
      <c r="T374" t="s">
        <v>55</v>
      </c>
      <c r="U374" t="s">
        <v>55</v>
      </c>
      <c r="V374" t="s">
        <v>55</v>
      </c>
      <c r="W374" t="s">
        <v>55</v>
      </c>
      <c r="X374" s="23" t="s">
        <v>55</v>
      </c>
      <c r="Y374" s="23" t="s">
        <v>55</v>
      </c>
      <c r="Z374" s="23" t="s">
        <v>55</v>
      </c>
      <c r="AA374" s="23" t="s">
        <v>55</v>
      </c>
      <c r="AB374" t="s">
        <v>55</v>
      </c>
      <c r="AC374" t="s">
        <v>55</v>
      </c>
      <c r="AD374" t="s">
        <v>55</v>
      </c>
      <c r="AE374" t="s">
        <v>55</v>
      </c>
      <c r="AF374" s="23" t="s">
        <v>55</v>
      </c>
      <c r="AG374" s="23" t="s">
        <v>55</v>
      </c>
      <c r="AH374" s="23" t="s">
        <v>55</v>
      </c>
      <c r="AI374" s="23" t="s">
        <v>55</v>
      </c>
      <c r="AJ374">
        <v>2</v>
      </c>
      <c r="AK374">
        <v>2</v>
      </c>
      <c r="AL374">
        <v>2</v>
      </c>
      <c r="AM374">
        <v>0</v>
      </c>
      <c r="AN374" s="23">
        <v>0</v>
      </c>
      <c r="AO374" s="23">
        <v>0</v>
      </c>
      <c r="AP374" s="23">
        <v>0</v>
      </c>
      <c r="AQ374" s="23" t="s">
        <v>55</v>
      </c>
      <c r="AR374" s="37">
        <v>0</v>
      </c>
      <c r="AS374" s="37">
        <v>0</v>
      </c>
      <c r="AT374" s="37">
        <v>4</v>
      </c>
      <c r="AU374" s="33" t="str">
        <f t="shared" si="9"/>
        <v>库存为4</v>
      </c>
      <c r="AV374" s="38" t="str">
        <f>IFERROR(时间!$B$4+AU374,"上周无销量")</f>
        <v>上周无销量</v>
      </c>
    </row>
    <row r="375" spans="1:48">
      <c r="A375" s="21" t="s">
        <v>1061</v>
      </c>
      <c r="B375" t="s">
        <v>1062</v>
      </c>
      <c r="C375" t="s">
        <v>1060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2</v>
      </c>
      <c r="J375" s="35">
        <v>0</v>
      </c>
      <c r="K375" s="35">
        <v>0</v>
      </c>
      <c r="L375" s="35">
        <v>0</v>
      </c>
      <c r="M375">
        <v>2</v>
      </c>
      <c r="N375">
        <v>0</v>
      </c>
      <c r="O375">
        <v>2</v>
      </c>
      <c r="P375" t="s">
        <v>55</v>
      </c>
      <c r="Q375" t="s">
        <v>55</v>
      </c>
      <c r="R375" t="s">
        <v>55</v>
      </c>
      <c r="S375" t="s">
        <v>55</v>
      </c>
      <c r="T375" t="s">
        <v>55</v>
      </c>
      <c r="U375" t="s">
        <v>55</v>
      </c>
      <c r="V375" t="s">
        <v>55</v>
      </c>
      <c r="W375" t="s">
        <v>55</v>
      </c>
      <c r="X375" s="23" t="s">
        <v>55</v>
      </c>
      <c r="Y375" s="23" t="s">
        <v>55</v>
      </c>
      <c r="Z375" s="23" t="s">
        <v>55</v>
      </c>
      <c r="AA375" s="23" t="s">
        <v>55</v>
      </c>
      <c r="AB375" t="s">
        <v>55</v>
      </c>
      <c r="AC375" t="s">
        <v>55</v>
      </c>
      <c r="AD375" t="s">
        <v>55</v>
      </c>
      <c r="AE375" t="s">
        <v>55</v>
      </c>
      <c r="AF375" s="23" t="s">
        <v>55</v>
      </c>
      <c r="AG375" s="23" t="s">
        <v>55</v>
      </c>
      <c r="AH375" s="23" t="s">
        <v>55</v>
      </c>
      <c r="AI375" s="23" t="s">
        <v>55</v>
      </c>
      <c r="AJ375">
        <v>0</v>
      </c>
      <c r="AK375">
        <v>1</v>
      </c>
      <c r="AL375">
        <v>2</v>
      </c>
      <c r="AM375">
        <v>1</v>
      </c>
      <c r="AN375" s="23" t="s">
        <v>55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2</v>
      </c>
      <c r="AU375" s="33" t="str">
        <f t="shared" si="9"/>
        <v>库存为2</v>
      </c>
      <c r="AV375" s="38" t="str">
        <f>IFERROR(时间!$B$4+AU375,"上周无销量")</f>
        <v>上周无销量</v>
      </c>
    </row>
    <row r="376" spans="1:48">
      <c r="A376" s="21" t="s">
        <v>1063</v>
      </c>
      <c r="B376" t="s">
        <v>1064</v>
      </c>
      <c r="C376" t="s">
        <v>1060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4</v>
      </c>
      <c r="J376" s="35">
        <v>0</v>
      </c>
      <c r="K376" s="35">
        <v>0</v>
      </c>
      <c r="L376" s="35">
        <v>0</v>
      </c>
      <c r="M376">
        <v>4</v>
      </c>
      <c r="N376">
        <v>0</v>
      </c>
      <c r="O376">
        <v>4</v>
      </c>
      <c r="P376" t="s">
        <v>55</v>
      </c>
      <c r="Q376" t="s">
        <v>55</v>
      </c>
      <c r="R376" t="s">
        <v>55</v>
      </c>
      <c r="S376" t="s">
        <v>55</v>
      </c>
      <c r="T376" t="s">
        <v>55</v>
      </c>
      <c r="U376" t="s">
        <v>55</v>
      </c>
      <c r="V376" t="s">
        <v>55</v>
      </c>
      <c r="W376" t="s">
        <v>55</v>
      </c>
      <c r="X376" s="23" t="s">
        <v>55</v>
      </c>
      <c r="Y376" s="23" t="s">
        <v>55</v>
      </c>
      <c r="Z376" s="23" t="s">
        <v>55</v>
      </c>
      <c r="AA376" s="23" t="s">
        <v>55</v>
      </c>
      <c r="AB376" t="s">
        <v>55</v>
      </c>
      <c r="AC376" t="s">
        <v>55</v>
      </c>
      <c r="AD376" t="s">
        <v>55</v>
      </c>
      <c r="AE376" t="s">
        <v>55</v>
      </c>
      <c r="AF376" s="23" t="s">
        <v>55</v>
      </c>
      <c r="AG376" s="23" t="s">
        <v>55</v>
      </c>
      <c r="AH376" s="23" t="s">
        <v>55</v>
      </c>
      <c r="AI376" s="23" t="s">
        <v>55</v>
      </c>
      <c r="AJ376">
        <v>1</v>
      </c>
      <c r="AK376">
        <v>1</v>
      </c>
      <c r="AL376">
        <v>2</v>
      </c>
      <c r="AM376">
        <v>2</v>
      </c>
      <c r="AN376" s="23">
        <v>0</v>
      </c>
      <c r="AO376" s="23">
        <v>0</v>
      </c>
      <c r="AP376" s="23">
        <v>0</v>
      </c>
      <c r="AQ376" s="23">
        <v>0</v>
      </c>
      <c r="AR376" s="37">
        <v>0</v>
      </c>
      <c r="AS376" s="37">
        <v>0</v>
      </c>
      <c r="AT376" s="37">
        <v>4</v>
      </c>
      <c r="AU376" s="33" t="str">
        <f t="shared" si="9"/>
        <v>库存为4</v>
      </c>
      <c r="AV376" s="38" t="str">
        <f>IFERROR(时间!$B$4+AU376,"上周无销量")</f>
        <v>上周无销量</v>
      </c>
    </row>
    <row r="377" spans="1:48">
      <c r="A377" s="21" t="s">
        <v>1065</v>
      </c>
      <c r="B377" t="s">
        <v>1066</v>
      </c>
      <c r="C377" t="s">
        <v>1060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5</v>
      </c>
      <c r="J377" s="35">
        <v>0</v>
      </c>
      <c r="K377" s="35">
        <v>0</v>
      </c>
      <c r="L377" s="35">
        <v>0</v>
      </c>
      <c r="M377">
        <v>5</v>
      </c>
      <c r="N377">
        <v>0</v>
      </c>
      <c r="O377">
        <v>5</v>
      </c>
      <c r="P377" t="s">
        <v>55</v>
      </c>
      <c r="Q377" t="s">
        <v>55</v>
      </c>
      <c r="R377" t="s">
        <v>55</v>
      </c>
      <c r="S377" t="s">
        <v>55</v>
      </c>
      <c r="T377" t="s">
        <v>55</v>
      </c>
      <c r="U377" t="s">
        <v>55</v>
      </c>
      <c r="V377" t="s">
        <v>55</v>
      </c>
      <c r="W377" t="s">
        <v>55</v>
      </c>
      <c r="X377" s="23" t="s">
        <v>55</v>
      </c>
      <c r="Y377" s="23" t="s">
        <v>55</v>
      </c>
      <c r="Z377" s="23" t="s">
        <v>55</v>
      </c>
      <c r="AA377" s="23" t="s">
        <v>55</v>
      </c>
      <c r="AB377" t="s">
        <v>55</v>
      </c>
      <c r="AC377" t="s">
        <v>55</v>
      </c>
      <c r="AD377" t="s">
        <v>55</v>
      </c>
      <c r="AE377" t="s">
        <v>55</v>
      </c>
      <c r="AF377" s="23" t="s">
        <v>55</v>
      </c>
      <c r="AG377" s="23" t="s">
        <v>55</v>
      </c>
      <c r="AH377" s="23" t="s">
        <v>55</v>
      </c>
      <c r="AI377" s="23" t="s">
        <v>55</v>
      </c>
      <c r="AJ377">
        <v>1</v>
      </c>
      <c r="AK377">
        <v>0</v>
      </c>
      <c r="AL377">
        <v>0</v>
      </c>
      <c r="AM377">
        <v>1</v>
      </c>
      <c r="AN377" s="23">
        <v>0</v>
      </c>
      <c r="AO377" s="23" t="s">
        <v>55</v>
      </c>
      <c r="AP377" s="23" t="s">
        <v>55</v>
      </c>
      <c r="AQ377" s="23">
        <v>0</v>
      </c>
      <c r="AR377" s="37">
        <v>0</v>
      </c>
      <c r="AS377" s="37">
        <v>0</v>
      </c>
      <c r="AT377" s="37">
        <v>5</v>
      </c>
      <c r="AU377" s="33" t="str">
        <f t="shared" si="9"/>
        <v>库存为5</v>
      </c>
      <c r="AV377" s="38" t="str">
        <f>IFERROR(时间!$B$4+AU377,"上周无销量")</f>
        <v>上周无销量</v>
      </c>
    </row>
    <row r="378" spans="1:48">
      <c r="A378" s="21" t="s">
        <v>1067</v>
      </c>
      <c r="B378" t="s">
        <v>1068</v>
      </c>
      <c r="C378" t="s">
        <v>1060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1</v>
      </c>
      <c r="J378" s="35">
        <v>0</v>
      </c>
      <c r="K378" s="35">
        <v>0</v>
      </c>
      <c r="L378" s="35">
        <v>0</v>
      </c>
      <c r="M378">
        <v>1</v>
      </c>
      <c r="N378">
        <v>0</v>
      </c>
      <c r="O378">
        <v>1</v>
      </c>
      <c r="P378" t="s">
        <v>55</v>
      </c>
      <c r="Q378" t="s">
        <v>55</v>
      </c>
      <c r="R378" t="s">
        <v>55</v>
      </c>
      <c r="S378" t="s">
        <v>55</v>
      </c>
      <c r="T378" t="s">
        <v>55</v>
      </c>
      <c r="U378" t="s">
        <v>55</v>
      </c>
      <c r="V378" t="s">
        <v>55</v>
      </c>
      <c r="W378" t="s">
        <v>55</v>
      </c>
      <c r="X378" s="23" t="s">
        <v>55</v>
      </c>
      <c r="Y378" s="23" t="s">
        <v>55</v>
      </c>
      <c r="Z378" s="23" t="s">
        <v>55</v>
      </c>
      <c r="AA378" s="23" t="s">
        <v>55</v>
      </c>
      <c r="AB378" t="s">
        <v>55</v>
      </c>
      <c r="AC378" t="s">
        <v>55</v>
      </c>
      <c r="AD378" t="s">
        <v>55</v>
      </c>
      <c r="AE378" t="s">
        <v>55</v>
      </c>
      <c r="AF378" s="23" t="s">
        <v>55</v>
      </c>
      <c r="AG378" s="23" t="s">
        <v>55</v>
      </c>
      <c r="AH378" s="23" t="s">
        <v>55</v>
      </c>
      <c r="AI378" s="23" t="s">
        <v>55</v>
      </c>
      <c r="AJ378">
        <v>1</v>
      </c>
      <c r="AK378">
        <v>2</v>
      </c>
      <c r="AL378">
        <v>0</v>
      </c>
      <c r="AM378">
        <v>1</v>
      </c>
      <c r="AN378" s="23">
        <v>0</v>
      </c>
      <c r="AO378" s="23">
        <v>0</v>
      </c>
      <c r="AP378" s="23" t="s">
        <v>55</v>
      </c>
      <c r="AQ378" s="23">
        <v>0</v>
      </c>
      <c r="AR378" s="37">
        <v>0</v>
      </c>
      <c r="AS378" s="37">
        <v>0</v>
      </c>
      <c r="AT378" s="37">
        <v>1</v>
      </c>
      <c r="AU378" s="33" t="str">
        <f t="shared" si="9"/>
        <v>库存为1</v>
      </c>
      <c r="AV378" s="38" t="str">
        <f>IFERROR(时间!$B$4+AU378,"上周无销量")</f>
        <v>上周无销量</v>
      </c>
    </row>
    <row r="379" spans="1:48">
      <c r="A379" s="21" t="s">
        <v>1069</v>
      </c>
      <c r="B379" t="s">
        <v>1070</v>
      </c>
      <c r="C379" t="s">
        <v>1060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3</v>
      </c>
      <c r="J379" s="35">
        <v>0</v>
      </c>
      <c r="K379" s="35">
        <v>0</v>
      </c>
      <c r="L379" s="35">
        <v>0</v>
      </c>
      <c r="M379">
        <v>3</v>
      </c>
      <c r="N379">
        <v>0</v>
      </c>
      <c r="O379">
        <v>3</v>
      </c>
      <c r="P379" t="s">
        <v>55</v>
      </c>
      <c r="Q379" t="s">
        <v>55</v>
      </c>
      <c r="R379" t="s">
        <v>55</v>
      </c>
      <c r="S379" t="s">
        <v>55</v>
      </c>
      <c r="T379" t="s">
        <v>55</v>
      </c>
      <c r="U379" t="s">
        <v>55</v>
      </c>
      <c r="V379" t="s">
        <v>55</v>
      </c>
      <c r="W379" t="s">
        <v>55</v>
      </c>
      <c r="X379" s="23" t="s">
        <v>55</v>
      </c>
      <c r="Y379" s="23" t="s">
        <v>55</v>
      </c>
      <c r="Z379" s="23" t="s">
        <v>55</v>
      </c>
      <c r="AA379" s="23" t="s">
        <v>55</v>
      </c>
      <c r="AB379" t="s">
        <v>55</v>
      </c>
      <c r="AC379" t="s">
        <v>55</v>
      </c>
      <c r="AD379" t="s">
        <v>55</v>
      </c>
      <c r="AE379" t="s">
        <v>55</v>
      </c>
      <c r="AF379" s="23" t="s">
        <v>55</v>
      </c>
      <c r="AG379" s="23" t="s">
        <v>55</v>
      </c>
      <c r="AH379" s="23" t="s">
        <v>55</v>
      </c>
      <c r="AI379" s="23" t="s">
        <v>55</v>
      </c>
      <c r="AJ379">
        <v>1</v>
      </c>
      <c r="AK379">
        <v>0</v>
      </c>
      <c r="AL379">
        <v>1</v>
      </c>
      <c r="AM379">
        <v>1</v>
      </c>
      <c r="AN379" s="23">
        <v>0</v>
      </c>
      <c r="AO379" s="23" t="s">
        <v>55</v>
      </c>
      <c r="AP379" s="23">
        <v>0</v>
      </c>
      <c r="AQ379" s="23">
        <v>0</v>
      </c>
      <c r="AR379" s="37">
        <v>0</v>
      </c>
      <c r="AS379" s="37">
        <v>0</v>
      </c>
      <c r="AT379" s="37">
        <v>3</v>
      </c>
      <c r="AU379" s="33" t="str">
        <f t="shared" si="9"/>
        <v>库存为3</v>
      </c>
      <c r="AV379" s="38" t="str">
        <f>IFERROR(时间!$B$4+AU379,"上周无销量")</f>
        <v>上周无销量</v>
      </c>
    </row>
    <row r="380" spans="1:48">
      <c r="A380" s="21" t="s">
        <v>1071</v>
      </c>
      <c r="B380" t="s">
        <v>1072</v>
      </c>
      <c r="C380" t="s">
        <v>1060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4</v>
      </c>
      <c r="J380" s="35">
        <v>0</v>
      </c>
      <c r="K380" s="35">
        <v>0</v>
      </c>
      <c r="L380" s="35">
        <v>0</v>
      </c>
      <c r="M380">
        <v>4</v>
      </c>
      <c r="N380">
        <v>0</v>
      </c>
      <c r="O380">
        <v>4</v>
      </c>
      <c r="P380" t="s">
        <v>55</v>
      </c>
      <c r="Q380" t="s">
        <v>55</v>
      </c>
      <c r="R380" t="s">
        <v>55</v>
      </c>
      <c r="S380" t="s">
        <v>55</v>
      </c>
      <c r="T380" t="s">
        <v>55</v>
      </c>
      <c r="U380" t="s">
        <v>55</v>
      </c>
      <c r="V380" t="s">
        <v>55</v>
      </c>
      <c r="W380" t="s">
        <v>55</v>
      </c>
      <c r="X380" s="23" t="s">
        <v>55</v>
      </c>
      <c r="Y380" s="23" t="s">
        <v>55</v>
      </c>
      <c r="Z380" s="23" t="s">
        <v>55</v>
      </c>
      <c r="AA380" s="23" t="s">
        <v>55</v>
      </c>
      <c r="AB380" t="s">
        <v>55</v>
      </c>
      <c r="AC380" t="s">
        <v>55</v>
      </c>
      <c r="AD380" t="s">
        <v>55</v>
      </c>
      <c r="AE380" t="s">
        <v>55</v>
      </c>
      <c r="AF380" s="23" t="s">
        <v>55</v>
      </c>
      <c r="AG380" s="23" t="s">
        <v>55</v>
      </c>
      <c r="AH380" s="23" t="s">
        <v>55</v>
      </c>
      <c r="AI380" s="23" t="s">
        <v>55</v>
      </c>
      <c r="AJ380">
        <v>0</v>
      </c>
      <c r="AK380">
        <v>1</v>
      </c>
      <c r="AL380">
        <v>1</v>
      </c>
      <c r="AM380">
        <v>0</v>
      </c>
      <c r="AN380" s="23" t="s">
        <v>55</v>
      </c>
      <c r="AO380" s="23">
        <v>0</v>
      </c>
      <c r="AP380" s="23">
        <v>0</v>
      </c>
      <c r="AQ380" s="23" t="s">
        <v>55</v>
      </c>
      <c r="AR380" s="37">
        <v>0</v>
      </c>
      <c r="AS380" s="37">
        <v>0</v>
      </c>
      <c r="AT380" s="37">
        <v>4</v>
      </c>
      <c r="AU380" s="33" t="str">
        <f t="shared" si="9"/>
        <v>库存为4</v>
      </c>
      <c r="AV380" s="38" t="str">
        <f>IFERROR(时间!$B$4+AU380,"上周无销量")</f>
        <v>上周无销量</v>
      </c>
    </row>
    <row r="381" spans="1:48">
      <c r="A381" s="21" t="s">
        <v>1073</v>
      </c>
      <c r="B381" t="s">
        <v>1074</v>
      </c>
      <c r="C381" t="s">
        <v>1075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2</v>
      </c>
      <c r="J381" s="35">
        <v>0</v>
      </c>
      <c r="K381" s="35">
        <v>0</v>
      </c>
      <c r="L381" s="35">
        <v>0</v>
      </c>
      <c r="M381">
        <v>2</v>
      </c>
      <c r="N381">
        <v>0</v>
      </c>
      <c r="O381">
        <v>2</v>
      </c>
      <c r="P381" t="s">
        <v>55</v>
      </c>
      <c r="Q381" t="s">
        <v>55</v>
      </c>
      <c r="R381" t="s">
        <v>55</v>
      </c>
      <c r="S381" t="s">
        <v>55</v>
      </c>
      <c r="T381" t="s">
        <v>55</v>
      </c>
      <c r="U381" t="s">
        <v>55</v>
      </c>
      <c r="V381" t="s">
        <v>55</v>
      </c>
      <c r="W381" t="s">
        <v>55</v>
      </c>
      <c r="X381" s="23" t="s">
        <v>55</v>
      </c>
      <c r="Y381" s="23" t="s">
        <v>55</v>
      </c>
      <c r="Z381" s="23" t="s">
        <v>55</v>
      </c>
      <c r="AA381" s="23" t="s">
        <v>55</v>
      </c>
      <c r="AB381" t="s">
        <v>55</v>
      </c>
      <c r="AC381" t="s">
        <v>55</v>
      </c>
      <c r="AD381" t="s">
        <v>55</v>
      </c>
      <c r="AE381" t="s">
        <v>55</v>
      </c>
      <c r="AF381" s="23" t="s">
        <v>55</v>
      </c>
      <c r="AG381" s="23" t="s">
        <v>55</v>
      </c>
      <c r="AH381" s="23" t="s">
        <v>55</v>
      </c>
      <c r="AI381" s="23" t="s">
        <v>55</v>
      </c>
      <c r="AJ381">
        <v>1</v>
      </c>
      <c r="AK381">
        <v>1</v>
      </c>
      <c r="AL381">
        <v>1</v>
      </c>
      <c r="AM381">
        <v>1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2</v>
      </c>
      <c r="AU381" s="33" t="str">
        <f t="shared" si="9"/>
        <v>库存为2</v>
      </c>
      <c r="AV381" s="38" t="str">
        <f>IFERROR(时间!$B$4+AU381,"上周无销量")</f>
        <v>上周无销量</v>
      </c>
    </row>
    <row r="382" spans="1:48">
      <c r="A382" s="21" t="s">
        <v>1076</v>
      </c>
      <c r="B382" t="s">
        <v>1077</v>
      </c>
      <c r="C382" t="s">
        <v>1075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1</v>
      </c>
      <c r="J382" s="35">
        <v>0</v>
      </c>
      <c r="K382" s="35">
        <v>0</v>
      </c>
      <c r="L382" s="35">
        <v>0</v>
      </c>
      <c r="M382">
        <v>1</v>
      </c>
      <c r="N382">
        <v>0</v>
      </c>
      <c r="O382">
        <v>1</v>
      </c>
      <c r="P382" t="s">
        <v>55</v>
      </c>
      <c r="Q382" t="s">
        <v>55</v>
      </c>
      <c r="R382" t="s">
        <v>55</v>
      </c>
      <c r="S382" t="s">
        <v>55</v>
      </c>
      <c r="T382" t="s">
        <v>55</v>
      </c>
      <c r="U382" t="s">
        <v>55</v>
      </c>
      <c r="V382" t="s">
        <v>55</v>
      </c>
      <c r="W382" t="s">
        <v>55</v>
      </c>
      <c r="X382" s="23" t="s">
        <v>55</v>
      </c>
      <c r="Y382" s="23" t="s">
        <v>55</v>
      </c>
      <c r="Z382" s="23" t="s">
        <v>55</v>
      </c>
      <c r="AA382" s="23" t="s">
        <v>55</v>
      </c>
      <c r="AB382" t="s">
        <v>55</v>
      </c>
      <c r="AC382" t="s">
        <v>55</v>
      </c>
      <c r="AD382" t="s">
        <v>55</v>
      </c>
      <c r="AE382" t="s">
        <v>55</v>
      </c>
      <c r="AF382" s="23" t="s">
        <v>55</v>
      </c>
      <c r="AG382" s="23" t="s">
        <v>55</v>
      </c>
      <c r="AH382" s="23" t="s">
        <v>55</v>
      </c>
      <c r="AI382" s="23" t="s">
        <v>55</v>
      </c>
      <c r="AJ382">
        <v>2</v>
      </c>
      <c r="AK382">
        <v>0</v>
      </c>
      <c r="AL382">
        <v>3</v>
      </c>
      <c r="AM382">
        <v>2</v>
      </c>
      <c r="AN382" s="23">
        <v>0</v>
      </c>
      <c r="AO382" s="23" t="s">
        <v>55</v>
      </c>
      <c r="AP382" s="23">
        <v>0</v>
      </c>
      <c r="AQ382" s="23">
        <v>0</v>
      </c>
      <c r="AR382" s="37">
        <v>0</v>
      </c>
      <c r="AS382" s="37">
        <v>0</v>
      </c>
      <c r="AT382" s="37">
        <v>1</v>
      </c>
      <c r="AU382" s="33" t="str">
        <f t="shared" si="9"/>
        <v>库存为1</v>
      </c>
      <c r="AV382" s="38" t="str">
        <f>IFERROR(时间!$B$4+AU382,"上周无销量")</f>
        <v>上周无销量</v>
      </c>
    </row>
    <row r="383" spans="1:48">
      <c r="A383" s="21" t="s">
        <v>1078</v>
      </c>
      <c r="B383" t="s">
        <v>1079</v>
      </c>
      <c r="C383" t="s">
        <v>1075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2</v>
      </c>
      <c r="J383" s="35">
        <v>0</v>
      </c>
      <c r="K383" s="35">
        <v>0</v>
      </c>
      <c r="L383" s="35">
        <v>0</v>
      </c>
      <c r="M383">
        <v>2</v>
      </c>
      <c r="N383">
        <v>0</v>
      </c>
      <c r="O383">
        <v>2</v>
      </c>
      <c r="P383" t="s">
        <v>55</v>
      </c>
      <c r="Q383" t="s">
        <v>55</v>
      </c>
      <c r="R383" t="s">
        <v>55</v>
      </c>
      <c r="S383" t="s">
        <v>55</v>
      </c>
      <c r="T383" t="s">
        <v>55</v>
      </c>
      <c r="U383" t="s">
        <v>55</v>
      </c>
      <c r="V383" t="s">
        <v>55</v>
      </c>
      <c r="W383" t="s">
        <v>55</v>
      </c>
      <c r="X383" s="23" t="s">
        <v>55</v>
      </c>
      <c r="Y383" s="23" t="s">
        <v>55</v>
      </c>
      <c r="Z383" s="23" t="s">
        <v>55</v>
      </c>
      <c r="AA383" s="23" t="s">
        <v>55</v>
      </c>
      <c r="AB383" t="s">
        <v>55</v>
      </c>
      <c r="AC383" t="s">
        <v>55</v>
      </c>
      <c r="AD383" t="s">
        <v>55</v>
      </c>
      <c r="AE383" t="s">
        <v>55</v>
      </c>
      <c r="AF383" s="23" t="s">
        <v>55</v>
      </c>
      <c r="AG383" s="23" t="s">
        <v>55</v>
      </c>
      <c r="AH383" s="23" t="s">
        <v>55</v>
      </c>
      <c r="AI383" s="23" t="s">
        <v>55</v>
      </c>
      <c r="AJ383">
        <v>3</v>
      </c>
      <c r="AK383">
        <v>1</v>
      </c>
      <c r="AL383">
        <v>1</v>
      </c>
      <c r="AM383">
        <v>1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2</v>
      </c>
      <c r="AU383" s="33" t="str">
        <f t="shared" si="9"/>
        <v>库存为2</v>
      </c>
      <c r="AV383" s="38" t="str">
        <f>IFERROR(时间!$B$4+AU383,"上周无销量")</f>
        <v>上周无销量</v>
      </c>
    </row>
    <row r="384" spans="1:48">
      <c r="A384" s="21" t="s">
        <v>1080</v>
      </c>
      <c r="B384" t="s">
        <v>1081</v>
      </c>
      <c r="C384" t="s">
        <v>1082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8</v>
      </c>
      <c r="J384" s="35">
        <v>0</v>
      </c>
      <c r="K384" s="35">
        <v>0</v>
      </c>
      <c r="L384" s="35">
        <v>0</v>
      </c>
      <c r="M384">
        <v>8</v>
      </c>
      <c r="N384">
        <v>0</v>
      </c>
      <c r="O384">
        <v>8</v>
      </c>
      <c r="P384">
        <v>257</v>
      </c>
      <c r="Q384">
        <v>260</v>
      </c>
      <c r="R384">
        <v>350</v>
      </c>
      <c r="S384">
        <v>832</v>
      </c>
      <c r="T384">
        <v>0</v>
      </c>
      <c r="U384">
        <v>2</v>
      </c>
      <c r="V384">
        <v>1</v>
      </c>
      <c r="W384">
        <v>4</v>
      </c>
      <c r="X384" s="23">
        <v>0</v>
      </c>
      <c r="Y384" s="23">
        <v>0.00769230769230769</v>
      </c>
      <c r="Z384" s="23">
        <v>0.00285714285714286</v>
      </c>
      <c r="AA384" s="23">
        <v>0.00480769230769231</v>
      </c>
      <c r="AB384">
        <v>0</v>
      </c>
      <c r="AC384">
        <v>1.89</v>
      </c>
      <c r="AD384">
        <v>0.77</v>
      </c>
      <c r="AE384">
        <v>3.64</v>
      </c>
      <c r="AF384" s="23" t="s">
        <v>55</v>
      </c>
      <c r="AG384" s="23" t="s">
        <v>182</v>
      </c>
      <c r="AH384" s="23" t="s">
        <v>296</v>
      </c>
      <c r="AI384" s="23" t="s">
        <v>1083</v>
      </c>
      <c r="AJ384">
        <v>4</v>
      </c>
      <c r="AK384">
        <v>4</v>
      </c>
      <c r="AL384">
        <v>3</v>
      </c>
      <c r="AM384">
        <v>6</v>
      </c>
      <c r="AN384" s="23">
        <v>0</v>
      </c>
      <c r="AO384" s="23">
        <v>0</v>
      </c>
      <c r="AP384" s="23">
        <v>0</v>
      </c>
      <c r="AQ384" s="23">
        <v>0</v>
      </c>
      <c r="AR384" s="37">
        <v>0</v>
      </c>
      <c r="AS384" s="37">
        <v>0</v>
      </c>
      <c r="AT384" s="37">
        <v>8</v>
      </c>
      <c r="AU384" s="33" t="str">
        <f t="shared" si="9"/>
        <v>库存为8</v>
      </c>
      <c r="AV384" s="38" t="str">
        <f>IFERROR(时间!$B$4+AU384,"上周无销量")</f>
        <v>上周无销量</v>
      </c>
    </row>
    <row r="385" spans="1:48">
      <c r="A385" s="21" t="s">
        <v>1084</v>
      </c>
      <c r="B385" t="s">
        <v>1085</v>
      </c>
      <c r="C385" t="s">
        <v>1086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1</v>
      </c>
      <c r="J385" s="35">
        <v>0</v>
      </c>
      <c r="K385" s="35">
        <v>0</v>
      </c>
      <c r="L385" s="35">
        <v>0</v>
      </c>
      <c r="M385">
        <v>1</v>
      </c>
      <c r="N385">
        <v>0</v>
      </c>
      <c r="O385">
        <v>1</v>
      </c>
      <c r="P385">
        <v>0</v>
      </c>
      <c r="Q385">
        <v>0</v>
      </c>
      <c r="R385">
        <v>0</v>
      </c>
      <c r="S385">
        <v>45</v>
      </c>
      <c r="T385">
        <v>0</v>
      </c>
      <c r="U385">
        <v>0</v>
      </c>
      <c r="V385">
        <v>0</v>
      </c>
      <c r="W385">
        <v>0</v>
      </c>
      <c r="X385" s="23" t="s">
        <v>55</v>
      </c>
      <c r="Y385" s="23" t="s">
        <v>55</v>
      </c>
      <c r="Z385" s="23" t="s">
        <v>55</v>
      </c>
      <c r="AA385" s="23">
        <v>0</v>
      </c>
      <c r="AB385">
        <v>0</v>
      </c>
      <c r="AC385">
        <v>0</v>
      </c>
      <c r="AD385">
        <v>0</v>
      </c>
      <c r="AE385">
        <v>0</v>
      </c>
      <c r="AF385" s="23" t="s">
        <v>55</v>
      </c>
      <c r="AG385" s="23" t="s">
        <v>55</v>
      </c>
      <c r="AH385" s="23" t="s">
        <v>55</v>
      </c>
      <c r="AI385" s="23" t="s">
        <v>55</v>
      </c>
      <c r="AJ385">
        <v>1</v>
      </c>
      <c r="AK385">
        <v>1</v>
      </c>
      <c r="AL385">
        <v>1</v>
      </c>
      <c r="AM385">
        <v>2</v>
      </c>
      <c r="AN385" s="23">
        <v>0</v>
      </c>
      <c r="AO385" s="23">
        <v>0</v>
      </c>
      <c r="AP385" s="23">
        <v>0</v>
      </c>
      <c r="AQ385" s="23">
        <v>0</v>
      </c>
      <c r="AR385" s="37">
        <v>0</v>
      </c>
      <c r="AS385" s="37">
        <v>0</v>
      </c>
      <c r="AT385" s="37">
        <v>1</v>
      </c>
      <c r="AU385" s="33" t="str">
        <f t="shared" si="9"/>
        <v>库存为1</v>
      </c>
      <c r="AV385" s="38" t="str">
        <f>IFERROR(时间!$B$4+AU385,"上周无销量")</f>
        <v>上周无销量</v>
      </c>
    </row>
    <row r="386" spans="1:48">
      <c r="A386" s="21" t="s">
        <v>1087</v>
      </c>
      <c r="B386" t="s">
        <v>1088</v>
      </c>
      <c r="C386" t="s">
        <v>1089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5</v>
      </c>
      <c r="J386" s="35">
        <v>0</v>
      </c>
      <c r="K386" s="35">
        <v>0</v>
      </c>
      <c r="L386" s="35">
        <v>0</v>
      </c>
      <c r="M386">
        <v>5</v>
      </c>
      <c r="N386">
        <v>0</v>
      </c>
      <c r="O386">
        <v>5</v>
      </c>
      <c r="P386">
        <v>0</v>
      </c>
      <c r="Q386">
        <v>0</v>
      </c>
      <c r="R386">
        <v>0</v>
      </c>
      <c r="S386">
        <v>939</v>
      </c>
      <c r="T386">
        <v>0</v>
      </c>
      <c r="U386">
        <v>0</v>
      </c>
      <c r="V386">
        <v>0</v>
      </c>
      <c r="W386">
        <v>4</v>
      </c>
      <c r="X386" s="23" t="s">
        <v>55</v>
      </c>
      <c r="Y386" s="23" t="s">
        <v>55</v>
      </c>
      <c r="Z386" s="23" t="s">
        <v>55</v>
      </c>
      <c r="AA386" s="23">
        <v>0.00425985090521832</v>
      </c>
      <c r="AB386">
        <v>0</v>
      </c>
      <c r="AC386">
        <v>0</v>
      </c>
      <c r="AD386">
        <v>0</v>
      </c>
      <c r="AE386">
        <v>1.22</v>
      </c>
      <c r="AF386" s="23" t="s">
        <v>55</v>
      </c>
      <c r="AG386" s="23" t="s">
        <v>55</v>
      </c>
      <c r="AH386" s="23" t="s">
        <v>55</v>
      </c>
      <c r="AI386" s="23" t="s">
        <v>563</v>
      </c>
      <c r="AJ386">
        <v>1</v>
      </c>
      <c r="AK386">
        <v>2</v>
      </c>
      <c r="AL386">
        <v>1</v>
      </c>
      <c r="AM386">
        <v>3</v>
      </c>
      <c r="AN386" s="23">
        <v>0</v>
      </c>
      <c r="AO386" s="23">
        <v>0</v>
      </c>
      <c r="AP386" s="23">
        <v>0</v>
      </c>
      <c r="AQ386" s="23">
        <v>0</v>
      </c>
      <c r="AR386" s="37">
        <v>0</v>
      </c>
      <c r="AS386" s="37">
        <v>0</v>
      </c>
      <c r="AT386" s="37">
        <v>5</v>
      </c>
      <c r="AU386" s="33" t="str">
        <f t="shared" si="9"/>
        <v>库存为5</v>
      </c>
      <c r="AV386" s="38" t="str">
        <f>IFERROR(时间!$B$4+AU386,"上周无销量")</f>
        <v>上周无销量</v>
      </c>
    </row>
    <row r="387" spans="1:48">
      <c r="A387" s="21" t="s">
        <v>1090</v>
      </c>
      <c r="B387" t="s">
        <v>1091</v>
      </c>
      <c r="C387" t="s">
        <v>1089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5</v>
      </c>
      <c r="J387" s="35">
        <v>0</v>
      </c>
      <c r="K387" s="35">
        <v>0</v>
      </c>
      <c r="L387" s="35">
        <v>0</v>
      </c>
      <c r="M387">
        <v>5</v>
      </c>
      <c r="N387">
        <v>0</v>
      </c>
      <c r="O387">
        <v>5</v>
      </c>
      <c r="P387">
        <v>0</v>
      </c>
      <c r="Q387">
        <v>0</v>
      </c>
      <c r="R387">
        <v>0</v>
      </c>
      <c r="S387">
        <v>482</v>
      </c>
      <c r="T387">
        <v>0</v>
      </c>
      <c r="U387">
        <v>0</v>
      </c>
      <c r="V387">
        <v>0</v>
      </c>
      <c r="W387">
        <v>2</v>
      </c>
      <c r="X387" s="23" t="s">
        <v>55</v>
      </c>
      <c r="Y387" s="23" t="s">
        <v>55</v>
      </c>
      <c r="Z387" s="23" t="s">
        <v>55</v>
      </c>
      <c r="AA387" s="23">
        <v>0.004149377593361</v>
      </c>
      <c r="AB387">
        <v>0</v>
      </c>
      <c r="AC387">
        <v>0</v>
      </c>
      <c r="AD387">
        <v>0</v>
      </c>
      <c r="AE387">
        <v>0.39</v>
      </c>
      <c r="AF387" s="23" t="s">
        <v>55</v>
      </c>
      <c r="AG387" s="23" t="s">
        <v>55</v>
      </c>
      <c r="AH387" s="23" t="s">
        <v>55</v>
      </c>
      <c r="AI387" s="23" t="s">
        <v>205</v>
      </c>
      <c r="AJ387">
        <v>0</v>
      </c>
      <c r="AK387">
        <v>2</v>
      </c>
      <c r="AL387">
        <v>0</v>
      </c>
      <c r="AM387">
        <v>0</v>
      </c>
      <c r="AN387" s="23" t="s">
        <v>55</v>
      </c>
      <c r="AO387" s="23">
        <v>0</v>
      </c>
      <c r="AP387" s="23" t="s">
        <v>55</v>
      </c>
      <c r="AQ387" s="23" t="s">
        <v>55</v>
      </c>
      <c r="AR387" s="37">
        <v>0</v>
      </c>
      <c r="AS387" s="37">
        <v>0</v>
      </c>
      <c r="AT387" s="37">
        <v>5</v>
      </c>
      <c r="AU387" s="33" t="str">
        <f t="shared" si="9"/>
        <v>库存为5</v>
      </c>
      <c r="AV387" s="38" t="str">
        <f>IFERROR(时间!$B$4+AU387,"上周无销量")</f>
        <v>上周无销量</v>
      </c>
    </row>
    <row r="388" spans="1:48">
      <c r="A388" s="21" t="s">
        <v>1092</v>
      </c>
      <c r="B388" t="s">
        <v>1093</v>
      </c>
      <c r="C388" t="s">
        <v>1089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10</v>
      </c>
      <c r="J388" s="35">
        <v>0</v>
      </c>
      <c r="K388" s="35">
        <v>0</v>
      </c>
      <c r="L388" s="35">
        <v>0</v>
      </c>
      <c r="M388">
        <v>10</v>
      </c>
      <c r="N388">
        <v>0</v>
      </c>
      <c r="O388">
        <v>9</v>
      </c>
      <c r="P388">
        <v>0</v>
      </c>
      <c r="Q388">
        <v>0</v>
      </c>
      <c r="R388">
        <v>0</v>
      </c>
      <c r="S388">
        <v>779</v>
      </c>
      <c r="T388">
        <v>0</v>
      </c>
      <c r="U388">
        <v>0</v>
      </c>
      <c r="V388">
        <v>0</v>
      </c>
      <c r="W388">
        <v>2</v>
      </c>
      <c r="X388" s="23" t="s">
        <v>55</v>
      </c>
      <c r="Y388" s="23" t="s">
        <v>55</v>
      </c>
      <c r="Z388" s="23" t="s">
        <v>55</v>
      </c>
      <c r="AA388" s="23">
        <v>0.00256739409499358</v>
      </c>
      <c r="AB388">
        <v>0</v>
      </c>
      <c r="AC388">
        <v>0</v>
      </c>
      <c r="AD388">
        <v>0</v>
      </c>
      <c r="AE388">
        <v>0.61</v>
      </c>
      <c r="AF388" s="23" t="s">
        <v>55</v>
      </c>
      <c r="AG388" s="23" t="s">
        <v>55</v>
      </c>
      <c r="AH388" s="23" t="s">
        <v>55</v>
      </c>
      <c r="AI388" s="23" t="s">
        <v>537</v>
      </c>
      <c r="AJ388">
        <v>1</v>
      </c>
      <c r="AK388">
        <v>0</v>
      </c>
      <c r="AL388">
        <v>1</v>
      </c>
      <c r="AM388">
        <v>3</v>
      </c>
      <c r="AN388" s="23">
        <v>0</v>
      </c>
      <c r="AO388" s="23" t="s">
        <v>55</v>
      </c>
      <c r="AP388" s="23">
        <v>0</v>
      </c>
      <c r="AQ388" s="23">
        <v>0</v>
      </c>
      <c r="AR388" s="37">
        <v>0</v>
      </c>
      <c r="AS388" s="37">
        <v>0</v>
      </c>
      <c r="AT388" s="37">
        <v>10</v>
      </c>
      <c r="AU388" s="33" t="str">
        <f t="shared" si="9"/>
        <v>库存为10</v>
      </c>
      <c r="AV388" s="38" t="str">
        <f>IFERROR(时间!$B$4+AU388,"上周无销量")</f>
        <v>上周无销量</v>
      </c>
    </row>
    <row r="389" spans="1:48">
      <c r="A389" s="21" t="s">
        <v>1094</v>
      </c>
      <c r="B389" t="s">
        <v>1095</v>
      </c>
      <c r="C389" t="s">
        <v>1096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2</v>
      </c>
      <c r="J389" s="35">
        <v>0</v>
      </c>
      <c r="K389" s="35">
        <v>0</v>
      </c>
      <c r="L389" s="35">
        <v>0</v>
      </c>
      <c r="M389">
        <v>2</v>
      </c>
      <c r="N389">
        <v>0</v>
      </c>
      <c r="O389">
        <v>2</v>
      </c>
      <c r="P389">
        <v>0</v>
      </c>
      <c r="Q389">
        <v>0</v>
      </c>
      <c r="R389">
        <v>0</v>
      </c>
      <c r="S389">
        <v>245</v>
      </c>
      <c r="T389">
        <v>0</v>
      </c>
      <c r="U389">
        <v>0</v>
      </c>
      <c r="V389">
        <v>0</v>
      </c>
      <c r="W389">
        <v>3</v>
      </c>
      <c r="X389" s="23" t="s">
        <v>55</v>
      </c>
      <c r="Y389" s="23" t="s">
        <v>55</v>
      </c>
      <c r="Z389" s="23" t="s">
        <v>55</v>
      </c>
      <c r="AA389" s="23">
        <v>0.0122448979591837</v>
      </c>
      <c r="AB389">
        <v>0</v>
      </c>
      <c r="AC389">
        <v>0</v>
      </c>
      <c r="AD389">
        <v>0</v>
      </c>
      <c r="AE389">
        <v>1.11</v>
      </c>
      <c r="AF389" s="23" t="s">
        <v>55</v>
      </c>
      <c r="AG389" s="23" t="s">
        <v>55</v>
      </c>
      <c r="AH389" s="23" t="s">
        <v>55</v>
      </c>
      <c r="AI389" s="23" t="s">
        <v>677</v>
      </c>
      <c r="AJ389">
        <v>0</v>
      </c>
      <c r="AK389">
        <v>2</v>
      </c>
      <c r="AL389">
        <v>0</v>
      </c>
      <c r="AM389">
        <v>2</v>
      </c>
      <c r="AN389" s="23" t="s">
        <v>55</v>
      </c>
      <c r="AO389" s="23">
        <v>0</v>
      </c>
      <c r="AP389" s="23" t="s">
        <v>55</v>
      </c>
      <c r="AQ389" s="23">
        <v>0</v>
      </c>
      <c r="AR389" s="37">
        <v>0</v>
      </c>
      <c r="AS389" s="37">
        <v>0</v>
      </c>
      <c r="AT389" s="37">
        <v>2</v>
      </c>
      <c r="AU389" s="33" t="str">
        <f t="shared" ref="AU389:AU402" si="10">IF(AR389="","库存为"&amp;M389,IF(AS389=0,"库存为"&amp;M389,INT(M389/AR389)))</f>
        <v>库存为2</v>
      </c>
      <c r="AV389" s="38" t="str">
        <f>IFERROR(时间!$B$4+AU389,"上周无销量")</f>
        <v>上周无销量</v>
      </c>
    </row>
    <row r="390" spans="1:48">
      <c r="A390" s="21" t="s">
        <v>1097</v>
      </c>
      <c r="B390" t="s">
        <v>1098</v>
      </c>
      <c r="C390" t="s">
        <v>1099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38</v>
      </c>
      <c r="J390" s="35">
        <v>0</v>
      </c>
      <c r="K390" s="35">
        <v>0</v>
      </c>
      <c r="L390" s="35">
        <v>0</v>
      </c>
      <c r="M390">
        <v>38</v>
      </c>
      <c r="N390">
        <v>0</v>
      </c>
      <c r="O390">
        <v>38</v>
      </c>
      <c r="P390">
        <v>12</v>
      </c>
      <c r="Q390">
        <v>19</v>
      </c>
      <c r="R390">
        <v>9</v>
      </c>
      <c r="S390">
        <v>5</v>
      </c>
      <c r="T390">
        <v>0</v>
      </c>
      <c r="U390">
        <v>0</v>
      </c>
      <c r="V390">
        <v>0</v>
      </c>
      <c r="W390">
        <v>0</v>
      </c>
      <c r="X390" s="23">
        <v>0</v>
      </c>
      <c r="Y390" s="23">
        <v>0</v>
      </c>
      <c r="Z390" s="23">
        <v>0</v>
      </c>
      <c r="AA390" s="23">
        <v>0</v>
      </c>
      <c r="AB390">
        <v>0</v>
      </c>
      <c r="AC390">
        <v>0</v>
      </c>
      <c r="AD390">
        <v>0</v>
      </c>
      <c r="AE390">
        <v>0</v>
      </c>
      <c r="AF390" s="23" t="s">
        <v>55</v>
      </c>
      <c r="AG390" s="23" t="s">
        <v>55</v>
      </c>
      <c r="AH390" s="23" t="s">
        <v>55</v>
      </c>
      <c r="AI390" s="23" t="s">
        <v>55</v>
      </c>
      <c r="AJ390">
        <v>1</v>
      </c>
      <c r="AK390">
        <v>1</v>
      </c>
      <c r="AL390">
        <v>1</v>
      </c>
      <c r="AM390">
        <v>1</v>
      </c>
      <c r="AN390" s="23">
        <v>0</v>
      </c>
      <c r="AO390" s="23">
        <v>0</v>
      </c>
      <c r="AP390" s="23">
        <v>0</v>
      </c>
      <c r="AQ390" s="23">
        <v>0</v>
      </c>
      <c r="AR390" s="37">
        <v>0</v>
      </c>
      <c r="AS390" s="37">
        <v>0</v>
      </c>
      <c r="AT390" s="37">
        <v>38</v>
      </c>
      <c r="AU390" s="33" t="str">
        <f t="shared" si="10"/>
        <v>库存为38</v>
      </c>
      <c r="AV390" s="38" t="str">
        <f>IFERROR(时间!$B$4+AU390,"上周无销量")</f>
        <v>上周无销量</v>
      </c>
    </row>
    <row r="391" spans="1:48">
      <c r="A391" s="21" t="s">
        <v>1100</v>
      </c>
      <c r="B391" t="s">
        <v>1101</v>
      </c>
      <c r="C391" t="s">
        <v>1099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44</v>
      </c>
      <c r="J391" s="35">
        <v>0</v>
      </c>
      <c r="K391" s="35">
        <v>0</v>
      </c>
      <c r="L391" s="35">
        <v>0</v>
      </c>
      <c r="M391">
        <v>44</v>
      </c>
      <c r="N391">
        <v>0</v>
      </c>
      <c r="O391">
        <v>44</v>
      </c>
      <c r="P391">
        <v>29</v>
      </c>
      <c r="Q391">
        <v>57</v>
      </c>
      <c r="R391">
        <v>48</v>
      </c>
      <c r="S391">
        <v>32</v>
      </c>
      <c r="T391">
        <v>0</v>
      </c>
      <c r="U391">
        <v>0</v>
      </c>
      <c r="V391">
        <v>0</v>
      </c>
      <c r="W391">
        <v>0</v>
      </c>
      <c r="X391" s="23">
        <v>0</v>
      </c>
      <c r="Y391" s="23">
        <v>0</v>
      </c>
      <c r="Z391" s="23">
        <v>0</v>
      </c>
      <c r="AA391" s="23">
        <v>0</v>
      </c>
      <c r="AB391">
        <v>0</v>
      </c>
      <c r="AC391">
        <v>0</v>
      </c>
      <c r="AD391">
        <v>0</v>
      </c>
      <c r="AE391">
        <v>0</v>
      </c>
      <c r="AF391" s="23" t="s">
        <v>55</v>
      </c>
      <c r="AG391" s="23" t="s">
        <v>55</v>
      </c>
      <c r="AH391" s="23" t="s">
        <v>55</v>
      </c>
      <c r="AI391" s="23" t="s">
        <v>55</v>
      </c>
      <c r="AJ391">
        <v>3</v>
      </c>
      <c r="AK391">
        <v>1</v>
      </c>
      <c r="AL391">
        <v>1</v>
      </c>
      <c r="AM391">
        <v>2</v>
      </c>
      <c r="AN391" s="23">
        <v>0</v>
      </c>
      <c r="AO391" s="23">
        <v>0</v>
      </c>
      <c r="AP391" s="23">
        <v>0</v>
      </c>
      <c r="AQ391" s="23">
        <v>0</v>
      </c>
      <c r="AR391" s="37">
        <v>0</v>
      </c>
      <c r="AS391" s="37">
        <v>0</v>
      </c>
      <c r="AT391" s="37">
        <v>44</v>
      </c>
      <c r="AU391" s="33" t="str">
        <f t="shared" si="10"/>
        <v>库存为44</v>
      </c>
      <c r="AV391" s="38" t="str">
        <f>IFERROR(时间!$B$4+AU391,"上周无销量")</f>
        <v>上周无销量</v>
      </c>
    </row>
    <row r="392" spans="1:48">
      <c r="A392" s="21" t="s">
        <v>1102</v>
      </c>
      <c r="B392" t="s">
        <v>1103</v>
      </c>
      <c r="C392" t="s">
        <v>1099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116</v>
      </c>
      <c r="J392" s="35">
        <v>0</v>
      </c>
      <c r="K392" s="35">
        <v>0</v>
      </c>
      <c r="L392" s="35">
        <v>0</v>
      </c>
      <c r="M392">
        <v>116</v>
      </c>
      <c r="N392">
        <v>0</v>
      </c>
      <c r="O392">
        <v>116</v>
      </c>
      <c r="P392">
        <v>14</v>
      </c>
      <c r="Q392">
        <v>3</v>
      </c>
      <c r="R392">
        <v>5</v>
      </c>
      <c r="S392">
        <v>0</v>
      </c>
      <c r="T392">
        <v>0</v>
      </c>
      <c r="U392">
        <v>0</v>
      </c>
      <c r="V392">
        <v>0</v>
      </c>
      <c r="W392">
        <v>0</v>
      </c>
      <c r="X392" s="23">
        <v>0</v>
      </c>
      <c r="Y392" s="23">
        <v>0</v>
      </c>
      <c r="Z392" s="23">
        <v>0</v>
      </c>
      <c r="AA392" s="23" t="s">
        <v>55</v>
      </c>
      <c r="AB392">
        <v>0</v>
      </c>
      <c r="AC392">
        <v>0</v>
      </c>
      <c r="AD392">
        <v>0</v>
      </c>
      <c r="AE392">
        <v>0</v>
      </c>
      <c r="AF392" s="23" t="s">
        <v>55</v>
      </c>
      <c r="AG392" s="23" t="s">
        <v>55</v>
      </c>
      <c r="AH392" s="23" t="s">
        <v>55</v>
      </c>
      <c r="AI392" s="23" t="s">
        <v>55</v>
      </c>
      <c r="AJ392">
        <v>3</v>
      </c>
      <c r="AK392">
        <v>3</v>
      </c>
      <c r="AL392">
        <v>2</v>
      </c>
      <c r="AM392">
        <v>4</v>
      </c>
      <c r="AN392" s="23">
        <v>0</v>
      </c>
      <c r="AO392" s="23">
        <v>0</v>
      </c>
      <c r="AP392" s="23">
        <v>0</v>
      </c>
      <c r="AQ392" s="23">
        <v>0</v>
      </c>
      <c r="AR392" s="37">
        <v>0</v>
      </c>
      <c r="AS392" s="37">
        <v>0</v>
      </c>
      <c r="AT392" s="37">
        <v>116</v>
      </c>
      <c r="AU392" s="33" t="str">
        <f t="shared" si="10"/>
        <v>库存为116</v>
      </c>
      <c r="AV392" s="38" t="str">
        <f>IFERROR(时间!$B$4+AU392,"上周无销量")</f>
        <v>上周无销量</v>
      </c>
    </row>
    <row r="393" spans="1:48">
      <c r="A393" s="21" t="s">
        <v>1104</v>
      </c>
      <c r="B393" t="s">
        <v>1105</v>
      </c>
      <c r="C393" t="s">
        <v>1099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10</v>
      </c>
      <c r="J393" s="35">
        <v>0</v>
      </c>
      <c r="K393" s="35">
        <v>0</v>
      </c>
      <c r="L393" s="35">
        <v>0</v>
      </c>
      <c r="M393">
        <v>10</v>
      </c>
      <c r="N393">
        <v>0</v>
      </c>
      <c r="O393">
        <v>10</v>
      </c>
      <c r="P393">
        <v>37</v>
      </c>
      <c r="Q393">
        <v>13</v>
      </c>
      <c r="R393">
        <v>9</v>
      </c>
      <c r="S393">
        <v>11</v>
      </c>
      <c r="T393">
        <v>0</v>
      </c>
      <c r="U393">
        <v>0</v>
      </c>
      <c r="V393">
        <v>0</v>
      </c>
      <c r="W393">
        <v>0</v>
      </c>
      <c r="X393" s="23">
        <v>0</v>
      </c>
      <c r="Y393" s="23">
        <v>0</v>
      </c>
      <c r="Z393" s="23">
        <v>0</v>
      </c>
      <c r="AA393" s="23">
        <v>0</v>
      </c>
      <c r="AB393">
        <v>0</v>
      </c>
      <c r="AC393">
        <v>0</v>
      </c>
      <c r="AD393">
        <v>0</v>
      </c>
      <c r="AE393">
        <v>0</v>
      </c>
      <c r="AF393" s="23" t="s">
        <v>55</v>
      </c>
      <c r="AG393" s="23" t="s">
        <v>55</v>
      </c>
      <c r="AH393" s="23" t="s">
        <v>55</v>
      </c>
      <c r="AI393" s="23" t="s">
        <v>55</v>
      </c>
      <c r="AJ393">
        <v>3</v>
      </c>
      <c r="AK393">
        <v>3</v>
      </c>
      <c r="AL393">
        <v>1</v>
      </c>
      <c r="AM393">
        <v>1</v>
      </c>
      <c r="AN393" s="23">
        <v>0</v>
      </c>
      <c r="AO393" s="23">
        <v>0</v>
      </c>
      <c r="AP393" s="23">
        <v>0</v>
      </c>
      <c r="AQ393" s="23">
        <v>0</v>
      </c>
      <c r="AR393" s="37">
        <v>0</v>
      </c>
      <c r="AS393" s="37">
        <v>0</v>
      </c>
      <c r="AT393" s="37">
        <v>10</v>
      </c>
      <c r="AU393" s="33" t="str">
        <f t="shared" si="10"/>
        <v>库存为10</v>
      </c>
      <c r="AV393" s="38" t="str">
        <f>IFERROR(时间!$B$4+AU393,"上周无销量")</f>
        <v>上周无销量</v>
      </c>
    </row>
    <row r="394" spans="1:48">
      <c r="A394" s="21" t="s">
        <v>1106</v>
      </c>
      <c r="B394" t="s">
        <v>1107</v>
      </c>
      <c r="C394" t="s">
        <v>1099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4</v>
      </c>
      <c r="J394" s="35">
        <v>0</v>
      </c>
      <c r="K394" s="35">
        <v>0</v>
      </c>
      <c r="L394" s="35">
        <v>0</v>
      </c>
      <c r="M394">
        <v>4</v>
      </c>
      <c r="N394">
        <v>0</v>
      </c>
      <c r="O394">
        <v>4</v>
      </c>
      <c r="P394">
        <v>7</v>
      </c>
      <c r="Q394">
        <v>20</v>
      </c>
      <c r="R394">
        <v>9</v>
      </c>
      <c r="S394">
        <v>25</v>
      </c>
      <c r="T394">
        <v>0</v>
      </c>
      <c r="U394">
        <v>1</v>
      </c>
      <c r="V394">
        <v>0</v>
      </c>
      <c r="W394">
        <v>0</v>
      </c>
      <c r="X394" s="23">
        <v>0</v>
      </c>
      <c r="Y394" s="23">
        <v>0.05</v>
      </c>
      <c r="Z394" s="23">
        <v>0</v>
      </c>
      <c r="AA394" s="23">
        <v>0</v>
      </c>
      <c r="AB394">
        <v>0</v>
      </c>
      <c r="AC394">
        <v>0.16</v>
      </c>
      <c r="AD394">
        <v>0</v>
      </c>
      <c r="AE394">
        <v>0</v>
      </c>
      <c r="AF394" s="23" t="s">
        <v>55</v>
      </c>
      <c r="AG394" s="23" t="s">
        <v>1108</v>
      </c>
      <c r="AH394" s="23" t="s">
        <v>55</v>
      </c>
      <c r="AI394" s="23" t="s">
        <v>55</v>
      </c>
      <c r="AJ394">
        <v>2</v>
      </c>
      <c r="AK394">
        <v>2</v>
      </c>
      <c r="AL394">
        <v>0</v>
      </c>
      <c r="AM394">
        <v>0</v>
      </c>
      <c r="AN394" s="23">
        <v>0</v>
      </c>
      <c r="AO394" s="23">
        <v>0</v>
      </c>
      <c r="AP394" s="23" t="s">
        <v>55</v>
      </c>
      <c r="AQ394" s="23" t="s">
        <v>55</v>
      </c>
      <c r="AR394" s="37">
        <v>0</v>
      </c>
      <c r="AS394" s="37">
        <v>0</v>
      </c>
      <c r="AT394" s="37">
        <v>4</v>
      </c>
      <c r="AU394" s="33" t="str">
        <f t="shared" si="10"/>
        <v>库存为4</v>
      </c>
      <c r="AV394" s="38" t="str">
        <f>IFERROR(时间!$B$4+AU394,"上周无销量")</f>
        <v>上周无销量</v>
      </c>
    </row>
    <row r="395" spans="1:48">
      <c r="A395" s="21" t="s">
        <v>1109</v>
      </c>
      <c r="B395" t="s">
        <v>1110</v>
      </c>
      <c r="C395" t="s">
        <v>1099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10</v>
      </c>
      <c r="J395" s="35">
        <v>0</v>
      </c>
      <c r="K395" s="35">
        <v>0</v>
      </c>
      <c r="L395" s="35">
        <v>0</v>
      </c>
      <c r="M395">
        <v>10</v>
      </c>
      <c r="N395">
        <v>0</v>
      </c>
      <c r="O395">
        <v>10</v>
      </c>
      <c r="P395">
        <v>10</v>
      </c>
      <c r="Q395">
        <v>15</v>
      </c>
      <c r="R395">
        <v>13</v>
      </c>
      <c r="S395">
        <v>17</v>
      </c>
      <c r="T395">
        <v>0</v>
      </c>
      <c r="U395">
        <v>0</v>
      </c>
      <c r="V395">
        <v>0</v>
      </c>
      <c r="W395">
        <v>0</v>
      </c>
      <c r="X395" s="23">
        <v>0</v>
      </c>
      <c r="Y395" s="23">
        <v>0</v>
      </c>
      <c r="Z395" s="23">
        <v>0</v>
      </c>
      <c r="AA395" s="23">
        <v>0</v>
      </c>
      <c r="AB395">
        <v>0</v>
      </c>
      <c r="AC395">
        <v>0</v>
      </c>
      <c r="AD395">
        <v>0</v>
      </c>
      <c r="AE395">
        <v>0</v>
      </c>
      <c r="AF395" s="23" t="s">
        <v>55</v>
      </c>
      <c r="AG395" s="23" t="s">
        <v>55</v>
      </c>
      <c r="AH395" s="23" t="s">
        <v>55</v>
      </c>
      <c r="AI395" s="23" t="s">
        <v>55</v>
      </c>
      <c r="AJ395">
        <v>1</v>
      </c>
      <c r="AK395">
        <v>0</v>
      </c>
      <c r="AL395">
        <v>1</v>
      </c>
      <c r="AM395">
        <v>1</v>
      </c>
      <c r="AN395" s="23">
        <v>0</v>
      </c>
      <c r="AO395" s="23" t="s">
        <v>55</v>
      </c>
      <c r="AP395" s="23">
        <v>0</v>
      </c>
      <c r="AQ395" s="23">
        <v>0</v>
      </c>
      <c r="AR395" s="37">
        <v>0</v>
      </c>
      <c r="AS395" s="37">
        <v>0</v>
      </c>
      <c r="AT395" s="37">
        <v>10</v>
      </c>
      <c r="AU395" s="33" t="str">
        <f t="shared" si="10"/>
        <v>库存为10</v>
      </c>
      <c r="AV395" s="38" t="str">
        <f>IFERROR(时间!$B$4+AU395,"上周无销量")</f>
        <v>上周无销量</v>
      </c>
    </row>
    <row r="396" spans="1:48">
      <c r="A396" s="21" t="s">
        <v>1111</v>
      </c>
      <c r="B396" t="s">
        <v>1112</v>
      </c>
      <c r="C396" t="s">
        <v>1099</v>
      </c>
      <c r="D396" s="33">
        <v>1</v>
      </c>
      <c r="E396" s="33">
        <v>0</v>
      </c>
      <c r="F396" s="33">
        <v>0</v>
      </c>
      <c r="G396" s="33">
        <v>0</v>
      </c>
      <c r="H396" s="34">
        <v>8.79</v>
      </c>
      <c r="I396">
        <v>33</v>
      </c>
      <c r="J396" s="35">
        <v>0</v>
      </c>
      <c r="K396" s="35">
        <v>0</v>
      </c>
      <c r="L396" s="35">
        <v>0</v>
      </c>
      <c r="M396">
        <v>33</v>
      </c>
      <c r="N396">
        <v>0</v>
      </c>
      <c r="O396">
        <v>33</v>
      </c>
      <c r="P396">
        <v>1</v>
      </c>
      <c r="Q396">
        <v>5</v>
      </c>
      <c r="R396">
        <v>6</v>
      </c>
      <c r="S396">
        <v>0</v>
      </c>
      <c r="T396">
        <v>0</v>
      </c>
      <c r="U396">
        <v>0</v>
      </c>
      <c r="V396">
        <v>0</v>
      </c>
      <c r="W396">
        <v>0</v>
      </c>
      <c r="X396" s="23">
        <v>0</v>
      </c>
      <c r="Y396" s="23">
        <v>0</v>
      </c>
      <c r="Z396" s="23">
        <v>0</v>
      </c>
      <c r="AA396" s="23" t="s">
        <v>55</v>
      </c>
      <c r="AB396">
        <v>0</v>
      </c>
      <c r="AC396">
        <v>0</v>
      </c>
      <c r="AD396">
        <v>0</v>
      </c>
      <c r="AE396">
        <v>0</v>
      </c>
      <c r="AF396" s="23" t="s">
        <v>55</v>
      </c>
      <c r="AG396" s="23" t="s">
        <v>55</v>
      </c>
      <c r="AH396" s="23" t="s">
        <v>55</v>
      </c>
      <c r="AI396" s="23" t="s">
        <v>55</v>
      </c>
      <c r="AJ396">
        <v>1</v>
      </c>
      <c r="AK396">
        <v>2</v>
      </c>
      <c r="AL396">
        <v>3</v>
      </c>
      <c r="AM396">
        <v>0</v>
      </c>
      <c r="AN396" s="23">
        <v>1</v>
      </c>
      <c r="AO396" s="23">
        <v>0</v>
      </c>
      <c r="AP396" s="23">
        <v>0</v>
      </c>
      <c r="AQ396" s="23" t="s">
        <v>55</v>
      </c>
      <c r="AR396" s="37">
        <v>0.142857142857143</v>
      </c>
      <c r="AS396" s="37">
        <v>8.57142857142857</v>
      </c>
      <c r="AT396" s="37">
        <v>24.4285714285714</v>
      </c>
      <c r="AU396" s="33">
        <f t="shared" si="10"/>
        <v>231</v>
      </c>
      <c r="AV396" s="38">
        <f>IFERROR(时间!$B$4+AU396,"上周无销量")</f>
        <v>43514</v>
      </c>
    </row>
    <row r="397" spans="1:48">
      <c r="A397" s="21" t="s">
        <v>1113</v>
      </c>
      <c r="B397" t="s">
        <v>1114</v>
      </c>
      <c r="C397" t="s">
        <v>1099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9</v>
      </c>
      <c r="J397" s="35">
        <v>0</v>
      </c>
      <c r="K397" s="35">
        <v>0</v>
      </c>
      <c r="L397" s="35">
        <v>0</v>
      </c>
      <c r="M397">
        <v>9</v>
      </c>
      <c r="N397">
        <v>0</v>
      </c>
      <c r="O397">
        <v>8</v>
      </c>
      <c r="P397">
        <v>8</v>
      </c>
      <c r="Q397">
        <v>4</v>
      </c>
      <c r="R397">
        <v>4</v>
      </c>
      <c r="S397">
        <v>3</v>
      </c>
      <c r="T397">
        <v>0</v>
      </c>
      <c r="U397">
        <v>0</v>
      </c>
      <c r="V397">
        <v>0</v>
      </c>
      <c r="W397">
        <v>0</v>
      </c>
      <c r="X397" s="23">
        <v>0</v>
      </c>
      <c r="Y397" s="23">
        <v>0</v>
      </c>
      <c r="Z397" s="23">
        <v>0</v>
      </c>
      <c r="AA397" s="23">
        <v>0</v>
      </c>
      <c r="AB397">
        <v>0</v>
      </c>
      <c r="AC397">
        <v>0</v>
      </c>
      <c r="AD397">
        <v>0</v>
      </c>
      <c r="AE397">
        <v>0</v>
      </c>
      <c r="AF397" s="23" t="s">
        <v>55</v>
      </c>
      <c r="AG397" s="23" t="s">
        <v>55</v>
      </c>
      <c r="AH397" s="23" t="s">
        <v>55</v>
      </c>
      <c r="AI397" s="23" t="s">
        <v>55</v>
      </c>
      <c r="AJ397">
        <v>1</v>
      </c>
      <c r="AK397">
        <v>3</v>
      </c>
      <c r="AL397">
        <v>0</v>
      </c>
      <c r="AM397">
        <v>2</v>
      </c>
      <c r="AN397" s="23">
        <v>0</v>
      </c>
      <c r="AO397" s="23">
        <v>0</v>
      </c>
      <c r="AP397" s="23" t="s">
        <v>55</v>
      </c>
      <c r="AQ397" s="23">
        <v>0</v>
      </c>
      <c r="AR397" s="37">
        <v>0</v>
      </c>
      <c r="AS397" s="37">
        <v>0</v>
      </c>
      <c r="AT397" s="37">
        <v>9</v>
      </c>
      <c r="AU397" s="33" t="str">
        <f t="shared" si="10"/>
        <v>库存为9</v>
      </c>
      <c r="AV397" s="38" t="str">
        <f>IFERROR(时间!$B$4+AU397,"上周无销量")</f>
        <v>上周无销量</v>
      </c>
    </row>
    <row r="398" spans="1:48">
      <c r="A398" s="21" t="s">
        <v>1115</v>
      </c>
      <c r="B398" t="s">
        <v>1116</v>
      </c>
      <c r="C398" t="s">
        <v>1117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37</v>
      </c>
      <c r="J398" s="35">
        <v>0</v>
      </c>
      <c r="K398" s="35">
        <v>0</v>
      </c>
      <c r="L398" s="35">
        <v>0</v>
      </c>
      <c r="M398">
        <v>37</v>
      </c>
      <c r="N398">
        <v>0</v>
      </c>
      <c r="O398">
        <v>36</v>
      </c>
      <c r="P398" t="s">
        <v>55</v>
      </c>
      <c r="Q398" t="s">
        <v>55</v>
      </c>
      <c r="R398" t="s">
        <v>55</v>
      </c>
      <c r="S398" t="s">
        <v>55</v>
      </c>
      <c r="T398" t="s">
        <v>55</v>
      </c>
      <c r="U398" t="s">
        <v>55</v>
      </c>
      <c r="V398" t="s">
        <v>55</v>
      </c>
      <c r="W398" t="s">
        <v>55</v>
      </c>
      <c r="X398" s="23" t="s">
        <v>55</v>
      </c>
      <c r="Y398" s="23" t="s">
        <v>55</v>
      </c>
      <c r="Z398" s="23" t="s">
        <v>55</v>
      </c>
      <c r="AA398" s="23" t="s">
        <v>55</v>
      </c>
      <c r="AB398" t="s">
        <v>55</v>
      </c>
      <c r="AC398" t="s">
        <v>55</v>
      </c>
      <c r="AD398" t="s">
        <v>55</v>
      </c>
      <c r="AE398" t="s">
        <v>55</v>
      </c>
      <c r="AF398" s="23" t="s">
        <v>55</v>
      </c>
      <c r="AG398" s="23" t="s">
        <v>55</v>
      </c>
      <c r="AH398" s="23" t="s">
        <v>55</v>
      </c>
      <c r="AI398" s="23" t="s">
        <v>55</v>
      </c>
      <c r="AJ398">
        <v>1</v>
      </c>
      <c r="AK398">
        <v>3</v>
      </c>
      <c r="AL398">
        <v>1</v>
      </c>
      <c r="AM398">
        <v>2</v>
      </c>
      <c r="AN398" s="23">
        <v>0</v>
      </c>
      <c r="AO398" s="23">
        <v>0</v>
      </c>
      <c r="AP398" s="23">
        <v>0</v>
      </c>
      <c r="AQ398" s="23">
        <v>0</v>
      </c>
      <c r="AR398" s="37">
        <v>0</v>
      </c>
      <c r="AS398" s="37">
        <v>0</v>
      </c>
      <c r="AT398" s="37">
        <v>37</v>
      </c>
      <c r="AU398" s="33" t="str">
        <f t="shared" si="10"/>
        <v>库存为37</v>
      </c>
      <c r="AV398" s="38" t="str">
        <f>IFERROR(时间!$B$4+AU398,"上周无销量")</f>
        <v>上周无销量</v>
      </c>
    </row>
    <row r="399" spans="1:48">
      <c r="A399" s="21" t="s">
        <v>1118</v>
      </c>
      <c r="B399" t="s">
        <v>1119</v>
      </c>
      <c r="C399" t="s">
        <v>1117</v>
      </c>
      <c r="D399" s="33">
        <v>0</v>
      </c>
      <c r="E399" s="33">
        <v>0</v>
      </c>
      <c r="F399" s="33">
        <v>1</v>
      </c>
      <c r="G399" s="33">
        <v>0</v>
      </c>
      <c r="H399" s="34">
        <v>8.79</v>
      </c>
      <c r="I399">
        <v>40</v>
      </c>
      <c r="J399" s="35">
        <v>0</v>
      </c>
      <c r="K399" s="35">
        <v>0</v>
      </c>
      <c r="L399" s="35">
        <v>0</v>
      </c>
      <c r="M399">
        <v>40</v>
      </c>
      <c r="N399">
        <v>0</v>
      </c>
      <c r="O399">
        <v>40</v>
      </c>
      <c r="P399" t="s">
        <v>55</v>
      </c>
      <c r="Q399" t="s">
        <v>55</v>
      </c>
      <c r="R399" t="s">
        <v>55</v>
      </c>
      <c r="S399" t="s">
        <v>55</v>
      </c>
      <c r="T399" t="s">
        <v>55</v>
      </c>
      <c r="U399" t="s">
        <v>55</v>
      </c>
      <c r="V399" t="s">
        <v>55</v>
      </c>
      <c r="W399" t="s">
        <v>55</v>
      </c>
      <c r="X399" s="23" t="s">
        <v>55</v>
      </c>
      <c r="Y399" s="23" t="s">
        <v>55</v>
      </c>
      <c r="Z399" s="23" t="s">
        <v>55</v>
      </c>
      <c r="AA399" s="23" t="s">
        <v>55</v>
      </c>
      <c r="AB399" t="s">
        <v>55</v>
      </c>
      <c r="AC399" t="s">
        <v>55</v>
      </c>
      <c r="AD399" t="s">
        <v>55</v>
      </c>
      <c r="AE399" t="s">
        <v>55</v>
      </c>
      <c r="AF399" s="23" t="s">
        <v>55</v>
      </c>
      <c r="AG399" s="23" t="s">
        <v>55</v>
      </c>
      <c r="AH399" s="23" t="s">
        <v>55</v>
      </c>
      <c r="AI399" s="23" t="s">
        <v>55</v>
      </c>
      <c r="AJ399">
        <v>1</v>
      </c>
      <c r="AK399">
        <v>2</v>
      </c>
      <c r="AL399">
        <v>1</v>
      </c>
      <c r="AM399">
        <v>1</v>
      </c>
      <c r="AN399" s="23">
        <v>0</v>
      </c>
      <c r="AO399" s="23">
        <v>0</v>
      </c>
      <c r="AP399" s="23">
        <v>1</v>
      </c>
      <c r="AQ399" s="23">
        <v>0</v>
      </c>
      <c r="AR399" s="37">
        <v>0</v>
      </c>
      <c r="AS399" s="37">
        <v>0</v>
      </c>
      <c r="AT399" s="37">
        <v>40</v>
      </c>
      <c r="AU399" s="33" t="str">
        <f t="shared" si="10"/>
        <v>库存为40</v>
      </c>
      <c r="AV399" s="38" t="str">
        <f>IFERROR(时间!$B$4+AU399,"上周无销量")</f>
        <v>上周无销量</v>
      </c>
    </row>
    <row r="400" spans="1:48">
      <c r="A400" s="21" t="s">
        <v>1120</v>
      </c>
      <c r="B400" t="s">
        <v>1121</v>
      </c>
      <c r="C400" t="s">
        <v>1117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25</v>
      </c>
      <c r="J400" s="35">
        <v>0</v>
      </c>
      <c r="K400" s="35">
        <v>0</v>
      </c>
      <c r="L400" s="35">
        <v>0</v>
      </c>
      <c r="M400">
        <v>25</v>
      </c>
      <c r="N400">
        <v>0</v>
      </c>
      <c r="O400">
        <v>25</v>
      </c>
      <c r="P400" t="s">
        <v>55</v>
      </c>
      <c r="Q400" t="s">
        <v>55</v>
      </c>
      <c r="R400" t="s">
        <v>55</v>
      </c>
      <c r="S400" t="s">
        <v>55</v>
      </c>
      <c r="T400" t="s">
        <v>55</v>
      </c>
      <c r="U400" t="s">
        <v>55</v>
      </c>
      <c r="V400" t="s">
        <v>55</v>
      </c>
      <c r="W400" t="s">
        <v>55</v>
      </c>
      <c r="X400" s="23" t="s">
        <v>55</v>
      </c>
      <c r="Y400" s="23" t="s">
        <v>55</v>
      </c>
      <c r="Z400" s="23" t="s">
        <v>55</v>
      </c>
      <c r="AA400" s="23" t="s">
        <v>55</v>
      </c>
      <c r="AB400" t="s">
        <v>55</v>
      </c>
      <c r="AC400" t="s">
        <v>55</v>
      </c>
      <c r="AD400" t="s">
        <v>55</v>
      </c>
      <c r="AE400" t="s">
        <v>55</v>
      </c>
      <c r="AF400" s="23" t="s">
        <v>55</v>
      </c>
      <c r="AG400" s="23" t="s">
        <v>55</v>
      </c>
      <c r="AH400" s="23" t="s">
        <v>55</v>
      </c>
      <c r="AI400" s="23" t="s">
        <v>55</v>
      </c>
      <c r="AJ400">
        <v>1</v>
      </c>
      <c r="AK400">
        <v>4</v>
      </c>
      <c r="AL400">
        <v>0</v>
      </c>
      <c r="AM400">
        <v>1</v>
      </c>
      <c r="AN400" s="23">
        <v>0</v>
      </c>
      <c r="AO400" s="23">
        <v>0</v>
      </c>
      <c r="AP400" s="23" t="s">
        <v>55</v>
      </c>
      <c r="AQ400" s="23">
        <v>0</v>
      </c>
      <c r="AR400" s="37">
        <v>0</v>
      </c>
      <c r="AS400" s="37">
        <v>0</v>
      </c>
      <c r="AT400" s="37">
        <v>25</v>
      </c>
      <c r="AU400" s="33" t="str">
        <f t="shared" si="10"/>
        <v>库存为25</v>
      </c>
      <c r="AV400" s="38" t="str">
        <f>IFERROR(时间!$B$4+AU400,"上周无销量")</f>
        <v>上周无销量</v>
      </c>
    </row>
    <row r="401" spans="1:48">
      <c r="A401" s="21" t="s">
        <v>1122</v>
      </c>
      <c r="B401" t="s">
        <v>1123</v>
      </c>
      <c r="C401" t="s">
        <v>1124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3</v>
      </c>
      <c r="J401" s="35">
        <v>0</v>
      </c>
      <c r="K401" s="35">
        <v>0</v>
      </c>
      <c r="L401" s="35">
        <v>0</v>
      </c>
      <c r="M401">
        <v>3</v>
      </c>
      <c r="N401">
        <v>0</v>
      </c>
      <c r="O401">
        <v>3</v>
      </c>
      <c r="P401">
        <v>0</v>
      </c>
      <c r="Q401">
        <v>0</v>
      </c>
      <c r="R401">
        <v>0</v>
      </c>
      <c r="S401">
        <v>29</v>
      </c>
      <c r="T401">
        <v>0</v>
      </c>
      <c r="U401">
        <v>0</v>
      </c>
      <c r="V401">
        <v>0</v>
      </c>
      <c r="W401">
        <v>0</v>
      </c>
      <c r="X401" s="23" t="s">
        <v>55</v>
      </c>
      <c r="Y401" s="23" t="s">
        <v>55</v>
      </c>
      <c r="Z401" s="23" t="s">
        <v>55</v>
      </c>
      <c r="AA401" s="23">
        <v>0</v>
      </c>
      <c r="AB401">
        <v>0</v>
      </c>
      <c r="AC401">
        <v>0</v>
      </c>
      <c r="AD401">
        <v>0</v>
      </c>
      <c r="AE401">
        <v>0</v>
      </c>
      <c r="AF401" s="23" t="s">
        <v>55</v>
      </c>
      <c r="AG401" s="23" t="s">
        <v>55</v>
      </c>
      <c r="AH401" s="23" t="s">
        <v>55</v>
      </c>
      <c r="AI401" s="23" t="s">
        <v>55</v>
      </c>
      <c r="AJ401">
        <v>3</v>
      </c>
      <c r="AK401">
        <v>0</v>
      </c>
      <c r="AL401">
        <v>1</v>
      </c>
      <c r="AM401">
        <v>1</v>
      </c>
      <c r="AN401" s="23">
        <v>0</v>
      </c>
      <c r="AO401" s="23" t="s">
        <v>55</v>
      </c>
      <c r="AP401" s="23">
        <v>0</v>
      </c>
      <c r="AQ401" s="23">
        <v>0</v>
      </c>
      <c r="AR401" s="37">
        <v>0</v>
      </c>
      <c r="AS401" s="37">
        <v>0</v>
      </c>
      <c r="AT401" s="37">
        <v>3</v>
      </c>
      <c r="AU401" s="33" t="str">
        <f t="shared" si="10"/>
        <v>库存为3</v>
      </c>
      <c r="AV401" s="38" t="str">
        <f>IFERROR(时间!$B$4+AU401,"上周无销量")</f>
        <v>上周无销量</v>
      </c>
    </row>
    <row r="402" spans="1:48">
      <c r="A402" s="21" t="s">
        <v>1125</v>
      </c>
      <c r="B402" t="s">
        <v>1126</v>
      </c>
      <c r="C402" t="s">
        <v>1127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3</v>
      </c>
      <c r="J402" s="35">
        <v>0</v>
      </c>
      <c r="K402" s="35">
        <v>0</v>
      </c>
      <c r="L402" s="35">
        <v>0</v>
      </c>
      <c r="M402">
        <v>3</v>
      </c>
      <c r="N402">
        <v>0</v>
      </c>
      <c r="O402">
        <v>3</v>
      </c>
      <c r="P402">
        <v>0</v>
      </c>
      <c r="Q402">
        <v>0</v>
      </c>
      <c r="R402">
        <v>0</v>
      </c>
      <c r="S402">
        <v>94</v>
      </c>
      <c r="T402">
        <v>0</v>
      </c>
      <c r="U402">
        <v>0</v>
      </c>
      <c r="V402">
        <v>0</v>
      </c>
      <c r="W402">
        <v>0</v>
      </c>
      <c r="X402" s="23" t="s">
        <v>55</v>
      </c>
      <c r="Y402" s="23" t="s">
        <v>55</v>
      </c>
      <c r="Z402" s="23" t="s">
        <v>55</v>
      </c>
      <c r="AA402" s="23">
        <v>0</v>
      </c>
      <c r="AB402">
        <v>0</v>
      </c>
      <c r="AC402">
        <v>0</v>
      </c>
      <c r="AD402">
        <v>0</v>
      </c>
      <c r="AE402">
        <v>0</v>
      </c>
      <c r="AF402" s="23" t="s">
        <v>55</v>
      </c>
      <c r="AG402" s="23" t="s">
        <v>55</v>
      </c>
      <c r="AH402" s="23" t="s">
        <v>55</v>
      </c>
      <c r="AI402" s="23" t="s">
        <v>55</v>
      </c>
      <c r="AJ402">
        <v>1</v>
      </c>
      <c r="AK402">
        <v>0</v>
      </c>
      <c r="AL402">
        <v>1</v>
      </c>
      <c r="AM402">
        <v>2</v>
      </c>
      <c r="AN402" s="23">
        <v>0</v>
      </c>
      <c r="AO402" s="23" t="s">
        <v>55</v>
      </c>
      <c r="AP402" s="23">
        <v>0</v>
      </c>
      <c r="AQ402" s="23">
        <v>0</v>
      </c>
      <c r="AR402" s="37">
        <v>0</v>
      </c>
      <c r="AS402" s="37">
        <v>0</v>
      </c>
      <c r="AT402" s="37">
        <v>3</v>
      </c>
      <c r="AU402" s="33" t="str">
        <f t="shared" si="10"/>
        <v>库存为3</v>
      </c>
      <c r="AV402" s="38" t="str">
        <f>IFERROR(时间!$B$4+AU402,"上周无销量")</f>
        <v>上周无销量</v>
      </c>
    </row>
    <row r="403" spans="1:48">
      <c r="A403" s="1"/>
      <c r="D403" s="33"/>
      <c r="E403" s="33"/>
      <c r="F403" s="33"/>
      <c r="G403" s="33"/>
      <c r="H403" s="34"/>
      <c r="J403" s="35"/>
      <c r="K403" s="35"/>
      <c r="L403" s="35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7"/>
      <c r="AS403" s="37"/>
      <c r="AT403" s="37"/>
      <c r="AU403" s="33"/>
      <c r="AV403" s="38"/>
    </row>
    <row r="404" spans="1:48">
      <c r="A404" s="1"/>
      <c r="D404" s="33"/>
      <c r="E404" s="33"/>
      <c r="F404" s="33"/>
      <c r="G404" s="33"/>
      <c r="H404" s="34"/>
      <c r="J404" s="35"/>
      <c r="K404" s="35"/>
      <c r="L404" s="35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7"/>
      <c r="AS404" s="37"/>
      <c r="AT404" s="37"/>
      <c r="AU404" s="33"/>
      <c r="AV404" s="38"/>
    </row>
    <row r="405" spans="1:48">
      <c r="A405" s="1"/>
      <c r="D405" s="33"/>
      <c r="E405" s="33"/>
      <c r="F405" s="33"/>
      <c r="G405" s="33"/>
      <c r="H405" s="34"/>
      <c r="J405" s="35"/>
      <c r="K405" s="35"/>
      <c r="L405" s="35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7"/>
      <c r="AS405" s="37"/>
      <c r="AT405" s="37"/>
      <c r="AU405" s="33"/>
      <c r="AV405" s="38"/>
    </row>
    <row r="406" spans="1:48">
      <c r="A406" s="1"/>
      <c r="D406" s="33"/>
      <c r="E406" s="33"/>
      <c r="F406" s="33"/>
      <c r="G406" s="33"/>
      <c r="H406" s="34"/>
      <c r="J406" s="35"/>
      <c r="K406" s="35"/>
      <c r="L406" s="35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7"/>
      <c r="AS406" s="37"/>
      <c r="AT406" s="37"/>
      <c r="AU406" s="33"/>
      <c r="AV406" s="38"/>
    </row>
    <row r="407" spans="1:48">
      <c r="A407" s="1"/>
      <c r="D407" s="33"/>
      <c r="E407" s="33"/>
      <c r="F407" s="33"/>
      <c r="G407" s="33"/>
      <c r="H407" s="34"/>
      <c r="J407" s="35"/>
      <c r="K407" s="35"/>
      <c r="L407" s="35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7"/>
      <c r="AS407" s="37"/>
      <c r="AT407" s="37"/>
      <c r="AU407" s="33"/>
      <c r="AV407" s="38"/>
    </row>
    <row r="408" spans="1:48">
      <c r="A408" s="1"/>
      <c r="D408" s="33"/>
      <c r="E408" s="33"/>
      <c r="F408" s="33"/>
      <c r="G408" s="33"/>
      <c r="H408" s="34"/>
      <c r="J408" s="35"/>
      <c r="K408" s="35"/>
      <c r="L408" s="35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7"/>
      <c r="AS408" s="37"/>
      <c r="AT408" s="37"/>
      <c r="AU408" s="33"/>
      <c r="AV408" s="38"/>
    </row>
    <row r="409" spans="1:48">
      <c r="A409" s="1"/>
      <c r="D409" s="33"/>
      <c r="E409" s="33"/>
      <c r="F409" s="33"/>
      <c r="G409" s="33"/>
      <c r="H409" s="34"/>
      <c r="J409" s="35"/>
      <c r="K409" s="35"/>
      <c r="L409" s="35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7"/>
      <c r="AS409" s="37"/>
      <c r="AT409" s="37"/>
      <c r="AU409" s="33"/>
      <c r="AV409" s="38"/>
    </row>
    <row r="410" spans="1:48">
      <c r="A410" s="1"/>
      <c r="D410" s="33"/>
      <c r="E410" s="33"/>
      <c r="F410" s="33"/>
      <c r="G410" s="33"/>
      <c r="H410" s="34"/>
      <c r="J410" s="35"/>
      <c r="K410" s="35"/>
      <c r="L410" s="35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7"/>
      <c r="AS410" s="37"/>
      <c r="AT410" s="37"/>
      <c r="AU410" s="33"/>
      <c r="AV410" s="38"/>
    </row>
    <row r="411" spans="1:48">
      <c r="A411" s="1"/>
      <c r="D411" s="33"/>
      <c r="E411" s="33"/>
      <c r="F411" s="33"/>
      <c r="G411" s="33"/>
      <c r="H411" s="34"/>
      <c r="J411" s="35"/>
      <c r="K411" s="35"/>
      <c r="L411" s="35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7"/>
      <c r="AS411" s="37"/>
      <c r="AT411" s="37"/>
      <c r="AU411" s="33"/>
      <c r="AV411" s="38"/>
    </row>
    <row r="412" spans="1:48">
      <c r="A412" s="1"/>
      <c r="D412" s="33"/>
      <c r="E412" s="33"/>
      <c r="F412" s="33"/>
      <c r="G412" s="33"/>
      <c r="H412" s="34"/>
      <c r="J412" s="35"/>
      <c r="K412" s="35"/>
      <c r="L412" s="35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7"/>
      <c r="AS412" s="37"/>
      <c r="AT412" s="37"/>
      <c r="AU412" s="33"/>
      <c r="AV412" s="38"/>
    </row>
    <row r="413" spans="1:48">
      <c r="A413" s="1"/>
      <c r="D413" s="33"/>
      <c r="E413" s="33"/>
      <c r="F413" s="33"/>
      <c r="G413" s="33"/>
      <c r="H413" s="34"/>
      <c r="J413" s="35"/>
      <c r="K413" s="35"/>
      <c r="L413" s="35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7"/>
      <c r="AS413" s="37"/>
      <c r="AT413" s="37"/>
      <c r="AU413" s="33"/>
      <c r="AV413" s="38"/>
    </row>
    <row r="414" spans="1:48">
      <c r="A414" s="1"/>
      <c r="D414" s="33"/>
      <c r="E414" s="33"/>
      <c r="F414" s="33"/>
      <c r="G414" s="33"/>
      <c r="H414" s="34"/>
      <c r="J414" s="35"/>
      <c r="K414" s="35"/>
      <c r="L414" s="35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7"/>
      <c r="AS414" s="37"/>
      <c r="AT414" s="37"/>
      <c r="AU414" s="33"/>
      <c r="AV414" s="38"/>
    </row>
    <row r="415" spans="1:48">
      <c r="A415" s="1"/>
      <c r="D415" s="33"/>
      <c r="E415" s="33"/>
      <c r="F415" s="33"/>
      <c r="G415" s="33"/>
      <c r="H415" s="34"/>
      <c r="J415" s="35"/>
      <c r="K415" s="35"/>
      <c r="L415" s="35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7"/>
      <c r="AS415" s="37"/>
      <c r="AT415" s="37"/>
      <c r="AU415" s="33"/>
      <c r="AV415" s="38"/>
    </row>
    <row r="416" spans="1:48">
      <c r="A416" s="1"/>
      <c r="D416" s="33"/>
      <c r="E416" s="33"/>
      <c r="F416" s="33"/>
      <c r="G416" s="33"/>
      <c r="H416" s="34"/>
      <c r="J416" s="35"/>
      <c r="K416" s="35"/>
      <c r="L416" s="35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7"/>
      <c r="AS416" s="37"/>
      <c r="AT416" s="37"/>
      <c r="AU416" s="33"/>
      <c r="AV416" s="38"/>
    </row>
    <row r="417" spans="1:48">
      <c r="A417" s="1"/>
      <c r="D417" s="33"/>
      <c r="E417" s="33"/>
      <c r="F417" s="33"/>
      <c r="G417" s="33"/>
      <c r="H417" s="34"/>
      <c r="J417" s="35"/>
      <c r="K417" s="35"/>
      <c r="L417" s="35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7"/>
      <c r="AS417" s="37"/>
      <c r="AT417" s="37"/>
      <c r="AU417" s="33"/>
      <c r="AV417" s="38"/>
    </row>
    <row r="418" spans="1:48">
      <c r="A418" s="1"/>
      <c r="D418" s="33"/>
      <c r="E418" s="33"/>
      <c r="F418" s="33"/>
      <c r="G418" s="33"/>
      <c r="H418" s="34"/>
      <c r="J418" s="35"/>
      <c r="K418" s="35"/>
      <c r="L418" s="35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7"/>
      <c r="AS418" s="37"/>
      <c r="AT418" s="37"/>
      <c r="AU418" s="33"/>
      <c r="AV418" s="38"/>
    </row>
    <row r="419" spans="1:48">
      <c r="A419" s="1"/>
      <c r="D419" s="33"/>
      <c r="E419" s="33"/>
      <c r="F419" s="33"/>
      <c r="G419" s="33"/>
      <c r="H419" s="34"/>
      <c r="J419" s="35"/>
      <c r="K419" s="35"/>
      <c r="L419" s="35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7"/>
      <c r="AS419" s="37"/>
      <c r="AT419" s="37"/>
      <c r="AU419" s="33"/>
      <c r="AV419" s="38"/>
    </row>
    <row r="420" spans="1:48">
      <c r="A420" s="1"/>
      <c r="D420" s="33"/>
      <c r="E420" s="33"/>
      <c r="F420" s="33"/>
      <c r="G420" s="33"/>
      <c r="H420" s="34"/>
      <c r="J420" s="35"/>
      <c r="K420" s="35"/>
      <c r="L420" s="35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7"/>
      <c r="AS420" s="37"/>
      <c r="AT420" s="37"/>
      <c r="AU420" s="33"/>
      <c r="AV420" s="38"/>
    </row>
    <row r="421" spans="1:48">
      <c r="A421" s="1"/>
      <c r="D421" s="33"/>
      <c r="E421" s="33"/>
      <c r="F421" s="33"/>
      <c r="G421" s="33"/>
      <c r="H421" s="34"/>
      <c r="J421" s="35"/>
      <c r="K421" s="35"/>
      <c r="L421" s="35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7"/>
      <c r="AS421" s="37"/>
      <c r="AT421" s="37"/>
      <c r="AU421" s="33"/>
      <c r="AV421" s="38"/>
    </row>
    <row r="422" spans="1:48">
      <c r="A422" s="1"/>
      <c r="D422" s="33"/>
      <c r="E422" s="33"/>
      <c r="F422" s="33"/>
      <c r="G422" s="33"/>
      <c r="H422" s="34"/>
      <c r="J422" s="35"/>
      <c r="K422" s="35"/>
      <c r="L422" s="35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7"/>
      <c r="AS422" s="37"/>
      <c r="AT422" s="37"/>
      <c r="AU422" s="33"/>
      <c r="AV422" s="38"/>
    </row>
    <row r="423" spans="1:48">
      <c r="A423" s="1"/>
      <c r="D423" s="33"/>
      <c r="E423" s="33"/>
      <c r="F423" s="33"/>
      <c r="G423" s="33"/>
      <c r="H423" s="34"/>
      <c r="J423" s="35"/>
      <c r="K423" s="35"/>
      <c r="L423" s="35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7"/>
      <c r="AS423" s="37"/>
      <c r="AT423" s="37"/>
      <c r="AU423" s="33"/>
      <c r="AV423" s="38"/>
    </row>
    <row r="424" spans="1:48">
      <c r="A424" s="1"/>
      <c r="D424" s="33"/>
      <c r="E424" s="33"/>
      <c r="F424" s="33"/>
      <c r="G424" s="33"/>
      <c r="H424" s="34"/>
      <c r="J424" s="35"/>
      <c r="K424" s="35"/>
      <c r="L424" s="35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7"/>
      <c r="AS424" s="37"/>
      <c r="AT424" s="37"/>
      <c r="AU424" s="33"/>
      <c r="AV424" s="38"/>
    </row>
    <row r="425" spans="1:48">
      <c r="A425" s="1"/>
      <c r="D425" s="33"/>
      <c r="E425" s="33"/>
      <c r="F425" s="33"/>
      <c r="G425" s="33"/>
      <c r="H425" s="34"/>
      <c r="J425" s="35"/>
      <c r="K425" s="35"/>
      <c r="L425" s="35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7"/>
      <c r="AS425" s="37"/>
      <c r="AT425" s="37"/>
      <c r="AU425" s="33"/>
      <c r="AV425" s="38"/>
    </row>
    <row r="426" spans="1:48">
      <c r="A426" s="1"/>
      <c r="D426" s="33"/>
      <c r="E426" s="33"/>
      <c r="F426" s="33"/>
      <c r="G426" s="33"/>
      <c r="H426" s="34"/>
      <c r="J426" s="35"/>
      <c r="K426" s="35"/>
      <c r="L426" s="35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7"/>
      <c r="AS426" s="37"/>
      <c r="AT426" s="37"/>
      <c r="AU426" s="33"/>
      <c r="AV426" s="38"/>
    </row>
    <row r="427" spans="1:48">
      <c r="A427" s="1"/>
      <c r="D427" s="33"/>
      <c r="E427" s="33"/>
      <c r="F427" s="33"/>
      <c r="G427" s="33"/>
      <c r="H427" s="34"/>
      <c r="J427" s="35"/>
      <c r="K427" s="35"/>
      <c r="L427" s="35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7"/>
      <c r="AS427" s="37"/>
      <c r="AT427" s="37"/>
      <c r="AU427" s="33"/>
      <c r="AV427" s="38"/>
    </row>
    <row r="428" spans="1:48">
      <c r="A428" s="1"/>
      <c r="D428" s="33"/>
      <c r="E428" s="33"/>
      <c r="F428" s="33"/>
      <c r="G428" s="33"/>
      <c r="H428" s="34"/>
      <c r="J428" s="35"/>
      <c r="K428" s="35"/>
      <c r="L428" s="35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7"/>
      <c r="AS428" s="37"/>
      <c r="AT428" s="37"/>
      <c r="AU428" s="33"/>
      <c r="AV428" s="38"/>
    </row>
    <row r="429" spans="1:48">
      <c r="A429" s="1"/>
      <c r="D429" s="33"/>
      <c r="E429" s="33"/>
      <c r="F429" s="33"/>
      <c r="G429" s="33"/>
      <c r="H429" s="34"/>
      <c r="J429" s="35"/>
      <c r="K429" s="35"/>
      <c r="L429" s="35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7"/>
      <c r="AS429" s="37"/>
      <c r="AT429" s="37"/>
      <c r="AU429" s="33"/>
      <c r="AV429" s="38"/>
    </row>
    <row r="430" spans="1:48">
      <c r="A430" s="1"/>
      <c r="D430" s="33"/>
      <c r="E430" s="33"/>
      <c r="F430" s="33"/>
      <c r="G430" s="33"/>
      <c r="H430" s="34"/>
      <c r="J430" s="35"/>
      <c r="K430" s="35"/>
      <c r="L430" s="35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7"/>
      <c r="AS430" s="37"/>
      <c r="AT430" s="37"/>
      <c r="AU430" s="33"/>
      <c r="AV430" s="38"/>
    </row>
    <row r="431" spans="1:48">
      <c r="A431" s="1"/>
      <c r="D431" s="33"/>
      <c r="E431" s="33"/>
      <c r="F431" s="33"/>
      <c r="G431" s="33"/>
      <c r="H431" s="34"/>
      <c r="J431" s="35"/>
      <c r="K431" s="35"/>
      <c r="L431" s="35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7"/>
      <c r="AS431" s="37"/>
      <c r="AT431" s="37"/>
      <c r="AU431" s="33"/>
      <c r="AV431" s="38"/>
    </row>
    <row r="432" spans="1:48">
      <c r="A432" s="1"/>
      <c r="D432" s="33"/>
      <c r="E432" s="33"/>
      <c r="F432" s="33"/>
      <c r="G432" s="33"/>
      <c r="H432" s="34"/>
      <c r="J432" s="35"/>
      <c r="K432" s="35"/>
      <c r="L432" s="35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7"/>
      <c r="AS432" s="37"/>
      <c r="AT432" s="37"/>
      <c r="AU432" s="33"/>
      <c r="AV432" s="38"/>
    </row>
    <row r="433" spans="1:48">
      <c r="A433" s="1"/>
      <c r="D433" s="33"/>
      <c r="E433" s="33"/>
      <c r="F433" s="33"/>
      <c r="G433" s="33"/>
      <c r="H433" s="34"/>
      <c r="J433" s="35"/>
      <c r="K433" s="35"/>
      <c r="L433" s="35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7"/>
      <c r="AS433" s="37"/>
      <c r="AT433" s="37"/>
      <c r="AU433" s="33"/>
      <c r="AV433" s="38"/>
    </row>
    <row r="434" spans="1:48">
      <c r="A434" s="1"/>
      <c r="D434" s="33"/>
      <c r="E434" s="33"/>
      <c r="F434" s="33"/>
      <c r="G434" s="33"/>
      <c r="H434" s="34"/>
      <c r="J434" s="35"/>
      <c r="K434" s="35"/>
      <c r="L434" s="35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7"/>
      <c r="AS434" s="37"/>
      <c r="AT434" s="37"/>
      <c r="AU434" s="33"/>
      <c r="AV434" s="38"/>
    </row>
    <row r="435" spans="1:48">
      <c r="A435" s="1"/>
      <c r="D435" s="33"/>
      <c r="E435" s="33"/>
      <c r="F435" s="33"/>
      <c r="G435" s="33"/>
      <c r="H435" s="34"/>
      <c r="J435" s="35"/>
      <c r="K435" s="35"/>
      <c r="L435" s="35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7"/>
      <c r="AS435" s="37"/>
      <c r="AT435" s="37"/>
      <c r="AU435" s="33"/>
      <c r="AV435" s="38"/>
    </row>
    <row r="436" spans="1:48">
      <c r="A436" s="1"/>
      <c r="D436" s="33"/>
      <c r="E436" s="33"/>
      <c r="F436" s="33"/>
      <c r="G436" s="33"/>
      <c r="H436" s="34"/>
      <c r="J436" s="35"/>
      <c r="K436" s="35"/>
      <c r="L436" s="35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7"/>
      <c r="AS436" s="37"/>
      <c r="AT436" s="37"/>
      <c r="AU436" s="33"/>
      <c r="AV436" s="38"/>
    </row>
    <row r="437" spans="1:48">
      <c r="A437" s="1"/>
      <c r="D437" s="33"/>
      <c r="E437" s="33"/>
      <c r="F437" s="33"/>
      <c r="G437" s="33"/>
      <c r="H437" s="34"/>
      <c r="J437" s="35"/>
      <c r="K437" s="35"/>
      <c r="L437" s="35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7"/>
      <c r="AS437" s="37"/>
      <c r="AT437" s="37"/>
      <c r="AU437" s="33"/>
      <c r="AV437" s="38"/>
    </row>
    <row r="438" spans="1:48">
      <c r="A438" s="1"/>
      <c r="D438" s="33"/>
      <c r="E438" s="33"/>
      <c r="F438" s="33"/>
      <c r="G438" s="33"/>
      <c r="H438" s="34"/>
      <c r="J438" s="35"/>
      <c r="K438" s="35"/>
      <c r="L438" s="35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7"/>
      <c r="AS438" s="37"/>
      <c r="AT438" s="37"/>
      <c r="AU438" s="33"/>
      <c r="AV438" s="38"/>
    </row>
    <row r="439" spans="1:48">
      <c r="A439" s="1"/>
      <c r="D439" s="33"/>
      <c r="E439" s="33"/>
      <c r="F439" s="33"/>
      <c r="G439" s="33"/>
      <c r="H439" s="34"/>
      <c r="J439" s="35"/>
      <c r="K439" s="35"/>
      <c r="L439" s="35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7"/>
      <c r="AS439" s="37"/>
      <c r="AT439" s="37"/>
      <c r="AU439" s="33"/>
      <c r="AV439" s="38"/>
    </row>
    <row r="440" spans="1:48">
      <c r="A440" s="1"/>
      <c r="D440" s="33"/>
      <c r="E440" s="33"/>
      <c r="F440" s="33"/>
      <c r="G440" s="33"/>
      <c r="H440" s="34"/>
      <c r="J440" s="35"/>
      <c r="K440" s="35"/>
      <c r="L440" s="35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7"/>
      <c r="AS440" s="37"/>
      <c r="AT440" s="37"/>
      <c r="AU440" s="33"/>
      <c r="AV440" s="38"/>
    </row>
    <row r="441" spans="1:48">
      <c r="A441" s="1"/>
      <c r="D441" s="33"/>
      <c r="E441" s="33"/>
      <c r="F441" s="33"/>
      <c r="G441" s="33"/>
      <c r="H441" s="34"/>
      <c r="J441" s="35"/>
      <c r="K441" s="35"/>
      <c r="L441" s="35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7"/>
      <c r="AS441" s="37"/>
      <c r="AT441" s="37"/>
      <c r="AU441" s="33"/>
      <c r="AV441" s="38"/>
    </row>
    <row r="442" spans="1:48">
      <c r="A442" s="1"/>
      <c r="D442" s="33"/>
      <c r="E442" s="33"/>
      <c r="F442" s="33"/>
      <c r="G442" s="33"/>
      <c r="H442" s="34"/>
      <c r="J442" s="35"/>
      <c r="K442" s="35"/>
      <c r="L442" s="35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7"/>
      <c r="AS442" s="37"/>
      <c r="AT442" s="37"/>
      <c r="AU442" s="33"/>
      <c r="AV442" s="38"/>
    </row>
    <row r="443" spans="1:48">
      <c r="A443" s="1"/>
      <c r="D443" s="33"/>
      <c r="E443" s="33"/>
      <c r="F443" s="33"/>
      <c r="G443" s="33"/>
      <c r="H443" s="34"/>
      <c r="J443" s="35"/>
      <c r="K443" s="35"/>
      <c r="L443" s="35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7"/>
      <c r="AS443" s="37"/>
      <c r="AT443" s="37"/>
      <c r="AU443" s="33"/>
      <c r="AV443" s="38"/>
    </row>
    <row r="444" spans="1:48">
      <c r="A444" s="1"/>
      <c r="D444" s="33"/>
      <c r="E444" s="33"/>
      <c r="F444" s="33"/>
      <c r="G444" s="33"/>
      <c r="H444" s="34"/>
      <c r="J444" s="35"/>
      <c r="K444" s="35"/>
      <c r="L444" s="35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7"/>
      <c r="AS444" s="37"/>
      <c r="AT444" s="37"/>
      <c r="AU444" s="33"/>
      <c r="AV444" s="38"/>
    </row>
    <row r="445" spans="1:48">
      <c r="A445" s="1"/>
      <c r="D445" s="33"/>
      <c r="E445" s="33"/>
      <c r="F445" s="33"/>
      <c r="G445" s="33"/>
      <c r="H445" s="34"/>
      <c r="J445" s="35"/>
      <c r="K445" s="35"/>
      <c r="L445" s="35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7"/>
      <c r="AS445" s="37"/>
      <c r="AT445" s="37"/>
      <c r="AU445" s="33"/>
      <c r="AV445" s="38"/>
    </row>
    <row r="446" spans="1:48">
      <c r="A446" s="1"/>
      <c r="D446" s="33"/>
      <c r="E446" s="33"/>
      <c r="F446" s="33"/>
      <c r="G446" s="33"/>
      <c r="H446" s="34"/>
      <c r="J446" s="35"/>
      <c r="K446" s="35"/>
      <c r="L446" s="35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7"/>
      <c r="AS446" s="37"/>
      <c r="AT446" s="37"/>
      <c r="AU446" s="33"/>
      <c r="AV446" s="38"/>
    </row>
    <row r="447" spans="1:48">
      <c r="A447" s="1"/>
      <c r="D447" s="33"/>
      <c r="E447" s="33"/>
      <c r="F447" s="33"/>
      <c r="G447" s="33"/>
      <c r="H447" s="34"/>
      <c r="J447" s="35"/>
      <c r="K447" s="35"/>
      <c r="L447" s="35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7"/>
      <c r="AS447" s="37"/>
      <c r="AT447" s="37"/>
      <c r="AU447" s="33"/>
      <c r="AV447" s="38"/>
    </row>
    <row r="448" spans="1:48">
      <c r="A448" s="1"/>
      <c r="D448" s="33"/>
      <c r="E448" s="33"/>
      <c r="F448" s="33"/>
      <c r="G448" s="33"/>
      <c r="H448" s="34"/>
      <c r="J448" s="35"/>
      <c r="K448" s="35"/>
      <c r="L448" s="35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7"/>
      <c r="AS448" s="37"/>
      <c r="AT448" s="37"/>
      <c r="AU448" s="33"/>
      <c r="AV448" s="38"/>
    </row>
    <row r="449" spans="1:48">
      <c r="A449" s="1"/>
      <c r="D449" s="33"/>
      <c r="E449" s="33"/>
      <c r="F449" s="33"/>
      <c r="G449" s="33"/>
      <c r="H449" s="34"/>
      <c r="J449" s="35"/>
      <c r="K449" s="35"/>
      <c r="L449" s="35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7"/>
      <c r="AS449" s="37"/>
      <c r="AT449" s="37"/>
      <c r="AU449" s="33"/>
      <c r="AV449" s="38"/>
    </row>
    <row r="450" spans="1:48">
      <c r="A450" s="1"/>
      <c r="D450" s="33"/>
      <c r="E450" s="33"/>
      <c r="F450" s="33"/>
      <c r="G450" s="33"/>
      <c r="H450" s="34"/>
      <c r="J450" s="35"/>
      <c r="K450" s="35"/>
      <c r="L450" s="35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7"/>
      <c r="AS450" s="37"/>
      <c r="AT450" s="37"/>
      <c r="AU450" s="33"/>
      <c r="AV450" s="38"/>
    </row>
    <row r="451" spans="1:48">
      <c r="A451" s="1"/>
      <c r="D451" s="33"/>
      <c r="E451" s="33"/>
      <c r="F451" s="33"/>
      <c r="G451" s="33"/>
      <c r="H451" s="34"/>
      <c r="J451" s="35"/>
      <c r="K451" s="35"/>
      <c r="L451" s="35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7"/>
      <c r="AS451" s="37"/>
      <c r="AT451" s="37"/>
      <c r="AU451" s="33"/>
      <c r="AV451" s="38"/>
    </row>
    <row r="452" spans="1:48">
      <c r="A452" s="1"/>
      <c r="D452" s="33"/>
      <c r="E452" s="33"/>
      <c r="F452" s="33"/>
      <c r="G452" s="33"/>
      <c r="H452" s="34"/>
      <c r="J452" s="35"/>
      <c r="K452" s="35"/>
      <c r="L452" s="35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7"/>
      <c r="AS452" s="37"/>
      <c r="AT452" s="37"/>
      <c r="AU452" s="33"/>
      <c r="AV452" s="38"/>
    </row>
    <row r="453" spans="1:48">
      <c r="A453" s="1"/>
      <c r="D453" s="33"/>
      <c r="E453" s="33"/>
      <c r="F453" s="33"/>
      <c r="G453" s="33"/>
      <c r="H453" s="34"/>
      <c r="J453" s="35"/>
      <c r="K453" s="35"/>
      <c r="L453" s="35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7"/>
      <c r="AS453" s="37"/>
      <c r="AT453" s="37"/>
      <c r="AU453" s="33"/>
      <c r="AV453" s="38"/>
    </row>
    <row r="454" spans="1:48">
      <c r="A454" s="1"/>
      <c r="D454" s="33"/>
      <c r="E454" s="33"/>
      <c r="F454" s="33"/>
      <c r="G454" s="33"/>
      <c r="H454" s="34"/>
      <c r="J454" s="35"/>
      <c r="K454" s="35"/>
      <c r="L454" s="35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7"/>
      <c r="AS454" s="37"/>
      <c r="AT454" s="37"/>
      <c r="AU454" s="33"/>
      <c r="AV454" s="38"/>
    </row>
    <row r="455" spans="1:48">
      <c r="A455" s="1"/>
      <c r="D455" s="33"/>
      <c r="E455" s="33"/>
      <c r="F455" s="33"/>
      <c r="G455" s="33"/>
      <c r="H455" s="34"/>
      <c r="J455" s="35"/>
      <c r="K455" s="35"/>
      <c r="L455" s="35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7"/>
      <c r="AS455" s="37"/>
      <c r="AT455" s="37"/>
      <c r="AU455" s="33"/>
      <c r="AV455" s="38"/>
    </row>
    <row r="456" spans="1:48">
      <c r="A456" s="1"/>
      <c r="D456" s="33"/>
      <c r="E456" s="33"/>
      <c r="F456" s="33"/>
      <c r="G456" s="33"/>
      <c r="H456" s="34"/>
      <c r="J456" s="35"/>
      <c r="K456" s="35"/>
      <c r="L456" s="35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7"/>
      <c r="AS456" s="37"/>
      <c r="AT456" s="37"/>
      <c r="AU456" s="33"/>
      <c r="AV456" s="38"/>
    </row>
    <row r="457" spans="1:48">
      <c r="A457" s="1"/>
      <c r="D457" s="33"/>
      <c r="E457" s="33"/>
      <c r="F457" s="33"/>
      <c r="G457" s="33"/>
      <c r="H457" s="34"/>
      <c r="J457" s="35"/>
      <c r="K457" s="35"/>
      <c r="L457" s="35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7"/>
      <c r="AS457" s="37"/>
      <c r="AT457" s="37"/>
      <c r="AU457" s="33"/>
      <c r="AV457" s="38"/>
    </row>
    <row r="458" spans="1:48">
      <c r="A458" s="1"/>
      <c r="D458" s="33"/>
      <c r="E458" s="33"/>
      <c r="F458" s="33"/>
      <c r="G458" s="33"/>
      <c r="H458" s="34"/>
      <c r="J458" s="35"/>
      <c r="K458" s="35"/>
      <c r="L458" s="35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7"/>
      <c r="AS458" s="37"/>
      <c r="AT458" s="37"/>
      <c r="AU458" s="33"/>
      <c r="AV458" s="38"/>
    </row>
    <row r="459" spans="1:48">
      <c r="A459" s="1"/>
      <c r="D459" s="33"/>
      <c r="E459" s="33"/>
      <c r="F459" s="33"/>
      <c r="G459" s="33"/>
      <c r="H459" s="34"/>
      <c r="J459" s="35"/>
      <c r="K459" s="35"/>
      <c r="L459" s="35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7"/>
      <c r="AS459" s="37"/>
      <c r="AT459" s="37"/>
      <c r="AU459" s="33"/>
      <c r="AV459" s="38"/>
    </row>
    <row r="460" spans="1:48">
      <c r="A460" s="1"/>
      <c r="D460" s="33"/>
      <c r="E460" s="33"/>
      <c r="F460" s="33"/>
      <c r="G460" s="33"/>
      <c r="H460" s="34"/>
      <c r="J460" s="35"/>
      <c r="K460" s="35"/>
      <c r="L460" s="35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7"/>
      <c r="AS460" s="37"/>
      <c r="AT460" s="37"/>
      <c r="AU460" s="33"/>
      <c r="AV460" s="38"/>
    </row>
    <row r="461" spans="1:48">
      <c r="A461" s="1"/>
      <c r="D461" s="33"/>
      <c r="E461" s="33"/>
      <c r="F461" s="33"/>
      <c r="G461" s="33"/>
      <c r="H461" s="34"/>
      <c r="J461" s="35"/>
      <c r="K461" s="35"/>
      <c r="L461" s="35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7"/>
      <c r="AS461" s="37"/>
      <c r="AT461" s="37"/>
      <c r="AU461" s="33"/>
      <c r="AV461" s="38"/>
    </row>
    <row r="462" spans="1:48">
      <c r="A462" s="1"/>
      <c r="D462" s="33"/>
      <c r="E462" s="33"/>
      <c r="F462" s="33"/>
      <c r="G462" s="33"/>
      <c r="H462" s="34"/>
      <c r="J462" s="35"/>
      <c r="K462" s="35"/>
      <c r="L462" s="35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7"/>
      <c r="AS462" s="37"/>
      <c r="AT462" s="37"/>
      <c r="AU462" s="33"/>
      <c r="AV462" s="38"/>
    </row>
    <row r="463" spans="1:48">
      <c r="A463" s="1"/>
      <c r="D463" s="33"/>
      <c r="E463" s="33"/>
      <c r="F463" s="33"/>
      <c r="G463" s="33"/>
      <c r="H463" s="34"/>
      <c r="J463" s="35"/>
      <c r="K463" s="35"/>
      <c r="L463" s="35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7"/>
      <c r="AS463" s="37"/>
      <c r="AT463" s="37"/>
      <c r="AU463" s="33"/>
      <c r="AV463" s="38"/>
    </row>
    <row r="464" spans="1:48">
      <c r="A464" s="1"/>
      <c r="D464" s="33"/>
      <c r="E464" s="33"/>
      <c r="F464" s="33"/>
      <c r="G464" s="33"/>
      <c r="H464" s="34"/>
      <c r="J464" s="35"/>
      <c r="K464" s="35"/>
      <c r="L464" s="35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7"/>
      <c r="AS464" s="37"/>
      <c r="AT464" s="37"/>
      <c r="AU464" s="33"/>
      <c r="AV464" s="38"/>
    </row>
    <row r="465" spans="1:48">
      <c r="A465" s="1"/>
      <c r="D465" s="33"/>
      <c r="E465" s="33"/>
      <c r="F465" s="33"/>
      <c r="G465" s="33"/>
      <c r="H465" s="34"/>
      <c r="J465" s="35"/>
      <c r="K465" s="35"/>
      <c r="L465" s="35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7"/>
      <c r="AS465" s="37"/>
      <c r="AT465" s="37"/>
      <c r="AU465" s="33"/>
      <c r="AV465" s="38"/>
    </row>
    <row r="466" spans="1:48">
      <c r="A466" s="1"/>
      <c r="D466" s="33"/>
      <c r="E466" s="33"/>
      <c r="F466" s="33"/>
      <c r="G466" s="33"/>
      <c r="H466" s="34"/>
      <c r="J466" s="35"/>
      <c r="K466" s="35"/>
      <c r="L466" s="35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7"/>
      <c r="AS466" s="37"/>
      <c r="AT466" s="37"/>
      <c r="AU466" s="33"/>
      <c r="AV466" s="38"/>
    </row>
    <row r="467" spans="1:48">
      <c r="A467" s="1"/>
      <c r="D467" s="33"/>
      <c r="E467" s="33"/>
      <c r="F467" s="33"/>
      <c r="G467" s="33"/>
      <c r="H467" s="34"/>
      <c r="J467" s="35"/>
      <c r="K467" s="35"/>
      <c r="L467" s="35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7"/>
      <c r="AS467" s="37"/>
      <c r="AT467" s="37"/>
      <c r="AU467" s="33"/>
      <c r="AV467" s="38"/>
    </row>
    <row r="468" spans="1:48">
      <c r="A468" s="1"/>
      <c r="D468" s="33"/>
      <c r="E468" s="33"/>
      <c r="F468" s="33"/>
      <c r="G468" s="33"/>
      <c r="H468" s="34"/>
      <c r="J468" s="35"/>
      <c r="K468" s="35"/>
      <c r="L468" s="35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7"/>
      <c r="AS468" s="37"/>
      <c r="AT468" s="37"/>
      <c r="AU468" s="33"/>
      <c r="AV468" s="38"/>
    </row>
    <row r="469" spans="1:48">
      <c r="A469" s="1"/>
      <c r="D469" s="33"/>
      <c r="E469" s="33"/>
      <c r="F469" s="33"/>
      <c r="G469" s="33"/>
      <c r="H469" s="34"/>
      <c r="J469" s="35"/>
      <c r="K469" s="35"/>
      <c r="L469" s="35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7"/>
      <c r="AS469" s="37"/>
      <c r="AT469" s="37"/>
      <c r="AU469" s="33"/>
      <c r="AV469" s="38"/>
    </row>
    <row r="470" spans="1:48">
      <c r="A470" s="1"/>
      <c r="D470" s="33"/>
      <c r="E470" s="33"/>
      <c r="F470" s="33"/>
      <c r="G470" s="33"/>
      <c r="H470" s="34"/>
      <c r="J470" s="35"/>
      <c r="K470" s="35"/>
      <c r="L470" s="35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7"/>
      <c r="AS470" s="37"/>
      <c r="AT470" s="37"/>
      <c r="AU470" s="33"/>
      <c r="AV470" s="38"/>
    </row>
    <row r="471" spans="1:48">
      <c r="A471" s="1"/>
      <c r="D471" s="33"/>
      <c r="E471" s="33"/>
      <c r="F471" s="33"/>
      <c r="G471" s="33"/>
      <c r="H471" s="34"/>
      <c r="J471" s="35"/>
      <c r="K471" s="35"/>
      <c r="L471" s="35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7"/>
      <c r="AS471" s="37"/>
      <c r="AT471" s="37"/>
      <c r="AU471" s="33"/>
      <c r="AV471" s="38"/>
    </row>
    <row r="472" spans="1:48">
      <c r="A472" s="1"/>
      <c r="D472" s="33"/>
      <c r="E472" s="33"/>
      <c r="F472" s="33"/>
      <c r="G472" s="33"/>
      <c r="H472" s="34"/>
      <c r="J472" s="35"/>
      <c r="K472" s="35"/>
      <c r="L472" s="35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7"/>
      <c r="AS472" s="37"/>
      <c r="AT472" s="37"/>
      <c r="AU472" s="33"/>
      <c r="AV472" s="38"/>
    </row>
    <row r="473" spans="1:48">
      <c r="A473" s="1"/>
      <c r="D473" s="33"/>
      <c r="E473" s="33"/>
      <c r="F473" s="33"/>
      <c r="G473" s="33"/>
      <c r="H473" s="34"/>
      <c r="J473" s="35"/>
      <c r="K473" s="35"/>
      <c r="L473" s="35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7"/>
      <c r="AS473" s="37"/>
      <c r="AT473" s="37"/>
      <c r="AU473" s="33"/>
      <c r="AV473" s="38"/>
    </row>
    <row r="474" spans="1:48">
      <c r="A474" s="1"/>
      <c r="D474" s="33"/>
      <c r="E474" s="33"/>
      <c r="F474" s="33"/>
      <c r="G474" s="33"/>
      <c r="H474" s="34"/>
      <c r="J474" s="35"/>
      <c r="K474" s="35"/>
      <c r="L474" s="35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7"/>
      <c r="AS474" s="37"/>
      <c r="AT474" s="37"/>
      <c r="AU474" s="33"/>
      <c r="AV474" s="38"/>
    </row>
    <row r="475" spans="1:48">
      <c r="A475" s="1"/>
      <c r="D475" s="33"/>
      <c r="E475" s="33"/>
      <c r="F475" s="33"/>
      <c r="G475" s="33"/>
      <c r="H475" s="34"/>
      <c r="J475" s="35"/>
      <c r="K475" s="35"/>
      <c r="L475" s="35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7"/>
      <c r="AS475" s="37"/>
      <c r="AT475" s="37"/>
      <c r="AU475" s="33"/>
      <c r="AV475" s="38"/>
    </row>
    <row r="476" spans="1:48">
      <c r="A476" s="1"/>
      <c r="D476" s="33"/>
      <c r="E476" s="33"/>
      <c r="F476" s="33"/>
      <c r="G476" s="33"/>
      <c r="H476" s="34"/>
      <c r="J476" s="35"/>
      <c r="K476" s="35"/>
      <c r="L476" s="35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7"/>
      <c r="AS476" s="37"/>
      <c r="AT476" s="37"/>
      <c r="AU476" s="33"/>
      <c r="AV476" s="38"/>
    </row>
    <row r="477" spans="1:48">
      <c r="A477" s="1"/>
      <c r="D477" s="33"/>
      <c r="E477" s="33"/>
      <c r="F477" s="33"/>
      <c r="G477" s="33"/>
      <c r="H477" s="34"/>
      <c r="J477" s="35"/>
      <c r="K477" s="35"/>
      <c r="L477" s="35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7"/>
      <c r="AS477" s="37"/>
      <c r="AT477" s="37"/>
      <c r="AU477" s="33"/>
      <c r="AV477" s="38"/>
    </row>
    <row r="478" spans="1:48">
      <c r="A478" s="1"/>
      <c r="D478" s="33"/>
      <c r="E478" s="33"/>
      <c r="F478" s="33"/>
      <c r="G478" s="33"/>
      <c r="H478" s="34"/>
      <c r="J478" s="35"/>
      <c r="K478" s="35"/>
      <c r="L478" s="35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7"/>
      <c r="AS478" s="37"/>
      <c r="AT478" s="37"/>
      <c r="AU478" s="33"/>
      <c r="AV478" s="38"/>
    </row>
    <row r="479" spans="1:48">
      <c r="A479" s="1"/>
      <c r="D479" s="33"/>
      <c r="E479" s="33"/>
      <c r="F479" s="33"/>
      <c r="G479" s="33"/>
      <c r="H479" s="34"/>
      <c r="J479" s="35"/>
      <c r="K479" s="35"/>
      <c r="L479" s="35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7"/>
      <c r="AS479" s="37"/>
      <c r="AT479" s="37"/>
      <c r="AU479" s="33"/>
      <c r="AV479" s="38"/>
    </row>
    <row r="480" spans="1:48">
      <c r="A480" s="1"/>
      <c r="D480" s="33"/>
      <c r="E480" s="33"/>
      <c r="F480" s="33"/>
      <c r="G480" s="33"/>
      <c r="H480" s="34"/>
      <c r="J480" s="35"/>
      <c r="K480" s="35"/>
      <c r="L480" s="35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7"/>
      <c r="AS480" s="37"/>
      <c r="AT480" s="37"/>
      <c r="AU480" s="33"/>
      <c r="AV480" s="38"/>
    </row>
    <row r="481" spans="1:48">
      <c r="A481" s="1"/>
      <c r="D481" s="33"/>
      <c r="E481" s="33"/>
      <c r="F481" s="33"/>
      <c r="G481" s="33"/>
      <c r="H481" s="34"/>
      <c r="J481" s="35"/>
      <c r="K481" s="35"/>
      <c r="L481" s="35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7"/>
      <c r="AS481" s="37"/>
      <c r="AT481" s="37"/>
      <c r="AU481" s="33"/>
      <c r="AV481" s="38"/>
    </row>
    <row r="482" spans="1:48">
      <c r="A482" s="1"/>
      <c r="D482" s="33"/>
      <c r="E482" s="33"/>
      <c r="F482" s="33"/>
      <c r="G482" s="33"/>
      <c r="H482" s="34"/>
      <c r="J482" s="35"/>
      <c r="K482" s="35"/>
      <c r="L482" s="35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7"/>
      <c r="AS482" s="37"/>
      <c r="AT482" s="37"/>
      <c r="AU482" s="33"/>
      <c r="AV482" s="38"/>
    </row>
    <row r="483" spans="1:48">
      <c r="A483" s="1"/>
      <c r="D483" s="33"/>
      <c r="E483" s="33"/>
      <c r="F483" s="33"/>
      <c r="G483" s="33"/>
      <c r="H483" s="34"/>
      <c r="J483" s="35"/>
      <c r="K483" s="35"/>
      <c r="L483" s="35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7"/>
      <c r="AS483" s="37"/>
      <c r="AT483" s="37"/>
      <c r="AU483" s="33"/>
      <c r="AV483" s="38"/>
    </row>
    <row r="484" spans="1:48">
      <c r="A484" s="1"/>
      <c r="D484" s="33"/>
      <c r="E484" s="33"/>
      <c r="F484" s="33"/>
      <c r="G484" s="33"/>
      <c r="H484" s="34"/>
      <c r="J484" s="35"/>
      <c r="K484" s="35"/>
      <c r="L484" s="35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7"/>
      <c r="AS484" s="37"/>
      <c r="AT484" s="37"/>
      <c r="AU484" s="33"/>
      <c r="AV484" s="38"/>
    </row>
    <row r="485" spans="1:48">
      <c r="A485" s="1"/>
      <c r="D485" s="33"/>
      <c r="E485" s="33"/>
      <c r="F485" s="33"/>
      <c r="G485" s="33"/>
      <c r="H485" s="34"/>
      <c r="J485" s="35"/>
      <c r="K485" s="35"/>
      <c r="L485" s="35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7"/>
      <c r="AS485" s="37"/>
      <c r="AT485" s="37"/>
      <c r="AU485" s="33"/>
      <c r="AV485" s="38"/>
    </row>
    <row r="486" spans="1:48">
      <c r="A486" s="1"/>
      <c r="D486" s="33"/>
      <c r="E486" s="33"/>
      <c r="F486" s="33"/>
      <c r="G486" s="33"/>
      <c r="H486" s="34"/>
      <c r="J486" s="35"/>
      <c r="K486" s="35"/>
      <c r="L486" s="35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7"/>
      <c r="AS486" s="37"/>
      <c r="AT486" s="37"/>
      <c r="AU486" s="33"/>
      <c r="AV486" s="38"/>
    </row>
    <row r="487" spans="1:48">
      <c r="A487" s="1"/>
      <c r="D487" s="33"/>
      <c r="E487" s="33"/>
      <c r="F487" s="33"/>
      <c r="G487" s="33"/>
      <c r="H487" s="34"/>
      <c r="J487" s="35"/>
      <c r="K487" s="35"/>
      <c r="L487" s="35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7"/>
      <c r="AS487" s="37"/>
      <c r="AT487" s="37"/>
      <c r="AU487" s="33"/>
      <c r="AV487" s="38"/>
    </row>
    <row r="488" spans="1:48">
      <c r="A488" s="1"/>
      <c r="D488" s="33"/>
      <c r="E488" s="33"/>
      <c r="F488" s="33"/>
      <c r="G488" s="33"/>
      <c r="H488" s="34"/>
      <c r="J488" s="35"/>
      <c r="K488" s="35"/>
      <c r="L488" s="35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7"/>
      <c r="AS488" s="37"/>
      <c r="AT488" s="37"/>
      <c r="AU488" s="33"/>
      <c r="AV488" s="38"/>
    </row>
    <row r="489" spans="1:48">
      <c r="A489" s="1"/>
      <c r="D489" s="33"/>
      <c r="E489" s="33"/>
      <c r="F489" s="33"/>
      <c r="G489" s="33"/>
      <c r="H489" s="34"/>
      <c r="J489" s="35"/>
      <c r="K489" s="35"/>
      <c r="L489" s="35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7"/>
      <c r="AS489" s="37"/>
      <c r="AT489" s="37"/>
      <c r="AU489" s="33"/>
      <c r="AV489" s="38"/>
    </row>
    <row r="490" spans="1:48">
      <c r="A490" s="1"/>
      <c r="D490" s="33"/>
      <c r="E490" s="33"/>
      <c r="F490" s="33"/>
      <c r="G490" s="33"/>
      <c r="H490" s="34"/>
      <c r="J490" s="35"/>
      <c r="K490" s="35"/>
      <c r="L490" s="35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7"/>
      <c r="AS490" s="37"/>
      <c r="AT490" s="37"/>
      <c r="AU490" s="33"/>
      <c r="AV490" s="38"/>
    </row>
    <row r="491" spans="1:48">
      <c r="A491" s="1"/>
      <c r="D491" s="33"/>
      <c r="E491" s="33"/>
      <c r="F491" s="33"/>
      <c r="G491" s="33"/>
      <c r="H491" s="34"/>
      <c r="J491" s="35"/>
      <c r="K491" s="35"/>
      <c r="L491" s="35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7"/>
      <c r="AS491" s="37"/>
      <c r="AT491" s="37"/>
      <c r="AU491" s="33"/>
      <c r="AV491" s="38"/>
    </row>
    <row r="492" spans="1:48">
      <c r="A492" s="1"/>
      <c r="D492" s="33"/>
      <c r="E492" s="33"/>
      <c r="F492" s="33"/>
      <c r="G492" s="33"/>
      <c r="H492" s="34"/>
      <c r="J492" s="35"/>
      <c r="K492" s="35"/>
      <c r="L492" s="35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7"/>
      <c r="AS492" s="37"/>
      <c r="AT492" s="37"/>
      <c r="AU492" s="33"/>
      <c r="AV492" s="38"/>
    </row>
    <row r="493" spans="1:48">
      <c r="A493" s="1"/>
      <c r="D493" s="33"/>
      <c r="E493" s="33"/>
      <c r="F493" s="33"/>
      <c r="G493" s="33"/>
      <c r="H493" s="34"/>
      <c r="J493" s="35"/>
      <c r="K493" s="35"/>
      <c r="L493" s="35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7"/>
      <c r="AS493" s="37"/>
      <c r="AT493" s="37"/>
      <c r="AU493" s="33"/>
      <c r="AV493" s="38"/>
    </row>
    <row r="494" spans="1:48">
      <c r="A494" s="1"/>
      <c r="D494" s="33"/>
      <c r="E494" s="33"/>
      <c r="F494" s="33"/>
      <c r="G494" s="33"/>
      <c r="H494" s="34"/>
      <c r="J494" s="35"/>
      <c r="K494" s="35"/>
      <c r="L494" s="35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7"/>
      <c r="AS494" s="37"/>
      <c r="AT494" s="37"/>
      <c r="AU494" s="33"/>
      <c r="AV494" s="38"/>
    </row>
    <row r="495" spans="1:48">
      <c r="A495" s="1"/>
      <c r="D495" s="33"/>
      <c r="E495" s="33"/>
      <c r="F495" s="33"/>
      <c r="G495" s="33"/>
      <c r="H495" s="34"/>
      <c r="J495" s="35"/>
      <c r="K495" s="35"/>
      <c r="L495" s="35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7"/>
      <c r="AS495" s="37"/>
      <c r="AT495" s="37"/>
      <c r="AU495" s="33"/>
      <c r="AV495" s="38"/>
    </row>
    <row r="496" spans="1:48">
      <c r="A496" s="1"/>
      <c r="D496" s="33"/>
      <c r="E496" s="33"/>
      <c r="F496" s="33"/>
      <c r="G496" s="33"/>
      <c r="H496" s="34"/>
      <c r="J496" s="35"/>
      <c r="K496" s="35"/>
      <c r="L496" s="35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7"/>
      <c r="AS496" s="37"/>
      <c r="AT496" s="37"/>
      <c r="AU496" s="33"/>
      <c r="AV496" s="38"/>
    </row>
    <row r="497" spans="1:48">
      <c r="A497" s="1"/>
      <c r="D497" s="33"/>
      <c r="E497" s="33"/>
      <c r="F497" s="33"/>
      <c r="G497" s="33"/>
      <c r="H497" s="34"/>
      <c r="J497" s="35"/>
      <c r="K497" s="35"/>
      <c r="L497" s="35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7"/>
      <c r="AS497" s="37"/>
      <c r="AT497" s="37"/>
      <c r="AU497" s="33"/>
      <c r="AV497" s="38"/>
    </row>
    <row r="498" spans="1:48">
      <c r="A498" s="1"/>
      <c r="D498" s="33"/>
      <c r="E498" s="33"/>
      <c r="F498" s="33"/>
      <c r="G498" s="33"/>
      <c r="H498" s="34"/>
      <c r="J498" s="35"/>
      <c r="K498" s="35"/>
      <c r="L498" s="35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7"/>
      <c r="AS498" s="37"/>
      <c r="AT498" s="37"/>
      <c r="AU498" s="33"/>
      <c r="AV498" s="38"/>
    </row>
    <row r="499" spans="1:48">
      <c r="A499" s="1"/>
      <c r="D499" s="33"/>
      <c r="E499" s="33"/>
      <c r="F499" s="33"/>
      <c r="G499" s="33"/>
      <c r="H499" s="34"/>
      <c r="J499" s="35"/>
      <c r="K499" s="35"/>
      <c r="L499" s="35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7"/>
      <c r="AS499" s="37"/>
      <c r="AT499" s="37"/>
      <c r="AU499" s="33"/>
      <c r="AV499" s="38"/>
    </row>
    <row r="500" spans="1:48">
      <c r="A500" s="1"/>
      <c r="D500" s="33"/>
      <c r="E500" s="33"/>
      <c r="F500" s="33"/>
      <c r="G500" s="33"/>
      <c r="H500" s="34"/>
      <c r="J500" s="35"/>
      <c r="K500" s="35"/>
      <c r="L500" s="35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7"/>
      <c r="AS500" s="37"/>
      <c r="AT500" s="37"/>
      <c r="AU500" s="33"/>
      <c r="AV500" s="38"/>
    </row>
    <row r="501" spans="1:48">
      <c r="A501" s="1"/>
      <c r="D501" s="33"/>
      <c r="E501" s="33"/>
      <c r="F501" s="33"/>
      <c r="G501" s="33"/>
      <c r="H501" s="34"/>
      <c r="J501" s="35"/>
      <c r="K501" s="35"/>
      <c r="L501" s="35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7"/>
      <c r="AS501" s="37"/>
      <c r="AT501" s="37"/>
      <c r="AU501" s="33"/>
      <c r="AV501" s="38"/>
    </row>
    <row r="502" spans="1:48">
      <c r="A502" s="1"/>
      <c r="D502" s="33"/>
      <c r="E502" s="33"/>
      <c r="F502" s="33"/>
      <c r="G502" s="33"/>
      <c r="H502" s="34"/>
      <c r="J502" s="35"/>
      <c r="K502" s="35"/>
      <c r="L502" s="35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7"/>
      <c r="AS502" s="37"/>
      <c r="AT502" s="37"/>
      <c r="AU502" s="33"/>
      <c r="AV502" s="38"/>
    </row>
    <row r="503" spans="1:48">
      <c r="A503" s="1"/>
      <c r="D503" s="33"/>
      <c r="E503" s="33"/>
      <c r="F503" s="33"/>
      <c r="G503" s="33"/>
      <c r="H503" s="34"/>
      <c r="J503" s="35"/>
      <c r="K503" s="35"/>
      <c r="L503" s="35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7"/>
      <c r="AS503" s="37"/>
      <c r="AT503" s="37"/>
      <c r="AU503" s="33"/>
      <c r="AV503" s="38"/>
    </row>
    <row r="504" spans="1:48">
      <c r="A504" s="1"/>
      <c r="D504" s="33"/>
      <c r="E504" s="33"/>
      <c r="F504" s="33"/>
      <c r="G504" s="33"/>
      <c r="H504" s="34"/>
      <c r="J504" s="35"/>
      <c r="K504" s="35"/>
      <c r="L504" s="35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7"/>
      <c r="AS504" s="37"/>
      <c r="AT504" s="37"/>
      <c r="AU504" s="33"/>
      <c r="AV504" s="38"/>
    </row>
    <row r="505" spans="1:48">
      <c r="A505" s="1"/>
      <c r="D505" s="33"/>
      <c r="E505" s="33"/>
      <c r="F505" s="33"/>
      <c r="G505" s="33"/>
      <c r="H505" s="34"/>
      <c r="J505" s="35"/>
      <c r="K505" s="35"/>
      <c r="L505" s="35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7"/>
      <c r="AS505" s="37"/>
      <c r="AT505" s="37"/>
      <c r="AU505" s="33"/>
      <c r="AV505" s="38"/>
    </row>
    <row r="506" spans="1:48">
      <c r="A506" s="1"/>
      <c r="D506" s="33"/>
      <c r="E506" s="33"/>
      <c r="F506" s="33"/>
      <c r="G506" s="33"/>
      <c r="H506" s="34"/>
      <c r="J506" s="35"/>
      <c r="K506" s="35"/>
      <c r="L506" s="35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7"/>
      <c r="AS506" s="37"/>
      <c r="AT506" s="37"/>
      <c r="AU506" s="33"/>
      <c r="AV506" s="38"/>
    </row>
    <row r="507" spans="1:48">
      <c r="A507" s="1"/>
      <c r="D507" s="33"/>
      <c r="E507" s="33"/>
      <c r="F507" s="33"/>
      <c r="G507" s="33"/>
      <c r="H507" s="34"/>
      <c r="J507" s="35"/>
      <c r="K507" s="35"/>
      <c r="L507" s="35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7"/>
      <c r="AS507" s="37"/>
      <c r="AT507" s="37"/>
      <c r="AU507" s="33"/>
      <c r="AV507" s="38"/>
    </row>
    <row r="508" spans="1:48">
      <c r="A508" s="1"/>
      <c r="D508" s="33"/>
      <c r="E508" s="33"/>
      <c r="F508" s="33"/>
      <c r="G508" s="33"/>
      <c r="H508" s="34"/>
      <c r="J508" s="35"/>
      <c r="K508" s="35"/>
      <c r="L508" s="35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7"/>
      <c r="AS508" s="37"/>
      <c r="AT508" s="37"/>
      <c r="AU508" s="33"/>
      <c r="AV508" s="38"/>
    </row>
    <row r="509" spans="1:48">
      <c r="A509" s="1"/>
      <c r="D509" s="33"/>
      <c r="E509" s="33"/>
      <c r="F509" s="33"/>
      <c r="G509" s="33"/>
      <c r="H509" s="34"/>
      <c r="J509" s="35"/>
      <c r="K509" s="35"/>
      <c r="L509" s="35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7"/>
      <c r="AS509" s="37"/>
      <c r="AT509" s="37"/>
      <c r="AU509" s="33"/>
      <c r="AV509" s="38"/>
    </row>
    <row r="510" spans="1:48">
      <c r="A510" s="1"/>
      <c r="D510" s="33"/>
      <c r="E510" s="33"/>
      <c r="F510" s="33"/>
      <c r="G510" s="33"/>
      <c r="H510" s="34"/>
      <c r="J510" s="35"/>
      <c r="K510" s="35"/>
      <c r="L510" s="35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7"/>
      <c r="AS510" s="37"/>
      <c r="AT510" s="37"/>
      <c r="AU510" s="33"/>
      <c r="AV510" s="38"/>
    </row>
    <row r="511" spans="1:48">
      <c r="A511" s="1"/>
      <c r="D511" s="33"/>
      <c r="E511" s="33"/>
      <c r="F511" s="33"/>
      <c r="G511" s="33"/>
      <c r="H511" s="34"/>
      <c r="J511" s="35"/>
      <c r="K511" s="35"/>
      <c r="L511" s="35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7"/>
      <c r="AS511" s="37"/>
      <c r="AT511" s="37"/>
      <c r="AU511" s="33"/>
      <c r="AV511" s="38"/>
    </row>
    <row r="512" spans="1:48">
      <c r="A512" s="1"/>
      <c r="D512" s="33"/>
      <c r="E512" s="33"/>
      <c r="F512" s="33"/>
      <c r="G512" s="33"/>
      <c r="H512" s="34"/>
      <c r="J512" s="35"/>
      <c r="K512" s="35"/>
      <c r="L512" s="35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7"/>
      <c r="AS512" s="37"/>
      <c r="AT512" s="37"/>
      <c r="AU512" s="33"/>
      <c r="AV512" s="38"/>
    </row>
    <row r="513" spans="1:48">
      <c r="A513" s="1"/>
      <c r="D513" s="33"/>
      <c r="E513" s="33"/>
      <c r="F513" s="33"/>
      <c r="G513" s="33"/>
      <c r="H513" s="34"/>
      <c r="J513" s="35"/>
      <c r="K513" s="35"/>
      <c r="L513" s="35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7"/>
      <c r="AS513" s="37"/>
      <c r="AT513" s="37"/>
      <c r="AU513" s="33"/>
      <c r="AV513" s="38"/>
    </row>
    <row r="514" spans="1:48">
      <c r="A514" s="1"/>
      <c r="D514" s="33"/>
      <c r="E514" s="33"/>
      <c r="F514" s="33"/>
      <c r="G514" s="33"/>
      <c r="H514" s="34"/>
      <c r="J514" s="35"/>
      <c r="K514" s="35"/>
      <c r="L514" s="35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7"/>
      <c r="AS514" s="37"/>
      <c r="AT514" s="37"/>
      <c r="AU514" s="33"/>
      <c r="AV514" s="38"/>
    </row>
    <row r="515" spans="1:48">
      <c r="A515" s="1"/>
      <c r="D515" s="33"/>
      <c r="E515" s="33"/>
      <c r="F515" s="33"/>
      <c r="G515" s="33"/>
      <c r="H515" s="34"/>
      <c r="J515" s="35"/>
      <c r="K515" s="35"/>
      <c r="L515" s="35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7"/>
      <c r="AS515" s="37"/>
      <c r="AT515" s="37"/>
      <c r="AU515" s="33"/>
      <c r="AV515" s="38"/>
    </row>
    <row r="516" spans="1:48">
      <c r="A516" s="1"/>
      <c r="D516" s="33"/>
      <c r="E516" s="33"/>
      <c r="F516" s="33"/>
      <c r="G516" s="33"/>
      <c r="H516" s="34"/>
      <c r="J516" s="35"/>
      <c r="K516" s="35"/>
      <c r="L516" s="35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7"/>
      <c r="AS516" s="37"/>
      <c r="AT516" s="37"/>
      <c r="AU516" s="33"/>
      <c r="AV516" s="38"/>
    </row>
    <row r="517" spans="1:48">
      <c r="A517" s="1"/>
      <c r="D517" s="33"/>
      <c r="E517" s="33"/>
      <c r="F517" s="33"/>
      <c r="G517" s="33"/>
      <c r="H517" s="34"/>
      <c r="J517" s="35"/>
      <c r="K517" s="35"/>
      <c r="L517" s="35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7"/>
      <c r="AS517" s="37"/>
      <c r="AT517" s="37"/>
      <c r="AU517" s="33"/>
      <c r="AV517" s="38"/>
    </row>
    <row r="518" spans="1:48">
      <c r="A518" s="1"/>
      <c r="D518" s="33"/>
      <c r="E518" s="33"/>
      <c r="F518" s="33"/>
      <c r="G518" s="33"/>
      <c r="H518" s="34"/>
      <c r="J518" s="35"/>
      <c r="K518" s="35"/>
      <c r="L518" s="35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7"/>
      <c r="AS518" s="37"/>
      <c r="AT518" s="37"/>
      <c r="AU518" s="33"/>
      <c r="AV518" s="38"/>
    </row>
    <row r="519" spans="1:48">
      <c r="A519" s="1"/>
      <c r="D519" s="33"/>
      <c r="E519" s="33"/>
      <c r="F519" s="33"/>
      <c r="G519" s="33"/>
      <c r="H519" s="34"/>
      <c r="J519" s="35"/>
      <c r="K519" s="35"/>
      <c r="L519" s="35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7"/>
      <c r="AS519" s="37"/>
      <c r="AT519" s="37"/>
      <c r="AU519" s="33"/>
      <c r="AV519" s="38"/>
    </row>
    <row r="520" spans="1:48">
      <c r="A520" s="1"/>
      <c r="D520" s="33"/>
      <c r="E520" s="33"/>
      <c r="F520" s="33"/>
      <c r="G520" s="33"/>
      <c r="H520" s="34"/>
      <c r="J520" s="35"/>
      <c r="K520" s="35"/>
      <c r="L520" s="35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7"/>
      <c r="AS520" s="37"/>
      <c r="AT520" s="37"/>
      <c r="AU520" s="33"/>
      <c r="AV520" s="38"/>
    </row>
    <row r="521" spans="1:48">
      <c r="A521" s="1"/>
      <c r="D521" s="33"/>
      <c r="E521" s="33"/>
      <c r="F521" s="33"/>
      <c r="G521" s="33"/>
      <c r="H521" s="34"/>
      <c r="J521" s="35"/>
      <c r="K521" s="35"/>
      <c r="L521" s="35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7"/>
      <c r="AS521" s="37"/>
      <c r="AT521" s="37"/>
      <c r="AU521" s="33"/>
      <c r="AV521" s="38"/>
    </row>
    <row r="522" spans="1:48">
      <c r="A522" s="1"/>
      <c r="D522" s="33"/>
      <c r="E522" s="33"/>
      <c r="F522" s="33"/>
      <c r="G522" s="33"/>
      <c r="H522" s="34"/>
      <c r="J522" s="35"/>
      <c r="K522" s="35"/>
      <c r="L522" s="35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7"/>
      <c r="AS522" s="37"/>
      <c r="AT522" s="37"/>
      <c r="AU522" s="33"/>
      <c r="AV522" s="38"/>
    </row>
    <row r="523" spans="1:48">
      <c r="A523" s="1"/>
      <c r="D523" s="33"/>
      <c r="E523" s="33"/>
      <c r="F523" s="33"/>
      <c r="G523" s="33"/>
      <c r="H523" s="34"/>
      <c r="J523" s="35"/>
      <c r="K523" s="35"/>
      <c r="L523" s="35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7"/>
      <c r="AS523" s="37"/>
      <c r="AT523" s="37"/>
      <c r="AU523" s="33"/>
      <c r="AV523" s="38"/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autoFilter ref="A6:AV40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920" operator="lessThan">
      <formula>20</formula>
    </cfRule>
    <cfRule type="cellIs" dxfId="1" priority="4919" operator="greaterThan">
      <formula>120</formula>
    </cfRule>
    <cfRule type="containsText" dxfId="2" priority="4918" operator="between" text="库存为">
      <formula>NOT(ISERROR(SEARCH("库存为",AU2)))</formula>
    </cfRule>
  </conditionalFormatting>
  <conditionalFormatting sqref="AU6">
    <cfRule type="cellIs" dxfId="0" priority="1191" operator="lessThan">
      <formula>20</formula>
    </cfRule>
    <cfRule type="cellIs" dxfId="1" priority="794" operator="greaterThan">
      <formula>120</formula>
    </cfRule>
    <cfRule type="containsText" dxfId="2" priority="397" operator="between" text="库存为">
      <formula>NOT(ISERROR(SEARCH("库存为",AU6)))</formula>
    </cfRule>
  </conditionalFormatting>
  <conditionalFormatting sqref="AU7">
    <cfRule type="cellIs" dxfId="0" priority="1190" operator="lessThan">
      <formula>20</formula>
    </cfRule>
    <cfRule type="cellIs" dxfId="1" priority="793" operator="greaterThan">
      <formula>120</formula>
    </cfRule>
    <cfRule type="containsText" dxfId="2" priority="396" operator="between" text="库存为">
      <formula>NOT(ISERROR(SEARCH("库存为",AU7)))</formula>
    </cfRule>
  </conditionalFormatting>
  <conditionalFormatting sqref="AU8">
    <cfRule type="cellIs" dxfId="0" priority="1189" operator="lessThan">
      <formula>20</formula>
    </cfRule>
    <cfRule type="cellIs" dxfId="1" priority="792" operator="greaterThan">
      <formula>120</formula>
    </cfRule>
    <cfRule type="containsText" dxfId="2" priority="395" operator="between" text="库存为">
      <formula>NOT(ISERROR(SEARCH("库存为",AU8)))</formula>
    </cfRule>
  </conditionalFormatting>
  <conditionalFormatting sqref="AU9">
    <cfRule type="cellIs" dxfId="0" priority="1188" operator="lessThan">
      <formula>20</formula>
    </cfRule>
    <cfRule type="cellIs" dxfId="1" priority="791" operator="greaterThan">
      <formula>120</formula>
    </cfRule>
    <cfRule type="containsText" dxfId="2" priority="394" operator="between" text="库存为">
      <formula>NOT(ISERROR(SEARCH("库存为",AU9)))</formula>
    </cfRule>
  </conditionalFormatting>
  <conditionalFormatting sqref="AU10">
    <cfRule type="cellIs" dxfId="0" priority="1187" operator="lessThan">
      <formula>20</formula>
    </cfRule>
    <cfRule type="cellIs" dxfId="1" priority="790" operator="greaterThan">
      <formula>120</formula>
    </cfRule>
    <cfRule type="containsText" dxfId="2" priority="393" operator="between" text="库存为">
      <formula>NOT(ISERROR(SEARCH("库存为",AU10)))</formula>
    </cfRule>
  </conditionalFormatting>
  <conditionalFormatting sqref="AU11">
    <cfRule type="cellIs" dxfId="0" priority="1186" operator="lessThan">
      <formula>20</formula>
    </cfRule>
    <cfRule type="cellIs" dxfId="1" priority="789" operator="greaterThan">
      <formula>120</formula>
    </cfRule>
    <cfRule type="containsText" dxfId="2" priority="392" operator="between" text="库存为">
      <formula>NOT(ISERROR(SEARCH("库存为",AU11)))</formula>
    </cfRule>
  </conditionalFormatting>
  <conditionalFormatting sqref="AU12">
    <cfRule type="cellIs" dxfId="0" priority="1185" operator="lessThan">
      <formula>20</formula>
    </cfRule>
    <cfRule type="cellIs" dxfId="1" priority="788" operator="greaterThan">
      <formula>120</formula>
    </cfRule>
    <cfRule type="containsText" dxfId="2" priority="391" operator="between" text="库存为">
      <formula>NOT(ISERROR(SEARCH("库存为",AU12)))</formula>
    </cfRule>
  </conditionalFormatting>
  <conditionalFormatting sqref="AU13">
    <cfRule type="cellIs" dxfId="0" priority="1184" operator="lessThan">
      <formula>20</formula>
    </cfRule>
    <cfRule type="cellIs" dxfId="1" priority="787" operator="greaterThan">
      <formula>120</formula>
    </cfRule>
    <cfRule type="containsText" dxfId="2" priority="390" operator="between" text="库存为">
      <formula>NOT(ISERROR(SEARCH("库存为",AU13)))</formula>
    </cfRule>
  </conditionalFormatting>
  <conditionalFormatting sqref="AU14">
    <cfRule type="cellIs" dxfId="0" priority="1183" operator="lessThan">
      <formula>20</formula>
    </cfRule>
    <cfRule type="cellIs" dxfId="1" priority="786" operator="greaterThan">
      <formula>120</formula>
    </cfRule>
    <cfRule type="containsText" dxfId="2" priority="389" operator="between" text="库存为">
      <formula>NOT(ISERROR(SEARCH("库存为",AU14)))</formula>
    </cfRule>
  </conditionalFormatting>
  <conditionalFormatting sqref="AU15">
    <cfRule type="cellIs" dxfId="0" priority="1182" operator="lessThan">
      <formula>20</formula>
    </cfRule>
    <cfRule type="cellIs" dxfId="1" priority="785" operator="greaterThan">
      <formula>120</formula>
    </cfRule>
    <cfRule type="containsText" dxfId="2" priority="388" operator="between" text="库存为">
      <formula>NOT(ISERROR(SEARCH("库存为",AU15)))</formula>
    </cfRule>
  </conditionalFormatting>
  <conditionalFormatting sqref="AU16">
    <cfRule type="cellIs" dxfId="0" priority="1181" operator="lessThan">
      <formula>20</formula>
    </cfRule>
    <cfRule type="cellIs" dxfId="1" priority="784" operator="greaterThan">
      <formula>120</formula>
    </cfRule>
    <cfRule type="containsText" dxfId="2" priority="387" operator="between" text="库存为">
      <formula>NOT(ISERROR(SEARCH("库存为",AU16)))</formula>
    </cfRule>
  </conditionalFormatting>
  <conditionalFormatting sqref="AU17">
    <cfRule type="cellIs" dxfId="0" priority="1180" operator="lessThan">
      <formula>20</formula>
    </cfRule>
    <cfRule type="cellIs" dxfId="1" priority="783" operator="greaterThan">
      <formula>120</formula>
    </cfRule>
    <cfRule type="containsText" dxfId="2" priority="386" operator="between" text="库存为">
      <formula>NOT(ISERROR(SEARCH("库存为",AU17)))</formula>
    </cfRule>
  </conditionalFormatting>
  <conditionalFormatting sqref="AU18">
    <cfRule type="cellIs" dxfId="0" priority="1179" operator="lessThan">
      <formula>20</formula>
    </cfRule>
    <cfRule type="cellIs" dxfId="1" priority="782" operator="greaterThan">
      <formula>120</formula>
    </cfRule>
    <cfRule type="containsText" dxfId="2" priority="385" operator="between" text="库存为">
      <formula>NOT(ISERROR(SEARCH("库存为",AU18)))</formula>
    </cfRule>
  </conditionalFormatting>
  <conditionalFormatting sqref="AU19">
    <cfRule type="cellIs" dxfId="0" priority="1178" operator="lessThan">
      <formula>20</formula>
    </cfRule>
    <cfRule type="cellIs" dxfId="1" priority="781" operator="greaterThan">
      <formula>120</formula>
    </cfRule>
    <cfRule type="containsText" dxfId="2" priority="384" operator="between" text="库存为">
      <formula>NOT(ISERROR(SEARCH("库存为",AU19)))</formula>
    </cfRule>
  </conditionalFormatting>
  <conditionalFormatting sqref="AU20">
    <cfRule type="cellIs" dxfId="0" priority="1177" operator="lessThan">
      <formula>20</formula>
    </cfRule>
    <cfRule type="cellIs" dxfId="1" priority="780" operator="greaterThan">
      <formula>120</formula>
    </cfRule>
    <cfRule type="containsText" dxfId="2" priority="383" operator="between" text="库存为">
      <formula>NOT(ISERROR(SEARCH("库存为",AU20)))</formula>
    </cfRule>
  </conditionalFormatting>
  <conditionalFormatting sqref="AU21">
    <cfRule type="cellIs" dxfId="0" priority="1176" operator="lessThan">
      <formula>20</formula>
    </cfRule>
    <cfRule type="cellIs" dxfId="1" priority="779" operator="greaterThan">
      <formula>120</formula>
    </cfRule>
    <cfRule type="containsText" dxfId="2" priority="382" operator="between" text="库存为">
      <formula>NOT(ISERROR(SEARCH("库存为",AU21)))</formula>
    </cfRule>
  </conditionalFormatting>
  <conditionalFormatting sqref="AU22">
    <cfRule type="cellIs" dxfId="0" priority="1175" operator="lessThan">
      <formula>20</formula>
    </cfRule>
    <cfRule type="cellIs" dxfId="1" priority="778" operator="greaterThan">
      <formula>120</formula>
    </cfRule>
    <cfRule type="containsText" dxfId="2" priority="381" operator="between" text="库存为">
      <formula>NOT(ISERROR(SEARCH("库存为",AU22)))</formula>
    </cfRule>
  </conditionalFormatting>
  <conditionalFormatting sqref="AU23">
    <cfRule type="cellIs" dxfId="0" priority="1174" operator="lessThan">
      <formula>20</formula>
    </cfRule>
    <cfRule type="cellIs" dxfId="1" priority="777" operator="greaterThan">
      <formula>120</formula>
    </cfRule>
    <cfRule type="containsText" dxfId="2" priority="380" operator="between" text="库存为">
      <formula>NOT(ISERROR(SEARCH("库存为",AU23)))</formula>
    </cfRule>
  </conditionalFormatting>
  <conditionalFormatting sqref="AU24">
    <cfRule type="cellIs" dxfId="0" priority="1173" operator="lessThan">
      <formula>20</formula>
    </cfRule>
    <cfRule type="cellIs" dxfId="1" priority="776" operator="greaterThan">
      <formula>120</formula>
    </cfRule>
    <cfRule type="containsText" dxfId="2" priority="379" operator="between" text="库存为">
      <formula>NOT(ISERROR(SEARCH("库存为",AU24)))</formula>
    </cfRule>
  </conditionalFormatting>
  <conditionalFormatting sqref="AU25">
    <cfRule type="cellIs" dxfId="0" priority="1172" operator="lessThan">
      <formula>20</formula>
    </cfRule>
    <cfRule type="cellIs" dxfId="1" priority="775" operator="greaterThan">
      <formula>120</formula>
    </cfRule>
    <cfRule type="containsText" dxfId="2" priority="378" operator="between" text="库存为">
      <formula>NOT(ISERROR(SEARCH("库存为",AU25)))</formula>
    </cfRule>
  </conditionalFormatting>
  <conditionalFormatting sqref="AU26">
    <cfRule type="cellIs" dxfId="0" priority="1171" operator="lessThan">
      <formula>20</formula>
    </cfRule>
    <cfRule type="cellIs" dxfId="1" priority="774" operator="greaterThan">
      <formula>120</formula>
    </cfRule>
    <cfRule type="containsText" dxfId="2" priority="377" operator="between" text="库存为">
      <formula>NOT(ISERROR(SEARCH("库存为",AU26)))</formula>
    </cfRule>
  </conditionalFormatting>
  <conditionalFormatting sqref="AU27">
    <cfRule type="cellIs" dxfId="0" priority="1170" operator="lessThan">
      <formula>20</formula>
    </cfRule>
    <cfRule type="cellIs" dxfId="1" priority="773" operator="greaterThan">
      <formula>120</formula>
    </cfRule>
    <cfRule type="containsText" dxfId="2" priority="376" operator="between" text="库存为">
      <formula>NOT(ISERROR(SEARCH("库存为",AU27)))</formula>
    </cfRule>
  </conditionalFormatting>
  <conditionalFormatting sqref="AU28">
    <cfRule type="cellIs" dxfId="0" priority="1169" operator="lessThan">
      <formula>20</formula>
    </cfRule>
    <cfRule type="cellIs" dxfId="1" priority="772" operator="greaterThan">
      <formula>120</formula>
    </cfRule>
    <cfRule type="containsText" dxfId="2" priority="375" operator="between" text="库存为">
      <formula>NOT(ISERROR(SEARCH("库存为",AU28)))</formula>
    </cfRule>
  </conditionalFormatting>
  <conditionalFormatting sqref="AU29">
    <cfRule type="cellIs" dxfId="0" priority="1168" operator="lessThan">
      <formula>20</formula>
    </cfRule>
    <cfRule type="cellIs" dxfId="1" priority="771" operator="greaterThan">
      <formula>120</formula>
    </cfRule>
    <cfRule type="containsText" dxfId="2" priority="374" operator="between" text="库存为">
      <formula>NOT(ISERROR(SEARCH("库存为",AU29)))</formula>
    </cfRule>
  </conditionalFormatting>
  <conditionalFormatting sqref="AU30">
    <cfRule type="cellIs" dxfId="0" priority="1167" operator="lessThan">
      <formula>20</formula>
    </cfRule>
    <cfRule type="cellIs" dxfId="1" priority="770" operator="greaterThan">
      <formula>120</formula>
    </cfRule>
    <cfRule type="containsText" dxfId="2" priority="373" operator="between" text="库存为">
      <formula>NOT(ISERROR(SEARCH("库存为",AU30)))</formula>
    </cfRule>
  </conditionalFormatting>
  <conditionalFormatting sqref="AU31">
    <cfRule type="cellIs" dxfId="0" priority="1166" operator="lessThan">
      <formula>20</formula>
    </cfRule>
    <cfRule type="cellIs" dxfId="1" priority="769" operator="greaterThan">
      <formula>120</formula>
    </cfRule>
    <cfRule type="containsText" dxfId="2" priority="372" operator="between" text="库存为">
      <formula>NOT(ISERROR(SEARCH("库存为",AU31)))</formula>
    </cfRule>
  </conditionalFormatting>
  <conditionalFormatting sqref="AU32">
    <cfRule type="cellIs" dxfId="0" priority="1165" operator="lessThan">
      <formula>20</formula>
    </cfRule>
    <cfRule type="cellIs" dxfId="1" priority="768" operator="greaterThan">
      <formula>120</formula>
    </cfRule>
    <cfRule type="containsText" dxfId="2" priority="371" operator="between" text="库存为">
      <formula>NOT(ISERROR(SEARCH("库存为",AU32)))</formula>
    </cfRule>
  </conditionalFormatting>
  <conditionalFormatting sqref="AU33">
    <cfRule type="cellIs" dxfId="0" priority="1164" operator="lessThan">
      <formula>20</formula>
    </cfRule>
    <cfRule type="cellIs" dxfId="1" priority="767" operator="greaterThan">
      <formula>120</formula>
    </cfRule>
    <cfRule type="containsText" dxfId="2" priority="370" operator="between" text="库存为">
      <formula>NOT(ISERROR(SEARCH("库存为",AU33)))</formula>
    </cfRule>
  </conditionalFormatting>
  <conditionalFormatting sqref="AU34">
    <cfRule type="cellIs" dxfId="0" priority="1163" operator="lessThan">
      <formula>20</formula>
    </cfRule>
    <cfRule type="cellIs" dxfId="1" priority="766" operator="greaterThan">
      <formula>120</formula>
    </cfRule>
    <cfRule type="containsText" dxfId="2" priority="369" operator="between" text="库存为">
      <formula>NOT(ISERROR(SEARCH("库存为",AU34)))</formula>
    </cfRule>
  </conditionalFormatting>
  <conditionalFormatting sqref="AU35">
    <cfRule type="cellIs" dxfId="0" priority="1162" operator="lessThan">
      <formula>20</formula>
    </cfRule>
    <cfRule type="cellIs" dxfId="1" priority="765" operator="greaterThan">
      <formula>120</formula>
    </cfRule>
    <cfRule type="containsText" dxfId="2" priority="368" operator="between" text="库存为">
      <formula>NOT(ISERROR(SEARCH("库存为",AU35)))</formula>
    </cfRule>
  </conditionalFormatting>
  <conditionalFormatting sqref="AU36">
    <cfRule type="cellIs" dxfId="0" priority="1161" operator="lessThan">
      <formula>20</formula>
    </cfRule>
    <cfRule type="cellIs" dxfId="1" priority="764" operator="greaterThan">
      <formula>120</formula>
    </cfRule>
    <cfRule type="containsText" dxfId="2" priority="367" operator="between" text="库存为">
      <formula>NOT(ISERROR(SEARCH("库存为",AU36)))</formula>
    </cfRule>
  </conditionalFormatting>
  <conditionalFormatting sqref="AU37">
    <cfRule type="cellIs" dxfId="0" priority="1160" operator="lessThan">
      <formula>20</formula>
    </cfRule>
    <cfRule type="cellIs" dxfId="1" priority="763" operator="greaterThan">
      <formula>120</formula>
    </cfRule>
    <cfRule type="containsText" dxfId="2" priority="366" operator="between" text="库存为">
      <formula>NOT(ISERROR(SEARCH("库存为",AU37)))</formula>
    </cfRule>
  </conditionalFormatting>
  <conditionalFormatting sqref="AU38">
    <cfRule type="cellIs" dxfId="0" priority="1159" operator="lessThan">
      <formula>20</formula>
    </cfRule>
    <cfRule type="cellIs" dxfId="1" priority="762" operator="greaterThan">
      <formula>120</formula>
    </cfRule>
    <cfRule type="containsText" dxfId="2" priority="365" operator="between" text="库存为">
      <formula>NOT(ISERROR(SEARCH("库存为",AU38)))</formula>
    </cfRule>
  </conditionalFormatting>
  <conditionalFormatting sqref="AU39">
    <cfRule type="cellIs" dxfId="0" priority="1158" operator="lessThan">
      <formula>20</formula>
    </cfRule>
    <cfRule type="cellIs" dxfId="1" priority="761" operator="greaterThan">
      <formula>120</formula>
    </cfRule>
    <cfRule type="containsText" dxfId="2" priority="364" operator="between" text="库存为">
      <formula>NOT(ISERROR(SEARCH("库存为",AU39)))</formula>
    </cfRule>
  </conditionalFormatting>
  <conditionalFormatting sqref="AU40">
    <cfRule type="cellIs" dxfId="0" priority="1157" operator="lessThan">
      <formula>20</formula>
    </cfRule>
    <cfRule type="cellIs" dxfId="1" priority="760" operator="greaterThan">
      <formula>120</formula>
    </cfRule>
    <cfRule type="containsText" dxfId="2" priority="363" operator="between" text="库存为">
      <formula>NOT(ISERROR(SEARCH("库存为",AU40)))</formula>
    </cfRule>
  </conditionalFormatting>
  <conditionalFormatting sqref="AU41">
    <cfRule type="cellIs" dxfId="0" priority="1156" operator="lessThan">
      <formula>20</formula>
    </cfRule>
    <cfRule type="cellIs" dxfId="1" priority="759" operator="greaterThan">
      <formula>120</formula>
    </cfRule>
    <cfRule type="containsText" dxfId="2" priority="362" operator="between" text="库存为">
      <formula>NOT(ISERROR(SEARCH("库存为",AU41)))</formula>
    </cfRule>
  </conditionalFormatting>
  <conditionalFormatting sqref="AU42">
    <cfRule type="cellIs" dxfId="0" priority="1155" operator="lessThan">
      <formula>20</formula>
    </cfRule>
    <cfRule type="cellIs" dxfId="1" priority="758" operator="greaterThan">
      <formula>120</formula>
    </cfRule>
    <cfRule type="containsText" dxfId="2" priority="361" operator="between" text="库存为">
      <formula>NOT(ISERROR(SEARCH("库存为",AU42)))</formula>
    </cfRule>
  </conditionalFormatting>
  <conditionalFormatting sqref="AU43">
    <cfRule type="cellIs" dxfId="0" priority="1154" operator="lessThan">
      <formula>20</formula>
    </cfRule>
    <cfRule type="cellIs" dxfId="1" priority="757" operator="greaterThan">
      <formula>120</formula>
    </cfRule>
    <cfRule type="containsText" dxfId="2" priority="360" operator="between" text="库存为">
      <formula>NOT(ISERROR(SEARCH("库存为",AU43)))</formula>
    </cfRule>
  </conditionalFormatting>
  <conditionalFormatting sqref="AU44">
    <cfRule type="cellIs" dxfId="0" priority="1153" operator="lessThan">
      <formula>20</formula>
    </cfRule>
    <cfRule type="cellIs" dxfId="1" priority="756" operator="greaterThan">
      <formula>120</formula>
    </cfRule>
    <cfRule type="containsText" dxfId="2" priority="359" operator="between" text="库存为">
      <formula>NOT(ISERROR(SEARCH("库存为",AU44)))</formula>
    </cfRule>
  </conditionalFormatting>
  <conditionalFormatting sqref="AU45">
    <cfRule type="cellIs" dxfId="0" priority="1152" operator="lessThan">
      <formula>20</formula>
    </cfRule>
    <cfRule type="cellIs" dxfId="1" priority="755" operator="greaterThan">
      <formula>120</formula>
    </cfRule>
    <cfRule type="containsText" dxfId="2" priority="358" operator="between" text="库存为">
      <formula>NOT(ISERROR(SEARCH("库存为",AU45)))</formula>
    </cfRule>
  </conditionalFormatting>
  <conditionalFormatting sqref="AU46">
    <cfRule type="cellIs" dxfId="0" priority="1151" operator="lessThan">
      <formula>20</formula>
    </cfRule>
    <cfRule type="cellIs" dxfId="1" priority="754" operator="greaterThan">
      <formula>120</formula>
    </cfRule>
    <cfRule type="containsText" dxfId="2" priority="357" operator="between" text="库存为">
      <formula>NOT(ISERROR(SEARCH("库存为",AU46)))</formula>
    </cfRule>
  </conditionalFormatting>
  <conditionalFormatting sqref="AU47">
    <cfRule type="cellIs" dxfId="0" priority="1150" operator="lessThan">
      <formula>20</formula>
    </cfRule>
    <cfRule type="cellIs" dxfId="1" priority="753" operator="greaterThan">
      <formula>120</formula>
    </cfRule>
    <cfRule type="containsText" dxfId="2" priority="356" operator="between" text="库存为">
      <formula>NOT(ISERROR(SEARCH("库存为",AU47)))</formula>
    </cfRule>
  </conditionalFormatting>
  <conditionalFormatting sqref="AU48">
    <cfRule type="cellIs" dxfId="0" priority="1149" operator="lessThan">
      <formula>20</formula>
    </cfRule>
    <cfRule type="cellIs" dxfId="1" priority="752" operator="greaterThan">
      <formula>120</formula>
    </cfRule>
    <cfRule type="containsText" dxfId="2" priority="355" operator="between" text="库存为">
      <formula>NOT(ISERROR(SEARCH("库存为",AU48)))</formula>
    </cfRule>
  </conditionalFormatting>
  <conditionalFormatting sqref="AU49">
    <cfRule type="cellIs" dxfId="0" priority="1148" operator="lessThan">
      <formula>20</formula>
    </cfRule>
    <cfRule type="cellIs" dxfId="1" priority="751" operator="greaterThan">
      <formula>120</formula>
    </cfRule>
    <cfRule type="containsText" dxfId="2" priority="354" operator="between" text="库存为">
      <formula>NOT(ISERROR(SEARCH("库存为",AU49)))</formula>
    </cfRule>
  </conditionalFormatting>
  <conditionalFormatting sqref="AU50">
    <cfRule type="cellIs" dxfId="0" priority="1147" operator="lessThan">
      <formula>20</formula>
    </cfRule>
    <cfRule type="cellIs" dxfId="1" priority="750" operator="greaterThan">
      <formula>120</formula>
    </cfRule>
    <cfRule type="containsText" dxfId="2" priority="353" operator="between" text="库存为">
      <formula>NOT(ISERROR(SEARCH("库存为",AU50)))</formula>
    </cfRule>
  </conditionalFormatting>
  <conditionalFormatting sqref="AU51">
    <cfRule type="cellIs" dxfId="0" priority="1146" operator="lessThan">
      <formula>20</formula>
    </cfRule>
    <cfRule type="cellIs" dxfId="1" priority="749" operator="greaterThan">
      <formula>120</formula>
    </cfRule>
    <cfRule type="containsText" dxfId="2" priority="352" operator="between" text="库存为">
      <formula>NOT(ISERROR(SEARCH("库存为",AU51)))</formula>
    </cfRule>
  </conditionalFormatting>
  <conditionalFormatting sqref="AU52">
    <cfRule type="cellIs" dxfId="0" priority="1145" operator="lessThan">
      <formula>20</formula>
    </cfRule>
    <cfRule type="cellIs" dxfId="1" priority="748" operator="greaterThan">
      <formula>120</formula>
    </cfRule>
    <cfRule type="containsText" dxfId="2" priority="351" operator="between" text="库存为">
      <formula>NOT(ISERROR(SEARCH("库存为",AU52)))</formula>
    </cfRule>
  </conditionalFormatting>
  <conditionalFormatting sqref="AU53">
    <cfRule type="cellIs" dxfId="0" priority="1144" operator="lessThan">
      <formula>20</formula>
    </cfRule>
    <cfRule type="cellIs" dxfId="1" priority="747" operator="greaterThan">
      <formula>120</formula>
    </cfRule>
    <cfRule type="containsText" dxfId="2" priority="350" operator="between" text="库存为">
      <formula>NOT(ISERROR(SEARCH("库存为",AU53)))</formula>
    </cfRule>
  </conditionalFormatting>
  <conditionalFormatting sqref="AU54">
    <cfRule type="cellIs" dxfId="0" priority="1143" operator="lessThan">
      <formula>20</formula>
    </cfRule>
    <cfRule type="cellIs" dxfId="1" priority="746" operator="greaterThan">
      <formula>120</formula>
    </cfRule>
    <cfRule type="containsText" dxfId="2" priority="349" operator="between" text="库存为">
      <formula>NOT(ISERROR(SEARCH("库存为",AU54)))</formula>
    </cfRule>
  </conditionalFormatting>
  <conditionalFormatting sqref="AU55">
    <cfRule type="cellIs" dxfId="0" priority="1142" operator="lessThan">
      <formula>20</formula>
    </cfRule>
    <cfRule type="cellIs" dxfId="1" priority="745" operator="greaterThan">
      <formula>120</formula>
    </cfRule>
    <cfRule type="containsText" dxfId="2" priority="348" operator="between" text="库存为">
      <formula>NOT(ISERROR(SEARCH("库存为",AU55)))</formula>
    </cfRule>
  </conditionalFormatting>
  <conditionalFormatting sqref="AU56">
    <cfRule type="cellIs" dxfId="0" priority="1141" operator="lessThan">
      <formula>20</formula>
    </cfRule>
    <cfRule type="cellIs" dxfId="1" priority="744" operator="greaterThan">
      <formula>120</formula>
    </cfRule>
    <cfRule type="containsText" dxfId="2" priority="347" operator="between" text="库存为">
      <formula>NOT(ISERROR(SEARCH("库存为",AU56)))</formula>
    </cfRule>
  </conditionalFormatting>
  <conditionalFormatting sqref="AU57">
    <cfRule type="cellIs" dxfId="0" priority="1140" operator="lessThan">
      <formula>20</formula>
    </cfRule>
    <cfRule type="cellIs" dxfId="1" priority="743" operator="greaterThan">
      <formula>120</formula>
    </cfRule>
    <cfRule type="containsText" dxfId="2" priority="346" operator="between" text="库存为">
      <formula>NOT(ISERROR(SEARCH("库存为",AU57)))</formula>
    </cfRule>
  </conditionalFormatting>
  <conditionalFormatting sqref="AU58">
    <cfRule type="cellIs" dxfId="0" priority="1139" operator="lessThan">
      <formula>20</formula>
    </cfRule>
    <cfRule type="cellIs" dxfId="1" priority="742" operator="greaterThan">
      <formula>120</formula>
    </cfRule>
    <cfRule type="containsText" dxfId="2" priority="345" operator="between" text="库存为">
      <formula>NOT(ISERROR(SEARCH("库存为",AU58)))</formula>
    </cfRule>
  </conditionalFormatting>
  <conditionalFormatting sqref="AU59">
    <cfRule type="cellIs" dxfId="0" priority="1138" operator="lessThan">
      <formula>20</formula>
    </cfRule>
    <cfRule type="cellIs" dxfId="1" priority="741" operator="greaterThan">
      <formula>120</formula>
    </cfRule>
    <cfRule type="containsText" dxfId="2" priority="344" operator="between" text="库存为">
      <formula>NOT(ISERROR(SEARCH("库存为",AU59)))</formula>
    </cfRule>
  </conditionalFormatting>
  <conditionalFormatting sqref="AU60">
    <cfRule type="cellIs" dxfId="0" priority="1137" operator="lessThan">
      <formula>20</formula>
    </cfRule>
    <cfRule type="cellIs" dxfId="1" priority="740" operator="greaterThan">
      <formula>120</formula>
    </cfRule>
    <cfRule type="containsText" dxfId="2" priority="343" operator="between" text="库存为">
      <formula>NOT(ISERROR(SEARCH("库存为",AU60)))</formula>
    </cfRule>
  </conditionalFormatting>
  <conditionalFormatting sqref="AU61">
    <cfRule type="cellIs" dxfId="0" priority="1136" operator="lessThan">
      <formula>20</formula>
    </cfRule>
    <cfRule type="cellIs" dxfId="1" priority="739" operator="greaterThan">
      <formula>120</formula>
    </cfRule>
    <cfRule type="containsText" dxfId="2" priority="342" operator="between" text="库存为">
      <formula>NOT(ISERROR(SEARCH("库存为",AU61)))</formula>
    </cfRule>
  </conditionalFormatting>
  <conditionalFormatting sqref="AU62">
    <cfRule type="cellIs" dxfId="0" priority="1135" operator="lessThan">
      <formula>20</formula>
    </cfRule>
    <cfRule type="cellIs" dxfId="1" priority="738" operator="greaterThan">
      <formula>120</formula>
    </cfRule>
    <cfRule type="containsText" dxfId="2" priority="341" operator="between" text="库存为">
      <formula>NOT(ISERROR(SEARCH("库存为",AU62)))</formula>
    </cfRule>
  </conditionalFormatting>
  <conditionalFormatting sqref="AU63">
    <cfRule type="cellIs" dxfId="0" priority="1134" operator="lessThan">
      <formula>20</formula>
    </cfRule>
    <cfRule type="cellIs" dxfId="1" priority="737" operator="greaterThan">
      <formula>120</formula>
    </cfRule>
    <cfRule type="containsText" dxfId="2" priority="340" operator="between" text="库存为">
      <formula>NOT(ISERROR(SEARCH("库存为",AU63)))</formula>
    </cfRule>
  </conditionalFormatting>
  <conditionalFormatting sqref="AU64">
    <cfRule type="cellIs" dxfId="0" priority="1133" operator="lessThan">
      <formula>20</formula>
    </cfRule>
    <cfRule type="cellIs" dxfId="1" priority="736" operator="greaterThan">
      <formula>120</formula>
    </cfRule>
    <cfRule type="containsText" dxfId="2" priority="339" operator="between" text="库存为">
      <formula>NOT(ISERROR(SEARCH("库存为",AU64)))</formula>
    </cfRule>
  </conditionalFormatting>
  <conditionalFormatting sqref="AU65">
    <cfRule type="cellIs" dxfId="0" priority="1132" operator="lessThan">
      <formula>20</formula>
    </cfRule>
    <cfRule type="cellIs" dxfId="1" priority="735" operator="greaterThan">
      <formula>120</formula>
    </cfRule>
    <cfRule type="containsText" dxfId="2" priority="338" operator="between" text="库存为">
      <formula>NOT(ISERROR(SEARCH("库存为",AU65)))</formula>
    </cfRule>
  </conditionalFormatting>
  <conditionalFormatting sqref="AU66">
    <cfRule type="cellIs" dxfId="0" priority="1131" operator="lessThan">
      <formula>20</formula>
    </cfRule>
    <cfRule type="cellIs" dxfId="1" priority="734" operator="greaterThan">
      <formula>120</formula>
    </cfRule>
    <cfRule type="containsText" dxfId="2" priority="337" operator="between" text="库存为">
      <formula>NOT(ISERROR(SEARCH("库存为",AU66)))</formula>
    </cfRule>
  </conditionalFormatting>
  <conditionalFormatting sqref="AU67">
    <cfRule type="cellIs" dxfId="0" priority="1130" operator="lessThan">
      <formula>20</formula>
    </cfRule>
    <cfRule type="cellIs" dxfId="1" priority="733" operator="greaterThan">
      <formula>120</formula>
    </cfRule>
    <cfRule type="containsText" dxfId="2" priority="336" operator="between" text="库存为">
      <formula>NOT(ISERROR(SEARCH("库存为",AU67)))</formula>
    </cfRule>
  </conditionalFormatting>
  <conditionalFormatting sqref="AU68">
    <cfRule type="cellIs" dxfId="0" priority="1129" operator="lessThan">
      <formula>20</formula>
    </cfRule>
    <cfRule type="cellIs" dxfId="1" priority="732" operator="greaterThan">
      <formula>120</formula>
    </cfRule>
    <cfRule type="containsText" dxfId="2" priority="335" operator="between" text="库存为">
      <formula>NOT(ISERROR(SEARCH("库存为",AU68)))</formula>
    </cfRule>
  </conditionalFormatting>
  <conditionalFormatting sqref="AU69">
    <cfRule type="cellIs" dxfId="0" priority="1128" operator="lessThan">
      <formula>20</formula>
    </cfRule>
    <cfRule type="cellIs" dxfId="1" priority="731" operator="greaterThan">
      <formula>120</formula>
    </cfRule>
    <cfRule type="containsText" dxfId="2" priority="334" operator="between" text="库存为">
      <formula>NOT(ISERROR(SEARCH("库存为",AU69)))</formula>
    </cfRule>
  </conditionalFormatting>
  <conditionalFormatting sqref="AU70">
    <cfRule type="cellIs" dxfId="0" priority="1127" operator="lessThan">
      <formula>20</formula>
    </cfRule>
    <cfRule type="cellIs" dxfId="1" priority="730" operator="greaterThan">
      <formula>120</formula>
    </cfRule>
    <cfRule type="containsText" dxfId="2" priority="333" operator="between" text="库存为">
      <formula>NOT(ISERROR(SEARCH("库存为",AU70)))</formula>
    </cfRule>
  </conditionalFormatting>
  <conditionalFormatting sqref="AU71">
    <cfRule type="cellIs" dxfId="0" priority="1126" operator="lessThan">
      <formula>20</formula>
    </cfRule>
    <cfRule type="cellIs" dxfId="1" priority="729" operator="greaterThan">
      <formula>120</formula>
    </cfRule>
    <cfRule type="containsText" dxfId="2" priority="332" operator="between" text="库存为">
      <formula>NOT(ISERROR(SEARCH("库存为",AU71)))</formula>
    </cfRule>
  </conditionalFormatting>
  <conditionalFormatting sqref="AU72">
    <cfRule type="cellIs" dxfId="0" priority="1125" operator="lessThan">
      <formula>20</formula>
    </cfRule>
    <cfRule type="cellIs" dxfId="1" priority="728" operator="greaterThan">
      <formula>120</formula>
    </cfRule>
    <cfRule type="containsText" dxfId="2" priority="331" operator="between" text="库存为">
      <formula>NOT(ISERROR(SEARCH("库存为",AU72)))</formula>
    </cfRule>
  </conditionalFormatting>
  <conditionalFormatting sqref="AU73">
    <cfRule type="cellIs" dxfId="0" priority="1124" operator="lessThan">
      <formula>20</formula>
    </cfRule>
    <cfRule type="cellIs" dxfId="1" priority="727" operator="greaterThan">
      <formula>120</formula>
    </cfRule>
    <cfRule type="containsText" dxfId="2" priority="330" operator="between" text="库存为">
      <formula>NOT(ISERROR(SEARCH("库存为",AU73)))</formula>
    </cfRule>
  </conditionalFormatting>
  <conditionalFormatting sqref="AU74">
    <cfRule type="cellIs" dxfId="0" priority="1123" operator="lessThan">
      <formula>20</formula>
    </cfRule>
    <cfRule type="cellIs" dxfId="1" priority="726" operator="greaterThan">
      <formula>120</formula>
    </cfRule>
    <cfRule type="containsText" dxfId="2" priority="329" operator="between" text="库存为">
      <formula>NOT(ISERROR(SEARCH("库存为",AU74)))</formula>
    </cfRule>
  </conditionalFormatting>
  <conditionalFormatting sqref="AU75">
    <cfRule type="cellIs" dxfId="0" priority="1122" operator="lessThan">
      <formula>20</formula>
    </cfRule>
    <cfRule type="cellIs" dxfId="1" priority="725" operator="greaterThan">
      <formula>120</formula>
    </cfRule>
    <cfRule type="containsText" dxfId="2" priority="328" operator="between" text="库存为">
      <formula>NOT(ISERROR(SEARCH("库存为",AU75)))</formula>
    </cfRule>
  </conditionalFormatting>
  <conditionalFormatting sqref="AU76">
    <cfRule type="cellIs" dxfId="0" priority="1121" operator="lessThan">
      <formula>20</formula>
    </cfRule>
    <cfRule type="cellIs" dxfId="1" priority="724" operator="greaterThan">
      <formula>120</formula>
    </cfRule>
    <cfRule type="containsText" dxfId="2" priority="327" operator="between" text="库存为">
      <formula>NOT(ISERROR(SEARCH("库存为",AU76)))</formula>
    </cfRule>
  </conditionalFormatting>
  <conditionalFormatting sqref="AU77">
    <cfRule type="cellIs" dxfId="0" priority="1120" operator="lessThan">
      <formula>20</formula>
    </cfRule>
    <cfRule type="cellIs" dxfId="1" priority="723" operator="greaterThan">
      <formula>120</formula>
    </cfRule>
    <cfRule type="containsText" dxfId="2" priority="326" operator="between" text="库存为">
      <formula>NOT(ISERROR(SEARCH("库存为",AU77)))</formula>
    </cfRule>
  </conditionalFormatting>
  <conditionalFormatting sqref="AU78">
    <cfRule type="cellIs" dxfId="0" priority="1119" operator="lessThan">
      <formula>20</formula>
    </cfRule>
    <cfRule type="cellIs" dxfId="1" priority="722" operator="greaterThan">
      <formula>120</formula>
    </cfRule>
    <cfRule type="containsText" dxfId="2" priority="325" operator="between" text="库存为">
      <formula>NOT(ISERROR(SEARCH("库存为",AU78)))</formula>
    </cfRule>
  </conditionalFormatting>
  <conditionalFormatting sqref="AU79">
    <cfRule type="cellIs" dxfId="0" priority="1118" operator="lessThan">
      <formula>20</formula>
    </cfRule>
    <cfRule type="cellIs" dxfId="1" priority="721" operator="greaterThan">
      <formula>120</formula>
    </cfRule>
    <cfRule type="containsText" dxfId="2" priority="324" operator="between" text="库存为">
      <formula>NOT(ISERROR(SEARCH("库存为",AU79)))</formula>
    </cfRule>
  </conditionalFormatting>
  <conditionalFormatting sqref="AU80">
    <cfRule type="cellIs" dxfId="0" priority="1117" operator="lessThan">
      <formula>20</formula>
    </cfRule>
    <cfRule type="cellIs" dxfId="1" priority="720" operator="greaterThan">
      <formula>120</formula>
    </cfRule>
    <cfRule type="containsText" dxfId="2" priority="323" operator="between" text="库存为">
      <formula>NOT(ISERROR(SEARCH("库存为",AU80)))</formula>
    </cfRule>
  </conditionalFormatting>
  <conditionalFormatting sqref="AU81">
    <cfRule type="cellIs" dxfId="0" priority="1116" operator="lessThan">
      <formula>20</formula>
    </cfRule>
    <cfRule type="cellIs" dxfId="1" priority="719" operator="greaterThan">
      <formula>120</formula>
    </cfRule>
    <cfRule type="containsText" dxfId="2" priority="322" operator="between" text="库存为">
      <formula>NOT(ISERROR(SEARCH("库存为",AU81)))</formula>
    </cfRule>
  </conditionalFormatting>
  <conditionalFormatting sqref="AU82">
    <cfRule type="cellIs" dxfId="0" priority="1115" operator="lessThan">
      <formula>20</formula>
    </cfRule>
    <cfRule type="cellIs" dxfId="1" priority="718" operator="greaterThan">
      <formula>120</formula>
    </cfRule>
    <cfRule type="containsText" dxfId="2" priority="321" operator="between" text="库存为">
      <formula>NOT(ISERROR(SEARCH("库存为",AU82)))</formula>
    </cfRule>
  </conditionalFormatting>
  <conditionalFormatting sqref="AU83">
    <cfRule type="cellIs" dxfId="0" priority="1114" operator="lessThan">
      <formula>20</formula>
    </cfRule>
    <cfRule type="cellIs" dxfId="1" priority="717" operator="greaterThan">
      <formula>120</formula>
    </cfRule>
    <cfRule type="containsText" dxfId="2" priority="320" operator="between" text="库存为">
      <formula>NOT(ISERROR(SEARCH("库存为",AU83)))</formula>
    </cfRule>
  </conditionalFormatting>
  <conditionalFormatting sqref="AU84">
    <cfRule type="cellIs" dxfId="0" priority="1113" operator="lessThan">
      <formula>20</formula>
    </cfRule>
    <cfRule type="cellIs" dxfId="1" priority="716" operator="greaterThan">
      <formula>120</formula>
    </cfRule>
    <cfRule type="containsText" dxfId="2" priority="319" operator="between" text="库存为">
      <formula>NOT(ISERROR(SEARCH("库存为",AU84)))</formula>
    </cfRule>
  </conditionalFormatting>
  <conditionalFormatting sqref="AU85">
    <cfRule type="cellIs" dxfId="0" priority="1112" operator="lessThan">
      <formula>20</formula>
    </cfRule>
    <cfRule type="cellIs" dxfId="1" priority="715" operator="greaterThan">
      <formula>120</formula>
    </cfRule>
    <cfRule type="containsText" dxfId="2" priority="318" operator="between" text="库存为">
      <formula>NOT(ISERROR(SEARCH("库存为",AU85)))</formula>
    </cfRule>
  </conditionalFormatting>
  <conditionalFormatting sqref="AU86">
    <cfRule type="cellIs" dxfId="0" priority="1111" operator="lessThan">
      <formula>20</formula>
    </cfRule>
    <cfRule type="cellIs" dxfId="1" priority="714" operator="greaterThan">
      <formula>120</formula>
    </cfRule>
    <cfRule type="containsText" dxfId="2" priority="317" operator="between" text="库存为">
      <formula>NOT(ISERROR(SEARCH("库存为",AU86)))</formula>
    </cfRule>
  </conditionalFormatting>
  <conditionalFormatting sqref="AU87">
    <cfRule type="cellIs" dxfId="0" priority="1110" operator="lessThan">
      <formula>20</formula>
    </cfRule>
    <cfRule type="cellIs" dxfId="1" priority="713" operator="greaterThan">
      <formula>120</formula>
    </cfRule>
    <cfRule type="containsText" dxfId="2" priority="316" operator="between" text="库存为">
      <formula>NOT(ISERROR(SEARCH("库存为",AU87)))</formula>
    </cfRule>
  </conditionalFormatting>
  <conditionalFormatting sqref="AU88">
    <cfRule type="cellIs" dxfId="0" priority="1109" operator="lessThan">
      <formula>20</formula>
    </cfRule>
    <cfRule type="cellIs" dxfId="1" priority="712" operator="greaterThan">
      <formula>120</formula>
    </cfRule>
    <cfRule type="containsText" dxfId="2" priority="315" operator="between" text="库存为">
      <formula>NOT(ISERROR(SEARCH("库存为",AU88)))</formula>
    </cfRule>
  </conditionalFormatting>
  <conditionalFormatting sqref="AU89">
    <cfRule type="cellIs" dxfId="0" priority="1108" operator="lessThan">
      <formula>20</formula>
    </cfRule>
    <cfRule type="cellIs" dxfId="1" priority="711" operator="greaterThan">
      <formula>120</formula>
    </cfRule>
    <cfRule type="containsText" dxfId="2" priority="314" operator="between" text="库存为">
      <formula>NOT(ISERROR(SEARCH("库存为",AU89)))</formula>
    </cfRule>
  </conditionalFormatting>
  <conditionalFormatting sqref="AU90">
    <cfRule type="cellIs" dxfId="0" priority="1107" operator="lessThan">
      <formula>20</formula>
    </cfRule>
    <cfRule type="cellIs" dxfId="1" priority="710" operator="greaterThan">
      <formula>120</formula>
    </cfRule>
    <cfRule type="containsText" dxfId="2" priority="313" operator="between" text="库存为">
      <formula>NOT(ISERROR(SEARCH("库存为",AU90)))</formula>
    </cfRule>
  </conditionalFormatting>
  <conditionalFormatting sqref="AU91">
    <cfRule type="cellIs" dxfId="0" priority="1106" operator="lessThan">
      <formula>20</formula>
    </cfRule>
    <cfRule type="cellIs" dxfId="1" priority="709" operator="greaterThan">
      <formula>120</formula>
    </cfRule>
    <cfRule type="containsText" dxfId="2" priority="312" operator="between" text="库存为">
      <formula>NOT(ISERROR(SEARCH("库存为",AU91)))</formula>
    </cfRule>
  </conditionalFormatting>
  <conditionalFormatting sqref="AU92">
    <cfRule type="cellIs" dxfId="0" priority="1105" operator="lessThan">
      <formula>20</formula>
    </cfRule>
    <cfRule type="cellIs" dxfId="1" priority="708" operator="greaterThan">
      <formula>120</formula>
    </cfRule>
    <cfRule type="containsText" dxfId="2" priority="311" operator="between" text="库存为">
      <formula>NOT(ISERROR(SEARCH("库存为",AU92)))</formula>
    </cfRule>
  </conditionalFormatting>
  <conditionalFormatting sqref="AU93">
    <cfRule type="cellIs" dxfId="0" priority="1104" operator="lessThan">
      <formula>20</formula>
    </cfRule>
    <cfRule type="cellIs" dxfId="1" priority="707" operator="greaterThan">
      <formula>120</formula>
    </cfRule>
    <cfRule type="containsText" dxfId="2" priority="310" operator="between" text="库存为">
      <formula>NOT(ISERROR(SEARCH("库存为",AU93)))</formula>
    </cfRule>
  </conditionalFormatting>
  <conditionalFormatting sqref="AU94">
    <cfRule type="cellIs" dxfId="0" priority="1103" operator="lessThan">
      <formula>20</formula>
    </cfRule>
    <cfRule type="cellIs" dxfId="1" priority="706" operator="greaterThan">
      <formula>120</formula>
    </cfRule>
    <cfRule type="containsText" dxfId="2" priority="309" operator="between" text="库存为">
      <formula>NOT(ISERROR(SEARCH("库存为",AU94)))</formula>
    </cfRule>
  </conditionalFormatting>
  <conditionalFormatting sqref="AU95">
    <cfRule type="cellIs" dxfId="0" priority="1102" operator="lessThan">
      <formula>20</formula>
    </cfRule>
    <cfRule type="cellIs" dxfId="1" priority="705" operator="greaterThan">
      <formula>120</formula>
    </cfRule>
    <cfRule type="containsText" dxfId="2" priority="308" operator="between" text="库存为">
      <formula>NOT(ISERROR(SEARCH("库存为",AU95)))</formula>
    </cfRule>
  </conditionalFormatting>
  <conditionalFormatting sqref="AU96">
    <cfRule type="cellIs" dxfId="0" priority="1101" operator="lessThan">
      <formula>20</formula>
    </cfRule>
    <cfRule type="cellIs" dxfId="1" priority="704" operator="greaterThan">
      <formula>120</formula>
    </cfRule>
    <cfRule type="containsText" dxfId="2" priority="307" operator="between" text="库存为">
      <formula>NOT(ISERROR(SEARCH("库存为",AU96)))</formula>
    </cfRule>
  </conditionalFormatting>
  <conditionalFormatting sqref="AU97">
    <cfRule type="cellIs" dxfId="0" priority="1100" operator="lessThan">
      <formula>20</formula>
    </cfRule>
    <cfRule type="cellIs" dxfId="1" priority="703" operator="greaterThan">
      <formula>120</formula>
    </cfRule>
    <cfRule type="containsText" dxfId="2" priority="306" operator="between" text="库存为">
      <formula>NOT(ISERROR(SEARCH("库存为",AU97)))</formula>
    </cfRule>
  </conditionalFormatting>
  <conditionalFormatting sqref="AU98">
    <cfRule type="cellIs" dxfId="0" priority="1099" operator="lessThan">
      <formula>20</formula>
    </cfRule>
    <cfRule type="cellIs" dxfId="1" priority="702" operator="greaterThan">
      <formula>120</formula>
    </cfRule>
    <cfRule type="containsText" dxfId="2" priority="305" operator="between" text="库存为">
      <formula>NOT(ISERROR(SEARCH("库存为",AU98)))</formula>
    </cfRule>
  </conditionalFormatting>
  <conditionalFormatting sqref="AU99">
    <cfRule type="cellIs" dxfId="0" priority="1098" operator="lessThan">
      <formula>20</formula>
    </cfRule>
    <cfRule type="cellIs" dxfId="1" priority="701" operator="greaterThan">
      <formula>120</formula>
    </cfRule>
    <cfRule type="containsText" dxfId="2" priority="304" operator="between" text="库存为">
      <formula>NOT(ISERROR(SEARCH("库存为",AU99)))</formula>
    </cfRule>
  </conditionalFormatting>
  <conditionalFormatting sqref="AU100">
    <cfRule type="cellIs" dxfId="0" priority="1097" operator="lessThan">
      <formula>20</formula>
    </cfRule>
    <cfRule type="cellIs" dxfId="1" priority="700" operator="greaterThan">
      <formula>120</formula>
    </cfRule>
    <cfRule type="containsText" dxfId="2" priority="303" operator="between" text="库存为">
      <formula>NOT(ISERROR(SEARCH("库存为",AU100)))</formula>
    </cfRule>
  </conditionalFormatting>
  <conditionalFormatting sqref="AU101">
    <cfRule type="cellIs" dxfId="0" priority="1096" operator="lessThan">
      <formula>20</formula>
    </cfRule>
    <cfRule type="cellIs" dxfId="1" priority="699" operator="greaterThan">
      <formula>120</formula>
    </cfRule>
    <cfRule type="containsText" dxfId="2" priority="302" operator="between" text="库存为">
      <formula>NOT(ISERROR(SEARCH("库存为",AU101)))</formula>
    </cfRule>
  </conditionalFormatting>
  <conditionalFormatting sqref="AU102">
    <cfRule type="cellIs" dxfId="0" priority="1095" operator="lessThan">
      <formula>20</formula>
    </cfRule>
    <cfRule type="cellIs" dxfId="1" priority="698" operator="greaterThan">
      <formula>120</formula>
    </cfRule>
    <cfRule type="containsText" dxfId="2" priority="301" operator="between" text="库存为">
      <formula>NOT(ISERROR(SEARCH("库存为",AU102)))</formula>
    </cfRule>
  </conditionalFormatting>
  <conditionalFormatting sqref="AU103">
    <cfRule type="cellIs" dxfId="0" priority="1094" operator="lessThan">
      <formula>20</formula>
    </cfRule>
    <cfRule type="cellIs" dxfId="1" priority="697" operator="greaterThan">
      <formula>120</formula>
    </cfRule>
    <cfRule type="containsText" dxfId="2" priority="300" operator="between" text="库存为">
      <formula>NOT(ISERROR(SEARCH("库存为",AU103)))</formula>
    </cfRule>
  </conditionalFormatting>
  <conditionalFormatting sqref="AU104">
    <cfRule type="cellIs" dxfId="0" priority="1093" operator="lessThan">
      <formula>20</formula>
    </cfRule>
    <cfRule type="cellIs" dxfId="1" priority="696" operator="greaterThan">
      <formula>120</formula>
    </cfRule>
    <cfRule type="containsText" dxfId="2" priority="299" operator="between" text="库存为">
      <formula>NOT(ISERROR(SEARCH("库存为",AU104)))</formula>
    </cfRule>
  </conditionalFormatting>
  <conditionalFormatting sqref="AU105">
    <cfRule type="cellIs" dxfId="0" priority="1092" operator="lessThan">
      <formula>20</formula>
    </cfRule>
    <cfRule type="cellIs" dxfId="1" priority="695" operator="greaterThan">
      <formula>120</formula>
    </cfRule>
    <cfRule type="containsText" dxfId="2" priority="298" operator="between" text="库存为">
      <formula>NOT(ISERROR(SEARCH("库存为",AU105)))</formula>
    </cfRule>
  </conditionalFormatting>
  <conditionalFormatting sqref="AU106">
    <cfRule type="cellIs" dxfId="0" priority="1091" operator="lessThan">
      <formula>20</formula>
    </cfRule>
    <cfRule type="cellIs" dxfId="1" priority="694" operator="greaterThan">
      <formula>120</formula>
    </cfRule>
    <cfRule type="containsText" dxfId="2" priority="297" operator="between" text="库存为">
      <formula>NOT(ISERROR(SEARCH("库存为",AU106)))</formula>
    </cfRule>
  </conditionalFormatting>
  <conditionalFormatting sqref="AU107">
    <cfRule type="cellIs" dxfId="0" priority="1090" operator="lessThan">
      <formula>20</formula>
    </cfRule>
    <cfRule type="cellIs" dxfId="1" priority="693" operator="greaterThan">
      <formula>120</formula>
    </cfRule>
    <cfRule type="containsText" dxfId="2" priority="296" operator="between" text="库存为">
      <formula>NOT(ISERROR(SEARCH("库存为",AU107)))</formula>
    </cfRule>
  </conditionalFormatting>
  <conditionalFormatting sqref="AU108">
    <cfRule type="cellIs" dxfId="0" priority="1089" operator="lessThan">
      <formula>20</formula>
    </cfRule>
    <cfRule type="cellIs" dxfId="1" priority="692" operator="greaterThan">
      <formula>120</formula>
    </cfRule>
    <cfRule type="containsText" dxfId="2" priority="295" operator="between" text="库存为">
      <formula>NOT(ISERROR(SEARCH("库存为",AU108)))</formula>
    </cfRule>
  </conditionalFormatting>
  <conditionalFormatting sqref="AU109">
    <cfRule type="cellIs" dxfId="0" priority="1088" operator="lessThan">
      <formula>20</formula>
    </cfRule>
    <cfRule type="cellIs" dxfId="1" priority="691" operator="greaterThan">
      <formula>120</formula>
    </cfRule>
    <cfRule type="containsText" dxfId="2" priority="294" operator="between" text="库存为">
      <formula>NOT(ISERROR(SEARCH("库存为",AU109)))</formula>
    </cfRule>
  </conditionalFormatting>
  <conditionalFormatting sqref="AU110">
    <cfRule type="cellIs" dxfId="0" priority="1087" operator="lessThan">
      <formula>20</formula>
    </cfRule>
    <cfRule type="cellIs" dxfId="1" priority="690" operator="greaterThan">
      <formula>120</formula>
    </cfRule>
    <cfRule type="containsText" dxfId="2" priority="293" operator="between" text="库存为">
      <formula>NOT(ISERROR(SEARCH("库存为",AU110)))</formula>
    </cfRule>
  </conditionalFormatting>
  <conditionalFormatting sqref="AU111">
    <cfRule type="cellIs" dxfId="0" priority="1086" operator="lessThan">
      <formula>20</formula>
    </cfRule>
    <cfRule type="cellIs" dxfId="1" priority="689" operator="greaterThan">
      <formula>120</formula>
    </cfRule>
    <cfRule type="containsText" dxfId="2" priority="292" operator="between" text="库存为">
      <formula>NOT(ISERROR(SEARCH("库存为",AU111)))</formula>
    </cfRule>
  </conditionalFormatting>
  <conditionalFormatting sqref="AU112">
    <cfRule type="cellIs" dxfId="0" priority="1085" operator="lessThan">
      <formula>20</formula>
    </cfRule>
    <cfRule type="cellIs" dxfId="1" priority="688" operator="greaterThan">
      <formula>120</formula>
    </cfRule>
    <cfRule type="containsText" dxfId="2" priority="291" operator="between" text="库存为">
      <formula>NOT(ISERROR(SEARCH("库存为",AU112)))</formula>
    </cfRule>
  </conditionalFormatting>
  <conditionalFormatting sqref="AU113">
    <cfRule type="cellIs" dxfId="0" priority="1084" operator="lessThan">
      <formula>20</formula>
    </cfRule>
    <cfRule type="cellIs" dxfId="1" priority="687" operator="greaterThan">
      <formula>120</formula>
    </cfRule>
    <cfRule type="containsText" dxfId="2" priority="290" operator="between" text="库存为">
      <formula>NOT(ISERROR(SEARCH("库存为",AU113)))</formula>
    </cfRule>
  </conditionalFormatting>
  <conditionalFormatting sqref="AU114">
    <cfRule type="cellIs" dxfId="0" priority="1083" operator="lessThan">
      <formula>20</formula>
    </cfRule>
    <cfRule type="cellIs" dxfId="1" priority="686" operator="greaterThan">
      <formula>120</formula>
    </cfRule>
    <cfRule type="containsText" dxfId="2" priority="289" operator="between" text="库存为">
      <formula>NOT(ISERROR(SEARCH("库存为",AU114)))</formula>
    </cfRule>
  </conditionalFormatting>
  <conditionalFormatting sqref="AU115">
    <cfRule type="cellIs" dxfId="0" priority="1082" operator="lessThan">
      <formula>20</formula>
    </cfRule>
    <cfRule type="cellIs" dxfId="1" priority="685" operator="greaterThan">
      <formula>120</formula>
    </cfRule>
    <cfRule type="containsText" dxfId="2" priority="288" operator="between" text="库存为">
      <formula>NOT(ISERROR(SEARCH("库存为",AU115)))</formula>
    </cfRule>
  </conditionalFormatting>
  <conditionalFormatting sqref="AU116">
    <cfRule type="cellIs" dxfId="0" priority="1081" operator="lessThan">
      <formula>20</formula>
    </cfRule>
    <cfRule type="cellIs" dxfId="1" priority="684" operator="greaterThan">
      <formula>120</formula>
    </cfRule>
    <cfRule type="containsText" dxfId="2" priority="287" operator="between" text="库存为">
      <formula>NOT(ISERROR(SEARCH("库存为",AU116)))</formula>
    </cfRule>
  </conditionalFormatting>
  <conditionalFormatting sqref="AU117">
    <cfRule type="cellIs" dxfId="0" priority="1080" operator="lessThan">
      <formula>20</formula>
    </cfRule>
    <cfRule type="cellIs" dxfId="1" priority="683" operator="greaterThan">
      <formula>120</formula>
    </cfRule>
    <cfRule type="containsText" dxfId="2" priority="286" operator="between" text="库存为">
      <formula>NOT(ISERROR(SEARCH("库存为",AU117)))</formula>
    </cfRule>
  </conditionalFormatting>
  <conditionalFormatting sqref="AU118">
    <cfRule type="cellIs" dxfId="0" priority="1079" operator="lessThan">
      <formula>20</formula>
    </cfRule>
    <cfRule type="cellIs" dxfId="1" priority="682" operator="greaterThan">
      <formula>120</formula>
    </cfRule>
    <cfRule type="containsText" dxfId="2" priority="285" operator="between" text="库存为">
      <formula>NOT(ISERROR(SEARCH("库存为",AU118)))</formula>
    </cfRule>
  </conditionalFormatting>
  <conditionalFormatting sqref="AU119">
    <cfRule type="cellIs" dxfId="0" priority="1078" operator="lessThan">
      <formula>20</formula>
    </cfRule>
    <cfRule type="cellIs" dxfId="1" priority="681" operator="greaterThan">
      <formula>120</formula>
    </cfRule>
    <cfRule type="containsText" dxfId="2" priority="284" operator="between" text="库存为">
      <formula>NOT(ISERROR(SEARCH("库存为",AU119)))</formula>
    </cfRule>
  </conditionalFormatting>
  <conditionalFormatting sqref="AU120">
    <cfRule type="cellIs" dxfId="0" priority="1077" operator="lessThan">
      <formula>20</formula>
    </cfRule>
    <cfRule type="cellIs" dxfId="1" priority="680" operator="greaterThan">
      <formula>120</formula>
    </cfRule>
    <cfRule type="containsText" dxfId="2" priority="283" operator="between" text="库存为">
      <formula>NOT(ISERROR(SEARCH("库存为",AU120)))</formula>
    </cfRule>
  </conditionalFormatting>
  <conditionalFormatting sqref="AU121">
    <cfRule type="cellIs" dxfId="0" priority="1076" operator="lessThan">
      <formula>20</formula>
    </cfRule>
    <cfRule type="cellIs" dxfId="1" priority="679" operator="greaterThan">
      <formula>120</formula>
    </cfRule>
    <cfRule type="containsText" dxfId="2" priority="282" operator="between" text="库存为">
      <formula>NOT(ISERROR(SEARCH("库存为",AU121)))</formula>
    </cfRule>
  </conditionalFormatting>
  <conditionalFormatting sqref="AU122">
    <cfRule type="cellIs" dxfId="0" priority="1075" operator="lessThan">
      <formula>20</formula>
    </cfRule>
    <cfRule type="cellIs" dxfId="1" priority="678" operator="greaterThan">
      <formula>120</formula>
    </cfRule>
    <cfRule type="containsText" dxfId="2" priority="281" operator="between" text="库存为">
      <formula>NOT(ISERROR(SEARCH("库存为",AU122)))</formula>
    </cfRule>
  </conditionalFormatting>
  <conditionalFormatting sqref="AU123">
    <cfRule type="cellIs" dxfId="0" priority="1074" operator="lessThan">
      <formula>20</formula>
    </cfRule>
    <cfRule type="cellIs" dxfId="1" priority="677" operator="greaterThan">
      <formula>120</formula>
    </cfRule>
    <cfRule type="containsText" dxfId="2" priority="280" operator="between" text="库存为">
      <formula>NOT(ISERROR(SEARCH("库存为",AU123)))</formula>
    </cfRule>
  </conditionalFormatting>
  <conditionalFormatting sqref="AU124">
    <cfRule type="cellIs" dxfId="0" priority="1073" operator="lessThan">
      <formula>20</formula>
    </cfRule>
    <cfRule type="cellIs" dxfId="1" priority="676" operator="greaterThan">
      <formula>120</formula>
    </cfRule>
    <cfRule type="containsText" dxfId="2" priority="279" operator="between" text="库存为">
      <formula>NOT(ISERROR(SEARCH("库存为",AU124)))</formula>
    </cfRule>
  </conditionalFormatting>
  <conditionalFormatting sqref="AU125">
    <cfRule type="cellIs" dxfId="0" priority="1072" operator="lessThan">
      <formula>20</formula>
    </cfRule>
    <cfRule type="cellIs" dxfId="1" priority="675" operator="greaterThan">
      <formula>120</formula>
    </cfRule>
    <cfRule type="containsText" dxfId="2" priority="278" operator="between" text="库存为">
      <formula>NOT(ISERROR(SEARCH("库存为",AU125)))</formula>
    </cfRule>
  </conditionalFormatting>
  <conditionalFormatting sqref="AU126">
    <cfRule type="cellIs" dxfId="0" priority="1071" operator="lessThan">
      <formula>20</formula>
    </cfRule>
    <cfRule type="cellIs" dxfId="1" priority="674" operator="greaterThan">
      <formula>120</formula>
    </cfRule>
    <cfRule type="containsText" dxfId="2" priority="277" operator="between" text="库存为">
      <formula>NOT(ISERROR(SEARCH("库存为",AU126)))</formula>
    </cfRule>
  </conditionalFormatting>
  <conditionalFormatting sqref="AU127">
    <cfRule type="cellIs" dxfId="0" priority="1070" operator="lessThan">
      <formula>20</formula>
    </cfRule>
    <cfRule type="cellIs" dxfId="1" priority="673" operator="greaterThan">
      <formula>120</formula>
    </cfRule>
    <cfRule type="containsText" dxfId="2" priority="276" operator="between" text="库存为">
      <formula>NOT(ISERROR(SEARCH("库存为",AU127)))</formula>
    </cfRule>
  </conditionalFormatting>
  <conditionalFormatting sqref="AU128">
    <cfRule type="cellIs" dxfId="0" priority="1069" operator="lessThan">
      <formula>20</formula>
    </cfRule>
    <cfRule type="cellIs" dxfId="1" priority="672" operator="greaterThan">
      <formula>120</formula>
    </cfRule>
    <cfRule type="containsText" dxfId="2" priority="275" operator="between" text="库存为">
      <formula>NOT(ISERROR(SEARCH("库存为",AU128)))</formula>
    </cfRule>
  </conditionalFormatting>
  <conditionalFormatting sqref="AU129">
    <cfRule type="cellIs" dxfId="0" priority="1068" operator="lessThan">
      <formula>20</formula>
    </cfRule>
    <cfRule type="cellIs" dxfId="1" priority="671" operator="greaterThan">
      <formula>120</formula>
    </cfRule>
    <cfRule type="containsText" dxfId="2" priority="274" operator="between" text="库存为">
      <formula>NOT(ISERROR(SEARCH("库存为",AU129)))</formula>
    </cfRule>
  </conditionalFormatting>
  <conditionalFormatting sqref="AU130">
    <cfRule type="cellIs" dxfId="0" priority="1067" operator="lessThan">
      <formula>20</formula>
    </cfRule>
    <cfRule type="cellIs" dxfId="1" priority="670" operator="greaterThan">
      <formula>120</formula>
    </cfRule>
    <cfRule type="containsText" dxfId="2" priority="273" operator="between" text="库存为">
      <formula>NOT(ISERROR(SEARCH("库存为",AU130)))</formula>
    </cfRule>
  </conditionalFormatting>
  <conditionalFormatting sqref="AU131">
    <cfRule type="cellIs" dxfId="0" priority="1066" operator="lessThan">
      <formula>20</formula>
    </cfRule>
    <cfRule type="cellIs" dxfId="1" priority="669" operator="greaterThan">
      <formula>120</formula>
    </cfRule>
    <cfRule type="containsText" dxfId="2" priority="272" operator="between" text="库存为">
      <formula>NOT(ISERROR(SEARCH("库存为",AU131)))</formula>
    </cfRule>
  </conditionalFormatting>
  <conditionalFormatting sqref="AU132">
    <cfRule type="cellIs" dxfId="0" priority="1065" operator="lessThan">
      <formula>20</formula>
    </cfRule>
    <cfRule type="cellIs" dxfId="1" priority="668" operator="greaterThan">
      <formula>120</formula>
    </cfRule>
    <cfRule type="containsText" dxfId="2" priority="271" operator="between" text="库存为">
      <formula>NOT(ISERROR(SEARCH("库存为",AU132)))</formula>
    </cfRule>
  </conditionalFormatting>
  <conditionalFormatting sqref="AU133">
    <cfRule type="cellIs" dxfId="0" priority="1064" operator="lessThan">
      <formula>20</formula>
    </cfRule>
    <cfRule type="cellIs" dxfId="1" priority="667" operator="greaterThan">
      <formula>120</formula>
    </cfRule>
    <cfRule type="containsText" dxfId="2" priority="270" operator="between" text="库存为">
      <formula>NOT(ISERROR(SEARCH("库存为",AU133)))</formula>
    </cfRule>
  </conditionalFormatting>
  <conditionalFormatting sqref="AU134">
    <cfRule type="cellIs" dxfId="0" priority="1063" operator="lessThan">
      <formula>20</formula>
    </cfRule>
    <cfRule type="cellIs" dxfId="1" priority="666" operator="greaterThan">
      <formula>120</formula>
    </cfRule>
    <cfRule type="containsText" dxfId="2" priority="269" operator="between" text="库存为">
      <formula>NOT(ISERROR(SEARCH("库存为",AU134)))</formula>
    </cfRule>
  </conditionalFormatting>
  <conditionalFormatting sqref="AU135">
    <cfRule type="cellIs" dxfId="0" priority="1062" operator="lessThan">
      <formula>20</formula>
    </cfRule>
    <cfRule type="cellIs" dxfId="1" priority="665" operator="greaterThan">
      <formula>120</formula>
    </cfRule>
    <cfRule type="containsText" dxfId="2" priority="268" operator="between" text="库存为">
      <formula>NOT(ISERROR(SEARCH("库存为",AU135)))</formula>
    </cfRule>
  </conditionalFormatting>
  <conditionalFormatting sqref="AU136">
    <cfRule type="cellIs" dxfId="0" priority="1061" operator="lessThan">
      <formula>20</formula>
    </cfRule>
    <cfRule type="cellIs" dxfId="1" priority="664" operator="greaterThan">
      <formula>120</formula>
    </cfRule>
    <cfRule type="containsText" dxfId="2" priority="267" operator="between" text="库存为">
      <formula>NOT(ISERROR(SEARCH("库存为",AU136)))</formula>
    </cfRule>
  </conditionalFormatting>
  <conditionalFormatting sqref="AU137">
    <cfRule type="cellIs" dxfId="0" priority="1060" operator="lessThan">
      <formula>20</formula>
    </cfRule>
    <cfRule type="cellIs" dxfId="1" priority="663" operator="greaterThan">
      <formula>120</formula>
    </cfRule>
    <cfRule type="containsText" dxfId="2" priority="266" operator="between" text="库存为">
      <formula>NOT(ISERROR(SEARCH("库存为",AU137)))</formula>
    </cfRule>
  </conditionalFormatting>
  <conditionalFormatting sqref="AU138">
    <cfRule type="cellIs" dxfId="0" priority="1059" operator="lessThan">
      <formula>20</formula>
    </cfRule>
    <cfRule type="cellIs" dxfId="1" priority="662" operator="greaterThan">
      <formula>120</formula>
    </cfRule>
    <cfRule type="containsText" dxfId="2" priority="265" operator="between" text="库存为">
      <formula>NOT(ISERROR(SEARCH("库存为",AU138)))</formula>
    </cfRule>
  </conditionalFormatting>
  <conditionalFormatting sqref="AU139">
    <cfRule type="cellIs" dxfId="0" priority="1058" operator="lessThan">
      <formula>20</formula>
    </cfRule>
    <cfRule type="cellIs" dxfId="1" priority="661" operator="greaterThan">
      <formula>120</formula>
    </cfRule>
    <cfRule type="containsText" dxfId="2" priority="264" operator="between" text="库存为">
      <formula>NOT(ISERROR(SEARCH("库存为",AU139)))</formula>
    </cfRule>
  </conditionalFormatting>
  <conditionalFormatting sqref="AU140">
    <cfRule type="cellIs" dxfId="0" priority="1057" operator="lessThan">
      <formula>20</formula>
    </cfRule>
    <cfRule type="cellIs" dxfId="1" priority="660" operator="greaterThan">
      <formula>120</formula>
    </cfRule>
    <cfRule type="containsText" dxfId="2" priority="263" operator="between" text="库存为">
      <formula>NOT(ISERROR(SEARCH("库存为",AU140)))</formula>
    </cfRule>
  </conditionalFormatting>
  <conditionalFormatting sqref="AU141">
    <cfRule type="cellIs" dxfId="0" priority="1056" operator="lessThan">
      <formula>20</formula>
    </cfRule>
    <cfRule type="cellIs" dxfId="1" priority="659" operator="greaterThan">
      <formula>120</formula>
    </cfRule>
    <cfRule type="containsText" dxfId="2" priority="262" operator="between" text="库存为">
      <formula>NOT(ISERROR(SEARCH("库存为",AU141)))</formula>
    </cfRule>
  </conditionalFormatting>
  <conditionalFormatting sqref="AU142">
    <cfRule type="cellIs" dxfId="0" priority="1055" operator="lessThan">
      <formula>20</formula>
    </cfRule>
    <cfRule type="cellIs" dxfId="1" priority="658" operator="greaterThan">
      <formula>120</formula>
    </cfRule>
    <cfRule type="containsText" dxfId="2" priority="261" operator="between" text="库存为">
      <formula>NOT(ISERROR(SEARCH("库存为",AU142)))</formula>
    </cfRule>
  </conditionalFormatting>
  <conditionalFormatting sqref="AU143">
    <cfRule type="cellIs" dxfId="0" priority="1054" operator="lessThan">
      <formula>20</formula>
    </cfRule>
    <cfRule type="cellIs" dxfId="1" priority="657" operator="greaterThan">
      <formula>120</formula>
    </cfRule>
    <cfRule type="containsText" dxfId="2" priority="260" operator="between" text="库存为">
      <formula>NOT(ISERROR(SEARCH("库存为",AU143)))</formula>
    </cfRule>
  </conditionalFormatting>
  <conditionalFormatting sqref="AU144">
    <cfRule type="cellIs" dxfId="0" priority="1053" operator="lessThan">
      <formula>20</formula>
    </cfRule>
    <cfRule type="cellIs" dxfId="1" priority="656" operator="greaterThan">
      <formula>120</formula>
    </cfRule>
    <cfRule type="containsText" dxfId="2" priority="259" operator="between" text="库存为">
      <formula>NOT(ISERROR(SEARCH("库存为",AU144)))</formula>
    </cfRule>
  </conditionalFormatting>
  <conditionalFormatting sqref="AU145">
    <cfRule type="cellIs" dxfId="0" priority="1052" operator="lessThan">
      <formula>20</formula>
    </cfRule>
    <cfRule type="cellIs" dxfId="1" priority="655" operator="greaterThan">
      <formula>120</formula>
    </cfRule>
    <cfRule type="containsText" dxfId="2" priority="258" operator="between" text="库存为">
      <formula>NOT(ISERROR(SEARCH("库存为",AU145)))</formula>
    </cfRule>
  </conditionalFormatting>
  <conditionalFormatting sqref="AU146">
    <cfRule type="cellIs" dxfId="0" priority="1051" operator="lessThan">
      <formula>20</formula>
    </cfRule>
    <cfRule type="cellIs" dxfId="1" priority="654" operator="greaterThan">
      <formula>120</formula>
    </cfRule>
    <cfRule type="containsText" dxfId="2" priority="257" operator="between" text="库存为">
      <formula>NOT(ISERROR(SEARCH("库存为",AU146)))</formula>
    </cfRule>
  </conditionalFormatting>
  <conditionalFormatting sqref="AU147">
    <cfRule type="cellIs" dxfId="0" priority="1050" operator="lessThan">
      <formula>20</formula>
    </cfRule>
    <cfRule type="cellIs" dxfId="1" priority="653" operator="greaterThan">
      <formula>120</formula>
    </cfRule>
    <cfRule type="containsText" dxfId="2" priority="256" operator="between" text="库存为">
      <formula>NOT(ISERROR(SEARCH("库存为",AU147)))</formula>
    </cfRule>
  </conditionalFormatting>
  <conditionalFormatting sqref="AU148">
    <cfRule type="cellIs" dxfId="0" priority="1049" operator="lessThan">
      <formula>20</formula>
    </cfRule>
    <cfRule type="cellIs" dxfId="1" priority="652" operator="greaterThan">
      <formula>120</formula>
    </cfRule>
    <cfRule type="containsText" dxfId="2" priority="255" operator="between" text="库存为">
      <formula>NOT(ISERROR(SEARCH("库存为",AU148)))</formula>
    </cfRule>
  </conditionalFormatting>
  <conditionalFormatting sqref="AU149">
    <cfRule type="cellIs" dxfId="0" priority="1048" operator="lessThan">
      <formula>20</formula>
    </cfRule>
    <cfRule type="cellIs" dxfId="1" priority="651" operator="greaterThan">
      <formula>120</formula>
    </cfRule>
    <cfRule type="containsText" dxfId="2" priority="254" operator="between" text="库存为">
      <formula>NOT(ISERROR(SEARCH("库存为",AU149)))</formula>
    </cfRule>
  </conditionalFormatting>
  <conditionalFormatting sqref="AU150">
    <cfRule type="cellIs" dxfId="0" priority="1047" operator="lessThan">
      <formula>20</formula>
    </cfRule>
    <cfRule type="cellIs" dxfId="1" priority="650" operator="greaterThan">
      <formula>120</formula>
    </cfRule>
    <cfRule type="containsText" dxfId="2" priority="253" operator="between" text="库存为">
      <formula>NOT(ISERROR(SEARCH("库存为",AU150)))</formula>
    </cfRule>
  </conditionalFormatting>
  <conditionalFormatting sqref="AU151">
    <cfRule type="cellIs" dxfId="0" priority="1046" operator="lessThan">
      <formula>20</formula>
    </cfRule>
    <cfRule type="cellIs" dxfId="1" priority="649" operator="greaterThan">
      <formula>120</formula>
    </cfRule>
    <cfRule type="containsText" dxfId="2" priority="252" operator="between" text="库存为">
      <formula>NOT(ISERROR(SEARCH("库存为",AU151)))</formula>
    </cfRule>
  </conditionalFormatting>
  <conditionalFormatting sqref="AU152">
    <cfRule type="cellIs" dxfId="0" priority="1045" operator="lessThan">
      <formula>20</formula>
    </cfRule>
    <cfRule type="cellIs" dxfId="1" priority="648" operator="greaterThan">
      <formula>120</formula>
    </cfRule>
    <cfRule type="containsText" dxfId="2" priority="251" operator="between" text="库存为">
      <formula>NOT(ISERROR(SEARCH("库存为",AU152)))</formula>
    </cfRule>
  </conditionalFormatting>
  <conditionalFormatting sqref="AU153">
    <cfRule type="cellIs" dxfId="0" priority="1044" operator="lessThan">
      <formula>20</formula>
    </cfRule>
    <cfRule type="cellIs" dxfId="1" priority="647" operator="greaterThan">
      <formula>120</formula>
    </cfRule>
    <cfRule type="containsText" dxfId="2" priority="250" operator="between" text="库存为">
      <formula>NOT(ISERROR(SEARCH("库存为",AU153)))</formula>
    </cfRule>
  </conditionalFormatting>
  <conditionalFormatting sqref="AU154">
    <cfRule type="cellIs" dxfId="0" priority="1043" operator="lessThan">
      <formula>20</formula>
    </cfRule>
    <cfRule type="cellIs" dxfId="1" priority="646" operator="greaterThan">
      <formula>120</formula>
    </cfRule>
    <cfRule type="containsText" dxfId="2" priority="249" operator="between" text="库存为">
      <formula>NOT(ISERROR(SEARCH("库存为",AU154)))</formula>
    </cfRule>
  </conditionalFormatting>
  <conditionalFormatting sqref="AU155">
    <cfRule type="cellIs" dxfId="0" priority="1042" operator="lessThan">
      <formula>20</formula>
    </cfRule>
    <cfRule type="cellIs" dxfId="1" priority="645" operator="greaterThan">
      <formula>120</formula>
    </cfRule>
    <cfRule type="containsText" dxfId="2" priority="248" operator="between" text="库存为">
      <formula>NOT(ISERROR(SEARCH("库存为",AU155)))</formula>
    </cfRule>
  </conditionalFormatting>
  <conditionalFormatting sqref="AU156">
    <cfRule type="cellIs" dxfId="0" priority="1041" operator="lessThan">
      <formula>20</formula>
    </cfRule>
    <cfRule type="cellIs" dxfId="1" priority="644" operator="greaterThan">
      <formula>120</formula>
    </cfRule>
    <cfRule type="containsText" dxfId="2" priority="247" operator="between" text="库存为">
      <formula>NOT(ISERROR(SEARCH("库存为",AU156)))</formula>
    </cfRule>
  </conditionalFormatting>
  <conditionalFormatting sqref="AU157">
    <cfRule type="cellIs" dxfId="0" priority="1040" operator="lessThan">
      <formula>20</formula>
    </cfRule>
    <cfRule type="cellIs" dxfId="1" priority="643" operator="greaterThan">
      <formula>120</formula>
    </cfRule>
    <cfRule type="containsText" dxfId="2" priority="246" operator="between" text="库存为">
      <formula>NOT(ISERROR(SEARCH("库存为",AU157)))</formula>
    </cfRule>
  </conditionalFormatting>
  <conditionalFormatting sqref="AU158">
    <cfRule type="cellIs" dxfId="0" priority="1039" operator="lessThan">
      <formula>20</formula>
    </cfRule>
    <cfRule type="cellIs" dxfId="1" priority="642" operator="greaterThan">
      <formula>120</formula>
    </cfRule>
    <cfRule type="containsText" dxfId="2" priority="245" operator="between" text="库存为">
      <formula>NOT(ISERROR(SEARCH("库存为",AU158)))</formula>
    </cfRule>
  </conditionalFormatting>
  <conditionalFormatting sqref="AU159">
    <cfRule type="cellIs" dxfId="0" priority="1038" operator="lessThan">
      <formula>20</formula>
    </cfRule>
    <cfRule type="cellIs" dxfId="1" priority="641" operator="greaterThan">
      <formula>120</formula>
    </cfRule>
    <cfRule type="containsText" dxfId="2" priority="244" operator="between" text="库存为">
      <formula>NOT(ISERROR(SEARCH("库存为",AU159)))</formula>
    </cfRule>
  </conditionalFormatting>
  <conditionalFormatting sqref="AU160">
    <cfRule type="cellIs" dxfId="0" priority="1037" operator="lessThan">
      <formula>20</formula>
    </cfRule>
    <cfRule type="cellIs" dxfId="1" priority="640" operator="greaterThan">
      <formula>120</formula>
    </cfRule>
    <cfRule type="containsText" dxfId="2" priority="243" operator="between" text="库存为">
      <formula>NOT(ISERROR(SEARCH("库存为",AU160)))</formula>
    </cfRule>
  </conditionalFormatting>
  <conditionalFormatting sqref="AU161">
    <cfRule type="cellIs" dxfId="0" priority="1036" operator="lessThan">
      <formula>20</formula>
    </cfRule>
    <cfRule type="cellIs" dxfId="1" priority="639" operator="greaterThan">
      <formula>120</formula>
    </cfRule>
    <cfRule type="containsText" dxfId="2" priority="242" operator="between" text="库存为">
      <formula>NOT(ISERROR(SEARCH("库存为",AU161)))</formula>
    </cfRule>
  </conditionalFormatting>
  <conditionalFormatting sqref="AU162">
    <cfRule type="cellIs" dxfId="0" priority="1035" operator="lessThan">
      <formula>20</formula>
    </cfRule>
    <cfRule type="cellIs" dxfId="1" priority="638" operator="greaterThan">
      <formula>120</formula>
    </cfRule>
    <cfRule type="containsText" dxfId="2" priority="241" operator="between" text="库存为">
      <formula>NOT(ISERROR(SEARCH("库存为",AU162)))</formula>
    </cfRule>
  </conditionalFormatting>
  <conditionalFormatting sqref="AU163">
    <cfRule type="cellIs" dxfId="0" priority="1034" operator="lessThan">
      <formula>20</formula>
    </cfRule>
    <cfRule type="cellIs" dxfId="1" priority="637" operator="greaterThan">
      <formula>120</formula>
    </cfRule>
    <cfRule type="containsText" dxfId="2" priority="240" operator="between" text="库存为">
      <formula>NOT(ISERROR(SEARCH("库存为",AU163)))</formula>
    </cfRule>
  </conditionalFormatting>
  <conditionalFormatting sqref="AU164">
    <cfRule type="cellIs" dxfId="0" priority="1033" operator="lessThan">
      <formula>20</formula>
    </cfRule>
    <cfRule type="cellIs" dxfId="1" priority="636" operator="greaterThan">
      <formula>120</formula>
    </cfRule>
    <cfRule type="containsText" dxfId="2" priority="239" operator="between" text="库存为">
      <formula>NOT(ISERROR(SEARCH("库存为",AU164)))</formula>
    </cfRule>
  </conditionalFormatting>
  <conditionalFormatting sqref="AU165">
    <cfRule type="cellIs" dxfId="0" priority="1032" operator="lessThan">
      <formula>20</formula>
    </cfRule>
    <cfRule type="cellIs" dxfId="1" priority="635" operator="greaterThan">
      <formula>120</formula>
    </cfRule>
    <cfRule type="containsText" dxfId="2" priority="238" operator="between" text="库存为">
      <formula>NOT(ISERROR(SEARCH("库存为",AU165)))</formula>
    </cfRule>
  </conditionalFormatting>
  <conditionalFormatting sqref="AU166">
    <cfRule type="cellIs" dxfId="0" priority="1031" operator="lessThan">
      <formula>20</formula>
    </cfRule>
    <cfRule type="cellIs" dxfId="1" priority="634" operator="greaterThan">
      <formula>120</formula>
    </cfRule>
    <cfRule type="containsText" dxfId="2" priority="237" operator="between" text="库存为">
      <formula>NOT(ISERROR(SEARCH("库存为",AU166)))</formula>
    </cfRule>
  </conditionalFormatting>
  <conditionalFormatting sqref="AU167">
    <cfRule type="cellIs" dxfId="0" priority="1030" operator="lessThan">
      <formula>20</formula>
    </cfRule>
    <cfRule type="cellIs" dxfId="1" priority="633" operator="greaterThan">
      <formula>120</formula>
    </cfRule>
    <cfRule type="containsText" dxfId="2" priority="236" operator="between" text="库存为">
      <formula>NOT(ISERROR(SEARCH("库存为",AU167)))</formula>
    </cfRule>
  </conditionalFormatting>
  <conditionalFormatting sqref="AU168">
    <cfRule type="cellIs" dxfId="0" priority="1029" operator="lessThan">
      <formula>20</formula>
    </cfRule>
    <cfRule type="cellIs" dxfId="1" priority="632" operator="greaterThan">
      <formula>120</formula>
    </cfRule>
    <cfRule type="containsText" dxfId="2" priority="235" operator="between" text="库存为">
      <formula>NOT(ISERROR(SEARCH("库存为",AU168)))</formula>
    </cfRule>
  </conditionalFormatting>
  <conditionalFormatting sqref="AU169">
    <cfRule type="cellIs" dxfId="0" priority="1028" operator="lessThan">
      <formula>20</formula>
    </cfRule>
    <cfRule type="cellIs" dxfId="1" priority="631" operator="greaterThan">
      <formula>120</formula>
    </cfRule>
    <cfRule type="containsText" dxfId="2" priority="234" operator="between" text="库存为">
      <formula>NOT(ISERROR(SEARCH("库存为",AU169)))</formula>
    </cfRule>
  </conditionalFormatting>
  <conditionalFormatting sqref="AU170">
    <cfRule type="cellIs" dxfId="0" priority="1027" operator="lessThan">
      <formula>20</formula>
    </cfRule>
    <cfRule type="cellIs" dxfId="1" priority="630" operator="greaterThan">
      <formula>120</formula>
    </cfRule>
    <cfRule type="containsText" dxfId="2" priority="233" operator="between" text="库存为">
      <formula>NOT(ISERROR(SEARCH("库存为",AU170)))</formula>
    </cfRule>
  </conditionalFormatting>
  <conditionalFormatting sqref="AU171">
    <cfRule type="cellIs" dxfId="0" priority="1026" operator="lessThan">
      <formula>20</formula>
    </cfRule>
    <cfRule type="cellIs" dxfId="1" priority="629" operator="greaterThan">
      <formula>120</formula>
    </cfRule>
    <cfRule type="containsText" dxfId="2" priority="232" operator="between" text="库存为">
      <formula>NOT(ISERROR(SEARCH("库存为",AU171)))</formula>
    </cfRule>
  </conditionalFormatting>
  <conditionalFormatting sqref="AU172">
    <cfRule type="cellIs" dxfId="0" priority="1025" operator="lessThan">
      <formula>20</formula>
    </cfRule>
    <cfRule type="cellIs" dxfId="1" priority="628" operator="greaterThan">
      <formula>120</formula>
    </cfRule>
    <cfRule type="containsText" dxfId="2" priority="231" operator="between" text="库存为">
      <formula>NOT(ISERROR(SEARCH("库存为",AU172)))</formula>
    </cfRule>
  </conditionalFormatting>
  <conditionalFormatting sqref="AU173">
    <cfRule type="cellIs" dxfId="0" priority="1024" operator="lessThan">
      <formula>20</formula>
    </cfRule>
    <cfRule type="cellIs" dxfId="1" priority="627" operator="greaterThan">
      <formula>120</formula>
    </cfRule>
    <cfRule type="containsText" dxfId="2" priority="230" operator="between" text="库存为">
      <formula>NOT(ISERROR(SEARCH("库存为",AU173)))</formula>
    </cfRule>
  </conditionalFormatting>
  <conditionalFormatting sqref="AU174">
    <cfRule type="cellIs" dxfId="0" priority="1023" operator="lessThan">
      <formula>20</formula>
    </cfRule>
    <cfRule type="cellIs" dxfId="1" priority="626" operator="greaterThan">
      <formula>120</formula>
    </cfRule>
    <cfRule type="containsText" dxfId="2" priority="229" operator="between" text="库存为">
      <formula>NOT(ISERROR(SEARCH("库存为",AU174)))</formula>
    </cfRule>
  </conditionalFormatting>
  <conditionalFormatting sqref="AU175">
    <cfRule type="cellIs" dxfId="0" priority="1022" operator="lessThan">
      <formula>20</formula>
    </cfRule>
    <cfRule type="cellIs" dxfId="1" priority="625" operator="greaterThan">
      <formula>120</formula>
    </cfRule>
    <cfRule type="containsText" dxfId="2" priority="228" operator="between" text="库存为">
      <formula>NOT(ISERROR(SEARCH("库存为",AU175)))</formula>
    </cfRule>
  </conditionalFormatting>
  <conditionalFormatting sqref="AU176">
    <cfRule type="cellIs" dxfId="0" priority="1021" operator="lessThan">
      <formula>20</formula>
    </cfRule>
    <cfRule type="cellIs" dxfId="1" priority="624" operator="greaterThan">
      <formula>120</formula>
    </cfRule>
    <cfRule type="containsText" dxfId="2" priority="227" operator="between" text="库存为">
      <formula>NOT(ISERROR(SEARCH("库存为",AU176)))</formula>
    </cfRule>
  </conditionalFormatting>
  <conditionalFormatting sqref="AU177">
    <cfRule type="cellIs" dxfId="0" priority="1020" operator="lessThan">
      <formula>20</formula>
    </cfRule>
    <cfRule type="cellIs" dxfId="1" priority="623" operator="greaterThan">
      <formula>120</formula>
    </cfRule>
    <cfRule type="containsText" dxfId="2" priority="226" operator="between" text="库存为">
      <formula>NOT(ISERROR(SEARCH("库存为",AU177)))</formula>
    </cfRule>
  </conditionalFormatting>
  <conditionalFormatting sqref="AU178">
    <cfRule type="cellIs" dxfId="0" priority="1019" operator="lessThan">
      <formula>20</formula>
    </cfRule>
    <cfRule type="cellIs" dxfId="1" priority="622" operator="greaterThan">
      <formula>120</formula>
    </cfRule>
    <cfRule type="containsText" dxfId="2" priority="225" operator="between" text="库存为">
      <formula>NOT(ISERROR(SEARCH("库存为",AU178)))</formula>
    </cfRule>
  </conditionalFormatting>
  <conditionalFormatting sqref="AU179">
    <cfRule type="cellIs" dxfId="0" priority="1018" operator="lessThan">
      <formula>20</formula>
    </cfRule>
    <cfRule type="cellIs" dxfId="1" priority="621" operator="greaterThan">
      <formula>120</formula>
    </cfRule>
    <cfRule type="containsText" dxfId="2" priority="224" operator="between" text="库存为">
      <formula>NOT(ISERROR(SEARCH("库存为",AU179)))</formula>
    </cfRule>
  </conditionalFormatting>
  <conditionalFormatting sqref="AU180">
    <cfRule type="cellIs" dxfId="0" priority="1017" operator="lessThan">
      <formula>20</formula>
    </cfRule>
    <cfRule type="cellIs" dxfId="1" priority="620" operator="greaterThan">
      <formula>120</formula>
    </cfRule>
    <cfRule type="containsText" dxfId="2" priority="223" operator="between" text="库存为">
      <formula>NOT(ISERROR(SEARCH("库存为",AU180)))</formula>
    </cfRule>
  </conditionalFormatting>
  <conditionalFormatting sqref="AU181">
    <cfRule type="cellIs" dxfId="0" priority="1016" operator="lessThan">
      <formula>20</formula>
    </cfRule>
    <cfRule type="cellIs" dxfId="1" priority="619" operator="greaterThan">
      <formula>120</formula>
    </cfRule>
    <cfRule type="containsText" dxfId="2" priority="222" operator="between" text="库存为">
      <formula>NOT(ISERROR(SEARCH("库存为",AU181)))</formula>
    </cfRule>
  </conditionalFormatting>
  <conditionalFormatting sqref="AU182">
    <cfRule type="cellIs" dxfId="0" priority="1015" operator="lessThan">
      <formula>20</formula>
    </cfRule>
    <cfRule type="cellIs" dxfId="1" priority="618" operator="greaterThan">
      <formula>120</formula>
    </cfRule>
    <cfRule type="containsText" dxfId="2" priority="221" operator="between" text="库存为">
      <formula>NOT(ISERROR(SEARCH("库存为",AU182)))</formula>
    </cfRule>
  </conditionalFormatting>
  <conditionalFormatting sqref="AU183">
    <cfRule type="cellIs" dxfId="0" priority="1014" operator="lessThan">
      <formula>20</formula>
    </cfRule>
    <cfRule type="cellIs" dxfId="1" priority="617" operator="greaterThan">
      <formula>120</formula>
    </cfRule>
    <cfRule type="containsText" dxfId="2" priority="220" operator="between" text="库存为">
      <formula>NOT(ISERROR(SEARCH("库存为",AU183)))</formula>
    </cfRule>
  </conditionalFormatting>
  <conditionalFormatting sqref="AU184">
    <cfRule type="cellIs" dxfId="0" priority="1013" operator="lessThan">
      <formula>20</formula>
    </cfRule>
    <cfRule type="cellIs" dxfId="1" priority="616" operator="greaterThan">
      <formula>120</formula>
    </cfRule>
    <cfRule type="containsText" dxfId="2" priority="219" operator="between" text="库存为">
      <formula>NOT(ISERROR(SEARCH("库存为",AU184)))</formula>
    </cfRule>
  </conditionalFormatting>
  <conditionalFormatting sqref="AU185">
    <cfRule type="cellIs" dxfId="0" priority="1012" operator="lessThan">
      <formula>20</formula>
    </cfRule>
    <cfRule type="cellIs" dxfId="1" priority="615" operator="greaterThan">
      <formula>120</formula>
    </cfRule>
    <cfRule type="containsText" dxfId="2" priority="218" operator="between" text="库存为">
      <formula>NOT(ISERROR(SEARCH("库存为",AU185)))</formula>
    </cfRule>
  </conditionalFormatting>
  <conditionalFormatting sqref="AU186">
    <cfRule type="cellIs" dxfId="0" priority="1011" operator="lessThan">
      <formula>20</formula>
    </cfRule>
    <cfRule type="cellIs" dxfId="1" priority="614" operator="greaterThan">
      <formula>120</formula>
    </cfRule>
    <cfRule type="containsText" dxfId="2" priority="217" operator="between" text="库存为">
      <formula>NOT(ISERROR(SEARCH("库存为",AU186)))</formula>
    </cfRule>
  </conditionalFormatting>
  <conditionalFormatting sqref="AU187">
    <cfRule type="cellIs" dxfId="0" priority="1010" operator="lessThan">
      <formula>20</formula>
    </cfRule>
    <cfRule type="cellIs" dxfId="1" priority="613" operator="greaterThan">
      <formula>120</formula>
    </cfRule>
    <cfRule type="containsText" dxfId="2" priority="216" operator="between" text="库存为">
      <formula>NOT(ISERROR(SEARCH("库存为",AU187)))</formula>
    </cfRule>
  </conditionalFormatting>
  <conditionalFormatting sqref="AU188">
    <cfRule type="cellIs" dxfId="0" priority="1009" operator="lessThan">
      <formula>20</formula>
    </cfRule>
    <cfRule type="cellIs" dxfId="1" priority="612" operator="greaterThan">
      <formula>120</formula>
    </cfRule>
    <cfRule type="containsText" dxfId="2" priority="215" operator="between" text="库存为">
      <formula>NOT(ISERROR(SEARCH("库存为",AU188)))</formula>
    </cfRule>
  </conditionalFormatting>
  <conditionalFormatting sqref="AU189">
    <cfRule type="cellIs" dxfId="0" priority="1008" operator="lessThan">
      <formula>20</formula>
    </cfRule>
    <cfRule type="cellIs" dxfId="1" priority="611" operator="greaterThan">
      <formula>120</formula>
    </cfRule>
    <cfRule type="containsText" dxfId="2" priority="214" operator="between" text="库存为">
      <formula>NOT(ISERROR(SEARCH("库存为",AU189)))</formula>
    </cfRule>
  </conditionalFormatting>
  <conditionalFormatting sqref="AU190">
    <cfRule type="cellIs" dxfId="0" priority="1007" operator="lessThan">
      <formula>20</formula>
    </cfRule>
    <cfRule type="cellIs" dxfId="1" priority="610" operator="greaterThan">
      <formula>120</formula>
    </cfRule>
    <cfRule type="containsText" dxfId="2" priority="213" operator="between" text="库存为">
      <formula>NOT(ISERROR(SEARCH("库存为",AU190)))</formula>
    </cfRule>
  </conditionalFormatting>
  <conditionalFormatting sqref="AU191">
    <cfRule type="cellIs" dxfId="0" priority="1006" operator="lessThan">
      <formula>20</formula>
    </cfRule>
    <cfRule type="cellIs" dxfId="1" priority="609" operator="greaterThan">
      <formula>120</formula>
    </cfRule>
    <cfRule type="containsText" dxfId="2" priority="212" operator="between" text="库存为">
      <formula>NOT(ISERROR(SEARCH("库存为",AU191)))</formula>
    </cfRule>
  </conditionalFormatting>
  <conditionalFormatting sqref="AU192">
    <cfRule type="cellIs" dxfId="0" priority="1005" operator="lessThan">
      <formula>20</formula>
    </cfRule>
    <cfRule type="cellIs" dxfId="1" priority="608" operator="greaterThan">
      <formula>120</formula>
    </cfRule>
    <cfRule type="containsText" dxfId="2" priority="211" operator="between" text="库存为">
      <formula>NOT(ISERROR(SEARCH("库存为",AU192)))</formula>
    </cfRule>
  </conditionalFormatting>
  <conditionalFormatting sqref="AU193">
    <cfRule type="cellIs" dxfId="0" priority="1004" operator="lessThan">
      <formula>20</formula>
    </cfRule>
    <cfRule type="cellIs" dxfId="1" priority="607" operator="greaterThan">
      <formula>120</formula>
    </cfRule>
    <cfRule type="containsText" dxfId="2" priority="210" operator="between" text="库存为">
      <formula>NOT(ISERROR(SEARCH("库存为",AU193)))</formula>
    </cfRule>
  </conditionalFormatting>
  <conditionalFormatting sqref="AU194">
    <cfRule type="cellIs" dxfId="0" priority="1003" operator="lessThan">
      <formula>20</formula>
    </cfRule>
    <cfRule type="cellIs" dxfId="1" priority="606" operator="greaterThan">
      <formula>120</formula>
    </cfRule>
    <cfRule type="containsText" dxfId="2" priority="209" operator="between" text="库存为">
      <formula>NOT(ISERROR(SEARCH("库存为",AU194)))</formula>
    </cfRule>
  </conditionalFormatting>
  <conditionalFormatting sqref="AU195">
    <cfRule type="cellIs" dxfId="0" priority="1002" operator="lessThan">
      <formula>20</formula>
    </cfRule>
    <cfRule type="cellIs" dxfId="1" priority="605" operator="greaterThan">
      <formula>120</formula>
    </cfRule>
    <cfRule type="containsText" dxfId="2" priority="208" operator="between" text="库存为">
      <formula>NOT(ISERROR(SEARCH("库存为",AU195)))</formula>
    </cfRule>
  </conditionalFormatting>
  <conditionalFormatting sqref="AU196">
    <cfRule type="cellIs" dxfId="0" priority="1001" operator="lessThan">
      <formula>20</formula>
    </cfRule>
    <cfRule type="cellIs" dxfId="1" priority="604" operator="greaterThan">
      <formula>120</formula>
    </cfRule>
    <cfRule type="containsText" dxfId="2" priority="207" operator="between" text="库存为">
      <formula>NOT(ISERROR(SEARCH("库存为",AU196)))</formula>
    </cfRule>
  </conditionalFormatting>
  <conditionalFormatting sqref="AU197">
    <cfRule type="cellIs" dxfId="0" priority="1000" operator="lessThan">
      <formula>20</formula>
    </cfRule>
    <cfRule type="cellIs" dxfId="1" priority="603" operator="greaterThan">
      <formula>120</formula>
    </cfRule>
    <cfRule type="containsText" dxfId="2" priority="206" operator="between" text="库存为">
      <formula>NOT(ISERROR(SEARCH("库存为",AU197)))</formula>
    </cfRule>
  </conditionalFormatting>
  <conditionalFormatting sqref="AU198">
    <cfRule type="cellIs" dxfId="0" priority="999" operator="lessThan">
      <formula>20</formula>
    </cfRule>
    <cfRule type="cellIs" dxfId="1" priority="602" operator="greaterThan">
      <formula>120</formula>
    </cfRule>
    <cfRule type="containsText" dxfId="2" priority="205" operator="between" text="库存为">
      <formula>NOT(ISERROR(SEARCH("库存为",AU198)))</formula>
    </cfRule>
  </conditionalFormatting>
  <conditionalFormatting sqref="AU199">
    <cfRule type="cellIs" dxfId="0" priority="998" operator="lessThan">
      <formula>20</formula>
    </cfRule>
    <cfRule type="cellIs" dxfId="1" priority="601" operator="greaterThan">
      <formula>120</formula>
    </cfRule>
    <cfRule type="containsText" dxfId="2" priority="204" operator="between" text="库存为">
      <formula>NOT(ISERROR(SEARCH("库存为",AU199)))</formula>
    </cfRule>
  </conditionalFormatting>
  <conditionalFormatting sqref="AU200">
    <cfRule type="cellIs" dxfId="0" priority="997" operator="lessThan">
      <formula>20</formula>
    </cfRule>
    <cfRule type="cellIs" dxfId="1" priority="600" operator="greaterThan">
      <formula>120</formula>
    </cfRule>
    <cfRule type="containsText" dxfId="2" priority="203" operator="between" text="库存为">
      <formula>NOT(ISERROR(SEARCH("库存为",AU200)))</formula>
    </cfRule>
  </conditionalFormatting>
  <conditionalFormatting sqref="AU201">
    <cfRule type="cellIs" dxfId="0" priority="996" operator="lessThan">
      <formula>20</formula>
    </cfRule>
    <cfRule type="cellIs" dxfId="1" priority="599" operator="greaterThan">
      <formula>120</formula>
    </cfRule>
    <cfRule type="containsText" dxfId="2" priority="202" operator="between" text="库存为">
      <formula>NOT(ISERROR(SEARCH("库存为",AU201)))</formula>
    </cfRule>
  </conditionalFormatting>
  <conditionalFormatting sqref="AU202">
    <cfRule type="cellIs" dxfId="0" priority="995" operator="lessThan">
      <formula>20</formula>
    </cfRule>
    <cfRule type="cellIs" dxfId="1" priority="598" operator="greaterThan">
      <formula>120</formula>
    </cfRule>
    <cfRule type="containsText" dxfId="2" priority="201" operator="between" text="库存为">
      <formula>NOT(ISERROR(SEARCH("库存为",AU202)))</formula>
    </cfRule>
  </conditionalFormatting>
  <conditionalFormatting sqref="AU203">
    <cfRule type="cellIs" dxfId="0" priority="994" operator="lessThan">
      <formula>20</formula>
    </cfRule>
    <cfRule type="cellIs" dxfId="1" priority="597" operator="greaterThan">
      <formula>120</formula>
    </cfRule>
    <cfRule type="containsText" dxfId="2" priority="200" operator="between" text="库存为">
      <formula>NOT(ISERROR(SEARCH("库存为",AU203)))</formula>
    </cfRule>
  </conditionalFormatting>
  <conditionalFormatting sqref="AU204">
    <cfRule type="cellIs" dxfId="0" priority="993" operator="lessThan">
      <formula>20</formula>
    </cfRule>
    <cfRule type="cellIs" dxfId="1" priority="596" operator="greaterThan">
      <formula>120</formula>
    </cfRule>
    <cfRule type="containsText" dxfId="2" priority="199" operator="between" text="库存为">
      <formula>NOT(ISERROR(SEARCH("库存为",AU204)))</formula>
    </cfRule>
  </conditionalFormatting>
  <conditionalFormatting sqref="AU205">
    <cfRule type="cellIs" dxfId="0" priority="992" operator="lessThan">
      <formula>20</formula>
    </cfRule>
    <cfRule type="cellIs" dxfId="1" priority="595" operator="greaterThan">
      <formula>120</formula>
    </cfRule>
    <cfRule type="containsText" dxfId="2" priority="198" operator="between" text="库存为">
      <formula>NOT(ISERROR(SEARCH("库存为",AU205)))</formula>
    </cfRule>
  </conditionalFormatting>
  <conditionalFormatting sqref="AU206">
    <cfRule type="cellIs" dxfId="0" priority="991" operator="lessThan">
      <formula>20</formula>
    </cfRule>
    <cfRule type="cellIs" dxfId="1" priority="594" operator="greaterThan">
      <formula>120</formula>
    </cfRule>
    <cfRule type="containsText" dxfId="2" priority="197" operator="between" text="库存为">
      <formula>NOT(ISERROR(SEARCH("库存为",AU206)))</formula>
    </cfRule>
  </conditionalFormatting>
  <conditionalFormatting sqref="AU207">
    <cfRule type="cellIs" dxfId="0" priority="990" operator="lessThan">
      <formula>20</formula>
    </cfRule>
    <cfRule type="cellIs" dxfId="1" priority="593" operator="greaterThan">
      <formula>120</formula>
    </cfRule>
    <cfRule type="containsText" dxfId="2" priority="196" operator="between" text="库存为">
      <formula>NOT(ISERROR(SEARCH("库存为",AU207)))</formula>
    </cfRule>
  </conditionalFormatting>
  <conditionalFormatting sqref="AU208">
    <cfRule type="cellIs" dxfId="0" priority="989" operator="lessThan">
      <formula>20</formula>
    </cfRule>
    <cfRule type="cellIs" dxfId="1" priority="592" operator="greaterThan">
      <formula>120</formula>
    </cfRule>
    <cfRule type="containsText" dxfId="2" priority="195" operator="between" text="库存为">
      <formula>NOT(ISERROR(SEARCH("库存为",AU208)))</formula>
    </cfRule>
  </conditionalFormatting>
  <conditionalFormatting sqref="AU209">
    <cfRule type="cellIs" dxfId="0" priority="988" operator="lessThan">
      <formula>20</formula>
    </cfRule>
    <cfRule type="cellIs" dxfId="1" priority="591" operator="greaterThan">
      <formula>120</formula>
    </cfRule>
    <cfRule type="containsText" dxfId="2" priority="194" operator="between" text="库存为">
      <formula>NOT(ISERROR(SEARCH("库存为",AU209)))</formula>
    </cfRule>
  </conditionalFormatting>
  <conditionalFormatting sqref="AU210">
    <cfRule type="cellIs" dxfId="0" priority="987" operator="lessThan">
      <formula>20</formula>
    </cfRule>
    <cfRule type="cellIs" dxfId="1" priority="590" operator="greaterThan">
      <formula>120</formula>
    </cfRule>
    <cfRule type="containsText" dxfId="2" priority="193" operator="between" text="库存为">
      <formula>NOT(ISERROR(SEARCH("库存为",AU210)))</formula>
    </cfRule>
  </conditionalFormatting>
  <conditionalFormatting sqref="AU211">
    <cfRule type="cellIs" dxfId="0" priority="986" operator="lessThan">
      <formula>20</formula>
    </cfRule>
    <cfRule type="cellIs" dxfId="1" priority="589" operator="greaterThan">
      <formula>120</formula>
    </cfRule>
    <cfRule type="containsText" dxfId="2" priority="192" operator="between" text="库存为">
      <formula>NOT(ISERROR(SEARCH("库存为",AU211)))</formula>
    </cfRule>
  </conditionalFormatting>
  <conditionalFormatting sqref="AU212">
    <cfRule type="cellIs" dxfId="0" priority="985" operator="lessThan">
      <formula>20</formula>
    </cfRule>
    <cfRule type="cellIs" dxfId="1" priority="588" operator="greaterThan">
      <formula>120</formula>
    </cfRule>
    <cfRule type="containsText" dxfId="2" priority="191" operator="between" text="库存为">
      <formula>NOT(ISERROR(SEARCH("库存为",AU212)))</formula>
    </cfRule>
  </conditionalFormatting>
  <conditionalFormatting sqref="AU213">
    <cfRule type="cellIs" dxfId="0" priority="984" operator="lessThan">
      <formula>20</formula>
    </cfRule>
    <cfRule type="cellIs" dxfId="1" priority="587" operator="greaterThan">
      <formula>120</formula>
    </cfRule>
    <cfRule type="containsText" dxfId="2" priority="190" operator="between" text="库存为">
      <formula>NOT(ISERROR(SEARCH("库存为",AU213)))</formula>
    </cfRule>
  </conditionalFormatting>
  <conditionalFormatting sqref="AU214">
    <cfRule type="cellIs" dxfId="0" priority="983" operator="lessThan">
      <formula>20</formula>
    </cfRule>
    <cfRule type="cellIs" dxfId="1" priority="586" operator="greaterThan">
      <formula>120</formula>
    </cfRule>
    <cfRule type="containsText" dxfId="2" priority="189" operator="between" text="库存为">
      <formula>NOT(ISERROR(SEARCH("库存为",AU214)))</formula>
    </cfRule>
  </conditionalFormatting>
  <conditionalFormatting sqref="AU215">
    <cfRule type="cellIs" dxfId="0" priority="982" operator="lessThan">
      <formula>20</formula>
    </cfRule>
    <cfRule type="cellIs" dxfId="1" priority="585" operator="greaterThan">
      <formula>120</formula>
    </cfRule>
    <cfRule type="containsText" dxfId="2" priority="188" operator="between" text="库存为">
      <formula>NOT(ISERROR(SEARCH("库存为",AU215)))</formula>
    </cfRule>
  </conditionalFormatting>
  <conditionalFormatting sqref="AU216">
    <cfRule type="cellIs" dxfId="0" priority="981" operator="lessThan">
      <formula>20</formula>
    </cfRule>
    <cfRule type="cellIs" dxfId="1" priority="584" operator="greaterThan">
      <formula>120</formula>
    </cfRule>
    <cfRule type="containsText" dxfId="2" priority="187" operator="between" text="库存为">
      <formula>NOT(ISERROR(SEARCH("库存为",AU216)))</formula>
    </cfRule>
  </conditionalFormatting>
  <conditionalFormatting sqref="AU217">
    <cfRule type="cellIs" dxfId="0" priority="980" operator="lessThan">
      <formula>20</formula>
    </cfRule>
    <cfRule type="cellIs" dxfId="1" priority="583" operator="greaterThan">
      <formula>120</formula>
    </cfRule>
    <cfRule type="containsText" dxfId="2" priority="186" operator="between" text="库存为">
      <formula>NOT(ISERROR(SEARCH("库存为",AU217)))</formula>
    </cfRule>
  </conditionalFormatting>
  <conditionalFormatting sqref="AU218">
    <cfRule type="cellIs" dxfId="0" priority="979" operator="lessThan">
      <formula>20</formula>
    </cfRule>
    <cfRule type="cellIs" dxfId="1" priority="582" operator="greaterThan">
      <formula>120</formula>
    </cfRule>
    <cfRule type="containsText" dxfId="2" priority="185" operator="between" text="库存为">
      <formula>NOT(ISERROR(SEARCH("库存为",AU218)))</formula>
    </cfRule>
  </conditionalFormatting>
  <conditionalFormatting sqref="AU219">
    <cfRule type="cellIs" dxfId="0" priority="978" operator="lessThan">
      <formula>20</formula>
    </cfRule>
    <cfRule type="cellIs" dxfId="1" priority="581" operator="greaterThan">
      <formula>120</formula>
    </cfRule>
    <cfRule type="containsText" dxfId="2" priority="184" operator="between" text="库存为">
      <formula>NOT(ISERROR(SEARCH("库存为",AU219)))</formula>
    </cfRule>
  </conditionalFormatting>
  <conditionalFormatting sqref="AU220">
    <cfRule type="cellIs" dxfId="0" priority="977" operator="lessThan">
      <formula>20</formula>
    </cfRule>
    <cfRule type="cellIs" dxfId="1" priority="580" operator="greaterThan">
      <formula>120</formula>
    </cfRule>
    <cfRule type="containsText" dxfId="2" priority="183" operator="between" text="库存为">
      <formula>NOT(ISERROR(SEARCH("库存为",AU220)))</formula>
    </cfRule>
  </conditionalFormatting>
  <conditionalFormatting sqref="AU221">
    <cfRule type="cellIs" dxfId="0" priority="976" operator="lessThan">
      <formula>20</formula>
    </cfRule>
    <cfRule type="cellIs" dxfId="1" priority="579" operator="greaterThan">
      <formula>120</formula>
    </cfRule>
    <cfRule type="containsText" dxfId="2" priority="182" operator="between" text="库存为">
      <formula>NOT(ISERROR(SEARCH("库存为",AU221)))</formula>
    </cfRule>
  </conditionalFormatting>
  <conditionalFormatting sqref="AU222">
    <cfRule type="cellIs" dxfId="0" priority="975" operator="lessThan">
      <formula>20</formula>
    </cfRule>
    <cfRule type="cellIs" dxfId="1" priority="578" operator="greaterThan">
      <formula>120</formula>
    </cfRule>
    <cfRule type="containsText" dxfId="2" priority="181" operator="between" text="库存为">
      <formula>NOT(ISERROR(SEARCH("库存为",AU222)))</formula>
    </cfRule>
  </conditionalFormatting>
  <conditionalFormatting sqref="AU223">
    <cfRule type="cellIs" dxfId="0" priority="974" operator="lessThan">
      <formula>20</formula>
    </cfRule>
    <cfRule type="cellIs" dxfId="1" priority="577" operator="greaterThan">
      <formula>120</formula>
    </cfRule>
    <cfRule type="containsText" dxfId="2" priority="180" operator="between" text="库存为">
      <formula>NOT(ISERROR(SEARCH("库存为",AU223)))</formula>
    </cfRule>
  </conditionalFormatting>
  <conditionalFormatting sqref="AU224">
    <cfRule type="cellIs" dxfId="0" priority="973" operator="lessThan">
      <formula>20</formula>
    </cfRule>
    <cfRule type="cellIs" dxfId="1" priority="576" operator="greaterThan">
      <formula>120</formula>
    </cfRule>
    <cfRule type="containsText" dxfId="2" priority="179" operator="between" text="库存为">
      <formula>NOT(ISERROR(SEARCH("库存为",AU224)))</formula>
    </cfRule>
  </conditionalFormatting>
  <conditionalFormatting sqref="AU225">
    <cfRule type="cellIs" dxfId="0" priority="972" operator="lessThan">
      <formula>20</formula>
    </cfRule>
    <cfRule type="cellIs" dxfId="1" priority="575" operator="greaterThan">
      <formula>120</formula>
    </cfRule>
    <cfRule type="containsText" dxfId="2" priority="178" operator="between" text="库存为">
      <formula>NOT(ISERROR(SEARCH("库存为",AU225)))</formula>
    </cfRule>
  </conditionalFormatting>
  <conditionalFormatting sqref="AU226">
    <cfRule type="cellIs" dxfId="0" priority="971" operator="lessThan">
      <formula>20</formula>
    </cfRule>
    <cfRule type="cellIs" dxfId="1" priority="574" operator="greaterThan">
      <formula>120</formula>
    </cfRule>
    <cfRule type="containsText" dxfId="2" priority="177" operator="between" text="库存为">
      <formula>NOT(ISERROR(SEARCH("库存为",AU226)))</formula>
    </cfRule>
  </conditionalFormatting>
  <conditionalFormatting sqref="AU227">
    <cfRule type="cellIs" dxfId="0" priority="970" operator="lessThan">
      <formula>20</formula>
    </cfRule>
    <cfRule type="cellIs" dxfId="1" priority="573" operator="greaterThan">
      <formula>120</formula>
    </cfRule>
    <cfRule type="containsText" dxfId="2" priority="176" operator="between" text="库存为">
      <formula>NOT(ISERROR(SEARCH("库存为",AU227)))</formula>
    </cfRule>
  </conditionalFormatting>
  <conditionalFormatting sqref="AU228">
    <cfRule type="cellIs" dxfId="0" priority="969" operator="lessThan">
      <formula>20</formula>
    </cfRule>
    <cfRule type="cellIs" dxfId="1" priority="572" operator="greaterThan">
      <formula>120</formula>
    </cfRule>
    <cfRule type="containsText" dxfId="2" priority="175" operator="between" text="库存为">
      <formula>NOT(ISERROR(SEARCH("库存为",AU228)))</formula>
    </cfRule>
  </conditionalFormatting>
  <conditionalFormatting sqref="AU229">
    <cfRule type="cellIs" dxfId="0" priority="968" operator="lessThan">
      <formula>20</formula>
    </cfRule>
    <cfRule type="cellIs" dxfId="1" priority="571" operator="greaterThan">
      <formula>120</formula>
    </cfRule>
    <cfRule type="containsText" dxfId="2" priority="174" operator="between" text="库存为">
      <formula>NOT(ISERROR(SEARCH("库存为",AU229)))</formula>
    </cfRule>
  </conditionalFormatting>
  <conditionalFormatting sqref="AU230">
    <cfRule type="cellIs" dxfId="0" priority="967" operator="lessThan">
      <formula>20</formula>
    </cfRule>
    <cfRule type="cellIs" dxfId="1" priority="570" operator="greaterThan">
      <formula>120</formula>
    </cfRule>
    <cfRule type="containsText" dxfId="2" priority="173" operator="between" text="库存为">
      <formula>NOT(ISERROR(SEARCH("库存为",AU230)))</formula>
    </cfRule>
  </conditionalFormatting>
  <conditionalFormatting sqref="AU231">
    <cfRule type="cellIs" dxfId="0" priority="966" operator="lessThan">
      <formula>20</formula>
    </cfRule>
    <cfRule type="cellIs" dxfId="1" priority="569" operator="greaterThan">
      <formula>120</formula>
    </cfRule>
    <cfRule type="containsText" dxfId="2" priority="172" operator="between" text="库存为">
      <formula>NOT(ISERROR(SEARCH("库存为",AU231)))</formula>
    </cfRule>
  </conditionalFormatting>
  <conditionalFormatting sqref="AU232">
    <cfRule type="cellIs" dxfId="0" priority="965" operator="lessThan">
      <formula>20</formula>
    </cfRule>
    <cfRule type="cellIs" dxfId="1" priority="568" operator="greaterThan">
      <formula>120</formula>
    </cfRule>
    <cfRule type="containsText" dxfId="2" priority="171" operator="between" text="库存为">
      <formula>NOT(ISERROR(SEARCH("库存为",AU232)))</formula>
    </cfRule>
  </conditionalFormatting>
  <conditionalFormatting sqref="AU233">
    <cfRule type="cellIs" dxfId="0" priority="964" operator="lessThan">
      <formula>20</formula>
    </cfRule>
    <cfRule type="cellIs" dxfId="1" priority="567" operator="greaterThan">
      <formula>120</formula>
    </cfRule>
    <cfRule type="containsText" dxfId="2" priority="170" operator="between" text="库存为">
      <formula>NOT(ISERROR(SEARCH("库存为",AU233)))</formula>
    </cfRule>
  </conditionalFormatting>
  <conditionalFormatting sqref="AU234">
    <cfRule type="cellIs" dxfId="0" priority="963" operator="lessThan">
      <formula>20</formula>
    </cfRule>
    <cfRule type="cellIs" dxfId="1" priority="566" operator="greaterThan">
      <formula>120</formula>
    </cfRule>
    <cfRule type="containsText" dxfId="2" priority="169" operator="between" text="库存为">
      <formula>NOT(ISERROR(SEARCH("库存为",AU234)))</formula>
    </cfRule>
  </conditionalFormatting>
  <conditionalFormatting sqref="AU235">
    <cfRule type="cellIs" dxfId="0" priority="962" operator="lessThan">
      <formula>20</formula>
    </cfRule>
    <cfRule type="cellIs" dxfId="1" priority="565" operator="greaterThan">
      <formula>120</formula>
    </cfRule>
    <cfRule type="containsText" dxfId="2" priority="168" operator="between" text="库存为">
      <formula>NOT(ISERROR(SEARCH("库存为",AU235)))</formula>
    </cfRule>
  </conditionalFormatting>
  <conditionalFormatting sqref="AU236">
    <cfRule type="cellIs" dxfId="0" priority="961" operator="lessThan">
      <formula>20</formula>
    </cfRule>
    <cfRule type="cellIs" dxfId="1" priority="564" operator="greaterThan">
      <formula>120</formula>
    </cfRule>
    <cfRule type="containsText" dxfId="2" priority="167" operator="between" text="库存为">
      <formula>NOT(ISERROR(SEARCH("库存为",AU236)))</formula>
    </cfRule>
  </conditionalFormatting>
  <conditionalFormatting sqref="AU237">
    <cfRule type="cellIs" dxfId="0" priority="960" operator="lessThan">
      <formula>20</formula>
    </cfRule>
    <cfRule type="cellIs" dxfId="1" priority="563" operator="greaterThan">
      <formula>120</formula>
    </cfRule>
    <cfRule type="containsText" dxfId="2" priority="166" operator="between" text="库存为">
      <formula>NOT(ISERROR(SEARCH("库存为",AU237)))</formula>
    </cfRule>
  </conditionalFormatting>
  <conditionalFormatting sqref="AU238">
    <cfRule type="cellIs" dxfId="0" priority="959" operator="lessThan">
      <formula>20</formula>
    </cfRule>
    <cfRule type="cellIs" dxfId="1" priority="562" operator="greaterThan">
      <formula>120</formula>
    </cfRule>
    <cfRule type="containsText" dxfId="2" priority="165" operator="between" text="库存为">
      <formula>NOT(ISERROR(SEARCH("库存为",AU238)))</formula>
    </cfRule>
  </conditionalFormatting>
  <conditionalFormatting sqref="AU239">
    <cfRule type="cellIs" dxfId="0" priority="958" operator="lessThan">
      <formula>20</formula>
    </cfRule>
    <cfRule type="cellIs" dxfId="1" priority="561" operator="greaterThan">
      <formula>120</formula>
    </cfRule>
    <cfRule type="containsText" dxfId="2" priority="164" operator="between" text="库存为">
      <formula>NOT(ISERROR(SEARCH("库存为",AU239)))</formula>
    </cfRule>
  </conditionalFormatting>
  <conditionalFormatting sqref="AU240">
    <cfRule type="cellIs" dxfId="0" priority="957" operator="lessThan">
      <formula>20</formula>
    </cfRule>
    <cfRule type="cellIs" dxfId="1" priority="560" operator="greaterThan">
      <formula>120</formula>
    </cfRule>
    <cfRule type="containsText" dxfId="2" priority="163" operator="between" text="库存为">
      <formula>NOT(ISERROR(SEARCH("库存为",AU240)))</formula>
    </cfRule>
  </conditionalFormatting>
  <conditionalFormatting sqref="AU241">
    <cfRule type="cellIs" dxfId="0" priority="956" operator="lessThan">
      <formula>20</formula>
    </cfRule>
    <cfRule type="cellIs" dxfId="1" priority="559" operator="greaterThan">
      <formula>120</formula>
    </cfRule>
    <cfRule type="containsText" dxfId="2" priority="162" operator="between" text="库存为">
      <formula>NOT(ISERROR(SEARCH("库存为",AU241)))</formula>
    </cfRule>
  </conditionalFormatting>
  <conditionalFormatting sqref="AU242">
    <cfRule type="cellIs" dxfId="0" priority="955" operator="lessThan">
      <formula>20</formula>
    </cfRule>
    <cfRule type="cellIs" dxfId="1" priority="558" operator="greaterThan">
      <formula>120</formula>
    </cfRule>
    <cfRule type="containsText" dxfId="2" priority="161" operator="between" text="库存为">
      <formula>NOT(ISERROR(SEARCH("库存为",AU242)))</formula>
    </cfRule>
  </conditionalFormatting>
  <conditionalFormatting sqref="AU243">
    <cfRule type="cellIs" dxfId="0" priority="954" operator="lessThan">
      <formula>20</formula>
    </cfRule>
    <cfRule type="cellIs" dxfId="1" priority="557" operator="greaterThan">
      <formula>120</formula>
    </cfRule>
    <cfRule type="containsText" dxfId="2" priority="160" operator="between" text="库存为">
      <formula>NOT(ISERROR(SEARCH("库存为",AU243)))</formula>
    </cfRule>
  </conditionalFormatting>
  <conditionalFormatting sqref="AU244">
    <cfRule type="cellIs" dxfId="0" priority="953" operator="lessThan">
      <formula>20</formula>
    </cfRule>
    <cfRule type="cellIs" dxfId="1" priority="556" operator="greaterThan">
      <formula>120</formula>
    </cfRule>
    <cfRule type="containsText" dxfId="2" priority="159" operator="between" text="库存为">
      <formula>NOT(ISERROR(SEARCH("库存为",AU244)))</formula>
    </cfRule>
  </conditionalFormatting>
  <conditionalFormatting sqref="AU245">
    <cfRule type="cellIs" dxfId="0" priority="952" operator="lessThan">
      <formula>20</formula>
    </cfRule>
    <cfRule type="cellIs" dxfId="1" priority="555" operator="greaterThan">
      <formula>120</formula>
    </cfRule>
    <cfRule type="containsText" dxfId="2" priority="158" operator="between" text="库存为">
      <formula>NOT(ISERROR(SEARCH("库存为",AU245)))</formula>
    </cfRule>
  </conditionalFormatting>
  <conditionalFormatting sqref="AU246">
    <cfRule type="cellIs" dxfId="0" priority="951" operator="lessThan">
      <formula>20</formula>
    </cfRule>
    <cfRule type="cellIs" dxfId="1" priority="554" operator="greaterThan">
      <formula>120</formula>
    </cfRule>
    <cfRule type="containsText" dxfId="2" priority="157" operator="between" text="库存为">
      <formula>NOT(ISERROR(SEARCH("库存为",AU246)))</formula>
    </cfRule>
  </conditionalFormatting>
  <conditionalFormatting sqref="AU247">
    <cfRule type="cellIs" dxfId="0" priority="950" operator="lessThan">
      <formula>20</formula>
    </cfRule>
    <cfRule type="cellIs" dxfId="1" priority="553" operator="greaterThan">
      <formula>120</formula>
    </cfRule>
    <cfRule type="containsText" dxfId="2" priority="156" operator="between" text="库存为">
      <formula>NOT(ISERROR(SEARCH("库存为",AU247)))</formula>
    </cfRule>
  </conditionalFormatting>
  <conditionalFormatting sqref="AU248">
    <cfRule type="cellIs" dxfId="0" priority="949" operator="lessThan">
      <formula>20</formula>
    </cfRule>
    <cfRule type="cellIs" dxfId="1" priority="552" operator="greaterThan">
      <formula>120</formula>
    </cfRule>
    <cfRule type="containsText" dxfId="2" priority="155" operator="between" text="库存为">
      <formula>NOT(ISERROR(SEARCH("库存为",AU248)))</formula>
    </cfRule>
  </conditionalFormatting>
  <conditionalFormatting sqref="AU249">
    <cfRule type="cellIs" dxfId="0" priority="948" operator="lessThan">
      <formula>20</formula>
    </cfRule>
    <cfRule type="cellIs" dxfId="1" priority="551" operator="greaterThan">
      <formula>120</formula>
    </cfRule>
    <cfRule type="containsText" dxfId="2" priority="154" operator="between" text="库存为">
      <formula>NOT(ISERROR(SEARCH("库存为",AU249)))</formula>
    </cfRule>
  </conditionalFormatting>
  <conditionalFormatting sqref="AU250">
    <cfRule type="cellIs" dxfId="0" priority="947" operator="lessThan">
      <formula>20</formula>
    </cfRule>
    <cfRule type="cellIs" dxfId="1" priority="550" operator="greaterThan">
      <formula>120</formula>
    </cfRule>
    <cfRule type="containsText" dxfId="2" priority="153" operator="between" text="库存为">
      <formula>NOT(ISERROR(SEARCH("库存为",AU250)))</formula>
    </cfRule>
  </conditionalFormatting>
  <conditionalFormatting sqref="AU251">
    <cfRule type="cellIs" dxfId="0" priority="946" operator="lessThan">
      <formula>20</formula>
    </cfRule>
    <cfRule type="cellIs" dxfId="1" priority="549" operator="greaterThan">
      <formula>120</formula>
    </cfRule>
    <cfRule type="containsText" dxfId="2" priority="152" operator="between" text="库存为">
      <formula>NOT(ISERROR(SEARCH("库存为",AU251)))</formula>
    </cfRule>
  </conditionalFormatting>
  <conditionalFormatting sqref="AU252">
    <cfRule type="cellIs" dxfId="0" priority="945" operator="lessThan">
      <formula>20</formula>
    </cfRule>
    <cfRule type="cellIs" dxfId="1" priority="548" operator="greaterThan">
      <formula>120</formula>
    </cfRule>
    <cfRule type="containsText" dxfId="2" priority="151" operator="between" text="库存为">
      <formula>NOT(ISERROR(SEARCH("库存为",AU252)))</formula>
    </cfRule>
  </conditionalFormatting>
  <conditionalFormatting sqref="AU253">
    <cfRule type="cellIs" dxfId="0" priority="944" operator="lessThan">
      <formula>20</formula>
    </cfRule>
    <cfRule type="cellIs" dxfId="1" priority="547" operator="greaterThan">
      <formula>120</formula>
    </cfRule>
    <cfRule type="containsText" dxfId="2" priority="150" operator="between" text="库存为">
      <formula>NOT(ISERROR(SEARCH("库存为",AU253)))</formula>
    </cfRule>
  </conditionalFormatting>
  <conditionalFormatting sqref="AU254">
    <cfRule type="cellIs" dxfId="0" priority="943" operator="lessThan">
      <formula>20</formula>
    </cfRule>
    <cfRule type="cellIs" dxfId="1" priority="546" operator="greaterThan">
      <formula>120</formula>
    </cfRule>
    <cfRule type="containsText" dxfId="2" priority="149" operator="between" text="库存为">
      <formula>NOT(ISERROR(SEARCH("库存为",AU254)))</formula>
    </cfRule>
  </conditionalFormatting>
  <conditionalFormatting sqref="AU255">
    <cfRule type="cellIs" dxfId="0" priority="942" operator="lessThan">
      <formula>20</formula>
    </cfRule>
    <cfRule type="cellIs" dxfId="1" priority="545" operator="greaterThan">
      <formula>120</formula>
    </cfRule>
    <cfRule type="containsText" dxfId="2" priority="148" operator="between" text="库存为">
      <formula>NOT(ISERROR(SEARCH("库存为",AU255)))</formula>
    </cfRule>
  </conditionalFormatting>
  <conditionalFormatting sqref="AU256">
    <cfRule type="cellIs" dxfId="0" priority="941" operator="lessThan">
      <formula>20</formula>
    </cfRule>
    <cfRule type="cellIs" dxfId="1" priority="544" operator="greaterThan">
      <formula>120</formula>
    </cfRule>
    <cfRule type="containsText" dxfId="2" priority="147" operator="between" text="库存为">
      <formula>NOT(ISERROR(SEARCH("库存为",AU256)))</formula>
    </cfRule>
  </conditionalFormatting>
  <conditionalFormatting sqref="AU257">
    <cfRule type="cellIs" dxfId="0" priority="940" operator="lessThan">
      <formula>20</formula>
    </cfRule>
    <cfRule type="cellIs" dxfId="1" priority="543" operator="greaterThan">
      <formula>120</formula>
    </cfRule>
    <cfRule type="containsText" dxfId="2" priority="146" operator="between" text="库存为">
      <formula>NOT(ISERROR(SEARCH("库存为",AU257)))</formula>
    </cfRule>
  </conditionalFormatting>
  <conditionalFormatting sqref="AU258">
    <cfRule type="cellIs" dxfId="0" priority="939" operator="lessThan">
      <formula>20</formula>
    </cfRule>
    <cfRule type="cellIs" dxfId="1" priority="542" operator="greaterThan">
      <formula>120</formula>
    </cfRule>
    <cfRule type="containsText" dxfId="2" priority="145" operator="between" text="库存为">
      <formula>NOT(ISERROR(SEARCH("库存为",AU258)))</formula>
    </cfRule>
  </conditionalFormatting>
  <conditionalFormatting sqref="AU259">
    <cfRule type="cellIs" dxfId="0" priority="938" operator="lessThan">
      <formula>20</formula>
    </cfRule>
    <cfRule type="cellIs" dxfId="1" priority="541" operator="greaterThan">
      <formula>120</formula>
    </cfRule>
    <cfRule type="containsText" dxfId="2" priority="144" operator="between" text="库存为">
      <formula>NOT(ISERROR(SEARCH("库存为",AU259)))</formula>
    </cfRule>
  </conditionalFormatting>
  <conditionalFormatting sqref="AU260">
    <cfRule type="cellIs" dxfId="0" priority="937" operator="lessThan">
      <formula>20</formula>
    </cfRule>
    <cfRule type="cellIs" dxfId="1" priority="540" operator="greaterThan">
      <formula>120</formula>
    </cfRule>
    <cfRule type="containsText" dxfId="2" priority="143" operator="between" text="库存为">
      <formula>NOT(ISERROR(SEARCH("库存为",AU260)))</formula>
    </cfRule>
  </conditionalFormatting>
  <conditionalFormatting sqref="AU261">
    <cfRule type="cellIs" dxfId="0" priority="936" operator="lessThan">
      <formula>20</formula>
    </cfRule>
    <cfRule type="cellIs" dxfId="1" priority="539" operator="greaterThan">
      <formula>120</formula>
    </cfRule>
    <cfRule type="containsText" dxfId="2" priority="142" operator="between" text="库存为">
      <formula>NOT(ISERROR(SEARCH("库存为",AU261)))</formula>
    </cfRule>
  </conditionalFormatting>
  <conditionalFormatting sqref="AU262">
    <cfRule type="cellIs" dxfId="0" priority="935" operator="lessThan">
      <formula>20</formula>
    </cfRule>
    <cfRule type="cellIs" dxfId="1" priority="538" operator="greaterThan">
      <formula>120</formula>
    </cfRule>
    <cfRule type="containsText" dxfId="2" priority="141" operator="between" text="库存为">
      <formula>NOT(ISERROR(SEARCH("库存为",AU262)))</formula>
    </cfRule>
  </conditionalFormatting>
  <conditionalFormatting sqref="AU263">
    <cfRule type="cellIs" dxfId="0" priority="934" operator="lessThan">
      <formula>20</formula>
    </cfRule>
    <cfRule type="cellIs" dxfId="1" priority="537" operator="greaterThan">
      <formula>120</formula>
    </cfRule>
    <cfRule type="containsText" dxfId="2" priority="140" operator="between" text="库存为">
      <formula>NOT(ISERROR(SEARCH("库存为",AU263)))</formula>
    </cfRule>
  </conditionalFormatting>
  <conditionalFormatting sqref="AU264">
    <cfRule type="cellIs" dxfId="0" priority="933" operator="lessThan">
      <formula>20</formula>
    </cfRule>
    <cfRule type="cellIs" dxfId="1" priority="536" operator="greaterThan">
      <formula>120</formula>
    </cfRule>
    <cfRule type="containsText" dxfId="2" priority="139" operator="between" text="库存为">
      <formula>NOT(ISERROR(SEARCH("库存为",AU264)))</formula>
    </cfRule>
  </conditionalFormatting>
  <conditionalFormatting sqref="AU265">
    <cfRule type="cellIs" dxfId="0" priority="932" operator="lessThan">
      <formula>20</formula>
    </cfRule>
    <cfRule type="cellIs" dxfId="1" priority="535" operator="greaterThan">
      <formula>120</formula>
    </cfRule>
    <cfRule type="containsText" dxfId="2" priority="138" operator="between" text="库存为">
      <formula>NOT(ISERROR(SEARCH("库存为",AU265)))</formula>
    </cfRule>
  </conditionalFormatting>
  <conditionalFormatting sqref="AU266">
    <cfRule type="cellIs" dxfId="0" priority="931" operator="lessThan">
      <formula>20</formula>
    </cfRule>
    <cfRule type="cellIs" dxfId="1" priority="534" operator="greaterThan">
      <formula>120</formula>
    </cfRule>
    <cfRule type="containsText" dxfId="2" priority="137" operator="between" text="库存为">
      <formula>NOT(ISERROR(SEARCH("库存为",AU266)))</formula>
    </cfRule>
  </conditionalFormatting>
  <conditionalFormatting sqref="AU267">
    <cfRule type="cellIs" dxfId="0" priority="930" operator="lessThan">
      <formula>20</formula>
    </cfRule>
    <cfRule type="cellIs" dxfId="1" priority="533" operator="greaterThan">
      <formula>120</formula>
    </cfRule>
    <cfRule type="containsText" dxfId="2" priority="136" operator="between" text="库存为">
      <formula>NOT(ISERROR(SEARCH("库存为",AU267)))</formula>
    </cfRule>
  </conditionalFormatting>
  <conditionalFormatting sqref="AU268">
    <cfRule type="cellIs" dxfId="0" priority="929" operator="lessThan">
      <formula>20</formula>
    </cfRule>
    <cfRule type="cellIs" dxfId="1" priority="532" operator="greaterThan">
      <formula>120</formula>
    </cfRule>
    <cfRule type="containsText" dxfId="2" priority="135" operator="between" text="库存为">
      <formula>NOT(ISERROR(SEARCH("库存为",AU268)))</formula>
    </cfRule>
  </conditionalFormatting>
  <conditionalFormatting sqref="AU269">
    <cfRule type="cellIs" dxfId="0" priority="928" operator="lessThan">
      <formula>20</formula>
    </cfRule>
    <cfRule type="cellIs" dxfId="1" priority="531" operator="greaterThan">
      <formula>120</formula>
    </cfRule>
    <cfRule type="containsText" dxfId="2" priority="134" operator="between" text="库存为">
      <formula>NOT(ISERROR(SEARCH("库存为",AU269)))</formula>
    </cfRule>
  </conditionalFormatting>
  <conditionalFormatting sqref="AU270">
    <cfRule type="cellIs" dxfId="0" priority="927" operator="lessThan">
      <formula>20</formula>
    </cfRule>
    <cfRule type="cellIs" dxfId="1" priority="530" operator="greaterThan">
      <formula>120</formula>
    </cfRule>
    <cfRule type="containsText" dxfId="2" priority="133" operator="between" text="库存为">
      <formula>NOT(ISERROR(SEARCH("库存为",AU270)))</formula>
    </cfRule>
  </conditionalFormatting>
  <conditionalFormatting sqref="AU271">
    <cfRule type="cellIs" dxfId="0" priority="926" operator="lessThan">
      <formula>20</formula>
    </cfRule>
    <cfRule type="cellIs" dxfId="1" priority="529" operator="greaterThan">
      <formula>120</formula>
    </cfRule>
    <cfRule type="containsText" dxfId="2" priority="132" operator="between" text="库存为">
      <formula>NOT(ISERROR(SEARCH("库存为",AU271)))</formula>
    </cfRule>
  </conditionalFormatting>
  <conditionalFormatting sqref="AU272">
    <cfRule type="cellIs" dxfId="0" priority="925" operator="lessThan">
      <formula>20</formula>
    </cfRule>
    <cfRule type="cellIs" dxfId="1" priority="528" operator="greaterThan">
      <formula>120</formula>
    </cfRule>
    <cfRule type="containsText" dxfId="2" priority="131" operator="between" text="库存为">
      <formula>NOT(ISERROR(SEARCH("库存为",AU272)))</formula>
    </cfRule>
  </conditionalFormatting>
  <conditionalFormatting sqref="AU273">
    <cfRule type="cellIs" dxfId="0" priority="924" operator="lessThan">
      <formula>20</formula>
    </cfRule>
    <cfRule type="cellIs" dxfId="1" priority="527" operator="greaterThan">
      <formula>120</formula>
    </cfRule>
    <cfRule type="containsText" dxfId="2" priority="130" operator="between" text="库存为">
      <formula>NOT(ISERROR(SEARCH("库存为",AU273)))</formula>
    </cfRule>
  </conditionalFormatting>
  <conditionalFormatting sqref="AU274">
    <cfRule type="cellIs" dxfId="0" priority="923" operator="lessThan">
      <formula>20</formula>
    </cfRule>
    <cfRule type="cellIs" dxfId="1" priority="526" operator="greaterThan">
      <formula>120</formula>
    </cfRule>
    <cfRule type="containsText" dxfId="2" priority="129" operator="between" text="库存为">
      <formula>NOT(ISERROR(SEARCH("库存为",AU274)))</formula>
    </cfRule>
  </conditionalFormatting>
  <conditionalFormatting sqref="AU275">
    <cfRule type="cellIs" dxfId="0" priority="922" operator="lessThan">
      <formula>20</formula>
    </cfRule>
    <cfRule type="cellIs" dxfId="1" priority="525" operator="greaterThan">
      <formula>120</formula>
    </cfRule>
    <cfRule type="containsText" dxfId="2" priority="128" operator="between" text="库存为">
      <formula>NOT(ISERROR(SEARCH("库存为",AU275)))</formula>
    </cfRule>
  </conditionalFormatting>
  <conditionalFormatting sqref="AU276">
    <cfRule type="cellIs" dxfId="0" priority="921" operator="lessThan">
      <formula>20</formula>
    </cfRule>
    <cfRule type="cellIs" dxfId="1" priority="524" operator="greaterThan">
      <formula>120</formula>
    </cfRule>
    <cfRule type="containsText" dxfId="2" priority="127" operator="between" text="库存为">
      <formula>NOT(ISERROR(SEARCH("库存为",AU276)))</formula>
    </cfRule>
  </conditionalFormatting>
  <conditionalFormatting sqref="AU277">
    <cfRule type="cellIs" dxfId="0" priority="920" operator="lessThan">
      <formula>20</formula>
    </cfRule>
    <cfRule type="cellIs" dxfId="1" priority="523" operator="greaterThan">
      <formula>120</formula>
    </cfRule>
    <cfRule type="containsText" dxfId="2" priority="126" operator="between" text="库存为">
      <formula>NOT(ISERROR(SEARCH("库存为",AU277)))</formula>
    </cfRule>
  </conditionalFormatting>
  <conditionalFormatting sqref="AU278">
    <cfRule type="cellIs" dxfId="0" priority="919" operator="lessThan">
      <formula>20</formula>
    </cfRule>
    <cfRule type="cellIs" dxfId="1" priority="522" operator="greaterThan">
      <formula>120</formula>
    </cfRule>
    <cfRule type="containsText" dxfId="2" priority="125" operator="between" text="库存为">
      <formula>NOT(ISERROR(SEARCH("库存为",AU278)))</formula>
    </cfRule>
  </conditionalFormatting>
  <conditionalFormatting sqref="AU279">
    <cfRule type="cellIs" dxfId="0" priority="918" operator="lessThan">
      <formula>20</formula>
    </cfRule>
    <cfRule type="cellIs" dxfId="1" priority="521" operator="greaterThan">
      <formula>120</formula>
    </cfRule>
    <cfRule type="containsText" dxfId="2" priority="124" operator="between" text="库存为">
      <formula>NOT(ISERROR(SEARCH("库存为",AU279)))</formula>
    </cfRule>
  </conditionalFormatting>
  <conditionalFormatting sqref="AU280">
    <cfRule type="cellIs" dxfId="0" priority="917" operator="lessThan">
      <formula>20</formula>
    </cfRule>
    <cfRule type="cellIs" dxfId="1" priority="520" operator="greaterThan">
      <formula>120</formula>
    </cfRule>
    <cfRule type="containsText" dxfId="2" priority="123" operator="between" text="库存为">
      <formula>NOT(ISERROR(SEARCH("库存为",AU280)))</formula>
    </cfRule>
  </conditionalFormatting>
  <conditionalFormatting sqref="AU281">
    <cfRule type="cellIs" dxfId="0" priority="916" operator="lessThan">
      <formula>20</formula>
    </cfRule>
    <cfRule type="cellIs" dxfId="1" priority="519" operator="greaterThan">
      <formula>120</formula>
    </cfRule>
    <cfRule type="containsText" dxfId="2" priority="122" operator="between" text="库存为">
      <formula>NOT(ISERROR(SEARCH("库存为",AU281)))</formula>
    </cfRule>
  </conditionalFormatting>
  <conditionalFormatting sqref="AU282">
    <cfRule type="cellIs" dxfId="0" priority="915" operator="lessThan">
      <formula>20</formula>
    </cfRule>
    <cfRule type="cellIs" dxfId="1" priority="518" operator="greaterThan">
      <formula>120</formula>
    </cfRule>
    <cfRule type="containsText" dxfId="2" priority="121" operator="between" text="库存为">
      <formula>NOT(ISERROR(SEARCH("库存为",AU282)))</formula>
    </cfRule>
  </conditionalFormatting>
  <conditionalFormatting sqref="AU283">
    <cfRule type="cellIs" dxfId="0" priority="914" operator="lessThan">
      <formula>20</formula>
    </cfRule>
    <cfRule type="cellIs" dxfId="1" priority="517" operator="greaterThan">
      <formula>120</formula>
    </cfRule>
    <cfRule type="containsText" dxfId="2" priority="120" operator="between" text="库存为">
      <formula>NOT(ISERROR(SEARCH("库存为",AU283)))</formula>
    </cfRule>
  </conditionalFormatting>
  <conditionalFormatting sqref="AU284">
    <cfRule type="cellIs" dxfId="0" priority="913" operator="lessThan">
      <formula>20</formula>
    </cfRule>
    <cfRule type="cellIs" dxfId="1" priority="516" operator="greaterThan">
      <formula>120</formula>
    </cfRule>
    <cfRule type="containsText" dxfId="2" priority="119" operator="between" text="库存为">
      <formula>NOT(ISERROR(SEARCH("库存为",AU284)))</formula>
    </cfRule>
  </conditionalFormatting>
  <conditionalFormatting sqref="AU285">
    <cfRule type="cellIs" dxfId="0" priority="912" operator="lessThan">
      <formula>20</formula>
    </cfRule>
    <cfRule type="cellIs" dxfId="1" priority="515" operator="greaterThan">
      <formula>120</formula>
    </cfRule>
    <cfRule type="containsText" dxfId="2" priority="118" operator="between" text="库存为">
      <formula>NOT(ISERROR(SEARCH("库存为",AU285)))</formula>
    </cfRule>
  </conditionalFormatting>
  <conditionalFormatting sqref="AU286">
    <cfRule type="cellIs" dxfId="0" priority="911" operator="lessThan">
      <formula>20</formula>
    </cfRule>
    <cfRule type="cellIs" dxfId="1" priority="514" operator="greaterThan">
      <formula>120</formula>
    </cfRule>
    <cfRule type="containsText" dxfId="2" priority="117" operator="between" text="库存为">
      <formula>NOT(ISERROR(SEARCH("库存为",AU286)))</formula>
    </cfRule>
  </conditionalFormatting>
  <conditionalFormatting sqref="AU287">
    <cfRule type="cellIs" dxfId="0" priority="910" operator="lessThan">
      <formula>20</formula>
    </cfRule>
    <cfRule type="cellIs" dxfId="1" priority="513" operator="greaterThan">
      <formula>120</formula>
    </cfRule>
    <cfRule type="containsText" dxfId="2" priority="116" operator="between" text="库存为">
      <formula>NOT(ISERROR(SEARCH("库存为",AU287)))</formula>
    </cfRule>
  </conditionalFormatting>
  <conditionalFormatting sqref="AU288">
    <cfRule type="cellIs" dxfId="0" priority="909" operator="lessThan">
      <formula>20</formula>
    </cfRule>
    <cfRule type="cellIs" dxfId="1" priority="512" operator="greaterThan">
      <formula>120</formula>
    </cfRule>
    <cfRule type="containsText" dxfId="2" priority="115" operator="between" text="库存为">
      <formula>NOT(ISERROR(SEARCH("库存为",AU288)))</formula>
    </cfRule>
  </conditionalFormatting>
  <conditionalFormatting sqref="AU289">
    <cfRule type="cellIs" dxfId="0" priority="908" operator="lessThan">
      <formula>20</formula>
    </cfRule>
    <cfRule type="cellIs" dxfId="1" priority="511" operator="greaterThan">
      <formula>120</formula>
    </cfRule>
    <cfRule type="containsText" dxfId="2" priority="114" operator="between" text="库存为">
      <formula>NOT(ISERROR(SEARCH("库存为",AU289)))</formula>
    </cfRule>
  </conditionalFormatting>
  <conditionalFormatting sqref="AU290">
    <cfRule type="cellIs" dxfId="0" priority="907" operator="lessThan">
      <formula>20</formula>
    </cfRule>
    <cfRule type="cellIs" dxfId="1" priority="510" operator="greaterThan">
      <formula>120</formula>
    </cfRule>
    <cfRule type="containsText" dxfId="2" priority="113" operator="between" text="库存为">
      <formula>NOT(ISERROR(SEARCH("库存为",AU290)))</formula>
    </cfRule>
  </conditionalFormatting>
  <conditionalFormatting sqref="AU291">
    <cfRule type="cellIs" dxfId="0" priority="906" operator="lessThan">
      <formula>20</formula>
    </cfRule>
    <cfRule type="cellIs" dxfId="1" priority="509" operator="greaterThan">
      <formula>120</formula>
    </cfRule>
    <cfRule type="containsText" dxfId="2" priority="112" operator="between" text="库存为">
      <formula>NOT(ISERROR(SEARCH("库存为",AU291)))</formula>
    </cfRule>
  </conditionalFormatting>
  <conditionalFormatting sqref="AU292">
    <cfRule type="cellIs" dxfId="0" priority="905" operator="lessThan">
      <formula>20</formula>
    </cfRule>
    <cfRule type="cellIs" dxfId="1" priority="508" operator="greaterThan">
      <formula>120</formula>
    </cfRule>
    <cfRule type="containsText" dxfId="2" priority="111" operator="between" text="库存为">
      <formula>NOT(ISERROR(SEARCH("库存为",AU292)))</formula>
    </cfRule>
  </conditionalFormatting>
  <conditionalFormatting sqref="AU293">
    <cfRule type="cellIs" dxfId="0" priority="904" operator="lessThan">
      <formula>20</formula>
    </cfRule>
    <cfRule type="cellIs" dxfId="1" priority="507" operator="greaterThan">
      <formula>120</formula>
    </cfRule>
    <cfRule type="containsText" dxfId="2" priority="110" operator="between" text="库存为">
      <formula>NOT(ISERROR(SEARCH("库存为",AU293)))</formula>
    </cfRule>
  </conditionalFormatting>
  <conditionalFormatting sqref="AU294">
    <cfRule type="cellIs" dxfId="0" priority="903" operator="lessThan">
      <formula>20</formula>
    </cfRule>
    <cfRule type="cellIs" dxfId="1" priority="506" operator="greaterThan">
      <formula>120</formula>
    </cfRule>
    <cfRule type="containsText" dxfId="2" priority="109" operator="between" text="库存为">
      <formula>NOT(ISERROR(SEARCH("库存为",AU294)))</formula>
    </cfRule>
  </conditionalFormatting>
  <conditionalFormatting sqref="AU295">
    <cfRule type="cellIs" dxfId="0" priority="902" operator="lessThan">
      <formula>20</formula>
    </cfRule>
    <cfRule type="cellIs" dxfId="1" priority="505" operator="greaterThan">
      <formula>120</formula>
    </cfRule>
    <cfRule type="containsText" dxfId="2" priority="108" operator="between" text="库存为">
      <formula>NOT(ISERROR(SEARCH("库存为",AU295)))</formula>
    </cfRule>
  </conditionalFormatting>
  <conditionalFormatting sqref="AU296">
    <cfRule type="cellIs" dxfId="0" priority="901" operator="lessThan">
      <formula>20</formula>
    </cfRule>
    <cfRule type="cellIs" dxfId="1" priority="504" operator="greaterThan">
      <formula>120</formula>
    </cfRule>
    <cfRule type="containsText" dxfId="2" priority="107" operator="between" text="库存为">
      <formula>NOT(ISERROR(SEARCH("库存为",AU296)))</formula>
    </cfRule>
  </conditionalFormatting>
  <conditionalFormatting sqref="AU297">
    <cfRule type="cellIs" dxfId="0" priority="900" operator="lessThan">
      <formula>20</formula>
    </cfRule>
    <cfRule type="cellIs" dxfId="1" priority="503" operator="greaterThan">
      <formula>120</formula>
    </cfRule>
    <cfRule type="containsText" dxfId="2" priority="106" operator="between" text="库存为">
      <formula>NOT(ISERROR(SEARCH("库存为",AU297)))</formula>
    </cfRule>
  </conditionalFormatting>
  <conditionalFormatting sqref="AU298">
    <cfRule type="cellIs" dxfId="0" priority="899" operator="lessThan">
      <formula>20</formula>
    </cfRule>
    <cfRule type="cellIs" dxfId="1" priority="502" operator="greaterThan">
      <formula>120</formula>
    </cfRule>
    <cfRule type="containsText" dxfId="2" priority="105" operator="between" text="库存为">
      <formula>NOT(ISERROR(SEARCH("库存为",AU298)))</formula>
    </cfRule>
  </conditionalFormatting>
  <conditionalFormatting sqref="AU299">
    <cfRule type="cellIs" dxfId="0" priority="898" operator="lessThan">
      <formula>20</formula>
    </cfRule>
    <cfRule type="cellIs" dxfId="1" priority="501" operator="greaterThan">
      <formula>120</formula>
    </cfRule>
    <cfRule type="containsText" dxfId="2" priority="104" operator="between" text="库存为">
      <formula>NOT(ISERROR(SEARCH("库存为",AU299)))</formula>
    </cfRule>
  </conditionalFormatting>
  <conditionalFormatting sqref="AU300">
    <cfRule type="cellIs" dxfId="0" priority="897" operator="lessThan">
      <formula>20</formula>
    </cfRule>
    <cfRule type="cellIs" dxfId="1" priority="500" operator="greaterThan">
      <formula>120</formula>
    </cfRule>
    <cfRule type="containsText" dxfId="2" priority="103" operator="between" text="库存为">
      <formula>NOT(ISERROR(SEARCH("库存为",AU300)))</formula>
    </cfRule>
  </conditionalFormatting>
  <conditionalFormatting sqref="AU301">
    <cfRule type="cellIs" dxfId="0" priority="896" operator="lessThan">
      <formula>20</formula>
    </cfRule>
    <cfRule type="cellIs" dxfId="1" priority="499" operator="greaterThan">
      <formula>120</formula>
    </cfRule>
    <cfRule type="containsText" dxfId="2" priority="102" operator="between" text="库存为">
      <formula>NOT(ISERROR(SEARCH("库存为",AU301)))</formula>
    </cfRule>
  </conditionalFormatting>
  <conditionalFormatting sqref="AU302">
    <cfRule type="cellIs" dxfId="0" priority="895" operator="lessThan">
      <formula>20</formula>
    </cfRule>
    <cfRule type="cellIs" dxfId="1" priority="498" operator="greaterThan">
      <formula>120</formula>
    </cfRule>
    <cfRule type="containsText" dxfId="2" priority="101" operator="between" text="库存为">
      <formula>NOT(ISERROR(SEARCH("库存为",AU302)))</formula>
    </cfRule>
  </conditionalFormatting>
  <conditionalFormatting sqref="AU303">
    <cfRule type="cellIs" dxfId="0" priority="894" operator="lessThan">
      <formula>20</formula>
    </cfRule>
    <cfRule type="cellIs" dxfId="1" priority="497" operator="greaterThan">
      <formula>120</formula>
    </cfRule>
    <cfRule type="containsText" dxfId="2" priority="100" operator="between" text="库存为">
      <formula>NOT(ISERROR(SEARCH("库存为",AU303)))</formula>
    </cfRule>
  </conditionalFormatting>
  <conditionalFormatting sqref="AU304">
    <cfRule type="cellIs" dxfId="0" priority="893" operator="lessThan">
      <formula>20</formula>
    </cfRule>
    <cfRule type="cellIs" dxfId="1" priority="496" operator="greaterThan">
      <formula>120</formula>
    </cfRule>
    <cfRule type="containsText" dxfId="2" priority="99" operator="between" text="库存为">
      <formula>NOT(ISERROR(SEARCH("库存为",AU304)))</formula>
    </cfRule>
  </conditionalFormatting>
  <conditionalFormatting sqref="AU305">
    <cfRule type="cellIs" dxfId="0" priority="892" operator="lessThan">
      <formula>20</formula>
    </cfRule>
    <cfRule type="cellIs" dxfId="1" priority="495" operator="greaterThan">
      <formula>120</formula>
    </cfRule>
    <cfRule type="containsText" dxfId="2" priority="98" operator="between" text="库存为">
      <formula>NOT(ISERROR(SEARCH("库存为",AU305)))</formula>
    </cfRule>
  </conditionalFormatting>
  <conditionalFormatting sqref="AU306">
    <cfRule type="cellIs" dxfId="0" priority="891" operator="lessThan">
      <formula>20</formula>
    </cfRule>
    <cfRule type="cellIs" dxfId="1" priority="494" operator="greaterThan">
      <formula>120</formula>
    </cfRule>
    <cfRule type="containsText" dxfId="2" priority="97" operator="between" text="库存为">
      <formula>NOT(ISERROR(SEARCH("库存为",AU306)))</formula>
    </cfRule>
  </conditionalFormatting>
  <conditionalFormatting sqref="AU307">
    <cfRule type="cellIs" dxfId="0" priority="890" operator="lessThan">
      <formula>20</formula>
    </cfRule>
    <cfRule type="cellIs" dxfId="1" priority="493" operator="greaterThan">
      <formula>120</formula>
    </cfRule>
    <cfRule type="containsText" dxfId="2" priority="96" operator="between" text="库存为">
      <formula>NOT(ISERROR(SEARCH("库存为",AU307)))</formula>
    </cfRule>
  </conditionalFormatting>
  <conditionalFormatting sqref="AU308">
    <cfRule type="cellIs" dxfId="0" priority="889" operator="lessThan">
      <formula>20</formula>
    </cfRule>
    <cfRule type="cellIs" dxfId="1" priority="492" operator="greaterThan">
      <formula>120</formula>
    </cfRule>
    <cfRule type="containsText" dxfId="2" priority="95" operator="between" text="库存为">
      <formula>NOT(ISERROR(SEARCH("库存为",AU308)))</formula>
    </cfRule>
  </conditionalFormatting>
  <conditionalFormatting sqref="AU309">
    <cfRule type="cellIs" dxfId="0" priority="888" operator="lessThan">
      <formula>20</formula>
    </cfRule>
    <cfRule type="cellIs" dxfId="1" priority="491" operator="greaterThan">
      <formula>120</formula>
    </cfRule>
    <cfRule type="containsText" dxfId="2" priority="94" operator="between" text="库存为">
      <formula>NOT(ISERROR(SEARCH("库存为",AU309)))</formula>
    </cfRule>
  </conditionalFormatting>
  <conditionalFormatting sqref="AU310">
    <cfRule type="cellIs" dxfId="0" priority="887" operator="lessThan">
      <formula>20</formula>
    </cfRule>
    <cfRule type="cellIs" dxfId="1" priority="490" operator="greaterThan">
      <formula>120</formula>
    </cfRule>
    <cfRule type="containsText" dxfId="2" priority="93" operator="between" text="库存为">
      <formula>NOT(ISERROR(SEARCH("库存为",AU310)))</formula>
    </cfRule>
  </conditionalFormatting>
  <conditionalFormatting sqref="AU311">
    <cfRule type="cellIs" dxfId="0" priority="886" operator="lessThan">
      <formula>20</formula>
    </cfRule>
    <cfRule type="cellIs" dxfId="1" priority="489" operator="greaterThan">
      <formula>120</formula>
    </cfRule>
    <cfRule type="containsText" dxfId="2" priority="92" operator="between" text="库存为">
      <formula>NOT(ISERROR(SEARCH("库存为",AU311)))</formula>
    </cfRule>
  </conditionalFormatting>
  <conditionalFormatting sqref="AU312">
    <cfRule type="cellIs" dxfId="0" priority="885" operator="lessThan">
      <formula>20</formula>
    </cfRule>
    <cfRule type="cellIs" dxfId="1" priority="488" operator="greaterThan">
      <formula>120</formula>
    </cfRule>
    <cfRule type="containsText" dxfId="2" priority="91" operator="between" text="库存为">
      <formula>NOT(ISERROR(SEARCH("库存为",AU312)))</formula>
    </cfRule>
  </conditionalFormatting>
  <conditionalFormatting sqref="AU313">
    <cfRule type="cellIs" dxfId="0" priority="884" operator="lessThan">
      <formula>20</formula>
    </cfRule>
    <cfRule type="cellIs" dxfId="1" priority="487" operator="greaterThan">
      <formula>120</formula>
    </cfRule>
    <cfRule type="containsText" dxfId="2" priority="90" operator="between" text="库存为">
      <formula>NOT(ISERROR(SEARCH("库存为",AU313)))</formula>
    </cfRule>
  </conditionalFormatting>
  <conditionalFormatting sqref="AU314">
    <cfRule type="cellIs" dxfId="0" priority="883" operator="lessThan">
      <formula>20</formula>
    </cfRule>
    <cfRule type="cellIs" dxfId="1" priority="486" operator="greaterThan">
      <formula>120</formula>
    </cfRule>
    <cfRule type="containsText" dxfId="2" priority="89" operator="between" text="库存为">
      <formula>NOT(ISERROR(SEARCH("库存为",AU314)))</formula>
    </cfRule>
  </conditionalFormatting>
  <conditionalFormatting sqref="AU315">
    <cfRule type="cellIs" dxfId="0" priority="882" operator="lessThan">
      <formula>20</formula>
    </cfRule>
    <cfRule type="cellIs" dxfId="1" priority="485" operator="greaterThan">
      <formula>120</formula>
    </cfRule>
    <cfRule type="containsText" dxfId="2" priority="88" operator="between" text="库存为">
      <formula>NOT(ISERROR(SEARCH("库存为",AU315)))</formula>
    </cfRule>
  </conditionalFormatting>
  <conditionalFormatting sqref="AU316">
    <cfRule type="cellIs" dxfId="0" priority="881" operator="lessThan">
      <formula>20</formula>
    </cfRule>
    <cfRule type="cellIs" dxfId="1" priority="484" operator="greaterThan">
      <formula>120</formula>
    </cfRule>
    <cfRule type="containsText" dxfId="2" priority="87" operator="between" text="库存为">
      <formula>NOT(ISERROR(SEARCH("库存为",AU316)))</formula>
    </cfRule>
  </conditionalFormatting>
  <conditionalFormatting sqref="AU317">
    <cfRule type="cellIs" dxfId="0" priority="880" operator="lessThan">
      <formula>20</formula>
    </cfRule>
    <cfRule type="cellIs" dxfId="1" priority="483" operator="greaterThan">
      <formula>120</formula>
    </cfRule>
    <cfRule type="containsText" dxfId="2" priority="86" operator="between" text="库存为">
      <formula>NOT(ISERROR(SEARCH("库存为",AU317)))</formula>
    </cfRule>
  </conditionalFormatting>
  <conditionalFormatting sqref="AU318">
    <cfRule type="cellIs" dxfId="0" priority="879" operator="lessThan">
      <formula>20</formula>
    </cfRule>
    <cfRule type="cellIs" dxfId="1" priority="482" operator="greaterThan">
      <formula>120</formula>
    </cfRule>
    <cfRule type="containsText" dxfId="2" priority="85" operator="between" text="库存为">
      <formula>NOT(ISERROR(SEARCH("库存为",AU318)))</formula>
    </cfRule>
  </conditionalFormatting>
  <conditionalFormatting sqref="AU319">
    <cfRule type="cellIs" dxfId="0" priority="878" operator="lessThan">
      <formula>20</formula>
    </cfRule>
    <cfRule type="cellIs" dxfId="1" priority="481" operator="greaterThan">
      <formula>120</formula>
    </cfRule>
    <cfRule type="containsText" dxfId="2" priority="84" operator="between" text="库存为">
      <formula>NOT(ISERROR(SEARCH("库存为",AU319)))</formula>
    </cfRule>
  </conditionalFormatting>
  <conditionalFormatting sqref="AU320">
    <cfRule type="cellIs" dxfId="0" priority="877" operator="lessThan">
      <formula>20</formula>
    </cfRule>
    <cfRule type="cellIs" dxfId="1" priority="480" operator="greaterThan">
      <formula>120</formula>
    </cfRule>
    <cfRule type="containsText" dxfId="2" priority="83" operator="between" text="库存为">
      <formula>NOT(ISERROR(SEARCH("库存为",AU320)))</formula>
    </cfRule>
  </conditionalFormatting>
  <conditionalFormatting sqref="AU321">
    <cfRule type="cellIs" dxfId="0" priority="876" operator="lessThan">
      <formula>20</formula>
    </cfRule>
    <cfRule type="cellIs" dxfId="1" priority="479" operator="greaterThan">
      <formula>120</formula>
    </cfRule>
    <cfRule type="containsText" dxfId="2" priority="82" operator="between" text="库存为">
      <formula>NOT(ISERROR(SEARCH("库存为",AU321)))</formula>
    </cfRule>
  </conditionalFormatting>
  <conditionalFormatting sqref="AU322">
    <cfRule type="cellIs" dxfId="0" priority="875" operator="lessThan">
      <formula>20</formula>
    </cfRule>
    <cfRule type="cellIs" dxfId="1" priority="478" operator="greaterThan">
      <formula>120</formula>
    </cfRule>
    <cfRule type="containsText" dxfId="2" priority="81" operator="between" text="库存为">
      <formula>NOT(ISERROR(SEARCH("库存为",AU322)))</formula>
    </cfRule>
  </conditionalFormatting>
  <conditionalFormatting sqref="AU323">
    <cfRule type="cellIs" dxfId="0" priority="874" operator="lessThan">
      <formula>20</formula>
    </cfRule>
    <cfRule type="cellIs" dxfId="1" priority="477" operator="greaterThan">
      <formula>120</formula>
    </cfRule>
    <cfRule type="containsText" dxfId="2" priority="80" operator="between" text="库存为">
      <formula>NOT(ISERROR(SEARCH("库存为",AU323)))</formula>
    </cfRule>
  </conditionalFormatting>
  <conditionalFormatting sqref="AU324">
    <cfRule type="cellIs" dxfId="0" priority="873" operator="lessThan">
      <formula>20</formula>
    </cfRule>
    <cfRule type="cellIs" dxfId="1" priority="476" operator="greaterThan">
      <formula>120</formula>
    </cfRule>
    <cfRule type="containsText" dxfId="2" priority="79" operator="between" text="库存为">
      <formula>NOT(ISERROR(SEARCH("库存为",AU324)))</formula>
    </cfRule>
  </conditionalFormatting>
  <conditionalFormatting sqref="AU325">
    <cfRule type="cellIs" dxfId="0" priority="872" operator="lessThan">
      <formula>20</formula>
    </cfRule>
    <cfRule type="cellIs" dxfId="1" priority="475" operator="greaterThan">
      <formula>120</formula>
    </cfRule>
    <cfRule type="containsText" dxfId="2" priority="78" operator="between" text="库存为">
      <formula>NOT(ISERROR(SEARCH("库存为",AU325)))</formula>
    </cfRule>
  </conditionalFormatting>
  <conditionalFormatting sqref="AU326">
    <cfRule type="cellIs" dxfId="0" priority="871" operator="lessThan">
      <formula>20</formula>
    </cfRule>
    <cfRule type="cellIs" dxfId="1" priority="474" operator="greaterThan">
      <formula>120</formula>
    </cfRule>
    <cfRule type="containsText" dxfId="2" priority="77" operator="between" text="库存为">
      <formula>NOT(ISERROR(SEARCH("库存为",AU326)))</formula>
    </cfRule>
  </conditionalFormatting>
  <conditionalFormatting sqref="AU327">
    <cfRule type="cellIs" dxfId="0" priority="870" operator="lessThan">
      <formula>20</formula>
    </cfRule>
    <cfRule type="cellIs" dxfId="1" priority="473" operator="greaterThan">
      <formula>120</formula>
    </cfRule>
    <cfRule type="containsText" dxfId="2" priority="76" operator="between" text="库存为">
      <formula>NOT(ISERROR(SEARCH("库存为",AU327)))</formula>
    </cfRule>
  </conditionalFormatting>
  <conditionalFormatting sqref="AU328">
    <cfRule type="cellIs" dxfId="0" priority="869" operator="lessThan">
      <formula>20</formula>
    </cfRule>
    <cfRule type="cellIs" dxfId="1" priority="472" operator="greaterThan">
      <formula>120</formula>
    </cfRule>
    <cfRule type="containsText" dxfId="2" priority="75" operator="between" text="库存为">
      <formula>NOT(ISERROR(SEARCH("库存为",AU328)))</formula>
    </cfRule>
  </conditionalFormatting>
  <conditionalFormatting sqref="AU329">
    <cfRule type="cellIs" dxfId="0" priority="868" operator="lessThan">
      <formula>20</formula>
    </cfRule>
    <cfRule type="cellIs" dxfId="1" priority="471" operator="greaterThan">
      <formula>120</formula>
    </cfRule>
    <cfRule type="containsText" dxfId="2" priority="74" operator="between" text="库存为">
      <formula>NOT(ISERROR(SEARCH("库存为",AU329)))</formula>
    </cfRule>
  </conditionalFormatting>
  <conditionalFormatting sqref="AU330">
    <cfRule type="cellIs" dxfId="0" priority="867" operator="lessThan">
      <formula>20</formula>
    </cfRule>
    <cfRule type="cellIs" dxfId="1" priority="470" operator="greaterThan">
      <formula>120</formula>
    </cfRule>
    <cfRule type="containsText" dxfId="2" priority="73" operator="between" text="库存为">
      <formula>NOT(ISERROR(SEARCH("库存为",AU330)))</formula>
    </cfRule>
  </conditionalFormatting>
  <conditionalFormatting sqref="AU331">
    <cfRule type="cellIs" dxfId="0" priority="866" operator="lessThan">
      <formula>20</formula>
    </cfRule>
    <cfRule type="cellIs" dxfId="1" priority="469" operator="greaterThan">
      <formula>120</formula>
    </cfRule>
    <cfRule type="containsText" dxfId="2" priority="72" operator="between" text="库存为">
      <formula>NOT(ISERROR(SEARCH("库存为",AU331)))</formula>
    </cfRule>
  </conditionalFormatting>
  <conditionalFormatting sqref="AU332">
    <cfRule type="cellIs" dxfId="0" priority="865" operator="lessThan">
      <formula>20</formula>
    </cfRule>
    <cfRule type="cellIs" dxfId="1" priority="468" operator="greaterThan">
      <formula>120</formula>
    </cfRule>
    <cfRule type="containsText" dxfId="2" priority="71" operator="between" text="库存为">
      <formula>NOT(ISERROR(SEARCH("库存为",AU332)))</formula>
    </cfRule>
  </conditionalFormatting>
  <conditionalFormatting sqref="AU333">
    <cfRule type="cellIs" dxfId="0" priority="864" operator="lessThan">
      <formula>20</formula>
    </cfRule>
    <cfRule type="cellIs" dxfId="1" priority="467" operator="greaterThan">
      <formula>120</formula>
    </cfRule>
    <cfRule type="containsText" dxfId="2" priority="70" operator="between" text="库存为">
      <formula>NOT(ISERROR(SEARCH("库存为",AU333)))</formula>
    </cfRule>
  </conditionalFormatting>
  <conditionalFormatting sqref="AU334">
    <cfRule type="cellIs" dxfId="0" priority="863" operator="lessThan">
      <formula>20</formula>
    </cfRule>
    <cfRule type="cellIs" dxfId="1" priority="466" operator="greaterThan">
      <formula>120</formula>
    </cfRule>
    <cfRule type="containsText" dxfId="2" priority="69" operator="between" text="库存为">
      <formula>NOT(ISERROR(SEARCH("库存为",AU334)))</formula>
    </cfRule>
  </conditionalFormatting>
  <conditionalFormatting sqref="AU335">
    <cfRule type="cellIs" dxfId="0" priority="862" operator="lessThan">
      <formula>20</formula>
    </cfRule>
    <cfRule type="cellIs" dxfId="1" priority="465" operator="greaterThan">
      <formula>120</formula>
    </cfRule>
    <cfRule type="containsText" dxfId="2" priority="68" operator="between" text="库存为">
      <formula>NOT(ISERROR(SEARCH("库存为",AU335)))</formula>
    </cfRule>
  </conditionalFormatting>
  <conditionalFormatting sqref="AU336">
    <cfRule type="cellIs" dxfId="0" priority="861" operator="lessThan">
      <formula>20</formula>
    </cfRule>
    <cfRule type="cellIs" dxfId="1" priority="464" operator="greaterThan">
      <formula>120</formula>
    </cfRule>
    <cfRule type="containsText" dxfId="2" priority="67" operator="between" text="库存为">
      <formula>NOT(ISERROR(SEARCH("库存为",AU336)))</formula>
    </cfRule>
  </conditionalFormatting>
  <conditionalFormatting sqref="AU337">
    <cfRule type="cellIs" dxfId="0" priority="860" operator="lessThan">
      <formula>20</formula>
    </cfRule>
    <cfRule type="cellIs" dxfId="1" priority="463" operator="greaterThan">
      <formula>120</formula>
    </cfRule>
    <cfRule type="containsText" dxfId="2" priority="66" operator="between" text="库存为">
      <formula>NOT(ISERROR(SEARCH("库存为",AU337)))</formula>
    </cfRule>
  </conditionalFormatting>
  <conditionalFormatting sqref="AU338">
    <cfRule type="cellIs" dxfId="0" priority="859" operator="lessThan">
      <formula>20</formula>
    </cfRule>
    <cfRule type="cellIs" dxfId="1" priority="462" operator="greaterThan">
      <formula>120</formula>
    </cfRule>
    <cfRule type="containsText" dxfId="2" priority="65" operator="between" text="库存为">
      <formula>NOT(ISERROR(SEARCH("库存为",AU338)))</formula>
    </cfRule>
  </conditionalFormatting>
  <conditionalFormatting sqref="AU339">
    <cfRule type="cellIs" dxfId="0" priority="858" operator="lessThan">
      <formula>20</formula>
    </cfRule>
    <cfRule type="cellIs" dxfId="1" priority="461" operator="greaterThan">
      <formula>120</formula>
    </cfRule>
    <cfRule type="containsText" dxfId="2" priority="64" operator="between" text="库存为">
      <formula>NOT(ISERROR(SEARCH("库存为",AU339)))</formula>
    </cfRule>
  </conditionalFormatting>
  <conditionalFormatting sqref="AU340">
    <cfRule type="cellIs" dxfId="0" priority="857" operator="lessThan">
      <formula>20</formula>
    </cfRule>
    <cfRule type="cellIs" dxfId="1" priority="460" operator="greaterThan">
      <formula>120</formula>
    </cfRule>
    <cfRule type="containsText" dxfId="2" priority="63" operator="between" text="库存为">
      <formula>NOT(ISERROR(SEARCH("库存为",AU340)))</formula>
    </cfRule>
  </conditionalFormatting>
  <conditionalFormatting sqref="AU341">
    <cfRule type="cellIs" dxfId="0" priority="856" operator="lessThan">
      <formula>20</formula>
    </cfRule>
    <cfRule type="cellIs" dxfId="1" priority="459" operator="greaterThan">
      <formula>120</formula>
    </cfRule>
    <cfRule type="containsText" dxfId="2" priority="62" operator="between" text="库存为">
      <formula>NOT(ISERROR(SEARCH("库存为",AU341)))</formula>
    </cfRule>
  </conditionalFormatting>
  <conditionalFormatting sqref="AU342">
    <cfRule type="cellIs" dxfId="0" priority="855" operator="lessThan">
      <formula>20</formula>
    </cfRule>
    <cfRule type="cellIs" dxfId="1" priority="458" operator="greaterThan">
      <formula>120</formula>
    </cfRule>
    <cfRule type="containsText" dxfId="2" priority="61" operator="between" text="库存为">
      <formula>NOT(ISERROR(SEARCH("库存为",AU342)))</formula>
    </cfRule>
  </conditionalFormatting>
  <conditionalFormatting sqref="AU343">
    <cfRule type="cellIs" dxfId="0" priority="854" operator="lessThan">
      <formula>20</formula>
    </cfRule>
    <cfRule type="cellIs" dxfId="1" priority="457" operator="greaterThan">
      <formula>120</formula>
    </cfRule>
    <cfRule type="containsText" dxfId="2" priority="60" operator="between" text="库存为">
      <formula>NOT(ISERROR(SEARCH("库存为",AU343)))</formula>
    </cfRule>
  </conditionalFormatting>
  <conditionalFormatting sqref="AU344">
    <cfRule type="cellIs" dxfId="0" priority="853" operator="lessThan">
      <formula>20</formula>
    </cfRule>
    <cfRule type="cellIs" dxfId="1" priority="456" operator="greaterThan">
      <formula>120</formula>
    </cfRule>
    <cfRule type="containsText" dxfId="2" priority="59" operator="between" text="库存为">
      <formula>NOT(ISERROR(SEARCH("库存为",AU344)))</formula>
    </cfRule>
  </conditionalFormatting>
  <conditionalFormatting sqref="AU345">
    <cfRule type="cellIs" dxfId="0" priority="852" operator="lessThan">
      <formula>20</formula>
    </cfRule>
    <cfRule type="cellIs" dxfId="1" priority="455" operator="greaterThan">
      <formula>120</formula>
    </cfRule>
    <cfRule type="containsText" dxfId="2" priority="58" operator="between" text="库存为">
      <formula>NOT(ISERROR(SEARCH("库存为",AU345)))</formula>
    </cfRule>
  </conditionalFormatting>
  <conditionalFormatting sqref="AU346">
    <cfRule type="cellIs" dxfId="0" priority="851" operator="lessThan">
      <formula>20</formula>
    </cfRule>
    <cfRule type="cellIs" dxfId="1" priority="454" operator="greaterThan">
      <formula>120</formula>
    </cfRule>
    <cfRule type="containsText" dxfId="2" priority="57" operator="between" text="库存为">
      <formula>NOT(ISERROR(SEARCH("库存为",AU346)))</formula>
    </cfRule>
  </conditionalFormatting>
  <conditionalFormatting sqref="AU347">
    <cfRule type="cellIs" dxfId="0" priority="850" operator="lessThan">
      <formula>20</formula>
    </cfRule>
    <cfRule type="cellIs" dxfId="1" priority="453" operator="greaterThan">
      <formula>120</formula>
    </cfRule>
    <cfRule type="containsText" dxfId="2" priority="56" operator="between" text="库存为">
      <formula>NOT(ISERROR(SEARCH("库存为",AU347)))</formula>
    </cfRule>
  </conditionalFormatting>
  <conditionalFormatting sqref="AU348">
    <cfRule type="cellIs" dxfId="0" priority="849" operator="lessThan">
      <formula>20</formula>
    </cfRule>
    <cfRule type="cellIs" dxfId="1" priority="452" operator="greaterThan">
      <formula>120</formula>
    </cfRule>
    <cfRule type="containsText" dxfId="2" priority="55" operator="between" text="库存为">
      <formula>NOT(ISERROR(SEARCH("库存为",AU348)))</formula>
    </cfRule>
  </conditionalFormatting>
  <conditionalFormatting sqref="AU349">
    <cfRule type="cellIs" dxfId="0" priority="848" operator="lessThan">
      <formula>20</formula>
    </cfRule>
    <cfRule type="cellIs" dxfId="1" priority="451" operator="greaterThan">
      <formula>120</formula>
    </cfRule>
    <cfRule type="containsText" dxfId="2" priority="54" operator="between" text="库存为">
      <formula>NOT(ISERROR(SEARCH("库存为",AU349)))</formula>
    </cfRule>
  </conditionalFormatting>
  <conditionalFormatting sqref="AU350">
    <cfRule type="cellIs" dxfId="0" priority="847" operator="lessThan">
      <formula>20</formula>
    </cfRule>
    <cfRule type="cellIs" dxfId="1" priority="450" operator="greaterThan">
      <formula>120</formula>
    </cfRule>
    <cfRule type="containsText" dxfId="2" priority="53" operator="between" text="库存为">
      <formula>NOT(ISERROR(SEARCH("库存为",AU350)))</formula>
    </cfRule>
  </conditionalFormatting>
  <conditionalFormatting sqref="AU351">
    <cfRule type="cellIs" dxfId="0" priority="846" operator="lessThan">
      <formula>20</formula>
    </cfRule>
    <cfRule type="cellIs" dxfId="1" priority="449" operator="greaterThan">
      <formula>120</formula>
    </cfRule>
    <cfRule type="containsText" dxfId="2" priority="52" operator="between" text="库存为">
      <formula>NOT(ISERROR(SEARCH("库存为",AU351)))</formula>
    </cfRule>
  </conditionalFormatting>
  <conditionalFormatting sqref="AU352">
    <cfRule type="cellIs" dxfId="0" priority="845" operator="lessThan">
      <formula>20</formula>
    </cfRule>
    <cfRule type="cellIs" dxfId="1" priority="448" operator="greaterThan">
      <formula>120</formula>
    </cfRule>
    <cfRule type="containsText" dxfId="2" priority="51" operator="between" text="库存为">
      <formula>NOT(ISERROR(SEARCH("库存为",AU352)))</formula>
    </cfRule>
  </conditionalFormatting>
  <conditionalFormatting sqref="AU353">
    <cfRule type="cellIs" dxfId="0" priority="844" operator="lessThan">
      <formula>20</formula>
    </cfRule>
    <cfRule type="cellIs" dxfId="1" priority="447" operator="greaterThan">
      <formula>120</formula>
    </cfRule>
    <cfRule type="containsText" dxfId="2" priority="50" operator="between" text="库存为">
      <formula>NOT(ISERROR(SEARCH("库存为",AU353)))</formula>
    </cfRule>
  </conditionalFormatting>
  <conditionalFormatting sqref="AU354">
    <cfRule type="cellIs" dxfId="0" priority="843" operator="lessThan">
      <formula>20</formula>
    </cfRule>
    <cfRule type="cellIs" dxfId="1" priority="446" operator="greaterThan">
      <formula>120</formula>
    </cfRule>
    <cfRule type="containsText" dxfId="2" priority="49" operator="between" text="库存为">
      <formula>NOT(ISERROR(SEARCH("库存为",AU354)))</formula>
    </cfRule>
  </conditionalFormatting>
  <conditionalFormatting sqref="AU355">
    <cfRule type="cellIs" dxfId="0" priority="842" operator="lessThan">
      <formula>20</formula>
    </cfRule>
    <cfRule type="cellIs" dxfId="1" priority="445" operator="greaterThan">
      <formula>120</formula>
    </cfRule>
    <cfRule type="containsText" dxfId="2" priority="48" operator="between" text="库存为">
      <formula>NOT(ISERROR(SEARCH("库存为",AU355)))</formula>
    </cfRule>
  </conditionalFormatting>
  <conditionalFormatting sqref="AU356">
    <cfRule type="cellIs" dxfId="0" priority="841" operator="lessThan">
      <formula>20</formula>
    </cfRule>
    <cfRule type="cellIs" dxfId="1" priority="444" operator="greaterThan">
      <formula>120</formula>
    </cfRule>
    <cfRule type="containsText" dxfId="2" priority="47" operator="between" text="库存为">
      <formula>NOT(ISERROR(SEARCH("库存为",AU356)))</formula>
    </cfRule>
  </conditionalFormatting>
  <conditionalFormatting sqref="AU357">
    <cfRule type="cellIs" dxfId="0" priority="840" operator="lessThan">
      <formula>20</formula>
    </cfRule>
    <cfRule type="cellIs" dxfId="1" priority="443" operator="greaterThan">
      <formula>120</formula>
    </cfRule>
    <cfRule type="containsText" dxfId="2" priority="46" operator="between" text="库存为">
      <formula>NOT(ISERROR(SEARCH("库存为",AU357)))</formula>
    </cfRule>
  </conditionalFormatting>
  <conditionalFormatting sqref="AU358">
    <cfRule type="cellIs" dxfId="0" priority="839" operator="lessThan">
      <formula>20</formula>
    </cfRule>
    <cfRule type="cellIs" dxfId="1" priority="442" operator="greaterThan">
      <formula>120</formula>
    </cfRule>
    <cfRule type="containsText" dxfId="2" priority="45" operator="between" text="库存为">
      <formula>NOT(ISERROR(SEARCH("库存为",AU358)))</formula>
    </cfRule>
  </conditionalFormatting>
  <conditionalFormatting sqref="AU359">
    <cfRule type="cellIs" dxfId="0" priority="838" operator="lessThan">
      <formula>20</formula>
    </cfRule>
    <cfRule type="cellIs" dxfId="1" priority="441" operator="greaterThan">
      <formula>120</formula>
    </cfRule>
    <cfRule type="containsText" dxfId="2" priority="44" operator="between" text="库存为">
      <formula>NOT(ISERROR(SEARCH("库存为",AU359)))</formula>
    </cfRule>
  </conditionalFormatting>
  <conditionalFormatting sqref="AU360">
    <cfRule type="cellIs" dxfId="0" priority="837" operator="lessThan">
      <formula>20</formula>
    </cfRule>
    <cfRule type="cellIs" dxfId="1" priority="440" operator="greaterThan">
      <formula>120</formula>
    </cfRule>
    <cfRule type="containsText" dxfId="2" priority="43" operator="between" text="库存为">
      <formula>NOT(ISERROR(SEARCH("库存为",AU360)))</formula>
    </cfRule>
  </conditionalFormatting>
  <conditionalFormatting sqref="AU361">
    <cfRule type="cellIs" dxfId="0" priority="836" operator="lessThan">
      <formula>20</formula>
    </cfRule>
    <cfRule type="cellIs" dxfId="1" priority="439" operator="greaterThan">
      <formula>120</formula>
    </cfRule>
    <cfRule type="containsText" dxfId="2" priority="42" operator="between" text="库存为">
      <formula>NOT(ISERROR(SEARCH("库存为",AU361)))</formula>
    </cfRule>
  </conditionalFormatting>
  <conditionalFormatting sqref="AU362">
    <cfRule type="cellIs" dxfId="0" priority="835" operator="lessThan">
      <formula>20</formula>
    </cfRule>
    <cfRule type="cellIs" dxfId="1" priority="438" operator="greaterThan">
      <formula>120</formula>
    </cfRule>
    <cfRule type="containsText" dxfId="2" priority="41" operator="between" text="库存为">
      <formula>NOT(ISERROR(SEARCH("库存为",AU362)))</formula>
    </cfRule>
  </conditionalFormatting>
  <conditionalFormatting sqref="AU363">
    <cfRule type="cellIs" dxfId="0" priority="834" operator="lessThan">
      <formula>20</formula>
    </cfRule>
    <cfRule type="cellIs" dxfId="1" priority="437" operator="greaterThan">
      <formula>120</formula>
    </cfRule>
    <cfRule type="containsText" dxfId="2" priority="40" operator="between" text="库存为">
      <formula>NOT(ISERROR(SEARCH("库存为",AU363)))</formula>
    </cfRule>
  </conditionalFormatting>
  <conditionalFormatting sqref="AU364">
    <cfRule type="cellIs" dxfId="0" priority="833" operator="lessThan">
      <formula>20</formula>
    </cfRule>
    <cfRule type="cellIs" dxfId="1" priority="436" operator="greaterThan">
      <formula>120</formula>
    </cfRule>
    <cfRule type="containsText" dxfId="2" priority="39" operator="between" text="库存为">
      <formula>NOT(ISERROR(SEARCH("库存为",AU364)))</formula>
    </cfRule>
  </conditionalFormatting>
  <conditionalFormatting sqref="AU365">
    <cfRule type="cellIs" dxfId="0" priority="832" operator="lessThan">
      <formula>20</formula>
    </cfRule>
    <cfRule type="cellIs" dxfId="1" priority="435" operator="greaterThan">
      <formula>120</formula>
    </cfRule>
    <cfRule type="containsText" dxfId="2" priority="38" operator="between" text="库存为">
      <formula>NOT(ISERROR(SEARCH("库存为",AU365)))</formula>
    </cfRule>
  </conditionalFormatting>
  <conditionalFormatting sqref="AU366">
    <cfRule type="cellIs" dxfId="0" priority="831" operator="lessThan">
      <formula>20</formula>
    </cfRule>
    <cfRule type="cellIs" dxfId="1" priority="434" operator="greaterThan">
      <formula>120</formula>
    </cfRule>
    <cfRule type="containsText" dxfId="2" priority="37" operator="between" text="库存为">
      <formula>NOT(ISERROR(SEARCH("库存为",AU366)))</formula>
    </cfRule>
  </conditionalFormatting>
  <conditionalFormatting sqref="AU367">
    <cfRule type="cellIs" dxfId="0" priority="830" operator="lessThan">
      <formula>20</formula>
    </cfRule>
    <cfRule type="cellIs" dxfId="1" priority="433" operator="greaterThan">
      <formula>120</formula>
    </cfRule>
    <cfRule type="containsText" dxfId="2" priority="36" operator="between" text="库存为">
      <formula>NOT(ISERROR(SEARCH("库存为",AU367)))</formula>
    </cfRule>
  </conditionalFormatting>
  <conditionalFormatting sqref="AU368">
    <cfRule type="cellIs" dxfId="0" priority="829" operator="lessThan">
      <formula>20</formula>
    </cfRule>
    <cfRule type="cellIs" dxfId="1" priority="432" operator="greaterThan">
      <formula>120</formula>
    </cfRule>
    <cfRule type="containsText" dxfId="2" priority="35" operator="between" text="库存为">
      <formula>NOT(ISERROR(SEARCH("库存为",AU368)))</formula>
    </cfRule>
  </conditionalFormatting>
  <conditionalFormatting sqref="AU369">
    <cfRule type="cellIs" dxfId="0" priority="828" operator="lessThan">
      <formula>20</formula>
    </cfRule>
    <cfRule type="cellIs" dxfId="1" priority="431" operator="greaterThan">
      <formula>120</formula>
    </cfRule>
    <cfRule type="containsText" dxfId="2" priority="34" operator="between" text="库存为">
      <formula>NOT(ISERROR(SEARCH("库存为",AU369)))</formula>
    </cfRule>
  </conditionalFormatting>
  <conditionalFormatting sqref="AU370">
    <cfRule type="cellIs" dxfId="0" priority="827" operator="lessThan">
      <formula>20</formula>
    </cfRule>
    <cfRule type="cellIs" dxfId="1" priority="430" operator="greaterThan">
      <formula>120</formula>
    </cfRule>
    <cfRule type="containsText" dxfId="2" priority="33" operator="between" text="库存为">
      <formula>NOT(ISERROR(SEARCH("库存为",AU370)))</formula>
    </cfRule>
  </conditionalFormatting>
  <conditionalFormatting sqref="AU371">
    <cfRule type="cellIs" dxfId="0" priority="826" operator="lessThan">
      <formula>20</formula>
    </cfRule>
    <cfRule type="cellIs" dxfId="1" priority="429" operator="greaterThan">
      <formula>120</formula>
    </cfRule>
    <cfRule type="containsText" dxfId="2" priority="32" operator="between" text="库存为">
      <formula>NOT(ISERROR(SEARCH("库存为",AU371)))</formula>
    </cfRule>
  </conditionalFormatting>
  <conditionalFormatting sqref="AU372">
    <cfRule type="cellIs" dxfId="0" priority="825" operator="lessThan">
      <formula>20</formula>
    </cfRule>
    <cfRule type="cellIs" dxfId="1" priority="428" operator="greaterThan">
      <formula>120</formula>
    </cfRule>
    <cfRule type="containsText" dxfId="2" priority="31" operator="between" text="库存为">
      <formula>NOT(ISERROR(SEARCH("库存为",AU372)))</formula>
    </cfRule>
  </conditionalFormatting>
  <conditionalFormatting sqref="AU373">
    <cfRule type="cellIs" dxfId="0" priority="824" operator="lessThan">
      <formula>20</formula>
    </cfRule>
    <cfRule type="cellIs" dxfId="1" priority="427" operator="greaterThan">
      <formula>120</formula>
    </cfRule>
    <cfRule type="containsText" dxfId="2" priority="30" operator="between" text="库存为">
      <formula>NOT(ISERROR(SEARCH("库存为",AU373)))</formula>
    </cfRule>
  </conditionalFormatting>
  <conditionalFormatting sqref="AU374">
    <cfRule type="cellIs" dxfId="0" priority="823" operator="lessThan">
      <formula>20</formula>
    </cfRule>
    <cfRule type="cellIs" dxfId="1" priority="426" operator="greaterThan">
      <formula>120</formula>
    </cfRule>
    <cfRule type="containsText" dxfId="2" priority="29" operator="between" text="库存为">
      <formula>NOT(ISERROR(SEARCH("库存为",AU374)))</formula>
    </cfRule>
  </conditionalFormatting>
  <conditionalFormatting sqref="AU375">
    <cfRule type="cellIs" dxfId="0" priority="822" operator="lessThan">
      <formula>20</formula>
    </cfRule>
    <cfRule type="cellIs" dxfId="1" priority="425" operator="greaterThan">
      <formula>120</formula>
    </cfRule>
    <cfRule type="containsText" dxfId="2" priority="28" operator="between" text="库存为">
      <formula>NOT(ISERROR(SEARCH("库存为",AU375)))</formula>
    </cfRule>
  </conditionalFormatting>
  <conditionalFormatting sqref="AU376">
    <cfRule type="cellIs" dxfId="0" priority="821" operator="lessThan">
      <formula>20</formula>
    </cfRule>
    <cfRule type="cellIs" dxfId="1" priority="424" operator="greaterThan">
      <formula>120</formula>
    </cfRule>
    <cfRule type="containsText" dxfId="2" priority="27" operator="between" text="库存为">
      <formula>NOT(ISERROR(SEARCH("库存为",AU376)))</formula>
    </cfRule>
  </conditionalFormatting>
  <conditionalFormatting sqref="AU377">
    <cfRule type="cellIs" dxfId="0" priority="820" operator="lessThan">
      <formula>20</formula>
    </cfRule>
    <cfRule type="cellIs" dxfId="1" priority="423" operator="greaterThan">
      <formula>120</formula>
    </cfRule>
    <cfRule type="containsText" dxfId="2" priority="26" operator="between" text="库存为">
      <formula>NOT(ISERROR(SEARCH("库存为",AU377)))</formula>
    </cfRule>
  </conditionalFormatting>
  <conditionalFormatting sqref="AU378">
    <cfRule type="cellIs" dxfId="0" priority="819" operator="lessThan">
      <formula>20</formula>
    </cfRule>
    <cfRule type="cellIs" dxfId="1" priority="422" operator="greaterThan">
      <formula>120</formula>
    </cfRule>
    <cfRule type="containsText" dxfId="2" priority="25" operator="between" text="库存为">
      <formula>NOT(ISERROR(SEARCH("库存为",AU378)))</formula>
    </cfRule>
  </conditionalFormatting>
  <conditionalFormatting sqref="AU379">
    <cfRule type="cellIs" dxfId="0" priority="818" operator="lessThan">
      <formula>20</formula>
    </cfRule>
    <cfRule type="cellIs" dxfId="1" priority="421" operator="greaterThan">
      <formula>120</formula>
    </cfRule>
    <cfRule type="containsText" dxfId="2" priority="24" operator="between" text="库存为">
      <formula>NOT(ISERROR(SEARCH("库存为",AU379)))</formula>
    </cfRule>
  </conditionalFormatting>
  <conditionalFormatting sqref="AU380">
    <cfRule type="cellIs" dxfId="0" priority="817" operator="lessThan">
      <formula>20</formula>
    </cfRule>
    <cfRule type="cellIs" dxfId="1" priority="420" operator="greaterThan">
      <formula>120</formula>
    </cfRule>
    <cfRule type="containsText" dxfId="2" priority="23" operator="between" text="库存为">
      <formula>NOT(ISERROR(SEARCH("库存为",AU380)))</formula>
    </cfRule>
  </conditionalFormatting>
  <conditionalFormatting sqref="AU381">
    <cfRule type="cellIs" dxfId="0" priority="816" operator="lessThan">
      <formula>20</formula>
    </cfRule>
    <cfRule type="cellIs" dxfId="1" priority="419" operator="greaterThan">
      <formula>120</formula>
    </cfRule>
    <cfRule type="containsText" dxfId="2" priority="22" operator="between" text="库存为">
      <formula>NOT(ISERROR(SEARCH("库存为",AU381)))</formula>
    </cfRule>
  </conditionalFormatting>
  <conditionalFormatting sqref="AU382">
    <cfRule type="cellIs" dxfId="0" priority="815" operator="lessThan">
      <formula>20</formula>
    </cfRule>
    <cfRule type="cellIs" dxfId="1" priority="418" operator="greaterThan">
      <formula>120</formula>
    </cfRule>
    <cfRule type="containsText" dxfId="2" priority="21" operator="between" text="库存为">
      <formula>NOT(ISERROR(SEARCH("库存为",AU382)))</formula>
    </cfRule>
  </conditionalFormatting>
  <conditionalFormatting sqref="AU383">
    <cfRule type="cellIs" dxfId="0" priority="814" operator="lessThan">
      <formula>20</formula>
    </cfRule>
    <cfRule type="cellIs" dxfId="1" priority="417" operator="greaterThan">
      <formula>120</formula>
    </cfRule>
    <cfRule type="containsText" dxfId="2" priority="20" operator="between" text="库存为">
      <formula>NOT(ISERROR(SEARCH("库存为",AU383)))</formula>
    </cfRule>
  </conditionalFormatting>
  <conditionalFormatting sqref="AU384">
    <cfRule type="cellIs" dxfId="0" priority="813" operator="lessThan">
      <formula>20</formula>
    </cfRule>
    <cfRule type="cellIs" dxfId="1" priority="416" operator="greaterThan">
      <formula>120</formula>
    </cfRule>
    <cfRule type="containsText" dxfId="2" priority="19" operator="between" text="库存为">
      <formula>NOT(ISERROR(SEARCH("库存为",AU384)))</formula>
    </cfRule>
  </conditionalFormatting>
  <conditionalFormatting sqref="AU385">
    <cfRule type="cellIs" dxfId="0" priority="812" operator="lessThan">
      <formula>20</formula>
    </cfRule>
    <cfRule type="cellIs" dxfId="1" priority="415" operator="greaterThan">
      <formula>120</formula>
    </cfRule>
    <cfRule type="containsText" dxfId="2" priority="18" operator="between" text="库存为">
      <formula>NOT(ISERROR(SEARCH("库存为",AU385)))</formula>
    </cfRule>
  </conditionalFormatting>
  <conditionalFormatting sqref="AU386">
    <cfRule type="cellIs" dxfId="0" priority="811" operator="lessThan">
      <formula>20</formula>
    </cfRule>
    <cfRule type="cellIs" dxfId="1" priority="414" operator="greaterThan">
      <formula>120</formula>
    </cfRule>
    <cfRule type="containsText" dxfId="2" priority="17" operator="between" text="库存为">
      <formula>NOT(ISERROR(SEARCH("库存为",AU386)))</formula>
    </cfRule>
  </conditionalFormatting>
  <conditionalFormatting sqref="AU387">
    <cfRule type="cellIs" dxfId="0" priority="810" operator="lessThan">
      <formula>20</formula>
    </cfRule>
    <cfRule type="cellIs" dxfId="1" priority="413" operator="greaterThan">
      <formula>120</formula>
    </cfRule>
    <cfRule type="containsText" dxfId="2" priority="16" operator="between" text="库存为">
      <formula>NOT(ISERROR(SEARCH("库存为",AU387)))</formula>
    </cfRule>
  </conditionalFormatting>
  <conditionalFormatting sqref="AU388">
    <cfRule type="cellIs" dxfId="0" priority="809" operator="lessThan">
      <formula>20</formula>
    </cfRule>
    <cfRule type="cellIs" dxfId="1" priority="412" operator="greaterThan">
      <formula>120</formula>
    </cfRule>
    <cfRule type="containsText" dxfId="2" priority="15" operator="between" text="库存为">
      <formula>NOT(ISERROR(SEARCH("库存为",AU388)))</formula>
    </cfRule>
  </conditionalFormatting>
  <conditionalFormatting sqref="AU389">
    <cfRule type="cellIs" dxfId="0" priority="808" operator="lessThan">
      <formula>20</formula>
    </cfRule>
    <cfRule type="cellIs" dxfId="1" priority="411" operator="greaterThan">
      <formula>120</formula>
    </cfRule>
    <cfRule type="containsText" dxfId="2" priority="14" operator="between" text="库存为">
      <formula>NOT(ISERROR(SEARCH("库存为",AU389)))</formula>
    </cfRule>
  </conditionalFormatting>
  <conditionalFormatting sqref="AU390">
    <cfRule type="cellIs" dxfId="0" priority="807" operator="lessThan">
      <formula>20</formula>
    </cfRule>
    <cfRule type="cellIs" dxfId="1" priority="410" operator="greaterThan">
      <formula>120</formula>
    </cfRule>
    <cfRule type="containsText" dxfId="2" priority="13" operator="between" text="库存为">
      <formula>NOT(ISERROR(SEARCH("库存为",AU390)))</formula>
    </cfRule>
  </conditionalFormatting>
  <conditionalFormatting sqref="AU391">
    <cfRule type="cellIs" dxfId="0" priority="806" operator="lessThan">
      <formula>20</formula>
    </cfRule>
    <cfRule type="cellIs" dxfId="1" priority="409" operator="greaterThan">
      <formula>120</formula>
    </cfRule>
    <cfRule type="containsText" dxfId="2" priority="12" operator="between" text="库存为">
      <formula>NOT(ISERROR(SEARCH("库存为",AU391)))</formula>
    </cfRule>
  </conditionalFormatting>
  <conditionalFormatting sqref="AU392">
    <cfRule type="cellIs" dxfId="0" priority="805" operator="lessThan">
      <formula>20</formula>
    </cfRule>
    <cfRule type="cellIs" dxfId="1" priority="408" operator="greaterThan">
      <formula>120</formula>
    </cfRule>
    <cfRule type="containsText" dxfId="2" priority="11" operator="between" text="库存为">
      <formula>NOT(ISERROR(SEARCH("库存为",AU392)))</formula>
    </cfRule>
  </conditionalFormatting>
  <conditionalFormatting sqref="AU393">
    <cfRule type="cellIs" dxfId="0" priority="804" operator="lessThan">
      <formula>20</formula>
    </cfRule>
    <cfRule type="cellIs" dxfId="1" priority="407" operator="greaterThan">
      <formula>120</formula>
    </cfRule>
    <cfRule type="containsText" dxfId="2" priority="10" operator="between" text="库存为">
      <formula>NOT(ISERROR(SEARCH("库存为",AU393)))</formula>
    </cfRule>
  </conditionalFormatting>
  <conditionalFormatting sqref="AU394">
    <cfRule type="cellIs" dxfId="0" priority="803" operator="lessThan">
      <formula>20</formula>
    </cfRule>
    <cfRule type="cellIs" dxfId="1" priority="406" operator="greaterThan">
      <formula>120</formula>
    </cfRule>
    <cfRule type="containsText" dxfId="2" priority="9" operator="between" text="库存为">
      <formula>NOT(ISERROR(SEARCH("库存为",AU394)))</formula>
    </cfRule>
  </conditionalFormatting>
  <conditionalFormatting sqref="AU395">
    <cfRule type="cellIs" dxfId="0" priority="802" operator="lessThan">
      <formula>20</formula>
    </cfRule>
    <cfRule type="cellIs" dxfId="1" priority="405" operator="greaterThan">
      <formula>120</formula>
    </cfRule>
    <cfRule type="containsText" dxfId="2" priority="8" operator="between" text="库存为">
      <formula>NOT(ISERROR(SEARCH("库存为",AU395)))</formula>
    </cfRule>
  </conditionalFormatting>
  <conditionalFormatting sqref="AU396">
    <cfRule type="cellIs" dxfId="0" priority="801" operator="lessThan">
      <formula>20</formula>
    </cfRule>
    <cfRule type="cellIs" dxfId="1" priority="404" operator="greaterThan">
      <formula>120</formula>
    </cfRule>
    <cfRule type="containsText" dxfId="2" priority="7" operator="between" text="库存为">
      <formula>NOT(ISERROR(SEARCH("库存为",AU396)))</formula>
    </cfRule>
  </conditionalFormatting>
  <conditionalFormatting sqref="AU397">
    <cfRule type="cellIs" dxfId="0" priority="800" operator="lessThan">
      <formula>20</formula>
    </cfRule>
    <cfRule type="cellIs" dxfId="1" priority="403" operator="greaterThan">
      <formula>120</formula>
    </cfRule>
    <cfRule type="containsText" dxfId="2" priority="6" operator="between" text="库存为">
      <formula>NOT(ISERROR(SEARCH("库存为",AU397)))</formula>
    </cfRule>
  </conditionalFormatting>
  <conditionalFormatting sqref="AU398">
    <cfRule type="cellIs" dxfId="0" priority="799" operator="lessThan">
      <formula>20</formula>
    </cfRule>
    <cfRule type="cellIs" dxfId="1" priority="402" operator="greaterThan">
      <formula>120</formula>
    </cfRule>
    <cfRule type="containsText" dxfId="2" priority="5" operator="between" text="库存为">
      <formula>NOT(ISERROR(SEARCH("库存为",AU398)))</formula>
    </cfRule>
  </conditionalFormatting>
  <conditionalFormatting sqref="AU399">
    <cfRule type="cellIs" dxfId="0" priority="798" operator="lessThan">
      <formula>20</formula>
    </cfRule>
    <cfRule type="cellIs" dxfId="1" priority="401" operator="greaterThan">
      <formula>120</formula>
    </cfRule>
    <cfRule type="containsText" dxfId="2" priority="4" operator="between" text="库存为">
      <formula>NOT(ISERROR(SEARCH("库存为",AU399)))</formula>
    </cfRule>
  </conditionalFormatting>
  <conditionalFormatting sqref="AU400">
    <cfRule type="cellIs" dxfId="0" priority="797" operator="lessThan">
      <formula>20</formula>
    </cfRule>
    <cfRule type="cellIs" dxfId="1" priority="400" operator="greaterThan">
      <formula>120</formula>
    </cfRule>
    <cfRule type="containsText" dxfId="2" priority="3" operator="between" text="库存为">
      <formula>NOT(ISERROR(SEARCH("库存为",AU400)))</formula>
    </cfRule>
  </conditionalFormatting>
  <conditionalFormatting sqref="AU401">
    <cfRule type="cellIs" dxfId="0" priority="796" operator="lessThan">
      <formula>20</formula>
    </cfRule>
    <cfRule type="cellIs" dxfId="1" priority="399" operator="greaterThan">
      <formula>120</formula>
    </cfRule>
    <cfRule type="containsText" dxfId="2" priority="2" operator="between" text="库存为">
      <formula>NOT(ISERROR(SEARCH("库存为",AU401)))</formula>
    </cfRule>
  </conditionalFormatting>
  <conditionalFormatting sqref="AU402">
    <cfRule type="cellIs" dxfId="0" priority="795" operator="lessThan">
      <formula>20</formula>
    </cfRule>
    <cfRule type="cellIs" dxfId="1" priority="398" operator="greaterThan">
      <formula>120</formula>
    </cfRule>
    <cfRule type="containsText" dxfId="2" priority="1" operator="between" text="库存为">
      <formula>NOT(ISERROR(SEARCH("库存为",AU402)))</formula>
    </cfRule>
  </conditionalFormatting>
  <conditionalFormatting sqref="AU403">
    <cfRule type="cellIs" dxfId="0" priority="4520" operator="lessThan">
      <formula>20</formula>
    </cfRule>
    <cfRule type="cellIs" dxfId="1" priority="3675" operator="greaterThan">
      <formula>120</formula>
    </cfRule>
    <cfRule type="containsText" dxfId="2" priority="2830" operator="between" text="库存为">
      <formula>NOT(ISERROR(SEARCH("库存为",AU403)))</formula>
    </cfRule>
  </conditionalFormatting>
  <conditionalFormatting sqref="AU404">
    <cfRule type="cellIs" dxfId="0" priority="4519" operator="lessThan">
      <formula>20</formula>
    </cfRule>
    <cfRule type="cellIs" dxfId="1" priority="3674" operator="greaterThan">
      <formula>120</formula>
    </cfRule>
    <cfRule type="containsText" dxfId="2" priority="2829" operator="between" text="库存为">
      <formula>NOT(ISERROR(SEARCH("库存为",AU404)))</formula>
    </cfRule>
  </conditionalFormatting>
  <conditionalFormatting sqref="AU405">
    <cfRule type="cellIs" dxfId="0" priority="4518" operator="lessThan">
      <formula>20</formula>
    </cfRule>
    <cfRule type="cellIs" dxfId="1" priority="3673" operator="greaterThan">
      <formula>120</formula>
    </cfRule>
    <cfRule type="containsText" dxfId="2" priority="2828" operator="between" text="库存为">
      <formula>NOT(ISERROR(SEARCH("库存为",AU405)))</formula>
    </cfRule>
  </conditionalFormatting>
  <conditionalFormatting sqref="AU406">
    <cfRule type="cellIs" dxfId="0" priority="4517" operator="lessThan">
      <formula>20</formula>
    </cfRule>
    <cfRule type="cellIs" dxfId="1" priority="3672" operator="greaterThan">
      <formula>120</formula>
    </cfRule>
    <cfRule type="containsText" dxfId="2" priority="2827" operator="between" text="库存为">
      <formula>NOT(ISERROR(SEARCH("库存为",AU406)))</formula>
    </cfRule>
  </conditionalFormatting>
  <conditionalFormatting sqref="AU407">
    <cfRule type="cellIs" dxfId="0" priority="4516" operator="lessThan">
      <formula>20</formula>
    </cfRule>
    <cfRule type="cellIs" dxfId="1" priority="3671" operator="greaterThan">
      <formula>120</formula>
    </cfRule>
    <cfRule type="containsText" dxfId="2" priority="2826" operator="between" text="库存为">
      <formula>NOT(ISERROR(SEARCH("库存为",AU407)))</formula>
    </cfRule>
  </conditionalFormatting>
  <conditionalFormatting sqref="AU408">
    <cfRule type="cellIs" dxfId="0" priority="4515" operator="lessThan">
      <formula>20</formula>
    </cfRule>
    <cfRule type="cellIs" dxfId="1" priority="3670" operator="greaterThan">
      <formula>120</formula>
    </cfRule>
    <cfRule type="containsText" dxfId="2" priority="2825" operator="between" text="库存为">
      <formula>NOT(ISERROR(SEARCH("库存为",AU408)))</formula>
    </cfRule>
  </conditionalFormatting>
  <conditionalFormatting sqref="AU409">
    <cfRule type="cellIs" dxfId="0" priority="4514" operator="lessThan">
      <formula>20</formula>
    </cfRule>
    <cfRule type="cellIs" dxfId="1" priority="3669" operator="greaterThan">
      <formula>120</formula>
    </cfRule>
    <cfRule type="containsText" dxfId="2" priority="2824" operator="between" text="库存为">
      <formula>NOT(ISERROR(SEARCH("库存为",AU409)))</formula>
    </cfRule>
  </conditionalFormatting>
  <conditionalFormatting sqref="AU410">
    <cfRule type="cellIs" dxfId="0" priority="4513" operator="lessThan">
      <formula>20</formula>
    </cfRule>
    <cfRule type="cellIs" dxfId="1" priority="3668" operator="greaterThan">
      <formula>120</formula>
    </cfRule>
    <cfRule type="containsText" dxfId="2" priority="2823" operator="between" text="库存为">
      <formula>NOT(ISERROR(SEARCH("库存为",AU410)))</formula>
    </cfRule>
  </conditionalFormatting>
  <conditionalFormatting sqref="AU411">
    <cfRule type="cellIs" dxfId="0" priority="4512" operator="lessThan">
      <formula>20</formula>
    </cfRule>
    <cfRule type="cellIs" dxfId="1" priority="3667" operator="greaterThan">
      <formula>120</formula>
    </cfRule>
    <cfRule type="containsText" dxfId="2" priority="2822" operator="between" text="库存为">
      <formula>NOT(ISERROR(SEARCH("库存为",AU411)))</formula>
    </cfRule>
  </conditionalFormatting>
  <conditionalFormatting sqref="AU412">
    <cfRule type="cellIs" dxfId="0" priority="4511" operator="lessThan">
      <formula>20</formula>
    </cfRule>
    <cfRule type="cellIs" dxfId="1" priority="3666" operator="greaterThan">
      <formula>120</formula>
    </cfRule>
    <cfRule type="containsText" dxfId="2" priority="2821" operator="between" text="库存为">
      <formula>NOT(ISERROR(SEARCH("库存为",AU412)))</formula>
    </cfRule>
  </conditionalFormatting>
  <conditionalFormatting sqref="AU413">
    <cfRule type="cellIs" dxfId="0" priority="4510" operator="lessThan">
      <formula>20</formula>
    </cfRule>
    <cfRule type="cellIs" dxfId="1" priority="3665" operator="greaterThan">
      <formula>120</formula>
    </cfRule>
    <cfRule type="containsText" dxfId="2" priority="2820" operator="between" text="库存为">
      <formula>NOT(ISERROR(SEARCH("库存为",AU413)))</formula>
    </cfRule>
  </conditionalFormatting>
  <conditionalFormatting sqref="AU414">
    <cfRule type="cellIs" dxfId="0" priority="4509" operator="lessThan">
      <formula>20</formula>
    </cfRule>
    <cfRule type="cellIs" dxfId="1" priority="3664" operator="greaterThan">
      <formula>120</formula>
    </cfRule>
    <cfRule type="containsText" dxfId="2" priority="2819" operator="between" text="库存为">
      <formula>NOT(ISERROR(SEARCH("库存为",AU414)))</formula>
    </cfRule>
  </conditionalFormatting>
  <conditionalFormatting sqref="AU415">
    <cfRule type="cellIs" dxfId="0" priority="4508" operator="lessThan">
      <formula>20</formula>
    </cfRule>
    <cfRule type="cellIs" dxfId="1" priority="3663" operator="greaterThan">
      <formula>120</formula>
    </cfRule>
    <cfRule type="containsText" dxfId="2" priority="2818" operator="between" text="库存为">
      <formula>NOT(ISERROR(SEARCH("库存为",AU415)))</formula>
    </cfRule>
  </conditionalFormatting>
  <conditionalFormatting sqref="AU416">
    <cfRule type="cellIs" dxfId="0" priority="4507" operator="lessThan">
      <formula>20</formula>
    </cfRule>
    <cfRule type="cellIs" dxfId="1" priority="3662" operator="greaterThan">
      <formula>120</formula>
    </cfRule>
    <cfRule type="containsText" dxfId="2" priority="2817" operator="between" text="库存为">
      <formula>NOT(ISERROR(SEARCH("库存为",AU416)))</formula>
    </cfRule>
  </conditionalFormatting>
  <conditionalFormatting sqref="AU417">
    <cfRule type="cellIs" dxfId="0" priority="4506" operator="lessThan">
      <formula>20</formula>
    </cfRule>
    <cfRule type="cellIs" dxfId="1" priority="3661" operator="greaterThan">
      <formula>120</formula>
    </cfRule>
    <cfRule type="containsText" dxfId="2" priority="2816" operator="between" text="库存为">
      <formula>NOT(ISERROR(SEARCH("库存为",AU417)))</formula>
    </cfRule>
  </conditionalFormatting>
  <conditionalFormatting sqref="AU418">
    <cfRule type="cellIs" dxfId="0" priority="4505" operator="lessThan">
      <formula>20</formula>
    </cfRule>
    <cfRule type="cellIs" dxfId="1" priority="3660" operator="greaterThan">
      <formula>120</formula>
    </cfRule>
    <cfRule type="containsText" dxfId="2" priority="2815" operator="between" text="库存为">
      <formula>NOT(ISERROR(SEARCH("库存为",AU418)))</formula>
    </cfRule>
  </conditionalFormatting>
  <conditionalFormatting sqref="AU419">
    <cfRule type="cellIs" dxfId="0" priority="4504" operator="lessThan">
      <formula>20</formula>
    </cfRule>
    <cfRule type="cellIs" dxfId="1" priority="3659" operator="greaterThan">
      <formula>120</formula>
    </cfRule>
    <cfRule type="containsText" dxfId="2" priority="2814" operator="between" text="库存为">
      <formula>NOT(ISERROR(SEARCH("库存为",AU419)))</formula>
    </cfRule>
  </conditionalFormatting>
  <conditionalFormatting sqref="AU420">
    <cfRule type="cellIs" dxfId="0" priority="4503" operator="lessThan">
      <formula>20</formula>
    </cfRule>
    <cfRule type="cellIs" dxfId="1" priority="3658" operator="greaterThan">
      <formula>120</formula>
    </cfRule>
    <cfRule type="containsText" dxfId="2" priority="2813" operator="between" text="库存为">
      <formula>NOT(ISERROR(SEARCH("库存为",AU420)))</formula>
    </cfRule>
  </conditionalFormatting>
  <conditionalFormatting sqref="AU421">
    <cfRule type="cellIs" dxfId="0" priority="4502" operator="lessThan">
      <formula>20</formula>
    </cfRule>
    <cfRule type="cellIs" dxfId="1" priority="3657" operator="greaterThan">
      <formula>120</formula>
    </cfRule>
    <cfRule type="containsText" dxfId="2" priority="2812" operator="between" text="库存为">
      <formula>NOT(ISERROR(SEARCH("库存为",AU421)))</formula>
    </cfRule>
  </conditionalFormatting>
  <conditionalFormatting sqref="AU422">
    <cfRule type="cellIs" dxfId="0" priority="4501" operator="lessThan">
      <formula>20</formula>
    </cfRule>
    <cfRule type="cellIs" dxfId="1" priority="3656" operator="greaterThan">
      <formula>120</formula>
    </cfRule>
    <cfRule type="containsText" dxfId="2" priority="2811" operator="between" text="库存为">
      <formula>NOT(ISERROR(SEARCH("库存为",AU422)))</formula>
    </cfRule>
  </conditionalFormatting>
  <conditionalFormatting sqref="AU423">
    <cfRule type="cellIs" dxfId="0" priority="4500" operator="lessThan">
      <formula>20</formula>
    </cfRule>
    <cfRule type="cellIs" dxfId="1" priority="3655" operator="greaterThan">
      <formula>120</formula>
    </cfRule>
    <cfRule type="containsText" dxfId="2" priority="2810" operator="between" text="库存为">
      <formula>NOT(ISERROR(SEARCH("库存为",AU423)))</formula>
    </cfRule>
  </conditionalFormatting>
  <conditionalFormatting sqref="AU424">
    <cfRule type="cellIs" dxfId="0" priority="4499" operator="lessThan">
      <formula>20</formula>
    </cfRule>
    <cfRule type="cellIs" dxfId="1" priority="3654" operator="greaterThan">
      <formula>120</formula>
    </cfRule>
    <cfRule type="containsText" dxfId="2" priority="2809" operator="between" text="库存为">
      <formula>NOT(ISERROR(SEARCH("库存为",AU424)))</formula>
    </cfRule>
  </conditionalFormatting>
  <conditionalFormatting sqref="AU425">
    <cfRule type="cellIs" dxfId="0" priority="4498" operator="lessThan">
      <formula>20</formula>
    </cfRule>
    <cfRule type="cellIs" dxfId="1" priority="3653" operator="greaterThan">
      <formula>120</formula>
    </cfRule>
    <cfRule type="containsText" dxfId="2" priority="2808" operator="between" text="库存为">
      <formula>NOT(ISERROR(SEARCH("库存为",AU425)))</formula>
    </cfRule>
  </conditionalFormatting>
  <conditionalFormatting sqref="AU426">
    <cfRule type="cellIs" dxfId="0" priority="4497" operator="lessThan">
      <formula>20</formula>
    </cfRule>
    <cfRule type="cellIs" dxfId="1" priority="3652" operator="greaterThan">
      <formula>120</formula>
    </cfRule>
    <cfRule type="containsText" dxfId="2" priority="2807" operator="between" text="库存为">
      <formula>NOT(ISERROR(SEARCH("库存为",AU426)))</formula>
    </cfRule>
  </conditionalFormatting>
  <conditionalFormatting sqref="AU427">
    <cfRule type="cellIs" dxfId="0" priority="4496" operator="lessThan">
      <formula>20</formula>
    </cfRule>
    <cfRule type="cellIs" dxfId="1" priority="3651" operator="greaterThan">
      <formula>120</formula>
    </cfRule>
    <cfRule type="containsText" dxfId="2" priority="2806" operator="between" text="库存为">
      <formula>NOT(ISERROR(SEARCH("库存为",AU427)))</formula>
    </cfRule>
  </conditionalFormatting>
  <conditionalFormatting sqref="AU428">
    <cfRule type="cellIs" dxfId="0" priority="4495" operator="lessThan">
      <formula>20</formula>
    </cfRule>
    <cfRule type="cellIs" dxfId="1" priority="3650" operator="greaterThan">
      <formula>120</formula>
    </cfRule>
    <cfRule type="containsText" dxfId="2" priority="2805" operator="between" text="库存为">
      <formula>NOT(ISERROR(SEARCH("库存为",AU428)))</formula>
    </cfRule>
  </conditionalFormatting>
  <conditionalFormatting sqref="AU429">
    <cfRule type="cellIs" dxfId="0" priority="4494" operator="lessThan">
      <formula>20</formula>
    </cfRule>
    <cfRule type="cellIs" dxfId="1" priority="3649" operator="greaterThan">
      <formula>120</formula>
    </cfRule>
    <cfRule type="containsText" dxfId="2" priority="2804" operator="between" text="库存为">
      <formula>NOT(ISERROR(SEARCH("库存为",AU429)))</formula>
    </cfRule>
  </conditionalFormatting>
  <conditionalFormatting sqref="AU430">
    <cfRule type="cellIs" dxfId="0" priority="4493" operator="lessThan">
      <formula>20</formula>
    </cfRule>
    <cfRule type="cellIs" dxfId="1" priority="3648" operator="greaterThan">
      <formula>120</formula>
    </cfRule>
    <cfRule type="containsText" dxfId="2" priority="2803" operator="between" text="库存为">
      <formula>NOT(ISERROR(SEARCH("库存为",AU430)))</formula>
    </cfRule>
  </conditionalFormatting>
  <conditionalFormatting sqref="AU431">
    <cfRule type="cellIs" dxfId="0" priority="4492" operator="lessThan">
      <formula>20</formula>
    </cfRule>
    <cfRule type="cellIs" dxfId="1" priority="3647" operator="greaterThan">
      <formula>120</formula>
    </cfRule>
    <cfRule type="containsText" dxfId="2" priority="2802" operator="between" text="库存为">
      <formula>NOT(ISERROR(SEARCH("库存为",AU431)))</formula>
    </cfRule>
  </conditionalFormatting>
  <conditionalFormatting sqref="AU432">
    <cfRule type="cellIs" dxfId="0" priority="4491" operator="lessThan">
      <formula>20</formula>
    </cfRule>
    <cfRule type="cellIs" dxfId="1" priority="3646" operator="greaterThan">
      <formula>120</formula>
    </cfRule>
    <cfRule type="containsText" dxfId="2" priority="2801" operator="between" text="库存为">
      <formula>NOT(ISERROR(SEARCH("库存为",AU432)))</formula>
    </cfRule>
  </conditionalFormatting>
  <conditionalFormatting sqref="AU433">
    <cfRule type="cellIs" dxfId="0" priority="4490" operator="lessThan">
      <formula>20</formula>
    </cfRule>
    <cfRule type="cellIs" dxfId="1" priority="3645" operator="greaterThan">
      <formula>120</formula>
    </cfRule>
    <cfRule type="containsText" dxfId="2" priority="2800" operator="between" text="库存为">
      <formula>NOT(ISERROR(SEARCH("库存为",AU433)))</formula>
    </cfRule>
  </conditionalFormatting>
  <conditionalFormatting sqref="AU434">
    <cfRule type="cellIs" dxfId="0" priority="4489" operator="lessThan">
      <formula>20</formula>
    </cfRule>
    <cfRule type="cellIs" dxfId="1" priority="3644" operator="greaterThan">
      <formula>120</formula>
    </cfRule>
    <cfRule type="containsText" dxfId="2" priority="2799" operator="between" text="库存为">
      <formula>NOT(ISERROR(SEARCH("库存为",AU434)))</formula>
    </cfRule>
  </conditionalFormatting>
  <conditionalFormatting sqref="AU435">
    <cfRule type="cellIs" dxfId="0" priority="4488" operator="lessThan">
      <formula>20</formula>
    </cfRule>
    <cfRule type="cellIs" dxfId="1" priority="3643" operator="greaterThan">
      <formula>120</formula>
    </cfRule>
    <cfRule type="containsText" dxfId="2" priority="2798" operator="between" text="库存为">
      <formula>NOT(ISERROR(SEARCH("库存为",AU435)))</formula>
    </cfRule>
  </conditionalFormatting>
  <conditionalFormatting sqref="AU436">
    <cfRule type="cellIs" dxfId="0" priority="4487" operator="lessThan">
      <formula>20</formula>
    </cfRule>
    <cfRule type="cellIs" dxfId="1" priority="3642" operator="greaterThan">
      <formula>120</formula>
    </cfRule>
    <cfRule type="containsText" dxfId="2" priority="2797" operator="between" text="库存为">
      <formula>NOT(ISERROR(SEARCH("库存为",AU436)))</formula>
    </cfRule>
  </conditionalFormatting>
  <conditionalFormatting sqref="AU437">
    <cfRule type="cellIs" dxfId="0" priority="4486" operator="lessThan">
      <formula>20</formula>
    </cfRule>
    <cfRule type="cellIs" dxfId="1" priority="3641" operator="greaterThan">
      <formula>120</formula>
    </cfRule>
    <cfRule type="containsText" dxfId="2" priority="2796" operator="between" text="库存为">
      <formula>NOT(ISERROR(SEARCH("库存为",AU437)))</formula>
    </cfRule>
  </conditionalFormatting>
  <conditionalFormatting sqref="AU438">
    <cfRule type="cellIs" dxfId="0" priority="4485" operator="lessThan">
      <formula>20</formula>
    </cfRule>
    <cfRule type="cellIs" dxfId="1" priority="3640" operator="greaterThan">
      <formula>120</formula>
    </cfRule>
    <cfRule type="containsText" dxfId="2" priority="2795" operator="between" text="库存为">
      <formula>NOT(ISERROR(SEARCH("库存为",AU438)))</formula>
    </cfRule>
  </conditionalFormatting>
  <conditionalFormatting sqref="AU439">
    <cfRule type="cellIs" dxfId="0" priority="4484" operator="lessThan">
      <formula>20</formula>
    </cfRule>
    <cfRule type="cellIs" dxfId="1" priority="3639" operator="greaterThan">
      <formula>120</formula>
    </cfRule>
    <cfRule type="containsText" dxfId="2" priority="2794" operator="between" text="库存为">
      <formula>NOT(ISERROR(SEARCH("库存为",AU439)))</formula>
    </cfRule>
  </conditionalFormatting>
  <conditionalFormatting sqref="AU440">
    <cfRule type="cellIs" dxfId="0" priority="4483" operator="lessThan">
      <formula>20</formula>
    </cfRule>
    <cfRule type="cellIs" dxfId="1" priority="3638" operator="greaterThan">
      <formula>120</formula>
    </cfRule>
    <cfRule type="containsText" dxfId="2" priority="2793" operator="between" text="库存为">
      <formula>NOT(ISERROR(SEARCH("库存为",AU440)))</formula>
    </cfRule>
  </conditionalFormatting>
  <conditionalFormatting sqref="AU441">
    <cfRule type="cellIs" dxfId="0" priority="4482" operator="lessThan">
      <formula>20</formula>
    </cfRule>
    <cfRule type="cellIs" dxfId="1" priority="3637" operator="greaterThan">
      <formula>120</formula>
    </cfRule>
    <cfRule type="containsText" dxfId="2" priority="2792" operator="between" text="库存为">
      <formula>NOT(ISERROR(SEARCH("库存为",AU441)))</formula>
    </cfRule>
  </conditionalFormatting>
  <conditionalFormatting sqref="AU442">
    <cfRule type="cellIs" dxfId="0" priority="4481" operator="lessThan">
      <formula>20</formula>
    </cfRule>
    <cfRule type="cellIs" dxfId="1" priority="3636" operator="greaterThan">
      <formula>120</formula>
    </cfRule>
    <cfRule type="containsText" dxfId="2" priority="2791" operator="between" text="库存为">
      <formula>NOT(ISERROR(SEARCH("库存为",AU442)))</formula>
    </cfRule>
  </conditionalFormatting>
  <conditionalFormatting sqref="AU443">
    <cfRule type="cellIs" dxfId="0" priority="4480" operator="lessThan">
      <formula>20</formula>
    </cfRule>
    <cfRule type="cellIs" dxfId="1" priority="3635" operator="greaterThan">
      <formula>120</formula>
    </cfRule>
    <cfRule type="containsText" dxfId="2" priority="2790" operator="between" text="库存为">
      <formula>NOT(ISERROR(SEARCH("库存为",AU443)))</formula>
    </cfRule>
  </conditionalFormatting>
  <conditionalFormatting sqref="AU444">
    <cfRule type="cellIs" dxfId="0" priority="4479" operator="lessThan">
      <formula>20</formula>
    </cfRule>
    <cfRule type="cellIs" dxfId="1" priority="3634" operator="greaterThan">
      <formula>120</formula>
    </cfRule>
    <cfRule type="containsText" dxfId="2" priority="2789" operator="between" text="库存为">
      <formula>NOT(ISERROR(SEARCH("库存为",AU444)))</formula>
    </cfRule>
  </conditionalFormatting>
  <conditionalFormatting sqref="AU445">
    <cfRule type="cellIs" dxfId="0" priority="4478" operator="lessThan">
      <formula>20</formula>
    </cfRule>
    <cfRule type="cellIs" dxfId="1" priority="3633" operator="greaterThan">
      <formula>120</formula>
    </cfRule>
    <cfRule type="containsText" dxfId="2" priority="2788" operator="between" text="库存为">
      <formula>NOT(ISERROR(SEARCH("库存为",AU445)))</formula>
    </cfRule>
  </conditionalFormatting>
  <conditionalFormatting sqref="AU446">
    <cfRule type="cellIs" dxfId="0" priority="4477" operator="lessThan">
      <formula>20</formula>
    </cfRule>
    <cfRule type="cellIs" dxfId="1" priority="3632" operator="greaterThan">
      <formula>120</formula>
    </cfRule>
    <cfRule type="containsText" dxfId="2" priority="2787" operator="between" text="库存为">
      <formula>NOT(ISERROR(SEARCH("库存为",AU446)))</formula>
    </cfRule>
  </conditionalFormatting>
  <conditionalFormatting sqref="AU447">
    <cfRule type="cellIs" dxfId="0" priority="4476" operator="lessThan">
      <formula>20</formula>
    </cfRule>
    <cfRule type="cellIs" dxfId="1" priority="3631" operator="greaterThan">
      <formula>120</formula>
    </cfRule>
    <cfRule type="containsText" dxfId="2" priority="2786" operator="between" text="库存为">
      <formula>NOT(ISERROR(SEARCH("库存为",AU447)))</formula>
    </cfRule>
  </conditionalFormatting>
  <conditionalFormatting sqref="AU448">
    <cfRule type="cellIs" dxfId="0" priority="4475" operator="lessThan">
      <formula>20</formula>
    </cfRule>
    <cfRule type="cellIs" dxfId="1" priority="3630" operator="greaterThan">
      <formula>120</formula>
    </cfRule>
    <cfRule type="containsText" dxfId="2" priority="2785" operator="between" text="库存为">
      <formula>NOT(ISERROR(SEARCH("库存为",AU448)))</formula>
    </cfRule>
  </conditionalFormatting>
  <conditionalFormatting sqref="AU449">
    <cfRule type="cellIs" dxfId="0" priority="4474" operator="lessThan">
      <formula>20</formula>
    </cfRule>
    <cfRule type="cellIs" dxfId="1" priority="3629" operator="greaterThan">
      <formula>120</formula>
    </cfRule>
    <cfRule type="containsText" dxfId="2" priority="2784" operator="between" text="库存为">
      <formula>NOT(ISERROR(SEARCH("库存为",AU449)))</formula>
    </cfRule>
  </conditionalFormatting>
  <conditionalFormatting sqref="AU450">
    <cfRule type="cellIs" dxfId="0" priority="4473" operator="lessThan">
      <formula>20</formula>
    </cfRule>
    <cfRule type="cellIs" dxfId="1" priority="3628" operator="greaterThan">
      <formula>120</formula>
    </cfRule>
    <cfRule type="containsText" dxfId="2" priority="2783" operator="between" text="库存为">
      <formula>NOT(ISERROR(SEARCH("库存为",AU450)))</formula>
    </cfRule>
  </conditionalFormatting>
  <conditionalFormatting sqref="AU451">
    <cfRule type="cellIs" dxfId="0" priority="4472" operator="lessThan">
      <formula>20</formula>
    </cfRule>
    <cfRule type="cellIs" dxfId="1" priority="3627" operator="greaterThan">
      <formula>120</formula>
    </cfRule>
    <cfRule type="containsText" dxfId="2" priority="2782" operator="between" text="库存为">
      <formula>NOT(ISERROR(SEARCH("库存为",AU451)))</formula>
    </cfRule>
  </conditionalFormatting>
  <conditionalFormatting sqref="AU452">
    <cfRule type="cellIs" dxfId="0" priority="4471" operator="lessThan">
      <formula>20</formula>
    </cfRule>
    <cfRule type="cellIs" dxfId="1" priority="3626" operator="greaterThan">
      <formula>120</formula>
    </cfRule>
    <cfRule type="containsText" dxfId="2" priority="2781" operator="between" text="库存为">
      <formula>NOT(ISERROR(SEARCH("库存为",AU452)))</formula>
    </cfRule>
  </conditionalFormatting>
  <conditionalFormatting sqref="AU453">
    <cfRule type="cellIs" dxfId="0" priority="4470" operator="lessThan">
      <formula>20</formula>
    </cfRule>
    <cfRule type="cellIs" dxfId="1" priority="3625" operator="greaterThan">
      <formula>120</formula>
    </cfRule>
    <cfRule type="containsText" dxfId="2" priority="2780" operator="between" text="库存为">
      <formula>NOT(ISERROR(SEARCH("库存为",AU453)))</formula>
    </cfRule>
  </conditionalFormatting>
  <conditionalFormatting sqref="AU454">
    <cfRule type="cellIs" dxfId="0" priority="4469" operator="lessThan">
      <formula>20</formula>
    </cfRule>
    <cfRule type="cellIs" dxfId="1" priority="3624" operator="greaterThan">
      <formula>120</formula>
    </cfRule>
    <cfRule type="containsText" dxfId="2" priority="2779" operator="between" text="库存为">
      <formula>NOT(ISERROR(SEARCH("库存为",AU454)))</formula>
    </cfRule>
  </conditionalFormatting>
  <conditionalFormatting sqref="AU455">
    <cfRule type="cellIs" dxfId="0" priority="4468" operator="lessThan">
      <formula>20</formula>
    </cfRule>
    <cfRule type="cellIs" dxfId="1" priority="3623" operator="greaterThan">
      <formula>120</formula>
    </cfRule>
    <cfRule type="containsText" dxfId="2" priority="2778" operator="between" text="库存为">
      <formula>NOT(ISERROR(SEARCH("库存为",AU455)))</formula>
    </cfRule>
  </conditionalFormatting>
  <conditionalFormatting sqref="AU456">
    <cfRule type="cellIs" dxfId="0" priority="4467" operator="lessThan">
      <formula>20</formula>
    </cfRule>
    <cfRule type="cellIs" dxfId="1" priority="3622" operator="greaterThan">
      <formula>120</formula>
    </cfRule>
    <cfRule type="containsText" dxfId="2" priority="2777" operator="between" text="库存为">
      <formula>NOT(ISERROR(SEARCH("库存为",AU456)))</formula>
    </cfRule>
  </conditionalFormatting>
  <conditionalFormatting sqref="AU457">
    <cfRule type="cellIs" dxfId="0" priority="4466" operator="lessThan">
      <formula>20</formula>
    </cfRule>
    <cfRule type="cellIs" dxfId="1" priority="3621" operator="greaterThan">
      <formula>120</formula>
    </cfRule>
    <cfRule type="containsText" dxfId="2" priority="2776" operator="between" text="库存为">
      <formula>NOT(ISERROR(SEARCH("库存为",AU457)))</formula>
    </cfRule>
  </conditionalFormatting>
  <conditionalFormatting sqref="AU458">
    <cfRule type="cellIs" dxfId="0" priority="4465" operator="lessThan">
      <formula>20</formula>
    </cfRule>
    <cfRule type="cellIs" dxfId="1" priority="3620" operator="greaterThan">
      <formula>120</formula>
    </cfRule>
    <cfRule type="containsText" dxfId="2" priority="2775" operator="between" text="库存为">
      <formula>NOT(ISERROR(SEARCH("库存为",AU458)))</formula>
    </cfRule>
  </conditionalFormatting>
  <conditionalFormatting sqref="AU459">
    <cfRule type="cellIs" dxfId="0" priority="4464" operator="lessThan">
      <formula>20</formula>
    </cfRule>
    <cfRule type="cellIs" dxfId="1" priority="3619" operator="greaterThan">
      <formula>120</formula>
    </cfRule>
    <cfRule type="containsText" dxfId="2" priority="2774" operator="between" text="库存为">
      <formula>NOT(ISERROR(SEARCH("库存为",AU459)))</formula>
    </cfRule>
  </conditionalFormatting>
  <conditionalFormatting sqref="AU460">
    <cfRule type="cellIs" dxfId="0" priority="4463" operator="lessThan">
      <formula>20</formula>
    </cfRule>
    <cfRule type="cellIs" dxfId="1" priority="3618" operator="greaterThan">
      <formula>120</formula>
    </cfRule>
    <cfRule type="containsText" dxfId="2" priority="2773" operator="between" text="库存为">
      <formula>NOT(ISERROR(SEARCH("库存为",AU460)))</formula>
    </cfRule>
  </conditionalFormatting>
  <conditionalFormatting sqref="AU461">
    <cfRule type="cellIs" dxfId="0" priority="4462" operator="lessThan">
      <formula>20</formula>
    </cfRule>
    <cfRule type="cellIs" dxfId="1" priority="3617" operator="greaterThan">
      <formula>120</formula>
    </cfRule>
    <cfRule type="containsText" dxfId="2" priority="2772" operator="between" text="库存为">
      <formula>NOT(ISERROR(SEARCH("库存为",AU461)))</formula>
    </cfRule>
  </conditionalFormatting>
  <conditionalFormatting sqref="AU462">
    <cfRule type="cellIs" dxfId="0" priority="4461" operator="lessThan">
      <formula>20</formula>
    </cfRule>
    <cfRule type="cellIs" dxfId="1" priority="3616" operator="greaterThan">
      <formula>120</formula>
    </cfRule>
    <cfRule type="containsText" dxfId="2" priority="2771" operator="between" text="库存为">
      <formula>NOT(ISERROR(SEARCH("库存为",AU462)))</formula>
    </cfRule>
  </conditionalFormatting>
  <conditionalFormatting sqref="AU463">
    <cfRule type="cellIs" dxfId="0" priority="4460" operator="lessThan">
      <formula>20</formula>
    </cfRule>
    <cfRule type="cellIs" dxfId="1" priority="3615" operator="greaterThan">
      <formula>120</formula>
    </cfRule>
    <cfRule type="containsText" dxfId="2" priority="2770" operator="between" text="库存为">
      <formula>NOT(ISERROR(SEARCH("库存为",AU463)))</formula>
    </cfRule>
  </conditionalFormatting>
  <conditionalFormatting sqref="AU464">
    <cfRule type="cellIs" dxfId="0" priority="4459" operator="lessThan">
      <formula>20</formula>
    </cfRule>
    <cfRule type="cellIs" dxfId="1" priority="3614" operator="greaterThan">
      <formula>120</formula>
    </cfRule>
    <cfRule type="containsText" dxfId="2" priority="2769" operator="between" text="库存为">
      <formula>NOT(ISERROR(SEARCH("库存为",AU464)))</formula>
    </cfRule>
  </conditionalFormatting>
  <conditionalFormatting sqref="AU465">
    <cfRule type="cellIs" dxfId="0" priority="4458" operator="lessThan">
      <formula>20</formula>
    </cfRule>
    <cfRule type="cellIs" dxfId="1" priority="3613" operator="greaterThan">
      <formula>120</formula>
    </cfRule>
    <cfRule type="containsText" dxfId="2" priority="2768" operator="between" text="库存为">
      <formula>NOT(ISERROR(SEARCH("库存为",AU465)))</formula>
    </cfRule>
  </conditionalFormatting>
  <conditionalFormatting sqref="AU466">
    <cfRule type="cellIs" dxfId="0" priority="4457" operator="lessThan">
      <formula>20</formula>
    </cfRule>
    <cfRule type="cellIs" dxfId="1" priority="3612" operator="greaterThan">
      <formula>120</formula>
    </cfRule>
    <cfRule type="containsText" dxfId="2" priority="2767" operator="between" text="库存为">
      <formula>NOT(ISERROR(SEARCH("库存为",AU466)))</formula>
    </cfRule>
  </conditionalFormatting>
  <conditionalFormatting sqref="AU467">
    <cfRule type="cellIs" dxfId="0" priority="4456" operator="lessThan">
      <formula>20</formula>
    </cfRule>
    <cfRule type="cellIs" dxfId="1" priority="3611" operator="greaterThan">
      <formula>120</formula>
    </cfRule>
    <cfRule type="containsText" dxfId="2" priority="2766" operator="between" text="库存为">
      <formula>NOT(ISERROR(SEARCH("库存为",AU467)))</formula>
    </cfRule>
  </conditionalFormatting>
  <conditionalFormatting sqref="AU468">
    <cfRule type="cellIs" dxfId="0" priority="4455" operator="lessThan">
      <formula>20</formula>
    </cfRule>
    <cfRule type="cellIs" dxfId="1" priority="3610" operator="greaterThan">
      <formula>120</formula>
    </cfRule>
    <cfRule type="containsText" dxfId="2" priority="2765" operator="between" text="库存为">
      <formula>NOT(ISERROR(SEARCH("库存为",AU468)))</formula>
    </cfRule>
  </conditionalFormatting>
  <conditionalFormatting sqref="AU469">
    <cfRule type="cellIs" dxfId="0" priority="4454" operator="lessThan">
      <formula>20</formula>
    </cfRule>
    <cfRule type="cellIs" dxfId="1" priority="3609" operator="greaterThan">
      <formula>120</formula>
    </cfRule>
    <cfRule type="containsText" dxfId="2" priority="2764" operator="between" text="库存为">
      <formula>NOT(ISERROR(SEARCH("库存为",AU469)))</formula>
    </cfRule>
  </conditionalFormatting>
  <conditionalFormatting sqref="AU470">
    <cfRule type="cellIs" dxfId="0" priority="4453" operator="lessThan">
      <formula>20</formula>
    </cfRule>
    <cfRule type="cellIs" dxfId="1" priority="3608" operator="greaterThan">
      <formula>120</formula>
    </cfRule>
    <cfRule type="containsText" dxfId="2" priority="2763" operator="between" text="库存为">
      <formula>NOT(ISERROR(SEARCH("库存为",AU470)))</formula>
    </cfRule>
  </conditionalFormatting>
  <conditionalFormatting sqref="AU471">
    <cfRule type="cellIs" dxfId="0" priority="4452" operator="lessThan">
      <formula>20</formula>
    </cfRule>
    <cfRule type="cellIs" dxfId="1" priority="3607" operator="greaterThan">
      <formula>120</formula>
    </cfRule>
    <cfRule type="containsText" dxfId="2" priority="2762" operator="between" text="库存为">
      <formula>NOT(ISERROR(SEARCH("库存为",AU471)))</formula>
    </cfRule>
  </conditionalFormatting>
  <conditionalFormatting sqref="AU472">
    <cfRule type="cellIs" dxfId="0" priority="4451" operator="lessThan">
      <formula>20</formula>
    </cfRule>
    <cfRule type="cellIs" dxfId="1" priority="3606" operator="greaterThan">
      <formula>120</formula>
    </cfRule>
    <cfRule type="containsText" dxfId="2" priority="2761" operator="between" text="库存为">
      <formula>NOT(ISERROR(SEARCH("库存为",AU472)))</formula>
    </cfRule>
  </conditionalFormatting>
  <conditionalFormatting sqref="AU473">
    <cfRule type="cellIs" dxfId="0" priority="4450" operator="lessThan">
      <formula>20</formula>
    </cfRule>
    <cfRule type="cellIs" dxfId="1" priority="3605" operator="greaterThan">
      <formula>120</formula>
    </cfRule>
    <cfRule type="containsText" dxfId="2" priority="2760" operator="between" text="库存为">
      <formula>NOT(ISERROR(SEARCH("库存为",AU473)))</formula>
    </cfRule>
  </conditionalFormatting>
  <conditionalFormatting sqref="AU474">
    <cfRule type="cellIs" dxfId="0" priority="4449" operator="lessThan">
      <formula>20</formula>
    </cfRule>
    <cfRule type="cellIs" dxfId="1" priority="3604" operator="greaterThan">
      <formula>120</formula>
    </cfRule>
    <cfRule type="containsText" dxfId="2" priority="2759" operator="between" text="库存为">
      <formula>NOT(ISERROR(SEARCH("库存为",AU474)))</formula>
    </cfRule>
  </conditionalFormatting>
  <conditionalFormatting sqref="AU475">
    <cfRule type="cellIs" dxfId="0" priority="4448" operator="lessThan">
      <formula>20</formula>
    </cfRule>
    <cfRule type="cellIs" dxfId="1" priority="3603" operator="greaterThan">
      <formula>120</formula>
    </cfRule>
    <cfRule type="containsText" dxfId="2" priority="2758" operator="between" text="库存为">
      <formula>NOT(ISERROR(SEARCH("库存为",AU475)))</formula>
    </cfRule>
  </conditionalFormatting>
  <conditionalFormatting sqref="AU476">
    <cfRule type="cellIs" dxfId="0" priority="4447" operator="lessThan">
      <formula>20</formula>
    </cfRule>
    <cfRule type="cellIs" dxfId="1" priority="3602" operator="greaterThan">
      <formula>120</formula>
    </cfRule>
    <cfRule type="containsText" dxfId="2" priority="2757" operator="between" text="库存为">
      <formula>NOT(ISERROR(SEARCH("库存为",AU476)))</formula>
    </cfRule>
  </conditionalFormatting>
  <conditionalFormatting sqref="AU477">
    <cfRule type="cellIs" dxfId="0" priority="4446" operator="lessThan">
      <formula>20</formula>
    </cfRule>
    <cfRule type="cellIs" dxfId="1" priority="3601" operator="greaterThan">
      <formula>120</formula>
    </cfRule>
    <cfRule type="containsText" dxfId="2" priority="2756" operator="between" text="库存为">
      <formula>NOT(ISERROR(SEARCH("库存为",AU477)))</formula>
    </cfRule>
  </conditionalFormatting>
  <conditionalFormatting sqref="AU478">
    <cfRule type="cellIs" dxfId="0" priority="4445" operator="lessThan">
      <formula>20</formula>
    </cfRule>
    <cfRule type="cellIs" dxfId="1" priority="3600" operator="greaterThan">
      <formula>120</formula>
    </cfRule>
    <cfRule type="containsText" dxfId="2" priority="2755" operator="between" text="库存为">
      <formula>NOT(ISERROR(SEARCH("库存为",AU478)))</formula>
    </cfRule>
  </conditionalFormatting>
  <conditionalFormatting sqref="AU479">
    <cfRule type="cellIs" dxfId="0" priority="4444" operator="lessThan">
      <formula>20</formula>
    </cfRule>
    <cfRule type="cellIs" dxfId="1" priority="3599" operator="greaterThan">
      <formula>120</formula>
    </cfRule>
    <cfRule type="containsText" dxfId="2" priority="2754" operator="between" text="库存为">
      <formula>NOT(ISERROR(SEARCH("库存为",AU479)))</formula>
    </cfRule>
  </conditionalFormatting>
  <conditionalFormatting sqref="AU480">
    <cfRule type="cellIs" dxfId="0" priority="4443" operator="lessThan">
      <formula>20</formula>
    </cfRule>
    <cfRule type="cellIs" dxfId="1" priority="3598" operator="greaterThan">
      <formula>120</formula>
    </cfRule>
    <cfRule type="containsText" dxfId="2" priority="2753" operator="between" text="库存为">
      <formula>NOT(ISERROR(SEARCH("库存为",AU480)))</formula>
    </cfRule>
  </conditionalFormatting>
  <conditionalFormatting sqref="AU481">
    <cfRule type="cellIs" dxfId="0" priority="4442" operator="lessThan">
      <formula>20</formula>
    </cfRule>
    <cfRule type="cellIs" dxfId="1" priority="3597" operator="greaterThan">
      <formula>120</formula>
    </cfRule>
    <cfRule type="containsText" dxfId="2" priority="2752" operator="between" text="库存为">
      <formula>NOT(ISERROR(SEARCH("库存为",AU481)))</formula>
    </cfRule>
  </conditionalFormatting>
  <conditionalFormatting sqref="AU482">
    <cfRule type="cellIs" dxfId="0" priority="4441" operator="lessThan">
      <formula>20</formula>
    </cfRule>
    <cfRule type="cellIs" dxfId="1" priority="3596" operator="greaterThan">
      <formula>120</formula>
    </cfRule>
    <cfRule type="containsText" dxfId="2" priority="2751" operator="between" text="库存为">
      <formula>NOT(ISERROR(SEARCH("库存为",AU482)))</formula>
    </cfRule>
  </conditionalFormatting>
  <conditionalFormatting sqref="AU483">
    <cfRule type="cellIs" dxfId="0" priority="4440" operator="lessThan">
      <formula>20</formula>
    </cfRule>
    <cfRule type="cellIs" dxfId="1" priority="3595" operator="greaterThan">
      <formula>120</formula>
    </cfRule>
    <cfRule type="containsText" dxfId="2" priority="2750" operator="between" text="库存为">
      <formula>NOT(ISERROR(SEARCH("库存为",AU483)))</formula>
    </cfRule>
  </conditionalFormatting>
  <conditionalFormatting sqref="AU484">
    <cfRule type="cellIs" dxfId="0" priority="4439" operator="lessThan">
      <formula>20</formula>
    </cfRule>
    <cfRule type="cellIs" dxfId="1" priority="3594" operator="greaterThan">
      <formula>120</formula>
    </cfRule>
    <cfRule type="containsText" dxfId="2" priority="2749" operator="between" text="库存为">
      <formula>NOT(ISERROR(SEARCH("库存为",AU484)))</formula>
    </cfRule>
  </conditionalFormatting>
  <conditionalFormatting sqref="AU485">
    <cfRule type="cellIs" dxfId="0" priority="4438" operator="lessThan">
      <formula>20</formula>
    </cfRule>
    <cfRule type="cellIs" dxfId="1" priority="3593" operator="greaterThan">
      <formula>120</formula>
    </cfRule>
    <cfRule type="containsText" dxfId="2" priority="2748" operator="between" text="库存为">
      <formula>NOT(ISERROR(SEARCH("库存为",AU485)))</formula>
    </cfRule>
  </conditionalFormatting>
  <conditionalFormatting sqref="AU486">
    <cfRule type="cellIs" dxfId="0" priority="4437" operator="lessThan">
      <formula>20</formula>
    </cfRule>
    <cfRule type="cellIs" dxfId="1" priority="3592" operator="greaterThan">
      <formula>120</formula>
    </cfRule>
    <cfRule type="containsText" dxfId="2" priority="2747" operator="between" text="库存为">
      <formula>NOT(ISERROR(SEARCH("库存为",AU486)))</formula>
    </cfRule>
  </conditionalFormatting>
  <conditionalFormatting sqref="AU487">
    <cfRule type="cellIs" dxfId="0" priority="4436" operator="lessThan">
      <formula>20</formula>
    </cfRule>
    <cfRule type="cellIs" dxfId="1" priority="3591" operator="greaterThan">
      <formula>120</formula>
    </cfRule>
    <cfRule type="containsText" dxfId="2" priority="2746" operator="between" text="库存为">
      <formula>NOT(ISERROR(SEARCH("库存为",AU487)))</formula>
    </cfRule>
  </conditionalFormatting>
  <conditionalFormatting sqref="AU488">
    <cfRule type="cellIs" dxfId="0" priority="4435" operator="lessThan">
      <formula>20</formula>
    </cfRule>
    <cfRule type="cellIs" dxfId="1" priority="3590" operator="greaterThan">
      <formula>120</formula>
    </cfRule>
    <cfRule type="containsText" dxfId="2" priority="2745" operator="between" text="库存为">
      <formula>NOT(ISERROR(SEARCH("库存为",AU488)))</formula>
    </cfRule>
  </conditionalFormatting>
  <conditionalFormatting sqref="AU489">
    <cfRule type="cellIs" dxfId="0" priority="4434" operator="lessThan">
      <formula>20</formula>
    </cfRule>
    <cfRule type="cellIs" dxfId="1" priority="3589" operator="greaterThan">
      <formula>120</formula>
    </cfRule>
    <cfRule type="containsText" dxfId="2" priority="2744" operator="between" text="库存为">
      <formula>NOT(ISERROR(SEARCH("库存为",AU489)))</formula>
    </cfRule>
  </conditionalFormatting>
  <conditionalFormatting sqref="AU490">
    <cfRule type="cellIs" dxfId="0" priority="4433" operator="lessThan">
      <formula>20</formula>
    </cfRule>
    <cfRule type="cellIs" dxfId="1" priority="3588" operator="greaterThan">
      <formula>120</formula>
    </cfRule>
    <cfRule type="containsText" dxfId="2" priority="2743" operator="between" text="库存为">
      <formula>NOT(ISERROR(SEARCH("库存为",AU490)))</formula>
    </cfRule>
  </conditionalFormatting>
  <conditionalFormatting sqref="AU491">
    <cfRule type="cellIs" dxfId="0" priority="4432" operator="lessThan">
      <formula>20</formula>
    </cfRule>
    <cfRule type="cellIs" dxfId="1" priority="3587" operator="greaterThan">
      <formula>120</formula>
    </cfRule>
    <cfRule type="containsText" dxfId="2" priority="2742" operator="between" text="库存为">
      <formula>NOT(ISERROR(SEARCH("库存为",AU491)))</formula>
    </cfRule>
  </conditionalFormatting>
  <conditionalFormatting sqref="AU492">
    <cfRule type="cellIs" dxfId="0" priority="4431" operator="lessThan">
      <formula>20</formula>
    </cfRule>
    <cfRule type="cellIs" dxfId="1" priority="3586" operator="greaterThan">
      <formula>120</formula>
    </cfRule>
    <cfRule type="containsText" dxfId="2" priority="2741" operator="between" text="库存为">
      <formula>NOT(ISERROR(SEARCH("库存为",AU492)))</formula>
    </cfRule>
  </conditionalFormatting>
  <conditionalFormatting sqref="AU493">
    <cfRule type="cellIs" dxfId="0" priority="4430" operator="lessThan">
      <formula>20</formula>
    </cfRule>
    <cfRule type="cellIs" dxfId="1" priority="3585" operator="greaterThan">
      <formula>120</formula>
    </cfRule>
    <cfRule type="containsText" dxfId="2" priority="2740" operator="between" text="库存为">
      <formula>NOT(ISERROR(SEARCH("库存为",AU493)))</formula>
    </cfRule>
  </conditionalFormatting>
  <conditionalFormatting sqref="AU494">
    <cfRule type="cellIs" dxfId="0" priority="4429" operator="lessThan">
      <formula>20</formula>
    </cfRule>
    <cfRule type="cellIs" dxfId="1" priority="3584" operator="greaterThan">
      <formula>120</formula>
    </cfRule>
    <cfRule type="containsText" dxfId="2" priority="2739" operator="between" text="库存为">
      <formula>NOT(ISERROR(SEARCH("库存为",AU494)))</formula>
    </cfRule>
  </conditionalFormatting>
  <conditionalFormatting sqref="AU495">
    <cfRule type="cellIs" dxfId="0" priority="4428" operator="lessThan">
      <formula>20</formula>
    </cfRule>
    <cfRule type="cellIs" dxfId="1" priority="3583" operator="greaterThan">
      <formula>120</formula>
    </cfRule>
    <cfRule type="containsText" dxfId="2" priority="2738" operator="between" text="库存为">
      <formula>NOT(ISERROR(SEARCH("库存为",AU495)))</formula>
    </cfRule>
  </conditionalFormatting>
  <conditionalFormatting sqref="AU496">
    <cfRule type="cellIs" dxfId="0" priority="4427" operator="lessThan">
      <formula>20</formula>
    </cfRule>
    <cfRule type="cellIs" dxfId="1" priority="3582" operator="greaterThan">
      <formula>120</formula>
    </cfRule>
    <cfRule type="containsText" dxfId="2" priority="2737" operator="between" text="库存为">
      <formula>NOT(ISERROR(SEARCH("库存为",AU496)))</formula>
    </cfRule>
  </conditionalFormatting>
  <conditionalFormatting sqref="AU497">
    <cfRule type="cellIs" dxfId="0" priority="4426" operator="lessThan">
      <formula>20</formula>
    </cfRule>
    <cfRule type="cellIs" dxfId="1" priority="3581" operator="greaterThan">
      <formula>120</formula>
    </cfRule>
    <cfRule type="containsText" dxfId="2" priority="2736" operator="between" text="库存为">
      <formula>NOT(ISERROR(SEARCH("库存为",AU497)))</formula>
    </cfRule>
  </conditionalFormatting>
  <conditionalFormatting sqref="AU498">
    <cfRule type="cellIs" dxfId="0" priority="4425" operator="lessThan">
      <formula>20</formula>
    </cfRule>
    <cfRule type="cellIs" dxfId="1" priority="3580" operator="greaterThan">
      <formula>120</formula>
    </cfRule>
    <cfRule type="containsText" dxfId="2" priority="2735" operator="between" text="库存为">
      <formula>NOT(ISERROR(SEARCH("库存为",AU498)))</formula>
    </cfRule>
  </conditionalFormatting>
  <conditionalFormatting sqref="AU499">
    <cfRule type="cellIs" dxfId="0" priority="4424" operator="lessThan">
      <formula>20</formula>
    </cfRule>
    <cfRule type="cellIs" dxfId="1" priority="3579" operator="greaterThan">
      <formula>120</formula>
    </cfRule>
    <cfRule type="containsText" dxfId="2" priority="2734" operator="between" text="库存为">
      <formula>NOT(ISERROR(SEARCH("库存为",AU499)))</formula>
    </cfRule>
  </conditionalFormatting>
  <conditionalFormatting sqref="AU500">
    <cfRule type="cellIs" dxfId="0" priority="4423" operator="lessThan">
      <formula>20</formula>
    </cfRule>
    <cfRule type="cellIs" dxfId="1" priority="3578" operator="greaterThan">
      <formula>120</formula>
    </cfRule>
    <cfRule type="containsText" dxfId="2" priority="2733" operator="between" text="库存为">
      <formula>NOT(ISERROR(SEARCH("库存为",AU500)))</formula>
    </cfRule>
  </conditionalFormatting>
  <conditionalFormatting sqref="AU501">
    <cfRule type="cellIs" dxfId="0" priority="4422" operator="lessThan">
      <formula>20</formula>
    </cfRule>
    <cfRule type="cellIs" dxfId="1" priority="3577" operator="greaterThan">
      <formula>120</formula>
    </cfRule>
    <cfRule type="containsText" dxfId="2" priority="2732" operator="between" text="库存为">
      <formula>NOT(ISERROR(SEARCH("库存为",AU501)))</formula>
    </cfRule>
  </conditionalFormatting>
  <conditionalFormatting sqref="AU502">
    <cfRule type="cellIs" dxfId="0" priority="4421" operator="lessThan">
      <formula>20</formula>
    </cfRule>
    <cfRule type="cellIs" dxfId="1" priority="3576" operator="greaterThan">
      <formula>120</formula>
    </cfRule>
    <cfRule type="containsText" dxfId="2" priority="2731" operator="between" text="库存为">
      <formula>NOT(ISERROR(SEARCH("库存为",AU502)))</formula>
    </cfRule>
  </conditionalFormatting>
  <conditionalFormatting sqref="AU503">
    <cfRule type="cellIs" dxfId="0" priority="4420" operator="lessThan">
      <formula>20</formula>
    </cfRule>
    <cfRule type="cellIs" dxfId="1" priority="3575" operator="greaterThan">
      <formula>120</formula>
    </cfRule>
    <cfRule type="containsText" dxfId="2" priority="2730" operator="between" text="库存为">
      <formula>NOT(ISERROR(SEARCH("库存为",AU503)))</formula>
    </cfRule>
  </conditionalFormatting>
  <conditionalFormatting sqref="AU504">
    <cfRule type="cellIs" dxfId="0" priority="4419" operator="lessThan">
      <formula>20</formula>
    </cfRule>
    <cfRule type="cellIs" dxfId="1" priority="3574" operator="greaterThan">
      <formula>120</formula>
    </cfRule>
    <cfRule type="containsText" dxfId="2" priority="2729" operator="between" text="库存为">
      <formula>NOT(ISERROR(SEARCH("库存为",AU504)))</formula>
    </cfRule>
  </conditionalFormatting>
  <conditionalFormatting sqref="AU505">
    <cfRule type="cellIs" dxfId="0" priority="4418" operator="lessThan">
      <formula>20</formula>
    </cfRule>
    <cfRule type="cellIs" dxfId="1" priority="3573" operator="greaterThan">
      <formula>120</formula>
    </cfRule>
    <cfRule type="containsText" dxfId="2" priority="2728" operator="between" text="库存为">
      <formula>NOT(ISERROR(SEARCH("库存为",AU505)))</formula>
    </cfRule>
  </conditionalFormatting>
  <conditionalFormatting sqref="AU506">
    <cfRule type="cellIs" dxfId="0" priority="4417" operator="lessThan">
      <formula>20</formula>
    </cfRule>
    <cfRule type="cellIs" dxfId="1" priority="3572" operator="greaterThan">
      <formula>120</formula>
    </cfRule>
    <cfRule type="containsText" dxfId="2" priority="2727" operator="between" text="库存为">
      <formula>NOT(ISERROR(SEARCH("库存为",AU506)))</formula>
    </cfRule>
  </conditionalFormatting>
  <conditionalFormatting sqref="AU507">
    <cfRule type="cellIs" dxfId="0" priority="4416" operator="lessThan">
      <formula>20</formula>
    </cfRule>
    <cfRule type="cellIs" dxfId="1" priority="3571" operator="greaterThan">
      <formula>120</formula>
    </cfRule>
    <cfRule type="containsText" dxfId="2" priority="2726" operator="between" text="库存为">
      <formula>NOT(ISERROR(SEARCH("库存为",AU507)))</formula>
    </cfRule>
  </conditionalFormatting>
  <conditionalFormatting sqref="AU508">
    <cfRule type="cellIs" dxfId="0" priority="4415" operator="lessThan">
      <formula>20</formula>
    </cfRule>
    <cfRule type="cellIs" dxfId="1" priority="3570" operator="greaterThan">
      <formula>120</formula>
    </cfRule>
    <cfRule type="containsText" dxfId="2" priority="2725" operator="between" text="库存为">
      <formula>NOT(ISERROR(SEARCH("库存为",AU508)))</formula>
    </cfRule>
  </conditionalFormatting>
  <conditionalFormatting sqref="AU509">
    <cfRule type="cellIs" dxfId="0" priority="4414" operator="lessThan">
      <formula>20</formula>
    </cfRule>
    <cfRule type="cellIs" dxfId="1" priority="3569" operator="greaterThan">
      <formula>120</formula>
    </cfRule>
    <cfRule type="containsText" dxfId="2" priority="2724" operator="between" text="库存为">
      <formula>NOT(ISERROR(SEARCH("库存为",AU509)))</formula>
    </cfRule>
  </conditionalFormatting>
  <conditionalFormatting sqref="AU510">
    <cfRule type="cellIs" dxfId="0" priority="4413" operator="lessThan">
      <formula>20</formula>
    </cfRule>
    <cfRule type="cellIs" dxfId="1" priority="3568" operator="greaterThan">
      <formula>120</formula>
    </cfRule>
    <cfRule type="containsText" dxfId="2" priority="2723" operator="between" text="库存为">
      <formula>NOT(ISERROR(SEARCH("库存为",AU510)))</formula>
    </cfRule>
  </conditionalFormatting>
  <conditionalFormatting sqref="AU511">
    <cfRule type="cellIs" dxfId="0" priority="4412" operator="lessThan">
      <formula>20</formula>
    </cfRule>
    <cfRule type="cellIs" dxfId="1" priority="3567" operator="greaterThan">
      <formula>120</formula>
    </cfRule>
    <cfRule type="containsText" dxfId="2" priority="2722" operator="between" text="库存为">
      <formula>NOT(ISERROR(SEARCH("库存为",AU511)))</formula>
    </cfRule>
  </conditionalFormatting>
  <conditionalFormatting sqref="AU512">
    <cfRule type="cellIs" dxfId="0" priority="4411" operator="lessThan">
      <formula>20</formula>
    </cfRule>
    <cfRule type="cellIs" dxfId="1" priority="3566" operator="greaterThan">
      <formula>120</formula>
    </cfRule>
    <cfRule type="containsText" dxfId="2" priority="2721" operator="between" text="库存为">
      <formula>NOT(ISERROR(SEARCH("库存为",AU512)))</formula>
    </cfRule>
  </conditionalFormatting>
  <conditionalFormatting sqref="AU513">
    <cfRule type="cellIs" dxfId="0" priority="4410" operator="lessThan">
      <formula>20</formula>
    </cfRule>
    <cfRule type="cellIs" dxfId="1" priority="3565" operator="greaterThan">
      <formula>120</formula>
    </cfRule>
    <cfRule type="containsText" dxfId="2" priority="2720" operator="between" text="库存为">
      <formula>NOT(ISERROR(SEARCH("库存为",AU513)))</formula>
    </cfRule>
  </conditionalFormatting>
  <conditionalFormatting sqref="AU514">
    <cfRule type="cellIs" dxfId="0" priority="4409" operator="lessThan">
      <formula>20</formula>
    </cfRule>
    <cfRule type="cellIs" dxfId="1" priority="3564" operator="greaterThan">
      <formula>120</formula>
    </cfRule>
    <cfRule type="containsText" dxfId="2" priority="2719" operator="between" text="库存为">
      <formula>NOT(ISERROR(SEARCH("库存为",AU514)))</formula>
    </cfRule>
  </conditionalFormatting>
  <conditionalFormatting sqref="AU515">
    <cfRule type="cellIs" dxfId="0" priority="4408" operator="lessThan">
      <formula>20</formula>
    </cfRule>
    <cfRule type="cellIs" dxfId="1" priority="3563" operator="greaterThan">
      <formula>120</formula>
    </cfRule>
    <cfRule type="containsText" dxfId="2" priority="2718" operator="between" text="库存为">
      <formula>NOT(ISERROR(SEARCH("库存为",AU515)))</formula>
    </cfRule>
  </conditionalFormatting>
  <conditionalFormatting sqref="AU516">
    <cfRule type="cellIs" dxfId="0" priority="4407" operator="lessThan">
      <formula>20</formula>
    </cfRule>
    <cfRule type="cellIs" dxfId="1" priority="3562" operator="greaterThan">
      <formula>120</formula>
    </cfRule>
    <cfRule type="containsText" dxfId="2" priority="2717" operator="between" text="库存为">
      <formula>NOT(ISERROR(SEARCH("库存为",AU516)))</formula>
    </cfRule>
  </conditionalFormatting>
  <conditionalFormatting sqref="AU517">
    <cfRule type="cellIs" dxfId="0" priority="4406" operator="lessThan">
      <formula>20</formula>
    </cfRule>
    <cfRule type="cellIs" dxfId="1" priority="3561" operator="greaterThan">
      <formula>120</formula>
    </cfRule>
    <cfRule type="containsText" dxfId="2" priority="2716" operator="between" text="库存为">
      <formula>NOT(ISERROR(SEARCH("库存为",AU517)))</formula>
    </cfRule>
  </conditionalFormatting>
  <conditionalFormatting sqref="AU518">
    <cfRule type="cellIs" dxfId="0" priority="4405" operator="lessThan">
      <formula>20</formula>
    </cfRule>
    <cfRule type="cellIs" dxfId="1" priority="3560" operator="greaterThan">
      <formula>120</formula>
    </cfRule>
    <cfRule type="containsText" dxfId="2" priority="2715" operator="between" text="库存为">
      <formula>NOT(ISERROR(SEARCH("库存为",AU518)))</formula>
    </cfRule>
  </conditionalFormatting>
  <conditionalFormatting sqref="AU519">
    <cfRule type="cellIs" dxfId="0" priority="4404" operator="lessThan">
      <formula>20</formula>
    </cfRule>
    <cfRule type="cellIs" dxfId="1" priority="3559" operator="greaterThan">
      <formula>120</formula>
    </cfRule>
    <cfRule type="containsText" dxfId="2" priority="2714" operator="between" text="库存为">
      <formula>NOT(ISERROR(SEARCH("库存为",AU519)))</formula>
    </cfRule>
  </conditionalFormatting>
  <conditionalFormatting sqref="AU520">
    <cfRule type="cellIs" dxfId="0" priority="4403" operator="lessThan">
      <formula>20</formula>
    </cfRule>
    <cfRule type="cellIs" dxfId="1" priority="3558" operator="greaterThan">
      <formula>120</formula>
    </cfRule>
    <cfRule type="containsText" dxfId="2" priority="2713" operator="between" text="库存为">
      <formula>NOT(ISERROR(SEARCH("库存为",AU520)))</formula>
    </cfRule>
  </conditionalFormatting>
  <conditionalFormatting sqref="AU521">
    <cfRule type="cellIs" dxfId="0" priority="4402" operator="lessThan">
      <formula>20</formula>
    </cfRule>
    <cfRule type="cellIs" dxfId="1" priority="3557" operator="greaterThan">
      <formula>120</formula>
    </cfRule>
    <cfRule type="containsText" dxfId="2" priority="2712" operator="between" text="库存为">
      <formula>NOT(ISERROR(SEARCH("库存为",AU521)))</formula>
    </cfRule>
  </conditionalFormatting>
  <conditionalFormatting sqref="AU522">
    <cfRule type="cellIs" dxfId="0" priority="4401" operator="lessThan">
      <formula>20</formula>
    </cfRule>
    <cfRule type="cellIs" dxfId="1" priority="3556" operator="greaterThan">
      <formula>120</formula>
    </cfRule>
    <cfRule type="containsText" dxfId="2" priority="2711" operator="between" text="库存为">
      <formula>NOT(ISERROR(SEARCH("库存为",AU522)))</formula>
    </cfRule>
  </conditionalFormatting>
  <conditionalFormatting sqref="AU523">
    <cfRule type="cellIs" dxfId="0" priority="4400" operator="lessThan">
      <formula>20</formula>
    </cfRule>
    <cfRule type="cellIs" dxfId="1" priority="3555" operator="greaterThan">
      <formula>120</formula>
    </cfRule>
    <cfRule type="containsText" dxfId="2" priority="2710" operator="between" text="库存为">
      <formula>NOT(ISERROR(SEARCH("库存为",AU523)))</formula>
    </cfRule>
  </conditionalFormatting>
  <conditionalFormatting sqref="AU524">
    <cfRule type="cellIs" dxfId="0" priority="4399" operator="lessThan">
      <formula>20</formula>
    </cfRule>
    <cfRule type="cellIs" dxfId="1" priority="3554" operator="greaterThan">
      <formula>120</formula>
    </cfRule>
    <cfRule type="containsText" dxfId="2" priority="2709" operator="between" text="库存为">
      <formula>NOT(ISERROR(SEARCH("库存为",AU524)))</formula>
    </cfRule>
  </conditionalFormatting>
  <conditionalFormatting sqref="AU525">
    <cfRule type="cellIs" dxfId="0" priority="4398" operator="lessThan">
      <formula>20</formula>
    </cfRule>
    <cfRule type="cellIs" dxfId="1" priority="3553" operator="greaterThan">
      <formula>120</formula>
    </cfRule>
    <cfRule type="containsText" dxfId="2" priority="2708" operator="between" text="库存为">
      <formula>NOT(ISERROR(SEARCH("库存为",AU525)))</formula>
    </cfRule>
  </conditionalFormatting>
  <conditionalFormatting sqref="AU526">
    <cfRule type="cellIs" dxfId="0" priority="4397" operator="lessThan">
      <formula>20</formula>
    </cfRule>
    <cfRule type="cellIs" dxfId="1" priority="3552" operator="greaterThan">
      <formula>120</formula>
    </cfRule>
    <cfRule type="containsText" dxfId="2" priority="2707" operator="between" text="库存为">
      <formula>NOT(ISERROR(SEARCH("库存为",AU526)))</formula>
    </cfRule>
  </conditionalFormatting>
  <conditionalFormatting sqref="AU527">
    <cfRule type="cellIs" dxfId="0" priority="4396" operator="lessThan">
      <formula>20</formula>
    </cfRule>
    <cfRule type="cellIs" dxfId="1" priority="3551" operator="greaterThan">
      <formula>120</formula>
    </cfRule>
    <cfRule type="containsText" dxfId="2" priority="2706" operator="between" text="库存为">
      <formula>NOT(ISERROR(SEARCH("库存为",AU527)))</formula>
    </cfRule>
  </conditionalFormatting>
  <conditionalFormatting sqref="AU528">
    <cfRule type="cellIs" dxfId="0" priority="4395" operator="lessThan">
      <formula>20</formula>
    </cfRule>
    <cfRule type="cellIs" dxfId="1" priority="3550" operator="greaterThan">
      <formula>120</formula>
    </cfRule>
    <cfRule type="containsText" dxfId="2" priority="2705" operator="between" text="库存为">
      <formula>NOT(ISERROR(SEARCH("库存为",AU528)))</formula>
    </cfRule>
  </conditionalFormatting>
  <conditionalFormatting sqref="AU529">
    <cfRule type="cellIs" dxfId="0" priority="4394" operator="lessThan">
      <formula>20</formula>
    </cfRule>
    <cfRule type="cellIs" dxfId="1" priority="3549" operator="greaterThan">
      <formula>120</formula>
    </cfRule>
    <cfRule type="containsText" dxfId="2" priority="2704" operator="between" text="库存为">
      <formula>NOT(ISERROR(SEARCH("库存为",AU529)))</formula>
    </cfRule>
  </conditionalFormatting>
  <conditionalFormatting sqref="AU530">
    <cfRule type="cellIs" dxfId="0" priority="4393" operator="lessThan">
      <formula>20</formula>
    </cfRule>
    <cfRule type="cellIs" dxfId="1" priority="3548" operator="greaterThan">
      <formula>120</formula>
    </cfRule>
    <cfRule type="containsText" dxfId="2" priority="2703" operator="between" text="库存为">
      <formula>NOT(ISERROR(SEARCH("库存为",AU530)))</formula>
    </cfRule>
  </conditionalFormatting>
  <conditionalFormatting sqref="AU531">
    <cfRule type="cellIs" dxfId="0" priority="4392" operator="lessThan">
      <formula>20</formula>
    </cfRule>
    <cfRule type="cellIs" dxfId="1" priority="3547" operator="greaterThan">
      <formula>120</formula>
    </cfRule>
    <cfRule type="containsText" dxfId="2" priority="2702" operator="between" text="库存为">
      <formula>NOT(ISERROR(SEARCH("库存为",AU531)))</formula>
    </cfRule>
  </conditionalFormatting>
  <conditionalFormatting sqref="AU532">
    <cfRule type="cellIs" dxfId="0" priority="4391" operator="lessThan">
      <formula>20</formula>
    </cfRule>
    <cfRule type="cellIs" dxfId="1" priority="3546" operator="greaterThan">
      <formula>120</formula>
    </cfRule>
    <cfRule type="containsText" dxfId="2" priority="2701" operator="between" text="库存为">
      <formula>NOT(ISERROR(SEARCH("库存为",AU532)))</formula>
    </cfRule>
  </conditionalFormatting>
  <conditionalFormatting sqref="AU533">
    <cfRule type="cellIs" dxfId="0" priority="4390" operator="lessThan">
      <formula>20</formula>
    </cfRule>
    <cfRule type="cellIs" dxfId="1" priority="3545" operator="greaterThan">
      <formula>120</formula>
    </cfRule>
    <cfRule type="containsText" dxfId="2" priority="2700" operator="between" text="库存为">
      <formula>NOT(ISERROR(SEARCH("库存为",AU533)))</formula>
    </cfRule>
  </conditionalFormatting>
  <conditionalFormatting sqref="AU534">
    <cfRule type="cellIs" dxfId="0" priority="4389" operator="lessThan">
      <formula>20</formula>
    </cfRule>
    <cfRule type="cellIs" dxfId="1" priority="3544" operator="greaterThan">
      <formula>120</formula>
    </cfRule>
    <cfRule type="containsText" dxfId="2" priority="2699" operator="between" text="库存为">
      <formula>NOT(ISERROR(SEARCH("库存为",AU534)))</formula>
    </cfRule>
  </conditionalFormatting>
  <conditionalFormatting sqref="AU535">
    <cfRule type="cellIs" dxfId="0" priority="4388" operator="lessThan">
      <formula>20</formula>
    </cfRule>
    <cfRule type="cellIs" dxfId="1" priority="3543" operator="greaterThan">
      <formula>120</formula>
    </cfRule>
    <cfRule type="containsText" dxfId="2" priority="2698" operator="between" text="库存为">
      <formula>NOT(ISERROR(SEARCH("库存为",AU535)))</formula>
    </cfRule>
  </conditionalFormatting>
  <conditionalFormatting sqref="AU536">
    <cfRule type="cellIs" dxfId="0" priority="4387" operator="lessThan">
      <formula>20</formula>
    </cfRule>
    <cfRule type="cellIs" dxfId="1" priority="3542" operator="greaterThan">
      <formula>120</formula>
    </cfRule>
    <cfRule type="containsText" dxfId="2" priority="2697" operator="between" text="库存为">
      <formula>NOT(ISERROR(SEARCH("库存为",AU536)))</formula>
    </cfRule>
  </conditionalFormatting>
  <conditionalFormatting sqref="AU537">
    <cfRule type="cellIs" dxfId="0" priority="4386" operator="lessThan">
      <formula>20</formula>
    </cfRule>
    <cfRule type="cellIs" dxfId="1" priority="3541" operator="greaterThan">
      <formula>120</formula>
    </cfRule>
    <cfRule type="containsText" dxfId="2" priority="2696" operator="between" text="库存为">
      <formula>NOT(ISERROR(SEARCH("库存为",AU537)))</formula>
    </cfRule>
  </conditionalFormatting>
  <conditionalFormatting sqref="AU538">
    <cfRule type="cellIs" dxfId="0" priority="4385" operator="lessThan">
      <formula>20</formula>
    </cfRule>
    <cfRule type="cellIs" dxfId="1" priority="3540" operator="greaterThan">
      <formula>120</formula>
    </cfRule>
    <cfRule type="containsText" dxfId="2" priority="2695" operator="between" text="库存为">
      <formula>NOT(ISERROR(SEARCH("库存为",AU538)))</formula>
    </cfRule>
  </conditionalFormatting>
  <conditionalFormatting sqref="AU539">
    <cfRule type="cellIs" dxfId="0" priority="4384" operator="lessThan">
      <formula>20</formula>
    </cfRule>
    <cfRule type="cellIs" dxfId="1" priority="3539" operator="greaterThan">
      <formula>120</formula>
    </cfRule>
    <cfRule type="containsText" dxfId="2" priority="2694" operator="between" text="库存为">
      <formula>NOT(ISERROR(SEARCH("库存为",AU539)))</formula>
    </cfRule>
  </conditionalFormatting>
  <conditionalFormatting sqref="AU540">
    <cfRule type="cellIs" dxfId="0" priority="4383" operator="lessThan">
      <formula>20</formula>
    </cfRule>
    <cfRule type="cellIs" dxfId="1" priority="3538" operator="greaterThan">
      <formula>120</formula>
    </cfRule>
    <cfRule type="containsText" dxfId="2" priority="2693" operator="between" text="库存为">
      <formula>NOT(ISERROR(SEARCH("库存为",AU540)))</formula>
    </cfRule>
  </conditionalFormatting>
  <conditionalFormatting sqref="AU541">
    <cfRule type="cellIs" dxfId="0" priority="4382" operator="lessThan">
      <formula>20</formula>
    </cfRule>
    <cfRule type="cellIs" dxfId="1" priority="3537" operator="greaterThan">
      <formula>120</formula>
    </cfRule>
    <cfRule type="containsText" dxfId="2" priority="2692" operator="between" text="库存为">
      <formula>NOT(ISERROR(SEARCH("库存为",AU541)))</formula>
    </cfRule>
  </conditionalFormatting>
  <conditionalFormatting sqref="AU542">
    <cfRule type="cellIs" dxfId="0" priority="4381" operator="lessThan">
      <formula>20</formula>
    </cfRule>
    <cfRule type="cellIs" dxfId="1" priority="3536" operator="greaterThan">
      <formula>120</formula>
    </cfRule>
    <cfRule type="containsText" dxfId="2" priority="2691" operator="between" text="库存为">
      <formula>NOT(ISERROR(SEARCH("库存为",AU542)))</formula>
    </cfRule>
  </conditionalFormatting>
  <conditionalFormatting sqref="AU543">
    <cfRule type="cellIs" dxfId="0" priority="4380" operator="lessThan">
      <formula>20</formula>
    </cfRule>
    <cfRule type="cellIs" dxfId="1" priority="3535" operator="greaterThan">
      <formula>120</formula>
    </cfRule>
    <cfRule type="containsText" dxfId="2" priority="2690" operator="between" text="库存为">
      <formula>NOT(ISERROR(SEARCH("库存为",AU543)))</formula>
    </cfRule>
  </conditionalFormatting>
  <conditionalFormatting sqref="AU544">
    <cfRule type="cellIs" dxfId="0" priority="4379" operator="lessThan">
      <formula>20</formula>
    </cfRule>
    <cfRule type="cellIs" dxfId="1" priority="3534" operator="greaterThan">
      <formula>120</formula>
    </cfRule>
    <cfRule type="containsText" dxfId="2" priority="2689" operator="between" text="库存为">
      <formula>NOT(ISERROR(SEARCH("库存为",AU544)))</formula>
    </cfRule>
  </conditionalFormatting>
  <conditionalFormatting sqref="AU545">
    <cfRule type="cellIs" dxfId="0" priority="4378" operator="lessThan">
      <formula>20</formula>
    </cfRule>
    <cfRule type="cellIs" dxfId="1" priority="3533" operator="greaterThan">
      <formula>120</formula>
    </cfRule>
    <cfRule type="containsText" dxfId="2" priority="2688" operator="between" text="库存为">
      <formula>NOT(ISERROR(SEARCH("库存为",AU545)))</formula>
    </cfRule>
  </conditionalFormatting>
  <conditionalFormatting sqref="AU546">
    <cfRule type="cellIs" dxfId="0" priority="4377" operator="lessThan">
      <formula>20</formula>
    </cfRule>
    <cfRule type="cellIs" dxfId="1" priority="3532" operator="greaterThan">
      <formula>120</formula>
    </cfRule>
    <cfRule type="containsText" dxfId="2" priority="2687" operator="between" text="库存为">
      <formula>NOT(ISERROR(SEARCH("库存为",AU546)))</formula>
    </cfRule>
  </conditionalFormatting>
  <conditionalFormatting sqref="AU547">
    <cfRule type="cellIs" dxfId="0" priority="4376" operator="lessThan">
      <formula>20</formula>
    </cfRule>
    <cfRule type="cellIs" dxfId="1" priority="3531" operator="greaterThan">
      <formula>120</formula>
    </cfRule>
    <cfRule type="containsText" dxfId="2" priority="2686" operator="between" text="库存为">
      <formula>NOT(ISERROR(SEARCH("库存为",AU547)))</formula>
    </cfRule>
  </conditionalFormatting>
  <conditionalFormatting sqref="AU548">
    <cfRule type="cellIs" dxfId="0" priority="4375" operator="lessThan">
      <formula>20</formula>
    </cfRule>
    <cfRule type="cellIs" dxfId="1" priority="3530" operator="greaterThan">
      <formula>120</formula>
    </cfRule>
    <cfRule type="containsText" dxfId="2" priority="2685" operator="between" text="库存为">
      <formula>NOT(ISERROR(SEARCH("库存为",AU548)))</formula>
    </cfRule>
  </conditionalFormatting>
  <conditionalFormatting sqref="AU549">
    <cfRule type="cellIs" dxfId="0" priority="4374" operator="lessThan">
      <formula>20</formula>
    </cfRule>
    <cfRule type="cellIs" dxfId="1" priority="3529" operator="greaterThan">
      <formula>120</formula>
    </cfRule>
    <cfRule type="containsText" dxfId="2" priority="2684" operator="between" text="库存为">
      <formula>NOT(ISERROR(SEARCH("库存为",AU549)))</formula>
    </cfRule>
  </conditionalFormatting>
  <conditionalFormatting sqref="AU550">
    <cfRule type="cellIs" dxfId="0" priority="4373" operator="lessThan">
      <formula>20</formula>
    </cfRule>
    <cfRule type="cellIs" dxfId="1" priority="3528" operator="greaterThan">
      <formula>120</formula>
    </cfRule>
    <cfRule type="containsText" dxfId="2" priority="2683" operator="between" text="库存为">
      <formula>NOT(ISERROR(SEARCH("库存为",AU550)))</formula>
    </cfRule>
  </conditionalFormatting>
  <conditionalFormatting sqref="AU551">
    <cfRule type="cellIs" dxfId="0" priority="4372" operator="lessThan">
      <formula>20</formula>
    </cfRule>
    <cfRule type="cellIs" dxfId="1" priority="3527" operator="greaterThan">
      <formula>120</formula>
    </cfRule>
    <cfRule type="containsText" dxfId="2" priority="2682" operator="between" text="库存为">
      <formula>NOT(ISERROR(SEARCH("库存为",AU551)))</formula>
    </cfRule>
  </conditionalFormatting>
  <conditionalFormatting sqref="AU552">
    <cfRule type="cellIs" dxfId="0" priority="4371" operator="lessThan">
      <formula>20</formula>
    </cfRule>
    <cfRule type="cellIs" dxfId="1" priority="3526" operator="greaterThan">
      <formula>120</formula>
    </cfRule>
    <cfRule type="containsText" dxfId="2" priority="2681" operator="between" text="库存为">
      <formula>NOT(ISERROR(SEARCH("库存为",AU552)))</formula>
    </cfRule>
  </conditionalFormatting>
  <conditionalFormatting sqref="AU553">
    <cfRule type="cellIs" dxfId="0" priority="4370" operator="lessThan">
      <formula>20</formula>
    </cfRule>
    <cfRule type="cellIs" dxfId="1" priority="3525" operator="greaterThan">
      <formula>120</formula>
    </cfRule>
    <cfRule type="containsText" dxfId="2" priority="2680" operator="between" text="库存为">
      <formula>NOT(ISERROR(SEARCH("库存为",AU553)))</formula>
    </cfRule>
  </conditionalFormatting>
  <conditionalFormatting sqref="AU554">
    <cfRule type="cellIs" dxfId="0" priority="4369" operator="lessThan">
      <formula>20</formula>
    </cfRule>
    <cfRule type="cellIs" dxfId="1" priority="3524" operator="greaterThan">
      <formula>120</formula>
    </cfRule>
    <cfRule type="containsText" dxfId="2" priority="2679" operator="between" text="库存为">
      <formula>NOT(ISERROR(SEARCH("库存为",AU554)))</formula>
    </cfRule>
  </conditionalFormatting>
  <conditionalFormatting sqref="AU555">
    <cfRule type="cellIs" dxfId="0" priority="4368" operator="lessThan">
      <formula>20</formula>
    </cfRule>
    <cfRule type="cellIs" dxfId="1" priority="3523" operator="greaterThan">
      <formula>120</formula>
    </cfRule>
    <cfRule type="containsText" dxfId="2" priority="2678" operator="between" text="库存为">
      <formula>NOT(ISERROR(SEARCH("库存为",AU555)))</formula>
    </cfRule>
  </conditionalFormatting>
  <conditionalFormatting sqref="AU556">
    <cfRule type="cellIs" dxfId="0" priority="4367" operator="lessThan">
      <formula>20</formula>
    </cfRule>
    <cfRule type="cellIs" dxfId="1" priority="3522" operator="greaterThan">
      <formula>120</formula>
    </cfRule>
    <cfRule type="containsText" dxfId="2" priority="2677" operator="between" text="库存为">
      <formula>NOT(ISERROR(SEARCH("库存为",AU556)))</formula>
    </cfRule>
  </conditionalFormatting>
  <conditionalFormatting sqref="AU557">
    <cfRule type="cellIs" dxfId="0" priority="4366" operator="lessThan">
      <formula>20</formula>
    </cfRule>
    <cfRule type="cellIs" dxfId="1" priority="3521" operator="greaterThan">
      <formula>120</formula>
    </cfRule>
    <cfRule type="containsText" dxfId="2" priority="2676" operator="between" text="库存为">
      <formula>NOT(ISERROR(SEARCH("库存为",AU557)))</formula>
    </cfRule>
  </conditionalFormatting>
  <conditionalFormatting sqref="AU558">
    <cfRule type="cellIs" dxfId="0" priority="4365" operator="lessThan">
      <formula>20</formula>
    </cfRule>
    <cfRule type="cellIs" dxfId="1" priority="3520" operator="greaterThan">
      <formula>120</formula>
    </cfRule>
    <cfRule type="containsText" dxfId="2" priority="2675" operator="between" text="库存为">
      <formula>NOT(ISERROR(SEARCH("库存为",AU558)))</formula>
    </cfRule>
  </conditionalFormatting>
  <conditionalFormatting sqref="AU559">
    <cfRule type="cellIs" dxfId="0" priority="4364" operator="lessThan">
      <formula>20</formula>
    </cfRule>
    <cfRule type="cellIs" dxfId="1" priority="3519" operator="greaterThan">
      <formula>120</formula>
    </cfRule>
    <cfRule type="containsText" dxfId="2" priority="2674" operator="between" text="库存为">
      <formula>NOT(ISERROR(SEARCH("库存为",AU559)))</formula>
    </cfRule>
  </conditionalFormatting>
  <conditionalFormatting sqref="AU560">
    <cfRule type="cellIs" dxfId="0" priority="4363" operator="lessThan">
      <formula>20</formula>
    </cfRule>
    <cfRule type="cellIs" dxfId="1" priority="3518" operator="greaterThan">
      <formula>120</formula>
    </cfRule>
    <cfRule type="containsText" dxfId="2" priority="2673" operator="between" text="库存为">
      <formula>NOT(ISERROR(SEARCH("库存为",AU560)))</formula>
    </cfRule>
  </conditionalFormatting>
  <conditionalFormatting sqref="AU561">
    <cfRule type="cellIs" dxfId="0" priority="4362" operator="lessThan">
      <formula>20</formula>
    </cfRule>
    <cfRule type="cellIs" dxfId="1" priority="3517" operator="greaterThan">
      <formula>120</formula>
    </cfRule>
    <cfRule type="containsText" dxfId="2" priority="2672" operator="between" text="库存为">
      <formula>NOT(ISERROR(SEARCH("库存为",AU561)))</formula>
    </cfRule>
  </conditionalFormatting>
  <conditionalFormatting sqref="AU562">
    <cfRule type="cellIs" dxfId="0" priority="4361" operator="lessThan">
      <formula>20</formula>
    </cfRule>
    <cfRule type="cellIs" dxfId="1" priority="3516" operator="greaterThan">
      <formula>120</formula>
    </cfRule>
    <cfRule type="containsText" dxfId="2" priority="2671" operator="between" text="库存为">
      <formula>NOT(ISERROR(SEARCH("库存为",AU562)))</formula>
    </cfRule>
  </conditionalFormatting>
  <conditionalFormatting sqref="AU563">
    <cfRule type="cellIs" dxfId="0" priority="4360" operator="lessThan">
      <formula>20</formula>
    </cfRule>
    <cfRule type="cellIs" dxfId="1" priority="3515" operator="greaterThan">
      <formula>120</formula>
    </cfRule>
    <cfRule type="containsText" dxfId="2" priority="2670" operator="between" text="库存为">
      <formula>NOT(ISERROR(SEARCH("库存为",AU563)))</formula>
    </cfRule>
  </conditionalFormatting>
  <conditionalFormatting sqref="AU564">
    <cfRule type="cellIs" dxfId="0" priority="4359" operator="lessThan">
      <formula>20</formula>
    </cfRule>
    <cfRule type="cellIs" dxfId="1" priority="3514" operator="greaterThan">
      <formula>120</formula>
    </cfRule>
    <cfRule type="containsText" dxfId="2" priority="2669" operator="between" text="库存为">
      <formula>NOT(ISERROR(SEARCH("库存为",AU564)))</formula>
    </cfRule>
  </conditionalFormatting>
  <conditionalFormatting sqref="AU565">
    <cfRule type="cellIs" dxfId="0" priority="4358" operator="lessThan">
      <formula>20</formula>
    </cfRule>
    <cfRule type="cellIs" dxfId="1" priority="3513" operator="greaterThan">
      <formula>120</formula>
    </cfRule>
    <cfRule type="containsText" dxfId="2" priority="2668" operator="between" text="库存为">
      <formula>NOT(ISERROR(SEARCH("库存为",AU565)))</formula>
    </cfRule>
  </conditionalFormatting>
  <conditionalFormatting sqref="AU566">
    <cfRule type="cellIs" dxfId="0" priority="4357" operator="lessThan">
      <formula>20</formula>
    </cfRule>
    <cfRule type="cellIs" dxfId="1" priority="3512" operator="greaterThan">
      <formula>120</formula>
    </cfRule>
    <cfRule type="containsText" dxfId="2" priority="2667" operator="between" text="库存为">
      <formula>NOT(ISERROR(SEARCH("库存为",AU566)))</formula>
    </cfRule>
  </conditionalFormatting>
  <conditionalFormatting sqref="AU567">
    <cfRule type="cellIs" dxfId="0" priority="4356" operator="lessThan">
      <formula>20</formula>
    </cfRule>
    <cfRule type="cellIs" dxfId="1" priority="3511" operator="greaterThan">
      <formula>120</formula>
    </cfRule>
    <cfRule type="containsText" dxfId="2" priority="2666" operator="between" text="库存为">
      <formula>NOT(ISERROR(SEARCH("库存为",AU567)))</formula>
    </cfRule>
  </conditionalFormatting>
  <conditionalFormatting sqref="AU568">
    <cfRule type="cellIs" dxfId="0" priority="4355" operator="lessThan">
      <formula>20</formula>
    </cfRule>
    <cfRule type="cellIs" dxfId="1" priority="3510" operator="greaterThan">
      <formula>120</formula>
    </cfRule>
    <cfRule type="containsText" dxfId="2" priority="2665" operator="between" text="库存为">
      <formula>NOT(ISERROR(SEARCH("库存为",AU568)))</formula>
    </cfRule>
  </conditionalFormatting>
  <conditionalFormatting sqref="AU569">
    <cfRule type="cellIs" dxfId="0" priority="4354" operator="lessThan">
      <formula>20</formula>
    </cfRule>
    <cfRule type="cellIs" dxfId="1" priority="3509" operator="greaterThan">
      <formula>120</formula>
    </cfRule>
    <cfRule type="containsText" dxfId="2" priority="2664" operator="between" text="库存为">
      <formula>NOT(ISERROR(SEARCH("库存为",AU569)))</formula>
    </cfRule>
  </conditionalFormatting>
  <conditionalFormatting sqref="AU570">
    <cfRule type="cellIs" dxfId="0" priority="4353" operator="lessThan">
      <formula>20</formula>
    </cfRule>
    <cfRule type="cellIs" dxfId="1" priority="3508" operator="greaterThan">
      <formula>120</formula>
    </cfRule>
    <cfRule type="containsText" dxfId="2" priority="2663" operator="between" text="库存为">
      <formula>NOT(ISERROR(SEARCH("库存为",AU570)))</formula>
    </cfRule>
  </conditionalFormatting>
  <conditionalFormatting sqref="AU571">
    <cfRule type="cellIs" dxfId="0" priority="4352" operator="lessThan">
      <formula>20</formula>
    </cfRule>
    <cfRule type="cellIs" dxfId="1" priority="3507" operator="greaterThan">
      <formula>120</formula>
    </cfRule>
    <cfRule type="containsText" dxfId="2" priority="2662" operator="between" text="库存为">
      <formula>NOT(ISERROR(SEARCH("库存为",AU571)))</formula>
    </cfRule>
  </conditionalFormatting>
  <conditionalFormatting sqref="AU572">
    <cfRule type="cellIs" dxfId="0" priority="4351" operator="lessThan">
      <formula>20</formula>
    </cfRule>
    <cfRule type="cellIs" dxfId="1" priority="3506" operator="greaterThan">
      <formula>120</formula>
    </cfRule>
    <cfRule type="containsText" dxfId="2" priority="2661" operator="between" text="库存为">
      <formula>NOT(ISERROR(SEARCH("库存为",AU572)))</formula>
    </cfRule>
  </conditionalFormatting>
  <conditionalFormatting sqref="AU573">
    <cfRule type="cellIs" dxfId="0" priority="4350" operator="lessThan">
      <formula>20</formula>
    </cfRule>
    <cfRule type="cellIs" dxfId="1" priority="3505" operator="greaterThan">
      <formula>120</formula>
    </cfRule>
    <cfRule type="containsText" dxfId="2" priority="2660" operator="between" text="库存为">
      <formula>NOT(ISERROR(SEARCH("库存为",AU573)))</formula>
    </cfRule>
  </conditionalFormatting>
  <conditionalFormatting sqref="AU574">
    <cfRule type="cellIs" dxfId="0" priority="4349" operator="lessThan">
      <formula>20</formula>
    </cfRule>
    <cfRule type="cellIs" dxfId="1" priority="3504" operator="greaterThan">
      <formula>120</formula>
    </cfRule>
    <cfRule type="containsText" dxfId="2" priority="2659" operator="between" text="库存为">
      <formula>NOT(ISERROR(SEARCH("库存为",AU574)))</formula>
    </cfRule>
  </conditionalFormatting>
  <conditionalFormatting sqref="AU575">
    <cfRule type="cellIs" dxfId="0" priority="4348" operator="lessThan">
      <formula>20</formula>
    </cfRule>
    <cfRule type="cellIs" dxfId="1" priority="3503" operator="greaterThan">
      <formula>120</formula>
    </cfRule>
    <cfRule type="containsText" dxfId="2" priority="2658" operator="between" text="库存为">
      <formula>NOT(ISERROR(SEARCH("库存为",AU575)))</formula>
    </cfRule>
  </conditionalFormatting>
  <conditionalFormatting sqref="AU576">
    <cfRule type="cellIs" dxfId="0" priority="4347" operator="lessThan">
      <formula>20</formula>
    </cfRule>
    <cfRule type="cellIs" dxfId="1" priority="3502" operator="greaterThan">
      <formula>120</formula>
    </cfRule>
    <cfRule type="containsText" dxfId="2" priority="2657" operator="between" text="库存为">
      <formula>NOT(ISERROR(SEARCH("库存为",AU576)))</formula>
    </cfRule>
  </conditionalFormatting>
  <conditionalFormatting sqref="AU577">
    <cfRule type="cellIs" dxfId="0" priority="4346" operator="lessThan">
      <formula>20</formula>
    </cfRule>
    <cfRule type="cellIs" dxfId="1" priority="3501" operator="greaterThan">
      <formula>120</formula>
    </cfRule>
    <cfRule type="containsText" dxfId="2" priority="2656" operator="between" text="库存为">
      <formula>NOT(ISERROR(SEARCH("库存为",AU577)))</formula>
    </cfRule>
  </conditionalFormatting>
  <conditionalFormatting sqref="AU578">
    <cfRule type="cellIs" dxfId="0" priority="4345" operator="lessThan">
      <formula>20</formula>
    </cfRule>
    <cfRule type="cellIs" dxfId="1" priority="3500" operator="greaterThan">
      <formula>120</formula>
    </cfRule>
    <cfRule type="containsText" dxfId="2" priority="2655" operator="between" text="库存为">
      <formula>NOT(ISERROR(SEARCH("库存为",AU578)))</formula>
    </cfRule>
  </conditionalFormatting>
  <conditionalFormatting sqref="AU579">
    <cfRule type="cellIs" dxfId="0" priority="4344" operator="lessThan">
      <formula>20</formula>
    </cfRule>
    <cfRule type="cellIs" dxfId="1" priority="3499" operator="greaterThan">
      <formula>120</formula>
    </cfRule>
    <cfRule type="containsText" dxfId="2" priority="2654" operator="between" text="库存为">
      <formula>NOT(ISERROR(SEARCH("库存为",AU579)))</formula>
    </cfRule>
  </conditionalFormatting>
  <conditionalFormatting sqref="AU580">
    <cfRule type="cellIs" dxfId="0" priority="4343" operator="lessThan">
      <formula>20</formula>
    </cfRule>
    <cfRule type="cellIs" dxfId="1" priority="3498" operator="greaterThan">
      <formula>120</formula>
    </cfRule>
    <cfRule type="containsText" dxfId="2" priority="2653" operator="between" text="库存为">
      <formula>NOT(ISERROR(SEARCH("库存为",AU580)))</formula>
    </cfRule>
  </conditionalFormatting>
  <conditionalFormatting sqref="AU581">
    <cfRule type="cellIs" dxfId="0" priority="4342" operator="lessThan">
      <formula>20</formula>
    </cfRule>
    <cfRule type="cellIs" dxfId="1" priority="3497" operator="greaterThan">
      <formula>120</formula>
    </cfRule>
    <cfRule type="containsText" dxfId="2" priority="2652" operator="between" text="库存为">
      <formula>NOT(ISERROR(SEARCH("库存为",AU581)))</formula>
    </cfRule>
  </conditionalFormatting>
  <conditionalFormatting sqref="AU582">
    <cfRule type="cellIs" dxfId="0" priority="4341" operator="lessThan">
      <formula>20</formula>
    </cfRule>
    <cfRule type="cellIs" dxfId="1" priority="3496" operator="greaterThan">
      <formula>120</formula>
    </cfRule>
    <cfRule type="containsText" dxfId="2" priority="2651" operator="between" text="库存为">
      <formula>NOT(ISERROR(SEARCH("库存为",AU582)))</formula>
    </cfRule>
  </conditionalFormatting>
  <conditionalFormatting sqref="AU583">
    <cfRule type="cellIs" dxfId="0" priority="4340" operator="lessThan">
      <formula>20</formula>
    </cfRule>
    <cfRule type="cellIs" dxfId="1" priority="3495" operator="greaterThan">
      <formula>120</formula>
    </cfRule>
    <cfRule type="containsText" dxfId="2" priority="2650" operator="between" text="库存为">
      <formula>NOT(ISERROR(SEARCH("库存为",AU583)))</formula>
    </cfRule>
  </conditionalFormatting>
  <conditionalFormatting sqref="AU584">
    <cfRule type="cellIs" dxfId="0" priority="4339" operator="lessThan">
      <formula>20</formula>
    </cfRule>
    <cfRule type="cellIs" dxfId="1" priority="3494" operator="greaterThan">
      <formula>120</formula>
    </cfRule>
    <cfRule type="containsText" dxfId="2" priority="2649" operator="between" text="库存为">
      <formula>NOT(ISERROR(SEARCH("库存为",AU584)))</formula>
    </cfRule>
  </conditionalFormatting>
  <conditionalFormatting sqref="AU585">
    <cfRule type="cellIs" dxfId="0" priority="4338" operator="lessThan">
      <formula>20</formula>
    </cfRule>
    <cfRule type="cellIs" dxfId="1" priority="3493" operator="greaterThan">
      <formula>120</formula>
    </cfRule>
    <cfRule type="containsText" dxfId="2" priority="2648" operator="between" text="库存为">
      <formula>NOT(ISERROR(SEARCH("库存为",AU585)))</formula>
    </cfRule>
  </conditionalFormatting>
  <conditionalFormatting sqref="AU586">
    <cfRule type="cellIs" dxfId="0" priority="4337" operator="lessThan">
      <formula>20</formula>
    </cfRule>
    <cfRule type="cellIs" dxfId="1" priority="3492" operator="greaterThan">
      <formula>120</formula>
    </cfRule>
    <cfRule type="containsText" dxfId="2" priority="2647" operator="between" text="库存为">
      <formula>NOT(ISERROR(SEARCH("库存为",AU586)))</formula>
    </cfRule>
  </conditionalFormatting>
  <conditionalFormatting sqref="AU587">
    <cfRule type="cellIs" dxfId="0" priority="4336" operator="lessThan">
      <formula>20</formula>
    </cfRule>
    <cfRule type="cellIs" dxfId="1" priority="3491" operator="greaterThan">
      <formula>120</formula>
    </cfRule>
    <cfRule type="containsText" dxfId="2" priority="2646" operator="between" text="库存为">
      <formula>NOT(ISERROR(SEARCH("库存为",AU587)))</formula>
    </cfRule>
  </conditionalFormatting>
  <conditionalFormatting sqref="AU588">
    <cfRule type="cellIs" dxfId="0" priority="4335" operator="lessThan">
      <formula>20</formula>
    </cfRule>
    <cfRule type="cellIs" dxfId="1" priority="3490" operator="greaterThan">
      <formula>120</formula>
    </cfRule>
    <cfRule type="containsText" dxfId="2" priority="2645" operator="between" text="库存为">
      <formula>NOT(ISERROR(SEARCH("库存为",AU588)))</formula>
    </cfRule>
  </conditionalFormatting>
  <conditionalFormatting sqref="AU589">
    <cfRule type="cellIs" dxfId="0" priority="4334" operator="lessThan">
      <formula>20</formula>
    </cfRule>
    <cfRule type="cellIs" dxfId="1" priority="3489" operator="greaterThan">
      <formula>120</formula>
    </cfRule>
    <cfRule type="containsText" dxfId="2" priority="2644" operator="between" text="库存为">
      <formula>NOT(ISERROR(SEARCH("库存为",AU589)))</formula>
    </cfRule>
  </conditionalFormatting>
  <conditionalFormatting sqref="AU590">
    <cfRule type="cellIs" dxfId="0" priority="4333" operator="lessThan">
      <formula>20</formula>
    </cfRule>
    <cfRule type="cellIs" dxfId="1" priority="3488" operator="greaterThan">
      <formula>120</formula>
    </cfRule>
    <cfRule type="containsText" dxfId="2" priority="2643" operator="between" text="库存为">
      <formula>NOT(ISERROR(SEARCH("库存为",AU590)))</formula>
    </cfRule>
  </conditionalFormatting>
  <conditionalFormatting sqref="AU591">
    <cfRule type="cellIs" dxfId="0" priority="4332" operator="lessThan">
      <formula>20</formula>
    </cfRule>
    <cfRule type="cellIs" dxfId="1" priority="3487" operator="greaterThan">
      <formula>120</formula>
    </cfRule>
    <cfRule type="containsText" dxfId="2" priority="2642" operator="between" text="库存为">
      <formula>NOT(ISERROR(SEARCH("库存为",AU591)))</formula>
    </cfRule>
  </conditionalFormatting>
  <conditionalFormatting sqref="AU592">
    <cfRule type="cellIs" dxfId="0" priority="4331" operator="lessThan">
      <formula>20</formula>
    </cfRule>
    <cfRule type="cellIs" dxfId="1" priority="3486" operator="greaterThan">
      <formula>120</formula>
    </cfRule>
    <cfRule type="containsText" dxfId="2" priority="2641" operator="between" text="库存为">
      <formula>NOT(ISERROR(SEARCH("库存为",AU592)))</formula>
    </cfRule>
  </conditionalFormatting>
  <conditionalFormatting sqref="AU593">
    <cfRule type="cellIs" dxfId="0" priority="4330" operator="lessThan">
      <formula>20</formula>
    </cfRule>
    <cfRule type="cellIs" dxfId="1" priority="3485" operator="greaterThan">
      <formula>120</formula>
    </cfRule>
    <cfRule type="containsText" dxfId="2" priority="2640" operator="between" text="库存为">
      <formula>NOT(ISERROR(SEARCH("库存为",AU593)))</formula>
    </cfRule>
  </conditionalFormatting>
  <conditionalFormatting sqref="AU594">
    <cfRule type="cellIs" dxfId="0" priority="4329" operator="lessThan">
      <formula>20</formula>
    </cfRule>
    <cfRule type="cellIs" dxfId="1" priority="3484" operator="greaterThan">
      <formula>120</formula>
    </cfRule>
    <cfRule type="containsText" dxfId="2" priority="2639" operator="between" text="库存为">
      <formula>NOT(ISERROR(SEARCH("库存为",AU594)))</formula>
    </cfRule>
  </conditionalFormatting>
  <conditionalFormatting sqref="AU595">
    <cfRule type="cellIs" dxfId="0" priority="4328" operator="lessThan">
      <formula>20</formula>
    </cfRule>
    <cfRule type="cellIs" dxfId="1" priority="3483" operator="greaterThan">
      <formula>120</formula>
    </cfRule>
    <cfRule type="containsText" dxfId="2" priority="2638" operator="between" text="库存为">
      <formula>NOT(ISERROR(SEARCH("库存为",AU595)))</formula>
    </cfRule>
  </conditionalFormatting>
  <conditionalFormatting sqref="AU596">
    <cfRule type="cellIs" dxfId="0" priority="4327" operator="lessThan">
      <formula>20</formula>
    </cfRule>
    <cfRule type="cellIs" dxfId="1" priority="3482" operator="greaterThan">
      <formula>120</formula>
    </cfRule>
    <cfRule type="containsText" dxfId="2" priority="2637" operator="between" text="库存为">
      <formula>NOT(ISERROR(SEARCH("库存为",AU596)))</formula>
    </cfRule>
  </conditionalFormatting>
  <conditionalFormatting sqref="AU597">
    <cfRule type="cellIs" dxfId="0" priority="4326" operator="lessThan">
      <formula>20</formula>
    </cfRule>
    <cfRule type="cellIs" dxfId="1" priority="3481" operator="greaterThan">
      <formula>120</formula>
    </cfRule>
    <cfRule type="containsText" dxfId="2" priority="2636" operator="between" text="库存为">
      <formula>NOT(ISERROR(SEARCH("库存为",AU597)))</formula>
    </cfRule>
  </conditionalFormatting>
  <conditionalFormatting sqref="AU598">
    <cfRule type="cellIs" dxfId="0" priority="4325" operator="lessThan">
      <formula>20</formula>
    </cfRule>
    <cfRule type="cellIs" dxfId="1" priority="3480" operator="greaterThan">
      <formula>120</formula>
    </cfRule>
    <cfRule type="containsText" dxfId="2" priority="2635" operator="between" text="库存为">
      <formula>NOT(ISERROR(SEARCH("库存为",AU598)))</formula>
    </cfRule>
  </conditionalFormatting>
  <conditionalFormatting sqref="AU599">
    <cfRule type="cellIs" dxfId="0" priority="4324" operator="lessThan">
      <formula>20</formula>
    </cfRule>
    <cfRule type="cellIs" dxfId="1" priority="3479" operator="greaterThan">
      <formula>120</formula>
    </cfRule>
    <cfRule type="containsText" dxfId="2" priority="2634" operator="between" text="库存为">
      <formula>NOT(ISERROR(SEARCH("库存为",AU599)))</formula>
    </cfRule>
  </conditionalFormatting>
  <conditionalFormatting sqref="AU600">
    <cfRule type="cellIs" dxfId="0" priority="4323" operator="lessThan">
      <formula>20</formula>
    </cfRule>
    <cfRule type="cellIs" dxfId="1" priority="3478" operator="greaterThan">
      <formula>120</formula>
    </cfRule>
    <cfRule type="containsText" dxfId="2" priority="2633" operator="between" text="库存为">
      <formula>NOT(ISERROR(SEARCH("库存为",AU600)))</formula>
    </cfRule>
  </conditionalFormatting>
  <conditionalFormatting sqref="AU601">
    <cfRule type="cellIs" dxfId="0" priority="4322" operator="lessThan">
      <formula>20</formula>
    </cfRule>
    <cfRule type="cellIs" dxfId="1" priority="3477" operator="greaterThan">
      <formula>120</formula>
    </cfRule>
    <cfRule type="containsText" dxfId="2" priority="2632" operator="between" text="库存为">
      <formula>NOT(ISERROR(SEARCH("库存为",AU601)))</formula>
    </cfRule>
  </conditionalFormatting>
  <conditionalFormatting sqref="AU602">
    <cfRule type="cellIs" dxfId="0" priority="4321" operator="lessThan">
      <formula>20</formula>
    </cfRule>
    <cfRule type="cellIs" dxfId="1" priority="3476" operator="greaterThan">
      <formula>120</formula>
    </cfRule>
    <cfRule type="containsText" dxfId="2" priority="2631" operator="between" text="库存为">
      <formula>NOT(ISERROR(SEARCH("库存为",AU602)))</formula>
    </cfRule>
  </conditionalFormatting>
  <conditionalFormatting sqref="AU603">
    <cfRule type="cellIs" dxfId="0" priority="4320" operator="lessThan">
      <formula>20</formula>
    </cfRule>
    <cfRule type="cellIs" dxfId="1" priority="3475" operator="greaterThan">
      <formula>120</formula>
    </cfRule>
    <cfRule type="containsText" dxfId="2" priority="2630" operator="between" text="库存为">
      <formula>NOT(ISERROR(SEARCH("库存为",AU603)))</formula>
    </cfRule>
  </conditionalFormatting>
  <conditionalFormatting sqref="AU604">
    <cfRule type="cellIs" dxfId="0" priority="4319" operator="lessThan">
      <formula>20</formula>
    </cfRule>
    <cfRule type="cellIs" dxfId="1" priority="3474" operator="greaterThan">
      <formula>120</formula>
    </cfRule>
    <cfRule type="containsText" dxfId="2" priority="2629" operator="between" text="库存为">
      <formula>NOT(ISERROR(SEARCH("库存为",AU604)))</formula>
    </cfRule>
  </conditionalFormatting>
  <conditionalFormatting sqref="AU605">
    <cfRule type="cellIs" dxfId="0" priority="4318" operator="lessThan">
      <formula>20</formula>
    </cfRule>
    <cfRule type="cellIs" dxfId="1" priority="3473" operator="greaterThan">
      <formula>120</formula>
    </cfRule>
    <cfRule type="containsText" dxfId="2" priority="2628" operator="between" text="库存为">
      <formula>NOT(ISERROR(SEARCH("库存为",AU605)))</formula>
    </cfRule>
  </conditionalFormatting>
  <conditionalFormatting sqref="AU606">
    <cfRule type="cellIs" dxfId="0" priority="4317" operator="lessThan">
      <formula>20</formula>
    </cfRule>
    <cfRule type="cellIs" dxfId="1" priority="3472" operator="greaterThan">
      <formula>120</formula>
    </cfRule>
    <cfRule type="containsText" dxfId="2" priority="2627" operator="between" text="库存为">
      <formula>NOT(ISERROR(SEARCH("库存为",AU606)))</formula>
    </cfRule>
  </conditionalFormatting>
  <conditionalFormatting sqref="AU607">
    <cfRule type="cellIs" dxfId="0" priority="4316" operator="lessThan">
      <formula>20</formula>
    </cfRule>
    <cfRule type="cellIs" dxfId="1" priority="3471" operator="greaterThan">
      <formula>120</formula>
    </cfRule>
    <cfRule type="containsText" dxfId="2" priority="2626" operator="between" text="库存为">
      <formula>NOT(ISERROR(SEARCH("库存为",AU607)))</formula>
    </cfRule>
  </conditionalFormatting>
  <conditionalFormatting sqref="AU608">
    <cfRule type="cellIs" dxfId="0" priority="4315" operator="lessThan">
      <formula>20</formula>
    </cfRule>
    <cfRule type="cellIs" dxfId="1" priority="3470" operator="greaterThan">
      <formula>120</formula>
    </cfRule>
    <cfRule type="containsText" dxfId="2" priority="2625" operator="between" text="库存为">
      <formula>NOT(ISERROR(SEARCH("库存为",AU608)))</formula>
    </cfRule>
  </conditionalFormatting>
  <conditionalFormatting sqref="AU609">
    <cfRule type="cellIs" dxfId="0" priority="4314" operator="lessThan">
      <formula>20</formula>
    </cfRule>
    <cfRule type="cellIs" dxfId="1" priority="3469" operator="greaterThan">
      <formula>120</formula>
    </cfRule>
    <cfRule type="containsText" dxfId="2" priority="2624" operator="between" text="库存为">
      <formula>NOT(ISERROR(SEARCH("库存为",AU609)))</formula>
    </cfRule>
  </conditionalFormatting>
  <conditionalFormatting sqref="AU610">
    <cfRule type="cellIs" dxfId="0" priority="4313" operator="lessThan">
      <formula>20</formula>
    </cfRule>
    <cfRule type="cellIs" dxfId="1" priority="3468" operator="greaterThan">
      <formula>120</formula>
    </cfRule>
    <cfRule type="containsText" dxfId="2" priority="2623" operator="between" text="库存为">
      <formula>NOT(ISERROR(SEARCH("库存为",AU610)))</formula>
    </cfRule>
  </conditionalFormatting>
  <conditionalFormatting sqref="AU611">
    <cfRule type="cellIs" dxfId="0" priority="4312" operator="lessThan">
      <formula>20</formula>
    </cfRule>
    <cfRule type="cellIs" dxfId="1" priority="3467" operator="greaterThan">
      <formula>120</formula>
    </cfRule>
    <cfRule type="containsText" dxfId="2" priority="2622" operator="between" text="库存为">
      <formula>NOT(ISERROR(SEARCH("库存为",AU611)))</formula>
    </cfRule>
  </conditionalFormatting>
  <conditionalFormatting sqref="AU612">
    <cfRule type="cellIs" dxfId="0" priority="4311" operator="lessThan">
      <formula>20</formula>
    </cfRule>
    <cfRule type="cellIs" dxfId="1" priority="3466" operator="greaterThan">
      <formula>120</formula>
    </cfRule>
    <cfRule type="containsText" dxfId="2" priority="2621" operator="between" text="库存为">
      <formula>NOT(ISERROR(SEARCH("库存为",AU612)))</formula>
    </cfRule>
  </conditionalFormatting>
  <conditionalFormatting sqref="AU613">
    <cfRule type="cellIs" dxfId="0" priority="4310" operator="lessThan">
      <formula>20</formula>
    </cfRule>
    <cfRule type="cellIs" dxfId="1" priority="3465" operator="greaterThan">
      <formula>120</formula>
    </cfRule>
    <cfRule type="containsText" dxfId="2" priority="2620" operator="between" text="库存为">
      <formula>NOT(ISERROR(SEARCH("库存为",AU613)))</formula>
    </cfRule>
  </conditionalFormatting>
  <conditionalFormatting sqref="AU614">
    <cfRule type="cellIs" dxfId="0" priority="4309" operator="lessThan">
      <formula>20</formula>
    </cfRule>
    <cfRule type="cellIs" dxfId="1" priority="3464" operator="greaterThan">
      <formula>120</formula>
    </cfRule>
    <cfRule type="containsText" dxfId="2" priority="2619" operator="between" text="库存为">
      <formula>NOT(ISERROR(SEARCH("库存为",AU614)))</formula>
    </cfRule>
  </conditionalFormatting>
  <conditionalFormatting sqref="AU615">
    <cfRule type="cellIs" dxfId="0" priority="4308" operator="lessThan">
      <formula>20</formula>
    </cfRule>
    <cfRule type="cellIs" dxfId="1" priority="3463" operator="greaterThan">
      <formula>120</formula>
    </cfRule>
    <cfRule type="containsText" dxfId="2" priority="2618" operator="between" text="库存为">
      <formula>NOT(ISERROR(SEARCH("库存为",AU615)))</formula>
    </cfRule>
  </conditionalFormatting>
  <conditionalFormatting sqref="AU616">
    <cfRule type="cellIs" dxfId="0" priority="4307" operator="lessThan">
      <formula>20</formula>
    </cfRule>
    <cfRule type="cellIs" dxfId="1" priority="3462" operator="greaterThan">
      <formula>120</formula>
    </cfRule>
    <cfRule type="containsText" dxfId="2" priority="2617" operator="between" text="库存为">
      <formula>NOT(ISERROR(SEARCH("库存为",AU616)))</formula>
    </cfRule>
  </conditionalFormatting>
  <conditionalFormatting sqref="AU617">
    <cfRule type="cellIs" dxfId="0" priority="4306" operator="lessThan">
      <formula>20</formula>
    </cfRule>
    <cfRule type="cellIs" dxfId="1" priority="3461" operator="greaterThan">
      <formula>120</formula>
    </cfRule>
    <cfRule type="containsText" dxfId="2" priority="2616" operator="between" text="库存为">
      <formula>NOT(ISERROR(SEARCH("库存为",AU617)))</formula>
    </cfRule>
  </conditionalFormatting>
  <conditionalFormatting sqref="AU618">
    <cfRule type="cellIs" dxfId="0" priority="4305" operator="lessThan">
      <formula>20</formula>
    </cfRule>
    <cfRule type="cellIs" dxfId="1" priority="3460" operator="greaterThan">
      <formula>120</formula>
    </cfRule>
    <cfRule type="containsText" dxfId="2" priority="2615" operator="between" text="库存为">
      <formula>NOT(ISERROR(SEARCH("库存为",AU618)))</formula>
    </cfRule>
  </conditionalFormatting>
  <conditionalFormatting sqref="AU619">
    <cfRule type="cellIs" dxfId="0" priority="4304" operator="lessThan">
      <formula>20</formula>
    </cfRule>
    <cfRule type="cellIs" dxfId="1" priority="3459" operator="greaterThan">
      <formula>120</formula>
    </cfRule>
    <cfRule type="containsText" dxfId="2" priority="2614" operator="between" text="库存为">
      <formula>NOT(ISERROR(SEARCH("库存为",AU619)))</formula>
    </cfRule>
  </conditionalFormatting>
  <conditionalFormatting sqref="AU620">
    <cfRule type="cellIs" dxfId="0" priority="4303" operator="lessThan">
      <formula>20</formula>
    </cfRule>
    <cfRule type="cellIs" dxfId="1" priority="3458" operator="greaterThan">
      <formula>120</formula>
    </cfRule>
    <cfRule type="containsText" dxfId="2" priority="2613" operator="between" text="库存为">
      <formula>NOT(ISERROR(SEARCH("库存为",AU620)))</formula>
    </cfRule>
  </conditionalFormatting>
  <conditionalFormatting sqref="AU621">
    <cfRule type="cellIs" dxfId="0" priority="4302" operator="lessThan">
      <formula>20</formula>
    </cfRule>
    <cfRule type="cellIs" dxfId="1" priority="3457" operator="greaterThan">
      <formula>120</formula>
    </cfRule>
    <cfRule type="containsText" dxfId="2" priority="2612" operator="between" text="库存为">
      <formula>NOT(ISERROR(SEARCH("库存为",AU621)))</formula>
    </cfRule>
  </conditionalFormatting>
  <conditionalFormatting sqref="AU622">
    <cfRule type="cellIs" dxfId="0" priority="4301" operator="lessThan">
      <formula>20</formula>
    </cfRule>
    <cfRule type="cellIs" dxfId="1" priority="3456" operator="greaterThan">
      <formula>120</formula>
    </cfRule>
    <cfRule type="containsText" dxfId="2" priority="2611" operator="between" text="库存为">
      <formula>NOT(ISERROR(SEARCH("库存为",AU622)))</formula>
    </cfRule>
  </conditionalFormatting>
  <conditionalFormatting sqref="AU623">
    <cfRule type="cellIs" dxfId="0" priority="4300" operator="lessThan">
      <formula>20</formula>
    </cfRule>
    <cfRule type="cellIs" dxfId="1" priority="3455" operator="greaterThan">
      <formula>120</formula>
    </cfRule>
    <cfRule type="containsText" dxfId="2" priority="2610" operator="between" text="库存为">
      <formula>NOT(ISERROR(SEARCH("库存为",AU623)))</formula>
    </cfRule>
  </conditionalFormatting>
  <conditionalFormatting sqref="AU624">
    <cfRule type="cellIs" dxfId="0" priority="4299" operator="lessThan">
      <formula>20</formula>
    </cfRule>
    <cfRule type="cellIs" dxfId="1" priority="3454" operator="greaterThan">
      <formula>120</formula>
    </cfRule>
    <cfRule type="containsText" dxfId="2" priority="2609" operator="between" text="库存为">
      <formula>NOT(ISERROR(SEARCH("库存为",AU624)))</formula>
    </cfRule>
  </conditionalFormatting>
  <conditionalFormatting sqref="AU625">
    <cfRule type="cellIs" dxfId="0" priority="4298" operator="lessThan">
      <formula>20</formula>
    </cfRule>
    <cfRule type="cellIs" dxfId="1" priority="3453" operator="greaterThan">
      <formula>120</formula>
    </cfRule>
    <cfRule type="containsText" dxfId="2" priority="2608" operator="between" text="库存为">
      <formula>NOT(ISERROR(SEARCH("库存为",AU625)))</formula>
    </cfRule>
  </conditionalFormatting>
  <conditionalFormatting sqref="AU626">
    <cfRule type="cellIs" dxfId="0" priority="4297" operator="lessThan">
      <formula>20</formula>
    </cfRule>
    <cfRule type="cellIs" dxfId="1" priority="3452" operator="greaterThan">
      <formula>120</formula>
    </cfRule>
    <cfRule type="containsText" dxfId="2" priority="2607" operator="between" text="库存为">
      <formula>NOT(ISERROR(SEARCH("库存为",AU626)))</formula>
    </cfRule>
  </conditionalFormatting>
  <conditionalFormatting sqref="AU627">
    <cfRule type="cellIs" dxfId="0" priority="4296" operator="lessThan">
      <formula>20</formula>
    </cfRule>
    <cfRule type="cellIs" dxfId="1" priority="3451" operator="greaterThan">
      <formula>120</formula>
    </cfRule>
    <cfRule type="containsText" dxfId="2" priority="2606" operator="between" text="库存为">
      <formula>NOT(ISERROR(SEARCH("库存为",AU627)))</formula>
    </cfRule>
  </conditionalFormatting>
  <conditionalFormatting sqref="AU628">
    <cfRule type="cellIs" dxfId="0" priority="4295" operator="lessThan">
      <formula>20</formula>
    </cfRule>
    <cfRule type="cellIs" dxfId="1" priority="3450" operator="greaterThan">
      <formula>120</formula>
    </cfRule>
    <cfRule type="containsText" dxfId="2" priority="2605" operator="between" text="库存为">
      <formula>NOT(ISERROR(SEARCH("库存为",AU628)))</formula>
    </cfRule>
  </conditionalFormatting>
  <conditionalFormatting sqref="AU629">
    <cfRule type="cellIs" dxfId="0" priority="4294" operator="lessThan">
      <formula>20</formula>
    </cfRule>
    <cfRule type="cellIs" dxfId="1" priority="3449" operator="greaterThan">
      <formula>120</formula>
    </cfRule>
    <cfRule type="containsText" dxfId="2" priority="2604" operator="between" text="库存为">
      <formula>NOT(ISERROR(SEARCH("库存为",AU629)))</formula>
    </cfRule>
  </conditionalFormatting>
  <conditionalFormatting sqref="AU630">
    <cfRule type="cellIs" dxfId="0" priority="4293" operator="lessThan">
      <formula>20</formula>
    </cfRule>
    <cfRule type="cellIs" dxfId="1" priority="3448" operator="greaterThan">
      <formula>120</formula>
    </cfRule>
    <cfRule type="containsText" dxfId="2" priority="2603" operator="between" text="库存为">
      <formula>NOT(ISERROR(SEARCH("库存为",AU630)))</formula>
    </cfRule>
  </conditionalFormatting>
  <conditionalFormatting sqref="AU631">
    <cfRule type="cellIs" dxfId="0" priority="4292" operator="lessThan">
      <formula>20</formula>
    </cfRule>
    <cfRule type="cellIs" dxfId="1" priority="3447" operator="greaterThan">
      <formula>120</formula>
    </cfRule>
    <cfRule type="containsText" dxfId="2" priority="2602" operator="between" text="库存为">
      <formula>NOT(ISERROR(SEARCH("库存为",AU631)))</formula>
    </cfRule>
  </conditionalFormatting>
  <conditionalFormatting sqref="AU632">
    <cfRule type="cellIs" dxfId="0" priority="4291" operator="lessThan">
      <formula>20</formula>
    </cfRule>
    <cfRule type="cellIs" dxfId="1" priority="3446" operator="greaterThan">
      <formula>120</formula>
    </cfRule>
    <cfRule type="containsText" dxfId="2" priority="2601" operator="between" text="库存为">
      <formula>NOT(ISERROR(SEARCH("库存为",AU632)))</formula>
    </cfRule>
  </conditionalFormatting>
  <conditionalFormatting sqref="AU633">
    <cfRule type="cellIs" dxfId="0" priority="4290" operator="lessThan">
      <formula>20</formula>
    </cfRule>
    <cfRule type="cellIs" dxfId="1" priority="3445" operator="greaterThan">
      <formula>120</formula>
    </cfRule>
    <cfRule type="containsText" dxfId="2" priority="2600" operator="between" text="库存为">
      <formula>NOT(ISERROR(SEARCH("库存为",AU633)))</formula>
    </cfRule>
  </conditionalFormatting>
  <conditionalFormatting sqref="AU634">
    <cfRule type="cellIs" dxfId="0" priority="4289" operator="lessThan">
      <formula>20</formula>
    </cfRule>
    <cfRule type="cellIs" dxfId="1" priority="3444" operator="greaterThan">
      <formula>120</formula>
    </cfRule>
    <cfRule type="containsText" dxfId="2" priority="2599" operator="between" text="库存为">
      <formula>NOT(ISERROR(SEARCH("库存为",AU634)))</formula>
    </cfRule>
  </conditionalFormatting>
  <conditionalFormatting sqref="AU635">
    <cfRule type="cellIs" dxfId="0" priority="4288" operator="lessThan">
      <formula>20</formula>
    </cfRule>
    <cfRule type="cellIs" dxfId="1" priority="3443" operator="greaterThan">
      <formula>120</formula>
    </cfRule>
    <cfRule type="containsText" dxfId="2" priority="2598" operator="between" text="库存为">
      <formula>NOT(ISERROR(SEARCH("库存为",AU635)))</formula>
    </cfRule>
  </conditionalFormatting>
  <conditionalFormatting sqref="AU636">
    <cfRule type="cellIs" dxfId="0" priority="4287" operator="lessThan">
      <formula>20</formula>
    </cfRule>
    <cfRule type="cellIs" dxfId="1" priority="3442" operator="greaterThan">
      <formula>120</formula>
    </cfRule>
    <cfRule type="containsText" dxfId="2" priority="2597" operator="between" text="库存为">
      <formula>NOT(ISERROR(SEARCH("库存为",AU636)))</formula>
    </cfRule>
  </conditionalFormatting>
  <conditionalFormatting sqref="AU637">
    <cfRule type="cellIs" dxfId="0" priority="4286" operator="lessThan">
      <formula>20</formula>
    </cfRule>
    <cfRule type="cellIs" dxfId="1" priority="3441" operator="greaterThan">
      <formula>120</formula>
    </cfRule>
    <cfRule type="containsText" dxfId="2" priority="2596" operator="between" text="库存为">
      <formula>NOT(ISERROR(SEARCH("库存为",AU637)))</formula>
    </cfRule>
  </conditionalFormatting>
  <conditionalFormatting sqref="AU638">
    <cfRule type="cellIs" dxfId="0" priority="4285" operator="lessThan">
      <formula>20</formula>
    </cfRule>
    <cfRule type="cellIs" dxfId="1" priority="3440" operator="greaterThan">
      <formula>120</formula>
    </cfRule>
    <cfRule type="containsText" dxfId="2" priority="2595" operator="between" text="库存为">
      <formula>NOT(ISERROR(SEARCH("库存为",AU638)))</formula>
    </cfRule>
  </conditionalFormatting>
  <conditionalFormatting sqref="AU639">
    <cfRule type="cellIs" dxfId="0" priority="4284" operator="lessThan">
      <formula>20</formula>
    </cfRule>
    <cfRule type="cellIs" dxfId="1" priority="3439" operator="greaterThan">
      <formula>120</formula>
    </cfRule>
    <cfRule type="containsText" dxfId="2" priority="2594" operator="between" text="库存为">
      <formula>NOT(ISERROR(SEARCH("库存为",AU639)))</formula>
    </cfRule>
  </conditionalFormatting>
  <conditionalFormatting sqref="AU640">
    <cfRule type="cellIs" dxfId="0" priority="4283" operator="lessThan">
      <formula>20</formula>
    </cfRule>
    <cfRule type="cellIs" dxfId="1" priority="3438" operator="greaterThan">
      <formula>120</formula>
    </cfRule>
    <cfRule type="containsText" dxfId="2" priority="2593" operator="between" text="库存为">
      <formula>NOT(ISERROR(SEARCH("库存为",AU640)))</formula>
    </cfRule>
  </conditionalFormatting>
  <conditionalFormatting sqref="AU641">
    <cfRule type="cellIs" dxfId="0" priority="4282" operator="lessThan">
      <formula>20</formula>
    </cfRule>
    <cfRule type="cellIs" dxfId="1" priority="3437" operator="greaterThan">
      <formula>120</formula>
    </cfRule>
    <cfRule type="containsText" dxfId="2" priority="2592" operator="between" text="库存为">
      <formula>NOT(ISERROR(SEARCH("库存为",AU641)))</formula>
    </cfRule>
  </conditionalFormatting>
  <conditionalFormatting sqref="AU642">
    <cfRule type="cellIs" dxfId="0" priority="4281" operator="lessThan">
      <formula>20</formula>
    </cfRule>
    <cfRule type="cellIs" dxfId="1" priority="3436" operator="greaterThan">
      <formula>120</formula>
    </cfRule>
    <cfRule type="containsText" dxfId="2" priority="2591" operator="between" text="库存为">
      <formula>NOT(ISERROR(SEARCH("库存为",AU642)))</formula>
    </cfRule>
  </conditionalFormatting>
  <conditionalFormatting sqref="AU643">
    <cfRule type="cellIs" dxfId="0" priority="4280" operator="lessThan">
      <formula>20</formula>
    </cfRule>
    <cfRule type="cellIs" dxfId="1" priority="3435" operator="greaterThan">
      <formula>120</formula>
    </cfRule>
    <cfRule type="containsText" dxfId="2" priority="2590" operator="between" text="库存为">
      <formula>NOT(ISERROR(SEARCH("库存为",AU643)))</formula>
    </cfRule>
  </conditionalFormatting>
  <conditionalFormatting sqref="AU644">
    <cfRule type="cellIs" dxfId="0" priority="4279" operator="lessThan">
      <formula>20</formula>
    </cfRule>
    <cfRule type="cellIs" dxfId="1" priority="3434" operator="greaterThan">
      <formula>120</formula>
    </cfRule>
    <cfRule type="containsText" dxfId="2" priority="2589" operator="between" text="库存为">
      <formula>NOT(ISERROR(SEARCH("库存为",AU644)))</formula>
    </cfRule>
  </conditionalFormatting>
  <conditionalFormatting sqref="AU645">
    <cfRule type="cellIs" dxfId="0" priority="4278" operator="lessThan">
      <formula>20</formula>
    </cfRule>
    <cfRule type="cellIs" dxfId="1" priority="3433" operator="greaterThan">
      <formula>120</formula>
    </cfRule>
    <cfRule type="containsText" dxfId="2" priority="2588" operator="between" text="库存为">
      <formula>NOT(ISERROR(SEARCH("库存为",AU645)))</formula>
    </cfRule>
  </conditionalFormatting>
  <conditionalFormatting sqref="AU646">
    <cfRule type="cellIs" dxfId="0" priority="4277" operator="lessThan">
      <formula>20</formula>
    </cfRule>
    <cfRule type="cellIs" dxfId="1" priority="3432" operator="greaterThan">
      <formula>120</formula>
    </cfRule>
    <cfRule type="containsText" dxfId="2" priority="2587" operator="between" text="库存为">
      <formula>NOT(ISERROR(SEARCH("库存为",AU646)))</formula>
    </cfRule>
  </conditionalFormatting>
  <conditionalFormatting sqref="AU647">
    <cfRule type="cellIs" dxfId="0" priority="4276" operator="lessThan">
      <formula>20</formula>
    </cfRule>
    <cfRule type="cellIs" dxfId="1" priority="3431" operator="greaterThan">
      <formula>120</formula>
    </cfRule>
    <cfRule type="containsText" dxfId="2" priority="2586" operator="between" text="库存为">
      <formula>NOT(ISERROR(SEARCH("库存为",AU647)))</formula>
    </cfRule>
  </conditionalFormatting>
  <conditionalFormatting sqref="AU648">
    <cfRule type="cellIs" dxfId="0" priority="4275" operator="lessThan">
      <formula>20</formula>
    </cfRule>
    <cfRule type="cellIs" dxfId="1" priority="3430" operator="greaterThan">
      <formula>120</formula>
    </cfRule>
    <cfRule type="containsText" dxfId="2" priority="2585" operator="between" text="库存为">
      <formula>NOT(ISERROR(SEARCH("库存为",AU648)))</formula>
    </cfRule>
  </conditionalFormatting>
  <conditionalFormatting sqref="AU649">
    <cfRule type="cellIs" dxfId="0" priority="4274" operator="lessThan">
      <formula>20</formula>
    </cfRule>
    <cfRule type="cellIs" dxfId="1" priority="3429" operator="greaterThan">
      <formula>120</formula>
    </cfRule>
    <cfRule type="containsText" dxfId="2" priority="2584" operator="between" text="库存为">
      <formula>NOT(ISERROR(SEARCH("库存为",AU649)))</formula>
    </cfRule>
  </conditionalFormatting>
  <conditionalFormatting sqref="AU650">
    <cfRule type="cellIs" dxfId="0" priority="4273" operator="lessThan">
      <formula>20</formula>
    </cfRule>
    <cfRule type="cellIs" dxfId="1" priority="3428" operator="greaterThan">
      <formula>120</formula>
    </cfRule>
    <cfRule type="containsText" dxfId="2" priority="2583" operator="between" text="库存为">
      <formula>NOT(ISERROR(SEARCH("库存为",AU650)))</formula>
    </cfRule>
  </conditionalFormatting>
  <conditionalFormatting sqref="AU651">
    <cfRule type="cellIs" dxfId="0" priority="4272" operator="lessThan">
      <formula>20</formula>
    </cfRule>
    <cfRule type="cellIs" dxfId="1" priority="3427" operator="greaterThan">
      <formula>120</formula>
    </cfRule>
    <cfRule type="containsText" dxfId="2" priority="2582" operator="between" text="库存为">
      <formula>NOT(ISERROR(SEARCH("库存为",AU651)))</formula>
    </cfRule>
  </conditionalFormatting>
  <conditionalFormatting sqref="AU652">
    <cfRule type="cellIs" dxfId="0" priority="4271" operator="lessThan">
      <formula>20</formula>
    </cfRule>
    <cfRule type="cellIs" dxfId="1" priority="3426" operator="greaterThan">
      <formula>120</formula>
    </cfRule>
    <cfRule type="containsText" dxfId="2" priority="2581" operator="between" text="库存为">
      <formula>NOT(ISERROR(SEARCH("库存为",AU652)))</formula>
    </cfRule>
  </conditionalFormatting>
  <conditionalFormatting sqref="AU653">
    <cfRule type="cellIs" dxfId="0" priority="4270" operator="lessThan">
      <formula>20</formula>
    </cfRule>
    <cfRule type="cellIs" dxfId="1" priority="3425" operator="greaterThan">
      <formula>120</formula>
    </cfRule>
    <cfRule type="containsText" dxfId="2" priority="2580" operator="between" text="库存为">
      <formula>NOT(ISERROR(SEARCH("库存为",AU653)))</formula>
    </cfRule>
  </conditionalFormatting>
  <conditionalFormatting sqref="AU654">
    <cfRule type="cellIs" dxfId="0" priority="4269" operator="lessThan">
      <formula>20</formula>
    </cfRule>
    <cfRule type="cellIs" dxfId="1" priority="3424" operator="greaterThan">
      <formula>120</formula>
    </cfRule>
    <cfRule type="containsText" dxfId="2" priority="2579" operator="between" text="库存为">
      <formula>NOT(ISERROR(SEARCH("库存为",AU654)))</formula>
    </cfRule>
  </conditionalFormatting>
  <conditionalFormatting sqref="AU655">
    <cfRule type="cellIs" dxfId="0" priority="4268" operator="lessThan">
      <formula>20</formula>
    </cfRule>
    <cfRule type="cellIs" dxfId="1" priority="3423" operator="greaterThan">
      <formula>120</formula>
    </cfRule>
    <cfRule type="containsText" dxfId="2" priority="2578" operator="between" text="库存为">
      <formula>NOT(ISERROR(SEARCH("库存为",AU655)))</formula>
    </cfRule>
  </conditionalFormatting>
  <conditionalFormatting sqref="AU656">
    <cfRule type="cellIs" dxfId="0" priority="4267" operator="lessThan">
      <formula>20</formula>
    </cfRule>
    <cfRule type="cellIs" dxfId="1" priority="3422" operator="greaterThan">
      <formula>120</formula>
    </cfRule>
    <cfRule type="containsText" dxfId="2" priority="2577" operator="between" text="库存为">
      <formula>NOT(ISERROR(SEARCH("库存为",AU656)))</formula>
    </cfRule>
  </conditionalFormatting>
  <conditionalFormatting sqref="AU657">
    <cfRule type="cellIs" dxfId="0" priority="4266" operator="lessThan">
      <formula>20</formula>
    </cfRule>
    <cfRule type="cellIs" dxfId="1" priority="3421" operator="greaterThan">
      <formula>120</formula>
    </cfRule>
    <cfRule type="containsText" dxfId="2" priority="2576" operator="between" text="库存为">
      <formula>NOT(ISERROR(SEARCH("库存为",AU657)))</formula>
    </cfRule>
  </conditionalFormatting>
  <conditionalFormatting sqref="AU658">
    <cfRule type="cellIs" dxfId="0" priority="4265" operator="lessThan">
      <formula>20</formula>
    </cfRule>
    <cfRule type="cellIs" dxfId="1" priority="3420" operator="greaterThan">
      <formula>120</formula>
    </cfRule>
    <cfRule type="containsText" dxfId="2" priority="2575" operator="between" text="库存为">
      <formula>NOT(ISERROR(SEARCH("库存为",AU658)))</formula>
    </cfRule>
  </conditionalFormatting>
  <conditionalFormatting sqref="AU659">
    <cfRule type="cellIs" dxfId="0" priority="4264" operator="lessThan">
      <formula>20</formula>
    </cfRule>
    <cfRule type="cellIs" dxfId="1" priority="3419" operator="greaterThan">
      <formula>120</formula>
    </cfRule>
    <cfRule type="containsText" dxfId="2" priority="2574" operator="between" text="库存为">
      <formula>NOT(ISERROR(SEARCH("库存为",AU659)))</formula>
    </cfRule>
  </conditionalFormatting>
  <conditionalFormatting sqref="AU660">
    <cfRule type="cellIs" dxfId="0" priority="4263" operator="lessThan">
      <formula>20</formula>
    </cfRule>
    <cfRule type="cellIs" dxfId="1" priority="3418" operator="greaterThan">
      <formula>120</formula>
    </cfRule>
    <cfRule type="containsText" dxfId="2" priority="2573" operator="between" text="库存为">
      <formula>NOT(ISERROR(SEARCH("库存为",AU660)))</formula>
    </cfRule>
  </conditionalFormatting>
  <conditionalFormatting sqref="AU661">
    <cfRule type="cellIs" dxfId="0" priority="4262" operator="lessThan">
      <formula>20</formula>
    </cfRule>
    <cfRule type="cellIs" dxfId="1" priority="3417" operator="greaterThan">
      <formula>120</formula>
    </cfRule>
    <cfRule type="containsText" dxfId="2" priority="2572" operator="between" text="库存为">
      <formula>NOT(ISERROR(SEARCH("库存为",AU661)))</formula>
    </cfRule>
  </conditionalFormatting>
  <conditionalFormatting sqref="AU662">
    <cfRule type="cellIs" dxfId="0" priority="4261" operator="lessThan">
      <formula>20</formula>
    </cfRule>
    <cfRule type="cellIs" dxfId="1" priority="3416" operator="greaterThan">
      <formula>120</formula>
    </cfRule>
    <cfRule type="containsText" dxfId="2" priority="2571" operator="between" text="库存为">
      <formula>NOT(ISERROR(SEARCH("库存为",AU662)))</formula>
    </cfRule>
  </conditionalFormatting>
  <conditionalFormatting sqref="AU663">
    <cfRule type="cellIs" dxfId="0" priority="4260" operator="lessThan">
      <formula>20</formula>
    </cfRule>
    <cfRule type="cellIs" dxfId="1" priority="3415" operator="greaterThan">
      <formula>120</formula>
    </cfRule>
    <cfRule type="containsText" dxfId="2" priority="2570" operator="between" text="库存为">
      <formula>NOT(ISERROR(SEARCH("库存为",AU663)))</formula>
    </cfRule>
  </conditionalFormatting>
  <conditionalFormatting sqref="AU664">
    <cfRule type="cellIs" dxfId="0" priority="4259" operator="lessThan">
      <formula>20</formula>
    </cfRule>
    <cfRule type="cellIs" dxfId="1" priority="3414" operator="greaterThan">
      <formula>120</formula>
    </cfRule>
    <cfRule type="containsText" dxfId="2" priority="2569" operator="between" text="库存为">
      <formula>NOT(ISERROR(SEARCH("库存为",AU664)))</formula>
    </cfRule>
  </conditionalFormatting>
  <conditionalFormatting sqref="AU665">
    <cfRule type="cellIs" dxfId="0" priority="4258" operator="lessThan">
      <formula>20</formula>
    </cfRule>
    <cfRule type="cellIs" dxfId="1" priority="3413" operator="greaterThan">
      <formula>120</formula>
    </cfRule>
    <cfRule type="containsText" dxfId="2" priority="2568" operator="between" text="库存为">
      <formula>NOT(ISERROR(SEARCH("库存为",AU665)))</formula>
    </cfRule>
  </conditionalFormatting>
  <conditionalFormatting sqref="AU666">
    <cfRule type="cellIs" dxfId="0" priority="4257" operator="lessThan">
      <formula>20</formula>
    </cfRule>
    <cfRule type="cellIs" dxfId="1" priority="3412" operator="greaterThan">
      <formula>120</formula>
    </cfRule>
    <cfRule type="containsText" dxfId="2" priority="2567" operator="between" text="库存为">
      <formula>NOT(ISERROR(SEARCH("库存为",AU666)))</formula>
    </cfRule>
  </conditionalFormatting>
  <conditionalFormatting sqref="AU667">
    <cfRule type="cellIs" dxfId="0" priority="4256" operator="lessThan">
      <formula>20</formula>
    </cfRule>
    <cfRule type="cellIs" dxfId="1" priority="3411" operator="greaterThan">
      <formula>120</formula>
    </cfRule>
    <cfRule type="containsText" dxfId="2" priority="2566" operator="between" text="库存为">
      <formula>NOT(ISERROR(SEARCH("库存为",AU667)))</formula>
    </cfRule>
  </conditionalFormatting>
  <conditionalFormatting sqref="AU668">
    <cfRule type="cellIs" dxfId="0" priority="4255" operator="lessThan">
      <formula>20</formula>
    </cfRule>
    <cfRule type="cellIs" dxfId="1" priority="3410" operator="greaterThan">
      <formula>120</formula>
    </cfRule>
    <cfRule type="containsText" dxfId="2" priority="2565" operator="between" text="库存为">
      <formula>NOT(ISERROR(SEARCH("库存为",AU668)))</formula>
    </cfRule>
  </conditionalFormatting>
  <conditionalFormatting sqref="AU669">
    <cfRule type="cellIs" dxfId="0" priority="4254" operator="lessThan">
      <formula>20</formula>
    </cfRule>
    <cfRule type="cellIs" dxfId="1" priority="3409" operator="greaterThan">
      <formula>120</formula>
    </cfRule>
    <cfRule type="containsText" dxfId="2" priority="2564" operator="between" text="库存为">
      <formula>NOT(ISERROR(SEARCH("库存为",AU669)))</formula>
    </cfRule>
  </conditionalFormatting>
  <conditionalFormatting sqref="AU670">
    <cfRule type="cellIs" dxfId="0" priority="4253" operator="lessThan">
      <formula>20</formula>
    </cfRule>
    <cfRule type="cellIs" dxfId="1" priority="3408" operator="greaterThan">
      <formula>120</formula>
    </cfRule>
    <cfRule type="containsText" dxfId="2" priority="2563" operator="between" text="库存为">
      <formula>NOT(ISERROR(SEARCH("库存为",AU670)))</formula>
    </cfRule>
  </conditionalFormatting>
  <conditionalFormatting sqref="AU671">
    <cfRule type="cellIs" dxfId="0" priority="4252" operator="lessThan">
      <formula>20</formula>
    </cfRule>
    <cfRule type="cellIs" dxfId="1" priority="3407" operator="greaterThan">
      <formula>120</formula>
    </cfRule>
    <cfRule type="containsText" dxfId="2" priority="2562" operator="between" text="库存为">
      <formula>NOT(ISERROR(SEARCH("库存为",AU671)))</formula>
    </cfRule>
  </conditionalFormatting>
  <conditionalFormatting sqref="AU672">
    <cfRule type="cellIs" dxfId="0" priority="4251" operator="lessThan">
      <formula>20</formula>
    </cfRule>
    <cfRule type="cellIs" dxfId="1" priority="3406" operator="greaterThan">
      <formula>120</formula>
    </cfRule>
    <cfRule type="containsText" dxfId="2" priority="2561" operator="between" text="库存为">
      <formula>NOT(ISERROR(SEARCH("库存为",AU672)))</formula>
    </cfRule>
  </conditionalFormatting>
  <conditionalFormatting sqref="AU673">
    <cfRule type="cellIs" dxfId="0" priority="4250" operator="lessThan">
      <formula>20</formula>
    </cfRule>
    <cfRule type="cellIs" dxfId="1" priority="3405" operator="greaterThan">
      <formula>120</formula>
    </cfRule>
    <cfRule type="containsText" dxfId="2" priority="2560" operator="between" text="库存为">
      <formula>NOT(ISERROR(SEARCH("库存为",AU673)))</formula>
    </cfRule>
  </conditionalFormatting>
  <conditionalFormatting sqref="AU674">
    <cfRule type="cellIs" dxfId="0" priority="4249" operator="lessThan">
      <formula>20</formula>
    </cfRule>
    <cfRule type="cellIs" dxfId="1" priority="3404" operator="greaterThan">
      <formula>120</formula>
    </cfRule>
    <cfRule type="containsText" dxfId="2" priority="2559" operator="between" text="库存为">
      <formula>NOT(ISERROR(SEARCH("库存为",AU674)))</formula>
    </cfRule>
  </conditionalFormatting>
  <conditionalFormatting sqref="AU675">
    <cfRule type="cellIs" dxfId="0" priority="4248" operator="lessThan">
      <formula>20</formula>
    </cfRule>
    <cfRule type="cellIs" dxfId="1" priority="3403" operator="greaterThan">
      <formula>120</formula>
    </cfRule>
    <cfRule type="containsText" dxfId="2" priority="2558" operator="between" text="库存为">
      <formula>NOT(ISERROR(SEARCH("库存为",AU675)))</formula>
    </cfRule>
  </conditionalFormatting>
  <conditionalFormatting sqref="AU676">
    <cfRule type="cellIs" dxfId="0" priority="4247" operator="lessThan">
      <formula>20</formula>
    </cfRule>
    <cfRule type="cellIs" dxfId="1" priority="3402" operator="greaterThan">
      <formula>120</formula>
    </cfRule>
    <cfRule type="containsText" dxfId="2" priority="2557" operator="between" text="库存为">
      <formula>NOT(ISERROR(SEARCH("库存为",AU676)))</formula>
    </cfRule>
  </conditionalFormatting>
  <conditionalFormatting sqref="AU677">
    <cfRule type="cellIs" dxfId="0" priority="4246" operator="lessThan">
      <formula>20</formula>
    </cfRule>
    <cfRule type="cellIs" dxfId="1" priority="3401" operator="greaterThan">
      <formula>120</formula>
    </cfRule>
    <cfRule type="containsText" dxfId="2" priority="2556" operator="between" text="库存为">
      <formula>NOT(ISERROR(SEARCH("库存为",AU677)))</formula>
    </cfRule>
  </conditionalFormatting>
  <conditionalFormatting sqref="AU678">
    <cfRule type="cellIs" dxfId="0" priority="4245" operator="lessThan">
      <formula>20</formula>
    </cfRule>
    <cfRule type="cellIs" dxfId="1" priority="3400" operator="greaterThan">
      <formula>120</formula>
    </cfRule>
    <cfRule type="containsText" dxfId="2" priority="2555" operator="between" text="库存为">
      <formula>NOT(ISERROR(SEARCH("库存为",AU678)))</formula>
    </cfRule>
  </conditionalFormatting>
  <conditionalFormatting sqref="AU679">
    <cfRule type="cellIs" dxfId="0" priority="4244" operator="lessThan">
      <formula>20</formula>
    </cfRule>
    <cfRule type="cellIs" dxfId="1" priority="3399" operator="greaterThan">
      <formula>120</formula>
    </cfRule>
    <cfRule type="containsText" dxfId="2" priority="2554" operator="between" text="库存为">
      <formula>NOT(ISERROR(SEARCH("库存为",AU679)))</formula>
    </cfRule>
  </conditionalFormatting>
  <conditionalFormatting sqref="AU680">
    <cfRule type="cellIs" dxfId="0" priority="4243" operator="lessThan">
      <formula>20</formula>
    </cfRule>
    <cfRule type="cellIs" dxfId="1" priority="3398" operator="greaterThan">
      <formula>120</formula>
    </cfRule>
    <cfRule type="containsText" dxfId="2" priority="2553" operator="between" text="库存为">
      <formula>NOT(ISERROR(SEARCH("库存为",AU680)))</formula>
    </cfRule>
  </conditionalFormatting>
  <conditionalFormatting sqref="AU681">
    <cfRule type="cellIs" dxfId="0" priority="4242" operator="lessThan">
      <formula>20</formula>
    </cfRule>
    <cfRule type="cellIs" dxfId="1" priority="3397" operator="greaterThan">
      <formula>120</formula>
    </cfRule>
    <cfRule type="containsText" dxfId="2" priority="2552" operator="between" text="库存为">
      <formula>NOT(ISERROR(SEARCH("库存为",AU681)))</formula>
    </cfRule>
  </conditionalFormatting>
  <conditionalFormatting sqref="AU682">
    <cfRule type="cellIs" dxfId="0" priority="4241" operator="lessThan">
      <formula>20</formula>
    </cfRule>
    <cfRule type="cellIs" dxfId="1" priority="3396" operator="greaterThan">
      <formula>120</formula>
    </cfRule>
    <cfRule type="containsText" dxfId="2" priority="2551" operator="between" text="库存为">
      <formula>NOT(ISERROR(SEARCH("库存为",AU682)))</formula>
    </cfRule>
  </conditionalFormatting>
  <conditionalFormatting sqref="AU683">
    <cfRule type="cellIs" dxfId="0" priority="4240" operator="lessThan">
      <formula>20</formula>
    </cfRule>
    <cfRule type="cellIs" dxfId="1" priority="3395" operator="greaterThan">
      <formula>120</formula>
    </cfRule>
    <cfRule type="containsText" dxfId="2" priority="2550" operator="between" text="库存为">
      <formula>NOT(ISERROR(SEARCH("库存为",AU683)))</formula>
    </cfRule>
  </conditionalFormatting>
  <conditionalFormatting sqref="AU684">
    <cfRule type="cellIs" dxfId="0" priority="4239" operator="lessThan">
      <formula>20</formula>
    </cfRule>
    <cfRule type="cellIs" dxfId="1" priority="3394" operator="greaterThan">
      <formula>120</formula>
    </cfRule>
    <cfRule type="containsText" dxfId="2" priority="2549" operator="between" text="库存为">
      <formula>NOT(ISERROR(SEARCH("库存为",AU684)))</formula>
    </cfRule>
  </conditionalFormatting>
  <conditionalFormatting sqref="AU685">
    <cfRule type="cellIs" dxfId="0" priority="4238" operator="lessThan">
      <formula>20</formula>
    </cfRule>
    <cfRule type="cellIs" dxfId="1" priority="3393" operator="greaterThan">
      <formula>120</formula>
    </cfRule>
    <cfRule type="containsText" dxfId="2" priority="2548" operator="between" text="库存为">
      <formula>NOT(ISERROR(SEARCH("库存为",AU685)))</formula>
    </cfRule>
  </conditionalFormatting>
  <conditionalFormatting sqref="AU686">
    <cfRule type="cellIs" dxfId="0" priority="4237" operator="lessThan">
      <formula>20</formula>
    </cfRule>
    <cfRule type="cellIs" dxfId="1" priority="3392" operator="greaterThan">
      <formula>120</formula>
    </cfRule>
    <cfRule type="containsText" dxfId="2" priority="2547" operator="between" text="库存为">
      <formula>NOT(ISERROR(SEARCH("库存为",AU686)))</formula>
    </cfRule>
  </conditionalFormatting>
  <conditionalFormatting sqref="AU687">
    <cfRule type="cellIs" dxfId="0" priority="4236" operator="lessThan">
      <formula>20</formula>
    </cfRule>
    <cfRule type="cellIs" dxfId="1" priority="3391" operator="greaterThan">
      <formula>120</formula>
    </cfRule>
    <cfRule type="containsText" dxfId="2" priority="2546" operator="between" text="库存为">
      <formula>NOT(ISERROR(SEARCH("库存为",AU687)))</formula>
    </cfRule>
  </conditionalFormatting>
  <conditionalFormatting sqref="AU688">
    <cfRule type="cellIs" dxfId="0" priority="4235" operator="lessThan">
      <formula>20</formula>
    </cfRule>
    <cfRule type="cellIs" dxfId="1" priority="3390" operator="greaterThan">
      <formula>120</formula>
    </cfRule>
    <cfRule type="containsText" dxfId="2" priority="2545" operator="between" text="库存为">
      <formula>NOT(ISERROR(SEARCH("库存为",AU688)))</formula>
    </cfRule>
  </conditionalFormatting>
  <conditionalFormatting sqref="AU689">
    <cfRule type="cellIs" dxfId="0" priority="4234" operator="lessThan">
      <formula>20</formula>
    </cfRule>
    <cfRule type="cellIs" dxfId="1" priority="3389" operator="greaterThan">
      <formula>120</formula>
    </cfRule>
    <cfRule type="containsText" dxfId="2" priority="2544" operator="between" text="库存为">
      <formula>NOT(ISERROR(SEARCH("库存为",AU689)))</formula>
    </cfRule>
  </conditionalFormatting>
  <conditionalFormatting sqref="AU690">
    <cfRule type="cellIs" dxfId="0" priority="4233" operator="lessThan">
      <formula>20</formula>
    </cfRule>
    <cfRule type="cellIs" dxfId="1" priority="3388" operator="greaterThan">
      <formula>120</formula>
    </cfRule>
    <cfRule type="containsText" dxfId="2" priority="2543" operator="between" text="库存为">
      <formula>NOT(ISERROR(SEARCH("库存为",AU690)))</formula>
    </cfRule>
  </conditionalFormatting>
  <conditionalFormatting sqref="AU691">
    <cfRule type="cellIs" dxfId="0" priority="4232" operator="lessThan">
      <formula>20</formula>
    </cfRule>
    <cfRule type="cellIs" dxfId="1" priority="3387" operator="greaterThan">
      <formula>120</formula>
    </cfRule>
    <cfRule type="containsText" dxfId="2" priority="2542" operator="between" text="库存为">
      <formula>NOT(ISERROR(SEARCH("库存为",AU691)))</formula>
    </cfRule>
  </conditionalFormatting>
  <conditionalFormatting sqref="AU692">
    <cfRule type="cellIs" dxfId="0" priority="4231" operator="lessThan">
      <formula>20</formula>
    </cfRule>
    <cfRule type="cellIs" dxfId="1" priority="3386" operator="greaterThan">
      <formula>120</formula>
    </cfRule>
    <cfRule type="containsText" dxfId="2" priority="2541" operator="between" text="库存为">
      <formula>NOT(ISERROR(SEARCH("库存为",AU692)))</formula>
    </cfRule>
  </conditionalFormatting>
  <conditionalFormatting sqref="AU693">
    <cfRule type="cellIs" dxfId="0" priority="4230" operator="lessThan">
      <formula>20</formula>
    </cfRule>
    <cfRule type="cellIs" dxfId="1" priority="3385" operator="greaterThan">
      <formula>120</formula>
    </cfRule>
    <cfRule type="containsText" dxfId="2" priority="2540" operator="between" text="库存为">
      <formula>NOT(ISERROR(SEARCH("库存为",AU693)))</formula>
    </cfRule>
  </conditionalFormatting>
  <conditionalFormatting sqref="AU694">
    <cfRule type="cellIs" dxfId="0" priority="4229" operator="lessThan">
      <formula>20</formula>
    </cfRule>
    <cfRule type="cellIs" dxfId="1" priority="3384" operator="greaterThan">
      <formula>120</formula>
    </cfRule>
    <cfRule type="containsText" dxfId="2" priority="2539" operator="between" text="库存为">
      <formula>NOT(ISERROR(SEARCH("库存为",AU694)))</formula>
    </cfRule>
  </conditionalFormatting>
  <conditionalFormatting sqref="AU695">
    <cfRule type="cellIs" dxfId="0" priority="4228" operator="lessThan">
      <formula>20</formula>
    </cfRule>
    <cfRule type="cellIs" dxfId="1" priority="3383" operator="greaterThan">
      <formula>120</formula>
    </cfRule>
    <cfRule type="containsText" dxfId="2" priority="2538" operator="between" text="库存为">
      <formula>NOT(ISERROR(SEARCH("库存为",AU695)))</formula>
    </cfRule>
  </conditionalFormatting>
  <conditionalFormatting sqref="AU696">
    <cfRule type="cellIs" dxfId="0" priority="4227" operator="lessThan">
      <formula>20</formula>
    </cfRule>
    <cfRule type="cellIs" dxfId="1" priority="3382" operator="greaterThan">
      <formula>120</formula>
    </cfRule>
    <cfRule type="containsText" dxfId="2" priority="2537" operator="between" text="库存为">
      <formula>NOT(ISERROR(SEARCH("库存为",AU696)))</formula>
    </cfRule>
  </conditionalFormatting>
  <conditionalFormatting sqref="AU697">
    <cfRule type="cellIs" dxfId="0" priority="4226" operator="lessThan">
      <formula>20</formula>
    </cfRule>
    <cfRule type="cellIs" dxfId="1" priority="3381" operator="greaterThan">
      <formula>120</formula>
    </cfRule>
    <cfRule type="containsText" dxfId="2" priority="2536" operator="between" text="库存为">
      <formula>NOT(ISERROR(SEARCH("库存为",AU697)))</formula>
    </cfRule>
  </conditionalFormatting>
  <conditionalFormatting sqref="AU698">
    <cfRule type="cellIs" dxfId="0" priority="4225" operator="lessThan">
      <formula>20</formula>
    </cfRule>
    <cfRule type="cellIs" dxfId="1" priority="3380" operator="greaterThan">
      <formula>120</formula>
    </cfRule>
    <cfRule type="containsText" dxfId="2" priority="2535" operator="between" text="库存为">
      <formula>NOT(ISERROR(SEARCH("库存为",AU698)))</formula>
    </cfRule>
  </conditionalFormatting>
  <conditionalFormatting sqref="AU699">
    <cfRule type="cellIs" dxfId="0" priority="4224" operator="lessThan">
      <formula>20</formula>
    </cfRule>
    <cfRule type="cellIs" dxfId="1" priority="3379" operator="greaterThan">
      <formula>120</formula>
    </cfRule>
    <cfRule type="containsText" dxfId="2" priority="2534" operator="between" text="库存为">
      <formula>NOT(ISERROR(SEARCH("库存为",AU699)))</formula>
    </cfRule>
  </conditionalFormatting>
  <conditionalFormatting sqref="AU700">
    <cfRule type="cellIs" dxfId="0" priority="4223" operator="lessThan">
      <formula>20</formula>
    </cfRule>
    <cfRule type="cellIs" dxfId="1" priority="3378" operator="greaterThan">
      <formula>120</formula>
    </cfRule>
    <cfRule type="containsText" dxfId="2" priority="2533" operator="between" text="库存为">
      <formula>NOT(ISERROR(SEARCH("库存为",AU700)))</formula>
    </cfRule>
  </conditionalFormatting>
  <conditionalFormatting sqref="AU701">
    <cfRule type="cellIs" dxfId="0" priority="4222" operator="lessThan">
      <formula>20</formula>
    </cfRule>
    <cfRule type="cellIs" dxfId="1" priority="3377" operator="greaterThan">
      <formula>120</formula>
    </cfRule>
    <cfRule type="containsText" dxfId="2" priority="2532" operator="between" text="库存为">
      <formula>NOT(ISERROR(SEARCH("库存为",AU701)))</formula>
    </cfRule>
  </conditionalFormatting>
  <conditionalFormatting sqref="AU702">
    <cfRule type="cellIs" dxfId="0" priority="4221" operator="lessThan">
      <formula>20</formula>
    </cfRule>
    <cfRule type="cellIs" dxfId="1" priority="3376" operator="greaterThan">
      <formula>120</formula>
    </cfRule>
    <cfRule type="containsText" dxfId="2" priority="2531" operator="between" text="库存为">
      <formula>NOT(ISERROR(SEARCH("库存为",AU702)))</formula>
    </cfRule>
  </conditionalFormatting>
  <conditionalFormatting sqref="AU703">
    <cfRule type="cellIs" dxfId="0" priority="4220" operator="lessThan">
      <formula>20</formula>
    </cfRule>
    <cfRule type="cellIs" dxfId="1" priority="3375" operator="greaterThan">
      <formula>120</formula>
    </cfRule>
    <cfRule type="containsText" dxfId="2" priority="2530" operator="between" text="库存为">
      <formula>NOT(ISERROR(SEARCH("库存为",AU703)))</formula>
    </cfRule>
  </conditionalFormatting>
  <conditionalFormatting sqref="AU704">
    <cfRule type="cellIs" dxfId="0" priority="4219" operator="lessThan">
      <formula>20</formula>
    </cfRule>
    <cfRule type="cellIs" dxfId="1" priority="3374" operator="greaterThan">
      <formula>120</formula>
    </cfRule>
    <cfRule type="containsText" dxfId="2" priority="2529" operator="between" text="库存为">
      <formula>NOT(ISERROR(SEARCH("库存为",AU704)))</formula>
    </cfRule>
  </conditionalFormatting>
  <conditionalFormatting sqref="AU705">
    <cfRule type="cellIs" dxfId="0" priority="4218" operator="lessThan">
      <formula>20</formula>
    </cfRule>
    <cfRule type="cellIs" dxfId="1" priority="3373" operator="greaterThan">
      <formula>120</formula>
    </cfRule>
    <cfRule type="containsText" dxfId="2" priority="2528" operator="between" text="库存为">
      <formula>NOT(ISERROR(SEARCH("库存为",AU705)))</formula>
    </cfRule>
  </conditionalFormatting>
  <conditionalFormatting sqref="AU706">
    <cfRule type="cellIs" dxfId="0" priority="4217" operator="lessThan">
      <formula>20</formula>
    </cfRule>
    <cfRule type="cellIs" dxfId="1" priority="3372" operator="greaterThan">
      <formula>120</formula>
    </cfRule>
    <cfRule type="containsText" dxfId="2" priority="2527" operator="between" text="库存为">
      <formula>NOT(ISERROR(SEARCH("库存为",AU706)))</formula>
    </cfRule>
  </conditionalFormatting>
  <conditionalFormatting sqref="AU707">
    <cfRule type="cellIs" dxfId="0" priority="4216" operator="lessThan">
      <formula>20</formula>
    </cfRule>
    <cfRule type="cellIs" dxfId="1" priority="3371" operator="greaterThan">
      <formula>120</formula>
    </cfRule>
    <cfRule type="containsText" dxfId="2" priority="2526" operator="between" text="库存为">
      <formula>NOT(ISERROR(SEARCH("库存为",AU707)))</formula>
    </cfRule>
  </conditionalFormatting>
  <conditionalFormatting sqref="AU708">
    <cfRule type="cellIs" dxfId="0" priority="4215" operator="lessThan">
      <formula>20</formula>
    </cfRule>
    <cfRule type="cellIs" dxfId="1" priority="3370" operator="greaterThan">
      <formula>120</formula>
    </cfRule>
    <cfRule type="containsText" dxfId="2" priority="2525" operator="between" text="库存为">
      <formula>NOT(ISERROR(SEARCH("库存为",AU708)))</formula>
    </cfRule>
  </conditionalFormatting>
  <conditionalFormatting sqref="AU709">
    <cfRule type="cellIs" dxfId="0" priority="4214" operator="lessThan">
      <formula>20</formula>
    </cfRule>
    <cfRule type="cellIs" dxfId="1" priority="3369" operator="greaterThan">
      <formula>120</formula>
    </cfRule>
    <cfRule type="containsText" dxfId="2" priority="2524" operator="between" text="库存为">
      <formula>NOT(ISERROR(SEARCH("库存为",AU709)))</formula>
    </cfRule>
  </conditionalFormatting>
  <conditionalFormatting sqref="AU710">
    <cfRule type="cellIs" dxfId="0" priority="4213" operator="lessThan">
      <formula>20</formula>
    </cfRule>
    <cfRule type="cellIs" dxfId="1" priority="3368" operator="greaterThan">
      <formula>120</formula>
    </cfRule>
    <cfRule type="containsText" dxfId="2" priority="2523" operator="between" text="库存为">
      <formula>NOT(ISERROR(SEARCH("库存为",AU710)))</formula>
    </cfRule>
  </conditionalFormatting>
  <conditionalFormatting sqref="AU711">
    <cfRule type="cellIs" dxfId="0" priority="4212" operator="lessThan">
      <formula>20</formula>
    </cfRule>
    <cfRule type="cellIs" dxfId="1" priority="3367" operator="greaterThan">
      <formula>120</formula>
    </cfRule>
    <cfRule type="containsText" dxfId="2" priority="2522" operator="between" text="库存为">
      <formula>NOT(ISERROR(SEARCH("库存为",AU711)))</formula>
    </cfRule>
  </conditionalFormatting>
  <conditionalFormatting sqref="AU712">
    <cfRule type="cellIs" dxfId="0" priority="4211" operator="lessThan">
      <formula>20</formula>
    </cfRule>
    <cfRule type="cellIs" dxfId="1" priority="3366" operator="greaterThan">
      <formula>120</formula>
    </cfRule>
    <cfRule type="containsText" dxfId="2" priority="2521" operator="between" text="库存为">
      <formula>NOT(ISERROR(SEARCH("库存为",AU712)))</formula>
    </cfRule>
  </conditionalFormatting>
  <conditionalFormatting sqref="AU713">
    <cfRule type="cellIs" dxfId="0" priority="4210" operator="lessThan">
      <formula>20</formula>
    </cfRule>
    <cfRule type="cellIs" dxfId="1" priority="3365" operator="greaterThan">
      <formula>120</formula>
    </cfRule>
    <cfRule type="containsText" dxfId="2" priority="2520" operator="between" text="库存为">
      <formula>NOT(ISERROR(SEARCH("库存为",AU713)))</formula>
    </cfRule>
  </conditionalFormatting>
  <conditionalFormatting sqref="AU714">
    <cfRule type="cellIs" dxfId="0" priority="4209" operator="lessThan">
      <formula>20</formula>
    </cfRule>
    <cfRule type="cellIs" dxfId="1" priority="3364" operator="greaterThan">
      <formula>120</formula>
    </cfRule>
    <cfRule type="containsText" dxfId="2" priority="2519" operator="between" text="库存为">
      <formula>NOT(ISERROR(SEARCH("库存为",AU714)))</formula>
    </cfRule>
  </conditionalFormatting>
  <conditionalFormatting sqref="AU715">
    <cfRule type="cellIs" dxfId="0" priority="4208" operator="lessThan">
      <formula>20</formula>
    </cfRule>
    <cfRule type="cellIs" dxfId="1" priority="3363" operator="greaterThan">
      <formula>120</formula>
    </cfRule>
    <cfRule type="containsText" dxfId="2" priority="2518" operator="between" text="库存为">
      <formula>NOT(ISERROR(SEARCH("库存为",AU715)))</formula>
    </cfRule>
  </conditionalFormatting>
  <conditionalFormatting sqref="AU716">
    <cfRule type="cellIs" dxfId="0" priority="4207" operator="lessThan">
      <formula>20</formula>
    </cfRule>
    <cfRule type="cellIs" dxfId="1" priority="3362" operator="greaterThan">
      <formula>120</formula>
    </cfRule>
    <cfRule type="containsText" dxfId="2" priority="2517" operator="between" text="库存为">
      <formula>NOT(ISERROR(SEARCH("库存为",AU716)))</formula>
    </cfRule>
  </conditionalFormatting>
  <conditionalFormatting sqref="AU717">
    <cfRule type="cellIs" dxfId="0" priority="4206" operator="lessThan">
      <formula>20</formula>
    </cfRule>
    <cfRule type="cellIs" dxfId="1" priority="3361" operator="greaterThan">
      <formula>120</formula>
    </cfRule>
    <cfRule type="containsText" dxfId="2" priority="2516" operator="between" text="库存为">
      <formula>NOT(ISERROR(SEARCH("库存为",AU717)))</formula>
    </cfRule>
  </conditionalFormatting>
  <conditionalFormatting sqref="AU718">
    <cfRule type="cellIs" dxfId="0" priority="4205" operator="lessThan">
      <formula>20</formula>
    </cfRule>
    <cfRule type="cellIs" dxfId="1" priority="3360" operator="greaterThan">
      <formula>120</formula>
    </cfRule>
    <cfRule type="containsText" dxfId="2" priority="2515" operator="between" text="库存为">
      <formula>NOT(ISERROR(SEARCH("库存为",AU718)))</formula>
    </cfRule>
  </conditionalFormatting>
  <conditionalFormatting sqref="AU719">
    <cfRule type="cellIs" dxfId="0" priority="4204" operator="lessThan">
      <formula>20</formula>
    </cfRule>
    <cfRule type="cellIs" dxfId="1" priority="3359" operator="greaterThan">
      <formula>120</formula>
    </cfRule>
    <cfRule type="containsText" dxfId="2" priority="2514" operator="between" text="库存为">
      <formula>NOT(ISERROR(SEARCH("库存为",AU719)))</formula>
    </cfRule>
  </conditionalFormatting>
  <conditionalFormatting sqref="AU720">
    <cfRule type="cellIs" dxfId="0" priority="4203" operator="lessThan">
      <formula>20</formula>
    </cfRule>
    <cfRule type="cellIs" dxfId="1" priority="3358" operator="greaterThan">
      <formula>120</formula>
    </cfRule>
    <cfRule type="containsText" dxfId="2" priority="2513" operator="between" text="库存为">
      <formula>NOT(ISERROR(SEARCH("库存为",AU720)))</formula>
    </cfRule>
  </conditionalFormatting>
  <conditionalFormatting sqref="AU721">
    <cfRule type="cellIs" dxfId="0" priority="4202" operator="lessThan">
      <formula>20</formula>
    </cfRule>
    <cfRule type="cellIs" dxfId="1" priority="3357" operator="greaterThan">
      <formula>120</formula>
    </cfRule>
    <cfRule type="containsText" dxfId="2" priority="2512" operator="between" text="库存为">
      <formula>NOT(ISERROR(SEARCH("库存为",AU721)))</formula>
    </cfRule>
  </conditionalFormatting>
  <conditionalFormatting sqref="AU722">
    <cfRule type="cellIs" dxfId="0" priority="4201" operator="lessThan">
      <formula>20</formula>
    </cfRule>
    <cfRule type="cellIs" dxfId="1" priority="3356" operator="greaterThan">
      <formula>120</formula>
    </cfRule>
    <cfRule type="containsText" dxfId="2" priority="2511" operator="between" text="库存为">
      <formula>NOT(ISERROR(SEARCH("库存为",AU722)))</formula>
    </cfRule>
  </conditionalFormatting>
  <conditionalFormatting sqref="AU723">
    <cfRule type="cellIs" dxfId="0" priority="4200" operator="lessThan">
      <formula>20</formula>
    </cfRule>
    <cfRule type="cellIs" dxfId="1" priority="3355" operator="greaterThan">
      <formula>120</formula>
    </cfRule>
    <cfRule type="containsText" dxfId="2" priority="2510" operator="between" text="库存为">
      <formula>NOT(ISERROR(SEARCH("库存为",AU723)))</formula>
    </cfRule>
  </conditionalFormatting>
  <conditionalFormatting sqref="AU724">
    <cfRule type="cellIs" dxfId="0" priority="4199" operator="lessThan">
      <formula>20</formula>
    </cfRule>
    <cfRule type="cellIs" dxfId="1" priority="3354" operator="greaterThan">
      <formula>120</formula>
    </cfRule>
    <cfRule type="containsText" dxfId="2" priority="2509" operator="between" text="库存为">
      <formula>NOT(ISERROR(SEARCH("库存为",AU724)))</formula>
    </cfRule>
  </conditionalFormatting>
  <conditionalFormatting sqref="AU725">
    <cfRule type="cellIs" dxfId="0" priority="4198" operator="lessThan">
      <formula>20</formula>
    </cfRule>
    <cfRule type="cellIs" dxfId="1" priority="3353" operator="greaterThan">
      <formula>120</formula>
    </cfRule>
    <cfRule type="containsText" dxfId="2" priority="2508" operator="between" text="库存为">
      <formula>NOT(ISERROR(SEARCH("库存为",AU725)))</formula>
    </cfRule>
  </conditionalFormatting>
  <conditionalFormatting sqref="AU726">
    <cfRule type="cellIs" dxfId="0" priority="4197" operator="lessThan">
      <formula>20</formula>
    </cfRule>
    <cfRule type="cellIs" dxfId="1" priority="3352" operator="greaterThan">
      <formula>120</formula>
    </cfRule>
    <cfRule type="containsText" dxfId="2" priority="2507" operator="between" text="库存为">
      <formula>NOT(ISERROR(SEARCH("库存为",AU726)))</formula>
    </cfRule>
  </conditionalFormatting>
  <conditionalFormatting sqref="AU727">
    <cfRule type="cellIs" dxfId="0" priority="4196" operator="lessThan">
      <formula>20</formula>
    </cfRule>
    <cfRule type="cellIs" dxfId="1" priority="3351" operator="greaterThan">
      <formula>120</formula>
    </cfRule>
    <cfRule type="containsText" dxfId="2" priority="2506" operator="between" text="库存为">
      <formula>NOT(ISERROR(SEARCH("库存为",AU727)))</formula>
    </cfRule>
  </conditionalFormatting>
  <conditionalFormatting sqref="AU728">
    <cfRule type="cellIs" dxfId="0" priority="4195" operator="lessThan">
      <formula>20</formula>
    </cfRule>
    <cfRule type="cellIs" dxfId="1" priority="3350" operator="greaterThan">
      <formula>120</formula>
    </cfRule>
    <cfRule type="containsText" dxfId="2" priority="2505" operator="between" text="库存为">
      <formula>NOT(ISERROR(SEARCH("库存为",AU728)))</formula>
    </cfRule>
  </conditionalFormatting>
  <conditionalFormatting sqref="AU729">
    <cfRule type="cellIs" dxfId="0" priority="4194" operator="lessThan">
      <formula>20</formula>
    </cfRule>
    <cfRule type="cellIs" dxfId="1" priority="3349" operator="greaterThan">
      <formula>120</formula>
    </cfRule>
    <cfRule type="containsText" dxfId="2" priority="2504" operator="between" text="库存为">
      <formula>NOT(ISERROR(SEARCH("库存为",AU729)))</formula>
    </cfRule>
  </conditionalFormatting>
  <conditionalFormatting sqref="AU730">
    <cfRule type="cellIs" dxfId="0" priority="4193" operator="lessThan">
      <formula>20</formula>
    </cfRule>
    <cfRule type="cellIs" dxfId="1" priority="3348" operator="greaterThan">
      <formula>120</formula>
    </cfRule>
    <cfRule type="containsText" dxfId="2" priority="2503" operator="between" text="库存为">
      <formula>NOT(ISERROR(SEARCH("库存为",AU730)))</formula>
    </cfRule>
  </conditionalFormatting>
  <conditionalFormatting sqref="AU731">
    <cfRule type="cellIs" dxfId="0" priority="4192" operator="lessThan">
      <formula>20</formula>
    </cfRule>
    <cfRule type="cellIs" dxfId="1" priority="3347" operator="greaterThan">
      <formula>120</formula>
    </cfRule>
    <cfRule type="containsText" dxfId="2" priority="2502" operator="between" text="库存为">
      <formula>NOT(ISERROR(SEARCH("库存为",AU731)))</formula>
    </cfRule>
  </conditionalFormatting>
  <conditionalFormatting sqref="AU732">
    <cfRule type="cellIs" dxfId="0" priority="4191" operator="lessThan">
      <formula>20</formula>
    </cfRule>
    <cfRule type="cellIs" dxfId="1" priority="3346" operator="greaterThan">
      <formula>120</formula>
    </cfRule>
    <cfRule type="containsText" dxfId="2" priority="2501" operator="between" text="库存为">
      <formula>NOT(ISERROR(SEARCH("库存为",AU732)))</formula>
    </cfRule>
  </conditionalFormatting>
  <conditionalFormatting sqref="AU733">
    <cfRule type="cellIs" dxfId="0" priority="4190" operator="lessThan">
      <formula>20</formula>
    </cfRule>
    <cfRule type="cellIs" dxfId="1" priority="3345" operator="greaterThan">
      <formula>120</formula>
    </cfRule>
    <cfRule type="containsText" dxfId="2" priority="2500" operator="between" text="库存为">
      <formula>NOT(ISERROR(SEARCH("库存为",AU733)))</formula>
    </cfRule>
  </conditionalFormatting>
  <conditionalFormatting sqref="AU734">
    <cfRule type="cellIs" dxfId="0" priority="4189" operator="lessThan">
      <formula>20</formula>
    </cfRule>
    <cfRule type="cellIs" dxfId="1" priority="3344" operator="greaterThan">
      <formula>120</formula>
    </cfRule>
    <cfRule type="containsText" dxfId="2" priority="2499" operator="between" text="库存为">
      <formula>NOT(ISERROR(SEARCH("库存为",AU734)))</formula>
    </cfRule>
  </conditionalFormatting>
  <conditionalFormatting sqref="AU735">
    <cfRule type="cellIs" dxfId="0" priority="4188" operator="lessThan">
      <formula>20</formula>
    </cfRule>
    <cfRule type="cellIs" dxfId="1" priority="3343" operator="greaterThan">
      <formula>120</formula>
    </cfRule>
    <cfRule type="containsText" dxfId="2" priority="2498" operator="between" text="库存为">
      <formula>NOT(ISERROR(SEARCH("库存为",AU735)))</formula>
    </cfRule>
  </conditionalFormatting>
  <conditionalFormatting sqref="AU736">
    <cfRule type="cellIs" dxfId="0" priority="4187" operator="lessThan">
      <formula>20</formula>
    </cfRule>
    <cfRule type="cellIs" dxfId="1" priority="3342" operator="greaterThan">
      <formula>120</formula>
    </cfRule>
    <cfRule type="containsText" dxfId="2" priority="2497" operator="between" text="库存为">
      <formula>NOT(ISERROR(SEARCH("库存为",AU736)))</formula>
    </cfRule>
  </conditionalFormatting>
  <conditionalFormatting sqref="AU737">
    <cfRule type="cellIs" dxfId="0" priority="4186" operator="lessThan">
      <formula>20</formula>
    </cfRule>
    <cfRule type="cellIs" dxfId="1" priority="3341" operator="greaterThan">
      <formula>120</formula>
    </cfRule>
    <cfRule type="containsText" dxfId="2" priority="2496" operator="between" text="库存为">
      <formula>NOT(ISERROR(SEARCH("库存为",AU737)))</formula>
    </cfRule>
  </conditionalFormatting>
  <conditionalFormatting sqref="AU738">
    <cfRule type="cellIs" dxfId="0" priority="4185" operator="lessThan">
      <formula>20</formula>
    </cfRule>
    <cfRule type="cellIs" dxfId="1" priority="3340" operator="greaterThan">
      <formula>120</formula>
    </cfRule>
    <cfRule type="containsText" dxfId="2" priority="2495" operator="between" text="库存为">
      <formula>NOT(ISERROR(SEARCH("库存为",AU738)))</formula>
    </cfRule>
  </conditionalFormatting>
  <conditionalFormatting sqref="AU739">
    <cfRule type="cellIs" dxfId="0" priority="4184" operator="lessThan">
      <formula>20</formula>
    </cfRule>
    <cfRule type="cellIs" dxfId="1" priority="3339" operator="greaterThan">
      <formula>120</formula>
    </cfRule>
    <cfRule type="containsText" dxfId="2" priority="2494" operator="between" text="库存为">
      <formula>NOT(ISERROR(SEARCH("库存为",AU739)))</formula>
    </cfRule>
  </conditionalFormatting>
  <conditionalFormatting sqref="AU740">
    <cfRule type="cellIs" dxfId="0" priority="4183" operator="lessThan">
      <formula>20</formula>
    </cfRule>
    <cfRule type="cellIs" dxfId="1" priority="3338" operator="greaterThan">
      <formula>120</formula>
    </cfRule>
    <cfRule type="containsText" dxfId="2" priority="2493" operator="between" text="库存为">
      <formula>NOT(ISERROR(SEARCH("库存为",AU740)))</formula>
    </cfRule>
  </conditionalFormatting>
  <conditionalFormatting sqref="AU741">
    <cfRule type="cellIs" dxfId="0" priority="4182" operator="lessThan">
      <formula>20</formula>
    </cfRule>
    <cfRule type="cellIs" dxfId="1" priority="3337" operator="greaterThan">
      <formula>120</formula>
    </cfRule>
    <cfRule type="containsText" dxfId="2" priority="2492" operator="between" text="库存为">
      <formula>NOT(ISERROR(SEARCH("库存为",AU741)))</formula>
    </cfRule>
  </conditionalFormatting>
  <conditionalFormatting sqref="AU742">
    <cfRule type="cellIs" dxfId="0" priority="4181" operator="lessThan">
      <formula>20</formula>
    </cfRule>
    <cfRule type="cellIs" dxfId="1" priority="3336" operator="greaterThan">
      <formula>120</formula>
    </cfRule>
    <cfRule type="containsText" dxfId="2" priority="2491" operator="between" text="库存为">
      <formula>NOT(ISERROR(SEARCH("库存为",AU742)))</formula>
    </cfRule>
  </conditionalFormatting>
  <conditionalFormatting sqref="AU743">
    <cfRule type="cellIs" dxfId="0" priority="4180" operator="lessThan">
      <formula>20</formula>
    </cfRule>
    <cfRule type="cellIs" dxfId="1" priority="3335" operator="greaterThan">
      <formula>120</formula>
    </cfRule>
    <cfRule type="containsText" dxfId="2" priority="2490" operator="between" text="库存为">
      <formula>NOT(ISERROR(SEARCH("库存为",AU743)))</formula>
    </cfRule>
  </conditionalFormatting>
  <conditionalFormatting sqref="AU744">
    <cfRule type="cellIs" dxfId="0" priority="4179" operator="lessThan">
      <formula>20</formula>
    </cfRule>
    <cfRule type="cellIs" dxfId="1" priority="3334" operator="greaterThan">
      <formula>120</formula>
    </cfRule>
    <cfRule type="containsText" dxfId="2" priority="2489" operator="between" text="库存为">
      <formula>NOT(ISERROR(SEARCH("库存为",AU744)))</formula>
    </cfRule>
  </conditionalFormatting>
  <conditionalFormatting sqref="AU745">
    <cfRule type="cellIs" dxfId="0" priority="4178" operator="lessThan">
      <formula>20</formula>
    </cfRule>
    <cfRule type="cellIs" dxfId="1" priority="3333" operator="greaterThan">
      <formula>120</formula>
    </cfRule>
    <cfRule type="containsText" dxfId="2" priority="2488" operator="between" text="库存为">
      <formula>NOT(ISERROR(SEARCH("库存为",AU745)))</formula>
    </cfRule>
  </conditionalFormatting>
  <conditionalFormatting sqref="AU746">
    <cfRule type="cellIs" dxfId="0" priority="4177" operator="lessThan">
      <formula>20</formula>
    </cfRule>
    <cfRule type="cellIs" dxfId="1" priority="3332" operator="greaterThan">
      <formula>120</formula>
    </cfRule>
    <cfRule type="containsText" dxfId="2" priority="2487" operator="between" text="库存为">
      <formula>NOT(ISERROR(SEARCH("库存为",AU746)))</formula>
    </cfRule>
  </conditionalFormatting>
  <conditionalFormatting sqref="AU747">
    <cfRule type="cellIs" dxfId="0" priority="4176" operator="lessThan">
      <formula>20</formula>
    </cfRule>
    <cfRule type="cellIs" dxfId="1" priority="3331" operator="greaterThan">
      <formula>120</formula>
    </cfRule>
    <cfRule type="containsText" dxfId="2" priority="2486" operator="between" text="库存为">
      <formula>NOT(ISERROR(SEARCH("库存为",AU747)))</formula>
    </cfRule>
  </conditionalFormatting>
  <conditionalFormatting sqref="AU748">
    <cfRule type="cellIs" dxfId="0" priority="4175" operator="lessThan">
      <formula>20</formula>
    </cfRule>
    <cfRule type="cellIs" dxfId="1" priority="3330" operator="greaterThan">
      <formula>120</formula>
    </cfRule>
    <cfRule type="containsText" dxfId="2" priority="2485" operator="between" text="库存为">
      <formula>NOT(ISERROR(SEARCH("库存为",AU748)))</formula>
    </cfRule>
  </conditionalFormatting>
  <conditionalFormatting sqref="AU749">
    <cfRule type="cellIs" dxfId="0" priority="4174" operator="lessThan">
      <formula>20</formula>
    </cfRule>
    <cfRule type="cellIs" dxfId="1" priority="3329" operator="greaterThan">
      <formula>120</formula>
    </cfRule>
    <cfRule type="containsText" dxfId="2" priority="2484" operator="between" text="库存为">
      <formula>NOT(ISERROR(SEARCH("库存为",AU749)))</formula>
    </cfRule>
  </conditionalFormatting>
  <conditionalFormatting sqref="AU750">
    <cfRule type="cellIs" dxfId="0" priority="4173" operator="lessThan">
      <formula>20</formula>
    </cfRule>
    <cfRule type="cellIs" dxfId="1" priority="3328" operator="greaterThan">
      <formula>120</formula>
    </cfRule>
    <cfRule type="containsText" dxfId="2" priority="2483" operator="between" text="库存为">
      <formula>NOT(ISERROR(SEARCH("库存为",AU750)))</formula>
    </cfRule>
  </conditionalFormatting>
  <conditionalFormatting sqref="AU751">
    <cfRule type="cellIs" dxfId="0" priority="4172" operator="lessThan">
      <formula>20</formula>
    </cfRule>
    <cfRule type="cellIs" dxfId="1" priority="3327" operator="greaterThan">
      <formula>120</formula>
    </cfRule>
    <cfRule type="containsText" dxfId="2" priority="2482" operator="between" text="库存为">
      <formula>NOT(ISERROR(SEARCH("库存为",AU751)))</formula>
    </cfRule>
  </conditionalFormatting>
  <conditionalFormatting sqref="AU752">
    <cfRule type="cellIs" dxfId="0" priority="4171" operator="lessThan">
      <formula>20</formula>
    </cfRule>
    <cfRule type="cellIs" dxfId="1" priority="3326" operator="greaterThan">
      <formula>120</formula>
    </cfRule>
    <cfRule type="containsText" dxfId="2" priority="2481" operator="between" text="库存为">
      <formula>NOT(ISERROR(SEARCH("库存为",AU752)))</formula>
    </cfRule>
  </conditionalFormatting>
  <conditionalFormatting sqref="AU753">
    <cfRule type="cellIs" dxfId="0" priority="4170" operator="lessThan">
      <formula>20</formula>
    </cfRule>
    <cfRule type="cellIs" dxfId="1" priority="3325" operator="greaterThan">
      <formula>120</formula>
    </cfRule>
    <cfRule type="containsText" dxfId="2" priority="2480" operator="between" text="库存为">
      <formula>NOT(ISERROR(SEARCH("库存为",AU753)))</formula>
    </cfRule>
  </conditionalFormatting>
  <conditionalFormatting sqref="AU754">
    <cfRule type="cellIs" dxfId="0" priority="4169" operator="lessThan">
      <formula>20</formula>
    </cfRule>
    <cfRule type="cellIs" dxfId="1" priority="3324" operator="greaterThan">
      <formula>120</formula>
    </cfRule>
    <cfRule type="containsText" dxfId="2" priority="2479" operator="between" text="库存为">
      <formula>NOT(ISERROR(SEARCH("库存为",AU754)))</formula>
    </cfRule>
  </conditionalFormatting>
  <conditionalFormatting sqref="AU755">
    <cfRule type="cellIs" dxfId="0" priority="4168" operator="lessThan">
      <formula>20</formula>
    </cfRule>
    <cfRule type="cellIs" dxfId="1" priority="3323" operator="greaterThan">
      <formula>120</formula>
    </cfRule>
    <cfRule type="containsText" dxfId="2" priority="2478" operator="between" text="库存为">
      <formula>NOT(ISERROR(SEARCH("库存为",AU755)))</formula>
    </cfRule>
  </conditionalFormatting>
  <conditionalFormatting sqref="AU756">
    <cfRule type="cellIs" dxfId="0" priority="4167" operator="lessThan">
      <formula>20</formula>
    </cfRule>
    <cfRule type="cellIs" dxfId="1" priority="3322" operator="greaterThan">
      <formula>120</formula>
    </cfRule>
    <cfRule type="containsText" dxfId="2" priority="2477" operator="between" text="库存为">
      <formula>NOT(ISERROR(SEARCH("库存为",AU756)))</formula>
    </cfRule>
  </conditionalFormatting>
  <conditionalFormatting sqref="AU757">
    <cfRule type="cellIs" dxfId="0" priority="4166" operator="lessThan">
      <formula>20</formula>
    </cfRule>
    <cfRule type="cellIs" dxfId="1" priority="3321" operator="greaterThan">
      <formula>120</formula>
    </cfRule>
    <cfRule type="containsText" dxfId="2" priority="2476" operator="between" text="库存为">
      <formula>NOT(ISERROR(SEARCH("库存为",AU757)))</formula>
    </cfRule>
  </conditionalFormatting>
  <conditionalFormatting sqref="AU758">
    <cfRule type="cellIs" dxfId="0" priority="4165" operator="lessThan">
      <formula>20</formula>
    </cfRule>
    <cfRule type="cellIs" dxfId="1" priority="3320" operator="greaterThan">
      <formula>120</formula>
    </cfRule>
    <cfRule type="containsText" dxfId="2" priority="2475" operator="between" text="库存为">
      <formula>NOT(ISERROR(SEARCH("库存为",AU758)))</formula>
    </cfRule>
  </conditionalFormatting>
  <conditionalFormatting sqref="AU759">
    <cfRule type="cellIs" dxfId="0" priority="4164" operator="lessThan">
      <formula>20</formula>
    </cfRule>
    <cfRule type="cellIs" dxfId="1" priority="3319" operator="greaterThan">
      <formula>120</formula>
    </cfRule>
    <cfRule type="containsText" dxfId="2" priority="2474" operator="between" text="库存为">
      <formula>NOT(ISERROR(SEARCH("库存为",AU759)))</formula>
    </cfRule>
  </conditionalFormatting>
  <conditionalFormatting sqref="AU760">
    <cfRule type="cellIs" dxfId="0" priority="4163" operator="lessThan">
      <formula>20</formula>
    </cfRule>
    <cfRule type="cellIs" dxfId="1" priority="3318" operator="greaterThan">
      <formula>120</formula>
    </cfRule>
    <cfRule type="containsText" dxfId="2" priority="2473" operator="between" text="库存为">
      <formula>NOT(ISERROR(SEARCH("库存为",AU760)))</formula>
    </cfRule>
  </conditionalFormatting>
  <conditionalFormatting sqref="AU761">
    <cfRule type="cellIs" dxfId="0" priority="4162" operator="lessThan">
      <formula>20</formula>
    </cfRule>
    <cfRule type="cellIs" dxfId="1" priority="3317" operator="greaterThan">
      <formula>120</formula>
    </cfRule>
    <cfRule type="containsText" dxfId="2" priority="2472" operator="between" text="库存为">
      <formula>NOT(ISERROR(SEARCH("库存为",AU761)))</formula>
    </cfRule>
  </conditionalFormatting>
  <conditionalFormatting sqref="AU762">
    <cfRule type="cellIs" dxfId="0" priority="4161" operator="lessThan">
      <formula>20</formula>
    </cfRule>
    <cfRule type="cellIs" dxfId="1" priority="3316" operator="greaterThan">
      <formula>120</formula>
    </cfRule>
    <cfRule type="containsText" dxfId="2" priority="2471" operator="between" text="库存为">
      <formula>NOT(ISERROR(SEARCH("库存为",AU762)))</formula>
    </cfRule>
  </conditionalFormatting>
  <conditionalFormatting sqref="AU763">
    <cfRule type="cellIs" dxfId="0" priority="4160" operator="lessThan">
      <formula>20</formula>
    </cfRule>
    <cfRule type="cellIs" dxfId="1" priority="3315" operator="greaterThan">
      <formula>120</formula>
    </cfRule>
    <cfRule type="containsText" dxfId="2" priority="2470" operator="between" text="库存为">
      <formula>NOT(ISERROR(SEARCH("库存为",AU763)))</formula>
    </cfRule>
  </conditionalFormatting>
  <conditionalFormatting sqref="AU764">
    <cfRule type="cellIs" dxfId="0" priority="4159" operator="lessThan">
      <formula>20</formula>
    </cfRule>
    <cfRule type="cellIs" dxfId="1" priority="3314" operator="greaterThan">
      <formula>120</formula>
    </cfRule>
    <cfRule type="containsText" dxfId="2" priority="2469" operator="between" text="库存为">
      <formula>NOT(ISERROR(SEARCH("库存为",AU764)))</formula>
    </cfRule>
  </conditionalFormatting>
  <conditionalFormatting sqref="AU765">
    <cfRule type="cellIs" dxfId="0" priority="4158" operator="lessThan">
      <formula>20</formula>
    </cfRule>
    <cfRule type="cellIs" dxfId="1" priority="3313" operator="greaterThan">
      <formula>120</formula>
    </cfRule>
    <cfRule type="containsText" dxfId="2" priority="2468" operator="between" text="库存为">
      <formula>NOT(ISERROR(SEARCH("库存为",AU765)))</formula>
    </cfRule>
  </conditionalFormatting>
  <conditionalFormatting sqref="AU766">
    <cfRule type="cellIs" dxfId="0" priority="4157" operator="lessThan">
      <formula>20</formula>
    </cfRule>
    <cfRule type="cellIs" dxfId="1" priority="3312" operator="greaterThan">
      <formula>120</formula>
    </cfRule>
    <cfRule type="containsText" dxfId="2" priority="2467" operator="between" text="库存为">
      <formula>NOT(ISERROR(SEARCH("库存为",AU766)))</formula>
    </cfRule>
  </conditionalFormatting>
  <conditionalFormatting sqref="AU767">
    <cfRule type="cellIs" dxfId="0" priority="4156" operator="lessThan">
      <formula>20</formula>
    </cfRule>
    <cfRule type="cellIs" dxfId="1" priority="3311" operator="greaterThan">
      <formula>120</formula>
    </cfRule>
    <cfRule type="containsText" dxfId="2" priority="2466" operator="between" text="库存为">
      <formula>NOT(ISERROR(SEARCH("库存为",AU767)))</formula>
    </cfRule>
  </conditionalFormatting>
  <conditionalFormatting sqref="AU768">
    <cfRule type="cellIs" dxfId="0" priority="4155" operator="lessThan">
      <formula>20</formula>
    </cfRule>
    <cfRule type="cellIs" dxfId="1" priority="3310" operator="greaterThan">
      <formula>120</formula>
    </cfRule>
    <cfRule type="containsText" dxfId="2" priority="2465" operator="between" text="库存为">
      <formula>NOT(ISERROR(SEARCH("库存为",AU768)))</formula>
    </cfRule>
  </conditionalFormatting>
  <conditionalFormatting sqref="AU769">
    <cfRule type="cellIs" dxfId="0" priority="4154" operator="lessThan">
      <formula>20</formula>
    </cfRule>
    <cfRule type="cellIs" dxfId="1" priority="3309" operator="greaterThan">
      <formula>120</formula>
    </cfRule>
    <cfRule type="containsText" dxfId="2" priority="2464" operator="between" text="库存为">
      <formula>NOT(ISERROR(SEARCH("库存为",AU769)))</formula>
    </cfRule>
  </conditionalFormatting>
  <conditionalFormatting sqref="AU770">
    <cfRule type="cellIs" dxfId="0" priority="4153" operator="lessThan">
      <formula>20</formula>
    </cfRule>
    <cfRule type="cellIs" dxfId="1" priority="3308" operator="greaterThan">
      <formula>120</formula>
    </cfRule>
    <cfRule type="containsText" dxfId="2" priority="2463" operator="between" text="库存为">
      <formula>NOT(ISERROR(SEARCH("库存为",AU770)))</formula>
    </cfRule>
  </conditionalFormatting>
  <conditionalFormatting sqref="AU771">
    <cfRule type="cellIs" dxfId="0" priority="4152" operator="lessThan">
      <formula>20</formula>
    </cfRule>
    <cfRule type="cellIs" dxfId="1" priority="3307" operator="greaterThan">
      <formula>120</formula>
    </cfRule>
    <cfRule type="containsText" dxfId="2" priority="2462" operator="between" text="库存为">
      <formula>NOT(ISERROR(SEARCH("库存为",AU771)))</formula>
    </cfRule>
  </conditionalFormatting>
  <conditionalFormatting sqref="AU772">
    <cfRule type="cellIs" dxfId="0" priority="4151" operator="lessThan">
      <formula>20</formula>
    </cfRule>
    <cfRule type="cellIs" dxfId="1" priority="3306" operator="greaterThan">
      <formula>120</formula>
    </cfRule>
    <cfRule type="containsText" dxfId="2" priority="2461" operator="between" text="库存为">
      <formula>NOT(ISERROR(SEARCH("库存为",AU772)))</formula>
    </cfRule>
  </conditionalFormatting>
  <conditionalFormatting sqref="AU773">
    <cfRule type="cellIs" dxfId="0" priority="4150" operator="lessThan">
      <formula>20</formula>
    </cfRule>
    <cfRule type="cellIs" dxfId="1" priority="3305" operator="greaterThan">
      <formula>120</formula>
    </cfRule>
    <cfRule type="containsText" dxfId="2" priority="2460" operator="between" text="库存为">
      <formula>NOT(ISERROR(SEARCH("库存为",AU773)))</formula>
    </cfRule>
  </conditionalFormatting>
  <conditionalFormatting sqref="AU774">
    <cfRule type="cellIs" dxfId="0" priority="4149" operator="lessThan">
      <formula>20</formula>
    </cfRule>
    <cfRule type="cellIs" dxfId="1" priority="3304" operator="greaterThan">
      <formula>120</formula>
    </cfRule>
    <cfRule type="containsText" dxfId="2" priority="2459" operator="between" text="库存为">
      <formula>NOT(ISERROR(SEARCH("库存为",AU774)))</formula>
    </cfRule>
  </conditionalFormatting>
  <conditionalFormatting sqref="AU775">
    <cfRule type="cellIs" dxfId="0" priority="4148" operator="lessThan">
      <formula>20</formula>
    </cfRule>
    <cfRule type="cellIs" dxfId="1" priority="3303" operator="greaterThan">
      <formula>120</formula>
    </cfRule>
    <cfRule type="containsText" dxfId="2" priority="2458" operator="between" text="库存为">
      <formula>NOT(ISERROR(SEARCH("库存为",AU775)))</formula>
    </cfRule>
  </conditionalFormatting>
  <conditionalFormatting sqref="AU776">
    <cfRule type="cellIs" dxfId="0" priority="4147" operator="lessThan">
      <formula>20</formula>
    </cfRule>
    <cfRule type="cellIs" dxfId="1" priority="3302" operator="greaterThan">
      <formula>120</formula>
    </cfRule>
    <cfRule type="containsText" dxfId="2" priority="2457" operator="between" text="库存为">
      <formula>NOT(ISERROR(SEARCH("库存为",AU776)))</formula>
    </cfRule>
  </conditionalFormatting>
  <conditionalFormatting sqref="AU777">
    <cfRule type="cellIs" dxfId="0" priority="4146" operator="lessThan">
      <formula>20</formula>
    </cfRule>
    <cfRule type="cellIs" dxfId="1" priority="3301" operator="greaterThan">
      <formula>120</formula>
    </cfRule>
    <cfRule type="containsText" dxfId="2" priority="2456" operator="between" text="库存为">
      <formula>NOT(ISERROR(SEARCH("库存为",AU777)))</formula>
    </cfRule>
  </conditionalFormatting>
  <conditionalFormatting sqref="AU778">
    <cfRule type="cellIs" dxfId="0" priority="4145" operator="lessThan">
      <formula>20</formula>
    </cfRule>
    <cfRule type="cellIs" dxfId="1" priority="3300" operator="greaterThan">
      <formula>120</formula>
    </cfRule>
    <cfRule type="containsText" dxfId="2" priority="2455" operator="between" text="库存为">
      <formula>NOT(ISERROR(SEARCH("库存为",AU778)))</formula>
    </cfRule>
  </conditionalFormatting>
  <conditionalFormatting sqref="AU779">
    <cfRule type="cellIs" dxfId="0" priority="4144" operator="lessThan">
      <formula>20</formula>
    </cfRule>
    <cfRule type="cellIs" dxfId="1" priority="3299" operator="greaterThan">
      <formula>120</formula>
    </cfRule>
    <cfRule type="containsText" dxfId="2" priority="2454" operator="between" text="库存为">
      <formula>NOT(ISERROR(SEARCH("库存为",AU779)))</formula>
    </cfRule>
  </conditionalFormatting>
  <conditionalFormatting sqref="AU780">
    <cfRule type="cellIs" dxfId="0" priority="4143" operator="lessThan">
      <formula>20</formula>
    </cfRule>
    <cfRule type="cellIs" dxfId="1" priority="3298" operator="greaterThan">
      <formula>120</formula>
    </cfRule>
    <cfRule type="containsText" dxfId="2" priority="2453" operator="between" text="库存为">
      <formula>NOT(ISERROR(SEARCH("库存为",AU780)))</formula>
    </cfRule>
  </conditionalFormatting>
  <conditionalFormatting sqref="AU781">
    <cfRule type="cellIs" dxfId="0" priority="4142" operator="lessThan">
      <formula>20</formula>
    </cfRule>
    <cfRule type="cellIs" dxfId="1" priority="3297" operator="greaterThan">
      <formula>120</formula>
    </cfRule>
    <cfRule type="containsText" dxfId="2" priority="2452" operator="between" text="库存为">
      <formula>NOT(ISERROR(SEARCH("库存为",AU781)))</formula>
    </cfRule>
  </conditionalFormatting>
  <conditionalFormatting sqref="AU782">
    <cfRule type="cellIs" dxfId="0" priority="4141" operator="lessThan">
      <formula>20</formula>
    </cfRule>
    <cfRule type="cellIs" dxfId="1" priority="3296" operator="greaterThan">
      <formula>120</formula>
    </cfRule>
    <cfRule type="containsText" dxfId="2" priority="2451" operator="between" text="库存为">
      <formula>NOT(ISERROR(SEARCH("库存为",AU782)))</formula>
    </cfRule>
  </conditionalFormatting>
  <conditionalFormatting sqref="AU783">
    <cfRule type="cellIs" dxfId="0" priority="4140" operator="lessThan">
      <formula>20</formula>
    </cfRule>
    <cfRule type="cellIs" dxfId="1" priority="3295" operator="greaterThan">
      <formula>120</formula>
    </cfRule>
    <cfRule type="containsText" dxfId="2" priority="2450" operator="between" text="库存为">
      <formula>NOT(ISERROR(SEARCH("库存为",AU783)))</formula>
    </cfRule>
  </conditionalFormatting>
  <conditionalFormatting sqref="AU784">
    <cfRule type="cellIs" dxfId="0" priority="4139" operator="lessThan">
      <formula>20</formula>
    </cfRule>
    <cfRule type="cellIs" dxfId="1" priority="3294" operator="greaterThan">
      <formula>120</formula>
    </cfRule>
    <cfRule type="containsText" dxfId="2" priority="2449" operator="between" text="库存为">
      <formula>NOT(ISERROR(SEARCH("库存为",AU784)))</formula>
    </cfRule>
  </conditionalFormatting>
  <conditionalFormatting sqref="AU785">
    <cfRule type="cellIs" dxfId="0" priority="4138" operator="lessThan">
      <formula>20</formula>
    </cfRule>
    <cfRule type="cellIs" dxfId="1" priority="3293" operator="greaterThan">
      <formula>120</formula>
    </cfRule>
    <cfRule type="containsText" dxfId="2" priority="2448" operator="between" text="库存为">
      <formula>NOT(ISERROR(SEARCH("库存为",AU785)))</formula>
    </cfRule>
  </conditionalFormatting>
  <conditionalFormatting sqref="AU786">
    <cfRule type="cellIs" dxfId="0" priority="4137" operator="lessThan">
      <formula>20</formula>
    </cfRule>
    <cfRule type="cellIs" dxfId="1" priority="3292" operator="greaterThan">
      <formula>120</formula>
    </cfRule>
    <cfRule type="containsText" dxfId="2" priority="2447" operator="between" text="库存为">
      <formula>NOT(ISERROR(SEARCH("库存为",AU786)))</formula>
    </cfRule>
  </conditionalFormatting>
  <conditionalFormatting sqref="AU787">
    <cfRule type="cellIs" dxfId="0" priority="4136" operator="lessThan">
      <formula>20</formula>
    </cfRule>
    <cfRule type="cellIs" dxfId="1" priority="3291" operator="greaterThan">
      <formula>120</formula>
    </cfRule>
    <cfRule type="containsText" dxfId="2" priority="2446" operator="between" text="库存为">
      <formula>NOT(ISERROR(SEARCH("库存为",AU787)))</formula>
    </cfRule>
  </conditionalFormatting>
  <conditionalFormatting sqref="AU788">
    <cfRule type="cellIs" dxfId="0" priority="4135" operator="lessThan">
      <formula>20</formula>
    </cfRule>
    <cfRule type="cellIs" dxfId="1" priority="3290" operator="greaterThan">
      <formula>120</formula>
    </cfRule>
    <cfRule type="containsText" dxfId="2" priority="2445" operator="between" text="库存为">
      <formula>NOT(ISERROR(SEARCH("库存为",AU788)))</formula>
    </cfRule>
  </conditionalFormatting>
  <conditionalFormatting sqref="AU789">
    <cfRule type="cellIs" dxfId="0" priority="4134" operator="lessThan">
      <formula>20</formula>
    </cfRule>
    <cfRule type="cellIs" dxfId="1" priority="3289" operator="greaterThan">
      <formula>120</formula>
    </cfRule>
    <cfRule type="containsText" dxfId="2" priority="2444" operator="between" text="库存为">
      <formula>NOT(ISERROR(SEARCH("库存为",AU789)))</formula>
    </cfRule>
  </conditionalFormatting>
  <conditionalFormatting sqref="AU790">
    <cfRule type="cellIs" dxfId="0" priority="4133" operator="lessThan">
      <formula>20</formula>
    </cfRule>
    <cfRule type="cellIs" dxfId="1" priority="3288" operator="greaterThan">
      <formula>120</formula>
    </cfRule>
    <cfRule type="containsText" dxfId="2" priority="2443" operator="between" text="库存为">
      <formula>NOT(ISERROR(SEARCH("库存为",AU790)))</formula>
    </cfRule>
  </conditionalFormatting>
  <conditionalFormatting sqref="AU791">
    <cfRule type="cellIs" dxfId="0" priority="4132" operator="lessThan">
      <formula>20</formula>
    </cfRule>
    <cfRule type="cellIs" dxfId="1" priority="3287" operator="greaterThan">
      <formula>120</formula>
    </cfRule>
    <cfRule type="containsText" dxfId="2" priority="2442" operator="between" text="库存为">
      <formula>NOT(ISERROR(SEARCH("库存为",AU791)))</formula>
    </cfRule>
  </conditionalFormatting>
  <conditionalFormatting sqref="AU792">
    <cfRule type="cellIs" dxfId="0" priority="4131" operator="lessThan">
      <formula>20</formula>
    </cfRule>
    <cfRule type="cellIs" dxfId="1" priority="3286" operator="greaterThan">
      <formula>120</formula>
    </cfRule>
    <cfRule type="containsText" dxfId="2" priority="2441" operator="between" text="库存为">
      <formula>NOT(ISERROR(SEARCH("库存为",AU792)))</formula>
    </cfRule>
  </conditionalFormatting>
  <conditionalFormatting sqref="AU793">
    <cfRule type="cellIs" dxfId="0" priority="4130" operator="lessThan">
      <formula>20</formula>
    </cfRule>
    <cfRule type="cellIs" dxfId="1" priority="3285" operator="greaterThan">
      <formula>120</formula>
    </cfRule>
    <cfRule type="containsText" dxfId="2" priority="2440" operator="between" text="库存为">
      <formula>NOT(ISERROR(SEARCH("库存为",AU793)))</formula>
    </cfRule>
  </conditionalFormatting>
  <conditionalFormatting sqref="AU794">
    <cfRule type="cellIs" dxfId="0" priority="4129" operator="lessThan">
      <formula>20</formula>
    </cfRule>
    <cfRule type="cellIs" dxfId="1" priority="3284" operator="greaterThan">
      <formula>120</formula>
    </cfRule>
    <cfRule type="containsText" dxfId="2" priority="2439" operator="between" text="库存为">
      <formula>NOT(ISERROR(SEARCH("库存为",AU794)))</formula>
    </cfRule>
  </conditionalFormatting>
  <conditionalFormatting sqref="AU795">
    <cfRule type="cellIs" dxfId="0" priority="4128" operator="lessThan">
      <formula>20</formula>
    </cfRule>
    <cfRule type="cellIs" dxfId="1" priority="3283" operator="greaterThan">
      <formula>120</formula>
    </cfRule>
    <cfRule type="containsText" dxfId="2" priority="2438" operator="between" text="库存为">
      <formula>NOT(ISERROR(SEARCH("库存为",AU795)))</formula>
    </cfRule>
  </conditionalFormatting>
  <conditionalFormatting sqref="AU796">
    <cfRule type="cellIs" dxfId="0" priority="4127" operator="lessThan">
      <formula>20</formula>
    </cfRule>
    <cfRule type="cellIs" dxfId="1" priority="3282" operator="greaterThan">
      <formula>120</formula>
    </cfRule>
    <cfRule type="containsText" dxfId="2" priority="2437" operator="between" text="库存为">
      <formula>NOT(ISERROR(SEARCH("库存为",AU796)))</formula>
    </cfRule>
  </conditionalFormatting>
  <conditionalFormatting sqref="AU797">
    <cfRule type="cellIs" dxfId="0" priority="4126" operator="lessThan">
      <formula>20</formula>
    </cfRule>
    <cfRule type="cellIs" dxfId="1" priority="3281" operator="greaterThan">
      <formula>120</formula>
    </cfRule>
    <cfRule type="containsText" dxfId="2" priority="2436" operator="between" text="库存为">
      <formula>NOT(ISERROR(SEARCH("库存为",AU797)))</formula>
    </cfRule>
  </conditionalFormatting>
  <conditionalFormatting sqref="AU798">
    <cfRule type="cellIs" dxfId="0" priority="4125" operator="lessThan">
      <formula>20</formula>
    </cfRule>
    <cfRule type="cellIs" dxfId="1" priority="3280" operator="greaterThan">
      <formula>120</formula>
    </cfRule>
    <cfRule type="containsText" dxfId="2" priority="2435" operator="between" text="库存为">
      <formula>NOT(ISERROR(SEARCH("库存为",AU798)))</formula>
    </cfRule>
  </conditionalFormatting>
  <conditionalFormatting sqref="AU799">
    <cfRule type="cellIs" dxfId="0" priority="4124" operator="lessThan">
      <formula>20</formula>
    </cfRule>
    <cfRule type="cellIs" dxfId="1" priority="3279" operator="greaterThan">
      <formula>120</formula>
    </cfRule>
    <cfRule type="containsText" dxfId="2" priority="2434" operator="between" text="库存为">
      <formula>NOT(ISERROR(SEARCH("库存为",AU799)))</formula>
    </cfRule>
  </conditionalFormatting>
  <conditionalFormatting sqref="AU800">
    <cfRule type="cellIs" dxfId="0" priority="4123" operator="lessThan">
      <formula>20</formula>
    </cfRule>
    <cfRule type="cellIs" dxfId="1" priority="3278" operator="greaterThan">
      <formula>120</formula>
    </cfRule>
    <cfRule type="containsText" dxfId="2" priority="2433" operator="between" text="库存为">
      <formula>NOT(ISERROR(SEARCH("库存为",AU800)))</formula>
    </cfRule>
  </conditionalFormatting>
  <conditionalFormatting sqref="AU801">
    <cfRule type="cellIs" dxfId="0" priority="4122" operator="lessThan">
      <formula>20</formula>
    </cfRule>
    <cfRule type="cellIs" dxfId="1" priority="3277" operator="greaterThan">
      <formula>120</formula>
    </cfRule>
    <cfRule type="containsText" dxfId="2" priority="2432" operator="between" text="库存为">
      <formula>NOT(ISERROR(SEARCH("库存为",AU801)))</formula>
    </cfRule>
  </conditionalFormatting>
  <conditionalFormatting sqref="AU802">
    <cfRule type="cellIs" dxfId="0" priority="4121" operator="lessThan">
      <formula>20</formula>
    </cfRule>
    <cfRule type="cellIs" dxfId="1" priority="3276" operator="greaterThan">
      <formula>120</formula>
    </cfRule>
    <cfRule type="containsText" dxfId="2" priority="2431" operator="between" text="库存为">
      <formula>NOT(ISERROR(SEARCH("库存为",AU802)))</formula>
    </cfRule>
  </conditionalFormatting>
  <conditionalFormatting sqref="AU803">
    <cfRule type="cellIs" dxfId="0" priority="4120" operator="lessThan">
      <formula>20</formula>
    </cfRule>
    <cfRule type="cellIs" dxfId="1" priority="3275" operator="greaterThan">
      <formula>120</formula>
    </cfRule>
    <cfRule type="containsText" dxfId="2" priority="2430" operator="between" text="库存为">
      <formula>NOT(ISERROR(SEARCH("库存为",AU803)))</formula>
    </cfRule>
  </conditionalFormatting>
  <conditionalFormatting sqref="AU804">
    <cfRule type="cellIs" dxfId="0" priority="4119" operator="lessThan">
      <formula>20</formula>
    </cfRule>
    <cfRule type="cellIs" dxfId="1" priority="3274" operator="greaterThan">
      <formula>120</formula>
    </cfRule>
    <cfRule type="containsText" dxfId="2" priority="2429" operator="between" text="库存为">
      <formula>NOT(ISERROR(SEARCH("库存为",AU804)))</formula>
    </cfRule>
  </conditionalFormatting>
  <conditionalFormatting sqref="AU805">
    <cfRule type="cellIs" dxfId="0" priority="4118" operator="lessThan">
      <formula>20</formula>
    </cfRule>
    <cfRule type="cellIs" dxfId="1" priority="3273" operator="greaterThan">
      <formula>120</formula>
    </cfRule>
    <cfRule type="containsText" dxfId="2" priority="2428" operator="between" text="库存为">
      <formula>NOT(ISERROR(SEARCH("库存为",AU805)))</formula>
    </cfRule>
  </conditionalFormatting>
  <conditionalFormatting sqref="AU806">
    <cfRule type="cellIs" dxfId="0" priority="4117" operator="lessThan">
      <formula>20</formula>
    </cfRule>
    <cfRule type="cellIs" dxfId="1" priority="3272" operator="greaterThan">
      <formula>120</formula>
    </cfRule>
    <cfRule type="containsText" dxfId="2" priority="2427" operator="between" text="库存为">
      <formula>NOT(ISERROR(SEARCH("库存为",AU806)))</formula>
    </cfRule>
  </conditionalFormatting>
  <conditionalFormatting sqref="AU807">
    <cfRule type="cellIs" dxfId="0" priority="4116" operator="lessThan">
      <formula>20</formula>
    </cfRule>
    <cfRule type="cellIs" dxfId="1" priority="3271" operator="greaterThan">
      <formula>120</formula>
    </cfRule>
    <cfRule type="containsText" dxfId="2" priority="2426" operator="between" text="库存为">
      <formula>NOT(ISERROR(SEARCH("库存为",AU807)))</formula>
    </cfRule>
  </conditionalFormatting>
  <conditionalFormatting sqref="AU808">
    <cfRule type="cellIs" dxfId="0" priority="4115" operator="lessThan">
      <formula>20</formula>
    </cfRule>
    <cfRule type="cellIs" dxfId="1" priority="3270" operator="greaterThan">
      <formula>120</formula>
    </cfRule>
    <cfRule type="containsText" dxfId="2" priority="2425" operator="between" text="库存为">
      <formula>NOT(ISERROR(SEARCH("库存为",AU808)))</formula>
    </cfRule>
  </conditionalFormatting>
  <conditionalFormatting sqref="AU809">
    <cfRule type="cellIs" dxfId="0" priority="4114" operator="lessThan">
      <formula>20</formula>
    </cfRule>
    <cfRule type="cellIs" dxfId="1" priority="3269" operator="greaterThan">
      <formula>120</formula>
    </cfRule>
    <cfRule type="containsText" dxfId="2" priority="2424" operator="between" text="库存为">
      <formula>NOT(ISERROR(SEARCH("库存为",AU809)))</formula>
    </cfRule>
  </conditionalFormatting>
  <conditionalFormatting sqref="AU810">
    <cfRule type="cellIs" dxfId="0" priority="4113" operator="lessThan">
      <formula>20</formula>
    </cfRule>
    <cfRule type="cellIs" dxfId="1" priority="3268" operator="greaterThan">
      <formula>120</formula>
    </cfRule>
    <cfRule type="containsText" dxfId="2" priority="2423" operator="between" text="库存为">
      <formula>NOT(ISERROR(SEARCH("库存为",AU810)))</formula>
    </cfRule>
  </conditionalFormatting>
  <conditionalFormatting sqref="AU811">
    <cfRule type="cellIs" dxfId="0" priority="4112" operator="lessThan">
      <formula>20</formula>
    </cfRule>
    <cfRule type="cellIs" dxfId="1" priority="3267" operator="greaterThan">
      <formula>120</formula>
    </cfRule>
    <cfRule type="containsText" dxfId="2" priority="2422" operator="between" text="库存为">
      <formula>NOT(ISERROR(SEARCH("库存为",AU811)))</formula>
    </cfRule>
  </conditionalFormatting>
  <conditionalFormatting sqref="AU812">
    <cfRule type="cellIs" dxfId="0" priority="4111" operator="lessThan">
      <formula>20</formula>
    </cfRule>
    <cfRule type="cellIs" dxfId="1" priority="3266" operator="greaterThan">
      <formula>120</formula>
    </cfRule>
    <cfRule type="containsText" dxfId="2" priority="2421" operator="between" text="库存为">
      <formula>NOT(ISERROR(SEARCH("库存为",AU812)))</formula>
    </cfRule>
  </conditionalFormatting>
  <conditionalFormatting sqref="AU813">
    <cfRule type="cellIs" dxfId="0" priority="4110" operator="lessThan">
      <formula>20</formula>
    </cfRule>
    <cfRule type="cellIs" dxfId="1" priority="3265" operator="greaterThan">
      <formula>120</formula>
    </cfRule>
    <cfRule type="containsText" dxfId="2" priority="2420" operator="between" text="库存为">
      <formula>NOT(ISERROR(SEARCH("库存为",AU813)))</formula>
    </cfRule>
  </conditionalFormatting>
  <conditionalFormatting sqref="AU814">
    <cfRule type="cellIs" dxfId="0" priority="4109" operator="lessThan">
      <formula>20</formula>
    </cfRule>
    <cfRule type="cellIs" dxfId="1" priority="3264" operator="greaterThan">
      <formula>120</formula>
    </cfRule>
    <cfRule type="containsText" dxfId="2" priority="2419" operator="between" text="库存为">
      <formula>NOT(ISERROR(SEARCH("库存为",AU814)))</formula>
    </cfRule>
  </conditionalFormatting>
  <conditionalFormatting sqref="AU815">
    <cfRule type="cellIs" dxfId="0" priority="4108" operator="lessThan">
      <formula>20</formula>
    </cfRule>
    <cfRule type="cellIs" dxfId="1" priority="3263" operator="greaterThan">
      <formula>120</formula>
    </cfRule>
    <cfRule type="containsText" dxfId="2" priority="2418" operator="between" text="库存为">
      <formula>NOT(ISERROR(SEARCH("库存为",AU815)))</formula>
    </cfRule>
  </conditionalFormatting>
  <conditionalFormatting sqref="AU816">
    <cfRule type="cellIs" dxfId="0" priority="4107" operator="lessThan">
      <formula>20</formula>
    </cfRule>
    <cfRule type="cellIs" dxfId="1" priority="3262" operator="greaterThan">
      <formula>120</formula>
    </cfRule>
    <cfRule type="containsText" dxfId="2" priority="2417" operator="between" text="库存为">
      <formula>NOT(ISERROR(SEARCH("库存为",AU816)))</formula>
    </cfRule>
  </conditionalFormatting>
  <conditionalFormatting sqref="AU817">
    <cfRule type="cellIs" dxfId="0" priority="4106" operator="lessThan">
      <formula>20</formula>
    </cfRule>
    <cfRule type="cellIs" dxfId="1" priority="3261" operator="greaterThan">
      <formula>120</formula>
    </cfRule>
    <cfRule type="containsText" dxfId="2" priority="2416" operator="between" text="库存为">
      <formula>NOT(ISERROR(SEARCH("库存为",AU817)))</formula>
    </cfRule>
  </conditionalFormatting>
  <conditionalFormatting sqref="AU818">
    <cfRule type="cellIs" dxfId="0" priority="4105" operator="lessThan">
      <formula>20</formula>
    </cfRule>
    <cfRule type="cellIs" dxfId="1" priority="3260" operator="greaterThan">
      <formula>120</formula>
    </cfRule>
    <cfRule type="containsText" dxfId="2" priority="2415" operator="between" text="库存为">
      <formula>NOT(ISERROR(SEARCH("库存为",AU818)))</formula>
    </cfRule>
  </conditionalFormatting>
  <conditionalFormatting sqref="AU819">
    <cfRule type="cellIs" dxfId="0" priority="4104" operator="lessThan">
      <formula>20</formula>
    </cfRule>
    <cfRule type="cellIs" dxfId="1" priority="3259" operator="greaterThan">
      <formula>120</formula>
    </cfRule>
    <cfRule type="containsText" dxfId="2" priority="2414" operator="between" text="库存为">
      <formula>NOT(ISERROR(SEARCH("库存为",AU819)))</formula>
    </cfRule>
  </conditionalFormatting>
  <conditionalFormatting sqref="AU820">
    <cfRule type="cellIs" dxfId="0" priority="4103" operator="lessThan">
      <formula>20</formula>
    </cfRule>
    <cfRule type="cellIs" dxfId="1" priority="3258" operator="greaterThan">
      <formula>120</formula>
    </cfRule>
    <cfRule type="containsText" dxfId="2" priority="2413" operator="between" text="库存为">
      <formula>NOT(ISERROR(SEARCH("库存为",AU820)))</formula>
    </cfRule>
  </conditionalFormatting>
  <conditionalFormatting sqref="AU821">
    <cfRule type="cellIs" dxfId="0" priority="4102" operator="lessThan">
      <formula>20</formula>
    </cfRule>
    <cfRule type="cellIs" dxfId="1" priority="3257" operator="greaterThan">
      <formula>120</formula>
    </cfRule>
    <cfRule type="containsText" dxfId="2" priority="2412" operator="between" text="库存为">
      <formula>NOT(ISERROR(SEARCH("库存为",AU821)))</formula>
    </cfRule>
  </conditionalFormatting>
  <conditionalFormatting sqref="AU822">
    <cfRule type="cellIs" dxfId="0" priority="4101" operator="lessThan">
      <formula>20</formula>
    </cfRule>
    <cfRule type="cellIs" dxfId="1" priority="3256" operator="greaterThan">
      <formula>120</formula>
    </cfRule>
    <cfRule type="containsText" dxfId="2" priority="2411" operator="between" text="库存为">
      <formula>NOT(ISERROR(SEARCH("库存为",AU822)))</formula>
    </cfRule>
  </conditionalFormatting>
  <conditionalFormatting sqref="AU823">
    <cfRule type="cellIs" dxfId="0" priority="4100" operator="lessThan">
      <formula>20</formula>
    </cfRule>
    <cfRule type="cellIs" dxfId="1" priority="3255" operator="greaterThan">
      <formula>120</formula>
    </cfRule>
    <cfRule type="containsText" dxfId="2" priority="2410" operator="between" text="库存为">
      <formula>NOT(ISERROR(SEARCH("库存为",AU823)))</formula>
    </cfRule>
  </conditionalFormatting>
  <conditionalFormatting sqref="AU824">
    <cfRule type="cellIs" dxfId="0" priority="4099" operator="lessThan">
      <formula>20</formula>
    </cfRule>
    <cfRule type="cellIs" dxfId="1" priority="3254" operator="greaterThan">
      <formula>120</formula>
    </cfRule>
    <cfRule type="containsText" dxfId="2" priority="2409" operator="between" text="库存为">
      <formula>NOT(ISERROR(SEARCH("库存为",AU824)))</formula>
    </cfRule>
  </conditionalFormatting>
  <conditionalFormatting sqref="AU825">
    <cfRule type="cellIs" dxfId="0" priority="4098" operator="lessThan">
      <formula>20</formula>
    </cfRule>
    <cfRule type="cellIs" dxfId="1" priority="3253" operator="greaterThan">
      <formula>120</formula>
    </cfRule>
    <cfRule type="containsText" dxfId="2" priority="2408" operator="between" text="库存为">
      <formula>NOT(ISERROR(SEARCH("库存为",AU825)))</formula>
    </cfRule>
  </conditionalFormatting>
  <conditionalFormatting sqref="AU826">
    <cfRule type="cellIs" dxfId="0" priority="4097" operator="lessThan">
      <formula>20</formula>
    </cfRule>
    <cfRule type="cellIs" dxfId="1" priority="3252" operator="greaterThan">
      <formula>120</formula>
    </cfRule>
    <cfRule type="containsText" dxfId="2" priority="2407" operator="between" text="库存为">
      <formula>NOT(ISERROR(SEARCH("库存为",AU826)))</formula>
    </cfRule>
  </conditionalFormatting>
  <conditionalFormatting sqref="AU827">
    <cfRule type="cellIs" dxfId="0" priority="4096" operator="lessThan">
      <formula>20</formula>
    </cfRule>
    <cfRule type="cellIs" dxfId="1" priority="3251" operator="greaterThan">
      <formula>120</formula>
    </cfRule>
    <cfRule type="containsText" dxfId="2" priority="2406" operator="between" text="库存为">
      <formula>NOT(ISERROR(SEARCH("库存为",AU827)))</formula>
    </cfRule>
  </conditionalFormatting>
  <conditionalFormatting sqref="AU828">
    <cfRule type="cellIs" dxfId="0" priority="4095" operator="lessThan">
      <formula>20</formula>
    </cfRule>
    <cfRule type="cellIs" dxfId="1" priority="3250" operator="greaterThan">
      <formula>120</formula>
    </cfRule>
    <cfRule type="containsText" dxfId="2" priority="2405" operator="between" text="库存为">
      <formula>NOT(ISERROR(SEARCH("库存为",AU828)))</formula>
    </cfRule>
  </conditionalFormatting>
  <conditionalFormatting sqref="AU829">
    <cfRule type="cellIs" dxfId="0" priority="4094" operator="lessThan">
      <formula>20</formula>
    </cfRule>
    <cfRule type="cellIs" dxfId="1" priority="3249" operator="greaterThan">
      <formula>120</formula>
    </cfRule>
    <cfRule type="containsText" dxfId="2" priority="2404" operator="between" text="库存为">
      <formula>NOT(ISERROR(SEARCH("库存为",AU829)))</formula>
    </cfRule>
  </conditionalFormatting>
  <conditionalFormatting sqref="AU830">
    <cfRule type="cellIs" dxfId="0" priority="4093" operator="lessThan">
      <formula>20</formula>
    </cfRule>
    <cfRule type="cellIs" dxfId="1" priority="3248" operator="greaterThan">
      <formula>120</formula>
    </cfRule>
    <cfRule type="containsText" dxfId="2" priority="2403" operator="between" text="库存为">
      <formula>NOT(ISERROR(SEARCH("库存为",AU830)))</formula>
    </cfRule>
  </conditionalFormatting>
  <conditionalFormatting sqref="AU831">
    <cfRule type="cellIs" dxfId="0" priority="4092" operator="lessThan">
      <formula>20</formula>
    </cfRule>
    <cfRule type="cellIs" dxfId="1" priority="3247" operator="greaterThan">
      <formula>120</formula>
    </cfRule>
    <cfRule type="containsText" dxfId="2" priority="2402" operator="between" text="库存为">
      <formula>NOT(ISERROR(SEARCH("库存为",AU831)))</formula>
    </cfRule>
  </conditionalFormatting>
  <conditionalFormatting sqref="AU832">
    <cfRule type="cellIs" dxfId="0" priority="4091" operator="lessThan">
      <formula>20</formula>
    </cfRule>
    <cfRule type="cellIs" dxfId="1" priority="3246" operator="greaterThan">
      <formula>120</formula>
    </cfRule>
    <cfRule type="containsText" dxfId="2" priority="2401" operator="between" text="库存为">
      <formula>NOT(ISERROR(SEARCH("库存为",AU832)))</formula>
    </cfRule>
  </conditionalFormatting>
  <conditionalFormatting sqref="AU833">
    <cfRule type="cellIs" dxfId="0" priority="4090" operator="lessThan">
      <formula>20</formula>
    </cfRule>
    <cfRule type="cellIs" dxfId="1" priority="3245" operator="greaterThan">
      <formula>120</formula>
    </cfRule>
    <cfRule type="containsText" dxfId="2" priority="2400" operator="between" text="库存为">
      <formula>NOT(ISERROR(SEARCH("库存为",AU833)))</formula>
    </cfRule>
  </conditionalFormatting>
  <conditionalFormatting sqref="AU834">
    <cfRule type="cellIs" dxfId="0" priority="4089" operator="lessThan">
      <formula>20</formula>
    </cfRule>
    <cfRule type="cellIs" dxfId="1" priority="3244" operator="greaterThan">
      <formula>120</formula>
    </cfRule>
    <cfRule type="containsText" dxfId="2" priority="2399" operator="between" text="库存为">
      <formula>NOT(ISERROR(SEARCH("库存为",AU834)))</formula>
    </cfRule>
  </conditionalFormatting>
  <conditionalFormatting sqref="AU835">
    <cfRule type="cellIs" dxfId="0" priority="4088" operator="lessThan">
      <formula>20</formula>
    </cfRule>
    <cfRule type="cellIs" dxfId="1" priority="3243" operator="greaterThan">
      <formula>120</formula>
    </cfRule>
    <cfRule type="containsText" dxfId="2" priority="2398" operator="between" text="库存为">
      <formula>NOT(ISERROR(SEARCH("库存为",AU835)))</formula>
    </cfRule>
  </conditionalFormatting>
  <conditionalFormatting sqref="AU836">
    <cfRule type="cellIs" dxfId="0" priority="4087" operator="lessThan">
      <formula>20</formula>
    </cfRule>
    <cfRule type="cellIs" dxfId="1" priority="3242" operator="greaterThan">
      <formula>120</formula>
    </cfRule>
    <cfRule type="containsText" dxfId="2" priority="2397" operator="between" text="库存为">
      <formula>NOT(ISERROR(SEARCH("库存为",AU836)))</formula>
    </cfRule>
  </conditionalFormatting>
  <conditionalFormatting sqref="AU837">
    <cfRule type="cellIs" dxfId="0" priority="4086" operator="lessThan">
      <formula>20</formula>
    </cfRule>
    <cfRule type="cellIs" dxfId="1" priority="3241" operator="greaterThan">
      <formula>120</formula>
    </cfRule>
    <cfRule type="containsText" dxfId="2" priority="2396" operator="between" text="库存为">
      <formula>NOT(ISERROR(SEARCH("库存为",AU837)))</formula>
    </cfRule>
  </conditionalFormatting>
  <conditionalFormatting sqref="AU838">
    <cfRule type="cellIs" dxfId="0" priority="4085" operator="lessThan">
      <formula>20</formula>
    </cfRule>
    <cfRule type="cellIs" dxfId="1" priority="3240" operator="greaterThan">
      <formula>120</formula>
    </cfRule>
    <cfRule type="containsText" dxfId="2" priority="2395" operator="between" text="库存为">
      <formula>NOT(ISERROR(SEARCH("库存为",AU838)))</formula>
    </cfRule>
  </conditionalFormatting>
  <conditionalFormatting sqref="AU839">
    <cfRule type="cellIs" dxfId="0" priority="4084" operator="lessThan">
      <formula>20</formula>
    </cfRule>
    <cfRule type="cellIs" dxfId="1" priority="3239" operator="greaterThan">
      <formula>120</formula>
    </cfRule>
    <cfRule type="containsText" dxfId="2" priority="2394" operator="between" text="库存为">
      <formula>NOT(ISERROR(SEARCH("库存为",AU839)))</formula>
    </cfRule>
  </conditionalFormatting>
  <conditionalFormatting sqref="AU840">
    <cfRule type="cellIs" dxfId="0" priority="4083" operator="lessThan">
      <formula>20</formula>
    </cfRule>
    <cfRule type="cellIs" dxfId="1" priority="3238" operator="greaterThan">
      <formula>120</formula>
    </cfRule>
    <cfRule type="containsText" dxfId="2" priority="2393" operator="between" text="库存为">
      <formula>NOT(ISERROR(SEARCH("库存为",AU840)))</formula>
    </cfRule>
  </conditionalFormatting>
  <conditionalFormatting sqref="AU841">
    <cfRule type="cellIs" dxfId="0" priority="4082" operator="lessThan">
      <formula>20</formula>
    </cfRule>
    <cfRule type="cellIs" dxfId="1" priority="3237" operator="greaterThan">
      <formula>120</formula>
    </cfRule>
    <cfRule type="containsText" dxfId="2" priority="2392" operator="between" text="库存为">
      <formula>NOT(ISERROR(SEARCH("库存为",AU841)))</formula>
    </cfRule>
  </conditionalFormatting>
  <conditionalFormatting sqref="AU842">
    <cfRule type="cellIs" dxfId="0" priority="4081" operator="lessThan">
      <formula>20</formula>
    </cfRule>
    <cfRule type="cellIs" dxfId="1" priority="3236" operator="greaterThan">
      <formula>120</formula>
    </cfRule>
    <cfRule type="containsText" dxfId="2" priority="2391" operator="between" text="库存为">
      <formula>NOT(ISERROR(SEARCH("库存为",AU842)))</formula>
    </cfRule>
  </conditionalFormatting>
  <conditionalFormatting sqref="AU843">
    <cfRule type="cellIs" dxfId="0" priority="4080" operator="lessThan">
      <formula>20</formula>
    </cfRule>
    <cfRule type="cellIs" dxfId="1" priority="3235" operator="greaterThan">
      <formula>120</formula>
    </cfRule>
    <cfRule type="containsText" dxfId="2" priority="2390" operator="between" text="库存为">
      <formula>NOT(ISERROR(SEARCH("库存为",AU843)))</formula>
    </cfRule>
  </conditionalFormatting>
  <conditionalFormatting sqref="AU844">
    <cfRule type="cellIs" dxfId="0" priority="4079" operator="lessThan">
      <formula>20</formula>
    </cfRule>
    <cfRule type="cellIs" dxfId="1" priority="3234" operator="greaterThan">
      <formula>120</formula>
    </cfRule>
    <cfRule type="containsText" dxfId="2" priority="2389" operator="between" text="库存为">
      <formula>NOT(ISERROR(SEARCH("库存为",AU844)))</formula>
    </cfRule>
  </conditionalFormatting>
  <conditionalFormatting sqref="AU845">
    <cfRule type="cellIs" dxfId="0" priority="4078" operator="lessThan">
      <formula>20</formula>
    </cfRule>
    <cfRule type="cellIs" dxfId="1" priority="3233" operator="greaterThan">
      <formula>120</formula>
    </cfRule>
    <cfRule type="containsText" dxfId="2" priority="2388" operator="between" text="库存为">
      <formula>NOT(ISERROR(SEARCH("库存为",AU845)))</formula>
    </cfRule>
  </conditionalFormatting>
  <conditionalFormatting sqref="AU846">
    <cfRule type="cellIs" dxfId="0" priority="4077" operator="lessThan">
      <formula>20</formula>
    </cfRule>
    <cfRule type="cellIs" dxfId="1" priority="3232" operator="greaterThan">
      <formula>120</formula>
    </cfRule>
    <cfRule type="containsText" dxfId="2" priority="2387" operator="between" text="库存为">
      <formula>NOT(ISERROR(SEARCH("库存为",AU846)))</formula>
    </cfRule>
  </conditionalFormatting>
  <conditionalFormatting sqref="AU847">
    <cfRule type="cellIs" dxfId="0" priority="4076" operator="lessThan">
      <formula>20</formula>
    </cfRule>
    <cfRule type="cellIs" dxfId="1" priority="3231" operator="greaterThan">
      <formula>120</formula>
    </cfRule>
    <cfRule type="containsText" dxfId="2" priority="2386" operator="between" text="库存为">
      <formula>NOT(ISERROR(SEARCH("库存为",AU847)))</formula>
    </cfRule>
  </conditionalFormatting>
  <conditionalFormatting sqref="AU848">
    <cfRule type="cellIs" dxfId="0" priority="4075" operator="lessThan">
      <formula>20</formula>
    </cfRule>
    <cfRule type="cellIs" dxfId="1" priority="3230" operator="greaterThan">
      <formula>120</formula>
    </cfRule>
    <cfRule type="containsText" dxfId="2" priority="2385" operator="between" text="库存为">
      <formula>NOT(ISERROR(SEARCH("库存为",AU848)))</formula>
    </cfRule>
  </conditionalFormatting>
  <conditionalFormatting sqref="AU849">
    <cfRule type="cellIs" dxfId="0" priority="4074" operator="lessThan">
      <formula>20</formula>
    </cfRule>
    <cfRule type="cellIs" dxfId="1" priority="3229" operator="greaterThan">
      <formula>120</formula>
    </cfRule>
    <cfRule type="containsText" dxfId="2" priority="2384" operator="between" text="库存为">
      <formula>NOT(ISERROR(SEARCH("库存为",AU849)))</formula>
    </cfRule>
  </conditionalFormatting>
  <conditionalFormatting sqref="AU850">
    <cfRule type="cellIs" dxfId="0" priority="4073" operator="lessThan">
      <formula>20</formula>
    </cfRule>
    <cfRule type="cellIs" dxfId="1" priority="3228" operator="greaterThan">
      <formula>120</formula>
    </cfRule>
    <cfRule type="containsText" dxfId="2" priority="2383" operator="between" text="库存为">
      <formula>NOT(ISERROR(SEARCH("库存为",AU850)))</formula>
    </cfRule>
  </conditionalFormatting>
  <conditionalFormatting sqref="AU851:AU2811">
    <cfRule type="containsText" dxfId="2" priority="4930" operator="between" text="库存为">
      <formula>NOT(ISERROR(SEARCH("库存为",AU851)))</formula>
    </cfRule>
    <cfRule type="cellIs" dxfId="1" priority="4931" operator="greaterThan">
      <formula>120</formula>
    </cfRule>
    <cfRule type="cellIs" dxfId="0" priority="493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7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1128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1129</v>
      </c>
      <c r="AI1" s="11"/>
      <c r="AJ1" s="11"/>
      <c r="AK1" s="11"/>
      <c r="AL1" s="11" t="s">
        <v>1130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43255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2018/6/25-2018/7/1</v>
      </c>
      <c r="C3" s="14" t="str">
        <f>TEXT(时间!$B$8,"yyyy/M/d")&amp;"-"&amp;TEXT(时间!$B$7,"yyyy/M/d")</f>
        <v>2018/6/18-2018/6/24</v>
      </c>
      <c r="D3" s="14" t="str">
        <f>TEXT(时间!$B$10,"yyyy/M/d")&amp;"-"&amp;TEXT(时间!$B$9,"yyyy/M/d")</f>
        <v>2018/6/11-2018/6/17</v>
      </c>
      <c r="E3" s="14" t="str">
        <f>TEXT(时间!$B$12,"yyyy/M/d")&amp;"-"&amp;TEXT(时间!$B$11,"yyyy/M/d")</f>
        <v>2018/6/4-2018/6/10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1131</v>
      </c>
      <c r="C4" s="6" t="s">
        <v>1132</v>
      </c>
      <c r="D4" s="6" t="s">
        <v>1133</v>
      </c>
      <c r="E4" s="6" t="s">
        <v>1134</v>
      </c>
      <c r="F4" s="7" t="s">
        <v>20</v>
      </c>
      <c r="G4" t="s">
        <v>21</v>
      </c>
      <c r="H4" t="s">
        <v>22</v>
      </c>
      <c r="I4" t="s">
        <v>1135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64</v>
      </c>
      <c r="C5" s="17">
        <f t="shared" si="14"/>
        <v>33</v>
      </c>
      <c r="D5" s="17">
        <f t="shared" si="14"/>
        <v>32</v>
      </c>
      <c r="E5" s="17">
        <f t="shared" si="14"/>
        <v>39</v>
      </c>
      <c r="F5" s="18"/>
      <c r="G5" s="5">
        <f t="shared" si="14"/>
        <v>4395</v>
      </c>
      <c r="H5" s="5">
        <f t="shared" si="14"/>
        <v>0</v>
      </c>
      <c r="I5" s="5">
        <f t="shared" si="14"/>
        <v>0</v>
      </c>
      <c r="J5" s="5">
        <f t="shared" si="14"/>
        <v>2</v>
      </c>
      <c r="K5" s="5">
        <f t="shared" si="14"/>
        <v>4397</v>
      </c>
      <c r="L5" s="5">
        <f t="shared" si="14"/>
        <v>15</v>
      </c>
      <c r="M5" s="5">
        <f t="shared" si="14"/>
        <v>3999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162.94</v>
      </c>
      <c r="AA5" s="5">
        <f>SUM(AA6:AA9999)</f>
        <v>168.45</v>
      </c>
      <c r="AB5" s="5">
        <f>SUM(AB6:AB9999)</f>
        <v>173.67</v>
      </c>
      <c r="AC5" s="5">
        <f>SUM(AC6:AC9999)</f>
        <v>248.79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1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24</v>
      </c>
      <c r="L6">
        <f>SUMIF('库存（子SKU）'!$C:$C,$A6,'库存（子SKU）'!N:N)</f>
        <v>0</v>
      </c>
      <c r="M6">
        <f>SUMIF('库存（子SKU）'!$C:$C,$A6,'库存（子SKU）'!O:O)</f>
        <v>25</v>
      </c>
      <c r="N6">
        <f>SUMIF('库存（子SKU）'!$C:$C,$A6,'库存（子SKU）'!P:P)</f>
        <v>467</v>
      </c>
      <c r="O6">
        <f>SUMIF('库存（子SKU）'!$C:$C,$A6,'库存（子SKU）'!Q:Q)</f>
        <v>258</v>
      </c>
      <c r="P6">
        <f>SUMIF('库存（子SKU）'!$C:$C,$A6,'库存（子SKU）'!R:R)</f>
        <v>389</v>
      </c>
      <c r="Q6">
        <f>SUMIF('库存（子SKU）'!$C:$C,$A6,'库存（子SKU）'!S:S)</f>
        <v>1122</v>
      </c>
      <c r="R6">
        <f>SUMIF('库存（子SKU）'!$C:$C,$A6,'库存（子SKU）'!T:T)</f>
        <v>1</v>
      </c>
      <c r="S6">
        <f>SUMIF('库存（子SKU）'!$C:$C,$A6,'库存（子SKU）'!U:U)</f>
        <v>0</v>
      </c>
      <c r="T6">
        <f>SUMIF('库存（子SKU）'!$C:$C,$A6,'库存（子SKU）'!V:V)</f>
        <v>1</v>
      </c>
      <c r="U6">
        <f>SUMIF('库存（子SKU）'!$C:$C,$A6,'库存（子SKU）'!W:W)</f>
        <v>2</v>
      </c>
      <c r="V6" s="23">
        <f t="shared" ref="V6:V69" si="15">IFERROR(R6/N6,"")</f>
        <v>0.00214132762312634</v>
      </c>
      <c r="W6" s="23">
        <f t="shared" ref="W6:W69" si="16">IFERROR(S6/O6,"")</f>
        <v>0</v>
      </c>
      <c r="X6" s="23">
        <f t="shared" ref="X6:X69" si="17">IFERROR(T6/P6,"")</f>
        <v>0.0025706940874036</v>
      </c>
      <c r="Y6" s="23">
        <f t="shared" ref="Y6:Y69" si="18">IFERROR(U6/Q6,"")</f>
        <v>0.0017825311942959</v>
      </c>
      <c r="Z6">
        <f>SUMIF('库存（子SKU）'!$C:$C,$A6,'库存（子SKU）'!AB:AB)</f>
        <v>0.82</v>
      </c>
      <c r="AA6">
        <f>SUMIF('库存（子SKU）'!$C:$C,$A6,'库存（子SKU）'!AC:AC)</f>
        <v>0</v>
      </c>
      <c r="AB6">
        <f>SUMIF('库存（子SKU）'!$C:$C,$A6,'库存（子SKU）'!AD:AD)</f>
        <v>1</v>
      </c>
      <c r="AC6">
        <f>SUMIF('库存（子SKU）'!$C:$C,$A6,'库存（子SKU）'!AE:AE)</f>
        <v>1.67</v>
      </c>
      <c r="AD6" s="23" t="str">
        <f t="shared" si="2"/>
        <v>无销量广告费为0.82</v>
      </c>
      <c r="AE6" s="23" t="str">
        <f t="shared" si="3"/>
        <v/>
      </c>
      <c r="AF6" s="23">
        <f t="shared" si="4"/>
        <v>0.0625390869293308</v>
      </c>
      <c r="AG6" s="23" t="str">
        <f t="shared" si="5"/>
        <v>无销量广告费为1.67</v>
      </c>
      <c r="AH6">
        <f>SUMIF('库存（子SKU）'!$C:$C,$A6,'库存（子SKU）'!AJ:AJ)</f>
        <v>5</v>
      </c>
      <c r="AI6">
        <f>SUMIF('库存（子SKU）'!$C:$C,$A6,'库存（子SKU）'!AK:AK)</f>
        <v>6</v>
      </c>
      <c r="AJ6">
        <f>SUMIF('库存（子SKU）'!$C:$C,$A6,'库存（子SKU）'!AL:AL)</f>
        <v>2</v>
      </c>
      <c r="AK6">
        <f>SUMIF('库存（子SKU）'!$C:$C,$A6,'库存（子SKU）'!AM:AM)</f>
        <v>4</v>
      </c>
      <c r="AL6" s="23">
        <f t="shared" si="6"/>
        <v>0</v>
      </c>
      <c r="AM6" s="23">
        <f t="shared" si="7"/>
        <v>0</v>
      </c>
      <c r="AN6" s="23">
        <f t="shared" si="8"/>
        <v>0.5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24</v>
      </c>
      <c r="AS6" t="str">
        <f t="shared" si="13"/>
        <v>库存为24</v>
      </c>
      <c r="AT6" s="25" t="str">
        <f>IFERROR(时间!$B$4+AS6,"上周无销量")</f>
        <v>上周无销量</v>
      </c>
    </row>
    <row r="7" spans="1:46">
      <c r="A7" t="s">
        <v>59</v>
      </c>
      <c r="B7" s="6">
        <f>SUMIF('库存（子SKU）'!$C:$C,$A7,'库存（子SKU）'!D:D)</f>
        <v>0</v>
      </c>
      <c r="C7" s="6">
        <f>SUMIF('库存（子SKU）'!$C:$C,$A7,'库存（子SKU）'!E:E)</f>
        <v>1</v>
      </c>
      <c r="D7" s="6">
        <f>SUMIF('库存（子SKU）'!$C:$C,$A7,'库存（子SKU）'!F:F)</f>
        <v>2</v>
      </c>
      <c r="E7" s="6">
        <f>SUMIF('库存（子SKU）'!$C:$C,$A7,'库存（子SKU）'!G:G)</f>
        <v>0</v>
      </c>
      <c r="F7" s="7">
        <v>15.99</v>
      </c>
      <c r="G7">
        <f>SUMIF('库存（子SKU）'!$C:$C,$A7,'库存（子SKU）'!I:I)</f>
        <v>7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7</v>
      </c>
      <c r="L7">
        <f>SUMIF('库存（子SKU）'!$C:$C,$A7,'库存（子SKU）'!N:N)</f>
        <v>0</v>
      </c>
      <c r="M7">
        <f>SUMIF('库存（子SKU）'!$C:$C,$A7,'库存（子SKU）'!O:O)</f>
        <v>7</v>
      </c>
      <c r="N7">
        <f>SUMIF('库存（子SKU）'!$C:$C,$A7,'库存（子SKU）'!P:P)</f>
        <v>5406</v>
      </c>
      <c r="O7">
        <f>SUMIF('库存（子SKU）'!$C:$C,$A7,'库存（子SKU）'!Q:Q)</f>
        <v>3636</v>
      </c>
      <c r="P7">
        <f>SUMIF('库存（子SKU）'!$C:$C,$A7,'库存（子SKU）'!R:R)</f>
        <v>5303</v>
      </c>
      <c r="Q7">
        <f>SUMIF('库存（子SKU）'!$C:$C,$A7,'库存（子SKU）'!S:S)</f>
        <v>9501</v>
      </c>
      <c r="R7">
        <f>SUMIF('库存（子SKU）'!$C:$C,$A7,'库存（子SKU）'!T:T)</f>
        <v>16</v>
      </c>
      <c r="S7">
        <f>SUMIF('库存（子SKU）'!$C:$C,$A7,'库存（子SKU）'!U:U)</f>
        <v>24</v>
      </c>
      <c r="T7">
        <f>SUMIF('库存（子SKU）'!$C:$C,$A7,'库存（子SKU）'!V:V)</f>
        <v>29</v>
      </c>
      <c r="U7">
        <f>SUMIF('库存（子SKU）'!$C:$C,$A7,'库存（子SKU）'!W:W)</f>
        <v>29</v>
      </c>
      <c r="V7" s="23">
        <f t="shared" si="15"/>
        <v>0.00295967443581206</v>
      </c>
      <c r="W7" s="23">
        <f t="shared" si="16"/>
        <v>0.0066006600660066</v>
      </c>
      <c r="X7" s="23">
        <f t="shared" si="17"/>
        <v>0.00546860267772959</v>
      </c>
      <c r="Y7" s="23">
        <f t="shared" si="18"/>
        <v>0.00305231028312809</v>
      </c>
      <c r="Z7">
        <f>SUMIF('库存（子SKU）'!$C:$C,$A7,'库存（子SKU）'!AB:AB)</f>
        <v>14.03</v>
      </c>
      <c r="AA7">
        <f>SUMIF('库存（子SKU）'!$C:$C,$A7,'库存（子SKU）'!AC:AC)</f>
        <v>18.3</v>
      </c>
      <c r="AB7">
        <f>SUMIF('库存（子SKU）'!$C:$C,$A7,'库存（子SKU）'!AD:AD)</f>
        <v>20.41</v>
      </c>
      <c r="AC7">
        <f>SUMIF('库存（子SKU）'!$C:$C,$A7,'库存（子SKU）'!AE:AE)</f>
        <v>17.14</v>
      </c>
      <c r="AD7" s="23" t="str">
        <f t="shared" si="2"/>
        <v>无销量广告费为14.03</v>
      </c>
      <c r="AE7" s="23">
        <f t="shared" si="3"/>
        <v>1.14446529080675</v>
      </c>
      <c r="AF7" s="23">
        <f t="shared" si="4"/>
        <v>0.638211382113821</v>
      </c>
      <c r="AG7" s="23" t="str">
        <f t="shared" si="5"/>
        <v>无销量广告费为17.14</v>
      </c>
      <c r="AH7">
        <f>SUMIF('库存（子SKU）'!$C:$C,$A7,'库存（子SKU）'!AJ:AJ)</f>
        <v>19</v>
      </c>
      <c r="AI7">
        <f>SUMIF('库存（子SKU）'!$C:$C,$A7,'库存（子SKU）'!AK:AK)</f>
        <v>9</v>
      </c>
      <c r="AJ7">
        <f>SUMIF('库存（子SKU）'!$C:$C,$A7,'库存（子SKU）'!AL:AL)</f>
        <v>20</v>
      </c>
      <c r="AK7">
        <f>SUMIF('库存（子SKU）'!$C:$C,$A7,'库存（子SKU）'!AM:AM)</f>
        <v>14</v>
      </c>
      <c r="AL7" s="23">
        <f t="shared" si="6"/>
        <v>0</v>
      </c>
      <c r="AM7" s="23">
        <f t="shared" si="7"/>
        <v>0.111111111111111</v>
      </c>
      <c r="AN7" s="23">
        <f t="shared" si="8"/>
        <v>0.1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7</v>
      </c>
      <c r="AS7" t="str">
        <f t="shared" si="13"/>
        <v>库存为7</v>
      </c>
      <c r="AT7" s="25" t="str">
        <f>IFERROR(时间!$B$4+AS7,"上周无销量")</f>
        <v>上周无销量</v>
      </c>
    </row>
    <row r="8" spans="1:46">
      <c r="A8" t="s">
        <v>64</v>
      </c>
      <c r="B8" s="6">
        <f>SUMIF('库存（子SKU）'!$C:$C,$A8,'库存（子SKU）'!D:D)</f>
        <v>1</v>
      </c>
      <c r="C8" s="6">
        <f>SUMIF('库存（子SKU）'!$C:$C,$A8,'库存（子SKU）'!E:E)</f>
        <v>0</v>
      </c>
      <c r="D8" s="6">
        <f>SUMIF('库存（子SKU）'!$C:$C,$A8,'库存（子SKU）'!F:F)</f>
        <v>1</v>
      </c>
      <c r="E8" s="6">
        <f>SUMIF('库存（子SKU）'!$C:$C,$A8,'库存（子SKU）'!G:G)</f>
        <v>0</v>
      </c>
      <c r="F8" s="7">
        <v>15.99</v>
      </c>
      <c r="G8">
        <f>SUMIF('库存（子SKU）'!$C:$C,$A8,'库存（子SKU）'!I:I)</f>
        <v>41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41</v>
      </c>
      <c r="L8">
        <f>SUMIF('库存（子SKU）'!$C:$C,$A8,'库存（子SKU）'!N:N)</f>
        <v>0</v>
      </c>
      <c r="M8">
        <f>SUMIF('库存（子SKU）'!$C:$C,$A8,'库存（子SKU）'!O:O)</f>
        <v>42</v>
      </c>
      <c r="N8">
        <f>SUMIF('库存（子SKU）'!$C:$C,$A8,'库存（子SKU）'!P:P)</f>
        <v>963</v>
      </c>
      <c r="O8">
        <f>SUMIF('库存（子SKU）'!$C:$C,$A8,'库存（子SKU）'!Q:Q)</f>
        <v>663</v>
      </c>
      <c r="P8">
        <f>SUMIF('库存（子SKU）'!$C:$C,$A8,'库存（子SKU）'!R:R)</f>
        <v>1088</v>
      </c>
      <c r="Q8">
        <f>SUMIF('库存（子SKU）'!$C:$C,$A8,'库存（子SKU）'!S:S)</f>
        <v>2456</v>
      </c>
      <c r="R8">
        <f>SUMIF('库存（子SKU）'!$C:$C,$A8,'库存（子SKU）'!T:T)</f>
        <v>10</v>
      </c>
      <c r="S8">
        <f>SUMIF('库存（子SKU）'!$C:$C,$A8,'库存（子SKU）'!U:U)</f>
        <v>4</v>
      </c>
      <c r="T8">
        <f>SUMIF('库存（子SKU）'!$C:$C,$A8,'库存（子SKU）'!V:V)</f>
        <v>2</v>
      </c>
      <c r="U8">
        <f>SUMIF('库存（子SKU）'!$C:$C,$A8,'库存（子SKU）'!W:W)</f>
        <v>7</v>
      </c>
      <c r="V8" s="23">
        <f t="shared" si="15"/>
        <v>0.0103842159916926</v>
      </c>
      <c r="W8" s="23">
        <f t="shared" si="16"/>
        <v>0.00603318250377074</v>
      </c>
      <c r="X8" s="23">
        <f t="shared" si="17"/>
        <v>0.00183823529411765</v>
      </c>
      <c r="Y8" s="23">
        <f t="shared" si="18"/>
        <v>0.00285016286644951</v>
      </c>
      <c r="Z8">
        <f>SUMIF('库存（子SKU）'!$C:$C,$A8,'库存（子SKU）'!AB:AB)</f>
        <v>8.45</v>
      </c>
      <c r="AA8">
        <f>SUMIF('库存（子SKU）'!$C:$C,$A8,'库存（子SKU）'!AC:AC)</f>
        <v>3.26</v>
      </c>
      <c r="AB8">
        <f>SUMIF('库存（子SKU）'!$C:$C,$A8,'库存（子SKU）'!AD:AD)</f>
        <v>1.52</v>
      </c>
      <c r="AC8">
        <f>SUMIF('库存（子SKU）'!$C:$C,$A8,'库存（子SKU）'!AE:AE)</f>
        <v>2.55</v>
      </c>
      <c r="AD8" s="23">
        <f t="shared" si="2"/>
        <v>0.528455284552846</v>
      </c>
      <c r="AE8" s="23" t="str">
        <f t="shared" si="3"/>
        <v>无销量广告费为3.26</v>
      </c>
      <c r="AF8" s="23">
        <f t="shared" si="4"/>
        <v>0.0950594121325829</v>
      </c>
      <c r="AG8" s="23" t="str">
        <f t="shared" si="5"/>
        <v>无销量广告费为2.55</v>
      </c>
      <c r="AH8">
        <f>SUMIF('库存（子SKU）'!$C:$C,$A8,'库存（子SKU）'!AJ:AJ)</f>
        <v>10</v>
      </c>
      <c r="AI8">
        <f>SUMIF('库存（子SKU）'!$C:$C,$A8,'库存（子SKU）'!AK:AK)</f>
        <v>8</v>
      </c>
      <c r="AJ8">
        <f>SUMIF('库存（子SKU）'!$C:$C,$A8,'库存（子SKU）'!AL:AL)</f>
        <v>5</v>
      </c>
      <c r="AK8">
        <f>SUMIF('库存（子SKU）'!$C:$C,$A8,'库存（子SKU）'!AM:AM)</f>
        <v>9</v>
      </c>
      <c r="AL8" s="23">
        <f t="shared" si="6"/>
        <v>0.1</v>
      </c>
      <c r="AM8" s="23">
        <f t="shared" si="7"/>
        <v>0</v>
      </c>
      <c r="AN8" s="23">
        <f t="shared" si="8"/>
        <v>0.2</v>
      </c>
      <c r="AO8" s="23">
        <f t="shared" si="9"/>
        <v>0</v>
      </c>
      <c r="AP8" s="8">
        <f t="shared" si="10"/>
        <v>0.142857142857143</v>
      </c>
      <c r="AQ8" s="8">
        <f t="shared" si="11"/>
        <v>8.57142857142857</v>
      </c>
      <c r="AR8" s="8">
        <f t="shared" si="12"/>
        <v>32.4285714285714</v>
      </c>
      <c r="AS8">
        <f t="shared" si="13"/>
        <v>287</v>
      </c>
      <c r="AT8" s="25">
        <f>IFERROR(时间!$B$4+AS8,"上周无销量")</f>
        <v>43570</v>
      </c>
    </row>
    <row r="9" spans="1:46">
      <c r="A9" t="s">
        <v>69</v>
      </c>
      <c r="B9" s="6">
        <f>SUMIF('库存（子SKU）'!$C:$C,$A9,'库存（子SKU）'!D:D)</f>
        <v>4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>
        <v>36.76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47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6</v>
      </c>
      <c r="Q9">
        <f>SUMIF('库存（子SKU）'!$C:$C,$A9,'库存（子SKU）'!S:S)</f>
        <v>51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>
        <f t="shared" si="17"/>
        <v>0</v>
      </c>
      <c r="Y9" s="23">
        <f t="shared" si="18"/>
        <v>0</v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>
        <f t="shared" si="2"/>
        <v>0</v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17</v>
      </c>
      <c r="AI9">
        <f>SUMIF('库存（子SKU）'!$C:$C,$A9,'库存（子SKU）'!AK:AK)</f>
        <v>11</v>
      </c>
      <c r="AJ9">
        <f>SUMIF('库存（子SKU）'!$C:$C,$A9,'库存（子SKU）'!AL:AL)</f>
        <v>5</v>
      </c>
      <c r="AK9">
        <f>SUMIF('库存（子SKU）'!$C:$C,$A9,'库存（子SKU）'!AM:AM)</f>
        <v>1</v>
      </c>
      <c r="AL9" s="23">
        <f t="shared" si="6"/>
        <v>0.235294117647059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0.571428571428571</v>
      </c>
      <c r="AQ9" s="8">
        <f t="shared" si="11"/>
        <v>34.2857142857143</v>
      </c>
      <c r="AR9" s="8">
        <f t="shared" si="12"/>
        <v>10.7142857142857</v>
      </c>
      <c r="AS9">
        <f t="shared" si="13"/>
        <v>78</v>
      </c>
      <c r="AT9" s="25">
        <f>IFERROR(时间!$B$4+AS9,"上周无销量")</f>
        <v>43361</v>
      </c>
    </row>
    <row r="10" spans="1:46">
      <c r="A10" t="s">
        <v>72</v>
      </c>
      <c r="B10" s="6">
        <f>SUMIF('库存（子SKU）'!$C:$C,$A10,'库存（子SKU）'!D:D)</f>
        <v>1</v>
      </c>
      <c r="C10" s="6">
        <f>SUMIF('库存（子SKU）'!$C:$C,$A10,'库存（子SKU）'!E:E)</f>
        <v>1</v>
      </c>
      <c r="D10" s="6">
        <f>SUMIF('库存（子SKU）'!$C:$C,$A10,'库存（子SKU）'!F:F)</f>
        <v>0</v>
      </c>
      <c r="E10" s="6">
        <f>SUMIF('库存（子SKU）'!$C:$C,$A10,'库存（子SKU）'!G:G)</f>
        <v>1</v>
      </c>
      <c r="F10" s="7">
        <v>20.9</v>
      </c>
      <c r="G10">
        <f>SUMIF('库存（子SKU）'!$C:$C,$A10,'库存（子SKU）'!I:I)</f>
        <v>6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529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5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>
        <f t="shared" si="18"/>
        <v>0.00945179584120983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1.3</v>
      </c>
      <c r="AD10" s="23">
        <f t="shared" si="2"/>
        <v>0</v>
      </c>
      <c r="AE10" s="23">
        <f t="shared" si="3"/>
        <v>0</v>
      </c>
      <c r="AF10" s="23" t="str">
        <f t="shared" si="4"/>
        <v/>
      </c>
      <c r="AG10" s="23">
        <f t="shared" si="5"/>
        <v>0.062200956937799</v>
      </c>
      <c r="AH10">
        <f>SUMIF('库存（子SKU）'!$C:$C,$A10,'库存（子SKU）'!AJ:AJ)</f>
        <v>5</v>
      </c>
      <c r="AI10">
        <f>SUMIF('库存（子SKU）'!$C:$C,$A10,'库存（子SKU）'!AK:AK)</f>
        <v>4</v>
      </c>
      <c r="AJ10">
        <f>SUMIF('库存（子SKU）'!$C:$C,$A10,'库存（子SKU）'!AL:AL)</f>
        <v>3</v>
      </c>
      <c r="AK10">
        <f>SUMIF('库存（子SKU）'!$C:$C,$A10,'库存（子SKU）'!AM:AM)</f>
        <v>4</v>
      </c>
      <c r="AL10" s="23">
        <f t="shared" si="6"/>
        <v>0.2</v>
      </c>
      <c r="AM10" s="23">
        <f t="shared" si="7"/>
        <v>0.25</v>
      </c>
      <c r="AN10" s="23">
        <f t="shared" si="8"/>
        <v>0</v>
      </c>
      <c r="AO10" s="23">
        <f t="shared" si="9"/>
        <v>0.25</v>
      </c>
      <c r="AP10" s="8">
        <f t="shared" si="10"/>
        <v>0.142857142857143</v>
      </c>
      <c r="AQ10" s="8">
        <f t="shared" si="11"/>
        <v>8.57142857142857</v>
      </c>
      <c r="AR10" s="8">
        <f t="shared" si="12"/>
        <v>-2.57142857142857</v>
      </c>
      <c r="AS10">
        <f t="shared" si="13"/>
        <v>42</v>
      </c>
      <c r="AT10" s="25">
        <f>IFERROR(时间!$B$4+AS10,"上周无销量")</f>
        <v>43325</v>
      </c>
    </row>
    <row r="11" spans="1:46">
      <c r="A11" t="s">
        <v>80</v>
      </c>
      <c r="B11" s="6">
        <f>SUMIF('库存（子SKU）'!$C:$C,$A11,'库存（子SKU）'!D:D)</f>
        <v>0</v>
      </c>
      <c r="C11" s="6">
        <f>SUMIF('库存（子SKU）'!$C:$C,$A11,'库存（子SKU）'!E:E)</f>
        <v>0</v>
      </c>
      <c r="D11" s="6">
        <f>SUMIF('库存（子SKU）'!$C:$C,$A11,'库存（子SKU）'!F:F)</f>
        <v>2</v>
      </c>
      <c r="E11" s="6">
        <f>SUMIF('库存（子SKU）'!$C:$C,$A11,'库存（子SKU）'!G:G)</f>
        <v>3</v>
      </c>
      <c r="F11" s="7">
        <v>16.72</v>
      </c>
      <c r="G11">
        <f>SUMIF('库存（子SKU）'!$C:$C,$A11,'库存（子SKU）'!I:I)</f>
        <v>17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17</v>
      </c>
      <c r="L11">
        <f>SUMIF('库存（子SKU）'!$C:$C,$A11,'库存（子SKU）'!N:N)</f>
        <v>0</v>
      </c>
      <c r="M11">
        <f>SUMIF('库存（子SKU）'!$C:$C,$A11,'库存（子SKU）'!O:O)</f>
        <v>18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1309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8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>
        <f t="shared" si="18"/>
        <v>0.00611153552330023</v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2.35</v>
      </c>
      <c r="AD11" s="23" t="str">
        <f t="shared" si="2"/>
        <v/>
      </c>
      <c r="AE11" s="23" t="str">
        <f t="shared" si="3"/>
        <v/>
      </c>
      <c r="AF11" s="23">
        <f t="shared" si="4"/>
        <v>0</v>
      </c>
      <c r="AG11" s="23">
        <f t="shared" si="5"/>
        <v>0.0468500797448166</v>
      </c>
      <c r="AH11">
        <f>SUMIF('库存（子SKU）'!$C:$C,$A11,'库存（子SKU）'!AJ:AJ)</f>
        <v>8</v>
      </c>
      <c r="AI11">
        <f>SUMIF('库存（子SKU）'!$C:$C,$A11,'库存（子SKU）'!AK:AK)</f>
        <v>11</v>
      </c>
      <c r="AJ11">
        <f>SUMIF('库存（子SKU）'!$C:$C,$A11,'库存（子SKU）'!AL:AL)</f>
        <v>4</v>
      </c>
      <c r="AK11">
        <f>SUMIF('库存（子SKU）'!$C:$C,$A11,'库存（子SKU）'!AM:AM)</f>
        <v>26</v>
      </c>
      <c r="AL11" s="23">
        <f t="shared" si="6"/>
        <v>0</v>
      </c>
      <c r="AM11" s="23">
        <f t="shared" si="7"/>
        <v>0</v>
      </c>
      <c r="AN11" s="23">
        <f t="shared" si="8"/>
        <v>0.5</v>
      </c>
      <c r="AO11" s="23">
        <f t="shared" si="9"/>
        <v>0.115384615384615</v>
      </c>
      <c r="AP11" s="8">
        <f t="shared" si="10"/>
        <v>0</v>
      </c>
      <c r="AQ11" s="8">
        <f t="shared" si="11"/>
        <v>0</v>
      </c>
      <c r="AR11" s="8">
        <f t="shared" si="12"/>
        <v>17</v>
      </c>
      <c r="AS11" t="str">
        <f t="shared" si="13"/>
        <v>库存为17</v>
      </c>
      <c r="AT11" s="25" t="str">
        <f>IFERROR(时间!$B$4+AS11,"上周无销量")</f>
        <v>上周无销量</v>
      </c>
    </row>
    <row r="12" spans="1:46">
      <c r="A12" t="s">
        <v>97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55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102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>
        <f t="shared" si="18"/>
        <v>0</v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100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">
        <v>55</v>
      </c>
      <c r="G13">
        <f>SUMIF('库存（子SKU）'!$C:$C,$A13,'库存（子SKU）'!I:I)</f>
        <v>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3</v>
      </c>
      <c r="AI13">
        <f>SUMIF('库存（子SKU）'!$C:$C,$A13,'库存（子SKU）'!AK:AK)</f>
        <v>1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>
        <f t="shared" si="6"/>
        <v>0</v>
      </c>
      <c r="AM13" s="23">
        <f t="shared" si="7"/>
        <v>0</v>
      </c>
      <c r="AN13" s="23" t="str">
        <f t="shared" si="8"/>
        <v/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1</v>
      </c>
      <c r="AS13" t="str">
        <f t="shared" si="13"/>
        <v>库存为1</v>
      </c>
      <c r="AT13" s="25" t="str">
        <f>IFERROR(时间!$B$4+AS13,"上周无销量")</f>
        <v>上周无销量</v>
      </c>
    </row>
    <row r="14" spans="1:46">
      <c r="A14" t="s">
        <v>105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1</v>
      </c>
      <c r="E14" s="6">
        <f>SUMIF('库存（子SKU）'!$C:$C,$A14,'库存（子SKU）'!G:G)</f>
        <v>2</v>
      </c>
      <c r="F14" s="7">
        <v>19.9333333333333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848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4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>
        <f t="shared" si="18"/>
        <v>0.00471698113207547</v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1.5</v>
      </c>
      <c r="AD14" s="23" t="str">
        <f t="shared" si="2"/>
        <v/>
      </c>
      <c r="AE14" s="23" t="str">
        <f t="shared" si="3"/>
        <v/>
      </c>
      <c r="AF14" s="23">
        <f t="shared" si="4"/>
        <v>0</v>
      </c>
      <c r="AG14" s="23">
        <f t="shared" si="5"/>
        <v>0.0376254180602007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21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>
        <f t="shared" si="9"/>
        <v>0.0952380952380952</v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112</v>
      </c>
      <c r="B15" s="6">
        <f>SUMIF('库存（子SKU）'!$C:$C,$A15,'库存（子SKU）'!D:D)</f>
        <v>9</v>
      </c>
      <c r="C15" s="6">
        <f>SUMIF('库存（子SKU）'!$C:$C,$A15,'库存（子SKU）'!E:E)</f>
        <v>2</v>
      </c>
      <c r="D15" s="6">
        <f>SUMIF('库存（子SKU）'!$C:$C,$A15,'库存（子SKU）'!F:F)</f>
        <v>1</v>
      </c>
      <c r="E15" s="6">
        <f>SUMIF('库存（子SKU）'!$C:$C,$A15,'库存（子SKU）'!G:G)</f>
        <v>1</v>
      </c>
      <c r="F15" s="7">
        <v>21.9492307692308</v>
      </c>
      <c r="G15">
        <f>SUMIF('库存（子SKU）'!$C:$C,$A15,'库存（子SKU）'!I:I)</f>
        <v>28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28</v>
      </c>
      <c r="L15">
        <f>SUMIF('库存（子SKU）'!$C:$C,$A15,'库存（子SKU）'!N:N)</f>
        <v>0</v>
      </c>
      <c r="M15">
        <f>SUMIF('库存（子SKU）'!$C:$C,$A15,'库存（子SKU）'!O:O)</f>
        <v>19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8870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67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>
        <f t="shared" si="18"/>
        <v>0.00755355129650507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19.42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0.884769047452161</v>
      </c>
      <c r="AH15">
        <f>SUMIF('库存（子SKU）'!$C:$C,$A15,'库存（子SKU）'!AJ:AJ)</f>
        <v>158</v>
      </c>
      <c r="AI15">
        <f>SUMIF('库存（子SKU）'!$C:$C,$A15,'库存（子SKU）'!AK:AK)</f>
        <v>46</v>
      </c>
      <c r="AJ15">
        <f>SUMIF('库存（子SKU）'!$C:$C,$A15,'库存（子SKU）'!AL:AL)</f>
        <v>51</v>
      </c>
      <c r="AK15">
        <f>SUMIF('库存（子SKU）'!$C:$C,$A15,'库存（子SKU）'!AM:AM)</f>
        <v>82</v>
      </c>
      <c r="AL15" s="23">
        <f t="shared" si="6"/>
        <v>0.0569620253164557</v>
      </c>
      <c r="AM15" s="23">
        <f t="shared" si="7"/>
        <v>0.0434782608695652</v>
      </c>
      <c r="AN15" s="23">
        <f t="shared" si="8"/>
        <v>0.0196078431372549</v>
      </c>
      <c r="AO15" s="23">
        <f t="shared" si="9"/>
        <v>0.0121951219512195</v>
      </c>
      <c r="AP15" s="8">
        <f t="shared" si="10"/>
        <v>1.28571428571429</v>
      </c>
      <c r="AQ15" s="8">
        <f t="shared" si="11"/>
        <v>77.1428571428572</v>
      </c>
      <c r="AR15" s="8">
        <f t="shared" si="12"/>
        <v>-49.1428571428572</v>
      </c>
      <c r="AS15">
        <f t="shared" si="13"/>
        <v>21</v>
      </c>
      <c r="AT15" s="25">
        <f>IFERROR(时间!$B$4+AS15,"上周无销量")</f>
        <v>43304</v>
      </c>
    </row>
    <row r="16" spans="1:46">
      <c r="A16" t="s">
        <v>127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55</v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13</v>
      </c>
      <c r="Q16">
        <f>SUMIF('库存（子SKU）'!$C:$C,$A16,'库存（子SKU）'!S:S)</f>
        <v>66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>
        <f t="shared" si="17"/>
        <v>0</v>
      </c>
      <c r="Y16" s="23">
        <f t="shared" si="18"/>
        <v>0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18</v>
      </c>
      <c r="AI16">
        <f>SUMIF('库存（子SKU）'!$C:$C,$A16,'库存（子SKU）'!AK:AK)</f>
        <v>14</v>
      </c>
      <c r="AJ16">
        <f>SUMIF('库存（子SKU）'!$C:$C,$A16,'库存（子SKU）'!AL:AL)</f>
        <v>8</v>
      </c>
      <c r="AK16">
        <f>SUMIF('库存（子SKU）'!$C:$C,$A16,'库存（子SKU）'!AM:AM)</f>
        <v>8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134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55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8</v>
      </c>
      <c r="Q17">
        <f>SUMIF('库存（子SKU）'!$C:$C,$A17,'库存（子SKU）'!S:S)</f>
        <v>294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2</v>
      </c>
      <c r="V17" s="23" t="str">
        <f t="shared" si="15"/>
        <v/>
      </c>
      <c r="W17" s="23" t="str">
        <f t="shared" si="16"/>
        <v/>
      </c>
      <c r="X17" s="23">
        <f t="shared" si="17"/>
        <v>0</v>
      </c>
      <c r="Y17" s="23">
        <f t="shared" si="18"/>
        <v>0.00680272108843537</v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0.67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>无销量广告费为0.67</v>
      </c>
      <c r="AH17">
        <f>SUMIF('库存（子SKU）'!$C:$C,$A17,'库存（子SKU）'!AJ:AJ)</f>
        <v>147</v>
      </c>
      <c r="AI17">
        <f>SUMIF('库存（子SKU）'!$C:$C,$A17,'库存（子SKU）'!AK:AK)</f>
        <v>111</v>
      </c>
      <c r="AJ17">
        <f>SUMIF('库存（子SKU）'!$C:$C,$A17,'库存（子SKU）'!AL:AL)</f>
        <v>65</v>
      </c>
      <c r="AK17">
        <f>SUMIF('库存（子SKU）'!$C:$C,$A17,'库存（子SKU）'!AM:AM)</f>
        <v>76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163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1</v>
      </c>
      <c r="E18" s="6">
        <f>SUMIF('库存（子SKU）'!$C:$C,$A18,'库存（子SKU）'!G:G)</f>
        <v>0</v>
      </c>
      <c r="F18" s="7">
        <v>42.99</v>
      </c>
      <c r="G18">
        <f>SUMIF('库存（子SKU）'!$C:$C,$A18,'库存（子SKU）'!I:I)</f>
        <v>41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41</v>
      </c>
      <c r="L18">
        <f>SUMIF('库存（子SKU）'!$C:$C,$A18,'库存（子SKU）'!N:N)</f>
        <v>11</v>
      </c>
      <c r="M18">
        <f>SUMIF('库存（子SKU）'!$C:$C,$A18,'库存（子SKU）'!O:O)</f>
        <v>38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320</v>
      </c>
      <c r="Q18">
        <f>SUMIF('库存（子SKU）'!$C:$C,$A18,'库存（子SKU）'!S:S)</f>
        <v>1596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1</v>
      </c>
      <c r="U18">
        <f>SUMIF('库存（子SKU）'!$C:$C,$A18,'库存（子SKU）'!W:W)</f>
        <v>6</v>
      </c>
      <c r="V18" s="23" t="str">
        <f t="shared" si="15"/>
        <v/>
      </c>
      <c r="W18" s="23" t="str">
        <f t="shared" si="16"/>
        <v/>
      </c>
      <c r="X18" s="23">
        <f t="shared" si="17"/>
        <v>0.003125</v>
      </c>
      <c r="Y18" s="23">
        <f t="shared" si="18"/>
        <v>0.0037593984962406</v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0.33</v>
      </c>
      <c r="AC18">
        <f>SUMIF('库存（子SKU）'!$C:$C,$A18,'库存（子SKU）'!AE:AE)</f>
        <v>2.2</v>
      </c>
      <c r="AD18" s="23" t="str">
        <f t="shared" si="2"/>
        <v/>
      </c>
      <c r="AE18" s="23" t="str">
        <f t="shared" si="3"/>
        <v/>
      </c>
      <c r="AF18" s="23">
        <f t="shared" si="4"/>
        <v>0.00767620376831821</v>
      </c>
      <c r="AG18" s="23" t="str">
        <f t="shared" si="5"/>
        <v>无销量广告费为2.2</v>
      </c>
      <c r="AH18">
        <f>SUMIF('库存（子SKU）'!$C:$C,$A18,'库存（子SKU）'!AJ:AJ)</f>
        <v>191</v>
      </c>
      <c r="AI18">
        <f>SUMIF('库存（子SKU）'!$C:$C,$A18,'库存（子SKU）'!AK:AK)</f>
        <v>141</v>
      </c>
      <c r="AJ18">
        <f>SUMIF('库存（子SKU）'!$C:$C,$A18,'库存（子SKU）'!AL:AL)</f>
        <v>155</v>
      </c>
      <c r="AK18">
        <f>SUMIF('库存（子SKU）'!$C:$C,$A18,'库存（子SKU）'!AM:AM)</f>
        <v>104</v>
      </c>
      <c r="AL18" s="23">
        <f t="shared" si="6"/>
        <v>0</v>
      </c>
      <c r="AM18" s="23">
        <f t="shared" si="7"/>
        <v>0</v>
      </c>
      <c r="AN18" s="23">
        <f t="shared" si="8"/>
        <v>0.00645161290322581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41</v>
      </c>
      <c r="AS18" t="str">
        <f t="shared" si="13"/>
        <v>库存为41</v>
      </c>
      <c r="AT18" s="25" t="str">
        <f>IFERROR(时间!$B$4+AS18,"上周无销量")</f>
        <v>上周无销量</v>
      </c>
    </row>
    <row r="19" spans="1:46">
      <c r="A19" t="s">
        <v>195</v>
      </c>
      <c r="B19" s="6">
        <f>SUMIF('库存（子SKU）'!$C:$C,$A19,'库存（子SKU）'!D:D)</f>
        <v>1</v>
      </c>
      <c r="C19" s="6">
        <f>SUMIF('库存（子SKU）'!$C:$C,$A19,'库存（子SKU）'!E:E)</f>
        <v>1</v>
      </c>
      <c r="D19" s="6">
        <f>SUMIF('库存（子SKU）'!$C:$C,$A19,'库存（子SKU）'!F:F)</f>
        <v>1</v>
      </c>
      <c r="E19" s="6">
        <f>SUMIF('库存（子SKU）'!$C:$C,$A19,'库存（子SKU）'!G:G)</f>
        <v>1</v>
      </c>
      <c r="F19" s="7">
        <v>42.99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2</v>
      </c>
      <c r="M19">
        <f>SUMIF('库存（子SKU）'!$C:$C,$A19,'库存（子SKU）'!O:O)</f>
        <v>59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769</v>
      </c>
      <c r="Q19">
        <f>SUMIF('库存（子SKU）'!$C:$C,$A19,'库存（子SKU）'!S:S)</f>
        <v>4409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1</v>
      </c>
      <c r="U19">
        <f>SUMIF('库存（子SKU）'!$C:$C,$A19,'库存（子SKU）'!W:W)</f>
        <v>8</v>
      </c>
      <c r="V19" s="23" t="str">
        <f t="shared" si="15"/>
        <v/>
      </c>
      <c r="W19" s="23" t="str">
        <f t="shared" si="16"/>
        <v/>
      </c>
      <c r="X19" s="23">
        <f t="shared" si="17"/>
        <v>0.00130039011703511</v>
      </c>
      <c r="Y19" s="23">
        <f t="shared" si="18"/>
        <v>0.00181447040145158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0.59</v>
      </c>
      <c r="AC19">
        <f>SUMIF('库存（子SKU）'!$C:$C,$A19,'库存（子SKU）'!AE:AE)</f>
        <v>2.37</v>
      </c>
      <c r="AD19" s="23">
        <f t="shared" si="2"/>
        <v>0</v>
      </c>
      <c r="AE19" s="23">
        <f t="shared" si="3"/>
        <v>0</v>
      </c>
      <c r="AF19" s="23">
        <f t="shared" si="4"/>
        <v>0.0137241218888113</v>
      </c>
      <c r="AG19" s="23">
        <f t="shared" si="5"/>
        <v>0.055129099790649</v>
      </c>
      <c r="AH19">
        <f>SUMIF('库存（子SKU）'!$C:$C,$A19,'库存（子SKU）'!AJ:AJ)</f>
        <v>119</v>
      </c>
      <c r="AI19">
        <f>SUMIF('库存（子SKU）'!$C:$C,$A19,'库存（子SKU）'!AK:AK)</f>
        <v>75</v>
      </c>
      <c r="AJ19">
        <f>SUMIF('库存（子SKU）'!$C:$C,$A19,'库存（子SKU）'!AL:AL)</f>
        <v>51</v>
      </c>
      <c r="AK19">
        <f>SUMIF('库存（子SKU）'!$C:$C,$A19,'库存（子SKU）'!AM:AM)</f>
        <v>54</v>
      </c>
      <c r="AL19" s="23">
        <f t="shared" si="6"/>
        <v>0.00840336134453781</v>
      </c>
      <c r="AM19" s="23">
        <f t="shared" si="7"/>
        <v>0.0133333333333333</v>
      </c>
      <c r="AN19" s="23">
        <f t="shared" si="8"/>
        <v>0.0196078431372549</v>
      </c>
      <c r="AO19" s="23">
        <f t="shared" si="9"/>
        <v>0.0185185185185185</v>
      </c>
      <c r="AP19" s="8">
        <f t="shared" si="10"/>
        <v>0.142857142857143</v>
      </c>
      <c r="AQ19" s="8">
        <f t="shared" si="11"/>
        <v>8.57142857142857</v>
      </c>
      <c r="AR19" s="8">
        <f t="shared" si="12"/>
        <v>53.4285714285714</v>
      </c>
      <c r="AS19">
        <f t="shared" si="13"/>
        <v>434</v>
      </c>
      <c r="AT19" s="25">
        <f>IFERROR(时间!$B$4+AS19,"上周无销量")</f>
        <v>43717</v>
      </c>
    </row>
    <row r="20" spans="1:46">
      <c r="A20" t="s">
        <v>224</v>
      </c>
      <c r="B20" s="6">
        <f>SUMIF('库存（子SKU）'!$C:$C,$A20,'库存（子SKU）'!D:D)</f>
        <v>1</v>
      </c>
      <c r="C20" s="6">
        <f>SUMIF('库存（子SKU）'!$C:$C,$A20,'库存（子SKU）'!E:E)</f>
        <v>0</v>
      </c>
      <c r="D20" s="6">
        <f>SUMIF('库存（子SKU）'!$C:$C,$A20,'库存（子SKU）'!F:F)</f>
        <v>1</v>
      </c>
      <c r="E20" s="6">
        <f>SUMIF('库存（子SKU）'!$C:$C,$A20,'库存（子SKU）'!G:G)</f>
        <v>0</v>
      </c>
      <c r="F20" s="7">
        <v>7.99</v>
      </c>
      <c r="G20">
        <f>SUMIF('库存（子SKU）'!$C:$C,$A20,'库存（子SKU）'!I:I)</f>
        <v>130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130</v>
      </c>
      <c r="L20">
        <f>SUMIF('库存（子SKU）'!$C:$C,$A20,'库存（子SKU）'!N:N)</f>
        <v>0</v>
      </c>
      <c r="M20">
        <f>SUMIF('库存（子SKU）'!$C:$C,$A20,'库存（子SKU）'!O:O)</f>
        <v>130</v>
      </c>
      <c r="N20">
        <f>SUMIF('库存（子SKU）'!$C:$C,$A20,'库存（子SKU）'!P:P)</f>
        <v>719</v>
      </c>
      <c r="O20">
        <f>SUMIF('库存（子SKU）'!$C:$C,$A20,'库存（子SKU）'!Q:Q)</f>
        <v>1365</v>
      </c>
      <c r="P20">
        <f>SUMIF('库存（子SKU）'!$C:$C,$A20,'库存（子SKU）'!R:R)</f>
        <v>7304</v>
      </c>
      <c r="Q20">
        <f>SUMIF('库存（子SKU）'!$C:$C,$A20,'库存（子SKU）'!S:S)</f>
        <v>12578</v>
      </c>
      <c r="R20">
        <f>SUMIF('库存（子SKU）'!$C:$C,$A20,'库存（子SKU）'!T:T)</f>
        <v>1</v>
      </c>
      <c r="S20">
        <f>SUMIF('库存（子SKU）'!$C:$C,$A20,'库存（子SKU）'!U:U)</f>
        <v>2</v>
      </c>
      <c r="T20">
        <f>SUMIF('库存（子SKU）'!$C:$C,$A20,'库存（子SKU）'!V:V)</f>
        <v>15</v>
      </c>
      <c r="U20">
        <f>SUMIF('库存（子SKU）'!$C:$C,$A20,'库存（子SKU）'!W:W)</f>
        <v>21</v>
      </c>
      <c r="V20" s="23">
        <f t="shared" si="15"/>
        <v>0.00139082058414465</v>
      </c>
      <c r="W20" s="23">
        <f t="shared" si="16"/>
        <v>0.00146520146520147</v>
      </c>
      <c r="X20" s="23">
        <f t="shared" si="17"/>
        <v>0.00205366922234392</v>
      </c>
      <c r="Y20" s="23">
        <f t="shared" si="18"/>
        <v>0.00166958180950867</v>
      </c>
      <c r="Z20">
        <f>SUMIF('库存（子SKU）'!$C:$C,$A20,'库存（子SKU）'!AB:AB)</f>
        <v>0.4</v>
      </c>
      <c r="AA20">
        <f>SUMIF('库存（子SKU）'!$C:$C,$A20,'库存（子SKU）'!AC:AC)</f>
        <v>0.54</v>
      </c>
      <c r="AB20">
        <f>SUMIF('库存（子SKU）'!$C:$C,$A20,'库存（子SKU）'!AD:AD)</f>
        <v>5.86</v>
      </c>
      <c r="AC20">
        <f>SUMIF('库存（子SKU）'!$C:$C,$A20,'库存（子SKU）'!AE:AE)</f>
        <v>7.21</v>
      </c>
      <c r="AD20" s="23">
        <f t="shared" si="2"/>
        <v>0.0500625782227785</v>
      </c>
      <c r="AE20" s="23" t="str">
        <f t="shared" si="3"/>
        <v>无销量广告费为0.54</v>
      </c>
      <c r="AF20" s="23">
        <f t="shared" si="4"/>
        <v>0.733416770963705</v>
      </c>
      <c r="AG20" s="23" t="str">
        <f t="shared" si="5"/>
        <v>无销量广告费为7.21</v>
      </c>
      <c r="AH20">
        <f>SUMIF('库存（子SKU）'!$C:$C,$A20,'库存（子SKU）'!AJ:AJ)</f>
        <v>9</v>
      </c>
      <c r="AI20">
        <f>SUMIF('库存（子SKU）'!$C:$C,$A20,'库存（子SKU）'!AK:AK)</f>
        <v>10</v>
      </c>
      <c r="AJ20">
        <f>SUMIF('库存（子SKU）'!$C:$C,$A20,'库存（子SKU）'!AL:AL)</f>
        <v>14</v>
      </c>
      <c r="AK20">
        <f>SUMIF('库存（子SKU）'!$C:$C,$A20,'库存（子SKU）'!AM:AM)</f>
        <v>20</v>
      </c>
      <c r="AL20" s="23">
        <f t="shared" si="6"/>
        <v>0.111111111111111</v>
      </c>
      <c r="AM20" s="23">
        <f t="shared" si="7"/>
        <v>0</v>
      </c>
      <c r="AN20" s="23">
        <f t="shared" si="8"/>
        <v>0.0714285714285714</v>
      </c>
      <c r="AO20" s="23">
        <f t="shared" si="9"/>
        <v>0</v>
      </c>
      <c r="AP20" s="8">
        <f t="shared" si="10"/>
        <v>0.142857142857143</v>
      </c>
      <c r="AQ20" s="8">
        <f t="shared" si="11"/>
        <v>8.57142857142857</v>
      </c>
      <c r="AR20" s="8">
        <f t="shared" si="12"/>
        <v>121.428571428571</v>
      </c>
      <c r="AS20">
        <f t="shared" si="13"/>
        <v>910</v>
      </c>
      <c r="AT20" s="25">
        <f>IFERROR(时间!$B$4+AS20,"上周无销量")</f>
        <v>44193</v>
      </c>
    </row>
    <row r="21" spans="1:46">
      <c r="A21" t="s">
        <v>235</v>
      </c>
      <c r="B21" s="6">
        <f>SUMIF('库存（子SKU）'!$C:$C,$A21,'库存（子SKU）'!D:D)</f>
        <v>2</v>
      </c>
      <c r="C21" s="6">
        <f>SUMIF('库存（子SKU）'!$C:$C,$A21,'库存（子SKU）'!E:E)</f>
        <v>1</v>
      </c>
      <c r="D21" s="6">
        <f>SUMIF('库存（子SKU）'!$C:$C,$A21,'库存（子SKU）'!F:F)</f>
        <v>1</v>
      </c>
      <c r="E21" s="6">
        <f>SUMIF('库存（子SKU）'!$C:$C,$A21,'库存（子SKU）'!G:G)</f>
        <v>0</v>
      </c>
      <c r="F21" s="7">
        <v>7.8575</v>
      </c>
      <c r="G21">
        <f>SUMIF('库存（子SKU）'!$C:$C,$A21,'库存（子SKU）'!I:I)</f>
        <v>361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361</v>
      </c>
      <c r="L21">
        <f>SUMIF('库存（子SKU）'!$C:$C,$A21,'库存（子SKU）'!N:N)</f>
        <v>0</v>
      </c>
      <c r="M21">
        <f>SUMIF('库存（子SKU）'!$C:$C,$A21,'库存（子SKU）'!O:O)</f>
        <v>358</v>
      </c>
      <c r="N21">
        <f>SUMIF('库存（子SKU）'!$C:$C,$A21,'库存（子SKU）'!P:P)</f>
        <v>8632</v>
      </c>
      <c r="O21">
        <f>SUMIF('库存（子SKU）'!$C:$C,$A21,'库存（子SKU）'!Q:Q)</f>
        <v>7417</v>
      </c>
      <c r="P21">
        <f>SUMIF('库存（子SKU）'!$C:$C,$A21,'库存（子SKU）'!R:R)</f>
        <v>6688</v>
      </c>
      <c r="Q21">
        <f>SUMIF('库存（子SKU）'!$C:$C,$A21,'库存（子SKU）'!S:S)</f>
        <v>5970</v>
      </c>
      <c r="R21">
        <f>SUMIF('库存（子SKU）'!$C:$C,$A21,'库存（子SKU）'!T:T)</f>
        <v>24</v>
      </c>
      <c r="S21">
        <f>SUMIF('库存（子SKU）'!$C:$C,$A21,'库存（子SKU）'!U:U)</f>
        <v>26</v>
      </c>
      <c r="T21">
        <f>SUMIF('库存（子SKU）'!$C:$C,$A21,'库存（子SKU）'!V:V)</f>
        <v>12</v>
      </c>
      <c r="U21">
        <f>SUMIF('库存（子SKU）'!$C:$C,$A21,'库存（子SKU）'!W:W)</f>
        <v>17</v>
      </c>
      <c r="V21" s="23">
        <f t="shared" si="15"/>
        <v>0.00278035217794254</v>
      </c>
      <c r="W21" s="23">
        <f t="shared" si="16"/>
        <v>0.00350546042874478</v>
      </c>
      <c r="X21" s="23">
        <f t="shared" si="17"/>
        <v>0.00179425837320574</v>
      </c>
      <c r="Y21" s="23">
        <f t="shared" si="18"/>
        <v>0.00284757118927973</v>
      </c>
      <c r="Z21">
        <f>SUMIF('库存（子SKU）'!$C:$C,$A21,'库存（子SKU）'!AB:AB)</f>
        <v>9.48</v>
      </c>
      <c r="AA21">
        <f>SUMIF('库存（子SKU）'!$C:$C,$A21,'库存（子SKU）'!AC:AC)</f>
        <v>8.84</v>
      </c>
      <c r="AB21">
        <f>SUMIF('库存（子SKU）'!$C:$C,$A21,'库存（子SKU）'!AD:AD)</f>
        <v>3.35</v>
      </c>
      <c r="AC21">
        <f>SUMIF('库存（子SKU）'!$C:$C,$A21,'库存（子SKU）'!AE:AE)</f>
        <v>4.73</v>
      </c>
      <c r="AD21" s="23">
        <f t="shared" si="2"/>
        <v>0.603245307031498</v>
      </c>
      <c r="AE21" s="23">
        <f t="shared" si="3"/>
        <v>1.1250397709195</v>
      </c>
      <c r="AF21" s="23">
        <f t="shared" si="4"/>
        <v>0.426344257079224</v>
      </c>
      <c r="AG21" s="23" t="str">
        <f t="shared" si="5"/>
        <v>无销量广告费为4.73</v>
      </c>
      <c r="AH21">
        <f>SUMIF('库存（子SKU）'!$C:$C,$A21,'库存（子SKU）'!AJ:AJ)</f>
        <v>34</v>
      </c>
      <c r="AI21">
        <f>SUMIF('库存（子SKU）'!$C:$C,$A21,'库存（子SKU）'!AK:AK)</f>
        <v>34</v>
      </c>
      <c r="AJ21">
        <f>SUMIF('库存（子SKU）'!$C:$C,$A21,'库存（子SKU）'!AL:AL)</f>
        <v>17</v>
      </c>
      <c r="AK21">
        <f>SUMIF('库存（子SKU）'!$C:$C,$A21,'库存（子SKU）'!AM:AM)</f>
        <v>28</v>
      </c>
      <c r="AL21" s="23">
        <f t="shared" si="6"/>
        <v>0.0588235294117647</v>
      </c>
      <c r="AM21" s="23">
        <f t="shared" si="7"/>
        <v>0.0294117647058824</v>
      </c>
      <c r="AN21" s="23">
        <f t="shared" si="8"/>
        <v>0.0588235294117647</v>
      </c>
      <c r="AO21" s="23">
        <f t="shared" si="9"/>
        <v>0</v>
      </c>
      <c r="AP21" s="8">
        <f t="shared" si="10"/>
        <v>0.285714285714286</v>
      </c>
      <c r="AQ21" s="8">
        <f t="shared" si="11"/>
        <v>17.1428571428571</v>
      </c>
      <c r="AR21" s="8">
        <f t="shared" si="12"/>
        <v>343.857142857143</v>
      </c>
      <c r="AS21">
        <f t="shared" si="13"/>
        <v>1263</v>
      </c>
      <c r="AT21" s="25">
        <f>IFERROR(时间!$B$4+AS21,"上周无销量")</f>
        <v>44546</v>
      </c>
    </row>
    <row r="22" spans="1:46">
      <c r="A22" t="s">
        <v>272</v>
      </c>
      <c r="B22" s="6">
        <f>SUMIF('库存（子SKU）'!$C:$C,$A22,'库存（子SKU）'!D:D)</f>
        <v>5</v>
      </c>
      <c r="C22" s="6">
        <f>SUMIF('库存（子SKU）'!$C:$C,$A22,'库存（子SKU）'!E:E)</f>
        <v>3</v>
      </c>
      <c r="D22" s="6">
        <f>SUMIF('库存（子SKU）'!$C:$C,$A22,'库存（子SKU）'!F:F)</f>
        <v>5</v>
      </c>
      <c r="E22" s="6">
        <f>SUMIF('库存（子SKU）'!$C:$C,$A22,'库存（子SKU）'!G:G)</f>
        <v>5</v>
      </c>
      <c r="F22" s="7">
        <v>9.51388888888889</v>
      </c>
      <c r="G22">
        <f>SUMIF('库存（子SKU）'!$C:$C,$A22,'库存（子SKU）'!I:I)</f>
        <v>385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385</v>
      </c>
      <c r="L22">
        <f>SUMIF('库存（子SKU）'!$C:$C,$A22,'库存（子SKU）'!N:N)</f>
        <v>0</v>
      </c>
      <c r="M22">
        <f>SUMIF('库存（子SKU）'!$C:$C,$A22,'库存（子SKU）'!O:O)</f>
        <v>386</v>
      </c>
      <c r="N22">
        <f>SUMIF('库存（子SKU）'!$C:$C,$A22,'库存（子SKU）'!P:P)</f>
        <v>11172</v>
      </c>
      <c r="O22">
        <f>SUMIF('库存（子SKU）'!$C:$C,$A22,'库存（子SKU）'!Q:Q)</f>
        <v>12269</v>
      </c>
      <c r="P22">
        <f>SUMIF('库存（子SKU）'!$C:$C,$A22,'库存（子SKU）'!R:R)</f>
        <v>29333</v>
      </c>
      <c r="Q22">
        <f>SUMIF('库存（子SKU）'!$C:$C,$A22,'库存（子SKU）'!S:S)</f>
        <v>27691</v>
      </c>
      <c r="R22">
        <f>SUMIF('库存（子SKU）'!$C:$C,$A22,'库存（子SKU）'!T:T)</f>
        <v>15</v>
      </c>
      <c r="S22">
        <f>SUMIF('库存（子SKU）'!$C:$C,$A22,'库存（子SKU）'!U:U)</f>
        <v>20</v>
      </c>
      <c r="T22">
        <f>SUMIF('库存（子SKU）'!$C:$C,$A22,'库存（子SKU）'!V:V)</f>
        <v>39</v>
      </c>
      <c r="U22">
        <f>SUMIF('库存（子SKU）'!$C:$C,$A22,'库存（子SKU）'!W:W)</f>
        <v>32</v>
      </c>
      <c r="V22" s="23">
        <f t="shared" si="15"/>
        <v>0.00134264232008593</v>
      </c>
      <c r="W22" s="23">
        <f t="shared" si="16"/>
        <v>0.0016301247045399</v>
      </c>
      <c r="X22" s="23">
        <f t="shared" si="17"/>
        <v>0.00132956056318822</v>
      </c>
      <c r="Y22" s="23">
        <f t="shared" si="18"/>
        <v>0.00115561012603373</v>
      </c>
      <c r="Z22">
        <f>SUMIF('库存（子SKU）'!$C:$C,$A22,'库存（子SKU）'!AB:AB)</f>
        <v>6.29</v>
      </c>
      <c r="AA22">
        <f>SUMIF('库存（子SKU）'!$C:$C,$A22,'库存（子SKU）'!AC:AC)</f>
        <v>7.28</v>
      </c>
      <c r="AB22">
        <f>SUMIF('库存（子SKU）'!$C:$C,$A22,'库存（子SKU）'!AD:AD)</f>
        <v>11.16</v>
      </c>
      <c r="AC22">
        <f>SUMIF('库存（子SKU）'!$C:$C,$A22,'库存（子SKU）'!AE:AE)</f>
        <v>9.6</v>
      </c>
      <c r="AD22" s="23">
        <f t="shared" si="2"/>
        <v>0.132227737226277</v>
      </c>
      <c r="AE22" s="23">
        <f t="shared" si="3"/>
        <v>0.255065693430657</v>
      </c>
      <c r="AF22" s="23">
        <f t="shared" si="4"/>
        <v>0.234604379562044</v>
      </c>
      <c r="AG22" s="23">
        <f t="shared" si="5"/>
        <v>0.201810218978102</v>
      </c>
      <c r="AH22">
        <f>SUMIF('库存（子SKU）'!$C:$C,$A22,'库存（子SKU）'!AJ:AJ)</f>
        <v>43</v>
      </c>
      <c r="AI22">
        <f>SUMIF('库存（子SKU）'!$C:$C,$A22,'库存（子SKU）'!AK:AK)</f>
        <v>37</v>
      </c>
      <c r="AJ22">
        <f>SUMIF('库存（子SKU）'!$C:$C,$A22,'库存（子SKU）'!AL:AL)</f>
        <v>29</v>
      </c>
      <c r="AK22">
        <f>SUMIF('库存（子SKU）'!$C:$C,$A22,'库存（子SKU）'!AM:AM)</f>
        <v>39</v>
      </c>
      <c r="AL22" s="23">
        <f t="shared" si="6"/>
        <v>0.116279069767442</v>
      </c>
      <c r="AM22" s="23">
        <f t="shared" si="7"/>
        <v>0.0810810810810811</v>
      </c>
      <c r="AN22" s="23">
        <f t="shared" si="8"/>
        <v>0.172413793103448</v>
      </c>
      <c r="AO22" s="23">
        <f t="shared" si="9"/>
        <v>0.128205128205128</v>
      </c>
      <c r="AP22" s="8">
        <f t="shared" si="10"/>
        <v>0.714285714285714</v>
      </c>
      <c r="AQ22" s="8">
        <f t="shared" si="11"/>
        <v>42.8571428571429</v>
      </c>
      <c r="AR22" s="8">
        <f t="shared" si="12"/>
        <v>342.142857142857</v>
      </c>
      <c r="AS22">
        <f t="shared" si="13"/>
        <v>539</v>
      </c>
      <c r="AT22" s="25">
        <f>IFERROR(时间!$B$4+AS22,"上周无销量")</f>
        <v>43822</v>
      </c>
    </row>
    <row r="23" spans="1:46">
      <c r="A23" t="s">
        <v>317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55</v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1423</v>
      </c>
      <c r="O23">
        <f>SUMIF('库存（子SKU）'!$C:$C,$A23,'库存（子SKU）'!Q:Q)</f>
        <v>1474</v>
      </c>
      <c r="P23">
        <f>SUMIF('库存（子SKU）'!$C:$C,$A23,'库存（子SKU）'!R:R)</f>
        <v>1011</v>
      </c>
      <c r="Q23">
        <f>SUMIF('库存（子SKU）'!$C:$C,$A23,'库存（子SKU）'!S:S)</f>
        <v>1296</v>
      </c>
      <c r="R23">
        <f>SUMIF('库存（子SKU）'!$C:$C,$A23,'库存（子SKU）'!T:T)</f>
        <v>2</v>
      </c>
      <c r="S23">
        <f>SUMIF('库存（子SKU）'!$C:$C,$A23,'库存（子SKU）'!U:U)</f>
        <v>9</v>
      </c>
      <c r="T23">
        <f>SUMIF('库存（子SKU）'!$C:$C,$A23,'库存（子SKU）'!V:V)</f>
        <v>11</v>
      </c>
      <c r="U23">
        <f>SUMIF('库存（子SKU）'!$C:$C,$A23,'库存（子SKU）'!W:W)</f>
        <v>9</v>
      </c>
      <c r="V23" s="23">
        <f t="shared" si="15"/>
        <v>0.00140548137737175</v>
      </c>
      <c r="W23" s="23">
        <f t="shared" si="16"/>
        <v>0.00610583446404342</v>
      </c>
      <c r="X23" s="23">
        <f t="shared" si="17"/>
        <v>0.0108803165182987</v>
      </c>
      <c r="Y23" s="23">
        <f t="shared" si="18"/>
        <v>0.00694444444444444</v>
      </c>
      <c r="Z23">
        <f>SUMIF('库存（子SKU）'!$C:$C,$A23,'库存（子SKU）'!AB:AB)</f>
        <v>0.44</v>
      </c>
      <c r="AA23">
        <f>SUMIF('库存（子SKU）'!$C:$C,$A23,'库存（子SKU）'!AC:AC)</f>
        <v>2.22</v>
      </c>
      <c r="AB23">
        <f>SUMIF('库存（子SKU）'!$C:$C,$A23,'库存（子SKU）'!AD:AD)</f>
        <v>3.12</v>
      </c>
      <c r="AC23">
        <f>SUMIF('库存（子SKU）'!$C:$C,$A23,'库存（子SKU）'!AE:AE)</f>
        <v>2.08</v>
      </c>
      <c r="AD23" s="23" t="str">
        <f t="shared" si="2"/>
        <v>无销量广告费为0.44</v>
      </c>
      <c r="AE23" s="23" t="str">
        <f t="shared" si="3"/>
        <v>无销量广告费为2.22</v>
      </c>
      <c r="AF23" s="23" t="str">
        <f t="shared" si="4"/>
        <v>无销量广告费为3.12</v>
      </c>
      <c r="AG23" s="23" t="str">
        <f t="shared" si="5"/>
        <v>无销量广告费为2.08</v>
      </c>
      <c r="AH23">
        <f>SUMIF('库存（子SKU）'!$C:$C,$A23,'库存（子SKU）'!AJ:AJ)</f>
        <v>2</v>
      </c>
      <c r="AI23">
        <f>SUMIF('库存（子SKU）'!$C:$C,$A23,'库存（子SKU）'!AK:AK)</f>
        <v>2</v>
      </c>
      <c r="AJ23">
        <f>SUMIF('库存（子SKU）'!$C:$C,$A23,'库存（子SKU）'!AL:AL)</f>
        <v>5</v>
      </c>
      <c r="AK23">
        <f>SUMIF('库存（子SKU）'!$C:$C,$A23,'库存（子SKU）'!AM:AM)</f>
        <v>5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326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55</v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37</v>
      </c>
      <c r="O24">
        <f>SUMIF('库存（子SKU）'!$C:$C,$A24,'库存（子SKU）'!Q:Q)</f>
        <v>99</v>
      </c>
      <c r="P24">
        <f>SUMIF('库存（子SKU）'!$C:$C,$A24,'库存（子SKU）'!R:R)</f>
        <v>282</v>
      </c>
      <c r="Q24">
        <f>SUMIF('库存（子SKU）'!$C:$C,$A24,'库存（子SKU）'!S:S)</f>
        <v>21</v>
      </c>
      <c r="R24">
        <f>SUMIF('库存（子SKU）'!$C:$C,$A24,'库存（子SKU）'!T:T)</f>
        <v>0</v>
      </c>
      <c r="S24">
        <f>SUMIF('库存（子SKU）'!$C:$C,$A24,'库存（子SKU）'!U:U)</f>
        <v>1</v>
      </c>
      <c r="T24">
        <f>SUMIF('库存（子SKU）'!$C:$C,$A24,'库存（子SKU）'!V:V)</f>
        <v>2</v>
      </c>
      <c r="U24">
        <f>SUMIF('库存（子SKU）'!$C:$C,$A24,'库存（子SKU）'!W:W)</f>
        <v>0</v>
      </c>
      <c r="V24" s="23">
        <f t="shared" si="15"/>
        <v>0</v>
      </c>
      <c r="W24" s="23">
        <f t="shared" si="16"/>
        <v>0.0101010101010101</v>
      </c>
      <c r="X24" s="23">
        <f t="shared" si="17"/>
        <v>0.00709219858156028</v>
      </c>
      <c r="Y24" s="23">
        <f t="shared" si="18"/>
        <v>0</v>
      </c>
      <c r="Z24">
        <f>SUMIF('库存（子SKU）'!$C:$C,$A24,'库存（子SKU）'!AB:AB)</f>
        <v>0</v>
      </c>
      <c r="AA24">
        <f>SUMIF('库存（子SKU）'!$C:$C,$A24,'库存（子SKU）'!AC:AC)</f>
        <v>0.06</v>
      </c>
      <c r="AB24">
        <f>SUMIF('库存（子SKU）'!$C:$C,$A24,'库存（子SKU）'!AD:AD)</f>
        <v>0.71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>无销量广告费为0.06</v>
      </c>
      <c r="AF24" s="23" t="str">
        <f t="shared" si="4"/>
        <v>无销量广告费为0.71</v>
      </c>
      <c r="AG24" s="23" t="str">
        <f t="shared" si="5"/>
        <v/>
      </c>
      <c r="AH24">
        <f>SUMIF('库存（子SKU）'!$C:$C,$A24,'库存（子SKU）'!AJ:AJ)</f>
        <v>1</v>
      </c>
      <c r="AI24">
        <f>SUMIF('库存（子SKU）'!$C:$C,$A24,'库存（子SKU）'!AK:AK)</f>
        <v>2</v>
      </c>
      <c r="AJ24">
        <f>SUMIF('库存（子SKU）'!$C:$C,$A24,'库存（子SKU）'!AL:AL)</f>
        <v>2</v>
      </c>
      <c r="AK24">
        <f>SUMIF('库存（子SKU）'!$C:$C,$A24,'库存（子SKU）'!AM:AM)</f>
        <v>2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331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55</v>
      </c>
      <c r="G25">
        <f>SUMIF('库存（子SKU）'!$C:$C,$A25,'库存（子SKU）'!I:I)</f>
        <v>47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47</v>
      </c>
      <c r="L25">
        <f>SUMIF('库存（子SKU）'!$C:$C,$A25,'库存（子SKU）'!N:N)</f>
        <v>0</v>
      </c>
      <c r="M25">
        <f>SUMIF('库存（子SKU）'!$C:$C,$A25,'库存（子SKU）'!O:O)</f>
        <v>47</v>
      </c>
      <c r="N25">
        <f>SUMIF('库存（子SKU）'!$C:$C,$A25,'库存（子SKU）'!P:P)</f>
        <v>2251</v>
      </c>
      <c r="O25">
        <f>SUMIF('库存（子SKU）'!$C:$C,$A25,'库存（子SKU）'!Q:Q)</f>
        <v>2232</v>
      </c>
      <c r="P25">
        <f>SUMIF('库存（子SKU）'!$C:$C,$A25,'库存（子SKU）'!R:R)</f>
        <v>1606</v>
      </c>
      <c r="Q25">
        <f>SUMIF('库存（子SKU）'!$C:$C,$A25,'库存（子SKU）'!S:S)</f>
        <v>1288</v>
      </c>
      <c r="R25">
        <f>SUMIF('库存（子SKU）'!$C:$C,$A25,'库存（子SKU）'!T:T)</f>
        <v>8</v>
      </c>
      <c r="S25">
        <f>SUMIF('库存（子SKU）'!$C:$C,$A25,'库存（子SKU）'!U:U)</f>
        <v>5</v>
      </c>
      <c r="T25">
        <f>SUMIF('库存（子SKU）'!$C:$C,$A25,'库存（子SKU）'!V:V)</f>
        <v>6</v>
      </c>
      <c r="U25">
        <f>SUMIF('库存（子SKU）'!$C:$C,$A25,'库存（子SKU）'!W:W)</f>
        <v>6</v>
      </c>
      <c r="V25" s="23">
        <f t="shared" si="15"/>
        <v>0.00355397601066193</v>
      </c>
      <c r="W25" s="23">
        <f t="shared" si="16"/>
        <v>0.00224014336917563</v>
      </c>
      <c r="X25" s="23">
        <f t="shared" si="17"/>
        <v>0.0037359900373599</v>
      </c>
      <c r="Y25" s="23">
        <f t="shared" si="18"/>
        <v>0.0046583850931677</v>
      </c>
      <c r="Z25">
        <f>SUMIF('库存（子SKU）'!$C:$C,$A25,'库存（子SKU）'!AB:AB)</f>
        <v>2</v>
      </c>
      <c r="AA25">
        <f>SUMIF('库存（子SKU）'!$C:$C,$A25,'库存（子SKU）'!AC:AC)</f>
        <v>0.88</v>
      </c>
      <c r="AB25">
        <f>SUMIF('库存（子SKU）'!$C:$C,$A25,'库存（子SKU）'!AD:AD)</f>
        <v>1.23</v>
      </c>
      <c r="AC25">
        <f>SUMIF('库存（子SKU）'!$C:$C,$A25,'库存（子SKU）'!AE:AE)</f>
        <v>2.24</v>
      </c>
      <c r="AD25" s="23" t="str">
        <f t="shared" si="2"/>
        <v>无销量广告费为2</v>
      </c>
      <c r="AE25" s="23" t="str">
        <f t="shared" si="3"/>
        <v>无销量广告费为0.88</v>
      </c>
      <c r="AF25" s="23" t="str">
        <f t="shared" si="4"/>
        <v>无销量广告费为1.23</v>
      </c>
      <c r="AG25" s="23" t="str">
        <f t="shared" si="5"/>
        <v>无销量广告费为2.24</v>
      </c>
      <c r="AH25">
        <f>SUMIF('库存（子SKU）'!$C:$C,$A25,'库存（子SKU）'!AJ:AJ)</f>
        <v>15</v>
      </c>
      <c r="AI25">
        <f>SUMIF('库存（子SKU）'!$C:$C,$A25,'库存（子SKU）'!AK:AK)</f>
        <v>14</v>
      </c>
      <c r="AJ25">
        <f>SUMIF('库存（子SKU）'!$C:$C,$A25,'库存（子SKU）'!AL:AL)</f>
        <v>9</v>
      </c>
      <c r="AK25">
        <f>SUMIF('库存（子SKU）'!$C:$C,$A25,'库存（子SKU）'!AM:AM)</f>
        <v>1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47</v>
      </c>
      <c r="AS25" t="str">
        <f t="shared" si="13"/>
        <v>库存为47</v>
      </c>
      <c r="AT25" s="25" t="str">
        <f>IFERROR(时间!$B$4+AS25,"上周无销量")</f>
        <v>上周无销量</v>
      </c>
    </row>
    <row r="26" spans="1:46">
      <c r="A26" t="s">
        <v>360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55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537</v>
      </c>
      <c r="O26">
        <f>SUMIF('库存（子SKU）'!$C:$C,$A26,'库存（子SKU）'!Q:Q)</f>
        <v>370</v>
      </c>
      <c r="P26">
        <f>SUMIF('库存（子SKU）'!$C:$C,$A26,'库存（子SKU）'!R:R)</f>
        <v>231</v>
      </c>
      <c r="Q26">
        <f>SUMIF('库存（子SKU）'!$C:$C,$A26,'库存（子SKU）'!S:S)</f>
        <v>116</v>
      </c>
      <c r="R26">
        <f>SUMIF('库存（子SKU）'!$C:$C,$A26,'库存（子SKU）'!T:T)</f>
        <v>1</v>
      </c>
      <c r="S26">
        <f>SUMIF('库存（子SKU）'!$C:$C,$A26,'库存（子SKU）'!U:U)</f>
        <v>0</v>
      </c>
      <c r="T26">
        <f>SUMIF('库存（子SKU）'!$C:$C,$A26,'库存（子SKU）'!V:V)</f>
        <v>1</v>
      </c>
      <c r="U26">
        <f>SUMIF('库存（子SKU）'!$C:$C,$A26,'库存（子SKU）'!W:W)</f>
        <v>0</v>
      </c>
      <c r="V26" s="23">
        <f t="shared" si="15"/>
        <v>0.00186219739292365</v>
      </c>
      <c r="W26" s="23">
        <f t="shared" si="16"/>
        <v>0</v>
      </c>
      <c r="X26" s="23">
        <f t="shared" si="17"/>
        <v>0.00432900432900433</v>
      </c>
      <c r="Y26" s="23">
        <f t="shared" si="18"/>
        <v>0</v>
      </c>
      <c r="Z26">
        <f>SUMIF('库存（子SKU）'!$C:$C,$A26,'库存（子SKU）'!AB:AB)</f>
        <v>0.19</v>
      </c>
      <c r="AA26">
        <f>SUMIF('库存（子SKU）'!$C:$C,$A26,'库存（子SKU）'!AC:AC)</f>
        <v>0</v>
      </c>
      <c r="AB26">
        <f>SUMIF('库存（子SKU）'!$C:$C,$A26,'库存（子SKU）'!AD:AD)</f>
        <v>0.07</v>
      </c>
      <c r="AC26">
        <f>SUMIF('库存（子SKU）'!$C:$C,$A26,'库存（子SKU）'!AE:AE)</f>
        <v>0</v>
      </c>
      <c r="AD26" s="23" t="str">
        <f t="shared" si="2"/>
        <v>无销量广告费为0.19</v>
      </c>
      <c r="AE26" s="23" t="str">
        <f t="shared" si="3"/>
        <v/>
      </c>
      <c r="AF26" s="23" t="str">
        <f t="shared" si="4"/>
        <v>无销量广告费为0.07</v>
      </c>
      <c r="AG26" s="23" t="str">
        <f t="shared" si="5"/>
        <v/>
      </c>
      <c r="AH26">
        <f>SUMIF('库存（子SKU）'!$C:$C,$A26,'库存（子SKU）'!AJ:AJ)</f>
        <v>6</v>
      </c>
      <c r="AI26">
        <f>SUMIF('库存（子SKU）'!$C:$C,$A26,'库存（子SKU）'!AK:AK)</f>
        <v>2</v>
      </c>
      <c r="AJ26">
        <f>SUMIF('库存（子SKU）'!$C:$C,$A26,'库存（子SKU）'!AL:AL)</f>
        <v>5</v>
      </c>
      <c r="AK26">
        <f>SUMIF('库存（子SKU）'!$C:$C,$A26,'库存（子SKU）'!AM:AM)</f>
        <v>5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375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55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884</v>
      </c>
      <c r="O27">
        <f>SUMIF('库存（子SKU）'!$C:$C,$A27,'库存（子SKU）'!Q:Q)</f>
        <v>1043</v>
      </c>
      <c r="P27">
        <f>SUMIF('库存（子SKU）'!$C:$C,$A27,'库存（子SKU）'!R:R)</f>
        <v>776</v>
      </c>
      <c r="Q27">
        <f>SUMIF('库存（子SKU）'!$C:$C,$A27,'库存（子SKU）'!S:S)</f>
        <v>1068</v>
      </c>
      <c r="R27">
        <f>SUMIF('库存（子SKU）'!$C:$C,$A27,'库存（子SKU）'!T:T)</f>
        <v>1</v>
      </c>
      <c r="S27">
        <f>SUMIF('库存（子SKU）'!$C:$C,$A27,'库存（子SKU）'!U:U)</f>
        <v>2</v>
      </c>
      <c r="T27">
        <f>SUMIF('库存（子SKU）'!$C:$C,$A27,'库存（子SKU）'!V:V)</f>
        <v>1</v>
      </c>
      <c r="U27">
        <f>SUMIF('库存（子SKU）'!$C:$C,$A27,'库存（子SKU）'!W:W)</f>
        <v>1</v>
      </c>
      <c r="V27" s="23">
        <f t="shared" si="15"/>
        <v>0.00113122171945701</v>
      </c>
      <c r="W27" s="23">
        <f t="shared" si="16"/>
        <v>0.00191754554170662</v>
      </c>
      <c r="X27" s="23">
        <f t="shared" si="17"/>
        <v>0.00128865979381443</v>
      </c>
      <c r="Y27" s="23">
        <f t="shared" si="18"/>
        <v>0.000936329588014981</v>
      </c>
      <c r="Z27">
        <f>SUMIF('库存（子SKU）'!$C:$C,$A27,'库存（子SKU）'!AB:AB)</f>
        <v>0.31</v>
      </c>
      <c r="AA27">
        <f>SUMIF('库存（子SKU）'!$C:$C,$A27,'库存（子SKU）'!AC:AC)</f>
        <v>0.23</v>
      </c>
      <c r="AB27">
        <f>SUMIF('库存（子SKU）'!$C:$C,$A27,'库存（子SKU）'!AD:AD)</f>
        <v>0.41</v>
      </c>
      <c r="AC27">
        <f>SUMIF('库存（子SKU）'!$C:$C,$A27,'库存（子SKU）'!AE:AE)</f>
        <v>0.41</v>
      </c>
      <c r="AD27" s="23" t="str">
        <f t="shared" si="2"/>
        <v>无销量广告费为0.31</v>
      </c>
      <c r="AE27" s="23" t="str">
        <f t="shared" si="3"/>
        <v>无销量广告费为0.23</v>
      </c>
      <c r="AF27" s="23" t="str">
        <f t="shared" si="4"/>
        <v>无销量广告费为0.41</v>
      </c>
      <c r="AG27" s="23" t="str">
        <f t="shared" si="5"/>
        <v>无销量广告费为0.41</v>
      </c>
      <c r="AH27">
        <f>SUMIF('库存（子SKU）'!$C:$C,$A27,'库存（子SKU）'!AJ:AJ)</f>
        <v>3</v>
      </c>
      <c r="AI27">
        <f>SUMIF('库存（子SKU）'!$C:$C,$A27,'库存（子SKU）'!AK:AK)</f>
        <v>7</v>
      </c>
      <c r="AJ27">
        <f>SUMIF('库存（子SKU）'!$C:$C,$A27,'库存（子SKU）'!AL:AL)</f>
        <v>1</v>
      </c>
      <c r="AK27">
        <f>SUMIF('库存（子SKU）'!$C:$C,$A27,'库存（子SKU）'!AM:AM)</f>
        <v>2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386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1</v>
      </c>
      <c r="F28" s="7">
        <v>16.9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1276</v>
      </c>
      <c r="O28">
        <f>SUMIF('库存（子SKU）'!$C:$C,$A28,'库存（子SKU）'!Q:Q)</f>
        <v>1025</v>
      </c>
      <c r="P28">
        <f>SUMIF('库存（子SKU）'!$C:$C,$A28,'库存（子SKU）'!R:R)</f>
        <v>732</v>
      </c>
      <c r="Q28">
        <f>SUMIF('库存（子SKU）'!$C:$C,$A28,'库存（子SKU）'!S:S)</f>
        <v>1058</v>
      </c>
      <c r="R28">
        <f>SUMIF('库存（子SKU）'!$C:$C,$A28,'库存（子SKU）'!T:T)</f>
        <v>14</v>
      </c>
      <c r="S28">
        <f>SUMIF('库存（子SKU）'!$C:$C,$A28,'库存（子SKU）'!U:U)</f>
        <v>8</v>
      </c>
      <c r="T28">
        <f>SUMIF('库存（子SKU）'!$C:$C,$A28,'库存（子SKU）'!V:V)</f>
        <v>6</v>
      </c>
      <c r="U28">
        <f>SUMIF('库存（子SKU）'!$C:$C,$A28,'库存（子SKU）'!W:W)</f>
        <v>10</v>
      </c>
      <c r="V28" s="23">
        <f t="shared" si="15"/>
        <v>0.0109717868338558</v>
      </c>
      <c r="W28" s="23">
        <f t="shared" si="16"/>
        <v>0.00780487804878049</v>
      </c>
      <c r="X28" s="23">
        <f t="shared" si="17"/>
        <v>0.00819672131147541</v>
      </c>
      <c r="Y28" s="23">
        <f t="shared" si="18"/>
        <v>0.00945179584120983</v>
      </c>
      <c r="Z28">
        <f>SUMIF('库存（子SKU）'!$C:$C,$A28,'库存（子SKU）'!AB:AB)</f>
        <v>3.67</v>
      </c>
      <c r="AA28">
        <f>SUMIF('库存（子SKU）'!$C:$C,$A28,'库存（子SKU）'!AC:AC)</f>
        <v>2.55</v>
      </c>
      <c r="AB28">
        <f>SUMIF('库存（子SKU）'!$C:$C,$A28,'库存（子SKU）'!AD:AD)</f>
        <v>2.08</v>
      </c>
      <c r="AC28">
        <f>SUMIF('库存（子SKU）'!$C:$C,$A28,'库存（子SKU）'!AE:AE)</f>
        <v>2.85</v>
      </c>
      <c r="AD28" s="23" t="str">
        <f t="shared" si="2"/>
        <v>无销量广告费为3.67</v>
      </c>
      <c r="AE28" s="23" t="str">
        <f t="shared" si="3"/>
        <v>无销量广告费为2.55</v>
      </c>
      <c r="AF28" s="23" t="str">
        <f t="shared" si="4"/>
        <v>无销量广告费为2.08</v>
      </c>
      <c r="AG28" s="23">
        <f t="shared" si="5"/>
        <v>0.168639053254438</v>
      </c>
      <c r="AH28">
        <f>SUMIF('库存（子SKU）'!$C:$C,$A28,'库存（子SKU）'!AJ:AJ)</f>
        <v>14</v>
      </c>
      <c r="AI28">
        <f>SUMIF('库存（子SKU）'!$C:$C,$A28,'库存（子SKU）'!AK:AK)</f>
        <v>6</v>
      </c>
      <c r="AJ28">
        <f>SUMIF('库存（子SKU）'!$C:$C,$A28,'库存（子SKU）'!AL:AL)</f>
        <v>4</v>
      </c>
      <c r="AK28">
        <f>SUMIF('库存（子SKU）'!$C:$C,$A28,'库存（子SKU）'!AM:AM)</f>
        <v>9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0.111111111111111</v>
      </c>
      <c r="AP28" s="8">
        <f t="shared" si="10"/>
        <v>0</v>
      </c>
      <c r="AQ28" s="8">
        <f t="shared" si="11"/>
        <v>0</v>
      </c>
      <c r="AR28" s="8">
        <f t="shared" si="12"/>
        <v>6</v>
      </c>
      <c r="AS28" t="str">
        <f t="shared" si="13"/>
        <v>库存为6</v>
      </c>
      <c r="AT28" s="25" t="str">
        <f>IFERROR(时间!$B$4+AS28,"上周无销量")</f>
        <v>上周无销量</v>
      </c>
    </row>
    <row r="29" spans="1:46">
      <c r="A29" t="s">
        <v>406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55</v>
      </c>
      <c r="G29">
        <f>SUMIF('库存（子SKU）'!$C:$C,$A29,'库存（子SKU）'!I:I)</f>
        <v>4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4</v>
      </c>
      <c r="L29">
        <f>SUMIF('库存（子SKU）'!$C:$C,$A29,'库存（子SKU）'!N:N)</f>
        <v>0</v>
      </c>
      <c r="M29">
        <f>SUMIF('库存（子SKU）'!$C:$C,$A29,'库存（子SKU）'!O:O)</f>
        <v>4</v>
      </c>
      <c r="N29">
        <f>SUMIF('库存（子SKU）'!$C:$C,$A29,'库存（子SKU）'!P:P)</f>
        <v>496</v>
      </c>
      <c r="O29">
        <f>SUMIF('库存（子SKU）'!$C:$C,$A29,'库存（子SKU）'!Q:Q)</f>
        <v>370</v>
      </c>
      <c r="P29">
        <f>SUMIF('库存（子SKU）'!$C:$C,$A29,'库存（子SKU）'!R:R)</f>
        <v>186</v>
      </c>
      <c r="Q29">
        <f>SUMIF('库存（子SKU）'!$C:$C,$A29,'库存（子SKU）'!S:S)</f>
        <v>105</v>
      </c>
      <c r="R29">
        <f>SUMIF('库存（子SKU）'!$C:$C,$A29,'库存（子SKU）'!T:T)</f>
        <v>4</v>
      </c>
      <c r="S29">
        <f>SUMIF('库存（子SKU）'!$C:$C,$A29,'库存（子SKU）'!U:U)</f>
        <v>1</v>
      </c>
      <c r="T29">
        <f>SUMIF('库存（子SKU）'!$C:$C,$A29,'库存（子SKU）'!V:V)</f>
        <v>1</v>
      </c>
      <c r="U29">
        <f>SUMIF('库存（子SKU）'!$C:$C,$A29,'库存（子SKU）'!W:W)</f>
        <v>2</v>
      </c>
      <c r="V29" s="23">
        <f t="shared" si="15"/>
        <v>0.00806451612903226</v>
      </c>
      <c r="W29" s="23">
        <f t="shared" si="16"/>
        <v>0.0027027027027027</v>
      </c>
      <c r="X29" s="23">
        <f t="shared" si="17"/>
        <v>0.00537634408602151</v>
      </c>
      <c r="Y29" s="23">
        <f t="shared" si="18"/>
        <v>0.019047619047619</v>
      </c>
      <c r="Z29">
        <f>SUMIF('库存（子SKU）'!$C:$C,$A29,'库存（子SKU）'!AB:AB)</f>
        <v>1.17</v>
      </c>
      <c r="AA29">
        <f>SUMIF('库存（子SKU）'!$C:$C,$A29,'库存（子SKU）'!AC:AC)</f>
        <v>0.56</v>
      </c>
      <c r="AB29">
        <f>SUMIF('库存（子SKU）'!$C:$C,$A29,'库存（子SKU）'!AD:AD)</f>
        <v>0.1</v>
      </c>
      <c r="AC29">
        <f>SUMIF('库存（子SKU）'!$C:$C,$A29,'库存（子SKU）'!AE:AE)</f>
        <v>0.86</v>
      </c>
      <c r="AD29" s="23" t="str">
        <f t="shared" si="2"/>
        <v>无销量广告费为1.17</v>
      </c>
      <c r="AE29" s="23" t="str">
        <f t="shared" si="3"/>
        <v>无销量广告费为0.56</v>
      </c>
      <c r="AF29" s="23" t="str">
        <f t="shared" si="4"/>
        <v>无销量广告费为0.1</v>
      </c>
      <c r="AG29" s="23" t="str">
        <f t="shared" si="5"/>
        <v>无销量广告费为0.86</v>
      </c>
      <c r="AH29">
        <f>SUMIF('库存（子SKU）'!$C:$C,$A29,'库存（子SKU）'!AJ:AJ)</f>
        <v>3</v>
      </c>
      <c r="AI29">
        <f>SUMIF('库存（子SKU）'!$C:$C,$A29,'库存（子SKU）'!AK:AK)</f>
        <v>4</v>
      </c>
      <c r="AJ29">
        <f>SUMIF('库存（子SKU）'!$C:$C,$A29,'库存（子SKU）'!AL:AL)</f>
        <v>2</v>
      </c>
      <c r="AK29">
        <f>SUMIF('库存（子SKU）'!$C:$C,$A29,'库存（子SKU）'!AM:AM)</f>
        <v>1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4</v>
      </c>
      <c r="AS29" t="str">
        <f t="shared" si="13"/>
        <v>库存为4</v>
      </c>
      <c r="AT29" s="25" t="str">
        <f>IFERROR(时间!$B$4+AS29,"上周无销量")</f>
        <v>上周无销量</v>
      </c>
    </row>
    <row r="30" spans="1:46">
      <c r="A30" t="s">
        <v>416</v>
      </c>
      <c r="B30" s="6">
        <f>SUMIF('库存（子SKU）'!$C:$C,$A30,'库存（子SKU）'!D:D)</f>
        <v>3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1</v>
      </c>
      <c r="F30" s="7">
        <v>7.91</v>
      </c>
      <c r="G30">
        <f>SUMIF('库存（子SKU）'!$C:$C,$A30,'库存（子SKU）'!I:I)</f>
        <v>132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132</v>
      </c>
      <c r="L30">
        <f>SUMIF('库存（子SKU）'!$C:$C,$A30,'库存（子SKU）'!N:N)</f>
        <v>0</v>
      </c>
      <c r="M30">
        <f>SUMIF('库存（子SKU）'!$C:$C,$A30,'库存（子SKU）'!O:O)</f>
        <v>134</v>
      </c>
      <c r="N30">
        <f>SUMIF('库存（子SKU）'!$C:$C,$A30,'库存（子SKU）'!P:P)</f>
        <v>1395</v>
      </c>
      <c r="O30">
        <f>SUMIF('库存（子SKU）'!$C:$C,$A30,'库存（子SKU）'!Q:Q)</f>
        <v>1109</v>
      </c>
      <c r="P30">
        <f>SUMIF('库存（子SKU）'!$C:$C,$A30,'库存（子SKU）'!R:R)</f>
        <v>714</v>
      </c>
      <c r="Q30">
        <f>SUMIF('库存（子SKU）'!$C:$C,$A30,'库存（子SKU）'!S:S)</f>
        <v>577</v>
      </c>
      <c r="R30">
        <f>SUMIF('库存（子SKU）'!$C:$C,$A30,'库存（子SKU）'!T:T)</f>
        <v>5</v>
      </c>
      <c r="S30">
        <f>SUMIF('库存（子SKU）'!$C:$C,$A30,'库存（子SKU）'!U:U)</f>
        <v>4</v>
      </c>
      <c r="T30">
        <f>SUMIF('库存（子SKU）'!$C:$C,$A30,'库存（子SKU）'!V:V)</f>
        <v>5</v>
      </c>
      <c r="U30">
        <f>SUMIF('库存（子SKU）'!$C:$C,$A30,'库存（子SKU）'!W:W)</f>
        <v>1</v>
      </c>
      <c r="V30" s="23">
        <f t="shared" si="15"/>
        <v>0.003584229390681</v>
      </c>
      <c r="W30" s="23">
        <f t="shared" si="16"/>
        <v>0.0036068530207394</v>
      </c>
      <c r="X30" s="23">
        <f t="shared" si="17"/>
        <v>0.00700280112044818</v>
      </c>
      <c r="Y30" s="23">
        <f t="shared" si="18"/>
        <v>0.00173310225303293</v>
      </c>
      <c r="Z30">
        <f>SUMIF('库存（子SKU）'!$C:$C,$A30,'库存（子SKU）'!AB:AB)</f>
        <v>1.96</v>
      </c>
      <c r="AA30">
        <f>SUMIF('库存（子SKU）'!$C:$C,$A30,'库存（子SKU）'!AC:AC)</f>
        <v>1.08</v>
      </c>
      <c r="AB30">
        <f>SUMIF('库存（子SKU）'!$C:$C,$A30,'库存（子SKU）'!AD:AD)</f>
        <v>1.65</v>
      </c>
      <c r="AC30">
        <f>SUMIF('库存（子SKU）'!$C:$C,$A30,'库存（子SKU）'!AE:AE)</f>
        <v>0.3</v>
      </c>
      <c r="AD30" s="23">
        <f t="shared" si="2"/>
        <v>0.0825958702064897</v>
      </c>
      <c r="AE30" s="23" t="str">
        <f t="shared" si="3"/>
        <v>无销量广告费为1.08</v>
      </c>
      <c r="AF30" s="23" t="str">
        <f t="shared" si="4"/>
        <v>无销量广告费为1.65</v>
      </c>
      <c r="AG30" s="23">
        <f t="shared" si="5"/>
        <v>0.0379266750948167</v>
      </c>
      <c r="AH30">
        <f>SUMIF('库存（子SKU）'!$C:$C,$A30,'库存（子SKU）'!AJ:AJ)</f>
        <v>13</v>
      </c>
      <c r="AI30">
        <f>SUMIF('库存（子SKU）'!$C:$C,$A30,'库存（子SKU）'!AK:AK)</f>
        <v>6</v>
      </c>
      <c r="AJ30">
        <f>SUMIF('库存（子SKU）'!$C:$C,$A30,'库存（子SKU）'!AL:AL)</f>
        <v>5</v>
      </c>
      <c r="AK30">
        <f>SUMIF('库存（子SKU）'!$C:$C,$A30,'库存（子SKU）'!AM:AM)</f>
        <v>13</v>
      </c>
      <c r="AL30" s="23">
        <f t="shared" si="6"/>
        <v>0.230769230769231</v>
      </c>
      <c r="AM30" s="23">
        <f t="shared" si="7"/>
        <v>0</v>
      </c>
      <c r="AN30" s="23">
        <f t="shared" si="8"/>
        <v>0</v>
      </c>
      <c r="AO30" s="23">
        <f t="shared" si="9"/>
        <v>0.0769230769230769</v>
      </c>
      <c r="AP30" s="8">
        <f t="shared" si="10"/>
        <v>0.428571428571429</v>
      </c>
      <c r="AQ30" s="8">
        <f t="shared" si="11"/>
        <v>25.7142857142857</v>
      </c>
      <c r="AR30" s="8">
        <f t="shared" si="12"/>
        <v>106.285714285714</v>
      </c>
      <c r="AS30">
        <f t="shared" si="13"/>
        <v>308</v>
      </c>
      <c r="AT30" s="25">
        <f>IFERROR(时间!$B$4+AS30,"上周无销量")</f>
        <v>43591</v>
      </c>
    </row>
    <row r="31" spans="1:46">
      <c r="A31" t="s">
        <v>427</v>
      </c>
      <c r="B31" s="6">
        <f>SUMIF('库存（子SKU）'!$C:$C,$A31,'库存（子SKU）'!D:D)</f>
        <v>8</v>
      </c>
      <c r="C31" s="6">
        <f>SUMIF('库存（子SKU）'!$C:$C,$A31,'库存（子SKU）'!E:E)</f>
        <v>4</v>
      </c>
      <c r="D31" s="6">
        <f>SUMIF('库存（子SKU）'!$C:$C,$A31,'库存（子SKU）'!F:F)</f>
        <v>4</v>
      </c>
      <c r="E31" s="6">
        <f>SUMIF('库存（子SKU）'!$C:$C,$A31,'库存（子SKU）'!G:G)</f>
        <v>3</v>
      </c>
      <c r="F31" s="7">
        <v>8.63368421052632</v>
      </c>
      <c r="G31">
        <f>SUMIF('库存（子SKU）'!$C:$C,$A31,'库存（子SKU）'!I:I)</f>
        <v>332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332</v>
      </c>
      <c r="L31">
        <f>SUMIF('库存（子SKU）'!$C:$C,$A31,'库存（子SKU）'!N:N)</f>
        <v>0</v>
      </c>
      <c r="M31">
        <f>SUMIF('库存（子SKU）'!$C:$C,$A31,'库存（子SKU）'!O:O)</f>
        <v>319</v>
      </c>
      <c r="N31">
        <f>SUMIF('库存（子SKU）'!$C:$C,$A31,'库存（子SKU）'!P:P)</f>
        <v>4240</v>
      </c>
      <c r="O31">
        <f>SUMIF('库存（子SKU）'!$C:$C,$A31,'库存（子SKU）'!Q:Q)</f>
        <v>2394</v>
      </c>
      <c r="P31">
        <f>SUMIF('库存（子SKU）'!$C:$C,$A31,'库存（子SKU）'!R:R)</f>
        <v>8008</v>
      </c>
      <c r="Q31">
        <f>SUMIF('库存（子SKU）'!$C:$C,$A31,'库存（子SKU）'!S:S)</f>
        <v>8068</v>
      </c>
      <c r="R31">
        <f>SUMIF('库存（子SKU）'!$C:$C,$A31,'库存（子SKU）'!T:T)</f>
        <v>10</v>
      </c>
      <c r="S31">
        <f>SUMIF('库存（子SKU）'!$C:$C,$A31,'库存（子SKU）'!U:U)</f>
        <v>11</v>
      </c>
      <c r="T31">
        <f>SUMIF('库存（子SKU）'!$C:$C,$A31,'库存（子SKU）'!V:V)</f>
        <v>11</v>
      </c>
      <c r="U31">
        <f>SUMIF('库存（子SKU）'!$C:$C,$A31,'库存（子SKU）'!W:W)</f>
        <v>12</v>
      </c>
      <c r="V31" s="23">
        <f t="shared" si="15"/>
        <v>0.00235849056603774</v>
      </c>
      <c r="W31" s="23">
        <f t="shared" si="16"/>
        <v>0.00459482038429407</v>
      </c>
      <c r="X31" s="23">
        <f t="shared" si="17"/>
        <v>0.00137362637362637</v>
      </c>
      <c r="Y31" s="23">
        <f t="shared" si="18"/>
        <v>0.0014873574615766</v>
      </c>
      <c r="Z31">
        <f>SUMIF('库存（子SKU）'!$C:$C,$A31,'库存（子SKU）'!AB:AB)</f>
        <v>3.78</v>
      </c>
      <c r="AA31">
        <f>SUMIF('库存（子SKU）'!$C:$C,$A31,'库存（子SKU）'!AC:AC)</f>
        <v>3.89</v>
      </c>
      <c r="AB31">
        <f>SUMIF('库存（子SKU）'!$C:$C,$A31,'库存（子SKU）'!AD:AD)</f>
        <v>3.42</v>
      </c>
      <c r="AC31">
        <f>SUMIF('库存（子SKU）'!$C:$C,$A31,'库存（子SKU）'!AE:AE)</f>
        <v>4.24</v>
      </c>
      <c r="AD31" s="23">
        <f t="shared" si="2"/>
        <v>0.0547275054864667</v>
      </c>
      <c r="AE31" s="23">
        <f t="shared" si="3"/>
        <v>0.11264020970495</v>
      </c>
      <c r="AF31" s="23">
        <f t="shared" si="4"/>
        <v>0.0990307242136064</v>
      </c>
      <c r="AG31" s="23">
        <f t="shared" si="5"/>
        <v>0.163699910590913</v>
      </c>
      <c r="AH31">
        <f>SUMIF('库存（子SKU）'!$C:$C,$A31,'库存（子SKU）'!AJ:AJ)</f>
        <v>45</v>
      </c>
      <c r="AI31">
        <f>SUMIF('库存（子SKU）'!$C:$C,$A31,'库存（子SKU）'!AK:AK)</f>
        <v>21</v>
      </c>
      <c r="AJ31">
        <f>SUMIF('库存（子SKU）'!$C:$C,$A31,'库存（子SKU）'!AL:AL)</f>
        <v>22</v>
      </c>
      <c r="AK31">
        <f>SUMIF('库存（子SKU）'!$C:$C,$A31,'库存（子SKU）'!AM:AM)</f>
        <v>44</v>
      </c>
      <c r="AL31" s="23">
        <f t="shared" si="6"/>
        <v>0.177777777777778</v>
      </c>
      <c r="AM31" s="23">
        <f t="shared" si="7"/>
        <v>0.19047619047619</v>
      </c>
      <c r="AN31" s="23">
        <f t="shared" si="8"/>
        <v>0.181818181818182</v>
      </c>
      <c r="AO31" s="23">
        <f t="shared" si="9"/>
        <v>0.0681818181818182</v>
      </c>
      <c r="AP31" s="8">
        <f t="shared" si="10"/>
        <v>1.14285714285714</v>
      </c>
      <c r="AQ31" s="8">
        <f t="shared" si="11"/>
        <v>68.5714285714286</v>
      </c>
      <c r="AR31" s="8">
        <f t="shared" si="12"/>
        <v>263.428571428571</v>
      </c>
      <c r="AS31">
        <f t="shared" si="13"/>
        <v>290</v>
      </c>
      <c r="AT31" s="25">
        <f>IFERROR(时间!$B$4+AS31,"上周无销量")</f>
        <v>43573</v>
      </c>
    </row>
    <row r="32" spans="1:46">
      <c r="A32" t="s">
        <v>448</v>
      </c>
      <c r="B32" s="6">
        <f>SUMIF('库存（子SKU）'!$C:$C,$A32,'库存（子SKU）'!D:D)</f>
        <v>1</v>
      </c>
      <c r="C32" s="6">
        <f>SUMIF('库存（子SKU）'!$C:$C,$A32,'库存（子SKU）'!E:E)</f>
        <v>1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>
        <v>13.9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10</v>
      </c>
      <c r="N32">
        <f>SUMIF('库存（子SKU）'!$C:$C,$A32,'库存（子SKU）'!P:P)</f>
        <v>129</v>
      </c>
      <c r="O32">
        <f>SUMIF('库存（子SKU）'!$C:$C,$A32,'库存（子SKU）'!Q:Q)</f>
        <v>107</v>
      </c>
      <c r="P32">
        <f>SUMIF('库存（子SKU）'!$C:$C,$A32,'库存（子SKU）'!R:R)</f>
        <v>95</v>
      </c>
      <c r="Q32">
        <f>SUMIF('库存（子SKU）'!$C:$C,$A32,'库存（子SKU）'!S:S)</f>
        <v>151</v>
      </c>
      <c r="R32">
        <f>SUMIF('库存（子SKU）'!$C:$C,$A32,'库存（子SKU）'!T:T)</f>
        <v>1</v>
      </c>
      <c r="S32">
        <f>SUMIF('库存（子SKU）'!$C:$C,$A32,'库存（子SKU）'!U:U)</f>
        <v>0</v>
      </c>
      <c r="T32">
        <f>SUMIF('库存（子SKU）'!$C:$C,$A32,'库存（子SKU）'!V:V)</f>
        <v>1</v>
      </c>
      <c r="U32">
        <f>SUMIF('库存（子SKU）'!$C:$C,$A32,'库存（子SKU）'!W:W)</f>
        <v>0</v>
      </c>
      <c r="V32" s="23">
        <f t="shared" si="15"/>
        <v>0.00775193798449612</v>
      </c>
      <c r="W32" s="23">
        <f t="shared" si="16"/>
        <v>0</v>
      </c>
      <c r="X32" s="23">
        <f t="shared" si="17"/>
        <v>0.0105263157894737</v>
      </c>
      <c r="Y32" s="23">
        <f t="shared" si="18"/>
        <v>0</v>
      </c>
      <c r="Z32">
        <f>SUMIF('库存（子SKU）'!$C:$C,$A32,'库存（子SKU）'!AB:AB)</f>
        <v>0.17</v>
      </c>
      <c r="AA32">
        <f>SUMIF('库存（子SKU）'!$C:$C,$A32,'库存（子SKU）'!AC:AC)</f>
        <v>0</v>
      </c>
      <c r="AB32">
        <f>SUMIF('库存（子SKU）'!$C:$C,$A32,'库存（子SKU）'!AD:AD)</f>
        <v>0.51</v>
      </c>
      <c r="AC32">
        <f>SUMIF('库存（子SKU）'!$C:$C,$A32,'库存（子SKU）'!AE:AE)</f>
        <v>0</v>
      </c>
      <c r="AD32" s="23">
        <f t="shared" si="2"/>
        <v>0.0122302158273381</v>
      </c>
      <c r="AE32" s="23">
        <f t="shared" si="3"/>
        <v>0</v>
      </c>
      <c r="AF32" s="23" t="str">
        <f t="shared" si="4"/>
        <v>无销量广告费为0.51</v>
      </c>
      <c r="AG32" s="23" t="str">
        <f t="shared" si="5"/>
        <v/>
      </c>
      <c r="AH32">
        <f>SUMIF('库存（子SKU）'!$C:$C,$A32,'库存（子SKU）'!AJ:AJ)</f>
        <v>15</v>
      </c>
      <c r="AI32">
        <f>SUMIF('库存（子SKU）'!$C:$C,$A32,'库存（子SKU）'!AK:AK)</f>
        <v>3</v>
      </c>
      <c r="AJ32">
        <f>SUMIF('库存（子SKU）'!$C:$C,$A32,'库存（子SKU）'!AL:AL)</f>
        <v>1</v>
      </c>
      <c r="AK32">
        <f>SUMIF('库存（子SKU）'!$C:$C,$A32,'库存（子SKU）'!AM:AM)</f>
        <v>3</v>
      </c>
      <c r="AL32" s="23">
        <f t="shared" si="6"/>
        <v>0.0666666666666667</v>
      </c>
      <c r="AM32" s="23">
        <f t="shared" si="7"/>
        <v>0.333333333333333</v>
      </c>
      <c r="AN32" s="23">
        <f t="shared" si="8"/>
        <v>0</v>
      </c>
      <c r="AO32" s="23">
        <f t="shared" si="9"/>
        <v>0</v>
      </c>
      <c r="AP32" s="8">
        <f t="shared" si="10"/>
        <v>0.142857142857143</v>
      </c>
      <c r="AQ32" s="8">
        <f t="shared" si="11"/>
        <v>8.57142857142857</v>
      </c>
      <c r="AR32" s="8">
        <f t="shared" si="12"/>
        <v>0.428571428571429</v>
      </c>
      <c r="AS32">
        <f t="shared" si="13"/>
        <v>63</v>
      </c>
      <c r="AT32" s="25">
        <f>IFERROR(时间!$B$4+AS32,"上周无销量")</f>
        <v>43346</v>
      </c>
    </row>
    <row r="33" spans="1:46">
      <c r="A33" t="s">
        <v>453</v>
      </c>
      <c r="B33" s="6">
        <f>SUMIF('库存（子SKU）'!$C:$C,$A33,'库存（子SKU）'!D:D)</f>
        <v>5</v>
      </c>
      <c r="C33" s="6">
        <f>SUMIF('库存（子SKU）'!$C:$C,$A33,'库存（子SKU）'!E:E)</f>
        <v>3</v>
      </c>
      <c r="D33" s="6">
        <f>SUMIF('库存（子SKU）'!$C:$C,$A33,'库存（子SKU）'!F:F)</f>
        <v>3</v>
      </c>
      <c r="E33" s="6">
        <f>SUMIF('库存（子SKU）'!$C:$C,$A33,'库存（子SKU）'!G:G)</f>
        <v>5</v>
      </c>
      <c r="F33" s="7">
        <v>13.9</v>
      </c>
      <c r="G33">
        <f>SUMIF('库存（子SKU）'!$C:$C,$A33,'库存（子SKU）'!I:I)</f>
        <v>62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62</v>
      </c>
      <c r="L33">
        <f>SUMIF('库存（子SKU）'!$C:$C,$A33,'库存（子SKU）'!N:N)</f>
        <v>1</v>
      </c>
      <c r="M33">
        <f>SUMIF('库存（子SKU）'!$C:$C,$A33,'库存（子SKU）'!O:O)</f>
        <v>65</v>
      </c>
      <c r="N33">
        <f>SUMIF('库存（子SKU）'!$C:$C,$A33,'库存（子SKU）'!P:P)</f>
        <v>7518</v>
      </c>
      <c r="O33">
        <f>SUMIF('库存（子SKU）'!$C:$C,$A33,'库存（子SKU）'!Q:Q)</f>
        <v>7307</v>
      </c>
      <c r="P33">
        <f>SUMIF('库存（子SKU）'!$C:$C,$A33,'库存（子SKU）'!R:R)</f>
        <v>4828</v>
      </c>
      <c r="Q33">
        <f>SUMIF('库存（子SKU）'!$C:$C,$A33,'库存（子SKU）'!S:S)</f>
        <v>5513</v>
      </c>
      <c r="R33">
        <f>SUMIF('库存（子SKU）'!$C:$C,$A33,'库存（子SKU）'!T:T)</f>
        <v>40</v>
      </c>
      <c r="S33">
        <f>SUMIF('库存（子SKU）'!$C:$C,$A33,'库存（子SKU）'!U:U)</f>
        <v>30</v>
      </c>
      <c r="T33">
        <f>SUMIF('库存（子SKU）'!$C:$C,$A33,'库存（子SKU）'!V:V)</f>
        <v>23</v>
      </c>
      <c r="U33">
        <f>SUMIF('库存（子SKU）'!$C:$C,$A33,'库存（子SKU）'!W:W)</f>
        <v>28</v>
      </c>
      <c r="V33" s="23">
        <f t="shared" si="15"/>
        <v>0.00532056397978186</v>
      </c>
      <c r="W33" s="23">
        <f t="shared" si="16"/>
        <v>0.00410565211441084</v>
      </c>
      <c r="X33" s="23">
        <f t="shared" si="17"/>
        <v>0.00476387738193869</v>
      </c>
      <c r="Y33" s="23">
        <f t="shared" si="18"/>
        <v>0.00507890440776347</v>
      </c>
      <c r="Z33">
        <f>SUMIF('库存（子SKU）'!$C:$C,$A33,'库存（子SKU）'!AB:AB)</f>
        <v>13.99</v>
      </c>
      <c r="AA33">
        <f>SUMIF('库存（子SKU）'!$C:$C,$A33,'库存（子SKU）'!AC:AC)</f>
        <v>10.04</v>
      </c>
      <c r="AB33">
        <f>SUMIF('库存（子SKU）'!$C:$C,$A33,'库存（子SKU）'!AD:AD)</f>
        <v>8.7</v>
      </c>
      <c r="AC33">
        <f>SUMIF('库存（子SKU）'!$C:$C,$A33,'库存（子SKU）'!AE:AE)</f>
        <v>9.61</v>
      </c>
      <c r="AD33" s="23">
        <f t="shared" si="2"/>
        <v>0.201294964028777</v>
      </c>
      <c r="AE33" s="23">
        <f t="shared" si="3"/>
        <v>0.240767386091127</v>
      </c>
      <c r="AF33" s="23">
        <f t="shared" si="4"/>
        <v>0.20863309352518</v>
      </c>
      <c r="AG33" s="23">
        <f t="shared" si="5"/>
        <v>0.138273381294964</v>
      </c>
      <c r="AH33">
        <f>SUMIF('库存（子SKU）'!$C:$C,$A33,'库存（子SKU）'!AJ:AJ)</f>
        <v>55</v>
      </c>
      <c r="AI33">
        <f>SUMIF('库存（子SKU）'!$C:$C,$A33,'库存（子SKU）'!AK:AK)</f>
        <v>33</v>
      </c>
      <c r="AJ33">
        <f>SUMIF('库存（子SKU）'!$C:$C,$A33,'库存（子SKU）'!AL:AL)</f>
        <v>34</v>
      </c>
      <c r="AK33">
        <f>SUMIF('库存（子SKU）'!$C:$C,$A33,'库存（子SKU）'!AM:AM)</f>
        <v>52</v>
      </c>
      <c r="AL33" s="23">
        <f t="shared" si="6"/>
        <v>0.0909090909090909</v>
      </c>
      <c r="AM33" s="23">
        <f t="shared" si="7"/>
        <v>0.0909090909090909</v>
      </c>
      <c r="AN33" s="23">
        <f t="shared" si="8"/>
        <v>0.0882352941176471</v>
      </c>
      <c r="AO33" s="23">
        <f t="shared" si="9"/>
        <v>0.0961538461538462</v>
      </c>
      <c r="AP33" s="8">
        <f t="shared" si="10"/>
        <v>0.714285714285714</v>
      </c>
      <c r="AQ33" s="8">
        <f t="shared" si="11"/>
        <v>42.8571428571429</v>
      </c>
      <c r="AR33" s="8">
        <f t="shared" si="12"/>
        <v>19.1428571428571</v>
      </c>
      <c r="AS33">
        <f t="shared" si="13"/>
        <v>86</v>
      </c>
      <c r="AT33" s="25">
        <f>IFERROR(时间!$B$4+AS33,"上周无销量")</f>
        <v>43369</v>
      </c>
    </row>
    <row r="34" spans="1:46">
      <c r="A34" t="s">
        <v>502</v>
      </c>
      <c r="B34" s="6">
        <f>SUMIF('库存（子SKU）'!$C:$C,$A34,'库存（子SKU）'!D:D)</f>
        <v>2</v>
      </c>
      <c r="C34" s="6">
        <f>SUMIF('库存（子SKU）'!$C:$C,$A34,'库存（子SKU）'!E:E)</f>
        <v>1</v>
      </c>
      <c r="D34" s="6">
        <f>SUMIF('库存（子SKU）'!$C:$C,$A34,'库存（子SKU）'!F:F)</f>
        <v>0</v>
      </c>
      <c r="E34" s="6">
        <f>SUMIF('库存（子SKU）'!$C:$C,$A34,'库存（子SKU）'!G:G)</f>
        <v>1</v>
      </c>
      <c r="F34" s="7">
        <v>9.035</v>
      </c>
      <c r="G34">
        <f>SUMIF('库存（子SKU）'!$C:$C,$A34,'库存（子SKU）'!I:I)</f>
        <v>190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190</v>
      </c>
      <c r="L34">
        <f>SUMIF('库存（子SKU）'!$C:$C,$A34,'库存（子SKU）'!N:N)</f>
        <v>0</v>
      </c>
      <c r="M34">
        <f>SUMIF('库存（子SKU）'!$C:$C,$A34,'库存（子SKU）'!O:O)</f>
        <v>191</v>
      </c>
      <c r="N34">
        <f>SUMIF('库存（子SKU）'!$C:$C,$A34,'库存（子SKU）'!P:P)</f>
        <v>1540</v>
      </c>
      <c r="O34">
        <f>SUMIF('库存（子SKU）'!$C:$C,$A34,'库存（子SKU）'!Q:Q)</f>
        <v>2496</v>
      </c>
      <c r="P34">
        <f>SUMIF('库存（子SKU）'!$C:$C,$A34,'库存（子SKU）'!R:R)</f>
        <v>2069</v>
      </c>
      <c r="Q34">
        <f>SUMIF('库存（子SKU）'!$C:$C,$A34,'库存（子SKU）'!S:S)</f>
        <v>3422</v>
      </c>
      <c r="R34">
        <f>SUMIF('库存（子SKU）'!$C:$C,$A34,'库存（子SKU）'!T:T)</f>
        <v>5</v>
      </c>
      <c r="S34">
        <f>SUMIF('库存（子SKU）'!$C:$C,$A34,'库存（子SKU）'!U:U)</f>
        <v>11</v>
      </c>
      <c r="T34">
        <f>SUMIF('库存（子SKU）'!$C:$C,$A34,'库存（子SKU）'!V:V)</f>
        <v>10</v>
      </c>
      <c r="U34">
        <f>SUMIF('库存（子SKU）'!$C:$C,$A34,'库存（子SKU）'!W:W)</f>
        <v>15</v>
      </c>
      <c r="V34" s="23">
        <f t="shared" si="15"/>
        <v>0.00324675324675325</v>
      </c>
      <c r="W34" s="23">
        <f t="shared" si="16"/>
        <v>0.00440705128205128</v>
      </c>
      <c r="X34" s="23">
        <f t="shared" si="17"/>
        <v>0.00483325277912035</v>
      </c>
      <c r="Y34" s="23">
        <f t="shared" si="18"/>
        <v>0.00438340151957919</v>
      </c>
      <c r="Z34">
        <f>SUMIF('库存（子SKU）'!$C:$C,$A34,'库存（子SKU）'!AB:AB)</f>
        <v>2.17</v>
      </c>
      <c r="AA34">
        <f>SUMIF('库存（子SKU）'!$C:$C,$A34,'库存（子SKU）'!AC:AC)</f>
        <v>5.57</v>
      </c>
      <c r="AB34">
        <f>SUMIF('库存（子SKU）'!$C:$C,$A34,'库存（子SKU）'!AD:AD)</f>
        <v>4.53</v>
      </c>
      <c r="AC34">
        <f>SUMIF('库存（子SKU）'!$C:$C,$A34,'库存（子SKU）'!AE:AE)</f>
        <v>6.45</v>
      </c>
      <c r="AD34" s="23">
        <f t="shared" si="2"/>
        <v>0.120088544548976</v>
      </c>
      <c r="AE34" s="23">
        <f t="shared" si="3"/>
        <v>0.616491422246818</v>
      </c>
      <c r="AF34" s="23" t="str">
        <f t="shared" si="4"/>
        <v>无销量广告费为4.53</v>
      </c>
      <c r="AG34" s="23">
        <f t="shared" si="5"/>
        <v>0.713890426120642</v>
      </c>
      <c r="AH34">
        <f>SUMIF('库存（子SKU）'!$C:$C,$A34,'库存（子SKU）'!AJ:AJ)</f>
        <v>28</v>
      </c>
      <c r="AI34">
        <f>SUMIF('库存（子SKU）'!$C:$C,$A34,'库存（子SKU）'!AK:AK)</f>
        <v>12</v>
      </c>
      <c r="AJ34">
        <f>SUMIF('库存（子SKU）'!$C:$C,$A34,'库存（子SKU）'!AL:AL)</f>
        <v>9</v>
      </c>
      <c r="AK34">
        <f>SUMIF('库存（子SKU）'!$C:$C,$A34,'库存（子SKU）'!AM:AM)</f>
        <v>6</v>
      </c>
      <c r="AL34" s="23">
        <f t="shared" si="6"/>
        <v>0.0714285714285714</v>
      </c>
      <c r="AM34" s="23">
        <f t="shared" si="7"/>
        <v>0.0833333333333333</v>
      </c>
      <c r="AN34" s="23">
        <f t="shared" si="8"/>
        <v>0</v>
      </c>
      <c r="AO34" s="23">
        <f t="shared" si="9"/>
        <v>0.166666666666667</v>
      </c>
      <c r="AP34" s="8">
        <f t="shared" si="10"/>
        <v>0.285714285714286</v>
      </c>
      <c r="AQ34" s="8">
        <f t="shared" si="11"/>
        <v>17.1428571428571</v>
      </c>
      <c r="AR34" s="8">
        <f t="shared" si="12"/>
        <v>172.857142857143</v>
      </c>
      <c r="AS34">
        <f t="shared" si="13"/>
        <v>665</v>
      </c>
      <c r="AT34" s="25">
        <f>IFERROR(时间!$B$4+AS34,"上周无销量")</f>
        <v>43948</v>
      </c>
    </row>
    <row r="35" spans="1:46">
      <c r="A35" t="s">
        <v>519</v>
      </c>
      <c r="B35" s="6">
        <f>SUMIF('库存（子SKU）'!$C:$C,$A35,'库存（子SKU）'!D:D)</f>
        <v>2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v>11.45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82</v>
      </c>
      <c r="N35">
        <f>SUMIF('库存（子SKU）'!$C:$C,$A35,'库存（子SKU）'!P:P)</f>
        <v>687</v>
      </c>
      <c r="O35">
        <f>SUMIF('库存（子SKU）'!$C:$C,$A35,'库存（子SKU）'!Q:Q)</f>
        <v>575</v>
      </c>
      <c r="P35">
        <f>SUMIF('库存（子SKU）'!$C:$C,$A35,'库存（子SKU）'!R:R)</f>
        <v>407</v>
      </c>
      <c r="Q35">
        <f>SUMIF('库存（子SKU）'!$C:$C,$A35,'库存（子SKU）'!S:S)</f>
        <v>855</v>
      </c>
      <c r="R35">
        <f>SUMIF('库存（子SKU）'!$C:$C,$A35,'库存（子SKU）'!T:T)</f>
        <v>4</v>
      </c>
      <c r="S35">
        <f>SUMIF('库存（子SKU）'!$C:$C,$A35,'库存（子SKU）'!U:U)</f>
        <v>3</v>
      </c>
      <c r="T35">
        <f>SUMIF('库存（子SKU）'!$C:$C,$A35,'库存（子SKU）'!V:V)</f>
        <v>0</v>
      </c>
      <c r="U35">
        <f>SUMIF('库存（子SKU）'!$C:$C,$A35,'库存（子SKU）'!W:W)</f>
        <v>3</v>
      </c>
      <c r="V35" s="23">
        <f t="shared" si="15"/>
        <v>0.00582241630276565</v>
      </c>
      <c r="W35" s="23">
        <f t="shared" si="16"/>
        <v>0.00521739130434783</v>
      </c>
      <c r="X35" s="23">
        <f t="shared" si="17"/>
        <v>0</v>
      </c>
      <c r="Y35" s="23">
        <f t="shared" si="18"/>
        <v>0.00350877192982456</v>
      </c>
      <c r="Z35">
        <f>SUMIF('库存（子SKU）'!$C:$C,$A35,'库存（子SKU）'!AB:AB)</f>
        <v>1.78</v>
      </c>
      <c r="AA35">
        <f>SUMIF('库存（子SKU）'!$C:$C,$A35,'库存（子SKU）'!AC:AC)</f>
        <v>1.09</v>
      </c>
      <c r="AB35">
        <f>SUMIF('库存（子SKU）'!$C:$C,$A35,'库存（子SKU）'!AD:AD)</f>
        <v>0</v>
      </c>
      <c r="AC35">
        <f>SUMIF('库存（子SKU）'!$C:$C,$A35,'库存（子SKU）'!AE:AE)</f>
        <v>1.12</v>
      </c>
      <c r="AD35" s="23">
        <f t="shared" si="2"/>
        <v>0.0777292576419214</v>
      </c>
      <c r="AE35" s="23" t="str">
        <f t="shared" si="3"/>
        <v>无销量广告费为1.09</v>
      </c>
      <c r="AF35" s="23" t="str">
        <f t="shared" si="4"/>
        <v/>
      </c>
      <c r="AG35" s="23" t="str">
        <f t="shared" si="5"/>
        <v>无销量广告费为1.12</v>
      </c>
      <c r="AH35">
        <f>SUMIF('库存（子SKU）'!$C:$C,$A35,'库存（子SKU）'!AJ:AJ)</f>
        <v>10</v>
      </c>
      <c r="AI35">
        <f>SUMIF('库存（子SKU）'!$C:$C,$A35,'库存（子SKU）'!AK:AK)</f>
        <v>5</v>
      </c>
      <c r="AJ35">
        <f>SUMIF('库存（子SKU）'!$C:$C,$A35,'库存（子SKU）'!AL:AL)</f>
        <v>1</v>
      </c>
      <c r="AK35">
        <f>SUMIF('库存（子SKU）'!$C:$C,$A35,'库存（子SKU）'!AM:AM)</f>
        <v>5</v>
      </c>
      <c r="AL35" s="23">
        <f t="shared" si="6"/>
        <v>0.2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0.285714285714286</v>
      </c>
      <c r="AQ35" s="8">
        <f t="shared" si="11"/>
        <v>17.1428571428571</v>
      </c>
      <c r="AR35" s="8">
        <f t="shared" si="12"/>
        <v>62.8571428571429</v>
      </c>
      <c r="AS35">
        <f t="shared" si="13"/>
        <v>280</v>
      </c>
      <c r="AT35" s="25">
        <f>IFERROR(时间!$B$4+AS35,"上周无销量")</f>
        <v>43563</v>
      </c>
    </row>
    <row r="36" spans="1:46">
      <c r="A36" t="s">
        <v>526</v>
      </c>
      <c r="B36" s="6">
        <f>SUMIF('库存（子SKU）'!$C:$C,$A36,'库存（子SKU）'!D:D)</f>
        <v>0</v>
      </c>
      <c r="C36" s="6">
        <f>SUMIF('库存（子SKU）'!$C:$C,$A36,'库存（子SKU）'!E:E)</f>
        <v>1</v>
      </c>
      <c r="D36" s="6">
        <f>SUMIF('库存（子SKU）'!$C:$C,$A36,'库存（子SKU）'!F:F)</f>
        <v>0</v>
      </c>
      <c r="E36" s="6">
        <f>SUMIF('库存（子SKU）'!$C:$C,$A36,'库存（子SKU）'!G:G)</f>
        <v>1</v>
      </c>
      <c r="F36" s="7">
        <v>11.69</v>
      </c>
      <c r="G36">
        <f>SUMIF('库存（子SKU）'!$C:$C,$A36,'库存（子SKU）'!I:I)</f>
        <v>472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1</v>
      </c>
      <c r="K36">
        <f t="shared" si="0"/>
        <v>473</v>
      </c>
      <c r="L36">
        <f>SUMIF('库存（子SKU）'!$C:$C,$A36,'库存（子SKU）'!N:N)</f>
        <v>0</v>
      </c>
      <c r="M36">
        <f>SUMIF('库存（子SKU）'!$C:$C,$A36,'库存（子SKU）'!O:O)</f>
        <v>472</v>
      </c>
      <c r="N36">
        <f>SUMIF('库存（子SKU）'!$C:$C,$A36,'库存（子SKU）'!P:P)</f>
        <v>5182</v>
      </c>
      <c r="O36">
        <f>SUMIF('库存（子SKU）'!$C:$C,$A36,'库存（子SKU）'!Q:Q)</f>
        <v>3238</v>
      </c>
      <c r="P36">
        <f>SUMIF('库存（子SKU）'!$C:$C,$A36,'库存（子SKU）'!R:R)</f>
        <v>2538</v>
      </c>
      <c r="Q36">
        <f>SUMIF('库存（子SKU）'!$C:$C,$A36,'库存（子SKU）'!S:S)</f>
        <v>3016</v>
      </c>
      <c r="R36">
        <f>SUMIF('库存（子SKU）'!$C:$C,$A36,'库存（子SKU）'!T:T)</f>
        <v>32</v>
      </c>
      <c r="S36">
        <f>SUMIF('库存（子SKU）'!$C:$C,$A36,'库存（子SKU）'!U:U)</f>
        <v>18</v>
      </c>
      <c r="T36">
        <f>SUMIF('库存（子SKU）'!$C:$C,$A36,'库存（子SKU）'!V:V)</f>
        <v>20</v>
      </c>
      <c r="U36">
        <f>SUMIF('库存（子SKU）'!$C:$C,$A36,'库存（子SKU）'!W:W)</f>
        <v>25</v>
      </c>
      <c r="V36" s="23">
        <f t="shared" si="15"/>
        <v>0.00617522192203782</v>
      </c>
      <c r="W36" s="23">
        <f t="shared" si="16"/>
        <v>0.00555898702903027</v>
      </c>
      <c r="X36" s="23">
        <f t="shared" si="17"/>
        <v>0.00788022064617809</v>
      </c>
      <c r="Y36" s="23">
        <f t="shared" si="18"/>
        <v>0.00828912466843501</v>
      </c>
      <c r="Z36">
        <f>SUMIF('库存（子SKU）'!$C:$C,$A36,'库存（子SKU）'!AB:AB)</f>
        <v>7.98</v>
      </c>
      <c r="AA36">
        <f>SUMIF('库存（子SKU）'!$C:$C,$A36,'库存（子SKU）'!AC:AC)</f>
        <v>5.72</v>
      </c>
      <c r="AB36">
        <f>SUMIF('库存（子SKU）'!$C:$C,$A36,'库存（子SKU）'!AD:AD)</f>
        <v>6.29</v>
      </c>
      <c r="AC36">
        <f>SUMIF('库存（子SKU）'!$C:$C,$A36,'库存（子SKU）'!AE:AE)</f>
        <v>7.18</v>
      </c>
      <c r="AD36" s="23" t="str">
        <f t="shared" si="2"/>
        <v>无销量广告费为7.98</v>
      </c>
      <c r="AE36" s="23">
        <f t="shared" si="3"/>
        <v>0.489307100085543</v>
      </c>
      <c r="AF36" s="23" t="str">
        <f t="shared" si="4"/>
        <v>无销量广告费为6.29</v>
      </c>
      <c r="AG36" s="23">
        <f t="shared" si="5"/>
        <v>0.614200171086399</v>
      </c>
      <c r="AH36">
        <f>SUMIF('库存（子SKU）'!$C:$C,$A36,'库存（子SKU）'!AJ:AJ)</f>
        <v>61</v>
      </c>
      <c r="AI36">
        <f>SUMIF('库存（子SKU）'!$C:$C,$A36,'库存（子SKU）'!AK:AK)</f>
        <v>34</v>
      </c>
      <c r="AJ36">
        <f>SUMIF('库存（子SKU）'!$C:$C,$A36,'库存（子SKU）'!AL:AL)</f>
        <v>21</v>
      </c>
      <c r="AK36">
        <f>SUMIF('库存（子SKU）'!$C:$C,$A36,'库存（子SKU）'!AM:AM)</f>
        <v>27</v>
      </c>
      <c r="AL36" s="23">
        <f t="shared" si="6"/>
        <v>0</v>
      </c>
      <c r="AM36" s="23">
        <f t="shared" si="7"/>
        <v>0.0294117647058824</v>
      </c>
      <c r="AN36" s="23">
        <f t="shared" si="8"/>
        <v>0</v>
      </c>
      <c r="AO36" s="23">
        <f t="shared" si="9"/>
        <v>0.037037037037037</v>
      </c>
      <c r="AP36" s="8">
        <f t="shared" si="10"/>
        <v>0</v>
      </c>
      <c r="AQ36" s="8">
        <f t="shared" si="11"/>
        <v>0</v>
      </c>
      <c r="AR36" s="8">
        <f t="shared" si="12"/>
        <v>473</v>
      </c>
      <c r="AS36" t="str">
        <f t="shared" si="13"/>
        <v>库存为473</v>
      </c>
      <c r="AT36" s="25" t="str">
        <f>IFERROR(时间!$B$4+AS36,"上周无销量")</f>
        <v>上周无销量</v>
      </c>
    </row>
    <row r="37" spans="1:46">
      <c r="A37" t="s">
        <v>573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55</v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648</v>
      </c>
      <c r="O37">
        <f>SUMIF('库存（子SKU）'!$C:$C,$A37,'库存（子SKU）'!Q:Q)</f>
        <v>798</v>
      </c>
      <c r="P37">
        <f>SUMIF('库存（子SKU）'!$C:$C,$A37,'库存（子SKU）'!R:R)</f>
        <v>838</v>
      </c>
      <c r="Q37">
        <f>SUMIF('库存（子SKU）'!$C:$C,$A37,'库存（子SKU）'!S:S)</f>
        <v>993</v>
      </c>
      <c r="R37">
        <f>SUMIF('库存（子SKU）'!$C:$C,$A37,'库存（子SKU）'!T:T)</f>
        <v>0</v>
      </c>
      <c r="S37">
        <f>SUMIF('库存（子SKU）'!$C:$C,$A37,'库存（子SKU）'!U:U)</f>
        <v>5</v>
      </c>
      <c r="T37">
        <f>SUMIF('库存（子SKU）'!$C:$C,$A37,'库存（子SKU）'!V:V)</f>
        <v>7</v>
      </c>
      <c r="U37">
        <f>SUMIF('库存（子SKU）'!$C:$C,$A37,'库存（子SKU）'!W:W)</f>
        <v>2</v>
      </c>
      <c r="V37" s="23">
        <f t="shared" si="15"/>
        <v>0</v>
      </c>
      <c r="W37" s="23">
        <f t="shared" si="16"/>
        <v>0.006265664160401</v>
      </c>
      <c r="X37" s="23">
        <f t="shared" si="17"/>
        <v>0.00835322195704057</v>
      </c>
      <c r="Y37" s="23">
        <f t="shared" si="18"/>
        <v>0.00201409869083585</v>
      </c>
      <c r="Z37">
        <f>SUMIF('库存（子SKU）'!$C:$C,$A37,'库存（子SKU）'!AB:AB)</f>
        <v>0</v>
      </c>
      <c r="AA37">
        <f>SUMIF('库存（子SKU）'!$C:$C,$A37,'库存（子SKU）'!AC:AC)</f>
        <v>1.26</v>
      </c>
      <c r="AB37">
        <f>SUMIF('库存（子SKU）'!$C:$C,$A37,'库存（子SKU）'!AD:AD)</f>
        <v>2.3</v>
      </c>
      <c r="AC37">
        <f>SUMIF('库存（子SKU）'!$C:$C,$A37,'库存（子SKU）'!AE:AE)</f>
        <v>0.83</v>
      </c>
      <c r="AD37" s="23" t="str">
        <f t="shared" si="2"/>
        <v/>
      </c>
      <c r="AE37" s="23" t="str">
        <f t="shared" si="3"/>
        <v>无销量广告费为1.26</v>
      </c>
      <c r="AF37" s="23" t="str">
        <f t="shared" si="4"/>
        <v>无销量广告费为2.3</v>
      </c>
      <c r="AG37" s="23" t="str">
        <f t="shared" si="5"/>
        <v>无销量广告费为0.83</v>
      </c>
      <c r="AH37">
        <f>SUMIF('库存（子SKU）'!$C:$C,$A37,'库存（子SKU）'!AJ:AJ)</f>
        <v>1</v>
      </c>
      <c r="AI37">
        <f>SUMIF('库存（子SKU）'!$C:$C,$A37,'库存（子SKU）'!AK:AK)</f>
        <v>1</v>
      </c>
      <c r="AJ37">
        <f>SUMIF('库存（子SKU）'!$C:$C,$A37,'库存（子SKU）'!AL:AL)</f>
        <v>1</v>
      </c>
      <c r="AK37">
        <f>SUMIF('库存（子SKU）'!$C:$C,$A37,'库存（子SKU）'!AM:AM)</f>
        <v>1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584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55</v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126</v>
      </c>
      <c r="O38">
        <f>SUMIF('库存（子SKU）'!$C:$C,$A38,'库存（子SKU）'!Q:Q)</f>
        <v>410</v>
      </c>
      <c r="P38">
        <f>SUMIF('库存（子SKU）'!$C:$C,$A38,'库存（子SKU）'!R:R)</f>
        <v>776</v>
      </c>
      <c r="Q38">
        <f>SUMIF('库存（子SKU）'!$C:$C,$A38,'库存（子SKU）'!S:S)</f>
        <v>721</v>
      </c>
      <c r="R38">
        <f>SUMIF('库存（子SKU）'!$C:$C,$A38,'库存（子SKU）'!T:T)</f>
        <v>0</v>
      </c>
      <c r="S38">
        <f>SUMIF('库存（子SKU）'!$C:$C,$A38,'库存（子SKU）'!U:U)</f>
        <v>1</v>
      </c>
      <c r="T38">
        <f>SUMIF('库存（子SKU）'!$C:$C,$A38,'库存（子SKU）'!V:V)</f>
        <v>3</v>
      </c>
      <c r="U38">
        <f>SUMIF('库存（子SKU）'!$C:$C,$A38,'库存（子SKU）'!W:W)</f>
        <v>1</v>
      </c>
      <c r="V38" s="23">
        <f t="shared" si="15"/>
        <v>0</v>
      </c>
      <c r="W38" s="23">
        <f t="shared" si="16"/>
        <v>0.0024390243902439</v>
      </c>
      <c r="X38" s="23">
        <f t="shared" si="17"/>
        <v>0.0038659793814433</v>
      </c>
      <c r="Y38" s="23">
        <f t="shared" si="18"/>
        <v>0.0013869625520111</v>
      </c>
      <c r="Z38">
        <f>SUMIF('库存（子SKU）'!$C:$C,$A38,'库存（子SKU）'!AB:AB)</f>
        <v>0</v>
      </c>
      <c r="AA38">
        <f>SUMIF('库存（子SKU）'!$C:$C,$A38,'库存（子SKU）'!AC:AC)</f>
        <v>0.13</v>
      </c>
      <c r="AB38">
        <f>SUMIF('库存（子SKU）'!$C:$C,$A38,'库存（子SKU）'!AD:AD)</f>
        <v>1.06</v>
      </c>
      <c r="AC38">
        <f>SUMIF('库存（子SKU）'!$C:$C,$A38,'库存（子SKU）'!AE:AE)</f>
        <v>0.39</v>
      </c>
      <c r="AD38" s="23" t="str">
        <f t="shared" si="2"/>
        <v/>
      </c>
      <c r="AE38" s="23" t="str">
        <f t="shared" si="3"/>
        <v>无销量广告费为0.13</v>
      </c>
      <c r="AF38" s="23" t="str">
        <f t="shared" si="4"/>
        <v>无销量广告费为1.06</v>
      </c>
      <c r="AG38" s="23" t="str">
        <f t="shared" si="5"/>
        <v>无销量广告费为0.39</v>
      </c>
      <c r="AH38">
        <f>SUMIF('库存（子SKU）'!$C:$C,$A38,'库存（子SKU）'!AJ:AJ)</f>
        <v>2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1</v>
      </c>
      <c r="AL38" s="23">
        <f t="shared" si="6"/>
        <v>0</v>
      </c>
      <c r="AM38" s="23" t="str">
        <f t="shared" si="7"/>
        <v/>
      </c>
      <c r="AN38" s="23" t="str">
        <f t="shared" si="8"/>
        <v/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589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55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592</v>
      </c>
      <c r="B40" s="6">
        <f>SUMIF('库存（子SKU）'!$C:$C,$A40,'库存（子SKU）'!D:D)</f>
        <v>1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>
        <v>5.27</v>
      </c>
      <c r="G40">
        <f>SUMIF('库存（子SKU）'!$C:$C,$A40,'库存（子SKU）'!I:I)</f>
        <v>2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>
        <f t="shared" si="2"/>
        <v>0</v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6</v>
      </c>
      <c r="AI40">
        <f>SUMIF('库存（子SKU）'!$C:$C,$A40,'库存（子SKU）'!AK:AK)</f>
        <v>2</v>
      </c>
      <c r="AJ40">
        <f>SUMIF('库存（子SKU）'!$C:$C,$A40,'库存（子SKU）'!AL:AL)</f>
        <v>1</v>
      </c>
      <c r="AK40">
        <f>SUMIF('库存（子SKU）'!$C:$C,$A40,'库存（子SKU）'!AM:AM)</f>
        <v>2</v>
      </c>
      <c r="AL40" s="23">
        <f t="shared" si="6"/>
        <v>0.166666666666667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8">
        <f t="shared" si="10"/>
        <v>0.142857142857143</v>
      </c>
      <c r="AQ40" s="8">
        <f t="shared" si="11"/>
        <v>8.57142857142857</v>
      </c>
      <c r="AR40" s="8">
        <f t="shared" si="12"/>
        <v>-6.57142857142857</v>
      </c>
      <c r="AS40">
        <f t="shared" si="13"/>
        <v>14</v>
      </c>
      <c r="AT40" s="25">
        <f>IFERROR(时间!$B$4+AS40,"上周无销量")</f>
        <v>43297</v>
      </c>
    </row>
    <row r="41" spans="1:46">
      <c r="A41" t="s">
        <v>599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55</v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15</v>
      </c>
      <c r="L41">
        <f>SUMIF('库存（子SKU）'!$C:$C,$A41,'库存（子SKU）'!N:N)</f>
        <v>0</v>
      </c>
      <c r="M41">
        <f>SUMIF('库存（子SKU）'!$C:$C,$A41,'库存（子SKU）'!O:O)</f>
        <v>15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14</v>
      </c>
      <c r="AI41">
        <f>SUMIF('库存（子SKU）'!$C:$C,$A41,'库存（子SKU）'!AK:AK)</f>
        <v>18</v>
      </c>
      <c r="AJ41">
        <f>SUMIF('库存（子SKU）'!$C:$C,$A41,'库存（子SKU）'!AL:AL)</f>
        <v>8</v>
      </c>
      <c r="AK41">
        <f>SUMIF('库存（子SKU）'!$C:$C,$A41,'库存（子SKU）'!AM:AM)</f>
        <v>13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15</v>
      </c>
      <c r="AS41" t="str">
        <f t="shared" si="13"/>
        <v>库存为15</v>
      </c>
      <c r="AT41" s="25" t="str">
        <f>IFERROR(时间!$B$4+AS41,"上周无销量")</f>
        <v>上周无销量</v>
      </c>
    </row>
    <row r="42" spans="1:46">
      <c r="A42" t="s">
        <v>624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55</v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3</v>
      </c>
      <c r="AJ42">
        <f>SUMIF('库存（子SKU）'!$C:$C,$A42,'库存（子SKU）'!AL:AL)</f>
        <v>4</v>
      </c>
      <c r="AK42">
        <f>SUMIF('库存（子SKU）'!$C:$C,$A42,'库存（子SKU）'!AM:AM)</f>
        <v>2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633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55</v>
      </c>
      <c r="G43">
        <f>SUMIF('库存（子SKU）'!$C:$C,$A43,'库存（子SKU）'!I:I)</f>
        <v>8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8</v>
      </c>
      <c r="L43">
        <f>SUMIF('库存（子SKU）'!$C:$C,$A43,'库存（子SKU）'!N:N)</f>
        <v>0</v>
      </c>
      <c r="M43">
        <f>SUMIF('库存（子SKU）'!$C:$C,$A43,'库存（子SKU）'!O:O)</f>
        <v>8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8</v>
      </c>
      <c r="AS43" t="str">
        <f t="shared" si="13"/>
        <v>库存为8</v>
      </c>
      <c r="AT43" s="25" t="str">
        <f>IFERROR(时间!$B$4+AS43,"上周无销量")</f>
        <v>上周无销量</v>
      </c>
    </row>
    <row r="44" spans="1:46">
      <c r="A44" t="s">
        <v>650</v>
      </c>
      <c r="B44" s="6">
        <f>SUMIF('库存（子SKU）'!$C:$C,$A44,'库存（子SKU）'!D:D)</f>
        <v>1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>
        <v>4.45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9</v>
      </c>
      <c r="N44">
        <f>SUMIF('库存（子SKU）'!$C:$C,$A44,'库存（子SKU）'!P:P)</f>
        <v>512</v>
      </c>
      <c r="O44">
        <f>SUMIF('库存（子SKU）'!$C:$C,$A44,'库存（子SKU）'!Q:Q)</f>
        <v>537</v>
      </c>
      <c r="P44">
        <f>SUMIF('库存（子SKU）'!$C:$C,$A44,'库存（子SKU）'!R:R)</f>
        <v>205</v>
      </c>
      <c r="Q44">
        <f>SUMIF('库存（子SKU）'!$C:$C,$A44,'库存（子SKU）'!S:S)</f>
        <v>254</v>
      </c>
      <c r="R44">
        <f>SUMIF('库存（子SKU）'!$C:$C,$A44,'库存（子SKU）'!T:T)</f>
        <v>2</v>
      </c>
      <c r="S44">
        <f>SUMIF('库存（子SKU）'!$C:$C,$A44,'库存（子SKU）'!U:U)</f>
        <v>1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>
        <f t="shared" si="15"/>
        <v>0.00390625</v>
      </c>
      <c r="W44" s="23">
        <f t="shared" si="16"/>
        <v>0.00186219739292365</v>
      </c>
      <c r="X44" s="23">
        <f t="shared" si="17"/>
        <v>0</v>
      </c>
      <c r="Y44" s="23">
        <f t="shared" si="18"/>
        <v>0</v>
      </c>
      <c r="Z44">
        <f>SUMIF('库存（子SKU）'!$C:$C,$A44,'库存（子SKU）'!AB:AB)</f>
        <v>0.8</v>
      </c>
      <c r="AA44">
        <f>SUMIF('库存（子SKU）'!$C:$C,$A44,'库存（子SKU）'!AC:AC)</f>
        <v>0.27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0.179775280898876</v>
      </c>
      <c r="AE44" s="23" t="str">
        <f t="shared" si="3"/>
        <v>无销量广告费为0.27</v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4</v>
      </c>
      <c r="AI44">
        <f>SUMIF('库存（子SKU）'!$C:$C,$A44,'库存（子SKU）'!AK:AK)</f>
        <v>4</v>
      </c>
      <c r="AJ44">
        <f>SUMIF('库存（子SKU）'!$C:$C,$A44,'库存（子SKU）'!AL:AL)</f>
        <v>1</v>
      </c>
      <c r="AK44">
        <f>SUMIF('库存（子SKU）'!$C:$C,$A44,'库存（子SKU）'!AM:AM)</f>
        <v>2</v>
      </c>
      <c r="AL44" s="23">
        <f t="shared" si="6"/>
        <v>0.25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0.142857142857143</v>
      </c>
      <c r="AQ44" s="8">
        <f t="shared" si="11"/>
        <v>8.57142857142857</v>
      </c>
      <c r="AR44" s="8">
        <f t="shared" si="12"/>
        <v>1.42857142857143</v>
      </c>
      <c r="AS44">
        <f t="shared" si="13"/>
        <v>70</v>
      </c>
      <c r="AT44" s="25">
        <f>IFERROR(时间!$B$4+AS44,"上周无销量")</f>
        <v>43353</v>
      </c>
    </row>
    <row r="45" spans="1:46">
      <c r="A45" t="s">
        <v>663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55</v>
      </c>
      <c r="G45">
        <f>SUMIF('库存（子SKU）'!$C:$C,$A45,'库存（子SKU）'!I:I)</f>
        <v>23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23</v>
      </c>
      <c r="L45">
        <f>SUMIF('库存（子SKU）'!$C:$C,$A45,'库存（子SKU）'!N:N)</f>
        <v>0</v>
      </c>
      <c r="M45">
        <f>SUMIF('库存（子SKU）'!$C:$C,$A45,'库存（子SKU）'!O:O)</f>
        <v>23</v>
      </c>
      <c r="N45">
        <f>SUMIF('库存（子SKU）'!$C:$C,$A45,'库存（子SKU）'!P:P)</f>
        <v>2382</v>
      </c>
      <c r="O45">
        <f>SUMIF('库存（子SKU）'!$C:$C,$A45,'库存（子SKU）'!Q:Q)</f>
        <v>2396</v>
      </c>
      <c r="P45">
        <f>SUMIF('库存（子SKU）'!$C:$C,$A45,'库存（子SKU）'!R:R)</f>
        <v>2270</v>
      </c>
      <c r="Q45">
        <f>SUMIF('库存（子SKU）'!$C:$C,$A45,'库存（子SKU）'!S:S)</f>
        <v>2939</v>
      </c>
      <c r="R45">
        <f>SUMIF('库存（子SKU）'!$C:$C,$A45,'库存（子SKU）'!T:T)</f>
        <v>7</v>
      </c>
      <c r="S45">
        <f>SUMIF('库存（子SKU）'!$C:$C,$A45,'库存（子SKU）'!U:U)</f>
        <v>12</v>
      </c>
      <c r="T45">
        <f>SUMIF('库存（子SKU）'!$C:$C,$A45,'库存（子SKU）'!V:V)</f>
        <v>7</v>
      </c>
      <c r="U45">
        <f>SUMIF('库存（子SKU）'!$C:$C,$A45,'库存（子SKU）'!W:W)</f>
        <v>4</v>
      </c>
      <c r="V45" s="23">
        <f t="shared" si="15"/>
        <v>0.00293870696893367</v>
      </c>
      <c r="W45" s="23">
        <f t="shared" si="16"/>
        <v>0.00500834724540901</v>
      </c>
      <c r="X45" s="23">
        <f t="shared" si="17"/>
        <v>0.00308370044052863</v>
      </c>
      <c r="Y45" s="23">
        <f t="shared" si="18"/>
        <v>0.00136100714528751</v>
      </c>
      <c r="Z45">
        <f>SUMIF('库存（子SKU）'!$C:$C,$A45,'库存（子SKU）'!AB:AB)</f>
        <v>2.1</v>
      </c>
      <c r="AA45">
        <f>SUMIF('库存（子SKU）'!$C:$C,$A45,'库存（子SKU）'!AC:AC)</f>
        <v>3.14</v>
      </c>
      <c r="AB45">
        <f>SUMIF('库存（子SKU）'!$C:$C,$A45,'库存（子SKU）'!AD:AD)</f>
        <v>2.57</v>
      </c>
      <c r="AC45">
        <f>SUMIF('库存（子SKU）'!$C:$C,$A45,'库存（子SKU）'!AE:AE)</f>
        <v>1.16</v>
      </c>
      <c r="AD45" s="23" t="str">
        <f t="shared" si="2"/>
        <v>无销量广告费为2.1</v>
      </c>
      <c r="AE45" s="23" t="str">
        <f t="shared" si="3"/>
        <v>无销量广告费为3.14</v>
      </c>
      <c r="AF45" s="23" t="str">
        <f t="shared" si="4"/>
        <v>无销量广告费为2.57</v>
      </c>
      <c r="AG45" s="23" t="str">
        <f t="shared" si="5"/>
        <v>无销量广告费为1.16</v>
      </c>
      <c r="AH45">
        <f>SUMIF('库存（子SKU）'!$C:$C,$A45,'库存（子SKU）'!AJ:AJ)</f>
        <v>13</v>
      </c>
      <c r="AI45">
        <f>SUMIF('库存（子SKU）'!$C:$C,$A45,'库存（子SKU）'!AK:AK)</f>
        <v>9</v>
      </c>
      <c r="AJ45">
        <f>SUMIF('库存（子SKU）'!$C:$C,$A45,'库存（子SKU）'!AL:AL)</f>
        <v>14</v>
      </c>
      <c r="AK45">
        <f>SUMIF('库存（子SKU）'!$C:$C,$A45,'库存（子SKU）'!AM:AM)</f>
        <v>5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23</v>
      </c>
      <c r="AS45" t="str">
        <f t="shared" si="13"/>
        <v>库存为23</v>
      </c>
      <c r="AT45" s="25" t="str">
        <f>IFERROR(时间!$B$4+AS45,"上周无销量")</f>
        <v>上周无销量</v>
      </c>
    </row>
    <row r="46" spans="1:46">
      <c r="A46" t="s">
        <v>686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55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5" t="str">
        <f>IFERROR(时间!$B$4+AS46,"上周无销量")</f>
        <v>上周无销量</v>
      </c>
    </row>
    <row r="47" spans="1:46">
      <c r="A47" t="s">
        <v>691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55</v>
      </c>
      <c r="G47">
        <f>SUMIF('库存（子SKU）'!$C:$C,$A47,'库存（子SKU）'!I:I)</f>
        <v>3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3</v>
      </c>
      <c r="L47">
        <f>SUMIF('库存（子SKU）'!$C:$C,$A47,'库存（子SKU）'!N:N)</f>
        <v>0</v>
      </c>
      <c r="M47">
        <f>SUMIF('库存（子SKU）'!$C:$C,$A47,'库存（子SKU）'!O:O)</f>
        <v>3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2</v>
      </c>
      <c r="AI47">
        <f>SUMIF('库存（子SKU）'!$C:$C,$A47,'库存（子SKU）'!AK:AK)</f>
        <v>0</v>
      </c>
      <c r="AJ47">
        <f>SUMIF('库存（子SKU）'!$C:$C,$A47,'库存（子SKU）'!AL:AL)</f>
        <v>3</v>
      </c>
      <c r="AK47">
        <f>SUMIF('库存（子SKU）'!$C:$C,$A47,'库存（子SKU）'!AM:AM)</f>
        <v>3</v>
      </c>
      <c r="AL47" s="23">
        <f t="shared" si="6"/>
        <v>0</v>
      </c>
      <c r="AM47" s="23" t="str">
        <f t="shared" si="7"/>
        <v/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3</v>
      </c>
      <c r="AS47" t="str">
        <f t="shared" si="13"/>
        <v>库存为3</v>
      </c>
      <c r="AT47" s="25" t="str">
        <f>IFERROR(时间!$B$4+AS47,"上周无销量")</f>
        <v>上周无销量</v>
      </c>
    </row>
    <row r="48" spans="1:46">
      <c r="A48" t="s">
        <v>700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55</v>
      </c>
      <c r="G48">
        <f>SUMIF('库存（子SKU）'!$C:$C,$A48,'库存（子SKU）'!I:I)</f>
        <v>10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10</v>
      </c>
      <c r="L48">
        <f>SUMIF('库存（子SKU）'!$C:$C,$A48,'库存（子SKU）'!N:N)</f>
        <v>0</v>
      </c>
      <c r="M48">
        <f>SUMIF('库存（子SKU）'!$C:$C,$A48,'库存（子SKU）'!O:O)</f>
        <v>10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11</v>
      </c>
      <c r="AI48">
        <f>SUMIF('库存（子SKU）'!$C:$C,$A48,'库存（子SKU）'!AK:AK)</f>
        <v>4</v>
      </c>
      <c r="AJ48">
        <f>SUMIF('库存（子SKU）'!$C:$C,$A48,'库存（子SKU）'!AL:AL)</f>
        <v>7</v>
      </c>
      <c r="AK48">
        <f>SUMIF('库存（子SKU）'!$C:$C,$A48,'库存（子SKU）'!AM:AM)</f>
        <v>4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10</v>
      </c>
      <c r="AS48" t="str">
        <f t="shared" si="13"/>
        <v>库存为10</v>
      </c>
      <c r="AT48" s="25" t="str">
        <f>IFERROR(时间!$B$4+AS48,"上周无销量")</f>
        <v>上周无销量</v>
      </c>
    </row>
    <row r="49" spans="1:46">
      <c r="A49" t="s">
        <v>719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55</v>
      </c>
      <c r="G49">
        <f>SUMIF('库存（子SKU）'!$C:$C,$A49,'库存（子SKU）'!I:I)</f>
        <v>41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41</v>
      </c>
      <c r="L49">
        <f>SUMIF('库存（子SKU）'!$C:$C,$A49,'库存（子SKU）'!N:N)</f>
        <v>0</v>
      </c>
      <c r="M49">
        <f>SUMIF('库存（子SKU）'!$C:$C,$A49,'库存（子SKU）'!O:O)</f>
        <v>41</v>
      </c>
      <c r="N49">
        <f>SUMIF('库存（子SKU）'!$C:$C,$A49,'库存（子SKU）'!P:P)</f>
        <v>316</v>
      </c>
      <c r="O49">
        <f>SUMIF('库存（子SKU）'!$C:$C,$A49,'库存（子SKU）'!Q:Q)</f>
        <v>931</v>
      </c>
      <c r="P49">
        <f>SUMIF('库存（子SKU）'!$C:$C,$A49,'库存（子SKU）'!R:R)</f>
        <v>1163</v>
      </c>
      <c r="Q49">
        <f>SUMIF('库存（子SKU）'!$C:$C,$A49,'库存（子SKU）'!S:S)</f>
        <v>1252</v>
      </c>
      <c r="R49">
        <f>SUMIF('库存（子SKU）'!$C:$C,$A49,'库存（子SKU）'!T:T)</f>
        <v>1</v>
      </c>
      <c r="S49">
        <f>SUMIF('库存（子SKU）'!$C:$C,$A49,'库存（子SKU）'!U:U)</f>
        <v>3</v>
      </c>
      <c r="T49">
        <f>SUMIF('库存（子SKU）'!$C:$C,$A49,'库存（子SKU）'!V:V)</f>
        <v>5</v>
      </c>
      <c r="U49">
        <f>SUMIF('库存（子SKU）'!$C:$C,$A49,'库存（子SKU）'!W:W)</f>
        <v>6</v>
      </c>
      <c r="V49" s="23">
        <f t="shared" si="15"/>
        <v>0.00316455696202532</v>
      </c>
      <c r="W49" s="23">
        <f t="shared" si="16"/>
        <v>0.00322234156820623</v>
      </c>
      <c r="X49" s="23">
        <f t="shared" si="17"/>
        <v>0.00429922613929493</v>
      </c>
      <c r="Y49" s="23">
        <f t="shared" si="18"/>
        <v>0.00479233226837061</v>
      </c>
      <c r="Z49">
        <f>SUMIF('库存（子SKU）'!$C:$C,$A49,'库存（子SKU）'!AB:AB)</f>
        <v>0.04</v>
      </c>
      <c r="AA49">
        <f>SUMIF('库存（子SKU）'!$C:$C,$A49,'库存（子SKU）'!AC:AC)</f>
        <v>1.22</v>
      </c>
      <c r="AB49">
        <f>SUMIF('库存（子SKU）'!$C:$C,$A49,'库存（子SKU）'!AD:AD)</f>
        <v>1.15</v>
      </c>
      <c r="AC49">
        <f>SUMIF('库存（子SKU）'!$C:$C,$A49,'库存（子SKU）'!AE:AE)</f>
        <v>1.68</v>
      </c>
      <c r="AD49" s="23" t="str">
        <f t="shared" si="2"/>
        <v>无销量广告费为0.04</v>
      </c>
      <c r="AE49" s="23" t="str">
        <f t="shared" si="3"/>
        <v>无销量广告费为1.22</v>
      </c>
      <c r="AF49" s="23" t="str">
        <f t="shared" si="4"/>
        <v>无销量广告费为1.15</v>
      </c>
      <c r="AG49" s="23" t="str">
        <f t="shared" si="5"/>
        <v>无销量广告费为1.68</v>
      </c>
      <c r="AH49">
        <f>SUMIF('库存（子SKU）'!$C:$C,$A49,'库存（子SKU）'!AJ:AJ)</f>
        <v>24</v>
      </c>
      <c r="AI49">
        <f>SUMIF('库存（子SKU）'!$C:$C,$A49,'库存（子SKU）'!AK:AK)</f>
        <v>13</v>
      </c>
      <c r="AJ49">
        <f>SUMIF('库存（子SKU）'!$C:$C,$A49,'库存（子SKU）'!AL:AL)</f>
        <v>15</v>
      </c>
      <c r="AK49">
        <f>SUMIF('库存（子SKU）'!$C:$C,$A49,'库存（子SKU）'!AM:AM)</f>
        <v>19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41</v>
      </c>
      <c r="AS49" t="str">
        <f t="shared" si="13"/>
        <v>库存为41</v>
      </c>
      <c r="AT49" s="25" t="str">
        <f>IFERROR(时间!$B$4+AS49,"上周无销量")</f>
        <v>上周无销量</v>
      </c>
    </row>
    <row r="50" spans="1:46">
      <c r="A50" t="s">
        <v>752</v>
      </c>
      <c r="B50" s="6">
        <f>SUMIF('库存（子SKU）'!$C:$C,$A50,'库存（子SKU）'!D:D)</f>
        <v>0</v>
      </c>
      <c r="C50" s="6">
        <f>SUMIF('库存（子SKU）'!$C:$C,$A50,'库存（子SKU）'!E:E)</f>
        <v>1</v>
      </c>
      <c r="D50" s="6">
        <f>SUMIF('库存（子SKU）'!$C:$C,$A50,'库存（子SKU）'!F:F)</f>
        <v>0</v>
      </c>
      <c r="E50" s="6">
        <f>SUMIF('库存（子SKU）'!$C:$C,$A50,'库存（子SKU）'!G:G)</f>
        <v>2</v>
      </c>
      <c r="F50" s="7">
        <v>13.5666666666667</v>
      </c>
      <c r="G50">
        <f>SUMIF('库存（子SKU）'!$C:$C,$A50,'库存（子SKU）'!I:I)</f>
        <v>287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287</v>
      </c>
      <c r="L50">
        <f>SUMIF('库存（子SKU）'!$C:$C,$A50,'库存（子SKU）'!N:N)</f>
        <v>0</v>
      </c>
      <c r="M50">
        <f>SUMIF('库存（子SKU）'!$C:$C,$A50,'库存（子SKU）'!O:O)</f>
        <v>286</v>
      </c>
      <c r="N50">
        <f>SUMIF('库存（子SKU）'!$C:$C,$A50,'库存（子SKU）'!P:P)</f>
        <v>4080</v>
      </c>
      <c r="O50">
        <f>SUMIF('库存（子SKU）'!$C:$C,$A50,'库存（子SKU）'!Q:Q)</f>
        <v>3639</v>
      </c>
      <c r="P50">
        <f>SUMIF('库存（子SKU）'!$C:$C,$A50,'库存（子SKU）'!R:R)</f>
        <v>3196</v>
      </c>
      <c r="Q50">
        <f>SUMIF('库存（子SKU）'!$C:$C,$A50,'库存（子SKU）'!S:S)</f>
        <v>3414</v>
      </c>
      <c r="R50">
        <f>SUMIF('库存（子SKU）'!$C:$C,$A50,'库存（子SKU）'!T:T)</f>
        <v>22</v>
      </c>
      <c r="S50">
        <f>SUMIF('库存（子SKU）'!$C:$C,$A50,'库存（子SKU）'!U:U)</f>
        <v>24</v>
      </c>
      <c r="T50">
        <f>SUMIF('库存（子SKU）'!$C:$C,$A50,'库存（子SKU）'!V:V)</f>
        <v>26</v>
      </c>
      <c r="U50">
        <f>SUMIF('库存（子SKU）'!$C:$C,$A50,'库存（子SKU）'!W:W)</f>
        <v>25</v>
      </c>
      <c r="V50" s="23">
        <f t="shared" si="15"/>
        <v>0.0053921568627451</v>
      </c>
      <c r="W50" s="23">
        <f t="shared" si="16"/>
        <v>0.00659521846661171</v>
      </c>
      <c r="X50" s="23">
        <f t="shared" si="17"/>
        <v>0.0081351689612015</v>
      </c>
      <c r="Y50" s="23">
        <f t="shared" si="18"/>
        <v>0.0073227885178676</v>
      </c>
      <c r="Z50">
        <f>SUMIF('库存（子SKU）'!$C:$C,$A50,'库存（子SKU）'!AB:AB)</f>
        <v>6.65</v>
      </c>
      <c r="AA50">
        <f>SUMIF('库存（子SKU）'!$C:$C,$A50,'库存（子SKU）'!AC:AC)</f>
        <v>7.14</v>
      </c>
      <c r="AB50">
        <f>SUMIF('库存（子SKU）'!$C:$C,$A50,'库存（子SKU）'!AD:AD)</f>
        <v>8.59</v>
      </c>
      <c r="AC50">
        <f>SUMIF('库存（子SKU）'!$C:$C,$A50,'库存（子SKU）'!AE:AE)</f>
        <v>8.96</v>
      </c>
      <c r="AD50" s="23" t="str">
        <f t="shared" si="2"/>
        <v>无销量广告费为6.65</v>
      </c>
      <c r="AE50" s="23">
        <f t="shared" si="3"/>
        <v>0.526289926289925</v>
      </c>
      <c r="AF50" s="23" t="str">
        <f t="shared" si="4"/>
        <v>无销量广告费为8.59</v>
      </c>
      <c r="AG50" s="23">
        <f t="shared" si="5"/>
        <v>0.330221130221129</v>
      </c>
      <c r="AH50">
        <f>SUMIF('库存（子SKU）'!$C:$C,$A50,'库存（子SKU）'!AJ:AJ)</f>
        <v>57</v>
      </c>
      <c r="AI50">
        <f>SUMIF('库存（子SKU）'!$C:$C,$A50,'库存（子SKU）'!AK:AK)</f>
        <v>43</v>
      </c>
      <c r="AJ50">
        <f>SUMIF('库存（子SKU）'!$C:$C,$A50,'库存（子SKU）'!AL:AL)</f>
        <v>29</v>
      </c>
      <c r="AK50">
        <f>SUMIF('库存（子SKU）'!$C:$C,$A50,'库存（子SKU）'!AM:AM)</f>
        <v>25</v>
      </c>
      <c r="AL50" s="23">
        <f t="shared" si="6"/>
        <v>0</v>
      </c>
      <c r="AM50" s="23">
        <f t="shared" si="7"/>
        <v>0.0232558139534884</v>
      </c>
      <c r="AN50" s="23">
        <f t="shared" si="8"/>
        <v>0</v>
      </c>
      <c r="AO50" s="23">
        <f t="shared" si="9"/>
        <v>0.08</v>
      </c>
      <c r="AP50" s="8">
        <f t="shared" si="10"/>
        <v>0</v>
      </c>
      <c r="AQ50" s="8">
        <f t="shared" si="11"/>
        <v>0</v>
      </c>
      <c r="AR50" s="8">
        <f t="shared" si="12"/>
        <v>287</v>
      </c>
      <c r="AS50" t="str">
        <f t="shared" si="13"/>
        <v>库存为287</v>
      </c>
      <c r="AT50" s="25" t="str">
        <f>IFERROR(时间!$B$4+AS50,"上周无销量")</f>
        <v>上周无销量</v>
      </c>
    </row>
    <row r="51" spans="1:46">
      <c r="A51" t="s">
        <v>828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55</v>
      </c>
      <c r="G51">
        <f>SUMIF('库存（子SKU）'!$C:$C,$A51,'库存（子SKU）'!I:I)</f>
        <v>22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22</v>
      </c>
      <c r="L51">
        <f>SUMIF('库存（子SKU）'!$C:$C,$A51,'库存（子SKU）'!N:N)</f>
        <v>0</v>
      </c>
      <c r="M51">
        <f>SUMIF('库存（子SKU）'!$C:$C,$A51,'库存（子SKU）'!O:O)</f>
        <v>22</v>
      </c>
      <c r="N51">
        <f>SUMIF('库存（子SKU）'!$C:$C,$A51,'库存（子SKU）'!P:P)</f>
        <v>1721</v>
      </c>
      <c r="O51">
        <f>SUMIF('库存（子SKU）'!$C:$C,$A51,'库存（子SKU）'!Q:Q)</f>
        <v>1555</v>
      </c>
      <c r="P51">
        <f>SUMIF('库存（子SKU）'!$C:$C,$A51,'库存（子SKU）'!R:R)</f>
        <v>1157</v>
      </c>
      <c r="Q51">
        <f>SUMIF('库存（子SKU）'!$C:$C,$A51,'库存（子SKU）'!S:S)</f>
        <v>1174</v>
      </c>
      <c r="R51">
        <f>SUMIF('库存（子SKU）'!$C:$C,$A51,'库存（子SKU）'!T:T)</f>
        <v>7</v>
      </c>
      <c r="S51">
        <f>SUMIF('库存（子SKU）'!$C:$C,$A51,'库存（子SKU）'!U:U)</f>
        <v>7</v>
      </c>
      <c r="T51">
        <f>SUMIF('库存（子SKU）'!$C:$C,$A51,'库存（子SKU）'!V:V)</f>
        <v>5</v>
      </c>
      <c r="U51">
        <f>SUMIF('库存（子SKU）'!$C:$C,$A51,'库存（子SKU）'!W:W)</f>
        <v>10</v>
      </c>
      <c r="V51" s="23">
        <f t="shared" si="15"/>
        <v>0.00406740267286461</v>
      </c>
      <c r="W51" s="23">
        <f t="shared" si="16"/>
        <v>0.0045016077170418</v>
      </c>
      <c r="X51" s="23">
        <f t="shared" si="17"/>
        <v>0.00432152117545376</v>
      </c>
      <c r="Y51" s="23">
        <f t="shared" si="18"/>
        <v>0.00851788756388416</v>
      </c>
      <c r="Z51">
        <f>SUMIF('库存（子SKU）'!$C:$C,$A51,'库存（子SKU）'!AB:AB)</f>
        <v>1.9</v>
      </c>
      <c r="AA51">
        <f>SUMIF('库存（子SKU）'!$C:$C,$A51,'库存（子SKU）'!AC:AC)</f>
        <v>1.58</v>
      </c>
      <c r="AB51">
        <f>SUMIF('库存（子SKU）'!$C:$C,$A51,'库存（子SKU）'!AD:AD)</f>
        <v>1.5</v>
      </c>
      <c r="AC51">
        <f>SUMIF('库存（子SKU）'!$C:$C,$A51,'库存（子SKU）'!AE:AE)</f>
        <v>2.33</v>
      </c>
      <c r="AD51" s="23" t="str">
        <f t="shared" si="2"/>
        <v>无销量广告费为1.9</v>
      </c>
      <c r="AE51" s="23" t="str">
        <f t="shared" si="3"/>
        <v>无销量广告费为1.58</v>
      </c>
      <c r="AF51" s="23" t="str">
        <f t="shared" si="4"/>
        <v>无销量广告费为1.5</v>
      </c>
      <c r="AG51" s="23" t="str">
        <f t="shared" si="5"/>
        <v>无销量广告费为2.33</v>
      </c>
      <c r="AH51">
        <f>SUMIF('库存（子SKU）'!$C:$C,$A51,'库存（子SKU）'!AJ:AJ)</f>
        <v>17</v>
      </c>
      <c r="AI51">
        <f>SUMIF('库存（子SKU）'!$C:$C,$A51,'库存（子SKU）'!AK:AK)</f>
        <v>11</v>
      </c>
      <c r="AJ51">
        <f>SUMIF('库存（子SKU）'!$C:$C,$A51,'库存（子SKU）'!AL:AL)</f>
        <v>8</v>
      </c>
      <c r="AK51">
        <f>SUMIF('库存（子SKU）'!$C:$C,$A51,'库存（子SKU）'!AM:AM)</f>
        <v>16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22</v>
      </c>
      <c r="AS51" t="str">
        <f t="shared" si="13"/>
        <v>库存为22</v>
      </c>
      <c r="AT51" s="25" t="str">
        <f>IFERROR(时间!$B$4+AS51,"上周无销量")</f>
        <v>上周无销量</v>
      </c>
    </row>
    <row r="52" spans="1:46">
      <c r="A52" t="s">
        <v>848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55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8">
        <f t="shared" si="10"/>
        <v>0</v>
      </c>
      <c r="AQ52" s="8">
        <f t="shared" si="11"/>
        <v>0</v>
      </c>
      <c r="AR52" s="8">
        <f t="shared" si="12"/>
        <v>0</v>
      </c>
      <c r="AS52" t="str">
        <f t="shared" si="13"/>
        <v>库存为0</v>
      </c>
      <c r="AT52" s="25" t="str">
        <f>IFERROR(时间!$B$4+AS52,"上周无销量")</f>
        <v>上周无销量</v>
      </c>
    </row>
    <row r="53" spans="1:46">
      <c r="A53" t="s">
        <v>851</v>
      </c>
      <c r="B53" s="6">
        <f>SUMIF('库存（子SKU）'!$C:$C,$A53,'库存（子SKU）'!D:D)</f>
        <v>1</v>
      </c>
      <c r="C53" s="6">
        <f>SUMIF('库存（子SKU）'!$C:$C,$A53,'库存（子SKU）'!E:E)</f>
        <v>1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>
        <v>5.59</v>
      </c>
      <c r="G53">
        <f>SUMIF('库存（子SKU）'!$C:$C,$A53,'库存（子SKU）'!I:I)</f>
        <v>71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71</v>
      </c>
      <c r="L53">
        <f>SUMIF('库存（子SKU）'!$C:$C,$A53,'库存（子SKU）'!N:N)</f>
        <v>0</v>
      </c>
      <c r="M53">
        <f>SUMIF('库存（子SKU）'!$C:$C,$A53,'库存（子SKU）'!O:O)</f>
        <v>71</v>
      </c>
      <c r="N53">
        <f>SUMIF('库存（子SKU）'!$C:$C,$A53,'库存（子SKU）'!P:P)</f>
        <v>571</v>
      </c>
      <c r="O53">
        <f>SUMIF('库存（子SKU）'!$C:$C,$A53,'库存（子SKU）'!Q:Q)</f>
        <v>408</v>
      </c>
      <c r="P53">
        <f>SUMIF('库存（子SKU）'!$C:$C,$A53,'库存（子SKU）'!R:R)</f>
        <v>912</v>
      </c>
      <c r="Q53">
        <f>SUMIF('库存（子SKU）'!$C:$C,$A53,'库存（子SKU）'!S:S)</f>
        <v>878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6</v>
      </c>
      <c r="U53">
        <f>SUMIF('库存（子SKU）'!$C:$C,$A53,'库存（子SKU）'!W:W)</f>
        <v>3</v>
      </c>
      <c r="V53" s="23">
        <f t="shared" si="15"/>
        <v>0</v>
      </c>
      <c r="W53" s="23">
        <f t="shared" si="16"/>
        <v>0</v>
      </c>
      <c r="X53" s="23">
        <f t="shared" si="17"/>
        <v>0.00657894736842105</v>
      </c>
      <c r="Y53" s="23">
        <f t="shared" si="18"/>
        <v>0.00341685649202733</v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2.41</v>
      </c>
      <c r="AC53">
        <f>SUMIF('库存（子SKU）'!$C:$C,$A53,'库存（子SKU）'!AE:AE)</f>
        <v>0.98</v>
      </c>
      <c r="AD53" s="23">
        <f t="shared" si="2"/>
        <v>0</v>
      </c>
      <c r="AE53" s="23">
        <f t="shared" si="3"/>
        <v>0</v>
      </c>
      <c r="AF53" s="23" t="str">
        <f t="shared" si="4"/>
        <v>无销量广告费为2.41</v>
      </c>
      <c r="AG53" s="23" t="str">
        <f t="shared" si="5"/>
        <v>无销量广告费为0.98</v>
      </c>
      <c r="AH53">
        <f>SUMIF('库存（子SKU）'!$C:$C,$A53,'库存（子SKU）'!AJ:AJ)</f>
        <v>2</v>
      </c>
      <c r="AI53">
        <f>SUMIF('库存（子SKU）'!$C:$C,$A53,'库存（子SKU）'!AK:AK)</f>
        <v>9</v>
      </c>
      <c r="AJ53">
        <f>SUMIF('库存（子SKU）'!$C:$C,$A53,'库存（子SKU）'!AL:AL)</f>
        <v>3</v>
      </c>
      <c r="AK53">
        <f>SUMIF('库存（子SKU）'!$C:$C,$A53,'库存（子SKU）'!AM:AM)</f>
        <v>2</v>
      </c>
      <c r="AL53" s="23">
        <f t="shared" si="6"/>
        <v>0.5</v>
      </c>
      <c r="AM53" s="23">
        <f t="shared" si="7"/>
        <v>0.111111111111111</v>
      </c>
      <c r="AN53" s="23">
        <f t="shared" si="8"/>
        <v>0</v>
      </c>
      <c r="AO53" s="23">
        <f t="shared" si="9"/>
        <v>0</v>
      </c>
      <c r="AP53" s="8">
        <f t="shared" si="10"/>
        <v>0.142857142857143</v>
      </c>
      <c r="AQ53" s="8">
        <f t="shared" si="11"/>
        <v>8.57142857142857</v>
      </c>
      <c r="AR53" s="8">
        <f t="shared" si="12"/>
        <v>62.4285714285714</v>
      </c>
      <c r="AS53">
        <f t="shared" si="13"/>
        <v>497</v>
      </c>
      <c r="AT53" s="25">
        <f>IFERROR(时间!$B$4+AS53,"上周无销量")</f>
        <v>43780</v>
      </c>
    </row>
    <row r="54" spans="1:46">
      <c r="A54" t="s">
        <v>855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1</v>
      </c>
      <c r="E54" s="6">
        <f>SUMIF('库存（子SKU）'!$C:$C,$A54,'库存（子SKU）'!G:G)</f>
        <v>0</v>
      </c>
      <c r="F54" s="7">
        <v>4.71</v>
      </c>
      <c r="G54">
        <f>SUMIF('库存（子SKU）'!$C:$C,$A54,'库存（子SKU）'!I:I)</f>
        <v>57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57</v>
      </c>
      <c r="L54">
        <f>SUMIF('库存（子SKU）'!$C:$C,$A54,'库存（子SKU）'!N:N)</f>
        <v>0</v>
      </c>
      <c r="M54">
        <f>SUMIF('库存（子SKU）'!$C:$C,$A54,'库存（子SKU）'!O:O)</f>
        <v>57</v>
      </c>
      <c r="N54">
        <f>SUMIF('库存（子SKU）'!$C:$C,$A54,'库存（子SKU）'!P:P)</f>
        <v>550</v>
      </c>
      <c r="O54">
        <f>SUMIF('库存（子SKU）'!$C:$C,$A54,'库存（子SKU）'!Q:Q)</f>
        <v>1232</v>
      </c>
      <c r="P54">
        <f>SUMIF('库存（子SKU）'!$C:$C,$A54,'库存（子SKU）'!R:R)</f>
        <v>5273</v>
      </c>
      <c r="Q54">
        <f>SUMIF('库存（子SKU）'!$C:$C,$A54,'库存（子SKU）'!S:S)</f>
        <v>5230</v>
      </c>
      <c r="R54">
        <f>SUMIF('库存（子SKU）'!$C:$C,$A54,'库存（子SKU）'!T:T)</f>
        <v>0</v>
      </c>
      <c r="S54">
        <f>SUMIF('库存（子SKU）'!$C:$C,$A54,'库存（子SKU）'!U:U)</f>
        <v>3</v>
      </c>
      <c r="T54">
        <f>SUMIF('库存（子SKU）'!$C:$C,$A54,'库存（子SKU）'!V:V)</f>
        <v>7</v>
      </c>
      <c r="U54">
        <f>SUMIF('库存（子SKU）'!$C:$C,$A54,'库存（子SKU）'!W:W)</f>
        <v>11</v>
      </c>
      <c r="V54" s="23">
        <f t="shared" si="15"/>
        <v>0</v>
      </c>
      <c r="W54" s="23">
        <f t="shared" si="16"/>
        <v>0.00243506493506494</v>
      </c>
      <c r="X54" s="23">
        <f t="shared" si="17"/>
        <v>0.00132751754219609</v>
      </c>
      <c r="Y54" s="23">
        <f t="shared" si="18"/>
        <v>0.00210325047801147</v>
      </c>
      <c r="Z54">
        <f>SUMIF('库存（子SKU）'!$C:$C,$A54,'库存（子SKU）'!AB:AB)</f>
        <v>0</v>
      </c>
      <c r="AA54">
        <f>SUMIF('库存（子SKU）'!$C:$C,$A54,'库存（子SKU）'!AC:AC)</f>
        <v>0.89</v>
      </c>
      <c r="AB54">
        <f>SUMIF('库存（子SKU）'!$C:$C,$A54,'库存（子SKU）'!AD:AD)</f>
        <v>2.58</v>
      </c>
      <c r="AC54">
        <f>SUMIF('库存（子SKU）'!$C:$C,$A54,'库存（子SKU）'!AE:AE)</f>
        <v>4.77</v>
      </c>
      <c r="AD54" s="23" t="str">
        <f t="shared" si="2"/>
        <v/>
      </c>
      <c r="AE54" s="23" t="str">
        <f t="shared" si="3"/>
        <v>无销量广告费为0.89</v>
      </c>
      <c r="AF54" s="23">
        <f t="shared" si="4"/>
        <v>0.547770700636943</v>
      </c>
      <c r="AG54" s="23" t="str">
        <f t="shared" si="5"/>
        <v>无销量广告费为4.77</v>
      </c>
      <c r="AH54">
        <f>SUMIF('库存（子SKU）'!$C:$C,$A54,'库存（子SKU）'!AJ:AJ)</f>
        <v>2</v>
      </c>
      <c r="AI54">
        <f>SUMIF('库存（子SKU）'!$C:$C,$A54,'库存（子SKU）'!AK:AK)</f>
        <v>3</v>
      </c>
      <c r="AJ54">
        <f>SUMIF('库存（子SKU）'!$C:$C,$A54,'库存（子SKU）'!AL:AL)</f>
        <v>5</v>
      </c>
      <c r="AK54">
        <f>SUMIF('库存（子SKU）'!$C:$C,$A54,'库存（子SKU）'!AM:AM)</f>
        <v>5</v>
      </c>
      <c r="AL54" s="23">
        <f t="shared" si="6"/>
        <v>0</v>
      </c>
      <c r="AM54" s="23">
        <f t="shared" si="7"/>
        <v>0</v>
      </c>
      <c r="AN54" s="23">
        <f t="shared" si="8"/>
        <v>0.2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57</v>
      </c>
      <c r="AS54" t="str">
        <f t="shared" si="13"/>
        <v>库存为57</v>
      </c>
      <c r="AT54" s="25" t="str">
        <f>IFERROR(时间!$B$4+AS54,"上周无销量")</f>
        <v>上周无销量</v>
      </c>
    </row>
    <row r="55" spans="1:46">
      <c r="A55" t="s">
        <v>860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55</v>
      </c>
      <c r="G55">
        <f>SUMIF('库存（子SKU）'!$C:$C,$A55,'库存（子SKU）'!I:I)</f>
        <v>33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1</v>
      </c>
      <c r="K55">
        <f t="shared" si="0"/>
        <v>34</v>
      </c>
      <c r="L55">
        <f>SUMIF('库存（子SKU）'!$C:$C,$A55,'库存（子SKU）'!N:N)</f>
        <v>0</v>
      </c>
      <c r="M55">
        <f>SUMIF('库存（子SKU）'!$C:$C,$A55,'库存（子SKU）'!O:O)</f>
        <v>34</v>
      </c>
      <c r="N55">
        <f>SUMIF('库存（子SKU）'!$C:$C,$A55,'库存（子SKU）'!P:P)</f>
        <v>1182</v>
      </c>
      <c r="O55">
        <f>SUMIF('库存（子SKU）'!$C:$C,$A55,'库存（子SKU）'!Q:Q)</f>
        <v>1710</v>
      </c>
      <c r="P55">
        <f>SUMIF('库存（子SKU）'!$C:$C,$A55,'库存（子SKU）'!R:R)</f>
        <v>753</v>
      </c>
      <c r="Q55">
        <f>SUMIF('库存（子SKU）'!$C:$C,$A55,'库存（子SKU）'!S:S)</f>
        <v>711</v>
      </c>
      <c r="R55">
        <f>SUMIF('库存（子SKU）'!$C:$C,$A55,'库存（子SKU）'!T:T)</f>
        <v>0</v>
      </c>
      <c r="S55">
        <f>SUMIF('库存（子SKU）'!$C:$C,$A55,'库存（子SKU）'!U:U)</f>
        <v>3</v>
      </c>
      <c r="T55">
        <f>SUMIF('库存（子SKU）'!$C:$C,$A55,'库存（子SKU）'!V:V)</f>
        <v>1</v>
      </c>
      <c r="U55">
        <f>SUMIF('库存（子SKU）'!$C:$C,$A55,'库存（子SKU）'!W:W)</f>
        <v>0</v>
      </c>
      <c r="V55" s="23">
        <f t="shared" si="15"/>
        <v>0</v>
      </c>
      <c r="W55" s="23">
        <f t="shared" si="16"/>
        <v>0.00175438596491228</v>
      </c>
      <c r="X55" s="23">
        <f t="shared" si="17"/>
        <v>0.00132802124833997</v>
      </c>
      <c r="Y55" s="23">
        <f t="shared" si="18"/>
        <v>0</v>
      </c>
      <c r="Z55">
        <f>SUMIF('库存（子SKU）'!$C:$C,$A55,'库存（子SKU）'!AB:AB)</f>
        <v>0</v>
      </c>
      <c r="AA55">
        <f>SUMIF('库存（子SKU）'!$C:$C,$A55,'库存（子SKU）'!AC:AC)</f>
        <v>1.17</v>
      </c>
      <c r="AB55">
        <f>SUMIF('库存（子SKU）'!$C:$C,$A55,'库存（子SKU）'!AD:AD)</f>
        <v>0.52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>无销量广告费为1.17</v>
      </c>
      <c r="AF55" s="23" t="str">
        <f t="shared" si="4"/>
        <v>无销量广告费为0.52</v>
      </c>
      <c r="AG55" s="23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3</v>
      </c>
      <c r="AJ55">
        <f>SUMIF('库存（子SKU）'!$C:$C,$A55,'库存（子SKU）'!AL:AL)</f>
        <v>1</v>
      </c>
      <c r="AK55">
        <f>SUMIF('库存（子SKU）'!$C:$C,$A55,'库存（子SKU）'!AM:AM)</f>
        <v>2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34</v>
      </c>
      <c r="AS55" t="str">
        <f t="shared" si="13"/>
        <v>库存为34</v>
      </c>
      <c r="AT55" s="25" t="str">
        <f>IFERROR(时间!$B$4+AS55,"上周无销量")</f>
        <v>上周无销量</v>
      </c>
    </row>
    <row r="56" spans="1:46">
      <c r="A56" t="s">
        <v>863</v>
      </c>
      <c r="B56" s="6">
        <f>SUMIF('库存（子SKU）'!$C:$C,$A56,'库存（子SKU）'!D:D)</f>
        <v>3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>
        <v>6.99</v>
      </c>
      <c r="G56">
        <f>SUMIF('库存（子SKU）'!$C:$C,$A56,'库存（子SKU）'!I:I)</f>
        <v>186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186</v>
      </c>
      <c r="L56">
        <f>SUMIF('库存（子SKU）'!$C:$C,$A56,'库存（子SKU）'!N:N)</f>
        <v>0</v>
      </c>
      <c r="M56">
        <f>SUMIF('库存（子SKU）'!$C:$C,$A56,'库存（子SKU）'!O:O)</f>
        <v>189</v>
      </c>
      <c r="N56">
        <f>SUMIF('库存（子SKU）'!$C:$C,$A56,'库存（子SKU）'!P:P)</f>
        <v>20155</v>
      </c>
      <c r="O56">
        <f>SUMIF('库存（子SKU）'!$C:$C,$A56,'库存（子SKU）'!Q:Q)</f>
        <v>16680</v>
      </c>
      <c r="P56">
        <f>SUMIF('库存（子SKU）'!$C:$C,$A56,'库存（子SKU）'!R:R)</f>
        <v>23016</v>
      </c>
      <c r="Q56">
        <f>SUMIF('库存（子SKU）'!$C:$C,$A56,'库存（子SKU）'!S:S)</f>
        <v>24389</v>
      </c>
      <c r="R56">
        <f>SUMIF('库存（子SKU）'!$C:$C,$A56,'库存（子SKU）'!T:T)</f>
        <v>42</v>
      </c>
      <c r="S56">
        <f>SUMIF('库存（子SKU）'!$C:$C,$A56,'库存（子SKU）'!U:U)</f>
        <v>41</v>
      </c>
      <c r="T56">
        <f>SUMIF('库存（子SKU）'!$C:$C,$A56,'库存（子SKU）'!V:V)</f>
        <v>34</v>
      </c>
      <c r="U56">
        <f>SUMIF('库存（子SKU）'!$C:$C,$A56,'库存（子SKU）'!W:W)</f>
        <v>39</v>
      </c>
      <c r="V56" s="23">
        <f t="shared" si="15"/>
        <v>0.00208385016125031</v>
      </c>
      <c r="W56" s="23">
        <f t="shared" si="16"/>
        <v>0.00245803357314149</v>
      </c>
      <c r="X56" s="23">
        <f t="shared" si="17"/>
        <v>0.00147723322905805</v>
      </c>
      <c r="Y56" s="23">
        <f t="shared" si="18"/>
        <v>0.00159908155315921</v>
      </c>
      <c r="Z56">
        <f>SUMIF('库存（子SKU）'!$C:$C,$A56,'库存（子SKU）'!AB:AB)</f>
        <v>15.75</v>
      </c>
      <c r="AA56">
        <f>SUMIF('库存（子SKU）'!$C:$C,$A56,'库存（子SKU）'!AC:AC)</f>
        <v>17.85</v>
      </c>
      <c r="AB56">
        <f>SUMIF('库存（子SKU）'!$C:$C,$A56,'库存（子SKU）'!AD:AD)</f>
        <v>15.61</v>
      </c>
      <c r="AC56">
        <f>SUMIF('库存（子SKU）'!$C:$C,$A56,'库存（子SKU）'!AE:AE)</f>
        <v>16.04</v>
      </c>
      <c r="AD56" s="23">
        <f t="shared" si="2"/>
        <v>0.751072961373391</v>
      </c>
      <c r="AE56" s="23" t="str">
        <f t="shared" si="3"/>
        <v>无销量广告费为17.85</v>
      </c>
      <c r="AF56" s="23" t="str">
        <f t="shared" si="4"/>
        <v>无销量广告费为15.61</v>
      </c>
      <c r="AG56" s="23" t="str">
        <f t="shared" si="5"/>
        <v>无销量广告费为16.04</v>
      </c>
      <c r="AH56">
        <f>SUMIF('库存（子SKU）'!$C:$C,$A56,'库存（子SKU）'!AJ:AJ)</f>
        <v>31</v>
      </c>
      <c r="AI56">
        <f>SUMIF('库存（子SKU）'!$C:$C,$A56,'库存（子SKU）'!AK:AK)</f>
        <v>15</v>
      </c>
      <c r="AJ56">
        <f>SUMIF('库存（子SKU）'!$C:$C,$A56,'库存（子SKU）'!AL:AL)</f>
        <v>15</v>
      </c>
      <c r="AK56">
        <f>SUMIF('库存（子SKU）'!$C:$C,$A56,'库存（子SKU）'!AM:AM)</f>
        <v>26</v>
      </c>
      <c r="AL56" s="23">
        <f t="shared" si="6"/>
        <v>0.0967741935483871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8">
        <f t="shared" si="10"/>
        <v>0.428571428571429</v>
      </c>
      <c r="AQ56" s="8">
        <f t="shared" si="11"/>
        <v>25.7142857142857</v>
      </c>
      <c r="AR56" s="8">
        <f t="shared" si="12"/>
        <v>160.285714285714</v>
      </c>
      <c r="AS56">
        <f t="shared" si="13"/>
        <v>434</v>
      </c>
      <c r="AT56" s="25">
        <f>IFERROR(时间!$B$4+AS56,"上周无销量")</f>
        <v>43717</v>
      </c>
    </row>
    <row r="57" spans="1:46">
      <c r="A57" t="s">
        <v>873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1</v>
      </c>
      <c r="E57" s="6">
        <f>SUMIF('库存（子SKU）'!$C:$C,$A57,'库存（子SKU）'!G:G)</f>
        <v>0</v>
      </c>
      <c r="F57" s="7">
        <v>18.99</v>
      </c>
      <c r="G57">
        <f>SUMIF('库存（子SKU）'!$C:$C,$A57,'库存（子SKU）'!I:I)</f>
        <v>23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23</v>
      </c>
      <c r="L57">
        <f>SUMIF('库存（子SKU）'!$C:$C,$A57,'库存（子SKU）'!N:N)</f>
        <v>0</v>
      </c>
      <c r="M57">
        <f>SUMIF('库存（子SKU）'!$C:$C,$A57,'库存（子SKU）'!O:O)</f>
        <v>20</v>
      </c>
      <c r="N57">
        <f>SUMIF('库存（子SKU）'!$C:$C,$A57,'库存（子SKU）'!P:P)</f>
        <v>2646</v>
      </c>
      <c r="O57">
        <f>SUMIF('库存（子SKU）'!$C:$C,$A57,'库存（子SKU）'!Q:Q)</f>
        <v>1450</v>
      </c>
      <c r="P57">
        <f>SUMIF('库存（子SKU）'!$C:$C,$A57,'库存（子SKU）'!R:R)</f>
        <v>3295</v>
      </c>
      <c r="Q57">
        <f>SUMIF('库存（子SKU）'!$C:$C,$A57,'库存（子SKU）'!S:S)</f>
        <v>7356</v>
      </c>
      <c r="R57">
        <f>SUMIF('库存（子SKU）'!$C:$C,$A57,'库存（子SKU）'!T:T)</f>
        <v>5</v>
      </c>
      <c r="S57">
        <f>SUMIF('库存（子SKU）'!$C:$C,$A57,'库存（子SKU）'!U:U)</f>
        <v>3</v>
      </c>
      <c r="T57">
        <f>SUMIF('库存（子SKU）'!$C:$C,$A57,'库存（子SKU）'!V:V)</f>
        <v>12</v>
      </c>
      <c r="U57">
        <f>SUMIF('库存（子SKU）'!$C:$C,$A57,'库存（子SKU）'!W:W)</f>
        <v>10</v>
      </c>
      <c r="V57" s="23">
        <f t="shared" si="15"/>
        <v>0.0018896447467876</v>
      </c>
      <c r="W57" s="23">
        <f t="shared" si="16"/>
        <v>0.00206896551724138</v>
      </c>
      <c r="X57" s="23">
        <f t="shared" si="17"/>
        <v>0.00364188163884674</v>
      </c>
      <c r="Y57" s="23">
        <f t="shared" si="18"/>
        <v>0.00135943447525829</v>
      </c>
      <c r="Z57">
        <f>SUMIF('库存（子SKU）'!$C:$C,$A57,'库存（子SKU）'!AB:AB)</f>
        <v>1.96</v>
      </c>
      <c r="AA57">
        <f>SUMIF('库存（子SKU）'!$C:$C,$A57,'库存（子SKU）'!AC:AC)</f>
        <v>1.71</v>
      </c>
      <c r="AB57">
        <f>SUMIF('库存（子SKU）'!$C:$C,$A57,'库存（子SKU）'!AD:AD)</f>
        <v>4.42</v>
      </c>
      <c r="AC57">
        <f>SUMIF('库存（子SKU）'!$C:$C,$A57,'库存（子SKU）'!AE:AE)</f>
        <v>3.38</v>
      </c>
      <c r="AD57" s="23" t="str">
        <f t="shared" si="2"/>
        <v>无销量广告费为1.96</v>
      </c>
      <c r="AE57" s="23" t="str">
        <f t="shared" si="3"/>
        <v>无销量广告费为1.71</v>
      </c>
      <c r="AF57" s="23">
        <f t="shared" si="4"/>
        <v>0.232754081095313</v>
      </c>
      <c r="AG57" s="23" t="str">
        <f t="shared" si="5"/>
        <v>无销量广告费为3.38</v>
      </c>
      <c r="AH57">
        <f>SUMIF('库存（子SKU）'!$C:$C,$A57,'库存（子SKU）'!AJ:AJ)</f>
        <v>11</v>
      </c>
      <c r="AI57">
        <f>SUMIF('库存（子SKU）'!$C:$C,$A57,'库存（子SKU）'!AK:AK)</f>
        <v>9</v>
      </c>
      <c r="AJ57">
        <f>SUMIF('库存（子SKU）'!$C:$C,$A57,'库存（子SKU）'!AL:AL)</f>
        <v>10</v>
      </c>
      <c r="AK57">
        <f>SUMIF('库存（子SKU）'!$C:$C,$A57,'库存（子SKU）'!AM:AM)</f>
        <v>5</v>
      </c>
      <c r="AL57" s="23">
        <f t="shared" si="6"/>
        <v>0</v>
      </c>
      <c r="AM57" s="23">
        <f t="shared" si="7"/>
        <v>0</v>
      </c>
      <c r="AN57" s="23">
        <f t="shared" si="8"/>
        <v>0.1</v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23</v>
      </c>
      <c r="AS57" t="str">
        <f t="shared" si="13"/>
        <v>库存为23</v>
      </c>
      <c r="AT57" s="25" t="str">
        <f>IFERROR(时间!$B$4+AS57,"上周无销量")</f>
        <v>上周无销量</v>
      </c>
    </row>
    <row r="58" spans="1:46">
      <c r="A58" t="s">
        <v>885</v>
      </c>
      <c r="B58" s="6">
        <f>SUMIF('库存（子SKU）'!$C:$C,$A58,'库存（子SKU）'!D:D)</f>
        <v>3</v>
      </c>
      <c r="C58" s="6">
        <f>SUMIF('库存（子SKU）'!$C:$C,$A58,'库存（子SKU）'!E:E)</f>
        <v>2</v>
      </c>
      <c r="D58" s="6">
        <f>SUMIF('库存（子SKU）'!$C:$C,$A58,'库存（子SKU）'!F:F)</f>
        <v>1</v>
      </c>
      <c r="E58" s="6">
        <f>SUMIF('库存（子SKU）'!$C:$C,$A58,'库存（子SKU）'!G:G)</f>
        <v>4</v>
      </c>
      <c r="F58" s="7">
        <v>18.99</v>
      </c>
      <c r="G58">
        <f>SUMIF('库存（子SKU）'!$C:$C,$A58,'库存（子SKU）'!I:I)</f>
        <v>71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71</v>
      </c>
      <c r="L58">
        <f>SUMIF('库存（子SKU）'!$C:$C,$A58,'库存（子SKU）'!N:N)</f>
        <v>0</v>
      </c>
      <c r="M58">
        <f>SUMIF('库存（子SKU）'!$C:$C,$A58,'库存（子SKU）'!O:O)</f>
        <v>73</v>
      </c>
      <c r="N58">
        <f>SUMIF('库存（子SKU）'!$C:$C,$A58,'库存（子SKU）'!P:P)</f>
        <v>15392</v>
      </c>
      <c r="O58">
        <f>SUMIF('库存（子SKU）'!$C:$C,$A58,'库存（子SKU）'!Q:Q)</f>
        <v>14085</v>
      </c>
      <c r="P58">
        <f>SUMIF('库存（子SKU）'!$C:$C,$A58,'库存（子SKU）'!R:R)</f>
        <v>13077</v>
      </c>
      <c r="Q58">
        <f>SUMIF('库存（子SKU）'!$C:$C,$A58,'库存（子SKU）'!S:S)</f>
        <v>27112</v>
      </c>
      <c r="R58">
        <f>SUMIF('库存（子SKU）'!$C:$C,$A58,'库存（子SKU）'!T:T)</f>
        <v>59</v>
      </c>
      <c r="S58">
        <f>SUMIF('库存（子SKU）'!$C:$C,$A58,'库存（子SKU）'!U:U)</f>
        <v>41</v>
      </c>
      <c r="T58">
        <f>SUMIF('库存（子SKU）'!$C:$C,$A58,'库存（子SKU）'!V:V)</f>
        <v>28</v>
      </c>
      <c r="U58">
        <f>SUMIF('库存（子SKU）'!$C:$C,$A58,'库存（子SKU）'!W:W)</f>
        <v>92</v>
      </c>
      <c r="V58" s="23">
        <f t="shared" si="15"/>
        <v>0.00383316008316008</v>
      </c>
      <c r="W58" s="23">
        <f t="shared" si="16"/>
        <v>0.00291089811856585</v>
      </c>
      <c r="X58" s="23">
        <f t="shared" si="17"/>
        <v>0.00214116387550661</v>
      </c>
      <c r="Y58" s="23">
        <f t="shared" si="18"/>
        <v>0.00339333136618472</v>
      </c>
      <c r="Z58">
        <f>SUMIF('库存（子SKU）'!$C:$C,$A58,'库存（子SKU）'!AB:AB)</f>
        <v>19.37</v>
      </c>
      <c r="AA58">
        <f>SUMIF('库存（子SKU）'!$C:$C,$A58,'库存（子SKU）'!AC:AC)</f>
        <v>17</v>
      </c>
      <c r="AB58">
        <f>SUMIF('库存（子SKU）'!$C:$C,$A58,'库存（子SKU）'!AD:AD)</f>
        <v>10.87</v>
      </c>
      <c r="AC58">
        <f>SUMIF('库存（子SKU）'!$C:$C,$A58,'库存（子SKU）'!AE:AE)</f>
        <v>37.08</v>
      </c>
      <c r="AD58" s="23">
        <f t="shared" si="2"/>
        <v>0.340003510619624</v>
      </c>
      <c r="AE58" s="23">
        <f t="shared" si="3"/>
        <v>0.447604002106372</v>
      </c>
      <c r="AF58" s="23">
        <f t="shared" si="4"/>
        <v>0.572406529752501</v>
      </c>
      <c r="AG58" s="23">
        <f t="shared" si="5"/>
        <v>0.488151658767773</v>
      </c>
      <c r="AH58">
        <f>SUMIF('库存（子SKU）'!$C:$C,$A58,'库存（子SKU）'!AJ:AJ)</f>
        <v>51</v>
      </c>
      <c r="AI58">
        <f>SUMIF('库存（子SKU）'!$C:$C,$A58,'库存（子SKU）'!AK:AK)</f>
        <v>55</v>
      </c>
      <c r="AJ58">
        <f>SUMIF('库存（子SKU）'!$C:$C,$A58,'库存（子SKU）'!AL:AL)</f>
        <v>33</v>
      </c>
      <c r="AK58">
        <f>SUMIF('库存（子SKU）'!$C:$C,$A58,'库存（子SKU）'!AM:AM)</f>
        <v>53</v>
      </c>
      <c r="AL58" s="23">
        <f t="shared" si="6"/>
        <v>0.0588235294117647</v>
      </c>
      <c r="AM58" s="23">
        <f t="shared" si="7"/>
        <v>0.0363636363636364</v>
      </c>
      <c r="AN58" s="23">
        <f t="shared" si="8"/>
        <v>0.0303030303030303</v>
      </c>
      <c r="AO58" s="23">
        <f t="shared" si="9"/>
        <v>0.0754716981132075</v>
      </c>
      <c r="AP58" s="8">
        <f t="shared" si="10"/>
        <v>0.428571428571429</v>
      </c>
      <c r="AQ58" s="8">
        <f t="shared" si="11"/>
        <v>25.7142857142857</v>
      </c>
      <c r="AR58" s="8">
        <f t="shared" si="12"/>
        <v>45.2857142857143</v>
      </c>
      <c r="AS58">
        <f t="shared" si="13"/>
        <v>165</v>
      </c>
      <c r="AT58" s="25">
        <f>IFERROR(时间!$B$4+AS58,"上周无销量")</f>
        <v>43448</v>
      </c>
    </row>
    <row r="59" spans="1:46">
      <c r="A59" t="s">
        <v>913</v>
      </c>
      <c r="B59" s="6">
        <f>SUMIF('库存（子SKU）'!$C:$C,$A59,'库存（子SKU）'!D:D)</f>
        <v>4</v>
      </c>
      <c r="C59" s="6">
        <f>SUMIF('库存（子SKU）'!$C:$C,$A59,'库存（子SKU）'!E:E)</f>
        <v>6</v>
      </c>
      <c r="D59" s="6">
        <f>SUMIF('库存（子SKU）'!$C:$C,$A59,'库存（子SKU）'!F:F)</f>
        <v>4</v>
      </c>
      <c r="E59" s="6">
        <f>SUMIF('库存（子SKU）'!$C:$C,$A59,'库存（子SKU）'!G:G)</f>
        <v>6</v>
      </c>
      <c r="F59" s="7">
        <v>17.2</v>
      </c>
      <c r="G59">
        <f>SUMIF('库存（子SKU）'!$C:$C,$A59,'库存（子SKU）'!I:I)</f>
        <v>289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289</v>
      </c>
      <c r="L59">
        <f>SUMIF('库存（子SKU）'!$C:$C,$A59,'库存（子SKU）'!N:N)</f>
        <v>0</v>
      </c>
      <c r="M59">
        <f>SUMIF('库存（子SKU）'!$C:$C,$A59,'库存（子SKU）'!O:O)</f>
        <v>140</v>
      </c>
      <c r="N59">
        <f>SUMIF('库存（子SKU）'!$C:$C,$A59,'库存（子SKU）'!P:P)</f>
        <v>40724</v>
      </c>
      <c r="O59">
        <f>SUMIF('库存（子SKU）'!$C:$C,$A59,'库存（子SKU）'!Q:Q)</f>
        <v>37945</v>
      </c>
      <c r="P59">
        <f>SUMIF('库存（子SKU）'!$C:$C,$A59,'库存（子SKU）'!R:R)</f>
        <v>35499</v>
      </c>
      <c r="Q59">
        <f>SUMIF('库存（子SKU）'!$C:$C,$A59,'库存（子SKU）'!S:S)</f>
        <v>46493</v>
      </c>
      <c r="R59">
        <f>SUMIF('库存（子SKU）'!$C:$C,$A59,'库存（子SKU）'!T:T)</f>
        <v>90</v>
      </c>
      <c r="S59">
        <f>SUMIF('库存（子SKU）'!$C:$C,$A59,'库存（子SKU）'!U:U)</f>
        <v>97</v>
      </c>
      <c r="T59">
        <f>SUMIF('库存（子SKU）'!$C:$C,$A59,'库存（子SKU）'!V:V)</f>
        <v>110</v>
      </c>
      <c r="U59">
        <f>SUMIF('库存（子SKU）'!$C:$C,$A59,'库存（子SKU）'!W:W)</f>
        <v>130</v>
      </c>
      <c r="V59" s="23">
        <f t="shared" si="15"/>
        <v>0.00220999901777821</v>
      </c>
      <c r="W59" s="23">
        <f t="shared" si="16"/>
        <v>0.00255633153248122</v>
      </c>
      <c r="X59" s="23">
        <f t="shared" si="17"/>
        <v>0.00309867883602355</v>
      </c>
      <c r="Y59" s="23">
        <f t="shared" si="18"/>
        <v>0.00279611984599832</v>
      </c>
      <c r="Z59">
        <f>SUMIF('库存（子SKU）'!$C:$C,$A59,'库存（子SKU）'!AB:AB)</f>
        <v>32.85</v>
      </c>
      <c r="AA59">
        <f>SUMIF('库存（子SKU）'!$C:$C,$A59,'库存（子SKU）'!AC:AC)</f>
        <v>36.03</v>
      </c>
      <c r="AB59">
        <f>SUMIF('库存（子SKU）'!$C:$C,$A59,'库存（子SKU）'!AD:AD)</f>
        <v>38.86</v>
      </c>
      <c r="AC59">
        <f>SUMIF('库存（子SKU）'!$C:$C,$A59,'库存（子SKU）'!AE:AE)</f>
        <v>47.33</v>
      </c>
      <c r="AD59" s="23">
        <f t="shared" si="2"/>
        <v>0.477470930232558</v>
      </c>
      <c r="AE59" s="23">
        <f t="shared" si="3"/>
        <v>0.349127906976744</v>
      </c>
      <c r="AF59" s="23">
        <f t="shared" si="4"/>
        <v>0.564825581395349</v>
      </c>
      <c r="AG59" s="23">
        <f t="shared" si="5"/>
        <v>0.458624031007752</v>
      </c>
      <c r="AH59">
        <f>SUMIF('库存（子SKU）'!$C:$C,$A59,'库存（子SKU）'!AJ:AJ)</f>
        <v>125</v>
      </c>
      <c r="AI59">
        <f>SUMIF('库存（子SKU）'!$C:$C,$A59,'库存（子SKU）'!AK:AK)</f>
        <v>84</v>
      </c>
      <c r="AJ59">
        <f>SUMIF('库存（子SKU）'!$C:$C,$A59,'库存（子SKU）'!AL:AL)</f>
        <v>84</v>
      </c>
      <c r="AK59">
        <f>SUMIF('库存（子SKU）'!$C:$C,$A59,'库存（子SKU）'!AM:AM)</f>
        <v>112</v>
      </c>
      <c r="AL59" s="23">
        <f t="shared" si="6"/>
        <v>0.032</v>
      </c>
      <c r="AM59" s="23">
        <f t="shared" si="7"/>
        <v>0.0714285714285714</v>
      </c>
      <c r="AN59" s="23">
        <f t="shared" si="8"/>
        <v>0.0476190476190476</v>
      </c>
      <c r="AO59" s="23">
        <f t="shared" si="9"/>
        <v>0.0535714285714286</v>
      </c>
      <c r="AP59" s="8">
        <f t="shared" si="10"/>
        <v>0.571428571428571</v>
      </c>
      <c r="AQ59" s="8">
        <f t="shared" si="11"/>
        <v>34.2857142857143</v>
      </c>
      <c r="AR59" s="8">
        <f t="shared" si="12"/>
        <v>254.714285714286</v>
      </c>
      <c r="AS59">
        <f t="shared" si="13"/>
        <v>505</v>
      </c>
      <c r="AT59" s="25">
        <f>IFERROR(时间!$B$4+AS59,"上周无销量")</f>
        <v>43788</v>
      </c>
    </row>
    <row r="60" spans="1:46">
      <c r="A60" t="s">
        <v>1008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55</v>
      </c>
      <c r="G60">
        <f>SUMIF('库存（子SKU）'!$C:$C,$A60,'库存（子SKU）'!I:I)</f>
        <v>24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24</v>
      </c>
      <c r="L60">
        <f>SUMIF('库存（子SKU）'!$C:$C,$A60,'库存（子SKU）'!N:N)</f>
        <v>0</v>
      </c>
      <c r="M60">
        <f>SUMIF('库存（子SKU）'!$C:$C,$A60,'库存（子SKU）'!O:O)</f>
        <v>24</v>
      </c>
      <c r="N60">
        <f>SUMIF('库存（子SKU）'!$C:$C,$A60,'库存（子SKU）'!P:P)</f>
        <v>3579</v>
      </c>
      <c r="O60">
        <f>SUMIF('库存（子SKU）'!$C:$C,$A60,'库存（子SKU）'!Q:Q)</f>
        <v>3072</v>
      </c>
      <c r="P60">
        <f>SUMIF('库存（子SKU）'!$C:$C,$A60,'库存（子SKU）'!R:R)</f>
        <v>2018</v>
      </c>
      <c r="Q60">
        <f>SUMIF('库存（子SKU）'!$C:$C,$A60,'库存（子SKU）'!S:S)</f>
        <v>1953</v>
      </c>
      <c r="R60">
        <f>SUMIF('库存（子SKU）'!$C:$C,$A60,'库存（子SKU）'!T:T)</f>
        <v>5</v>
      </c>
      <c r="S60">
        <f>SUMIF('库存（子SKU）'!$C:$C,$A60,'库存（子SKU）'!U:U)</f>
        <v>7</v>
      </c>
      <c r="T60">
        <f>SUMIF('库存（子SKU）'!$C:$C,$A60,'库存（子SKU）'!V:V)</f>
        <v>0</v>
      </c>
      <c r="U60">
        <f>SUMIF('库存（子SKU）'!$C:$C,$A60,'库存（子SKU）'!W:W)</f>
        <v>2</v>
      </c>
      <c r="V60" s="23">
        <f t="shared" si="15"/>
        <v>0.00139703827884884</v>
      </c>
      <c r="W60" s="23">
        <f t="shared" si="16"/>
        <v>0.00227864583333333</v>
      </c>
      <c r="X60" s="23">
        <f t="shared" si="17"/>
        <v>0</v>
      </c>
      <c r="Y60" s="23">
        <f t="shared" si="18"/>
        <v>0.00102406554019457</v>
      </c>
      <c r="Z60">
        <f>SUMIF('库存（子SKU）'!$C:$C,$A60,'库存（子SKU）'!AB:AB)</f>
        <v>1.96</v>
      </c>
      <c r="AA60">
        <f>SUMIF('库存（子SKU）'!$C:$C,$A60,'库存（子SKU）'!AC:AC)</f>
        <v>2.97</v>
      </c>
      <c r="AB60">
        <f>SUMIF('库存（子SKU）'!$C:$C,$A60,'库存（子SKU）'!AD:AD)</f>
        <v>0</v>
      </c>
      <c r="AC60">
        <f>SUMIF('库存（子SKU）'!$C:$C,$A60,'库存（子SKU）'!AE:AE)</f>
        <v>0.81</v>
      </c>
      <c r="AD60" s="23" t="str">
        <f t="shared" si="2"/>
        <v>无销量广告费为1.96</v>
      </c>
      <c r="AE60" s="23" t="str">
        <f t="shared" si="3"/>
        <v>无销量广告费为2.97</v>
      </c>
      <c r="AF60" s="23" t="str">
        <f t="shared" si="4"/>
        <v/>
      </c>
      <c r="AG60" s="23" t="str">
        <f t="shared" si="5"/>
        <v>无销量广告费为0.81</v>
      </c>
      <c r="AH60">
        <f>SUMIF('库存（子SKU）'!$C:$C,$A60,'库存（子SKU）'!AJ:AJ)</f>
        <v>5</v>
      </c>
      <c r="AI60">
        <f>SUMIF('库存（子SKU）'!$C:$C,$A60,'库存（子SKU）'!AK:AK)</f>
        <v>0</v>
      </c>
      <c r="AJ60">
        <f>SUMIF('库存（子SKU）'!$C:$C,$A60,'库存（子SKU）'!AL:AL)</f>
        <v>4</v>
      </c>
      <c r="AK60">
        <f>SUMIF('库存（子SKU）'!$C:$C,$A60,'库存（子SKU）'!AM:AM)</f>
        <v>0</v>
      </c>
      <c r="AL60" s="23">
        <f t="shared" si="6"/>
        <v>0</v>
      </c>
      <c r="AM60" s="23" t="str">
        <f t="shared" si="7"/>
        <v/>
      </c>
      <c r="AN60" s="23">
        <f t="shared" si="8"/>
        <v>0</v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24</v>
      </c>
      <c r="AS60" t="str">
        <f t="shared" si="13"/>
        <v>库存为24</v>
      </c>
      <c r="AT60" s="25" t="str">
        <f>IFERROR(时间!$B$4+AS60,"上周无销量")</f>
        <v>上周无销量</v>
      </c>
    </row>
    <row r="61" spans="1:46">
      <c r="A61" t="s">
        <v>1013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1</v>
      </c>
      <c r="F61" s="7">
        <v>9.99</v>
      </c>
      <c r="G61">
        <f>SUMIF('库存（子SKU）'!$C:$C,$A61,'库存（子SKU）'!I:I)</f>
        <v>29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29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11</v>
      </c>
      <c r="O61">
        <f>SUMIF('库存（子SKU）'!$C:$C,$A61,'库存（子SKU）'!Q:Q)</f>
        <v>14</v>
      </c>
      <c r="P61">
        <f>SUMIF('库存（子SKU）'!$C:$C,$A61,'库存（子SKU）'!R:R)</f>
        <v>13</v>
      </c>
      <c r="Q61">
        <f>SUMIF('库存（子SKU）'!$C:$C,$A61,'库存（子SKU）'!S:S)</f>
        <v>15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>
        <f t="shared" si="15"/>
        <v>0</v>
      </c>
      <c r="W61" s="23">
        <f t="shared" si="16"/>
        <v>0</v>
      </c>
      <c r="X61" s="23">
        <f t="shared" si="17"/>
        <v>0</v>
      </c>
      <c r="Y61" s="23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>
        <f t="shared" si="5"/>
        <v>0</v>
      </c>
      <c r="AH61">
        <f>SUMIF('库存（子SKU）'!$C:$C,$A61,'库存（子SKU）'!AJ:AJ)</f>
        <v>5</v>
      </c>
      <c r="AI61">
        <f>SUMIF('库存（子SKU）'!$C:$C,$A61,'库存（子SKU）'!AK:AK)</f>
        <v>1</v>
      </c>
      <c r="AJ61">
        <f>SUMIF('库存（子SKU）'!$C:$C,$A61,'库存（子SKU）'!AL:AL)</f>
        <v>0</v>
      </c>
      <c r="AK61">
        <f>SUMIF('库存（子SKU）'!$C:$C,$A61,'库存（子SKU）'!AM:AM)</f>
        <v>3</v>
      </c>
      <c r="AL61" s="23">
        <f t="shared" si="6"/>
        <v>0</v>
      </c>
      <c r="AM61" s="23">
        <f t="shared" si="7"/>
        <v>0</v>
      </c>
      <c r="AN61" s="23" t="str">
        <f t="shared" si="8"/>
        <v/>
      </c>
      <c r="AO61" s="23">
        <f t="shared" si="9"/>
        <v>0.333333333333333</v>
      </c>
      <c r="AP61" s="8">
        <f t="shared" si="10"/>
        <v>0</v>
      </c>
      <c r="AQ61" s="8">
        <f t="shared" si="11"/>
        <v>0</v>
      </c>
      <c r="AR61" s="8">
        <f t="shared" si="12"/>
        <v>29</v>
      </c>
      <c r="AS61" t="str">
        <f t="shared" si="13"/>
        <v>库存为29</v>
      </c>
      <c r="AT61" s="25" t="str">
        <f>IFERROR(时间!$B$4+AS61,"上周无销量")</f>
        <v>上周无销量</v>
      </c>
    </row>
    <row r="62" spans="1:46">
      <c r="A62" t="s">
        <v>1016</v>
      </c>
      <c r="B62" s="6">
        <f>SUMIF('库存（子SKU）'!$C:$C,$A62,'库存（子SKU）'!D:D)</f>
        <v>5</v>
      </c>
      <c r="C62" s="6">
        <f>SUMIF('库存（子SKU）'!$C:$C,$A62,'库存（子SKU）'!E:E)</f>
        <v>4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>
        <v>12.99</v>
      </c>
      <c r="G62">
        <f>SUMIF('库存（子SKU）'!$C:$C,$A62,'库存（子SKU）'!I:I)</f>
        <v>46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46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25</v>
      </c>
      <c r="O62">
        <f>SUMIF('库存（子SKU）'!$C:$C,$A62,'库存（子SKU）'!Q:Q)</f>
        <v>45</v>
      </c>
      <c r="P62">
        <f>SUMIF('库存（子SKU）'!$C:$C,$A62,'库存（子SKU）'!R:R)</f>
        <v>46</v>
      </c>
      <c r="Q62">
        <f>SUMIF('库存（子SKU）'!$C:$C,$A62,'库存（子SKU）'!S:S)</f>
        <v>62</v>
      </c>
      <c r="R62">
        <f>SUMIF('库存（子SKU）'!$C:$C,$A62,'库存（子SKU）'!T:T)</f>
        <v>0</v>
      </c>
      <c r="S62">
        <f>SUMIF('库存（子SKU）'!$C:$C,$A62,'库存（子SKU）'!U:U)</f>
        <v>2</v>
      </c>
      <c r="T62">
        <f>SUMIF('库存（子SKU）'!$C:$C,$A62,'库存（子SKU）'!V:V)</f>
        <v>1</v>
      </c>
      <c r="U62">
        <f>SUMIF('库存（子SKU）'!$C:$C,$A62,'库存（子SKU）'!W:W)</f>
        <v>2</v>
      </c>
      <c r="V62" s="23">
        <f t="shared" si="15"/>
        <v>0</v>
      </c>
      <c r="W62" s="23">
        <f t="shared" si="16"/>
        <v>0.0444444444444444</v>
      </c>
      <c r="X62" s="23">
        <f t="shared" si="17"/>
        <v>0.0217391304347826</v>
      </c>
      <c r="Y62" s="23">
        <f t="shared" si="18"/>
        <v>0.032258064516129</v>
      </c>
      <c r="Z62">
        <f>SUMIF('库存（子SKU）'!$C:$C,$A62,'库存（子SKU）'!AB:AB)</f>
        <v>0</v>
      </c>
      <c r="AA62">
        <f>SUMIF('库存（子SKU）'!$C:$C,$A62,'库存（子SKU）'!AC:AC)</f>
        <v>0.22</v>
      </c>
      <c r="AB62">
        <f>SUMIF('库存（子SKU）'!$C:$C,$A62,'库存（子SKU）'!AD:AD)</f>
        <v>0.25</v>
      </c>
      <c r="AC62">
        <f>SUMIF('库存（子SKU）'!$C:$C,$A62,'库存（子SKU）'!AE:AE)</f>
        <v>0.59</v>
      </c>
      <c r="AD62" s="23">
        <f t="shared" si="2"/>
        <v>0</v>
      </c>
      <c r="AE62" s="23">
        <f t="shared" si="3"/>
        <v>0.00423402617397998</v>
      </c>
      <c r="AF62" s="23" t="str">
        <f t="shared" si="4"/>
        <v>无销量广告费为0.25</v>
      </c>
      <c r="AG62" s="23" t="str">
        <f t="shared" si="5"/>
        <v>无销量广告费为0.59</v>
      </c>
      <c r="AH62">
        <f>SUMIF('库存（子SKU）'!$C:$C,$A62,'库存（子SKU）'!AJ:AJ)</f>
        <v>8</v>
      </c>
      <c r="AI62">
        <f>SUMIF('库存（子SKU）'!$C:$C,$A62,'库存（子SKU）'!AK:AK)</f>
        <v>9</v>
      </c>
      <c r="AJ62">
        <f>SUMIF('库存（子SKU）'!$C:$C,$A62,'库存（子SKU）'!AL:AL)</f>
        <v>3</v>
      </c>
      <c r="AK62">
        <f>SUMIF('库存（子SKU）'!$C:$C,$A62,'库存（子SKU）'!AM:AM)</f>
        <v>1</v>
      </c>
      <c r="AL62" s="23">
        <f t="shared" si="6"/>
        <v>0.625</v>
      </c>
      <c r="AM62" s="23">
        <f t="shared" si="7"/>
        <v>0.444444444444444</v>
      </c>
      <c r="AN62" s="23">
        <f t="shared" si="8"/>
        <v>0</v>
      </c>
      <c r="AO62" s="23">
        <f t="shared" si="9"/>
        <v>0</v>
      </c>
      <c r="AP62" s="8">
        <f t="shared" si="10"/>
        <v>0.714285714285714</v>
      </c>
      <c r="AQ62" s="8">
        <f t="shared" si="11"/>
        <v>42.8571428571429</v>
      </c>
      <c r="AR62" s="8">
        <f t="shared" si="12"/>
        <v>3.14285714285714</v>
      </c>
      <c r="AS62">
        <f t="shared" si="13"/>
        <v>64</v>
      </c>
      <c r="AT62" s="25">
        <f>IFERROR(时间!$B$4+AS62,"上周无销量")</f>
        <v>43347</v>
      </c>
    </row>
    <row r="63" spans="1:46">
      <c r="A63" t="s">
        <v>1020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55</v>
      </c>
      <c r="G63">
        <f>SUMIF('库存（子SKU）'!$C:$C,$A63,'库存（子SKU）'!I:I)</f>
        <v>56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56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42</v>
      </c>
      <c r="O63">
        <f>SUMIF('库存（子SKU）'!$C:$C,$A63,'库存（子SKU）'!Q:Q)</f>
        <v>84</v>
      </c>
      <c r="P63">
        <f>SUMIF('库存（子SKU）'!$C:$C,$A63,'库存（子SKU）'!R:R)</f>
        <v>21</v>
      </c>
      <c r="Q63">
        <f>SUMIF('库存（子SKU）'!$C:$C,$A63,'库存（子SKU）'!S:S)</f>
        <v>18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>
        <f t="shared" si="15"/>
        <v>0</v>
      </c>
      <c r="W63" s="23">
        <f t="shared" si="16"/>
        <v>0</v>
      </c>
      <c r="X63" s="23">
        <f t="shared" si="17"/>
        <v>0</v>
      </c>
      <c r="Y63" s="23">
        <f t="shared" si="18"/>
        <v>0</v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9</v>
      </c>
      <c r="AI63">
        <f>SUMIF('库存（子SKU）'!$C:$C,$A63,'库存（子SKU）'!AK:AK)</f>
        <v>9</v>
      </c>
      <c r="AJ63">
        <f>SUMIF('库存（子SKU）'!$C:$C,$A63,'库存（子SKU）'!AL:AL)</f>
        <v>6</v>
      </c>
      <c r="AK63">
        <f>SUMIF('库存（子SKU）'!$C:$C,$A63,'库存（子SKU）'!AM:AM)</f>
        <v>4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56</v>
      </c>
      <c r="AS63" t="str">
        <f t="shared" si="13"/>
        <v>库存为56</v>
      </c>
      <c r="AT63" s="25" t="str">
        <f>IFERROR(时间!$B$4+AS63,"上周无销量")</f>
        <v>上周无销量</v>
      </c>
    </row>
    <row r="64" spans="1:46">
      <c r="A64" t="s">
        <v>1027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1</v>
      </c>
      <c r="F64" s="7">
        <v>15.99</v>
      </c>
      <c r="G64">
        <f>SUMIF('库存（子SKU）'!$C:$C,$A64,'库存（子SKU）'!I:I)</f>
        <v>92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92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3183</v>
      </c>
      <c r="O64">
        <f>SUMIF('库存（子SKU）'!$C:$C,$A64,'库存（子SKU）'!Q:Q)</f>
        <v>3004</v>
      </c>
      <c r="P64">
        <f>SUMIF('库存（子SKU）'!$C:$C,$A64,'库存（子SKU）'!R:R)</f>
        <v>3753</v>
      </c>
      <c r="Q64">
        <f>SUMIF('库存（子SKU）'!$C:$C,$A64,'库存（子SKU）'!S:S)</f>
        <v>7571</v>
      </c>
      <c r="R64">
        <f>SUMIF('库存（子SKU）'!$C:$C,$A64,'库存（子SKU）'!T:T)</f>
        <v>1</v>
      </c>
      <c r="S64">
        <f>SUMIF('库存（子SKU）'!$C:$C,$A64,'库存（子SKU）'!U:U)</f>
        <v>4</v>
      </c>
      <c r="T64">
        <f>SUMIF('库存（子SKU）'!$C:$C,$A64,'库存（子SKU）'!V:V)</f>
        <v>8</v>
      </c>
      <c r="U64">
        <f>SUMIF('库存（子SKU）'!$C:$C,$A64,'库存（子SKU）'!W:W)</f>
        <v>15</v>
      </c>
      <c r="V64" s="23">
        <f t="shared" si="15"/>
        <v>0.000314169022934339</v>
      </c>
      <c r="W64" s="23">
        <f t="shared" si="16"/>
        <v>0.00133155792276964</v>
      </c>
      <c r="X64" s="23">
        <f t="shared" si="17"/>
        <v>0.00213162803090861</v>
      </c>
      <c r="Y64" s="23">
        <f t="shared" si="18"/>
        <v>0.00198124422137102</v>
      </c>
      <c r="Z64">
        <f>SUMIF('库存（子SKU）'!$C:$C,$A64,'库存（子SKU）'!AB:AB)</f>
        <v>0.48</v>
      </c>
      <c r="AA64">
        <f>SUMIF('库存（子SKU）'!$C:$C,$A64,'库存（子SKU）'!AC:AC)</f>
        <v>1.71</v>
      </c>
      <c r="AB64">
        <f>SUMIF('库存（子SKU）'!$C:$C,$A64,'库存（子SKU）'!AD:AD)</f>
        <v>3.17</v>
      </c>
      <c r="AC64">
        <f>SUMIF('库存（子SKU）'!$C:$C,$A64,'库存（子SKU）'!AE:AE)</f>
        <v>5.44</v>
      </c>
      <c r="AD64" s="23" t="str">
        <f t="shared" si="2"/>
        <v>无销量广告费为0.48</v>
      </c>
      <c r="AE64" s="23" t="str">
        <f t="shared" si="3"/>
        <v>无销量广告费为1.71</v>
      </c>
      <c r="AF64" s="23" t="str">
        <f t="shared" si="4"/>
        <v>无销量广告费为3.17</v>
      </c>
      <c r="AG64" s="23">
        <f t="shared" si="5"/>
        <v>0.34021263289556</v>
      </c>
      <c r="AH64">
        <f>SUMIF('库存（子SKU）'!$C:$C,$A64,'库存（子SKU）'!AJ:AJ)</f>
        <v>19</v>
      </c>
      <c r="AI64">
        <f>SUMIF('库存（子SKU）'!$C:$C,$A64,'库存（子SKU）'!AK:AK)</f>
        <v>6</v>
      </c>
      <c r="AJ64">
        <f>SUMIF('库存（子SKU）'!$C:$C,$A64,'库存（子SKU）'!AL:AL)</f>
        <v>13</v>
      </c>
      <c r="AK64">
        <f>SUMIF('库存（子SKU）'!$C:$C,$A64,'库存（子SKU）'!AM:AM)</f>
        <v>17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0.0588235294117647</v>
      </c>
      <c r="AP64" s="8">
        <f t="shared" si="10"/>
        <v>0</v>
      </c>
      <c r="AQ64" s="8">
        <f t="shared" si="11"/>
        <v>0</v>
      </c>
      <c r="AR64" s="8">
        <f t="shared" si="12"/>
        <v>92</v>
      </c>
      <c r="AS64" t="str">
        <f t="shared" si="13"/>
        <v>库存为92</v>
      </c>
      <c r="AT64" s="25" t="str">
        <f>IFERROR(时间!$B$4+AS64,"上周无销量")</f>
        <v>上周无销量</v>
      </c>
    </row>
    <row r="65" spans="1:46">
      <c r="A65" t="s">
        <v>1047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55</v>
      </c>
      <c r="G65">
        <f>SUMIF('库存（子SKU）'!$C:$C,$A65,'库存（子SKU）'!I:I)</f>
        <v>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</v>
      </c>
      <c r="L65">
        <f>SUMIF('库存（子SKU）'!$C:$C,$A65,'库存（子SKU）'!N:N)</f>
        <v>0</v>
      </c>
      <c r="M65">
        <f>SUMIF('库存（子SKU）'!$C:$C,$A65,'库存（子SKU）'!O:O)</f>
        <v>1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3</v>
      </c>
      <c r="AI65">
        <f>SUMIF('库存（子SKU）'!$C:$C,$A65,'库存（子SKU）'!AK:AK)</f>
        <v>0</v>
      </c>
      <c r="AJ65">
        <f>SUMIF('库存（子SKU）'!$C:$C,$A65,'库存（子SKU）'!AL:AL)</f>
        <v>1</v>
      </c>
      <c r="AK65">
        <f>SUMIF('库存（子SKU）'!$C:$C,$A65,'库存（子SKU）'!AM:AM)</f>
        <v>2</v>
      </c>
      <c r="AL65" s="23">
        <f t="shared" si="6"/>
        <v>0</v>
      </c>
      <c r="AM65" s="23" t="str">
        <f t="shared" si="7"/>
        <v/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1</v>
      </c>
      <c r="AS65" t="str">
        <f t="shared" si="13"/>
        <v>库存为1</v>
      </c>
      <c r="AT65" s="25" t="str">
        <f>IFERROR(时间!$B$4+AS65,"上周无销量")</f>
        <v>上周无销量</v>
      </c>
    </row>
    <row r="66" spans="1:46">
      <c r="A66" t="s">
        <v>1050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55</v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</v>
      </c>
      <c r="L66">
        <f>SUMIF('库存（子SKU）'!$C:$C,$A66,'库存（子SKU）'!N:N)</f>
        <v>0</v>
      </c>
      <c r="M66">
        <f>SUMIF('库存（子SKU）'!$C:$C,$A66,'库存（子SKU）'!O:O)</f>
        <v>2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7</v>
      </c>
      <c r="AI66">
        <f>SUMIF('库存（子SKU）'!$C:$C,$A66,'库存（子SKU）'!AK:AK)</f>
        <v>4</v>
      </c>
      <c r="AJ66">
        <f>SUMIF('库存（子SKU）'!$C:$C,$A66,'库存（子SKU）'!AL:AL)</f>
        <v>2</v>
      </c>
      <c r="AK66">
        <f>SUMIF('库存（子SKU）'!$C:$C,$A66,'库存（子SKU）'!AM:AM)</f>
        <v>1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3</v>
      </c>
      <c r="AS66" t="str">
        <f t="shared" si="13"/>
        <v>库存为3</v>
      </c>
      <c r="AT66" s="25" t="str">
        <f>IFERROR(时间!$B$4+AS66,"上周无销量")</f>
        <v>上周无销量</v>
      </c>
    </row>
    <row r="67" spans="1:46">
      <c r="A67" t="s">
        <v>1057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55</v>
      </c>
      <c r="G67">
        <f>SUMIF('库存（子SKU）'!$C:$C,$A67,'库存（子SKU）'!I:I)</f>
        <v>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1</v>
      </c>
      <c r="AI67">
        <f>SUMIF('库存（子SKU）'!$C:$C,$A67,'库存（子SKU）'!AK:AK)</f>
        <v>2</v>
      </c>
      <c r="AJ67">
        <f>SUMIF('库存（子SKU）'!$C:$C,$A67,'库存（子SKU）'!AL:AL)</f>
        <v>1</v>
      </c>
      <c r="AK67">
        <f>SUMIF('库存（子SKU）'!$C:$C,$A67,'库存（子SKU）'!AM:AM)</f>
        <v>0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1</v>
      </c>
      <c r="AS67" t="str">
        <f t="shared" si="13"/>
        <v>库存为1</v>
      </c>
      <c r="AT67" s="25" t="str">
        <f>IFERROR(时间!$B$4+AS67,"上周无销量")</f>
        <v>上周无销量</v>
      </c>
    </row>
    <row r="68" spans="1:46">
      <c r="A68" t="s">
        <v>1060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55</v>
      </c>
      <c r="G68">
        <f>SUMIF('库存（子SKU）'!$C:$C,$A68,'库存（子SKU）'!I:I)</f>
        <v>23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23</v>
      </c>
      <c r="L68">
        <f>SUMIF('库存（子SKU）'!$C:$C,$A68,'库存（子SKU）'!N:N)</f>
        <v>0</v>
      </c>
      <c r="M68">
        <f>SUMIF('库存（子SKU）'!$C:$C,$A68,'库存（子SKU）'!O:O)</f>
        <v>23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6</v>
      </c>
      <c r="AI68">
        <f>SUMIF('库存（子SKU）'!$C:$C,$A68,'库存（子SKU）'!AK:AK)</f>
        <v>7</v>
      </c>
      <c r="AJ68">
        <f>SUMIF('库存（子SKU）'!$C:$C,$A68,'库存（子SKU）'!AL:AL)</f>
        <v>8</v>
      </c>
      <c r="AK68">
        <f>SUMIF('库存（子SKU）'!$C:$C,$A68,'库存（子SKU）'!AM:AM)</f>
        <v>6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23</v>
      </c>
      <c r="AS68" t="str">
        <f t="shared" si="13"/>
        <v>库存为23</v>
      </c>
      <c r="AT68" s="25" t="str">
        <f>IFERROR(时间!$B$4+AS68,"上周无销量")</f>
        <v>上周无销量</v>
      </c>
    </row>
    <row r="69" spans="1:46">
      <c r="A69" t="s">
        <v>1075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55</v>
      </c>
      <c r="G69">
        <f>SUMIF('库存（子SKU）'!$C:$C,$A69,'库存（子SKU）'!I:I)</f>
        <v>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7" si="19">SUM(G69:J69)</f>
        <v>5</v>
      </c>
      <c r="L69">
        <f>SUMIF('库存（子SKU）'!$C:$C,$A69,'库存（子SKU）'!N:N)</f>
        <v>0</v>
      </c>
      <c r="M69">
        <f>SUMIF('库存（子SKU）'!$C:$C,$A69,'库存（子SKU）'!O:O)</f>
        <v>5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77" si="20">IF(AND(Z69&gt;0,B69=0),"无销量广告费为"&amp;Z69,IFERROR(Z69/(B69*$F69),""))</f>
        <v/>
      </c>
      <c r="AE69" s="23" t="str">
        <f t="shared" ref="AE69:AE77" si="21">IF(AND(AA69&gt;0,C69=0),"无销量广告费为"&amp;AA69,IFERROR(AA69/(C69*$F69),""))</f>
        <v/>
      </c>
      <c r="AF69" s="23" t="str">
        <f t="shared" ref="AF69:AF77" si="22">IF(AND(AB69&gt;0,D69=0),"无销量广告费为"&amp;AB69,IFERROR(AB69/(D69*$F69),""))</f>
        <v/>
      </c>
      <c r="AG69" s="23" t="str">
        <f t="shared" ref="AG69:AG77" si="23">IF(AND(AC69&gt;0,E69=0),"无销量广告费为"&amp;AC69,IFERROR(AC69/(E69*$F69),""))</f>
        <v/>
      </c>
      <c r="AH69">
        <f>SUMIF('库存（子SKU）'!$C:$C,$A69,'库存（子SKU）'!AJ:AJ)</f>
        <v>6</v>
      </c>
      <c r="AI69">
        <f>SUMIF('库存（子SKU）'!$C:$C,$A69,'库存（子SKU）'!AK:AK)</f>
        <v>2</v>
      </c>
      <c r="AJ69">
        <f>SUMIF('库存（子SKU）'!$C:$C,$A69,'库存（子SKU）'!AL:AL)</f>
        <v>5</v>
      </c>
      <c r="AK69">
        <f>SUMIF('库存（子SKU）'!$C:$C,$A69,'库存（子SKU）'!AM:AM)</f>
        <v>4</v>
      </c>
      <c r="AL69" s="23">
        <f t="shared" ref="AL69:AL77" si="24">IFERROR(B69/AH69,"")</f>
        <v>0</v>
      </c>
      <c r="AM69" s="23">
        <f t="shared" ref="AM69:AM77" si="25">IFERROR(C69/AI69,"")</f>
        <v>0</v>
      </c>
      <c r="AN69" s="23">
        <f t="shared" ref="AN69:AN77" si="26">IFERROR(D69/AJ69,"")</f>
        <v>0</v>
      </c>
      <c r="AO69" s="23">
        <f t="shared" ref="AO69:AO77" si="27">IFERROR(E69/AK69,"")</f>
        <v>0</v>
      </c>
      <c r="AP69" s="8">
        <f t="shared" ref="AP69:AP77" si="28">B69/7</f>
        <v>0</v>
      </c>
      <c r="AQ69" s="8">
        <f t="shared" ref="AQ69:AQ77" si="29">AP69*60</f>
        <v>0</v>
      </c>
      <c r="AR69" s="8">
        <f t="shared" ref="AR69:AR77" si="30">K69-AQ69</f>
        <v>5</v>
      </c>
      <c r="AS69" t="str">
        <f t="shared" ref="AS69:AS77" si="31">IF(AP69=0,"库存为"&amp;K69,INT(K69/AP69))</f>
        <v>库存为5</v>
      </c>
      <c r="AT69" s="25" t="str">
        <f>IFERROR(时间!$B$4+AS69,"上周无销量")</f>
        <v>上周无销量</v>
      </c>
    </row>
    <row r="70" spans="1:46">
      <c r="A70" t="s">
        <v>1082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55</v>
      </c>
      <c r="G70">
        <f>SUMIF('库存（子SKU）'!$C:$C,$A70,'库存（子SKU）'!I:I)</f>
        <v>8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8</v>
      </c>
      <c r="L70">
        <f>SUMIF('库存（子SKU）'!$C:$C,$A70,'库存（子SKU）'!N:N)</f>
        <v>0</v>
      </c>
      <c r="M70">
        <f>SUMIF('库存（子SKU）'!$C:$C,$A70,'库存（子SKU）'!O:O)</f>
        <v>8</v>
      </c>
      <c r="N70">
        <f>SUMIF('库存（子SKU）'!$C:$C,$A70,'库存（子SKU）'!P:P)</f>
        <v>257</v>
      </c>
      <c r="O70">
        <f>SUMIF('库存（子SKU）'!$C:$C,$A70,'库存（子SKU）'!Q:Q)</f>
        <v>260</v>
      </c>
      <c r="P70">
        <f>SUMIF('库存（子SKU）'!$C:$C,$A70,'库存（子SKU）'!R:R)</f>
        <v>350</v>
      </c>
      <c r="Q70">
        <f>SUMIF('库存（子SKU）'!$C:$C,$A70,'库存（子SKU）'!S:S)</f>
        <v>832</v>
      </c>
      <c r="R70">
        <f>SUMIF('库存（子SKU）'!$C:$C,$A70,'库存（子SKU）'!T:T)</f>
        <v>0</v>
      </c>
      <c r="S70">
        <f>SUMIF('库存（子SKU）'!$C:$C,$A70,'库存（子SKU）'!U:U)</f>
        <v>2</v>
      </c>
      <c r="T70">
        <f>SUMIF('库存（子SKU）'!$C:$C,$A70,'库存（子SKU）'!V:V)</f>
        <v>1</v>
      </c>
      <c r="U70">
        <f>SUMIF('库存（子SKU）'!$C:$C,$A70,'库存（子SKU）'!W:W)</f>
        <v>4</v>
      </c>
      <c r="V70" s="23">
        <f t="shared" ref="V70:V77" si="32">IFERROR(R70/N70,"")</f>
        <v>0</v>
      </c>
      <c r="W70" s="23">
        <f t="shared" ref="W70:W77" si="33">IFERROR(S70/O70,"")</f>
        <v>0.00769230769230769</v>
      </c>
      <c r="X70" s="23">
        <f t="shared" ref="X70:X77" si="34">IFERROR(T70/P70,"")</f>
        <v>0.00285714285714286</v>
      </c>
      <c r="Y70" s="23">
        <f t="shared" ref="Y70:Y77" si="35">IFERROR(U70/Q70,"")</f>
        <v>0.00480769230769231</v>
      </c>
      <c r="Z70">
        <f>SUMIF('库存（子SKU）'!$C:$C,$A70,'库存（子SKU）'!AB:AB)</f>
        <v>0</v>
      </c>
      <c r="AA70">
        <f>SUMIF('库存（子SKU）'!$C:$C,$A70,'库存（子SKU）'!AC:AC)</f>
        <v>1.89</v>
      </c>
      <c r="AB70">
        <f>SUMIF('库存（子SKU）'!$C:$C,$A70,'库存（子SKU）'!AD:AD)</f>
        <v>0.77</v>
      </c>
      <c r="AC70">
        <f>SUMIF('库存（子SKU）'!$C:$C,$A70,'库存（子SKU）'!AE:AE)</f>
        <v>3.64</v>
      </c>
      <c r="AD70" s="23" t="str">
        <f t="shared" si="20"/>
        <v/>
      </c>
      <c r="AE70" s="23" t="str">
        <f t="shared" si="21"/>
        <v>无销量广告费为1.89</v>
      </c>
      <c r="AF70" s="23" t="str">
        <f t="shared" si="22"/>
        <v>无销量广告费为0.77</v>
      </c>
      <c r="AG70" s="23" t="str">
        <f t="shared" si="23"/>
        <v>无销量广告费为3.64</v>
      </c>
      <c r="AH70">
        <f>SUMIF('库存（子SKU）'!$C:$C,$A70,'库存（子SKU）'!AJ:AJ)</f>
        <v>4</v>
      </c>
      <c r="AI70">
        <f>SUMIF('库存（子SKU）'!$C:$C,$A70,'库存（子SKU）'!AK:AK)</f>
        <v>4</v>
      </c>
      <c r="AJ70">
        <f>SUMIF('库存（子SKU）'!$C:$C,$A70,'库存（子SKU）'!AL:AL)</f>
        <v>3</v>
      </c>
      <c r="AK70">
        <f>SUMIF('库存（子SKU）'!$C:$C,$A70,'库存（子SKU）'!AM:AM)</f>
        <v>6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8</v>
      </c>
      <c r="AS70" t="str">
        <f t="shared" si="31"/>
        <v>库存为8</v>
      </c>
      <c r="AT70" s="25" t="str">
        <f>IFERROR(时间!$B$4+AS70,"上周无销量")</f>
        <v>上周无销量</v>
      </c>
    </row>
    <row r="71" spans="1:46">
      <c r="A71" t="s">
        <v>1086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55</v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45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>
        <f t="shared" si="35"/>
        <v>0</v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1</v>
      </c>
      <c r="AI71">
        <f>SUMIF('库存（子SKU）'!$C:$C,$A71,'库存（子SKU）'!AK:AK)</f>
        <v>1</v>
      </c>
      <c r="AJ71">
        <f>SUMIF('库存（子SKU）'!$C:$C,$A71,'库存（子SKU）'!AL:AL)</f>
        <v>1</v>
      </c>
      <c r="AK71">
        <f>SUMIF('库存（子SKU）'!$C:$C,$A71,'库存（子SKU）'!AM:AM)</f>
        <v>2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1</v>
      </c>
      <c r="AS71" t="str">
        <f t="shared" si="31"/>
        <v>库存为1</v>
      </c>
      <c r="AT71" s="25" t="str">
        <f>IFERROR(时间!$B$4+AS71,"上周无销量")</f>
        <v>上周无销量</v>
      </c>
    </row>
    <row r="72" spans="1:46">
      <c r="A72" t="s">
        <v>1089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55</v>
      </c>
      <c r="G72">
        <f>SUMIF('库存（子SKU）'!$C:$C,$A72,'库存（子SKU）'!I:I)</f>
        <v>20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20</v>
      </c>
      <c r="L72">
        <f>SUMIF('库存（子SKU）'!$C:$C,$A72,'库存（子SKU）'!N:N)</f>
        <v>0</v>
      </c>
      <c r="M72">
        <f>SUMIF('库存（子SKU）'!$C:$C,$A72,'库存（子SKU）'!O:O)</f>
        <v>19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2200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8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>
        <f t="shared" si="35"/>
        <v>0.00363636363636364</v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2.22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>无销量广告费为2.22</v>
      </c>
      <c r="AH72">
        <f>SUMIF('库存（子SKU）'!$C:$C,$A72,'库存（子SKU）'!AJ:AJ)</f>
        <v>2</v>
      </c>
      <c r="AI72">
        <f>SUMIF('库存（子SKU）'!$C:$C,$A72,'库存（子SKU）'!AK:AK)</f>
        <v>4</v>
      </c>
      <c r="AJ72">
        <f>SUMIF('库存（子SKU）'!$C:$C,$A72,'库存（子SKU）'!AL:AL)</f>
        <v>2</v>
      </c>
      <c r="AK72">
        <f>SUMIF('库存（子SKU）'!$C:$C,$A72,'库存（子SKU）'!AM:AM)</f>
        <v>6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20</v>
      </c>
      <c r="AS72" t="str">
        <f t="shared" si="31"/>
        <v>库存为20</v>
      </c>
      <c r="AT72" s="25" t="str">
        <f>IFERROR(时间!$B$4+AS72,"上周无销量")</f>
        <v>上周无销量</v>
      </c>
    </row>
    <row r="73" spans="1:46">
      <c r="A73" t="s">
        <v>1096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55</v>
      </c>
      <c r="G73">
        <f>SUMIF('库存（子SKU）'!$C:$C,$A73,'库存（子SKU）'!I:I)</f>
        <v>2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</v>
      </c>
      <c r="L73">
        <f>SUMIF('库存（子SKU）'!$C:$C,$A73,'库存（子SKU）'!N:N)</f>
        <v>0</v>
      </c>
      <c r="M73">
        <f>SUMIF('库存（子SKU）'!$C:$C,$A73,'库存（子SKU）'!O:O)</f>
        <v>2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245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3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>
        <f t="shared" si="35"/>
        <v>0.0122448979591837</v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1.11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>无销量广告费为1.11</v>
      </c>
      <c r="AH73">
        <f>SUMIF('库存（子SKU）'!$C:$C,$A73,'库存（子SKU）'!AJ:AJ)</f>
        <v>0</v>
      </c>
      <c r="AI73">
        <f>SUMIF('库存（子SKU）'!$C:$C,$A73,'库存（子SKU）'!AK:AK)</f>
        <v>2</v>
      </c>
      <c r="AJ73">
        <f>SUMIF('库存（子SKU）'!$C:$C,$A73,'库存（子SKU）'!AL:AL)</f>
        <v>0</v>
      </c>
      <c r="AK73">
        <f>SUMIF('库存（子SKU）'!$C:$C,$A73,'库存（子SKU）'!AM:AM)</f>
        <v>2</v>
      </c>
      <c r="AL73" s="23" t="str">
        <f t="shared" si="24"/>
        <v/>
      </c>
      <c r="AM73" s="23">
        <f t="shared" si="25"/>
        <v>0</v>
      </c>
      <c r="AN73" s="23" t="str">
        <f t="shared" si="26"/>
        <v/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2</v>
      </c>
      <c r="AS73" t="str">
        <f t="shared" si="31"/>
        <v>库存为2</v>
      </c>
      <c r="AT73" s="25" t="str">
        <f>IFERROR(时间!$B$4+AS73,"上周无销量")</f>
        <v>上周无销量</v>
      </c>
    </row>
    <row r="74" spans="1:46">
      <c r="A74" t="s">
        <v>1099</v>
      </c>
      <c r="B74" s="6">
        <f>SUMIF('库存（子SKU）'!$C:$C,$A74,'库存（子SKU）'!D:D)</f>
        <v>1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>
        <v>8.79</v>
      </c>
      <c r="G74">
        <f>SUMIF('库存（子SKU）'!$C:$C,$A74,'库存（子SKU）'!I:I)</f>
        <v>264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264</v>
      </c>
      <c r="L74">
        <f>SUMIF('库存（子SKU）'!$C:$C,$A74,'库存（子SKU）'!N:N)</f>
        <v>0</v>
      </c>
      <c r="M74">
        <f>SUMIF('库存（子SKU）'!$C:$C,$A74,'库存（子SKU）'!O:O)</f>
        <v>263</v>
      </c>
      <c r="N74">
        <f>SUMIF('库存（子SKU）'!$C:$C,$A74,'库存（子SKU）'!P:P)</f>
        <v>118</v>
      </c>
      <c r="O74">
        <f>SUMIF('库存（子SKU）'!$C:$C,$A74,'库存（子SKU）'!Q:Q)</f>
        <v>136</v>
      </c>
      <c r="P74">
        <f>SUMIF('库存（子SKU）'!$C:$C,$A74,'库存（子SKU）'!R:R)</f>
        <v>103</v>
      </c>
      <c r="Q74">
        <f>SUMIF('库存（子SKU）'!$C:$C,$A74,'库存（子SKU）'!S:S)</f>
        <v>93</v>
      </c>
      <c r="R74">
        <f>SUMIF('库存（子SKU）'!$C:$C,$A74,'库存（子SKU）'!T:T)</f>
        <v>0</v>
      </c>
      <c r="S74">
        <f>SUMIF('库存（子SKU）'!$C:$C,$A74,'库存（子SKU）'!U:U)</f>
        <v>1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>
        <f t="shared" si="32"/>
        <v>0</v>
      </c>
      <c r="W74" s="23">
        <f t="shared" si="33"/>
        <v>0.00735294117647059</v>
      </c>
      <c r="X74" s="23">
        <f t="shared" si="34"/>
        <v>0</v>
      </c>
      <c r="Y74" s="23">
        <f t="shared" si="35"/>
        <v>0</v>
      </c>
      <c r="Z74">
        <f>SUMIF('库存（子SKU）'!$C:$C,$A74,'库存（子SKU）'!AB:AB)</f>
        <v>0</v>
      </c>
      <c r="AA74">
        <f>SUMIF('库存（子SKU）'!$C:$C,$A74,'库存（子SKU）'!AC:AC)</f>
        <v>0.16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>
        <f t="shared" si="20"/>
        <v>0</v>
      </c>
      <c r="AE74" s="23" t="str">
        <f t="shared" si="21"/>
        <v>无销量广告费为0.16</v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15</v>
      </c>
      <c r="AI74">
        <f>SUMIF('库存（子SKU）'!$C:$C,$A74,'库存（子SKU）'!AK:AK)</f>
        <v>15</v>
      </c>
      <c r="AJ74">
        <f>SUMIF('库存（子SKU）'!$C:$C,$A74,'库存（子SKU）'!AL:AL)</f>
        <v>9</v>
      </c>
      <c r="AK74">
        <f>SUMIF('库存（子SKU）'!$C:$C,$A74,'库存（子SKU）'!AM:AM)</f>
        <v>11</v>
      </c>
      <c r="AL74" s="23">
        <f t="shared" si="24"/>
        <v>0.0666666666666667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0.142857142857143</v>
      </c>
      <c r="AQ74" s="8">
        <f t="shared" si="29"/>
        <v>8.57142857142857</v>
      </c>
      <c r="AR74" s="8">
        <f t="shared" si="30"/>
        <v>255.428571428571</v>
      </c>
      <c r="AS74">
        <f t="shared" si="31"/>
        <v>1848</v>
      </c>
      <c r="AT74" s="25">
        <f>IFERROR(时间!$B$4+AS74,"上周无销量")</f>
        <v>45131</v>
      </c>
    </row>
    <row r="75" spans="1:46">
      <c r="A75" t="s">
        <v>1117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1</v>
      </c>
      <c r="E75" s="6">
        <f>SUMIF('库存（子SKU）'!$C:$C,$A75,'库存（子SKU）'!G:G)</f>
        <v>0</v>
      </c>
      <c r="F75" s="7">
        <v>8.79</v>
      </c>
      <c r="G75">
        <f>SUMIF('库存（子SKU）'!$C:$C,$A75,'库存（子SKU）'!I:I)</f>
        <v>102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102</v>
      </c>
      <c r="L75">
        <f>SUMIF('库存（子SKU）'!$C:$C,$A75,'库存（子SKU）'!N:N)</f>
        <v>0</v>
      </c>
      <c r="M75">
        <f>SUMIF('库存（子SKU）'!$C:$C,$A75,'库存（子SKU）'!O:O)</f>
        <v>101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>
        <f t="shared" si="22"/>
        <v>0</v>
      </c>
      <c r="AG75" s="23" t="str">
        <f t="shared" si="23"/>
        <v/>
      </c>
      <c r="AH75">
        <f>SUMIF('库存（子SKU）'!$C:$C,$A75,'库存（子SKU）'!AJ:AJ)</f>
        <v>3</v>
      </c>
      <c r="AI75">
        <f>SUMIF('库存（子SKU）'!$C:$C,$A75,'库存（子SKU）'!AK:AK)</f>
        <v>9</v>
      </c>
      <c r="AJ75">
        <f>SUMIF('库存（子SKU）'!$C:$C,$A75,'库存（子SKU）'!AL:AL)</f>
        <v>2</v>
      </c>
      <c r="AK75">
        <f>SUMIF('库存（子SKU）'!$C:$C,$A75,'库存（子SKU）'!AM:AM)</f>
        <v>4</v>
      </c>
      <c r="AL75" s="23">
        <f t="shared" si="24"/>
        <v>0</v>
      </c>
      <c r="AM75" s="23">
        <f t="shared" si="25"/>
        <v>0</v>
      </c>
      <c r="AN75" s="23">
        <f t="shared" si="26"/>
        <v>0.5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102</v>
      </c>
      <c r="AS75" t="str">
        <f t="shared" si="31"/>
        <v>库存为102</v>
      </c>
      <c r="AT75" s="25" t="str">
        <f>IFERROR(时间!$B$4+AS75,"上周无销量")</f>
        <v>上周无销量</v>
      </c>
    </row>
    <row r="76" spans="1:46">
      <c r="A76" t="s">
        <v>1124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55</v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29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>
        <f t="shared" si="35"/>
        <v>0</v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0</v>
      </c>
      <c r="AJ76">
        <f>SUMIF('库存（子SKU）'!$C:$C,$A76,'库存（子SKU）'!AL:AL)</f>
        <v>1</v>
      </c>
      <c r="AK76">
        <f>SUMIF('库存（子SKU）'!$C:$C,$A76,'库存（子SKU）'!AM:AM)</f>
        <v>1</v>
      </c>
      <c r="AL76" s="23">
        <f t="shared" si="24"/>
        <v>0</v>
      </c>
      <c r="AM76" s="23" t="str">
        <f t="shared" si="25"/>
        <v/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 t="s">
        <v>1127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55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</v>
      </c>
      <c r="L77">
        <f>SUMIF('库存（子SKU）'!$C:$C,$A77,'库存（子SKU）'!N:N)</f>
        <v>0</v>
      </c>
      <c r="M77">
        <f>SUMIF('库存（子SKU）'!$C:$C,$A77,'库存（子SKU）'!O:O)</f>
        <v>3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94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>
        <f t="shared" si="35"/>
        <v>0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1</v>
      </c>
      <c r="AI77">
        <f>SUMIF('库存（子SKU）'!$C:$C,$A77,'库存（子SKU）'!AK:AK)</f>
        <v>0</v>
      </c>
      <c r="AJ77">
        <f>SUMIF('库存（子SKU）'!$C:$C,$A77,'库存（子SKU）'!AL:AL)</f>
        <v>1</v>
      </c>
      <c r="AK77">
        <f>SUMIF('库存（子SKU）'!$C:$C,$A77,'库存（子SKU）'!AM:AM)</f>
        <v>2</v>
      </c>
      <c r="AL77" s="23">
        <f t="shared" si="24"/>
        <v>0</v>
      </c>
      <c r="AM77" s="23" t="str">
        <f t="shared" si="25"/>
        <v/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3</v>
      </c>
      <c r="AS77" t="str">
        <f t="shared" si="31"/>
        <v>库存为3</v>
      </c>
      <c r="AT77" s="25" t="str">
        <f>IFERROR(时间!$B$4+AS77,"上周无销量")</f>
        <v>上周无销量</v>
      </c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921" operator="lessThan">
      <formula>20</formula>
    </cfRule>
    <cfRule type="cellIs" dxfId="1" priority="920" operator="greaterThan">
      <formula>120</formula>
    </cfRule>
    <cfRule type="containsText" dxfId="3" priority="919" operator="between" text="库存">
      <formula>NOT(ISERROR(SEARCH("库存",AS2)))</formula>
    </cfRule>
  </conditionalFormatting>
  <conditionalFormatting sqref="AS6">
    <cfRule type="cellIs" dxfId="0" priority="216" operator="lessThan">
      <formula>20</formula>
    </cfRule>
    <cfRule type="cellIs" dxfId="1" priority="144" operator="greaterThan">
      <formula>120</formula>
    </cfRule>
    <cfRule type="containsText" dxfId="3" priority="72" operator="between" text="库存">
      <formula>NOT(ISERROR(SEARCH("库存",AS6)))</formula>
    </cfRule>
  </conditionalFormatting>
  <conditionalFormatting sqref="AS7">
    <cfRule type="cellIs" dxfId="0" priority="215" operator="lessThan">
      <formula>20</formula>
    </cfRule>
    <cfRule type="cellIs" dxfId="1" priority="143" operator="greaterThan">
      <formula>120</formula>
    </cfRule>
    <cfRule type="containsText" dxfId="3" priority="71" operator="between" text="库存">
      <formula>NOT(ISERROR(SEARCH("库存",AS7)))</formula>
    </cfRule>
  </conditionalFormatting>
  <conditionalFormatting sqref="AS8">
    <cfRule type="cellIs" dxfId="0" priority="214" operator="lessThan">
      <formula>20</formula>
    </cfRule>
    <cfRule type="cellIs" dxfId="1" priority="142" operator="greaterThan">
      <formula>120</formula>
    </cfRule>
    <cfRule type="containsText" dxfId="3" priority="70" operator="between" text="库存">
      <formula>NOT(ISERROR(SEARCH("库存",AS8)))</formula>
    </cfRule>
  </conditionalFormatting>
  <conditionalFormatting sqref="AS9">
    <cfRule type="cellIs" dxfId="0" priority="213" operator="lessThan">
      <formula>20</formula>
    </cfRule>
    <cfRule type="cellIs" dxfId="1" priority="141" operator="greaterThan">
      <formula>120</formula>
    </cfRule>
    <cfRule type="containsText" dxfId="3" priority="69" operator="between" text="库存">
      <formula>NOT(ISERROR(SEARCH("库存",AS9)))</formula>
    </cfRule>
  </conditionalFormatting>
  <conditionalFormatting sqref="AS10">
    <cfRule type="cellIs" dxfId="0" priority="212" operator="lessThan">
      <formula>20</formula>
    </cfRule>
    <cfRule type="cellIs" dxfId="1" priority="140" operator="greaterThan">
      <formula>120</formula>
    </cfRule>
    <cfRule type="containsText" dxfId="3" priority="68" operator="between" text="库存">
      <formula>NOT(ISERROR(SEARCH("库存",AS10)))</formula>
    </cfRule>
  </conditionalFormatting>
  <conditionalFormatting sqref="AS11">
    <cfRule type="cellIs" dxfId="0" priority="211" operator="lessThan">
      <formula>20</formula>
    </cfRule>
    <cfRule type="cellIs" dxfId="1" priority="139" operator="greaterThan">
      <formula>120</formula>
    </cfRule>
    <cfRule type="containsText" dxfId="3" priority="67" operator="between" text="库存">
      <formula>NOT(ISERROR(SEARCH("库存",AS11)))</formula>
    </cfRule>
  </conditionalFormatting>
  <conditionalFormatting sqref="AS12">
    <cfRule type="cellIs" dxfId="0" priority="210" operator="lessThan">
      <formula>20</formula>
    </cfRule>
    <cfRule type="cellIs" dxfId="1" priority="138" operator="greaterThan">
      <formula>120</formula>
    </cfRule>
    <cfRule type="containsText" dxfId="3" priority="66" operator="between" text="库存">
      <formula>NOT(ISERROR(SEARCH("库存",AS12)))</formula>
    </cfRule>
  </conditionalFormatting>
  <conditionalFormatting sqref="AS13">
    <cfRule type="cellIs" dxfId="0" priority="209" operator="lessThan">
      <formula>20</formula>
    </cfRule>
    <cfRule type="cellIs" dxfId="1" priority="137" operator="greaterThan">
      <formula>120</formula>
    </cfRule>
    <cfRule type="containsText" dxfId="3" priority="65" operator="between" text="库存">
      <formula>NOT(ISERROR(SEARCH("库存",AS13)))</formula>
    </cfRule>
  </conditionalFormatting>
  <conditionalFormatting sqref="AS14">
    <cfRule type="cellIs" dxfId="0" priority="208" operator="lessThan">
      <formula>20</formula>
    </cfRule>
    <cfRule type="cellIs" dxfId="1" priority="136" operator="greaterThan">
      <formula>120</formula>
    </cfRule>
    <cfRule type="containsText" dxfId="3" priority="64" operator="between" text="库存">
      <formula>NOT(ISERROR(SEARCH("库存",AS14)))</formula>
    </cfRule>
  </conditionalFormatting>
  <conditionalFormatting sqref="AS15">
    <cfRule type="cellIs" dxfId="0" priority="207" operator="lessThan">
      <formula>20</formula>
    </cfRule>
    <cfRule type="cellIs" dxfId="1" priority="135" operator="greaterThan">
      <formula>120</formula>
    </cfRule>
    <cfRule type="containsText" dxfId="3" priority="63" operator="between" text="库存">
      <formula>NOT(ISERROR(SEARCH("库存",AS15)))</formula>
    </cfRule>
  </conditionalFormatting>
  <conditionalFormatting sqref="AS16">
    <cfRule type="cellIs" dxfId="0" priority="206" operator="lessThan">
      <formula>20</formula>
    </cfRule>
    <cfRule type="cellIs" dxfId="1" priority="134" operator="greaterThan">
      <formula>120</formula>
    </cfRule>
    <cfRule type="containsText" dxfId="3" priority="62" operator="between" text="库存">
      <formula>NOT(ISERROR(SEARCH("库存",AS16)))</formula>
    </cfRule>
  </conditionalFormatting>
  <conditionalFormatting sqref="AS17">
    <cfRule type="cellIs" dxfId="0" priority="205" operator="lessThan">
      <formula>20</formula>
    </cfRule>
    <cfRule type="cellIs" dxfId="1" priority="133" operator="greaterThan">
      <formula>120</formula>
    </cfRule>
    <cfRule type="containsText" dxfId="3" priority="61" operator="between" text="库存">
      <formula>NOT(ISERROR(SEARCH("库存",AS17)))</formula>
    </cfRule>
  </conditionalFormatting>
  <conditionalFormatting sqref="AS18">
    <cfRule type="cellIs" dxfId="0" priority="204" operator="lessThan">
      <formula>20</formula>
    </cfRule>
    <cfRule type="cellIs" dxfId="1" priority="132" operator="greaterThan">
      <formula>120</formula>
    </cfRule>
    <cfRule type="containsText" dxfId="3" priority="60" operator="between" text="库存">
      <formula>NOT(ISERROR(SEARCH("库存",AS18)))</formula>
    </cfRule>
  </conditionalFormatting>
  <conditionalFormatting sqref="AS19">
    <cfRule type="cellIs" dxfId="0" priority="203" operator="lessThan">
      <formula>20</formula>
    </cfRule>
    <cfRule type="cellIs" dxfId="1" priority="131" operator="greaterThan">
      <formula>120</formula>
    </cfRule>
    <cfRule type="containsText" dxfId="3" priority="59" operator="between" text="库存">
      <formula>NOT(ISERROR(SEARCH("库存",AS19)))</formula>
    </cfRule>
  </conditionalFormatting>
  <conditionalFormatting sqref="AS20">
    <cfRule type="cellIs" dxfId="0" priority="202" operator="lessThan">
      <formula>20</formula>
    </cfRule>
    <cfRule type="cellIs" dxfId="1" priority="130" operator="greaterThan">
      <formula>120</formula>
    </cfRule>
    <cfRule type="containsText" dxfId="3" priority="58" operator="between" text="库存">
      <formula>NOT(ISERROR(SEARCH("库存",AS20)))</formula>
    </cfRule>
  </conditionalFormatting>
  <conditionalFormatting sqref="AS21">
    <cfRule type="cellIs" dxfId="0" priority="201" operator="lessThan">
      <formula>20</formula>
    </cfRule>
    <cfRule type="cellIs" dxfId="1" priority="129" operator="greaterThan">
      <formula>120</formula>
    </cfRule>
    <cfRule type="containsText" dxfId="3" priority="57" operator="between" text="库存">
      <formula>NOT(ISERROR(SEARCH("库存",AS21)))</formula>
    </cfRule>
  </conditionalFormatting>
  <conditionalFormatting sqref="AS22">
    <cfRule type="cellIs" dxfId="0" priority="200" operator="lessThan">
      <formula>20</formula>
    </cfRule>
    <cfRule type="cellIs" dxfId="1" priority="128" operator="greaterThan">
      <formula>120</formula>
    </cfRule>
    <cfRule type="containsText" dxfId="3" priority="56" operator="between" text="库存">
      <formula>NOT(ISERROR(SEARCH("库存",AS22)))</formula>
    </cfRule>
  </conditionalFormatting>
  <conditionalFormatting sqref="AS23">
    <cfRule type="cellIs" dxfId="0" priority="199" operator="lessThan">
      <formula>20</formula>
    </cfRule>
    <cfRule type="cellIs" dxfId="1" priority="127" operator="greaterThan">
      <formula>120</formula>
    </cfRule>
    <cfRule type="containsText" dxfId="3" priority="55" operator="between" text="库存">
      <formula>NOT(ISERROR(SEARCH("库存",AS23)))</formula>
    </cfRule>
  </conditionalFormatting>
  <conditionalFormatting sqref="AS24">
    <cfRule type="cellIs" dxfId="0" priority="198" operator="lessThan">
      <formula>20</formula>
    </cfRule>
    <cfRule type="cellIs" dxfId="1" priority="126" operator="greaterThan">
      <formula>120</formula>
    </cfRule>
    <cfRule type="containsText" dxfId="3" priority="54" operator="between" text="库存">
      <formula>NOT(ISERROR(SEARCH("库存",AS24)))</formula>
    </cfRule>
  </conditionalFormatting>
  <conditionalFormatting sqref="AS25">
    <cfRule type="cellIs" dxfId="0" priority="197" operator="lessThan">
      <formula>20</formula>
    </cfRule>
    <cfRule type="cellIs" dxfId="1" priority="125" operator="greaterThan">
      <formula>120</formula>
    </cfRule>
    <cfRule type="containsText" dxfId="3" priority="53" operator="between" text="库存">
      <formula>NOT(ISERROR(SEARCH("库存",AS25)))</formula>
    </cfRule>
  </conditionalFormatting>
  <conditionalFormatting sqref="AS26">
    <cfRule type="cellIs" dxfId="0" priority="196" operator="lessThan">
      <formula>20</formula>
    </cfRule>
    <cfRule type="cellIs" dxfId="1" priority="124" operator="greaterThan">
      <formula>120</formula>
    </cfRule>
    <cfRule type="containsText" dxfId="3" priority="52" operator="between" text="库存">
      <formula>NOT(ISERROR(SEARCH("库存",AS26)))</formula>
    </cfRule>
  </conditionalFormatting>
  <conditionalFormatting sqref="AS27">
    <cfRule type="cellIs" dxfId="0" priority="195" operator="lessThan">
      <formula>20</formula>
    </cfRule>
    <cfRule type="cellIs" dxfId="1" priority="123" operator="greaterThan">
      <formula>120</formula>
    </cfRule>
    <cfRule type="containsText" dxfId="3" priority="51" operator="between" text="库存">
      <formula>NOT(ISERROR(SEARCH("库存",AS27)))</formula>
    </cfRule>
  </conditionalFormatting>
  <conditionalFormatting sqref="AS28">
    <cfRule type="cellIs" dxfId="0" priority="194" operator="lessThan">
      <formula>20</formula>
    </cfRule>
    <cfRule type="cellIs" dxfId="1" priority="122" operator="greaterThan">
      <formula>120</formula>
    </cfRule>
    <cfRule type="containsText" dxfId="3" priority="50" operator="between" text="库存">
      <formula>NOT(ISERROR(SEARCH("库存",AS28)))</formula>
    </cfRule>
  </conditionalFormatting>
  <conditionalFormatting sqref="AS29">
    <cfRule type="cellIs" dxfId="0" priority="193" operator="lessThan">
      <formula>20</formula>
    </cfRule>
    <cfRule type="cellIs" dxfId="1" priority="121" operator="greaterThan">
      <formula>120</formula>
    </cfRule>
    <cfRule type="containsText" dxfId="3" priority="49" operator="between" text="库存">
      <formula>NOT(ISERROR(SEARCH("库存",AS29)))</formula>
    </cfRule>
  </conditionalFormatting>
  <conditionalFormatting sqref="AS30">
    <cfRule type="cellIs" dxfId="0" priority="192" operator="lessThan">
      <formula>20</formula>
    </cfRule>
    <cfRule type="cellIs" dxfId="1" priority="120" operator="greaterThan">
      <formula>120</formula>
    </cfRule>
    <cfRule type="containsText" dxfId="3" priority="48" operator="between" text="库存">
      <formula>NOT(ISERROR(SEARCH("库存",AS30)))</formula>
    </cfRule>
  </conditionalFormatting>
  <conditionalFormatting sqref="AS31">
    <cfRule type="cellIs" dxfId="0" priority="191" operator="lessThan">
      <formula>20</formula>
    </cfRule>
    <cfRule type="cellIs" dxfId="1" priority="119" operator="greaterThan">
      <formula>120</formula>
    </cfRule>
    <cfRule type="containsText" dxfId="3" priority="47" operator="between" text="库存">
      <formula>NOT(ISERROR(SEARCH("库存",AS31)))</formula>
    </cfRule>
  </conditionalFormatting>
  <conditionalFormatting sqref="AS32">
    <cfRule type="cellIs" dxfId="0" priority="190" operator="lessThan">
      <formula>20</formula>
    </cfRule>
    <cfRule type="cellIs" dxfId="1" priority="118" operator="greaterThan">
      <formula>120</formula>
    </cfRule>
    <cfRule type="containsText" dxfId="3" priority="46" operator="between" text="库存">
      <formula>NOT(ISERROR(SEARCH("库存",AS32)))</formula>
    </cfRule>
  </conditionalFormatting>
  <conditionalFormatting sqref="AS33">
    <cfRule type="cellIs" dxfId="0" priority="189" operator="lessThan">
      <formula>20</formula>
    </cfRule>
    <cfRule type="cellIs" dxfId="1" priority="117" operator="greaterThan">
      <formula>120</formula>
    </cfRule>
    <cfRule type="containsText" dxfId="3" priority="45" operator="between" text="库存">
      <formula>NOT(ISERROR(SEARCH("库存",AS33)))</formula>
    </cfRule>
  </conditionalFormatting>
  <conditionalFormatting sqref="AS34">
    <cfRule type="cellIs" dxfId="0" priority="188" operator="lessThan">
      <formula>20</formula>
    </cfRule>
    <cfRule type="cellIs" dxfId="1" priority="116" operator="greaterThan">
      <formula>120</formula>
    </cfRule>
    <cfRule type="containsText" dxfId="3" priority="44" operator="between" text="库存">
      <formula>NOT(ISERROR(SEARCH("库存",AS34)))</formula>
    </cfRule>
  </conditionalFormatting>
  <conditionalFormatting sqref="AS35">
    <cfRule type="cellIs" dxfId="0" priority="187" operator="lessThan">
      <formula>20</formula>
    </cfRule>
    <cfRule type="cellIs" dxfId="1" priority="115" operator="greaterThan">
      <formula>120</formula>
    </cfRule>
    <cfRule type="containsText" dxfId="3" priority="43" operator="between" text="库存">
      <formula>NOT(ISERROR(SEARCH("库存",AS35)))</formula>
    </cfRule>
  </conditionalFormatting>
  <conditionalFormatting sqref="AS36">
    <cfRule type="cellIs" dxfId="0" priority="186" operator="lessThan">
      <formula>20</formula>
    </cfRule>
    <cfRule type="cellIs" dxfId="1" priority="114" operator="greaterThan">
      <formula>120</formula>
    </cfRule>
    <cfRule type="containsText" dxfId="3" priority="42" operator="between" text="库存">
      <formula>NOT(ISERROR(SEARCH("库存",AS36)))</formula>
    </cfRule>
  </conditionalFormatting>
  <conditionalFormatting sqref="AS37">
    <cfRule type="cellIs" dxfId="0" priority="185" operator="lessThan">
      <formula>20</formula>
    </cfRule>
    <cfRule type="cellIs" dxfId="1" priority="113" operator="greaterThan">
      <formula>120</formula>
    </cfRule>
    <cfRule type="containsText" dxfId="3" priority="41" operator="between" text="库存">
      <formula>NOT(ISERROR(SEARCH("库存",AS37)))</formula>
    </cfRule>
  </conditionalFormatting>
  <conditionalFormatting sqref="AS38">
    <cfRule type="cellIs" dxfId="0" priority="184" operator="lessThan">
      <formula>20</formula>
    </cfRule>
    <cfRule type="cellIs" dxfId="1" priority="112" operator="greaterThan">
      <formula>120</formula>
    </cfRule>
    <cfRule type="containsText" dxfId="3" priority="40" operator="between" text="库存">
      <formula>NOT(ISERROR(SEARCH("库存",AS38)))</formula>
    </cfRule>
  </conditionalFormatting>
  <conditionalFormatting sqref="AS39">
    <cfRule type="cellIs" dxfId="0" priority="183" operator="lessThan">
      <formula>20</formula>
    </cfRule>
    <cfRule type="cellIs" dxfId="1" priority="111" operator="greaterThan">
      <formula>120</formula>
    </cfRule>
    <cfRule type="containsText" dxfId="3" priority="39" operator="between" text="库存">
      <formula>NOT(ISERROR(SEARCH("库存",AS39)))</formula>
    </cfRule>
  </conditionalFormatting>
  <conditionalFormatting sqref="AS40">
    <cfRule type="cellIs" dxfId="0" priority="182" operator="lessThan">
      <formula>20</formula>
    </cfRule>
    <cfRule type="cellIs" dxfId="1" priority="110" operator="greaterThan">
      <formula>120</formula>
    </cfRule>
    <cfRule type="containsText" dxfId="3" priority="38" operator="between" text="库存">
      <formula>NOT(ISERROR(SEARCH("库存",AS40)))</formula>
    </cfRule>
  </conditionalFormatting>
  <conditionalFormatting sqref="AS41">
    <cfRule type="cellIs" dxfId="0" priority="181" operator="lessThan">
      <formula>20</formula>
    </cfRule>
    <cfRule type="cellIs" dxfId="1" priority="109" operator="greaterThan">
      <formula>120</formula>
    </cfRule>
    <cfRule type="containsText" dxfId="3" priority="37" operator="between" text="库存">
      <formula>NOT(ISERROR(SEARCH("库存",AS41)))</formula>
    </cfRule>
  </conditionalFormatting>
  <conditionalFormatting sqref="AS42">
    <cfRule type="cellIs" dxfId="0" priority="180" operator="lessThan">
      <formula>20</formula>
    </cfRule>
    <cfRule type="cellIs" dxfId="1" priority="108" operator="greaterThan">
      <formula>120</formula>
    </cfRule>
    <cfRule type="containsText" dxfId="3" priority="36" operator="between" text="库存">
      <formula>NOT(ISERROR(SEARCH("库存",AS42)))</formula>
    </cfRule>
  </conditionalFormatting>
  <conditionalFormatting sqref="AS43">
    <cfRule type="cellIs" dxfId="0" priority="179" operator="lessThan">
      <formula>20</formula>
    </cfRule>
    <cfRule type="cellIs" dxfId="1" priority="107" operator="greaterThan">
      <formula>120</formula>
    </cfRule>
    <cfRule type="containsText" dxfId="3" priority="35" operator="between" text="库存">
      <formula>NOT(ISERROR(SEARCH("库存",AS43)))</formula>
    </cfRule>
  </conditionalFormatting>
  <conditionalFormatting sqref="AS44">
    <cfRule type="cellIs" dxfId="0" priority="178" operator="lessThan">
      <formula>20</formula>
    </cfRule>
    <cfRule type="cellIs" dxfId="1" priority="106" operator="greaterThan">
      <formula>120</formula>
    </cfRule>
    <cfRule type="containsText" dxfId="3" priority="34" operator="between" text="库存">
      <formula>NOT(ISERROR(SEARCH("库存",AS44)))</formula>
    </cfRule>
  </conditionalFormatting>
  <conditionalFormatting sqref="AS45">
    <cfRule type="cellIs" dxfId="0" priority="177" operator="lessThan">
      <formula>20</formula>
    </cfRule>
    <cfRule type="cellIs" dxfId="1" priority="105" operator="greaterThan">
      <formula>120</formula>
    </cfRule>
    <cfRule type="containsText" dxfId="3" priority="33" operator="between" text="库存">
      <formula>NOT(ISERROR(SEARCH("库存",AS45)))</formula>
    </cfRule>
  </conditionalFormatting>
  <conditionalFormatting sqref="AS46">
    <cfRule type="cellIs" dxfId="0" priority="176" operator="lessThan">
      <formula>20</formula>
    </cfRule>
    <cfRule type="cellIs" dxfId="1" priority="104" operator="greaterThan">
      <formula>120</formula>
    </cfRule>
    <cfRule type="containsText" dxfId="3" priority="32" operator="between" text="库存">
      <formula>NOT(ISERROR(SEARCH("库存",AS46)))</formula>
    </cfRule>
  </conditionalFormatting>
  <conditionalFormatting sqref="AS47">
    <cfRule type="cellIs" dxfId="0" priority="175" operator="lessThan">
      <formula>20</formula>
    </cfRule>
    <cfRule type="cellIs" dxfId="1" priority="103" operator="greaterThan">
      <formula>120</formula>
    </cfRule>
    <cfRule type="containsText" dxfId="3" priority="31" operator="between" text="库存">
      <formula>NOT(ISERROR(SEARCH("库存",AS47)))</formula>
    </cfRule>
  </conditionalFormatting>
  <conditionalFormatting sqref="AS48">
    <cfRule type="cellIs" dxfId="0" priority="174" operator="lessThan">
      <formula>20</formula>
    </cfRule>
    <cfRule type="cellIs" dxfId="1" priority="102" operator="greaterThan">
      <formula>120</formula>
    </cfRule>
    <cfRule type="containsText" dxfId="3" priority="30" operator="between" text="库存">
      <formula>NOT(ISERROR(SEARCH("库存",AS48)))</formula>
    </cfRule>
  </conditionalFormatting>
  <conditionalFormatting sqref="AS49">
    <cfRule type="cellIs" dxfId="0" priority="173" operator="lessThan">
      <formula>20</formula>
    </cfRule>
    <cfRule type="cellIs" dxfId="1" priority="101" operator="greaterThan">
      <formula>120</formula>
    </cfRule>
    <cfRule type="containsText" dxfId="3" priority="29" operator="between" text="库存">
      <formula>NOT(ISERROR(SEARCH("库存",AS49)))</formula>
    </cfRule>
  </conditionalFormatting>
  <conditionalFormatting sqref="AS50">
    <cfRule type="cellIs" dxfId="0" priority="172" operator="lessThan">
      <formula>20</formula>
    </cfRule>
    <cfRule type="cellIs" dxfId="1" priority="100" operator="greaterThan">
      <formula>120</formula>
    </cfRule>
    <cfRule type="containsText" dxfId="3" priority="28" operator="between" text="库存">
      <formula>NOT(ISERROR(SEARCH("库存",AS50)))</formula>
    </cfRule>
  </conditionalFormatting>
  <conditionalFormatting sqref="AS51">
    <cfRule type="cellIs" dxfId="0" priority="171" operator="lessThan">
      <formula>20</formula>
    </cfRule>
    <cfRule type="cellIs" dxfId="1" priority="99" operator="greaterThan">
      <formula>120</formula>
    </cfRule>
    <cfRule type="containsText" dxfId="3" priority="27" operator="between" text="库存">
      <formula>NOT(ISERROR(SEARCH("库存",AS51)))</formula>
    </cfRule>
  </conditionalFormatting>
  <conditionalFormatting sqref="AS52">
    <cfRule type="cellIs" dxfId="0" priority="170" operator="lessThan">
      <formula>20</formula>
    </cfRule>
    <cfRule type="cellIs" dxfId="1" priority="98" operator="greaterThan">
      <formula>120</formula>
    </cfRule>
    <cfRule type="containsText" dxfId="3" priority="26" operator="between" text="库存">
      <formula>NOT(ISERROR(SEARCH("库存",AS52)))</formula>
    </cfRule>
  </conditionalFormatting>
  <conditionalFormatting sqref="AS53">
    <cfRule type="cellIs" dxfId="0" priority="169" operator="lessThan">
      <formula>20</formula>
    </cfRule>
    <cfRule type="cellIs" dxfId="1" priority="97" operator="greaterThan">
      <formula>120</formula>
    </cfRule>
    <cfRule type="containsText" dxfId="3" priority="25" operator="between" text="库存">
      <formula>NOT(ISERROR(SEARCH("库存",AS53)))</formula>
    </cfRule>
  </conditionalFormatting>
  <conditionalFormatting sqref="AS54">
    <cfRule type="cellIs" dxfId="0" priority="168" operator="lessThan">
      <formula>20</formula>
    </cfRule>
    <cfRule type="cellIs" dxfId="1" priority="96" operator="greaterThan">
      <formula>120</formula>
    </cfRule>
    <cfRule type="containsText" dxfId="3" priority="24" operator="between" text="库存">
      <formula>NOT(ISERROR(SEARCH("库存",AS54)))</formula>
    </cfRule>
  </conditionalFormatting>
  <conditionalFormatting sqref="AS55">
    <cfRule type="cellIs" dxfId="0" priority="167" operator="lessThan">
      <formula>20</formula>
    </cfRule>
    <cfRule type="cellIs" dxfId="1" priority="95" operator="greaterThan">
      <formula>120</formula>
    </cfRule>
    <cfRule type="containsText" dxfId="3" priority="23" operator="between" text="库存">
      <formula>NOT(ISERROR(SEARCH("库存",AS55)))</formula>
    </cfRule>
  </conditionalFormatting>
  <conditionalFormatting sqref="AS56">
    <cfRule type="cellIs" dxfId="0" priority="166" operator="lessThan">
      <formula>20</formula>
    </cfRule>
    <cfRule type="cellIs" dxfId="1" priority="94" operator="greaterThan">
      <formula>120</formula>
    </cfRule>
    <cfRule type="containsText" dxfId="3" priority="22" operator="between" text="库存">
      <formula>NOT(ISERROR(SEARCH("库存",AS56)))</formula>
    </cfRule>
  </conditionalFormatting>
  <conditionalFormatting sqref="AS57">
    <cfRule type="cellIs" dxfId="0" priority="165" operator="lessThan">
      <formula>20</formula>
    </cfRule>
    <cfRule type="cellIs" dxfId="1" priority="93" operator="greaterThan">
      <formula>120</formula>
    </cfRule>
    <cfRule type="containsText" dxfId="3" priority="21" operator="between" text="库存">
      <formula>NOT(ISERROR(SEARCH("库存",AS57)))</formula>
    </cfRule>
  </conditionalFormatting>
  <conditionalFormatting sqref="AS58">
    <cfRule type="cellIs" dxfId="0" priority="164" operator="lessThan">
      <formula>20</formula>
    </cfRule>
    <cfRule type="cellIs" dxfId="1" priority="92" operator="greaterThan">
      <formula>120</formula>
    </cfRule>
    <cfRule type="containsText" dxfId="3" priority="20" operator="between" text="库存">
      <formula>NOT(ISERROR(SEARCH("库存",AS58)))</formula>
    </cfRule>
  </conditionalFormatting>
  <conditionalFormatting sqref="AS59">
    <cfRule type="cellIs" dxfId="0" priority="163" operator="lessThan">
      <formula>20</formula>
    </cfRule>
    <cfRule type="cellIs" dxfId="1" priority="91" operator="greaterThan">
      <formula>120</formula>
    </cfRule>
    <cfRule type="containsText" dxfId="3" priority="19" operator="between" text="库存">
      <formula>NOT(ISERROR(SEARCH("库存",AS59)))</formula>
    </cfRule>
  </conditionalFormatting>
  <conditionalFormatting sqref="AS60">
    <cfRule type="cellIs" dxfId="0" priority="162" operator="lessThan">
      <formula>20</formula>
    </cfRule>
    <cfRule type="cellIs" dxfId="1" priority="90" operator="greaterThan">
      <formula>120</formula>
    </cfRule>
    <cfRule type="containsText" dxfId="3" priority="18" operator="between" text="库存">
      <formula>NOT(ISERROR(SEARCH("库存",AS60)))</formula>
    </cfRule>
  </conditionalFormatting>
  <conditionalFormatting sqref="AS61">
    <cfRule type="cellIs" dxfId="0" priority="161" operator="lessThan">
      <formula>20</formula>
    </cfRule>
    <cfRule type="cellIs" dxfId="1" priority="89" operator="greaterThan">
      <formula>120</formula>
    </cfRule>
    <cfRule type="containsText" dxfId="3" priority="17" operator="between" text="库存">
      <formula>NOT(ISERROR(SEARCH("库存",AS61)))</formula>
    </cfRule>
  </conditionalFormatting>
  <conditionalFormatting sqref="AS62">
    <cfRule type="cellIs" dxfId="0" priority="160" operator="lessThan">
      <formula>20</formula>
    </cfRule>
    <cfRule type="cellIs" dxfId="1" priority="88" operator="greaterThan">
      <formula>120</formula>
    </cfRule>
    <cfRule type="containsText" dxfId="3" priority="16" operator="between" text="库存">
      <formula>NOT(ISERROR(SEARCH("库存",AS62)))</formula>
    </cfRule>
  </conditionalFormatting>
  <conditionalFormatting sqref="AS63">
    <cfRule type="cellIs" dxfId="0" priority="159" operator="lessThan">
      <formula>20</formula>
    </cfRule>
    <cfRule type="cellIs" dxfId="1" priority="87" operator="greaterThan">
      <formula>120</formula>
    </cfRule>
    <cfRule type="containsText" dxfId="3" priority="15" operator="between" text="库存">
      <formula>NOT(ISERROR(SEARCH("库存",AS63)))</formula>
    </cfRule>
  </conditionalFormatting>
  <conditionalFormatting sqref="AS64">
    <cfRule type="cellIs" dxfId="0" priority="158" operator="lessThan">
      <formula>20</formula>
    </cfRule>
    <cfRule type="cellIs" dxfId="1" priority="86" operator="greaterThan">
      <formula>120</formula>
    </cfRule>
    <cfRule type="containsText" dxfId="3" priority="14" operator="between" text="库存">
      <formula>NOT(ISERROR(SEARCH("库存",AS64)))</formula>
    </cfRule>
  </conditionalFormatting>
  <conditionalFormatting sqref="AS65">
    <cfRule type="cellIs" dxfId="0" priority="157" operator="lessThan">
      <formula>20</formula>
    </cfRule>
    <cfRule type="cellIs" dxfId="1" priority="85" operator="greaterThan">
      <formula>120</formula>
    </cfRule>
    <cfRule type="containsText" dxfId="3" priority="13" operator="between" text="库存">
      <formula>NOT(ISERROR(SEARCH("库存",AS65)))</formula>
    </cfRule>
  </conditionalFormatting>
  <conditionalFormatting sqref="AS66">
    <cfRule type="cellIs" dxfId="0" priority="156" operator="lessThan">
      <formula>20</formula>
    </cfRule>
    <cfRule type="cellIs" dxfId="1" priority="84" operator="greaterThan">
      <formula>120</formula>
    </cfRule>
    <cfRule type="containsText" dxfId="3" priority="12" operator="between" text="库存">
      <formula>NOT(ISERROR(SEARCH("库存",AS66)))</formula>
    </cfRule>
  </conditionalFormatting>
  <conditionalFormatting sqref="AS67">
    <cfRule type="cellIs" dxfId="0" priority="155" operator="lessThan">
      <formula>20</formula>
    </cfRule>
    <cfRule type="cellIs" dxfId="1" priority="83" operator="greaterThan">
      <formula>120</formula>
    </cfRule>
    <cfRule type="containsText" dxfId="3" priority="11" operator="between" text="库存">
      <formula>NOT(ISERROR(SEARCH("库存",AS67)))</formula>
    </cfRule>
  </conditionalFormatting>
  <conditionalFormatting sqref="AS68">
    <cfRule type="cellIs" dxfId="0" priority="154" operator="lessThan">
      <formula>20</formula>
    </cfRule>
    <cfRule type="cellIs" dxfId="1" priority="82" operator="greaterThan">
      <formula>120</formula>
    </cfRule>
    <cfRule type="containsText" dxfId="3" priority="10" operator="between" text="库存">
      <formula>NOT(ISERROR(SEARCH("库存",AS68)))</formula>
    </cfRule>
  </conditionalFormatting>
  <conditionalFormatting sqref="AS69">
    <cfRule type="cellIs" dxfId="0" priority="153" operator="lessThan">
      <formula>20</formula>
    </cfRule>
    <cfRule type="cellIs" dxfId="1" priority="81" operator="greaterThan">
      <formula>120</formula>
    </cfRule>
    <cfRule type="containsText" dxfId="3" priority="9" operator="between" text="库存">
      <formula>NOT(ISERROR(SEARCH("库存",AS69)))</formula>
    </cfRule>
  </conditionalFormatting>
  <conditionalFormatting sqref="AS70">
    <cfRule type="cellIs" dxfId="0" priority="152" operator="lessThan">
      <formula>20</formula>
    </cfRule>
    <cfRule type="cellIs" dxfId="1" priority="80" operator="greaterThan">
      <formula>120</formula>
    </cfRule>
    <cfRule type="containsText" dxfId="3" priority="8" operator="between" text="库存">
      <formula>NOT(ISERROR(SEARCH("库存",AS70)))</formula>
    </cfRule>
  </conditionalFormatting>
  <conditionalFormatting sqref="AS71">
    <cfRule type="cellIs" dxfId="0" priority="151" operator="lessThan">
      <formula>20</formula>
    </cfRule>
    <cfRule type="cellIs" dxfId="1" priority="79" operator="greaterThan">
      <formula>120</formula>
    </cfRule>
    <cfRule type="containsText" dxfId="3" priority="7" operator="between" text="库存">
      <formula>NOT(ISERROR(SEARCH("库存",AS71)))</formula>
    </cfRule>
  </conditionalFormatting>
  <conditionalFormatting sqref="AS72">
    <cfRule type="cellIs" dxfId="0" priority="150" operator="lessThan">
      <formula>20</formula>
    </cfRule>
    <cfRule type="cellIs" dxfId="1" priority="78" operator="greaterThan">
      <formula>120</formula>
    </cfRule>
    <cfRule type="containsText" dxfId="3" priority="6" operator="between" text="库存">
      <formula>NOT(ISERROR(SEARCH("库存",AS72)))</formula>
    </cfRule>
  </conditionalFormatting>
  <conditionalFormatting sqref="AS73">
    <cfRule type="cellIs" dxfId="0" priority="149" operator="lessThan">
      <formula>20</formula>
    </cfRule>
    <cfRule type="cellIs" dxfId="1" priority="77" operator="greaterThan">
      <formula>120</formula>
    </cfRule>
    <cfRule type="containsText" dxfId="3" priority="5" operator="between" text="库存">
      <formula>NOT(ISERROR(SEARCH("库存",AS73)))</formula>
    </cfRule>
  </conditionalFormatting>
  <conditionalFormatting sqref="AS74">
    <cfRule type="cellIs" dxfId="0" priority="148" operator="lessThan">
      <formula>20</formula>
    </cfRule>
    <cfRule type="cellIs" dxfId="1" priority="76" operator="greaterThan">
      <formula>120</formula>
    </cfRule>
    <cfRule type="containsText" dxfId="3" priority="4" operator="between" text="库存">
      <formula>NOT(ISERROR(SEARCH("库存",AS74)))</formula>
    </cfRule>
  </conditionalFormatting>
  <conditionalFormatting sqref="AS75">
    <cfRule type="cellIs" dxfId="0" priority="147" operator="lessThan">
      <formula>20</formula>
    </cfRule>
    <cfRule type="cellIs" dxfId="1" priority="75" operator="greaterThan">
      <formula>120</formula>
    </cfRule>
    <cfRule type="containsText" dxfId="3" priority="3" operator="between" text="库存">
      <formula>NOT(ISERROR(SEARCH("库存",AS75)))</formula>
    </cfRule>
  </conditionalFormatting>
  <conditionalFormatting sqref="AS76">
    <cfRule type="cellIs" dxfId="0" priority="146" operator="lessThan">
      <formula>20</formula>
    </cfRule>
    <cfRule type="cellIs" dxfId="1" priority="74" operator="greaterThan">
      <formula>120</formula>
    </cfRule>
    <cfRule type="containsText" dxfId="3" priority="2" operator="between" text="库存">
      <formula>NOT(ISERROR(SEARCH("库存",AS76)))</formula>
    </cfRule>
  </conditionalFormatting>
  <conditionalFormatting sqref="AS77">
    <cfRule type="cellIs" dxfId="0" priority="145" operator="lessThan">
      <formula>20</formula>
    </cfRule>
    <cfRule type="cellIs" dxfId="1" priority="73" operator="greaterThan">
      <formula>120</formula>
    </cfRule>
    <cfRule type="containsText" dxfId="3" priority="1" operator="between" text="库存">
      <formula>NOT(ISERROR(SEARCH("库存",AS77)))</formula>
    </cfRule>
  </conditionalFormatting>
  <conditionalFormatting sqref="AS78">
    <cfRule type="cellIs" dxfId="0" priority="846" operator="lessThan">
      <formula>20</formula>
    </cfRule>
    <cfRule type="cellIs" dxfId="1" priority="756" operator="greaterThan">
      <formula>120</formula>
    </cfRule>
    <cfRule type="containsText" dxfId="3" priority="666" operator="between" text="库存">
      <formula>NOT(ISERROR(SEARCH("库存",AS78)))</formula>
    </cfRule>
  </conditionalFormatting>
  <conditionalFormatting sqref="AS79">
    <cfRule type="cellIs" dxfId="0" priority="845" operator="lessThan">
      <formula>20</formula>
    </cfRule>
    <cfRule type="cellIs" dxfId="1" priority="755" operator="greaterThan">
      <formula>120</formula>
    </cfRule>
    <cfRule type="containsText" dxfId="3" priority="665" operator="between" text="库存">
      <formula>NOT(ISERROR(SEARCH("库存",AS79)))</formula>
    </cfRule>
  </conditionalFormatting>
  <conditionalFormatting sqref="AS80">
    <cfRule type="cellIs" dxfId="0" priority="844" operator="lessThan">
      <formula>20</formula>
    </cfRule>
    <cfRule type="cellIs" dxfId="1" priority="754" operator="greaterThan">
      <formula>120</formula>
    </cfRule>
    <cfRule type="containsText" dxfId="3" priority="664" operator="between" text="库存">
      <formula>NOT(ISERROR(SEARCH("库存",AS80)))</formula>
    </cfRule>
  </conditionalFormatting>
  <conditionalFormatting sqref="AS81">
    <cfRule type="cellIs" dxfId="0" priority="843" operator="lessThan">
      <formula>20</formula>
    </cfRule>
    <cfRule type="cellIs" dxfId="1" priority="753" operator="greaterThan">
      <formula>120</formula>
    </cfRule>
    <cfRule type="containsText" dxfId="3" priority="663" operator="between" text="库存">
      <formula>NOT(ISERROR(SEARCH("库存",AS81)))</formula>
    </cfRule>
  </conditionalFormatting>
  <conditionalFormatting sqref="AS82">
    <cfRule type="cellIs" dxfId="0" priority="842" operator="lessThan">
      <formula>20</formula>
    </cfRule>
    <cfRule type="cellIs" dxfId="1" priority="752" operator="greaterThan">
      <formula>120</formula>
    </cfRule>
    <cfRule type="containsText" dxfId="3" priority="662" operator="between" text="库存">
      <formula>NOT(ISERROR(SEARCH("库存",AS82)))</formula>
    </cfRule>
  </conditionalFormatting>
  <conditionalFormatting sqref="AS83">
    <cfRule type="cellIs" dxfId="0" priority="841" operator="lessThan">
      <formula>20</formula>
    </cfRule>
    <cfRule type="cellIs" dxfId="1" priority="751" operator="greaterThan">
      <formula>120</formula>
    </cfRule>
    <cfRule type="containsText" dxfId="3" priority="661" operator="between" text="库存">
      <formula>NOT(ISERROR(SEARCH("库存",AS83)))</formula>
    </cfRule>
  </conditionalFormatting>
  <conditionalFormatting sqref="AS84">
    <cfRule type="cellIs" dxfId="0" priority="840" operator="lessThan">
      <formula>20</formula>
    </cfRule>
    <cfRule type="cellIs" dxfId="1" priority="750" operator="greaterThan">
      <formula>120</formula>
    </cfRule>
    <cfRule type="containsText" dxfId="3" priority="660" operator="between" text="库存">
      <formula>NOT(ISERROR(SEARCH("库存",AS84)))</formula>
    </cfRule>
  </conditionalFormatting>
  <conditionalFormatting sqref="AS85">
    <cfRule type="cellIs" dxfId="0" priority="839" operator="lessThan">
      <formula>20</formula>
    </cfRule>
    <cfRule type="cellIs" dxfId="1" priority="749" operator="greaterThan">
      <formula>120</formula>
    </cfRule>
    <cfRule type="containsText" dxfId="3" priority="659" operator="between" text="库存">
      <formula>NOT(ISERROR(SEARCH("库存",AS85)))</formula>
    </cfRule>
  </conditionalFormatting>
  <conditionalFormatting sqref="AS86">
    <cfRule type="cellIs" dxfId="0" priority="838" operator="lessThan">
      <formula>20</formula>
    </cfRule>
    <cfRule type="cellIs" dxfId="1" priority="748" operator="greaterThan">
      <formula>120</formula>
    </cfRule>
    <cfRule type="containsText" dxfId="3" priority="658" operator="between" text="库存">
      <formula>NOT(ISERROR(SEARCH("库存",AS86)))</formula>
    </cfRule>
  </conditionalFormatting>
  <conditionalFormatting sqref="AS87">
    <cfRule type="cellIs" dxfId="0" priority="837" operator="lessThan">
      <formula>20</formula>
    </cfRule>
    <cfRule type="cellIs" dxfId="1" priority="747" operator="greaterThan">
      <formula>120</formula>
    </cfRule>
    <cfRule type="containsText" dxfId="3" priority="657" operator="between" text="库存">
      <formula>NOT(ISERROR(SEARCH("库存",AS87)))</formula>
    </cfRule>
  </conditionalFormatting>
  <conditionalFormatting sqref="AS88">
    <cfRule type="cellIs" dxfId="0" priority="836" operator="lessThan">
      <formula>20</formula>
    </cfRule>
    <cfRule type="cellIs" dxfId="1" priority="746" operator="greaterThan">
      <formula>120</formula>
    </cfRule>
    <cfRule type="containsText" dxfId="3" priority="656" operator="between" text="库存">
      <formula>NOT(ISERROR(SEARCH("库存",AS88)))</formula>
    </cfRule>
  </conditionalFormatting>
  <conditionalFormatting sqref="AS89">
    <cfRule type="cellIs" dxfId="0" priority="835" operator="lessThan">
      <formula>20</formula>
    </cfRule>
    <cfRule type="cellIs" dxfId="1" priority="745" operator="greaterThan">
      <formula>120</formula>
    </cfRule>
    <cfRule type="containsText" dxfId="3" priority="655" operator="between" text="库存">
      <formula>NOT(ISERROR(SEARCH("库存",AS89)))</formula>
    </cfRule>
  </conditionalFormatting>
  <conditionalFormatting sqref="AS90">
    <cfRule type="cellIs" dxfId="0" priority="834" operator="lessThan">
      <formula>20</formula>
    </cfRule>
    <cfRule type="cellIs" dxfId="1" priority="744" operator="greaterThan">
      <formula>120</formula>
    </cfRule>
    <cfRule type="containsText" dxfId="3" priority="654" operator="between" text="库存">
      <formula>NOT(ISERROR(SEARCH("库存",AS90)))</formula>
    </cfRule>
  </conditionalFormatting>
  <conditionalFormatting sqref="AS91">
    <cfRule type="cellIs" dxfId="0" priority="833" operator="lessThan">
      <formula>20</formula>
    </cfRule>
    <cfRule type="cellIs" dxfId="1" priority="743" operator="greaterThan">
      <formula>120</formula>
    </cfRule>
    <cfRule type="containsText" dxfId="3" priority="653" operator="between" text="库存">
      <formula>NOT(ISERROR(SEARCH("库存",AS91)))</formula>
    </cfRule>
  </conditionalFormatting>
  <conditionalFormatting sqref="AS92">
    <cfRule type="cellIs" dxfId="0" priority="832" operator="lessThan">
      <formula>20</formula>
    </cfRule>
    <cfRule type="cellIs" dxfId="1" priority="742" operator="greaterThan">
      <formula>120</formula>
    </cfRule>
    <cfRule type="containsText" dxfId="3" priority="652" operator="between" text="库存">
      <formula>NOT(ISERROR(SEARCH("库存",AS92)))</formula>
    </cfRule>
  </conditionalFormatting>
  <conditionalFormatting sqref="AS93">
    <cfRule type="cellIs" dxfId="0" priority="831" operator="lessThan">
      <formula>20</formula>
    </cfRule>
    <cfRule type="cellIs" dxfId="1" priority="741" operator="greaterThan">
      <formula>120</formula>
    </cfRule>
    <cfRule type="containsText" dxfId="3" priority="651" operator="between" text="库存">
      <formula>NOT(ISERROR(SEARCH("库存",AS93)))</formula>
    </cfRule>
  </conditionalFormatting>
  <conditionalFormatting sqref="AS94">
    <cfRule type="cellIs" dxfId="0" priority="830" operator="lessThan">
      <formula>20</formula>
    </cfRule>
    <cfRule type="cellIs" dxfId="1" priority="740" operator="greaterThan">
      <formula>120</formula>
    </cfRule>
    <cfRule type="containsText" dxfId="3" priority="650" operator="between" text="库存">
      <formula>NOT(ISERROR(SEARCH("库存",AS94)))</formula>
    </cfRule>
  </conditionalFormatting>
  <conditionalFormatting sqref="AS95">
    <cfRule type="cellIs" dxfId="0" priority="829" operator="lessThan">
      <formula>20</formula>
    </cfRule>
    <cfRule type="cellIs" dxfId="1" priority="739" operator="greaterThan">
      <formula>120</formula>
    </cfRule>
    <cfRule type="containsText" dxfId="3" priority="649" operator="between" text="库存">
      <formula>NOT(ISERROR(SEARCH("库存",AS95)))</formula>
    </cfRule>
  </conditionalFormatting>
  <conditionalFormatting sqref="AS1 AS3:AS5 AS96:AS1048576">
    <cfRule type="cellIs" dxfId="0" priority="924" operator="lessThan">
      <formula>20</formula>
    </cfRule>
    <cfRule type="cellIs" dxfId="1" priority="923" operator="greaterThan">
      <formula>120</formula>
    </cfRule>
    <cfRule type="containsText" dxfId="3" priority="922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1136</v>
      </c>
      <c r="B1" s="2">
        <f>B12</f>
        <v>43255</v>
      </c>
    </row>
    <row r="2" spans="1:2">
      <c r="A2" s="1" t="s">
        <v>1137</v>
      </c>
      <c r="B2" s="2">
        <v>43282</v>
      </c>
    </row>
    <row r="3" spans="1:2">
      <c r="A3" s="1"/>
      <c r="B3" s="1"/>
    </row>
    <row r="4" spans="1:2">
      <c r="A4" s="1" t="s">
        <v>1138</v>
      </c>
      <c r="B4" s="3">
        <f>B2+1</f>
        <v>43283</v>
      </c>
    </row>
    <row r="5" spans="1:2">
      <c r="A5" s="1" t="s">
        <v>1139</v>
      </c>
      <c r="B5" s="4">
        <f>B2</f>
        <v>43282</v>
      </c>
    </row>
    <row r="6" spans="1:2">
      <c r="A6" s="1" t="s">
        <v>1140</v>
      </c>
      <c r="B6" s="3">
        <f>B5-6</f>
        <v>43276</v>
      </c>
    </row>
    <row r="7" spans="1:2">
      <c r="A7" s="1" t="s">
        <v>1141</v>
      </c>
      <c r="B7" s="3">
        <f>B5-7</f>
        <v>43275</v>
      </c>
    </row>
    <row r="8" spans="1:2">
      <c r="A8" s="1" t="s">
        <v>1142</v>
      </c>
      <c r="B8" s="3">
        <f>B5-13</f>
        <v>43269</v>
      </c>
    </row>
    <row r="9" spans="1:2">
      <c r="A9" s="1" t="s">
        <v>1143</v>
      </c>
      <c r="B9" s="3">
        <f>B5-14</f>
        <v>43268</v>
      </c>
    </row>
    <row r="10" spans="1:2">
      <c r="A10" s="1" t="s">
        <v>1144</v>
      </c>
      <c r="B10" s="3">
        <f>B5-20</f>
        <v>43262</v>
      </c>
    </row>
    <row r="11" spans="1:2">
      <c r="A11" s="1" t="s">
        <v>1145</v>
      </c>
      <c r="B11" s="3">
        <f>B5-21</f>
        <v>43261</v>
      </c>
    </row>
    <row r="12" spans="1:2">
      <c r="A12" s="1" t="s">
        <v>1146</v>
      </c>
      <c r="B12" s="3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